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61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olin/Documents/MIT/HealthyElections/Webpage/VTP - Election Toolkit_files/"/>
    </mc:Choice>
  </mc:AlternateContent>
  <bookViews>
    <workbookView xWindow="0" yWindow="460" windowWidth="28800" windowHeight="17540" activeTab="1"/>
  </bookViews>
  <sheets>
    <sheet name="Calculations" sheetId="2" r:id="rId1"/>
    <sheet name="Inputs_Outputs" sheetId="3" r:id="rId2"/>
  </sheets>
  <definedNames>
    <definedName name="CalcInput">Calculations!$C$11</definedName>
    <definedName name="CalcOutput">Calculations!$J$11</definedName>
    <definedName name="FirstInputPoint">Inputs_Outputs!$I$13</definedName>
    <definedName name="NumberOfPrecincts">Inputs_Outputs!$C$8</definedName>
    <definedName name="OverallAlert">Inputs_Outputs!$AC$9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5" i="2" l="1"/>
  <c r="E24" i="2"/>
  <c r="I13" i="3"/>
  <c r="I18" i="3"/>
  <c r="I17" i="3"/>
  <c r="I16" i="3"/>
  <c r="I15" i="3"/>
  <c r="I14" i="3"/>
  <c r="D24" i="2"/>
  <c r="I24" i="2"/>
  <c r="J24" i="2"/>
  <c r="N24" i="2"/>
  <c r="D25" i="2"/>
  <c r="I25" i="2"/>
  <c r="J25" i="2"/>
  <c r="N25" i="2"/>
  <c r="D26" i="2"/>
  <c r="I26" i="2"/>
  <c r="J26" i="2"/>
  <c r="N26" i="2"/>
  <c r="D27" i="2"/>
  <c r="I27" i="2"/>
  <c r="J27" i="2"/>
  <c r="N27" i="2"/>
  <c r="D28" i="2"/>
  <c r="I28" i="2"/>
  <c r="J28" i="2"/>
  <c r="N28" i="2"/>
  <c r="D29" i="2"/>
  <c r="I29" i="2"/>
  <c r="J29" i="2"/>
  <c r="N29" i="2"/>
  <c r="D30" i="2"/>
  <c r="I30" i="2"/>
  <c r="J30" i="2"/>
  <c r="N30" i="2"/>
  <c r="D31" i="2"/>
  <c r="I31" i="2"/>
  <c r="J31" i="2"/>
  <c r="N31" i="2"/>
  <c r="D32" i="2"/>
  <c r="I32" i="2"/>
  <c r="J32" i="2"/>
  <c r="N32" i="2"/>
  <c r="D33" i="2"/>
  <c r="I33" i="2"/>
  <c r="J33" i="2"/>
  <c r="N33" i="2"/>
  <c r="D34" i="2"/>
  <c r="I34" i="2"/>
  <c r="J34" i="2"/>
  <c r="N34" i="2"/>
  <c r="D35" i="2"/>
  <c r="I35" i="2"/>
  <c r="J35" i="2"/>
  <c r="N35" i="2"/>
  <c r="D36" i="2"/>
  <c r="I36" i="2"/>
  <c r="J36" i="2"/>
  <c r="N36" i="2"/>
  <c r="D37" i="2"/>
  <c r="I37" i="2"/>
  <c r="J37" i="2"/>
  <c r="N37" i="2"/>
  <c r="D38" i="2"/>
  <c r="I38" i="2"/>
  <c r="J38" i="2"/>
  <c r="N38" i="2"/>
  <c r="D39" i="2"/>
  <c r="I39" i="2"/>
  <c r="J39" i="2"/>
  <c r="N39" i="2"/>
  <c r="D40" i="2"/>
  <c r="I40" i="2"/>
  <c r="J40" i="2"/>
  <c r="N40" i="2"/>
  <c r="D41" i="2"/>
  <c r="I41" i="2"/>
  <c r="J41" i="2"/>
  <c r="N41" i="2"/>
  <c r="D42" i="2"/>
  <c r="I42" i="2"/>
  <c r="J42" i="2"/>
  <c r="N42" i="2"/>
  <c r="D43" i="2"/>
  <c r="I43" i="2"/>
  <c r="J43" i="2"/>
  <c r="N43" i="2"/>
  <c r="D44" i="2"/>
  <c r="I44" i="2"/>
  <c r="J44" i="2"/>
  <c r="N44" i="2"/>
  <c r="D45" i="2"/>
  <c r="I45" i="2"/>
  <c r="J45" i="2"/>
  <c r="N45" i="2"/>
  <c r="D46" i="2"/>
  <c r="I46" i="2"/>
  <c r="J46" i="2"/>
  <c r="N46" i="2"/>
  <c r="D47" i="2"/>
  <c r="I47" i="2"/>
  <c r="J47" i="2"/>
  <c r="N47" i="2"/>
  <c r="D48" i="2"/>
  <c r="I48" i="2"/>
  <c r="J48" i="2"/>
  <c r="N48" i="2"/>
  <c r="D49" i="2"/>
  <c r="I49" i="2"/>
  <c r="J49" i="2"/>
  <c r="N49" i="2"/>
  <c r="D50" i="2"/>
  <c r="I50" i="2"/>
  <c r="J50" i="2"/>
  <c r="N50" i="2"/>
  <c r="D51" i="2"/>
  <c r="I51" i="2"/>
  <c r="J51" i="2"/>
  <c r="N51" i="2"/>
  <c r="D52" i="2"/>
  <c r="I52" i="2"/>
  <c r="J52" i="2"/>
  <c r="N52" i="2"/>
  <c r="D53" i="2"/>
  <c r="I53" i="2"/>
  <c r="J53" i="2"/>
  <c r="N53" i="2"/>
  <c r="D54" i="2"/>
  <c r="I54" i="2"/>
  <c r="J54" i="2"/>
  <c r="N54" i="2"/>
  <c r="D55" i="2"/>
  <c r="I55" i="2"/>
  <c r="J55" i="2"/>
  <c r="N55" i="2"/>
  <c r="D56" i="2"/>
  <c r="I56" i="2"/>
  <c r="J56" i="2"/>
  <c r="N56" i="2"/>
  <c r="D57" i="2"/>
  <c r="I57" i="2"/>
  <c r="J57" i="2"/>
  <c r="N57" i="2"/>
  <c r="D58" i="2"/>
  <c r="I58" i="2"/>
  <c r="J58" i="2"/>
  <c r="N58" i="2"/>
  <c r="D59" i="2"/>
  <c r="I59" i="2"/>
  <c r="J59" i="2"/>
  <c r="N59" i="2"/>
  <c r="D60" i="2"/>
  <c r="I60" i="2"/>
  <c r="J60" i="2"/>
  <c r="N60" i="2"/>
  <c r="D61" i="2"/>
  <c r="I61" i="2"/>
  <c r="J61" i="2"/>
  <c r="N61" i="2"/>
  <c r="D62" i="2"/>
  <c r="I62" i="2"/>
  <c r="J62" i="2"/>
  <c r="N62" i="2"/>
  <c r="D63" i="2"/>
  <c r="I63" i="2"/>
  <c r="J63" i="2"/>
  <c r="N63" i="2"/>
  <c r="D64" i="2"/>
  <c r="I64" i="2"/>
  <c r="J64" i="2"/>
  <c r="N64" i="2"/>
  <c r="D65" i="2"/>
  <c r="I65" i="2"/>
  <c r="J65" i="2"/>
  <c r="N65" i="2"/>
  <c r="D66" i="2"/>
  <c r="I66" i="2"/>
  <c r="J66" i="2"/>
  <c r="N66" i="2"/>
  <c r="D67" i="2"/>
  <c r="I67" i="2"/>
  <c r="J67" i="2"/>
  <c r="N67" i="2"/>
  <c r="D68" i="2"/>
  <c r="I68" i="2"/>
  <c r="J68" i="2"/>
  <c r="N68" i="2"/>
  <c r="D69" i="2"/>
  <c r="I69" i="2"/>
  <c r="J69" i="2"/>
  <c r="N69" i="2"/>
  <c r="D70" i="2"/>
  <c r="I70" i="2"/>
  <c r="J70" i="2"/>
  <c r="N70" i="2"/>
  <c r="D71" i="2"/>
  <c r="I71" i="2"/>
  <c r="J71" i="2"/>
  <c r="N71" i="2"/>
  <c r="D72" i="2"/>
  <c r="I72" i="2"/>
  <c r="J72" i="2"/>
  <c r="N72" i="2"/>
  <c r="D73" i="2"/>
  <c r="I73" i="2"/>
  <c r="J73" i="2"/>
  <c r="N73" i="2"/>
  <c r="D74" i="2"/>
  <c r="I74" i="2"/>
  <c r="J74" i="2"/>
  <c r="N74" i="2"/>
  <c r="D75" i="2"/>
  <c r="I75" i="2"/>
  <c r="J75" i="2"/>
  <c r="N75" i="2"/>
  <c r="D76" i="2"/>
  <c r="I76" i="2"/>
  <c r="J76" i="2"/>
  <c r="N76" i="2"/>
  <c r="D77" i="2"/>
  <c r="I77" i="2"/>
  <c r="J77" i="2"/>
  <c r="N77" i="2"/>
  <c r="D78" i="2"/>
  <c r="I78" i="2"/>
  <c r="J78" i="2"/>
  <c r="N78" i="2"/>
  <c r="D79" i="2"/>
  <c r="I79" i="2"/>
  <c r="J79" i="2"/>
  <c r="N79" i="2"/>
  <c r="D80" i="2"/>
  <c r="I80" i="2"/>
  <c r="J80" i="2"/>
  <c r="N80" i="2"/>
  <c r="D81" i="2"/>
  <c r="I81" i="2"/>
  <c r="J81" i="2"/>
  <c r="N81" i="2"/>
  <c r="D82" i="2"/>
  <c r="I82" i="2"/>
  <c r="J82" i="2"/>
  <c r="N82" i="2"/>
  <c r="D83" i="2"/>
  <c r="I83" i="2"/>
  <c r="J83" i="2"/>
  <c r="N83" i="2"/>
  <c r="D84" i="2"/>
  <c r="I84" i="2"/>
  <c r="J84" i="2"/>
  <c r="N84" i="2"/>
  <c r="D85" i="2"/>
  <c r="I85" i="2"/>
  <c r="J85" i="2"/>
  <c r="N85" i="2"/>
  <c r="D86" i="2"/>
  <c r="I86" i="2"/>
  <c r="J86" i="2"/>
  <c r="N86" i="2"/>
  <c r="D87" i="2"/>
  <c r="I87" i="2"/>
  <c r="J87" i="2"/>
  <c r="N87" i="2"/>
  <c r="D88" i="2"/>
  <c r="I88" i="2"/>
  <c r="J88" i="2"/>
  <c r="N88" i="2"/>
  <c r="D89" i="2"/>
  <c r="I89" i="2"/>
  <c r="J89" i="2"/>
  <c r="N89" i="2"/>
  <c r="D90" i="2"/>
  <c r="I90" i="2"/>
  <c r="J90" i="2"/>
  <c r="N90" i="2"/>
  <c r="D91" i="2"/>
  <c r="I91" i="2"/>
  <c r="J91" i="2"/>
  <c r="N91" i="2"/>
  <c r="D92" i="2"/>
  <c r="I92" i="2"/>
  <c r="J92" i="2"/>
  <c r="N92" i="2"/>
  <c r="D93" i="2"/>
  <c r="I93" i="2"/>
  <c r="J93" i="2"/>
  <c r="N93" i="2"/>
  <c r="D94" i="2"/>
  <c r="I94" i="2"/>
  <c r="J94" i="2"/>
  <c r="N94" i="2"/>
  <c r="D95" i="2"/>
  <c r="I95" i="2"/>
  <c r="J95" i="2"/>
  <c r="N95" i="2"/>
  <c r="D96" i="2"/>
  <c r="I96" i="2"/>
  <c r="J96" i="2"/>
  <c r="N96" i="2"/>
  <c r="D97" i="2"/>
  <c r="I97" i="2"/>
  <c r="J97" i="2"/>
  <c r="N97" i="2"/>
  <c r="D98" i="2"/>
  <c r="I98" i="2"/>
  <c r="J98" i="2"/>
  <c r="N98" i="2"/>
  <c r="D99" i="2"/>
  <c r="I99" i="2"/>
  <c r="J99" i="2"/>
  <c r="N99" i="2"/>
  <c r="D100" i="2"/>
  <c r="I100" i="2"/>
  <c r="J100" i="2"/>
  <c r="N100" i="2"/>
  <c r="D101" i="2"/>
  <c r="I101" i="2"/>
  <c r="J101" i="2"/>
  <c r="N101" i="2"/>
  <c r="D102" i="2"/>
  <c r="I102" i="2"/>
  <c r="J102" i="2"/>
  <c r="N102" i="2"/>
  <c r="D103" i="2"/>
  <c r="I103" i="2"/>
  <c r="J103" i="2"/>
  <c r="N103" i="2"/>
  <c r="D104" i="2"/>
  <c r="I104" i="2"/>
  <c r="J104" i="2"/>
  <c r="N104" i="2"/>
  <c r="D105" i="2"/>
  <c r="I105" i="2"/>
  <c r="J105" i="2"/>
  <c r="N105" i="2"/>
  <c r="D106" i="2"/>
  <c r="I106" i="2"/>
  <c r="J106" i="2"/>
  <c r="N106" i="2"/>
  <c r="D107" i="2"/>
  <c r="I107" i="2"/>
  <c r="J107" i="2"/>
  <c r="N107" i="2"/>
  <c r="D108" i="2"/>
  <c r="I108" i="2"/>
  <c r="J108" i="2"/>
  <c r="N108" i="2"/>
  <c r="D109" i="2"/>
  <c r="I109" i="2"/>
  <c r="J109" i="2"/>
  <c r="N109" i="2"/>
  <c r="D110" i="2"/>
  <c r="I110" i="2"/>
  <c r="J110" i="2"/>
  <c r="N110" i="2"/>
  <c r="D111" i="2"/>
  <c r="I111" i="2"/>
  <c r="J111" i="2"/>
  <c r="N111" i="2"/>
  <c r="D112" i="2"/>
  <c r="I112" i="2"/>
  <c r="J112" i="2"/>
  <c r="N112" i="2"/>
  <c r="D113" i="2"/>
  <c r="I113" i="2"/>
  <c r="J113" i="2"/>
  <c r="N113" i="2"/>
  <c r="D114" i="2"/>
  <c r="I114" i="2"/>
  <c r="J114" i="2"/>
  <c r="N114" i="2"/>
  <c r="D115" i="2"/>
  <c r="I115" i="2"/>
  <c r="J115" i="2"/>
  <c r="N115" i="2"/>
  <c r="D116" i="2"/>
  <c r="I116" i="2"/>
  <c r="J116" i="2"/>
  <c r="N116" i="2"/>
  <c r="D117" i="2"/>
  <c r="I117" i="2"/>
  <c r="J117" i="2"/>
  <c r="N117" i="2"/>
  <c r="D118" i="2"/>
  <c r="I118" i="2"/>
  <c r="J118" i="2"/>
  <c r="N118" i="2"/>
  <c r="D119" i="2"/>
  <c r="I119" i="2"/>
  <c r="J119" i="2"/>
  <c r="N119" i="2"/>
  <c r="D120" i="2"/>
  <c r="I120" i="2"/>
  <c r="J120" i="2"/>
  <c r="N120" i="2"/>
  <c r="D121" i="2"/>
  <c r="I121" i="2"/>
  <c r="J121" i="2"/>
  <c r="N121" i="2"/>
  <c r="D122" i="2"/>
  <c r="I122" i="2"/>
  <c r="J122" i="2"/>
  <c r="N122" i="2"/>
  <c r="D123" i="2"/>
  <c r="I123" i="2"/>
  <c r="J123" i="2"/>
  <c r="N123" i="2"/>
  <c r="D124" i="2"/>
  <c r="I124" i="2"/>
  <c r="J124" i="2"/>
  <c r="N124" i="2"/>
  <c r="D125" i="2"/>
  <c r="I125" i="2"/>
  <c r="J125" i="2"/>
  <c r="N125" i="2"/>
  <c r="D126" i="2"/>
  <c r="I126" i="2"/>
  <c r="J126" i="2"/>
  <c r="N126" i="2"/>
  <c r="D127" i="2"/>
  <c r="I127" i="2"/>
  <c r="J127" i="2"/>
  <c r="N127" i="2"/>
  <c r="D128" i="2"/>
  <c r="I128" i="2"/>
  <c r="J128" i="2"/>
  <c r="N128" i="2"/>
  <c r="D129" i="2"/>
  <c r="I129" i="2"/>
  <c r="J129" i="2"/>
  <c r="N129" i="2"/>
  <c r="D130" i="2"/>
  <c r="I130" i="2"/>
  <c r="J130" i="2"/>
  <c r="N130" i="2"/>
  <c r="D131" i="2"/>
  <c r="I131" i="2"/>
  <c r="J131" i="2"/>
  <c r="N131" i="2"/>
  <c r="D132" i="2"/>
  <c r="I132" i="2"/>
  <c r="J132" i="2"/>
  <c r="N132" i="2"/>
  <c r="D133" i="2"/>
  <c r="I133" i="2"/>
  <c r="J133" i="2"/>
  <c r="N133" i="2"/>
  <c r="D134" i="2"/>
  <c r="I134" i="2"/>
  <c r="J134" i="2"/>
  <c r="N134" i="2"/>
  <c r="D135" i="2"/>
  <c r="I135" i="2"/>
  <c r="J135" i="2"/>
  <c r="N135" i="2"/>
  <c r="D136" i="2"/>
  <c r="I136" i="2"/>
  <c r="J136" i="2"/>
  <c r="N136" i="2"/>
  <c r="D137" i="2"/>
  <c r="I137" i="2"/>
  <c r="J137" i="2"/>
  <c r="N137" i="2"/>
  <c r="D138" i="2"/>
  <c r="I138" i="2"/>
  <c r="J138" i="2"/>
  <c r="N138" i="2"/>
  <c r="D139" i="2"/>
  <c r="I139" i="2"/>
  <c r="J139" i="2"/>
  <c r="N139" i="2"/>
  <c r="D140" i="2"/>
  <c r="I140" i="2"/>
  <c r="J140" i="2"/>
  <c r="N140" i="2"/>
  <c r="D141" i="2"/>
  <c r="I141" i="2"/>
  <c r="J141" i="2"/>
  <c r="N141" i="2"/>
  <c r="D142" i="2"/>
  <c r="I142" i="2"/>
  <c r="J142" i="2"/>
  <c r="N142" i="2"/>
  <c r="D143" i="2"/>
  <c r="I143" i="2"/>
  <c r="J143" i="2"/>
  <c r="N143" i="2"/>
  <c r="D144" i="2"/>
  <c r="I144" i="2"/>
  <c r="J144" i="2"/>
  <c r="N144" i="2"/>
  <c r="D145" i="2"/>
  <c r="I145" i="2"/>
  <c r="J145" i="2"/>
  <c r="N145" i="2"/>
  <c r="D146" i="2"/>
  <c r="I146" i="2"/>
  <c r="J146" i="2"/>
  <c r="N146" i="2"/>
  <c r="D147" i="2"/>
  <c r="I147" i="2"/>
  <c r="J147" i="2"/>
  <c r="N147" i="2"/>
  <c r="D148" i="2"/>
  <c r="I148" i="2"/>
  <c r="J148" i="2"/>
  <c r="N148" i="2"/>
  <c r="D149" i="2"/>
  <c r="I149" i="2"/>
  <c r="J149" i="2"/>
  <c r="N149" i="2"/>
  <c r="D150" i="2"/>
  <c r="I150" i="2"/>
  <c r="J150" i="2"/>
  <c r="N150" i="2"/>
  <c r="D151" i="2"/>
  <c r="I151" i="2"/>
  <c r="J151" i="2"/>
  <c r="N151" i="2"/>
  <c r="D152" i="2"/>
  <c r="I152" i="2"/>
  <c r="J152" i="2"/>
  <c r="N152" i="2"/>
  <c r="D153" i="2"/>
  <c r="I153" i="2"/>
  <c r="J153" i="2"/>
  <c r="N153" i="2"/>
  <c r="D154" i="2"/>
  <c r="I154" i="2"/>
  <c r="J154" i="2"/>
  <c r="N154" i="2"/>
  <c r="D155" i="2"/>
  <c r="I155" i="2"/>
  <c r="J155" i="2"/>
  <c r="N155" i="2"/>
  <c r="D156" i="2"/>
  <c r="I156" i="2"/>
  <c r="J156" i="2"/>
  <c r="N156" i="2"/>
  <c r="D157" i="2"/>
  <c r="I157" i="2"/>
  <c r="J157" i="2"/>
  <c r="N157" i="2"/>
  <c r="D158" i="2"/>
  <c r="I158" i="2"/>
  <c r="J158" i="2"/>
  <c r="N158" i="2"/>
  <c r="D159" i="2"/>
  <c r="I159" i="2"/>
  <c r="J159" i="2"/>
  <c r="N159" i="2"/>
  <c r="D160" i="2"/>
  <c r="I160" i="2"/>
  <c r="J160" i="2"/>
  <c r="N160" i="2"/>
  <c r="D161" i="2"/>
  <c r="I161" i="2"/>
  <c r="J161" i="2"/>
  <c r="N161" i="2"/>
  <c r="D162" i="2"/>
  <c r="I162" i="2"/>
  <c r="J162" i="2"/>
  <c r="N162" i="2"/>
  <c r="D163" i="2"/>
  <c r="I163" i="2"/>
  <c r="J163" i="2"/>
  <c r="N163" i="2"/>
  <c r="D164" i="2"/>
  <c r="I164" i="2"/>
  <c r="J164" i="2"/>
  <c r="N164" i="2"/>
  <c r="D165" i="2"/>
  <c r="I165" i="2"/>
  <c r="J165" i="2"/>
  <c r="N165" i="2"/>
  <c r="D166" i="2"/>
  <c r="I166" i="2"/>
  <c r="J166" i="2"/>
  <c r="N166" i="2"/>
  <c r="D167" i="2"/>
  <c r="I167" i="2"/>
  <c r="J167" i="2"/>
  <c r="N167" i="2"/>
  <c r="D168" i="2"/>
  <c r="I168" i="2"/>
  <c r="J168" i="2"/>
  <c r="N168" i="2"/>
  <c r="D169" i="2"/>
  <c r="I169" i="2"/>
  <c r="J169" i="2"/>
  <c r="N169" i="2"/>
  <c r="D170" i="2"/>
  <c r="I170" i="2"/>
  <c r="J170" i="2"/>
  <c r="N170" i="2"/>
  <c r="D171" i="2"/>
  <c r="I171" i="2"/>
  <c r="J171" i="2"/>
  <c r="N171" i="2"/>
  <c r="D172" i="2"/>
  <c r="I172" i="2"/>
  <c r="J172" i="2"/>
  <c r="N172" i="2"/>
  <c r="D173" i="2"/>
  <c r="I173" i="2"/>
  <c r="J173" i="2"/>
  <c r="N173" i="2"/>
  <c r="D174" i="2"/>
  <c r="I174" i="2"/>
  <c r="J174" i="2"/>
  <c r="N174" i="2"/>
  <c r="D175" i="2"/>
  <c r="I175" i="2"/>
  <c r="J175" i="2"/>
  <c r="N175" i="2"/>
  <c r="D176" i="2"/>
  <c r="I176" i="2"/>
  <c r="J176" i="2"/>
  <c r="N176" i="2"/>
  <c r="D177" i="2"/>
  <c r="I177" i="2"/>
  <c r="J177" i="2"/>
  <c r="N177" i="2"/>
  <c r="D178" i="2"/>
  <c r="I178" i="2"/>
  <c r="J178" i="2"/>
  <c r="N178" i="2"/>
  <c r="D179" i="2"/>
  <c r="I179" i="2"/>
  <c r="J179" i="2"/>
  <c r="N179" i="2"/>
  <c r="D180" i="2"/>
  <c r="I180" i="2"/>
  <c r="J180" i="2"/>
  <c r="N180" i="2"/>
  <c r="D181" i="2"/>
  <c r="I181" i="2"/>
  <c r="J181" i="2"/>
  <c r="N181" i="2"/>
  <c r="D182" i="2"/>
  <c r="I182" i="2"/>
  <c r="J182" i="2"/>
  <c r="N182" i="2"/>
  <c r="D183" i="2"/>
  <c r="I183" i="2"/>
  <c r="J183" i="2"/>
  <c r="N183" i="2"/>
  <c r="D184" i="2"/>
  <c r="I184" i="2"/>
  <c r="J184" i="2"/>
  <c r="N184" i="2"/>
  <c r="D185" i="2"/>
  <c r="I185" i="2"/>
  <c r="J185" i="2"/>
  <c r="N185" i="2"/>
  <c r="D186" i="2"/>
  <c r="I186" i="2"/>
  <c r="J186" i="2"/>
  <c r="N186" i="2"/>
  <c r="D187" i="2"/>
  <c r="I187" i="2"/>
  <c r="J187" i="2"/>
  <c r="N187" i="2"/>
  <c r="D188" i="2"/>
  <c r="I188" i="2"/>
  <c r="J188" i="2"/>
  <c r="N188" i="2"/>
  <c r="D189" i="2"/>
  <c r="I189" i="2"/>
  <c r="J189" i="2"/>
  <c r="N189" i="2"/>
  <c r="D190" i="2"/>
  <c r="I190" i="2"/>
  <c r="J190" i="2"/>
  <c r="N190" i="2"/>
  <c r="D191" i="2"/>
  <c r="I191" i="2"/>
  <c r="J191" i="2"/>
  <c r="N191" i="2"/>
  <c r="D192" i="2"/>
  <c r="I192" i="2"/>
  <c r="J192" i="2"/>
  <c r="N192" i="2"/>
  <c r="D193" i="2"/>
  <c r="I193" i="2"/>
  <c r="J193" i="2"/>
  <c r="N193" i="2"/>
  <c r="D194" i="2"/>
  <c r="I194" i="2"/>
  <c r="J194" i="2"/>
  <c r="N194" i="2"/>
  <c r="D195" i="2"/>
  <c r="I195" i="2"/>
  <c r="J195" i="2"/>
  <c r="N195" i="2"/>
  <c r="D196" i="2"/>
  <c r="I196" i="2"/>
  <c r="J196" i="2"/>
  <c r="N196" i="2"/>
  <c r="D197" i="2"/>
  <c r="I197" i="2"/>
  <c r="J197" i="2"/>
  <c r="N197" i="2"/>
  <c r="D198" i="2"/>
  <c r="I198" i="2"/>
  <c r="J198" i="2"/>
  <c r="N198" i="2"/>
  <c r="D199" i="2"/>
  <c r="I199" i="2"/>
  <c r="J199" i="2"/>
  <c r="N199" i="2"/>
  <c r="D200" i="2"/>
  <c r="I200" i="2"/>
  <c r="J200" i="2"/>
  <c r="N200" i="2"/>
  <c r="D201" i="2"/>
  <c r="I201" i="2"/>
  <c r="J201" i="2"/>
  <c r="N201" i="2"/>
  <c r="D202" i="2"/>
  <c r="I202" i="2"/>
  <c r="J202" i="2"/>
  <c r="N202" i="2"/>
  <c r="D203" i="2"/>
  <c r="I203" i="2"/>
  <c r="J203" i="2"/>
  <c r="N203" i="2"/>
  <c r="D204" i="2"/>
  <c r="I204" i="2"/>
  <c r="J204" i="2"/>
  <c r="N204" i="2"/>
  <c r="D205" i="2"/>
  <c r="I205" i="2"/>
  <c r="J205" i="2"/>
  <c r="N205" i="2"/>
  <c r="D206" i="2"/>
  <c r="I206" i="2"/>
  <c r="J206" i="2"/>
  <c r="N206" i="2"/>
  <c r="D207" i="2"/>
  <c r="I207" i="2"/>
  <c r="J207" i="2"/>
  <c r="N207" i="2"/>
  <c r="D208" i="2"/>
  <c r="I208" i="2"/>
  <c r="J208" i="2"/>
  <c r="N208" i="2"/>
  <c r="D209" i="2"/>
  <c r="I209" i="2"/>
  <c r="J209" i="2"/>
  <c r="N209" i="2"/>
  <c r="D210" i="2"/>
  <c r="I210" i="2"/>
  <c r="J210" i="2"/>
  <c r="N210" i="2"/>
  <c r="D211" i="2"/>
  <c r="I211" i="2"/>
  <c r="J211" i="2"/>
  <c r="N211" i="2"/>
  <c r="D212" i="2"/>
  <c r="I212" i="2"/>
  <c r="J212" i="2"/>
  <c r="N212" i="2"/>
  <c r="D213" i="2"/>
  <c r="I213" i="2"/>
  <c r="J213" i="2"/>
  <c r="N213" i="2"/>
  <c r="D214" i="2"/>
  <c r="I214" i="2"/>
  <c r="J214" i="2"/>
  <c r="N214" i="2"/>
  <c r="D215" i="2"/>
  <c r="I215" i="2"/>
  <c r="J215" i="2"/>
  <c r="N215" i="2"/>
  <c r="D216" i="2"/>
  <c r="I216" i="2"/>
  <c r="J216" i="2"/>
  <c r="N216" i="2"/>
  <c r="D217" i="2"/>
  <c r="I217" i="2"/>
  <c r="J217" i="2"/>
  <c r="N217" i="2"/>
  <c r="D218" i="2"/>
  <c r="I218" i="2"/>
  <c r="J218" i="2"/>
  <c r="N218" i="2"/>
  <c r="D219" i="2"/>
  <c r="I219" i="2"/>
  <c r="J219" i="2"/>
  <c r="N219" i="2"/>
  <c r="D220" i="2"/>
  <c r="I220" i="2"/>
  <c r="J220" i="2"/>
  <c r="N220" i="2"/>
  <c r="D221" i="2"/>
  <c r="I221" i="2"/>
  <c r="J221" i="2"/>
  <c r="N221" i="2"/>
  <c r="D222" i="2"/>
  <c r="I222" i="2"/>
  <c r="J222" i="2"/>
  <c r="N222" i="2"/>
  <c r="D223" i="2"/>
  <c r="I223" i="2"/>
  <c r="J223" i="2"/>
  <c r="N223" i="2"/>
  <c r="D224" i="2"/>
  <c r="I224" i="2"/>
  <c r="J224" i="2"/>
  <c r="N224" i="2"/>
  <c r="D225" i="2"/>
  <c r="I225" i="2"/>
  <c r="J225" i="2"/>
  <c r="N225" i="2"/>
  <c r="D226" i="2"/>
  <c r="I226" i="2"/>
  <c r="J226" i="2"/>
  <c r="N226" i="2"/>
  <c r="D227" i="2"/>
  <c r="I227" i="2"/>
  <c r="J227" i="2"/>
  <c r="N227" i="2"/>
  <c r="D228" i="2"/>
  <c r="I228" i="2"/>
  <c r="J228" i="2"/>
  <c r="N228" i="2"/>
  <c r="D229" i="2"/>
  <c r="I229" i="2"/>
  <c r="J229" i="2"/>
  <c r="N229" i="2"/>
  <c r="D230" i="2"/>
  <c r="I230" i="2"/>
  <c r="J230" i="2"/>
  <c r="N230" i="2"/>
  <c r="D231" i="2"/>
  <c r="I231" i="2"/>
  <c r="J231" i="2"/>
  <c r="N231" i="2"/>
  <c r="D232" i="2"/>
  <c r="I232" i="2"/>
  <c r="J232" i="2"/>
  <c r="N232" i="2"/>
  <c r="D233" i="2"/>
  <c r="I233" i="2"/>
  <c r="J233" i="2"/>
  <c r="N233" i="2"/>
  <c r="D234" i="2"/>
  <c r="I234" i="2"/>
  <c r="J234" i="2"/>
  <c r="N234" i="2"/>
  <c r="D235" i="2"/>
  <c r="I235" i="2"/>
  <c r="J235" i="2"/>
  <c r="N235" i="2"/>
  <c r="D236" i="2"/>
  <c r="I236" i="2"/>
  <c r="J236" i="2"/>
  <c r="N236" i="2"/>
  <c r="D237" i="2"/>
  <c r="I237" i="2"/>
  <c r="J237" i="2"/>
  <c r="N237" i="2"/>
  <c r="D238" i="2"/>
  <c r="I238" i="2"/>
  <c r="J238" i="2"/>
  <c r="N238" i="2"/>
  <c r="D239" i="2"/>
  <c r="I239" i="2"/>
  <c r="J239" i="2"/>
  <c r="N239" i="2"/>
  <c r="D240" i="2"/>
  <c r="I240" i="2"/>
  <c r="J240" i="2"/>
  <c r="N240" i="2"/>
  <c r="D241" i="2"/>
  <c r="I241" i="2"/>
  <c r="J241" i="2"/>
  <c r="N241" i="2"/>
  <c r="D242" i="2"/>
  <c r="I242" i="2"/>
  <c r="J242" i="2"/>
  <c r="N242" i="2"/>
  <c r="D243" i="2"/>
  <c r="I243" i="2"/>
  <c r="J243" i="2"/>
  <c r="N243" i="2"/>
  <c r="D244" i="2"/>
  <c r="I244" i="2"/>
  <c r="J244" i="2"/>
  <c r="N244" i="2"/>
  <c r="D245" i="2"/>
  <c r="I245" i="2"/>
  <c r="J245" i="2"/>
  <c r="N245" i="2"/>
  <c r="D246" i="2"/>
  <c r="I246" i="2"/>
  <c r="J246" i="2"/>
  <c r="N246" i="2"/>
  <c r="D247" i="2"/>
  <c r="I247" i="2"/>
  <c r="J247" i="2"/>
  <c r="N247" i="2"/>
  <c r="D248" i="2"/>
  <c r="I248" i="2"/>
  <c r="J248" i="2"/>
  <c r="N248" i="2"/>
  <c r="D249" i="2"/>
  <c r="I249" i="2"/>
  <c r="J249" i="2"/>
  <c r="N249" i="2"/>
  <c r="D250" i="2"/>
  <c r="I250" i="2"/>
  <c r="J250" i="2"/>
  <c r="N250" i="2"/>
  <c r="D251" i="2"/>
  <c r="I251" i="2"/>
  <c r="J251" i="2"/>
  <c r="N251" i="2"/>
  <c r="D252" i="2"/>
  <c r="I252" i="2"/>
  <c r="J252" i="2"/>
  <c r="N252" i="2"/>
  <c r="D253" i="2"/>
  <c r="I253" i="2"/>
  <c r="J253" i="2"/>
  <c r="N253" i="2"/>
  <c r="D254" i="2"/>
  <c r="I254" i="2"/>
  <c r="J254" i="2"/>
  <c r="N254" i="2"/>
  <c r="D255" i="2"/>
  <c r="I255" i="2"/>
  <c r="J255" i="2"/>
  <c r="N255" i="2"/>
  <c r="D256" i="2"/>
  <c r="I256" i="2"/>
  <c r="J256" i="2"/>
  <c r="N256" i="2"/>
  <c r="D257" i="2"/>
  <c r="I257" i="2"/>
  <c r="J257" i="2"/>
  <c r="N257" i="2"/>
  <c r="D258" i="2"/>
  <c r="I258" i="2"/>
  <c r="J258" i="2"/>
  <c r="N258" i="2"/>
  <c r="D259" i="2"/>
  <c r="I259" i="2"/>
  <c r="J259" i="2"/>
  <c r="N259" i="2"/>
  <c r="D260" i="2"/>
  <c r="I260" i="2"/>
  <c r="J260" i="2"/>
  <c r="N260" i="2"/>
  <c r="D261" i="2"/>
  <c r="I261" i="2"/>
  <c r="J261" i="2"/>
  <c r="N261" i="2"/>
  <c r="D262" i="2"/>
  <c r="I262" i="2"/>
  <c r="J262" i="2"/>
  <c r="N262" i="2"/>
  <c r="D263" i="2"/>
  <c r="I263" i="2"/>
  <c r="J263" i="2"/>
  <c r="N263" i="2"/>
  <c r="D264" i="2"/>
  <c r="I264" i="2"/>
  <c r="J264" i="2"/>
  <c r="N264" i="2"/>
  <c r="D265" i="2"/>
  <c r="I265" i="2"/>
  <c r="J265" i="2"/>
  <c r="N265" i="2"/>
  <c r="D266" i="2"/>
  <c r="I266" i="2"/>
  <c r="J266" i="2"/>
  <c r="N266" i="2"/>
  <c r="D267" i="2"/>
  <c r="I267" i="2"/>
  <c r="J267" i="2"/>
  <c r="N267" i="2"/>
  <c r="D268" i="2"/>
  <c r="I268" i="2"/>
  <c r="J268" i="2"/>
  <c r="N268" i="2"/>
  <c r="D269" i="2"/>
  <c r="I269" i="2"/>
  <c r="J269" i="2"/>
  <c r="N269" i="2"/>
  <c r="D270" i="2"/>
  <c r="I270" i="2"/>
  <c r="J270" i="2"/>
  <c r="N270" i="2"/>
  <c r="D271" i="2"/>
  <c r="I271" i="2"/>
  <c r="J271" i="2"/>
  <c r="N271" i="2"/>
  <c r="D272" i="2"/>
  <c r="I272" i="2"/>
  <c r="J272" i="2"/>
  <c r="N272" i="2"/>
  <c r="D273" i="2"/>
  <c r="I273" i="2"/>
  <c r="J273" i="2"/>
  <c r="N273" i="2"/>
  <c r="D274" i="2"/>
  <c r="I274" i="2"/>
  <c r="J274" i="2"/>
  <c r="N274" i="2"/>
  <c r="D275" i="2"/>
  <c r="I275" i="2"/>
  <c r="J275" i="2"/>
  <c r="N275" i="2"/>
  <c r="D276" i="2"/>
  <c r="I276" i="2"/>
  <c r="J276" i="2"/>
  <c r="N276" i="2"/>
  <c r="D277" i="2"/>
  <c r="I277" i="2"/>
  <c r="J277" i="2"/>
  <c r="N277" i="2"/>
  <c r="D278" i="2"/>
  <c r="I278" i="2"/>
  <c r="J278" i="2"/>
  <c r="N278" i="2"/>
  <c r="D279" i="2"/>
  <c r="I279" i="2"/>
  <c r="J279" i="2"/>
  <c r="N279" i="2"/>
  <c r="D280" i="2"/>
  <c r="I280" i="2"/>
  <c r="J280" i="2"/>
  <c r="N280" i="2"/>
  <c r="D281" i="2"/>
  <c r="I281" i="2"/>
  <c r="J281" i="2"/>
  <c r="N281" i="2"/>
  <c r="D282" i="2"/>
  <c r="I282" i="2"/>
  <c r="J282" i="2"/>
  <c r="N282" i="2"/>
  <c r="D283" i="2"/>
  <c r="I283" i="2"/>
  <c r="J283" i="2"/>
  <c r="N283" i="2"/>
  <c r="D284" i="2"/>
  <c r="I284" i="2"/>
  <c r="J284" i="2"/>
  <c r="N284" i="2"/>
  <c r="D285" i="2"/>
  <c r="I285" i="2"/>
  <c r="J285" i="2"/>
  <c r="N285" i="2"/>
  <c r="D286" i="2"/>
  <c r="I286" i="2"/>
  <c r="J286" i="2"/>
  <c r="N286" i="2"/>
  <c r="D287" i="2"/>
  <c r="I287" i="2"/>
  <c r="J287" i="2"/>
  <c r="N287" i="2"/>
  <c r="D288" i="2"/>
  <c r="I288" i="2"/>
  <c r="J288" i="2"/>
  <c r="N288" i="2"/>
  <c r="D289" i="2"/>
  <c r="I289" i="2"/>
  <c r="J289" i="2"/>
  <c r="N289" i="2"/>
  <c r="D290" i="2"/>
  <c r="I290" i="2"/>
  <c r="J290" i="2"/>
  <c r="N290" i="2"/>
  <c r="D291" i="2"/>
  <c r="I291" i="2"/>
  <c r="J291" i="2"/>
  <c r="N291" i="2"/>
  <c r="D292" i="2"/>
  <c r="I292" i="2"/>
  <c r="J292" i="2"/>
  <c r="N292" i="2"/>
  <c r="D293" i="2"/>
  <c r="I293" i="2"/>
  <c r="J293" i="2"/>
  <c r="N293" i="2"/>
  <c r="D294" i="2"/>
  <c r="I294" i="2"/>
  <c r="J294" i="2"/>
  <c r="N294" i="2"/>
  <c r="D295" i="2"/>
  <c r="I295" i="2"/>
  <c r="J295" i="2"/>
  <c r="N295" i="2"/>
  <c r="D296" i="2"/>
  <c r="I296" i="2"/>
  <c r="J296" i="2"/>
  <c r="N296" i="2"/>
  <c r="D297" i="2"/>
  <c r="I297" i="2"/>
  <c r="J297" i="2"/>
  <c r="N297" i="2"/>
  <c r="D298" i="2"/>
  <c r="I298" i="2"/>
  <c r="J298" i="2"/>
  <c r="N298" i="2"/>
  <c r="D299" i="2"/>
  <c r="I299" i="2"/>
  <c r="J299" i="2"/>
  <c r="N299" i="2"/>
  <c r="D300" i="2"/>
  <c r="I300" i="2"/>
  <c r="J300" i="2"/>
  <c r="N300" i="2"/>
  <c r="D301" i="2"/>
  <c r="I301" i="2"/>
  <c r="J301" i="2"/>
  <c r="N301" i="2"/>
  <c r="D302" i="2"/>
  <c r="I302" i="2"/>
  <c r="J302" i="2"/>
  <c r="N302" i="2"/>
  <c r="D303" i="2"/>
  <c r="I303" i="2"/>
  <c r="J303" i="2"/>
  <c r="N303" i="2"/>
  <c r="D304" i="2"/>
  <c r="I304" i="2"/>
  <c r="J304" i="2"/>
  <c r="N304" i="2"/>
  <c r="D305" i="2"/>
  <c r="I305" i="2"/>
  <c r="J305" i="2"/>
  <c r="N305" i="2"/>
  <c r="D306" i="2"/>
  <c r="I306" i="2"/>
  <c r="J306" i="2"/>
  <c r="N306" i="2"/>
  <c r="D307" i="2"/>
  <c r="I307" i="2"/>
  <c r="J307" i="2"/>
  <c r="N307" i="2"/>
  <c r="D308" i="2"/>
  <c r="I308" i="2"/>
  <c r="J308" i="2"/>
  <c r="N308" i="2"/>
  <c r="D309" i="2"/>
  <c r="I309" i="2"/>
  <c r="J309" i="2"/>
  <c r="N309" i="2"/>
  <c r="D310" i="2"/>
  <c r="I310" i="2"/>
  <c r="J310" i="2"/>
  <c r="N310" i="2"/>
  <c r="D311" i="2"/>
  <c r="I311" i="2"/>
  <c r="J311" i="2"/>
  <c r="N311" i="2"/>
  <c r="D312" i="2"/>
  <c r="I312" i="2"/>
  <c r="J312" i="2"/>
  <c r="N312" i="2"/>
  <c r="D313" i="2"/>
  <c r="I313" i="2"/>
  <c r="J313" i="2"/>
  <c r="N313" i="2"/>
  <c r="D314" i="2"/>
  <c r="I314" i="2"/>
  <c r="J314" i="2"/>
  <c r="N314" i="2"/>
  <c r="D315" i="2"/>
  <c r="I315" i="2"/>
  <c r="J315" i="2"/>
  <c r="N315" i="2"/>
  <c r="D316" i="2"/>
  <c r="I316" i="2"/>
  <c r="J316" i="2"/>
  <c r="N316" i="2"/>
  <c r="D317" i="2"/>
  <c r="I317" i="2"/>
  <c r="J317" i="2"/>
  <c r="N317" i="2"/>
  <c r="D318" i="2"/>
  <c r="I318" i="2"/>
  <c r="J318" i="2"/>
  <c r="N318" i="2"/>
  <c r="D319" i="2"/>
  <c r="I319" i="2"/>
  <c r="J319" i="2"/>
  <c r="N319" i="2"/>
  <c r="D320" i="2"/>
  <c r="I320" i="2"/>
  <c r="J320" i="2"/>
  <c r="N320" i="2"/>
  <c r="D321" i="2"/>
  <c r="I321" i="2"/>
  <c r="J321" i="2"/>
  <c r="N321" i="2"/>
  <c r="D322" i="2"/>
  <c r="I322" i="2"/>
  <c r="J322" i="2"/>
  <c r="N322" i="2"/>
  <c r="D323" i="2"/>
  <c r="I323" i="2"/>
  <c r="J323" i="2"/>
  <c r="N323" i="2"/>
  <c r="D324" i="2"/>
  <c r="I324" i="2"/>
  <c r="J324" i="2"/>
  <c r="N324" i="2"/>
  <c r="D325" i="2"/>
  <c r="I325" i="2"/>
  <c r="J325" i="2"/>
  <c r="N325" i="2"/>
  <c r="D326" i="2"/>
  <c r="I326" i="2"/>
  <c r="J326" i="2"/>
  <c r="N326" i="2"/>
  <c r="D327" i="2"/>
  <c r="I327" i="2"/>
  <c r="J327" i="2"/>
  <c r="N327" i="2"/>
  <c r="D328" i="2"/>
  <c r="I328" i="2"/>
  <c r="J328" i="2"/>
  <c r="N328" i="2"/>
  <c r="D329" i="2"/>
  <c r="I329" i="2"/>
  <c r="J329" i="2"/>
  <c r="N329" i="2"/>
  <c r="D330" i="2"/>
  <c r="I330" i="2"/>
  <c r="J330" i="2"/>
  <c r="N330" i="2"/>
  <c r="D331" i="2"/>
  <c r="I331" i="2"/>
  <c r="J331" i="2"/>
  <c r="N331" i="2"/>
  <c r="D332" i="2"/>
  <c r="I332" i="2"/>
  <c r="J332" i="2"/>
  <c r="N332" i="2"/>
  <c r="D333" i="2"/>
  <c r="I333" i="2"/>
  <c r="J333" i="2"/>
  <c r="N333" i="2"/>
  <c r="D334" i="2"/>
  <c r="I334" i="2"/>
  <c r="J334" i="2"/>
  <c r="N334" i="2"/>
  <c r="D335" i="2"/>
  <c r="I335" i="2"/>
  <c r="J335" i="2"/>
  <c r="N335" i="2"/>
  <c r="D336" i="2"/>
  <c r="I336" i="2"/>
  <c r="J336" i="2"/>
  <c r="N336" i="2"/>
  <c r="D337" i="2"/>
  <c r="I337" i="2"/>
  <c r="J337" i="2"/>
  <c r="N337" i="2"/>
  <c r="D338" i="2"/>
  <c r="I338" i="2"/>
  <c r="J338" i="2"/>
  <c r="N338" i="2"/>
  <c r="D339" i="2"/>
  <c r="I339" i="2"/>
  <c r="J339" i="2"/>
  <c r="N339" i="2"/>
  <c r="D340" i="2"/>
  <c r="I340" i="2"/>
  <c r="J340" i="2"/>
  <c r="N340" i="2"/>
  <c r="D341" i="2"/>
  <c r="I341" i="2"/>
  <c r="J341" i="2"/>
  <c r="N341" i="2"/>
  <c r="D342" i="2"/>
  <c r="I342" i="2"/>
  <c r="J342" i="2"/>
  <c r="N342" i="2"/>
  <c r="D343" i="2"/>
  <c r="I343" i="2"/>
  <c r="J343" i="2"/>
  <c r="N343" i="2"/>
  <c r="D344" i="2"/>
  <c r="I344" i="2"/>
  <c r="J344" i="2"/>
  <c r="N344" i="2"/>
  <c r="D345" i="2"/>
  <c r="I345" i="2"/>
  <c r="J345" i="2"/>
  <c r="N345" i="2"/>
  <c r="D346" i="2"/>
  <c r="I346" i="2"/>
  <c r="J346" i="2"/>
  <c r="N346" i="2"/>
  <c r="D347" i="2"/>
  <c r="I347" i="2"/>
  <c r="J347" i="2"/>
  <c r="N347" i="2"/>
  <c r="D348" i="2"/>
  <c r="I348" i="2"/>
  <c r="J348" i="2"/>
  <c r="N348" i="2"/>
  <c r="D349" i="2"/>
  <c r="I349" i="2"/>
  <c r="J349" i="2"/>
  <c r="N349" i="2"/>
  <c r="D350" i="2"/>
  <c r="I350" i="2"/>
  <c r="J350" i="2"/>
  <c r="N350" i="2"/>
  <c r="D351" i="2"/>
  <c r="I351" i="2"/>
  <c r="J351" i="2"/>
  <c r="N351" i="2"/>
  <c r="D352" i="2"/>
  <c r="I352" i="2"/>
  <c r="J352" i="2"/>
  <c r="N352" i="2"/>
  <c r="D353" i="2"/>
  <c r="I353" i="2"/>
  <c r="J353" i="2"/>
  <c r="N353" i="2"/>
  <c r="D354" i="2"/>
  <c r="I354" i="2"/>
  <c r="J354" i="2"/>
  <c r="N354" i="2"/>
  <c r="D355" i="2"/>
  <c r="I355" i="2"/>
  <c r="J355" i="2"/>
  <c r="N355" i="2"/>
  <c r="D356" i="2"/>
  <c r="I356" i="2"/>
  <c r="J356" i="2"/>
  <c r="N356" i="2"/>
  <c r="D357" i="2"/>
  <c r="I357" i="2"/>
  <c r="J357" i="2"/>
  <c r="N357" i="2"/>
  <c r="D358" i="2"/>
  <c r="I358" i="2"/>
  <c r="J358" i="2"/>
  <c r="N358" i="2"/>
  <c r="D359" i="2"/>
  <c r="I359" i="2"/>
  <c r="J359" i="2"/>
  <c r="N359" i="2"/>
  <c r="D360" i="2"/>
  <c r="I360" i="2"/>
  <c r="J360" i="2"/>
  <c r="N360" i="2"/>
  <c r="D361" i="2"/>
  <c r="I361" i="2"/>
  <c r="J361" i="2"/>
  <c r="N361" i="2"/>
  <c r="D362" i="2"/>
  <c r="I362" i="2"/>
  <c r="J362" i="2"/>
  <c r="N362" i="2"/>
  <c r="D363" i="2"/>
  <c r="I363" i="2"/>
  <c r="J363" i="2"/>
  <c r="N363" i="2"/>
  <c r="D364" i="2"/>
  <c r="I364" i="2"/>
  <c r="J364" i="2"/>
  <c r="N364" i="2"/>
  <c r="D365" i="2"/>
  <c r="I365" i="2"/>
  <c r="J365" i="2"/>
  <c r="N365" i="2"/>
  <c r="D366" i="2"/>
  <c r="I366" i="2"/>
  <c r="J366" i="2"/>
  <c r="N366" i="2"/>
  <c r="D367" i="2"/>
  <c r="I367" i="2"/>
  <c r="J367" i="2"/>
  <c r="N367" i="2"/>
  <c r="D368" i="2"/>
  <c r="I368" i="2"/>
  <c r="J368" i="2"/>
  <c r="N368" i="2"/>
  <c r="D369" i="2"/>
  <c r="I369" i="2"/>
  <c r="J369" i="2"/>
  <c r="N369" i="2"/>
  <c r="D370" i="2"/>
  <c r="I370" i="2"/>
  <c r="J370" i="2"/>
  <c r="N370" i="2"/>
  <c r="D371" i="2"/>
  <c r="I371" i="2"/>
  <c r="J371" i="2"/>
  <c r="N371" i="2"/>
  <c r="D372" i="2"/>
  <c r="I372" i="2"/>
  <c r="J372" i="2"/>
  <c r="N372" i="2"/>
  <c r="D373" i="2"/>
  <c r="I373" i="2"/>
  <c r="J373" i="2"/>
  <c r="N373" i="2"/>
  <c r="D374" i="2"/>
  <c r="I374" i="2"/>
  <c r="J374" i="2"/>
  <c r="N374" i="2"/>
  <c r="D375" i="2"/>
  <c r="I375" i="2"/>
  <c r="J375" i="2"/>
  <c r="N375" i="2"/>
  <c r="D376" i="2"/>
  <c r="I376" i="2"/>
  <c r="J376" i="2"/>
  <c r="N376" i="2"/>
  <c r="D377" i="2"/>
  <c r="I377" i="2"/>
  <c r="J377" i="2"/>
  <c r="N377" i="2"/>
  <c r="D378" i="2"/>
  <c r="I378" i="2"/>
  <c r="J378" i="2"/>
  <c r="N378" i="2"/>
  <c r="D379" i="2"/>
  <c r="I379" i="2"/>
  <c r="J379" i="2"/>
  <c r="N379" i="2"/>
  <c r="D380" i="2"/>
  <c r="I380" i="2"/>
  <c r="J380" i="2"/>
  <c r="N380" i="2"/>
  <c r="D381" i="2"/>
  <c r="I381" i="2"/>
  <c r="J381" i="2"/>
  <c r="N381" i="2"/>
  <c r="D382" i="2"/>
  <c r="I382" i="2"/>
  <c r="J382" i="2"/>
  <c r="N382" i="2"/>
  <c r="D383" i="2"/>
  <c r="I383" i="2"/>
  <c r="J383" i="2"/>
  <c r="N383" i="2"/>
  <c r="D384" i="2"/>
  <c r="I384" i="2"/>
  <c r="J384" i="2"/>
  <c r="N384" i="2"/>
  <c r="D385" i="2"/>
  <c r="I385" i="2"/>
  <c r="J385" i="2"/>
  <c r="N385" i="2"/>
  <c r="D386" i="2"/>
  <c r="I386" i="2"/>
  <c r="J386" i="2"/>
  <c r="N386" i="2"/>
  <c r="D387" i="2"/>
  <c r="I387" i="2"/>
  <c r="J387" i="2"/>
  <c r="N387" i="2"/>
  <c r="D388" i="2"/>
  <c r="I388" i="2"/>
  <c r="J388" i="2"/>
  <c r="N388" i="2"/>
  <c r="D389" i="2"/>
  <c r="I389" i="2"/>
  <c r="J389" i="2"/>
  <c r="N389" i="2"/>
  <c r="D390" i="2"/>
  <c r="I390" i="2"/>
  <c r="J390" i="2"/>
  <c r="N390" i="2"/>
  <c r="D391" i="2"/>
  <c r="I391" i="2"/>
  <c r="J391" i="2"/>
  <c r="N391" i="2"/>
  <c r="D392" i="2"/>
  <c r="I392" i="2"/>
  <c r="J392" i="2"/>
  <c r="N392" i="2"/>
  <c r="D393" i="2"/>
  <c r="I393" i="2"/>
  <c r="J393" i="2"/>
  <c r="N393" i="2"/>
  <c r="D394" i="2"/>
  <c r="I394" i="2"/>
  <c r="J394" i="2"/>
  <c r="N394" i="2"/>
  <c r="D395" i="2"/>
  <c r="I395" i="2"/>
  <c r="J395" i="2"/>
  <c r="N395" i="2"/>
  <c r="D396" i="2"/>
  <c r="I396" i="2"/>
  <c r="J396" i="2"/>
  <c r="N396" i="2"/>
  <c r="D397" i="2"/>
  <c r="I397" i="2"/>
  <c r="J397" i="2"/>
  <c r="N397" i="2"/>
  <c r="D398" i="2"/>
  <c r="I398" i="2"/>
  <c r="J398" i="2"/>
  <c r="N398" i="2"/>
  <c r="D399" i="2"/>
  <c r="I399" i="2"/>
  <c r="J399" i="2"/>
  <c r="N399" i="2"/>
  <c r="D400" i="2"/>
  <c r="I400" i="2"/>
  <c r="J400" i="2"/>
  <c r="N400" i="2"/>
  <c r="D401" i="2"/>
  <c r="I401" i="2"/>
  <c r="J401" i="2"/>
  <c r="N401" i="2"/>
  <c r="D402" i="2"/>
  <c r="I402" i="2"/>
  <c r="J402" i="2"/>
  <c r="N402" i="2"/>
  <c r="D403" i="2"/>
  <c r="I403" i="2"/>
  <c r="J403" i="2"/>
  <c r="N403" i="2"/>
  <c r="D404" i="2"/>
  <c r="I404" i="2"/>
  <c r="J404" i="2"/>
  <c r="N404" i="2"/>
  <c r="D405" i="2"/>
  <c r="I405" i="2"/>
  <c r="J405" i="2"/>
  <c r="N405" i="2"/>
  <c r="D406" i="2"/>
  <c r="I406" i="2"/>
  <c r="J406" i="2"/>
  <c r="N406" i="2"/>
  <c r="D407" i="2"/>
  <c r="I407" i="2"/>
  <c r="J407" i="2"/>
  <c r="N407" i="2"/>
  <c r="D408" i="2"/>
  <c r="I408" i="2"/>
  <c r="J408" i="2"/>
  <c r="N408" i="2"/>
  <c r="D409" i="2"/>
  <c r="I409" i="2"/>
  <c r="J409" i="2"/>
  <c r="N409" i="2"/>
  <c r="D410" i="2"/>
  <c r="I410" i="2"/>
  <c r="J410" i="2"/>
  <c r="N410" i="2"/>
  <c r="D411" i="2"/>
  <c r="I411" i="2"/>
  <c r="J411" i="2"/>
  <c r="N411" i="2"/>
  <c r="D412" i="2"/>
  <c r="I412" i="2"/>
  <c r="J412" i="2"/>
  <c r="N412" i="2"/>
  <c r="D413" i="2"/>
  <c r="I413" i="2"/>
  <c r="J413" i="2"/>
  <c r="N413" i="2"/>
  <c r="D414" i="2"/>
  <c r="I414" i="2"/>
  <c r="J414" i="2"/>
  <c r="N414" i="2"/>
  <c r="D415" i="2"/>
  <c r="I415" i="2"/>
  <c r="J415" i="2"/>
  <c r="N415" i="2"/>
  <c r="D416" i="2"/>
  <c r="I416" i="2"/>
  <c r="J416" i="2"/>
  <c r="N416" i="2"/>
  <c r="D417" i="2"/>
  <c r="I417" i="2"/>
  <c r="J417" i="2"/>
  <c r="N417" i="2"/>
  <c r="D418" i="2"/>
  <c r="I418" i="2"/>
  <c r="J418" i="2"/>
  <c r="N418" i="2"/>
  <c r="D419" i="2"/>
  <c r="I419" i="2"/>
  <c r="J419" i="2"/>
  <c r="N419" i="2"/>
  <c r="D420" i="2"/>
  <c r="I420" i="2"/>
  <c r="J420" i="2"/>
  <c r="N420" i="2"/>
  <c r="D421" i="2"/>
  <c r="I421" i="2"/>
  <c r="J421" i="2"/>
  <c r="N421" i="2"/>
  <c r="D422" i="2"/>
  <c r="I422" i="2"/>
  <c r="J422" i="2"/>
  <c r="N422" i="2"/>
  <c r="D423" i="2"/>
  <c r="I423" i="2"/>
  <c r="J423" i="2"/>
  <c r="N423" i="2"/>
  <c r="D424" i="2"/>
  <c r="I424" i="2"/>
  <c r="J424" i="2"/>
  <c r="N424" i="2"/>
  <c r="D425" i="2"/>
  <c r="I425" i="2"/>
  <c r="J425" i="2"/>
  <c r="N425" i="2"/>
  <c r="D426" i="2"/>
  <c r="I426" i="2"/>
  <c r="J426" i="2"/>
  <c r="N426" i="2"/>
  <c r="D427" i="2"/>
  <c r="I427" i="2"/>
  <c r="J427" i="2"/>
  <c r="N427" i="2"/>
  <c r="D428" i="2"/>
  <c r="I428" i="2"/>
  <c r="J428" i="2"/>
  <c r="N428" i="2"/>
  <c r="D429" i="2"/>
  <c r="I429" i="2"/>
  <c r="J429" i="2"/>
  <c r="N429" i="2"/>
  <c r="D430" i="2"/>
  <c r="I430" i="2"/>
  <c r="J430" i="2"/>
  <c r="N430" i="2"/>
  <c r="D431" i="2"/>
  <c r="I431" i="2"/>
  <c r="J431" i="2"/>
  <c r="N431" i="2"/>
  <c r="D432" i="2"/>
  <c r="I432" i="2"/>
  <c r="J432" i="2"/>
  <c r="N432" i="2"/>
  <c r="D433" i="2"/>
  <c r="I433" i="2"/>
  <c r="J433" i="2"/>
  <c r="N433" i="2"/>
  <c r="D434" i="2"/>
  <c r="I434" i="2"/>
  <c r="J434" i="2"/>
  <c r="N434" i="2"/>
  <c r="D435" i="2"/>
  <c r="I435" i="2"/>
  <c r="J435" i="2"/>
  <c r="N435" i="2"/>
  <c r="D436" i="2"/>
  <c r="I436" i="2"/>
  <c r="J436" i="2"/>
  <c r="N436" i="2"/>
  <c r="D437" i="2"/>
  <c r="I437" i="2"/>
  <c r="J437" i="2"/>
  <c r="N437" i="2"/>
  <c r="D438" i="2"/>
  <c r="I438" i="2"/>
  <c r="J438" i="2"/>
  <c r="N438" i="2"/>
  <c r="D439" i="2"/>
  <c r="I439" i="2"/>
  <c r="J439" i="2"/>
  <c r="N439" i="2"/>
  <c r="D440" i="2"/>
  <c r="I440" i="2"/>
  <c r="J440" i="2"/>
  <c r="N440" i="2"/>
  <c r="D441" i="2"/>
  <c r="I441" i="2"/>
  <c r="J441" i="2"/>
  <c r="N441" i="2"/>
  <c r="D442" i="2"/>
  <c r="I442" i="2"/>
  <c r="J442" i="2"/>
  <c r="N442" i="2"/>
  <c r="D443" i="2"/>
  <c r="I443" i="2"/>
  <c r="J443" i="2"/>
  <c r="N443" i="2"/>
  <c r="D444" i="2"/>
  <c r="I444" i="2"/>
  <c r="J444" i="2"/>
  <c r="N444" i="2"/>
  <c r="D445" i="2"/>
  <c r="I445" i="2"/>
  <c r="J445" i="2"/>
  <c r="N445" i="2"/>
  <c r="D446" i="2"/>
  <c r="I446" i="2"/>
  <c r="J446" i="2"/>
  <c r="N446" i="2"/>
  <c r="D447" i="2"/>
  <c r="I447" i="2"/>
  <c r="J447" i="2"/>
  <c r="N447" i="2"/>
  <c r="D448" i="2"/>
  <c r="I448" i="2"/>
  <c r="J448" i="2"/>
  <c r="N448" i="2"/>
  <c r="D449" i="2"/>
  <c r="I449" i="2"/>
  <c r="J449" i="2"/>
  <c r="N449" i="2"/>
  <c r="D450" i="2"/>
  <c r="I450" i="2"/>
  <c r="J450" i="2"/>
  <c r="N450" i="2"/>
  <c r="D451" i="2"/>
  <c r="I451" i="2"/>
  <c r="J451" i="2"/>
  <c r="N451" i="2"/>
  <c r="D452" i="2"/>
  <c r="I452" i="2"/>
  <c r="J452" i="2"/>
  <c r="N452" i="2"/>
  <c r="D453" i="2"/>
  <c r="I453" i="2"/>
  <c r="J453" i="2"/>
  <c r="N453" i="2"/>
  <c r="D454" i="2"/>
  <c r="I454" i="2"/>
  <c r="J454" i="2"/>
  <c r="N454" i="2"/>
  <c r="D455" i="2"/>
  <c r="I455" i="2"/>
  <c r="J455" i="2"/>
  <c r="N455" i="2"/>
  <c r="D456" i="2"/>
  <c r="I456" i="2"/>
  <c r="J456" i="2"/>
  <c r="N456" i="2"/>
  <c r="D457" i="2"/>
  <c r="I457" i="2"/>
  <c r="J457" i="2"/>
  <c r="N457" i="2"/>
  <c r="D458" i="2"/>
  <c r="I458" i="2"/>
  <c r="J458" i="2"/>
  <c r="N458" i="2"/>
  <c r="D459" i="2"/>
  <c r="I459" i="2"/>
  <c r="J459" i="2"/>
  <c r="N459" i="2"/>
  <c r="D460" i="2"/>
  <c r="I460" i="2"/>
  <c r="J460" i="2"/>
  <c r="N460" i="2"/>
  <c r="D461" i="2"/>
  <c r="I461" i="2"/>
  <c r="J461" i="2"/>
  <c r="N461" i="2"/>
  <c r="D462" i="2"/>
  <c r="I462" i="2"/>
  <c r="J462" i="2"/>
  <c r="N462" i="2"/>
  <c r="D463" i="2"/>
  <c r="I463" i="2"/>
  <c r="J463" i="2"/>
  <c r="N463" i="2"/>
  <c r="D464" i="2"/>
  <c r="I464" i="2"/>
  <c r="J464" i="2"/>
  <c r="N464" i="2"/>
  <c r="D465" i="2"/>
  <c r="I465" i="2"/>
  <c r="J465" i="2"/>
  <c r="N465" i="2"/>
  <c r="D466" i="2"/>
  <c r="I466" i="2"/>
  <c r="J466" i="2"/>
  <c r="N466" i="2"/>
  <c r="D467" i="2"/>
  <c r="I467" i="2"/>
  <c r="J467" i="2"/>
  <c r="N467" i="2"/>
  <c r="D468" i="2"/>
  <c r="I468" i="2"/>
  <c r="J468" i="2"/>
  <c r="N468" i="2"/>
  <c r="D469" i="2"/>
  <c r="I469" i="2"/>
  <c r="J469" i="2"/>
  <c r="N469" i="2"/>
  <c r="D470" i="2"/>
  <c r="I470" i="2"/>
  <c r="J470" i="2"/>
  <c r="N470" i="2"/>
  <c r="D471" i="2"/>
  <c r="I471" i="2"/>
  <c r="J471" i="2"/>
  <c r="N471" i="2"/>
  <c r="D472" i="2"/>
  <c r="I472" i="2"/>
  <c r="J472" i="2"/>
  <c r="N472" i="2"/>
  <c r="D473" i="2"/>
  <c r="I473" i="2"/>
  <c r="J473" i="2"/>
  <c r="N473" i="2"/>
  <c r="D474" i="2"/>
  <c r="I474" i="2"/>
  <c r="J474" i="2"/>
  <c r="N474" i="2"/>
  <c r="D475" i="2"/>
  <c r="I475" i="2"/>
  <c r="J475" i="2"/>
  <c r="N475" i="2"/>
  <c r="D476" i="2"/>
  <c r="I476" i="2"/>
  <c r="J476" i="2"/>
  <c r="N476" i="2"/>
  <c r="D477" i="2"/>
  <c r="I477" i="2"/>
  <c r="J477" i="2"/>
  <c r="N477" i="2"/>
  <c r="D478" i="2"/>
  <c r="I478" i="2"/>
  <c r="J478" i="2"/>
  <c r="N478" i="2"/>
  <c r="D479" i="2"/>
  <c r="I479" i="2"/>
  <c r="J479" i="2"/>
  <c r="N479" i="2"/>
  <c r="D480" i="2"/>
  <c r="I480" i="2"/>
  <c r="J480" i="2"/>
  <c r="N480" i="2"/>
  <c r="D481" i="2"/>
  <c r="I481" i="2"/>
  <c r="J481" i="2"/>
  <c r="N481" i="2"/>
  <c r="D482" i="2"/>
  <c r="I482" i="2"/>
  <c r="J482" i="2"/>
  <c r="N482" i="2"/>
  <c r="D483" i="2"/>
  <c r="I483" i="2"/>
  <c r="J483" i="2"/>
  <c r="N483" i="2"/>
  <c r="D484" i="2"/>
  <c r="I484" i="2"/>
  <c r="J484" i="2"/>
  <c r="N484" i="2"/>
  <c r="D485" i="2"/>
  <c r="I485" i="2"/>
  <c r="J485" i="2"/>
  <c r="N485" i="2"/>
  <c r="D486" i="2"/>
  <c r="I486" i="2"/>
  <c r="J486" i="2"/>
  <c r="N486" i="2"/>
  <c r="D487" i="2"/>
  <c r="I487" i="2"/>
  <c r="J487" i="2"/>
  <c r="N487" i="2"/>
  <c r="D488" i="2"/>
  <c r="I488" i="2"/>
  <c r="J488" i="2"/>
  <c r="N488" i="2"/>
  <c r="D489" i="2"/>
  <c r="I489" i="2"/>
  <c r="J489" i="2"/>
  <c r="N489" i="2"/>
  <c r="D490" i="2"/>
  <c r="I490" i="2"/>
  <c r="J490" i="2"/>
  <c r="N490" i="2"/>
  <c r="D491" i="2"/>
  <c r="I491" i="2"/>
  <c r="J491" i="2"/>
  <c r="N491" i="2"/>
  <c r="D492" i="2"/>
  <c r="I492" i="2"/>
  <c r="J492" i="2"/>
  <c r="N492" i="2"/>
  <c r="D493" i="2"/>
  <c r="I493" i="2"/>
  <c r="J493" i="2"/>
  <c r="N493" i="2"/>
  <c r="D494" i="2"/>
  <c r="I494" i="2"/>
  <c r="J494" i="2"/>
  <c r="N494" i="2"/>
  <c r="D495" i="2"/>
  <c r="I495" i="2"/>
  <c r="J495" i="2"/>
  <c r="N495" i="2"/>
  <c r="D496" i="2"/>
  <c r="I496" i="2"/>
  <c r="J496" i="2"/>
  <c r="N496" i="2"/>
  <c r="D497" i="2"/>
  <c r="I497" i="2"/>
  <c r="J497" i="2"/>
  <c r="N497" i="2"/>
  <c r="D498" i="2"/>
  <c r="I498" i="2"/>
  <c r="J498" i="2"/>
  <c r="N498" i="2"/>
  <c r="D499" i="2"/>
  <c r="I499" i="2"/>
  <c r="J499" i="2"/>
  <c r="N499" i="2"/>
  <c r="D500" i="2"/>
  <c r="I500" i="2"/>
  <c r="J500" i="2"/>
  <c r="N500" i="2"/>
  <c r="D501" i="2"/>
  <c r="I501" i="2"/>
  <c r="J501" i="2"/>
  <c r="N501" i="2"/>
  <c r="D502" i="2"/>
  <c r="I502" i="2"/>
  <c r="J502" i="2"/>
  <c r="N502" i="2"/>
  <c r="D503" i="2"/>
  <c r="I503" i="2"/>
  <c r="J503" i="2"/>
  <c r="N503" i="2"/>
  <c r="D504" i="2"/>
  <c r="I504" i="2"/>
  <c r="J504" i="2"/>
  <c r="N504" i="2"/>
  <c r="D505" i="2"/>
  <c r="I505" i="2"/>
  <c r="J505" i="2"/>
  <c r="N505" i="2"/>
  <c r="D506" i="2"/>
  <c r="I506" i="2"/>
  <c r="J506" i="2"/>
  <c r="N506" i="2"/>
  <c r="D507" i="2"/>
  <c r="I507" i="2"/>
  <c r="J507" i="2"/>
  <c r="N507" i="2"/>
  <c r="D508" i="2"/>
  <c r="I508" i="2"/>
  <c r="J508" i="2"/>
  <c r="N508" i="2"/>
  <c r="D509" i="2"/>
  <c r="I509" i="2"/>
  <c r="J509" i="2"/>
  <c r="N509" i="2"/>
  <c r="D510" i="2"/>
  <c r="I510" i="2"/>
  <c r="J510" i="2"/>
  <c r="N510" i="2"/>
  <c r="D511" i="2"/>
  <c r="I511" i="2"/>
  <c r="J511" i="2"/>
  <c r="N511" i="2"/>
  <c r="D512" i="2"/>
  <c r="I512" i="2"/>
  <c r="J512" i="2"/>
  <c r="N512" i="2"/>
  <c r="D513" i="2"/>
  <c r="I513" i="2"/>
  <c r="J513" i="2"/>
  <c r="N513" i="2"/>
  <c r="D514" i="2"/>
  <c r="I514" i="2"/>
  <c r="J514" i="2"/>
  <c r="N514" i="2"/>
  <c r="D515" i="2"/>
  <c r="I515" i="2"/>
  <c r="J515" i="2"/>
  <c r="N515" i="2"/>
  <c r="D516" i="2"/>
  <c r="I516" i="2"/>
  <c r="J516" i="2"/>
  <c r="N516" i="2"/>
  <c r="D517" i="2"/>
  <c r="I517" i="2"/>
  <c r="J517" i="2"/>
  <c r="N517" i="2"/>
  <c r="D518" i="2"/>
  <c r="I518" i="2"/>
  <c r="J518" i="2"/>
  <c r="N518" i="2"/>
  <c r="D519" i="2"/>
  <c r="I519" i="2"/>
  <c r="J519" i="2"/>
  <c r="N519" i="2"/>
  <c r="D520" i="2"/>
  <c r="I520" i="2"/>
  <c r="J520" i="2"/>
  <c r="N520" i="2"/>
  <c r="D521" i="2"/>
  <c r="I521" i="2"/>
  <c r="J521" i="2"/>
  <c r="N521" i="2"/>
  <c r="D522" i="2"/>
  <c r="I522" i="2"/>
  <c r="J522" i="2"/>
  <c r="N522" i="2"/>
  <c r="D523" i="2"/>
  <c r="I523" i="2"/>
  <c r="J523" i="2"/>
  <c r="N523" i="2"/>
  <c r="D524" i="2"/>
  <c r="I524" i="2"/>
  <c r="J524" i="2"/>
  <c r="N524" i="2"/>
  <c r="D525" i="2"/>
  <c r="I525" i="2"/>
  <c r="J525" i="2"/>
  <c r="N525" i="2"/>
  <c r="D526" i="2"/>
  <c r="I526" i="2"/>
  <c r="J526" i="2"/>
  <c r="N526" i="2"/>
  <c r="D527" i="2"/>
  <c r="I527" i="2"/>
  <c r="J527" i="2"/>
  <c r="N527" i="2"/>
  <c r="D528" i="2"/>
  <c r="I528" i="2"/>
  <c r="J528" i="2"/>
  <c r="N528" i="2"/>
  <c r="D529" i="2"/>
  <c r="I529" i="2"/>
  <c r="J529" i="2"/>
  <c r="N529" i="2"/>
  <c r="D530" i="2"/>
  <c r="I530" i="2"/>
  <c r="J530" i="2"/>
  <c r="N530" i="2"/>
  <c r="D531" i="2"/>
  <c r="I531" i="2"/>
  <c r="J531" i="2"/>
  <c r="N531" i="2"/>
  <c r="D532" i="2"/>
  <c r="I532" i="2"/>
  <c r="J532" i="2"/>
  <c r="N532" i="2"/>
  <c r="D533" i="2"/>
  <c r="I533" i="2"/>
  <c r="J533" i="2"/>
  <c r="N533" i="2"/>
  <c r="D534" i="2"/>
  <c r="I534" i="2"/>
  <c r="J534" i="2"/>
  <c r="N534" i="2"/>
  <c r="D535" i="2"/>
  <c r="I535" i="2"/>
  <c r="J535" i="2"/>
  <c r="N535" i="2"/>
  <c r="D536" i="2"/>
  <c r="I536" i="2"/>
  <c r="J536" i="2"/>
  <c r="N536" i="2"/>
  <c r="D537" i="2"/>
  <c r="I537" i="2"/>
  <c r="J537" i="2"/>
  <c r="N537" i="2"/>
  <c r="D538" i="2"/>
  <c r="I538" i="2"/>
  <c r="J538" i="2"/>
  <c r="N538" i="2"/>
  <c r="D539" i="2"/>
  <c r="I539" i="2"/>
  <c r="J539" i="2"/>
  <c r="N539" i="2"/>
  <c r="D540" i="2"/>
  <c r="I540" i="2"/>
  <c r="J540" i="2"/>
  <c r="N540" i="2"/>
  <c r="D541" i="2"/>
  <c r="I541" i="2"/>
  <c r="J541" i="2"/>
  <c r="N541" i="2"/>
  <c r="D542" i="2"/>
  <c r="I542" i="2"/>
  <c r="J542" i="2"/>
  <c r="N542" i="2"/>
  <c r="D543" i="2"/>
  <c r="I543" i="2"/>
  <c r="J543" i="2"/>
  <c r="N543" i="2"/>
  <c r="D544" i="2"/>
  <c r="I544" i="2"/>
  <c r="J544" i="2"/>
  <c r="N544" i="2"/>
  <c r="D545" i="2"/>
  <c r="I545" i="2"/>
  <c r="J545" i="2"/>
  <c r="N545" i="2"/>
  <c r="D546" i="2"/>
  <c r="I546" i="2"/>
  <c r="J546" i="2"/>
  <c r="N546" i="2"/>
  <c r="D547" i="2"/>
  <c r="I547" i="2"/>
  <c r="J547" i="2"/>
  <c r="N547" i="2"/>
  <c r="D548" i="2"/>
  <c r="I548" i="2"/>
  <c r="J548" i="2"/>
  <c r="N548" i="2"/>
  <c r="D549" i="2"/>
  <c r="I549" i="2"/>
  <c r="J549" i="2"/>
  <c r="N549" i="2"/>
  <c r="D550" i="2"/>
  <c r="I550" i="2"/>
  <c r="J550" i="2"/>
  <c r="N550" i="2"/>
  <c r="D551" i="2"/>
  <c r="I551" i="2"/>
  <c r="J551" i="2"/>
  <c r="N551" i="2"/>
  <c r="D552" i="2"/>
  <c r="I552" i="2"/>
  <c r="J552" i="2"/>
  <c r="N552" i="2"/>
  <c r="D553" i="2"/>
  <c r="I553" i="2"/>
  <c r="J553" i="2"/>
  <c r="N553" i="2"/>
  <c r="D554" i="2"/>
  <c r="I554" i="2"/>
  <c r="J554" i="2"/>
  <c r="N554" i="2"/>
  <c r="D555" i="2"/>
  <c r="I555" i="2"/>
  <c r="J555" i="2"/>
  <c r="N555" i="2"/>
  <c r="D556" i="2"/>
  <c r="I556" i="2"/>
  <c r="J556" i="2"/>
  <c r="N556" i="2"/>
  <c r="D557" i="2"/>
  <c r="I557" i="2"/>
  <c r="J557" i="2"/>
  <c r="N557" i="2"/>
  <c r="D558" i="2"/>
  <c r="I558" i="2"/>
  <c r="J558" i="2"/>
  <c r="N558" i="2"/>
  <c r="D559" i="2"/>
  <c r="I559" i="2"/>
  <c r="J559" i="2"/>
  <c r="N559" i="2"/>
  <c r="D560" i="2"/>
  <c r="I560" i="2"/>
  <c r="J560" i="2"/>
  <c r="N560" i="2"/>
  <c r="D561" i="2"/>
  <c r="I561" i="2"/>
  <c r="J561" i="2"/>
  <c r="N561" i="2"/>
  <c r="D562" i="2"/>
  <c r="I562" i="2"/>
  <c r="J562" i="2"/>
  <c r="N562" i="2"/>
  <c r="D563" i="2"/>
  <c r="I563" i="2"/>
  <c r="J563" i="2"/>
  <c r="N563" i="2"/>
  <c r="D564" i="2"/>
  <c r="I564" i="2"/>
  <c r="J564" i="2"/>
  <c r="N564" i="2"/>
  <c r="D565" i="2"/>
  <c r="I565" i="2"/>
  <c r="J565" i="2"/>
  <c r="N565" i="2"/>
  <c r="D566" i="2"/>
  <c r="I566" i="2"/>
  <c r="J566" i="2"/>
  <c r="N566" i="2"/>
  <c r="D567" i="2"/>
  <c r="I567" i="2"/>
  <c r="J567" i="2"/>
  <c r="N567" i="2"/>
  <c r="D568" i="2"/>
  <c r="I568" i="2"/>
  <c r="J568" i="2"/>
  <c r="N568" i="2"/>
  <c r="D569" i="2"/>
  <c r="I569" i="2"/>
  <c r="J569" i="2"/>
  <c r="N569" i="2"/>
  <c r="D570" i="2"/>
  <c r="I570" i="2"/>
  <c r="J570" i="2"/>
  <c r="N570" i="2"/>
  <c r="D571" i="2"/>
  <c r="I571" i="2"/>
  <c r="J571" i="2"/>
  <c r="N571" i="2"/>
  <c r="D572" i="2"/>
  <c r="I572" i="2"/>
  <c r="J572" i="2"/>
  <c r="N572" i="2"/>
  <c r="D573" i="2"/>
  <c r="I573" i="2"/>
  <c r="J573" i="2"/>
  <c r="N573" i="2"/>
  <c r="D574" i="2"/>
  <c r="I574" i="2"/>
  <c r="J574" i="2"/>
  <c r="N574" i="2"/>
  <c r="D575" i="2"/>
  <c r="I575" i="2"/>
  <c r="J575" i="2"/>
  <c r="N575" i="2"/>
  <c r="D576" i="2"/>
  <c r="I576" i="2"/>
  <c r="J576" i="2"/>
  <c r="N576" i="2"/>
  <c r="D577" i="2"/>
  <c r="I577" i="2"/>
  <c r="J577" i="2"/>
  <c r="N577" i="2"/>
  <c r="D578" i="2"/>
  <c r="I578" i="2"/>
  <c r="J578" i="2"/>
  <c r="N578" i="2"/>
  <c r="D579" i="2"/>
  <c r="I579" i="2"/>
  <c r="J579" i="2"/>
  <c r="N579" i="2"/>
  <c r="D580" i="2"/>
  <c r="I580" i="2"/>
  <c r="J580" i="2"/>
  <c r="N580" i="2"/>
  <c r="D581" i="2"/>
  <c r="I581" i="2"/>
  <c r="J581" i="2"/>
  <c r="N581" i="2"/>
  <c r="D582" i="2"/>
  <c r="I582" i="2"/>
  <c r="J582" i="2"/>
  <c r="N582" i="2"/>
  <c r="D583" i="2"/>
  <c r="I583" i="2"/>
  <c r="J583" i="2"/>
  <c r="N583" i="2"/>
  <c r="D584" i="2"/>
  <c r="I584" i="2"/>
  <c r="J584" i="2"/>
  <c r="N584" i="2"/>
  <c r="D585" i="2"/>
  <c r="I585" i="2"/>
  <c r="J585" i="2"/>
  <c r="N585" i="2"/>
  <c r="D586" i="2"/>
  <c r="I586" i="2"/>
  <c r="J586" i="2"/>
  <c r="N586" i="2"/>
  <c r="D587" i="2"/>
  <c r="I587" i="2"/>
  <c r="J587" i="2"/>
  <c r="N587" i="2"/>
  <c r="D588" i="2"/>
  <c r="I588" i="2"/>
  <c r="J588" i="2"/>
  <c r="N588" i="2"/>
  <c r="D589" i="2"/>
  <c r="I589" i="2"/>
  <c r="J589" i="2"/>
  <c r="N589" i="2"/>
  <c r="D590" i="2"/>
  <c r="I590" i="2"/>
  <c r="J590" i="2"/>
  <c r="N590" i="2"/>
  <c r="D591" i="2"/>
  <c r="I591" i="2"/>
  <c r="J591" i="2"/>
  <c r="N591" i="2"/>
  <c r="D592" i="2"/>
  <c r="I592" i="2"/>
  <c r="J592" i="2"/>
  <c r="N592" i="2"/>
  <c r="D593" i="2"/>
  <c r="I593" i="2"/>
  <c r="J593" i="2"/>
  <c r="N593" i="2"/>
  <c r="D594" i="2"/>
  <c r="I594" i="2"/>
  <c r="J594" i="2"/>
  <c r="N594" i="2"/>
  <c r="D595" i="2"/>
  <c r="I595" i="2"/>
  <c r="J595" i="2"/>
  <c r="N595" i="2"/>
  <c r="D596" i="2"/>
  <c r="I596" i="2"/>
  <c r="J596" i="2"/>
  <c r="N596" i="2"/>
  <c r="D597" i="2"/>
  <c r="I597" i="2"/>
  <c r="J597" i="2"/>
  <c r="N597" i="2"/>
  <c r="D598" i="2"/>
  <c r="I598" i="2"/>
  <c r="J598" i="2"/>
  <c r="N598" i="2"/>
  <c r="D599" i="2"/>
  <c r="I599" i="2"/>
  <c r="J599" i="2"/>
  <c r="N599" i="2"/>
  <c r="D600" i="2"/>
  <c r="I600" i="2"/>
  <c r="J600" i="2"/>
  <c r="N600" i="2"/>
  <c r="D601" i="2"/>
  <c r="I601" i="2"/>
  <c r="J601" i="2"/>
  <c r="N601" i="2"/>
  <c r="D602" i="2"/>
  <c r="I602" i="2"/>
  <c r="J602" i="2"/>
  <c r="N602" i="2"/>
  <c r="D603" i="2"/>
  <c r="I603" i="2"/>
  <c r="J603" i="2"/>
  <c r="N603" i="2"/>
  <c r="D604" i="2"/>
  <c r="I604" i="2"/>
  <c r="J604" i="2"/>
  <c r="N604" i="2"/>
  <c r="D605" i="2"/>
  <c r="I605" i="2"/>
  <c r="J605" i="2"/>
  <c r="N605" i="2"/>
  <c r="D606" i="2"/>
  <c r="I606" i="2"/>
  <c r="J606" i="2"/>
  <c r="N606" i="2"/>
  <c r="D607" i="2"/>
  <c r="I607" i="2"/>
  <c r="J607" i="2"/>
  <c r="N607" i="2"/>
  <c r="D608" i="2"/>
  <c r="I608" i="2"/>
  <c r="J608" i="2"/>
  <c r="N608" i="2"/>
  <c r="D609" i="2"/>
  <c r="I609" i="2"/>
  <c r="J609" i="2"/>
  <c r="N609" i="2"/>
  <c r="D610" i="2"/>
  <c r="I610" i="2"/>
  <c r="J610" i="2"/>
  <c r="N610" i="2"/>
  <c r="D611" i="2"/>
  <c r="I611" i="2"/>
  <c r="J611" i="2"/>
  <c r="N611" i="2"/>
  <c r="D612" i="2"/>
  <c r="I612" i="2"/>
  <c r="J612" i="2"/>
  <c r="N612" i="2"/>
  <c r="D613" i="2"/>
  <c r="I613" i="2"/>
  <c r="J613" i="2"/>
  <c r="N613" i="2"/>
  <c r="D614" i="2"/>
  <c r="I614" i="2"/>
  <c r="J614" i="2"/>
  <c r="N614" i="2"/>
  <c r="D615" i="2"/>
  <c r="I615" i="2"/>
  <c r="J615" i="2"/>
  <c r="N615" i="2"/>
  <c r="D616" i="2"/>
  <c r="I616" i="2"/>
  <c r="J616" i="2"/>
  <c r="N616" i="2"/>
  <c r="D617" i="2"/>
  <c r="I617" i="2"/>
  <c r="J617" i="2"/>
  <c r="N617" i="2"/>
  <c r="D618" i="2"/>
  <c r="I618" i="2"/>
  <c r="J618" i="2"/>
  <c r="N618" i="2"/>
  <c r="D619" i="2"/>
  <c r="I619" i="2"/>
  <c r="J619" i="2"/>
  <c r="N619" i="2"/>
  <c r="D620" i="2"/>
  <c r="I620" i="2"/>
  <c r="J620" i="2"/>
  <c r="N620" i="2"/>
  <c r="D621" i="2"/>
  <c r="I621" i="2"/>
  <c r="J621" i="2"/>
  <c r="N621" i="2"/>
  <c r="D622" i="2"/>
  <c r="I622" i="2"/>
  <c r="J622" i="2"/>
  <c r="N622" i="2"/>
  <c r="D623" i="2"/>
  <c r="I623" i="2"/>
  <c r="J623" i="2"/>
  <c r="N623" i="2"/>
  <c r="D624" i="2"/>
  <c r="I624" i="2"/>
  <c r="J624" i="2"/>
  <c r="N624" i="2"/>
  <c r="D625" i="2"/>
  <c r="I625" i="2"/>
  <c r="J625" i="2"/>
  <c r="N625" i="2"/>
  <c r="D626" i="2"/>
  <c r="I626" i="2"/>
  <c r="J626" i="2"/>
  <c r="N626" i="2"/>
  <c r="D627" i="2"/>
  <c r="I627" i="2"/>
  <c r="J627" i="2"/>
  <c r="N627" i="2"/>
  <c r="D628" i="2"/>
  <c r="I628" i="2"/>
  <c r="J628" i="2"/>
  <c r="N628" i="2"/>
  <c r="D629" i="2"/>
  <c r="I629" i="2"/>
  <c r="J629" i="2"/>
  <c r="N629" i="2"/>
  <c r="D630" i="2"/>
  <c r="I630" i="2"/>
  <c r="J630" i="2"/>
  <c r="N630" i="2"/>
  <c r="D631" i="2"/>
  <c r="I631" i="2"/>
  <c r="J631" i="2"/>
  <c r="N631" i="2"/>
  <c r="D632" i="2"/>
  <c r="I632" i="2"/>
  <c r="J632" i="2"/>
  <c r="N632" i="2"/>
  <c r="D633" i="2"/>
  <c r="I633" i="2"/>
  <c r="J633" i="2"/>
  <c r="N633" i="2"/>
  <c r="D634" i="2"/>
  <c r="I634" i="2"/>
  <c r="J634" i="2"/>
  <c r="N634" i="2"/>
  <c r="D635" i="2"/>
  <c r="I635" i="2"/>
  <c r="J635" i="2"/>
  <c r="N635" i="2"/>
  <c r="D636" i="2"/>
  <c r="I636" i="2"/>
  <c r="J636" i="2"/>
  <c r="N636" i="2"/>
  <c r="D637" i="2"/>
  <c r="I637" i="2"/>
  <c r="J637" i="2"/>
  <c r="N637" i="2"/>
  <c r="D638" i="2"/>
  <c r="I638" i="2"/>
  <c r="J638" i="2"/>
  <c r="N638" i="2"/>
  <c r="D639" i="2"/>
  <c r="I639" i="2"/>
  <c r="J639" i="2"/>
  <c r="N639" i="2"/>
  <c r="D640" i="2"/>
  <c r="I640" i="2"/>
  <c r="J640" i="2"/>
  <c r="N640" i="2"/>
  <c r="D641" i="2"/>
  <c r="I641" i="2"/>
  <c r="J641" i="2"/>
  <c r="N641" i="2"/>
  <c r="D642" i="2"/>
  <c r="I642" i="2"/>
  <c r="J642" i="2"/>
  <c r="N642" i="2"/>
  <c r="D643" i="2"/>
  <c r="I643" i="2"/>
  <c r="J643" i="2"/>
  <c r="N643" i="2"/>
  <c r="D644" i="2"/>
  <c r="I644" i="2"/>
  <c r="J644" i="2"/>
  <c r="N644" i="2"/>
  <c r="D645" i="2"/>
  <c r="I645" i="2"/>
  <c r="J645" i="2"/>
  <c r="N645" i="2"/>
  <c r="D646" i="2"/>
  <c r="I646" i="2"/>
  <c r="J646" i="2"/>
  <c r="N646" i="2"/>
  <c r="D647" i="2"/>
  <c r="I647" i="2"/>
  <c r="J647" i="2"/>
  <c r="N647" i="2"/>
  <c r="D648" i="2"/>
  <c r="I648" i="2"/>
  <c r="J648" i="2"/>
  <c r="N648" i="2"/>
  <c r="D649" i="2"/>
  <c r="I649" i="2"/>
  <c r="J649" i="2"/>
  <c r="N649" i="2"/>
  <c r="D650" i="2"/>
  <c r="I650" i="2"/>
  <c r="J650" i="2"/>
  <c r="N650" i="2"/>
  <c r="D651" i="2"/>
  <c r="I651" i="2"/>
  <c r="J651" i="2"/>
  <c r="N651" i="2"/>
  <c r="D652" i="2"/>
  <c r="I652" i="2"/>
  <c r="J652" i="2"/>
  <c r="N652" i="2"/>
  <c r="D653" i="2"/>
  <c r="I653" i="2"/>
  <c r="J653" i="2"/>
  <c r="N653" i="2"/>
  <c r="D654" i="2"/>
  <c r="I654" i="2"/>
  <c r="J654" i="2"/>
  <c r="N654" i="2"/>
  <c r="D655" i="2"/>
  <c r="I655" i="2"/>
  <c r="J655" i="2"/>
  <c r="N655" i="2"/>
  <c r="D656" i="2"/>
  <c r="I656" i="2"/>
  <c r="J656" i="2"/>
  <c r="N656" i="2"/>
  <c r="D657" i="2"/>
  <c r="I657" i="2"/>
  <c r="J657" i="2"/>
  <c r="N657" i="2"/>
  <c r="D658" i="2"/>
  <c r="I658" i="2"/>
  <c r="J658" i="2"/>
  <c r="N658" i="2"/>
  <c r="D659" i="2"/>
  <c r="I659" i="2"/>
  <c r="J659" i="2"/>
  <c r="N659" i="2"/>
  <c r="D660" i="2"/>
  <c r="I660" i="2"/>
  <c r="J660" i="2"/>
  <c r="N660" i="2"/>
  <c r="D661" i="2"/>
  <c r="I661" i="2"/>
  <c r="J661" i="2"/>
  <c r="N661" i="2"/>
  <c r="D662" i="2"/>
  <c r="I662" i="2"/>
  <c r="J662" i="2"/>
  <c r="N662" i="2"/>
  <c r="D663" i="2"/>
  <c r="I663" i="2"/>
  <c r="J663" i="2"/>
  <c r="N663" i="2"/>
  <c r="D664" i="2"/>
  <c r="I664" i="2"/>
  <c r="J664" i="2"/>
  <c r="N664" i="2"/>
  <c r="D665" i="2"/>
  <c r="I665" i="2"/>
  <c r="J665" i="2"/>
  <c r="N665" i="2"/>
  <c r="D666" i="2"/>
  <c r="I666" i="2"/>
  <c r="J666" i="2"/>
  <c r="N666" i="2"/>
  <c r="D667" i="2"/>
  <c r="I667" i="2"/>
  <c r="J667" i="2"/>
  <c r="N667" i="2"/>
  <c r="D668" i="2"/>
  <c r="I668" i="2"/>
  <c r="J668" i="2"/>
  <c r="N668" i="2"/>
  <c r="D669" i="2"/>
  <c r="I669" i="2"/>
  <c r="J669" i="2"/>
  <c r="N669" i="2"/>
  <c r="D670" i="2"/>
  <c r="I670" i="2"/>
  <c r="J670" i="2"/>
  <c r="N670" i="2"/>
  <c r="D671" i="2"/>
  <c r="I671" i="2"/>
  <c r="J671" i="2"/>
  <c r="N671" i="2"/>
  <c r="D672" i="2"/>
  <c r="I672" i="2"/>
  <c r="J672" i="2"/>
  <c r="N672" i="2"/>
  <c r="D673" i="2"/>
  <c r="I673" i="2"/>
  <c r="J673" i="2"/>
  <c r="N673" i="2"/>
  <c r="D674" i="2"/>
  <c r="I674" i="2"/>
  <c r="J674" i="2"/>
  <c r="N674" i="2"/>
  <c r="D675" i="2"/>
  <c r="I675" i="2"/>
  <c r="J675" i="2"/>
  <c r="N675" i="2"/>
  <c r="D676" i="2"/>
  <c r="I676" i="2"/>
  <c r="J676" i="2"/>
  <c r="N676" i="2"/>
  <c r="D677" i="2"/>
  <c r="I677" i="2"/>
  <c r="J677" i="2"/>
  <c r="N677" i="2"/>
  <c r="D678" i="2"/>
  <c r="I678" i="2"/>
  <c r="J678" i="2"/>
  <c r="N678" i="2"/>
  <c r="D679" i="2"/>
  <c r="I679" i="2"/>
  <c r="J679" i="2"/>
  <c r="N679" i="2"/>
  <c r="D680" i="2"/>
  <c r="I680" i="2"/>
  <c r="J680" i="2"/>
  <c r="N680" i="2"/>
  <c r="D681" i="2"/>
  <c r="I681" i="2"/>
  <c r="J681" i="2"/>
  <c r="N681" i="2"/>
  <c r="D682" i="2"/>
  <c r="I682" i="2"/>
  <c r="J682" i="2"/>
  <c r="N682" i="2"/>
  <c r="D683" i="2"/>
  <c r="I683" i="2"/>
  <c r="J683" i="2"/>
  <c r="N683" i="2"/>
  <c r="D684" i="2"/>
  <c r="I684" i="2"/>
  <c r="J684" i="2"/>
  <c r="N684" i="2"/>
  <c r="D685" i="2"/>
  <c r="I685" i="2"/>
  <c r="J685" i="2"/>
  <c r="N685" i="2"/>
  <c r="D686" i="2"/>
  <c r="I686" i="2"/>
  <c r="J686" i="2"/>
  <c r="N686" i="2"/>
  <c r="D687" i="2"/>
  <c r="I687" i="2"/>
  <c r="J687" i="2"/>
  <c r="N687" i="2"/>
  <c r="D688" i="2"/>
  <c r="I688" i="2"/>
  <c r="J688" i="2"/>
  <c r="N688" i="2"/>
  <c r="D689" i="2"/>
  <c r="I689" i="2"/>
  <c r="J689" i="2"/>
  <c r="N689" i="2"/>
  <c r="D690" i="2"/>
  <c r="I690" i="2"/>
  <c r="J690" i="2"/>
  <c r="N690" i="2"/>
  <c r="D691" i="2"/>
  <c r="I691" i="2"/>
  <c r="J691" i="2"/>
  <c r="N691" i="2"/>
  <c r="D692" i="2"/>
  <c r="I692" i="2"/>
  <c r="J692" i="2"/>
  <c r="N692" i="2"/>
  <c r="D693" i="2"/>
  <c r="I693" i="2"/>
  <c r="J693" i="2"/>
  <c r="N693" i="2"/>
  <c r="D694" i="2"/>
  <c r="I694" i="2"/>
  <c r="J694" i="2"/>
  <c r="N694" i="2"/>
  <c r="D695" i="2"/>
  <c r="I695" i="2"/>
  <c r="J695" i="2"/>
  <c r="N695" i="2"/>
  <c r="D696" i="2"/>
  <c r="I696" i="2"/>
  <c r="J696" i="2"/>
  <c r="N696" i="2"/>
  <c r="D697" i="2"/>
  <c r="I697" i="2"/>
  <c r="J697" i="2"/>
  <c r="N697" i="2"/>
  <c r="D698" i="2"/>
  <c r="I698" i="2"/>
  <c r="J698" i="2"/>
  <c r="N698" i="2"/>
  <c r="D699" i="2"/>
  <c r="I699" i="2"/>
  <c r="J699" i="2"/>
  <c r="N699" i="2"/>
  <c r="D700" i="2"/>
  <c r="I700" i="2"/>
  <c r="J700" i="2"/>
  <c r="N700" i="2"/>
  <c r="D701" i="2"/>
  <c r="I701" i="2"/>
  <c r="J701" i="2"/>
  <c r="N701" i="2"/>
  <c r="D702" i="2"/>
  <c r="I702" i="2"/>
  <c r="J702" i="2"/>
  <c r="N702" i="2"/>
  <c r="D703" i="2"/>
  <c r="I703" i="2"/>
  <c r="J703" i="2"/>
  <c r="N703" i="2"/>
  <c r="D704" i="2"/>
  <c r="I704" i="2"/>
  <c r="J704" i="2"/>
  <c r="N704" i="2"/>
  <c r="D705" i="2"/>
  <c r="I705" i="2"/>
  <c r="J705" i="2"/>
  <c r="N705" i="2"/>
  <c r="D706" i="2"/>
  <c r="I706" i="2"/>
  <c r="J706" i="2"/>
  <c r="N706" i="2"/>
  <c r="D707" i="2"/>
  <c r="I707" i="2"/>
  <c r="J707" i="2"/>
  <c r="N707" i="2"/>
  <c r="D708" i="2"/>
  <c r="I708" i="2"/>
  <c r="J708" i="2"/>
  <c r="N708" i="2"/>
  <c r="D709" i="2"/>
  <c r="I709" i="2"/>
  <c r="J709" i="2"/>
  <c r="N709" i="2"/>
  <c r="D710" i="2"/>
  <c r="I710" i="2"/>
  <c r="J710" i="2"/>
  <c r="N710" i="2"/>
  <c r="D711" i="2"/>
  <c r="I711" i="2"/>
  <c r="J711" i="2"/>
  <c r="N711" i="2"/>
  <c r="D712" i="2"/>
  <c r="I712" i="2"/>
  <c r="J712" i="2"/>
  <c r="N712" i="2"/>
  <c r="D713" i="2"/>
  <c r="I713" i="2"/>
  <c r="J713" i="2"/>
  <c r="N713" i="2"/>
  <c r="D714" i="2"/>
  <c r="I714" i="2"/>
  <c r="J714" i="2"/>
  <c r="N714" i="2"/>
  <c r="D715" i="2"/>
  <c r="I715" i="2"/>
  <c r="J715" i="2"/>
  <c r="N715" i="2"/>
  <c r="D716" i="2"/>
  <c r="I716" i="2"/>
  <c r="J716" i="2"/>
  <c r="N716" i="2"/>
  <c r="D717" i="2"/>
  <c r="I717" i="2"/>
  <c r="J717" i="2"/>
  <c r="N717" i="2"/>
  <c r="D718" i="2"/>
  <c r="I718" i="2"/>
  <c r="J718" i="2"/>
  <c r="N718" i="2"/>
  <c r="D719" i="2"/>
  <c r="I719" i="2"/>
  <c r="J719" i="2"/>
  <c r="N719" i="2"/>
  <c r="D720" i="2"/>
  <c r="I720" i="2"/>
  <c r="J720" i="2"/>
  <c r="N720" i="2"/>
  <c r="D721" i="2"/>
  <c r="I721" i="2"/>
  <c r="J721" i="2"/>
  <c r="N721" i="2"/>
  <c r="D722" i="2"/>
  <c r="I722" i="2"/>
  <c r="J722" i="2"/>
  <c r="N722" i="2"/>
  <c r="D723" i="2"/>
  <c r="I723" i="2"/>
  <c r="J723" i="2"/>
  <c r="N723" i="2"/>
  <c r="D724" i="2"/>
  <c r="I724" i="2"/>
  <c r="J724" i="2"/>
  <c r="N724" i="2"/>
  <c r="D725" i="2"/>
  <c r="I725" i="2"/>
  <c r="J725" i="2"/>
  <c r="N725" i="2"/>
  <c r="D726" i="2"/>
  <c r="I726" i="2"/>
  <c r="J726" i="2"/>
  <c r="N726" i="2"/>
  <c r="D727" i="2"/>
  <c r="I727" i="2"/>
  <c r="J727" i="2"/>
  <c r="N727" i="2"/>
  <c r="D728" i="2"/>
  <c r="I728" i="2"/>
  <c r="J728" i="2"/>
  <c r="N728" i="2"/>
  <c r="D729" i="2"/>
  <c r="I729" i="2"/>
  <c r="J729" i="2"/>
  <c r="N729" i="2"/>
  <c r="D730" i="2"/>
  <c r="I730" i="2"/>
  <c r="J730" i="2"/>
  <c r="N730" i="2"/>
  <c r="D731" i="2"/>
  <c r="I731" i="2"/>
  <c r="J731" i="2"/>
  <c r="N731" i="2"/>
  <c r="D732" i="2"/>
  <c r="I732" i="2"/>
  <c r="J732" i="2"/>
  <c r="N732" i="2"/>
  <c r="D733" i="2"/>
  <c r="I733" i="2"/>
  <c r="J733" i="2"/>
  <c r="N733" i="2"/>
  <c r="D734" i="2"/>
  <c r="I734" i="2"/>
  <c r="J734" i="2"/>
  <c r="N734" i="2"/>
  <c r="D735" i="2"/>
  <c r="I735" i="2"/>
  <c r="J735" i="2"/>
  <c r="N735" i="2"/>
  <c r="D736" i="2"/>
  <c r="I736" i="2"/>
  <c r="J736" i="2"/>
  <c r="N736" i="2"/>
  <c r="D737" i="2"/>
  <c r="I737" i="2"/>
  <c r="J737" i="2"/>
  <c r="N737" i="2"/>
  <c r="D738" i="2"/>
  <c r="I738" i="2"/>
  <c r="J738" i="2"/>
  <c r="N738" i="2"/>
  <c r="D739" i="2"/>
  <c r="I739" i="2"/>
  <c r="J739" i="2"/>
  <c r="N739" i="2"/>
  <c r="D740" i="2"/>
  <c r="I740" i="2"/>
  <c r="J740" i="2"/>
  <c r="N740" i="2"/>
  <c r="D741" i="2"/>
  <c r="I741" i="2"/>
  <c r="J741" i="2"/>
  <c r="N741" i="2"/>
  <c r="D742" i="2"/>
  <c r="I742" i="2"/>
  <c r="J742" i="2"/>
  <c r="N742" i="2"/>
  <c r="D743" i="2"/>
  <c r="I743" i="2"/>
  <c r="J743" i="2"/>
  <c r="N743" i="2"/>
  <c r="D744" i="2"/>
  <c r="I744" i="2"/>
  <c r="J744" i="2"/>
  <c r="N744" i="2"/>
  <c r="D745" i="2"/>
  <c r="I745" i="2"/>
  <c r="J745" i="2"/>
  <c r="N745" i="2"/>
  <c r="D746" i="2"/>
  <c r="I746" i="2"/>
  <c r="J746" i="2"/>
  <c r="N746" i="2"/>
  <c r="D747" i="2"/>
  <c r="I747" i="2"/>
  <c r="J747" i="2"/>
  <c r="N747" i="2"/>
  <c r="D748" i="2"/>
  <c r="I748" i="2"/>
  <c r="J748" i="2"/>
  <c r="N748" i="2"/>
  <c r="D749" i="2"/>
  <c r="I749" i="2"/>
  <c r="J749" i="2"/>
  <c r="N749" i="2"/>
  <c r="D750" i="2"/>
  <c r="I750" i="2"/>
  <c r="J750" i="2"/>
  <c r="N750" i="2"/>
  <c r="D751" i="2"/>
  <c r="I751" i="2"/>
  <c r="J751" i="2"/>
  <c r="N751" i="2"/>
  <c r="D752" i="2"/>
  <c r="I752" i="2"/>
  <c r="J752" i="2"/>
  <c r="N752" i="2"/>
  <c r="D753" i="2"/>
  <c r="I753" i="2"/>
  <c r="J753" i="2"/>
  <c r="N753" i="2"/>
  <c r="D754" i="2"/>
  <c r="I754" i="2"/>
  <c r="J754" i="2"/>
  <c r="N754" i="2"/>
  <c r="D755" i="2"/>
  <c r="I755" i="2"/>
  <c r="J755" i="2"/>
  <c r="N755" i="2"/>
  <c r="D756" i="2"/>
  <c r="I756" i="2"/>
  <c r="J756" i="2"/>
  <c r="N756" i="2"/>
  <c r="D757" i="2"/>
  <c r="I757" i="2"/>
  <c r="J757" i="2"/>
  <c r="N757" i="2"/>
  <c r="D758" i="2"/>
  <c r="I758" i="2"/>
  <c r="J758" i="2"/>
  <c r="N758" i="2"/>
  <c r="D759" i="2"/>
  <c r="I759" i="2"/>
  <c r="J759" i="2"/>
  <c r="N759" i="2"/>
  <c r="D760" i="2"/>
  <c r="I760" i="2"/>
  <c r="J760" i="2"/>
  <c r="N760" i="2"/>
  <c r="D761" i="2"/>
  <c r="I761" i="2"/>
  <c r="J761" i="2"/>
  <c r="N761" i="2"/>
  <c r="D762" i="2"/>
  <c r="I762" i="2"/>
  <c r="J762" i="2"/>
  <c r="N762" i="2"/>
  <c r="D763" i="2"/>
  <c r="I763" i="2"/>
  <c r="J763" i="2"/>
  <c r="N763" i="2"/>
  <c r="D764" i="2"/>
  <c r="I764" i="2"/>
  <c r="J764" i="2"/>
  <c r="N764" i="2"/>
  <c r="D765" i="2"/>
  <c r="I765" i="2"/>
  <c r="J765" i="2"/>
  <c r="N765" i="2"/>
  <c r="D766" i="2"/>
  <c r="I766" i="2"/>
  <c r="J766" i="2"/>
  <c r="N766" i="2"/>
  <c r="D767" i="2"/>
  <c r="I767" i="2"/>
  <c r="J767" i="2"/>
  <c r="N767" i="2"/>
  <c r="D768" i="2"/>
  <c r="I768" i="2"/>
  <c r="J768" i="2"/>
  <c r="N768" i="2"/>
  <c r="D769" i="2"/>
  <c r="I769" i="2"/>
  <c r="J769" i="2"/>
  <c r="N769" i="2"/>
  <c r="D770" i="2"/>
  <c r="I770" i="2"/>
  <c r="J770" i="2"/>
  <c r="N770" i="2"/>
  <c r="D771" i="2"/>
  <c r="I771" i="2"/>
  <c r="J771" i="2"/>
  <c r="N771" i="2"/>
  <c r="D772" i="2"/>
  <c r="I772" i="2"/>
  <c r="J772" i="2"/>
  <c r="N772" i="2"/>
  <c r="D773" i="2"/>
  <c r="I773" i="2"/>
  <c r="J773" i="2"/>
  <c r="N773" i="2"/>
  <c r="D774" i="2"/>
  <c r="I774" i="2"/>
  <c r="J774" i="2"/>
  <c r="N774" i="2"/>
  <c r="D775" i="2"/>
  <c r="I775" i="2"/>
  <c r="J775" i="2"/>
  <c r="N775" i="2"/>
  <c r="D776" i="2"/>
  <c r="I776" i="2"/>
  <c r="J776" i="2"/>
  <c r="N776" i="2"/>
  <c r="D777" i="2"/>
  <c r="I777" i="2"/>
  <c r="J777" i="2"/>
  <c r="N777" i="2"/>
  <c r="D778" i="2"/>
  <c r="I778" i="2"/>
  <c r="J778" i="2"/>
  <c r="N778" i="2"/>
  <c r="D779" i="2"/>
  <c r="I779" i="2"/>
  <c r="J779" i="2"/>
  <c r="N779" i="2"/>
  <c r="D780" i="2"/>
  <c r="I780" i="2"/>
  <c r="J780" i="2"/>
  <c r="N780" i="2"/>
  <c r="D781" i="2"/>
  <c r="I781" i="2"/>
  <c r="J781" i="2"/>
  <c r="N781" i="2"/>
  <c r="D782" i="2"/>
  <c r="I782" i="2"/>
  <c r="J782" i="2"/>
  <c r="N782" i="2"/>
  <c r="D783" i="2"/>
  <c r="I783" i="2"/>
  <c r="J783" i="2"/>
  <c r="N783" i="2"/>
  <c r="D784" i="2"/>
  <c r="I784" i="2"/>
  <c r="J784" i="2"/>
  <c r="N784" i="2"/>
  <c r="D785" i="2"/>
  <c r="I785" i="2"/>
  <c r="J785" i="2"/>
  <c r="N785" i="2"/>
  <c r="D786" i="2"/>
  <c r="I786" i="2"/>
  <c r="J786" i="2"/>
  <c r="N786" i="2"/>
  <c r="D787" i="2"/>
  <c r="I787" i="2"/>
  <c r="J787" i="2"/>
  <c r="N787" i="2"/>
  <c r="D788" i="2"/>
  <c r="I788" i="2"/>
  <c r="J788" i="2"/>
  <c r="N788" i="2"/>
  <c r="D789" i="2"/>
  <c r="I789" i="2"/>
  <c r="J789" i="2"/>
  <c r="N789" i="2"/>
  <c r="D790" i="2"/>
  <c r="I790" i="2"/>
  <c r="J790" i="2"/>
  <c r="N790" i="2"/>
  <c r="D791" i="2"/>
  <c r="I791" i="2"/>
  <c r="J791" i="2"/>
  <c r="N791" i="2"/>
  <c r="D792" i="2"/>
  <c r="I792" i="2"/>
  <c r="J792" i="2"/>
  <c r="N792" i="2"/>
  <c r="D793" i="2"/>
  <c r="I793" i="2"/>
  <c r="J793" i="2"/>
  <c r="N793" i="2"/>
  <c r="D794" i="2"/>
  <c r="I794" i="2"/>
  <c r="J794" i="2"/>
  <c r="N794" i="2"/>
  <c r="D795" i="2"/>
  <c r="I795" i="2"/>
  <c r="J795" i="2"/>
  <c r="N795" i="2"/>
  <c r="D796" i="2"/>
  <c r="I796" i="2"/>
  <c r="J796" i="2"/>
  <c r="N796" i="2"/>
  <c r="D797" i="2"/>
  <c r="I797" i="2"/>
  <c r="J797" i="2"/>
  <c r="N797" i="2"/>
  <c r="D798" i="2"/>
  <c r="I798" i="2"/>
  <c r="J798" i="2"/>
  <c r="N798" i="2"/>
  <c r="D799" i="2"/>
  <c r="I799" i="2"/>
  <c r="J799" i="2"/>
  <c r="N799" i="2"/>
  <c r="D800" i="2"/>
  <c r="I800" i="2"/>
  <c r="J800" i="2"/>
  <c r="N800" i="2"/>
  <c r="D801" i="2"/>
  <c r="I801" i="2"/>
  <c r="J801" i="2"/>
  <c r="N801" i="2"/>
  <c r="D802" i="2"/>
  <c r="I802" i="2"/>
  <c r="J802" i="2"/>
  <c r="N802" i="2"/>
  <c r="D803" i="2"/>
  <c r="I803" i="2"/>
  <c r="J803" i="2"/>
  <c r="N803" i="2"/>
  <c r="D804" i="2"/>
  <c r="I804" i="2"/>
  <c r="J804" i="2"/>
  <c r="N804" i="2"/>
  <c r="D805" i="2"/>
  <c r="I805" i="2"/>
  <c r="J805" i="2"/>
  <c r="N805" i="2"/>
  <c r="D806" i="2"/>
  <c r="I806" i="2"/>
  <c r="J806" i="2"/>
  <c r="N806" i="2"/>
  <c r="D807" i="2"/>
  <c r="I807" i="2"/>
  <c r="J807" i="2"/>
  <c r="N807" i="2"/>
  <c r="D808" i="2"/>
  <c r="I808" i="2"/>
  <c r="J808" i="2"/>
  <c r="N808" i="2"/>
  <c r="D809" i="2"/>
  <c r="I809" i="2"/>
  <c r="J809" i="2"/>
  <c r="N809" i="2"/>
  <c r="D810" i="2"/>
  <c r="I810" i="2"/>
  <c r="J810" i="2"/>
  <c r="N810" i="2"/>
  <c r="D811" i="2"/>
  <c r="I811" i="2"/>
  <c r="J811" i="2"/>
  <c r="N811" i="2"/>
  <c r="D812" i="2"/>
  <c r="I812" i="2"/>
  <c r="J812" i="2"/>
  <c r="N812" i="2"/>
  <c r="D813" i="2"/>
  <c r="I813" i="2"/>
  <c r="J813" i="2"/>
  <c r="N813" i="2"/>
  <c r="D814" i="2"/>
  <c r="I814" i="2"/>
  <c r="J814" i="2"/>
  <c r="N814" i="2"/>
  <c r="D815" i="2"/>
  <c r="I815" i="2"/>
  <c r="J815" i="2"/>
  <c r="N815" i="2"/>
  <c r="D816" i="2"/>
  <c r="I816" i="2"/>
  <c r="J816" i="2"/>
  <c r="N816" i="2"/>
  <c r="D817" i="2"/>
  <c r="I817" i="2"/>
  <c r="J817" i="2"/>
  <c r="N817" i="2"/>
  <c r="D818" i="2"/>
  <c r="I818" i="2"/>
  <c r="J818" i="2"/>
  <c r="N818" i="2"/>
  <c r="D819" i="2"/>
  <c r="I819" i="2"/>
  <c r="J819" i="2"/>
  <c r="N819" i="2"/>
  <c r="D820" i="2"/>
  <c r="I820" i="2"/>
  <c r="J820" i="2"/>
  <c r="N820" i="2"/>
  <c r="D821" i="2"/>
  <c r="I821" i="2"/>
  <c r="J821" i="2"/>
  <c r="N821" i="2"/>
  <c r="D822" i="2"/>
  <c r="I822" i="2"/>
  <c r="J822" i="2"/>
  <c r="N822" i="2"/>
  <c r="D823" i="2"/>
  <c r="I823" i="2"/>
  <c r="J823" i="2"/>
  <c r="N823" i="2"/>
  <c r="D824" i="2"/>
  <c r="I824" i="2"/>
  <c r="J824" i="2"/>
  <c r="N824" i="2"/>
  <c r="D825" i="2"/>
  <c r="I825" i="2"/>
  <c r="J825" i="2"/>
  <c r="N825" i="2"/>
  <c r="D826" i="2"/>
  <c r="I826" i="2"/>
  <c r="J826" i="2"/>
  <c r="N826" i="2"/>
  <c r="D827" i="2"/>
  <c r="I827" i="2"/>
  <c r="J827" i="2"/>
  <c r="N827" i="2"/>
  <c r="D828" i="2"/>
  <c r="I828" i="2"/>
  <c r="J828" i="2"/>
  <c r="N828" i="2"/>
  <c r="D829" i="2"/>
  <c r="I829" i="2"/>
  <c r="J829" i="2"/>
  <c r="N829" i="2"/>
  <c r="D830" i="2"/>
  <c r="I830" i="2"/>
  <c r="J830" i="2"/>
  <c r="N830" i="2"/>
  <c r="D831" i="2"/>
  <c r="I831" i="2"/>
  <c r="J831" i="2"/>
  <c r="N831" i="2"/>
  <c r="D832" i="2"/>
  <c r="I832" i="2"/>
  <c r="J832" i="2"/>
  <c r="N832" i="2"/>
  <c r="D833" i="2"/>
  <c r="I833" i="2"/>
  <c r="J833" i="2"/>
  <c r="N833" i="2"/>
  <c r="D834" i="2"/>
  <c r="I834" i="2"/>
  <c r="J834" i="2"/>
  <c r="N834" i="2"/>
  <c r="D835" i="2"/>
  <c r="I835" i="2"/>
  <c r="J835" i="2"/>
  <c r="N835" i="2"/>
  <c r="D836" i="2"/>
  <c r="I836" i="2"/>
  <c r="J836" i="2"/>
  <c r="N836" i="2"/>
  <c r="D837" i="2"/>
  <c r="I837" i="2"/>
  <c r="J837" i="2"/>
  <c r="N837" i="2"/>
  <c r="D838" i="2"/>
  <c r="I838" i="2"/>
  <c r="J838" i="2"/>
  <c r="N838" i="2"/>
  <c r="D839" i="2"/>
  <c r="I839" i="2"/>
  <c r="J839" i="2"/>
  <c r="N839" i="2"/>
  <c r="D840" i="2"/>
  <c r="I840" i="2"/>
  <c r="J840" i="2"/>
  <c r="N840" i="2"/>
  <c r="D841" i="2"/>
  <c r="I841" i="2"/>
  <c r="J841" i="2"/>
  <c r="N841" i="2"/>
  <c r="D842" i="2"/>
  <c r="I842" i="2"/>
  <c r="J842" i="2"/>
  <c r="N842" i="2"/>
  <c r="D843" i="2"/>
  <c r="I843" i="2"/>
  <c r="J843" i="2"/>
  <c r="N843" i="2"/>
  <c r="D844" i="2"/>
  <c r="I844" i="2"/>
  <c r="J844" i="2"/>
  <c r="N844" i="2"/>
  <c r="D845" i="2"/>
  <c r="I845" i="2"/>
  <c r="J845" i="2"/>
  <c r="N845" i="2"/>
  <c r="D846" i="2"/>
  <c r="I846" i="2"/>
  <c r="J846" i="2"/>
  <c r="N846" i="2"/>
  <c r="D847" i="2"/>
  <c r="I847" i="2"/>
  <c r="J847" i="2"/>
  <c r="N847" i="2"/>
  <c r="D848" i="2"/>
  <c r="I848" i="2"/>
  <c r="J848" i="2"/>
  <c r="N848" i="2"/>
  <c r="D849" i="2"/>
  <c r="I849" i="2"/>
  <c r="J849" i="2"/>
  <c r="N849" i="2"/>
  <c r="D850" i="2"/>
  <c r="I850" i="2"/>
  <c r="J850" i="2"/>
  <c r="N850" i="2"/>
  <c r="D851" i="2"/>
  <c r="I851" i="2"/>
  <c r="J851" i="2"/>
  <c r="N851" i="2"/>
  <c r="D852" i="2"/>
  <c r="I852" i="2"/>
  <c r="J852" i="2"/>
  <c r="N852" i="2"/>
  <c r="D853" i="2"/>
  <c r="I853" i="2"/>
  <c r="J853" i="2"/>
  <c r="N853" i="2"/>
  <c r="D854" i="2"/>
  <c r="I854" i="2"/>
  <c r="J854" i="2"/>
  <c r="N854" i="2"/>
  <c r="D855" i="2"/>
  <c r="I855" i="2"/>
  <c r="J855" i="2"/>
  <c r="N855" i="2"/>
  <c r="D856" i="2"/>
  <c r="I856" i="2"/>
  <c r="J856" i="2"/>
  <c r="N856" i="2"/>
  <c r="D857" i="2"/>
  <c r="I857" i="2"/>
  <c r="J857" i="2"/>
  <c r="N857" i="2"/>
  <c r="D858" i="2"/>
  <c r="I858" i="2"/>
  <c r="J858" i="2"/>
  <c r="N858" i="2"/>
  <c r="D859" i="2"/>
  <c r="I859" i="2"/>
  <c r="J859" i="2"/>
  <c r="N859" i="2"/>
  <c r="D860" i="2"/>
  <c r="I860" i="2"/>
  <c r="J860" i="2"/>
  <c r="N860" i="2"/>
  <c r="D861" i="2"/>
  <c r="I861" i="2"/>
  <c r="J861" i="2"/>
  <c r="N861" i="2"/>
  <c r="D862" i="2"/>
  <c r="I862" i="2"/>
  <c r="J862" i="2"/>
  <c r="N862" i="2"/>
  <c r="D863" i="2"/>
  <c r="I863" i="2"/>
  <c r="J863" i="2"/>
  <c r="N863" i="2"/>
  <c r="D864" i="2"/>
  <c r="I864" i="2"/>
  <c r="J864" i="2"/>
  <c r="N864" i="2"/>
  <c r="D865" i="2"/>
  <c r="I865" i="2"/>
  <c r="J865" i="2"/>
  <c r="N865" i="2"/>
  <c r="D866" i="2"/>
  <c r="I866" i="2"/>
  <c r="J866" i="2"/>
  <c r="N866" i="2"/>
  <c r="D867" i="2"/>
  <c r="I867" i="2"/>
  <c r="J867" i="2"/>
  <c r="N867" i="2"/>
  <c r="D868" i="2"/>
  <c r="I868" i="2"/>
  <c r="J868" i="2"/>
  <c r="N868" i="2"/>
  <c r="D869" i="2"/>
  <c r="I869" i="2"/>
  <c r="J869" i="2"/>
  <c r="N869" i="2"/>
  <c r="D870" i="2"/>
  <c r="I870" i="2"/>
  <c r="J870" i="2"/>
  <c r="N870" i="2"/>
  <c r="D871" i="2"/>
  <c r="I871" i="2"/>
  <c r="J871" i="2"/>
  <c r="N871" i="2"/>
  <c r="D872" i="2"/>
  <c r="I872" i="2"/>
  <c r="J872" i="2"/>
  <c r="N872" i="2"/>
  <c r="D873" i="2"/>
  <c r="I873" i="2"/>
  <c r="J873" i="2"/>
  <c r="N873" i="2"/>
  <c r="D874" i="2"/>
  <c r="I874" i="2"/>
  <c r="J874" i="2"/>
  <c r="N874" i="2"/>
  <c r="D875" i="2"/>
  <c r="I875" i="2"/>
  <c r="J875" i="2"/>
  <c r="N875" i="2"/>
  <c r="D876" i="2"/>
  <c r="I876" i="2"/>
  <c r="J876" i="2"/>
  <c r="N876" i="2"/>
  <c r="D877" i="2"/>
  <c r="I877" i="2"/>
  <c r="J877" i="2"/>
  <c r="N877" i="2"/>
  <c r="D878" i="2"/>
  <c r="I878" i="2"/>
  <c r="J878" i="2"/>
  <c r="N878" i="2"/>
  <c r="D879" i="2"/>
  <c r="I879" i="2"/>
  <c r="J879" i="2"/>
  <c r="N879" i="2"/>
  <c r="D880" i="2"/>
  <c r="I880" i="2"/>
  <c r="J880" i="2"/>
  <c r="N880" i="2"/>
  <c r="D881" i="2"/>
  <c r="I881" i="2"/>
  <c r="J881" i="2"/>
  <c r="N881" i="2"/>
  <c r="D882" i="2"/>
  <c r="I882" i="2"/>
  <c r="J882" i="2"/>
  <c r="N882" i="2"/>
  <c r="D883" i="2"/>
  <c r="I883" i="2"/>
  <c r="J883" i="2"/>
  <c r="N883" i="2"/>
  <c r="D884" i="2"/>
  <c r="I884" i="2"/>
  <c r="J884" i="2"/>
  <c r="N884" i="2"/>
  <c r="D885" i="2"/>
  <c r="I885" i="2"/>
  <c r="J885" i="2"/>
  <c r="N885" i="2"/>
  <c r="D886" i="2"/>
  <c r="I886" i="2"/>
  <c r="J886" i="2"/>
  <c r="N886" i="2"/>
  <c r="D887" i="2"/>
  <c r="I887" i="2"/>
  <c r="J887" i="2"/>
  <c r="N887" i="2"/>
  <c r="D888" i="2"/>
  <c r="I888" i="2"/>
  <c r="J888" i="2"/>
  <c r="N888" i="2"/>
  <c r="D889" i="2"/>
  <c r="I889" i="2"/>
  <c r="J889" i="2"/>
  <c r="N889" i="2"/>
  <c r="D890" i="2"/>
  <c r="I890" i="2"/>
  <c r="J890" i="2"/>
  <c r="N890" i="2"/>
  <c r="D891" i="2"/>
  <c r="I891" i="2"/>
  <c r="J891" i="2"/>
  <c r="N891" i="2"/>
  <c r="D892" i="2"/>
  <c r="I892" i="2"/>
  <c r="J892" i="2"/>
  <c r="N892" i="2"/>
  <c r="D893" i="2"/>
  <c r="I893" i="2"/>
  <c r="J893" i="2"/>
  <c r="N893" i="2"/>
  <c r="D894" i="2"/>
  <c r="I894" i="2"/>
  <c r="J894" i="2"/>
  <c r="N894" i="2"/>
  <c r="D895" i="2"/>
  <c r="I895" i="2"/>
  <c r="J895" i="2"/>
  <c r="N895" i="2"/>
  <c r="D896" i="2"/>
  <c r="I896" i="2"/>
  <c r="J896" i="2"/>
  <c r="N896" i="2"/>
  <c r="D897" i="2"/>
  <c r="I897" i="2"/>
  <c r="J897" i="2"/>
  <c r="N897" i="2"/>
  <c r="D898" i="2"/>
  <c r="I898" i="2"/>
  <c r="J898" i="2"/>
  <c r="N898" i="2"/>
  <c r="D899" i="2"/>
  <c r="I899" i="2"/>
  <c r="J899" i="2"/>
  <c r="N899" i="2"/>
  <c r="D900" i="2"/>
  <c r="I900" i="2"/>
  <c r="J900" i="2"/>
  <c r="N900" i="2"/>
  <c r="D901" i="2"/>
  <c r="I901" i="2"/>
  <c r="J901" i="2"/>
  <c r="N901" i="2"/>
  <c r="D902" i="2"/>
  <c r="I902" i="2"/>
  <c r="J902" i="2"/>
  <c r="N902" i="2"/>
  <c r="D903" i="2"/>
  <c r="I903" i="2"/>
  <c r="J903" i="2"/>
  <c r="N903" i="2"/>
  <c r="D904" i="2"/>
  <c r="I904" i="2"/>
  <c r="J904" i="2"/>
  <c r="N904" i="2"/>
  <c r="D905" i="2"/>
  <c r="I905" i="2"/>
  <c r="J905" i="2"/>
  <c r="N905" i="2"/>
  <c r="D906" i="2"/>
  <c r="I906" i="2"/>
  <c r="J906" i="2"/>
  <c r="N906" i="2"/>
  <c r="D907" i="2"/>
  <c r="I907" i="2"/>
  <c r="J907" i="2"/>
  <c r="N907" i="2"/>
  <c r="D908" i="2"/>
  <c r="I908" i="2"/>
  <c r="J908" i="2"/>
  <c r="N908" i="2"/>
  <c r="D909" i="2"/>
  <c r="I909" i="2"/>
  <c r="J909" i="2"/>
  <c r="N909" i="2"/>
  <c r="D910" i="2"/>
  <c r="I910" i="2"/>
  <c r="J910" i="2"/>
  <c r="N910" i="2"/>
  <c r="D911" i="2"/>
  <c r="I911" i="2"/>
  <c r="J911" i="2"/>
  <c r="N911" i="2"/>
  <c r="D912" i="2"/>
  <c r="I912" i="2"/>
  <c r="J912" i="2"/>
  <c r="N912" i="2"/>
  <c r="D913" i="2"/>
  <c r="I913" i="2"/>
  <c r="J913" i="2"/>
  <c r="N913" i="2"/>
  <c r="D914" i="2"/>
  <c r="I914" i="2"/>
  <c r="J914" i="2"/>
  <c r="N914" i="2"/>
  <c r="D915" i="2"/>
  <c r="I915" i="2"/>
  <c r="J915" i="2"/>
  <c r="N915" i="2"/>
  <c r="D916" i="2"/>
  <c r="I916" i="2"/>
  <c r="J916" i="2"/>
  <c r="N916" i="2"/>
  <c r="D917" i="2"/>
  <c r="I917" i="2"/>
  <c r="J917" i="2"/>
  <c r="N917" i="2"/>
  <c r="D918" i="2"/>
  <c r="I918" i="2"/>
  <c r="J918" i="2"/>
  <c r="N918" i="2"/>
  <c r="D919" i="2"/>
  <c r="I919" i="2"/>
  <c r="J919" i="2"/>
  <c r="N919" i="2"/>
  <c r="D920" i="2"/>
  <c r="I920" i="2"/>
  <c r="J920" i="2"/>
  <c r="N920" i="2"/>
  <c r="D921" i="2"/>
  <c r="I921" i="2"/>
  <c r="J921" i="2"/>
  <c r="N921" i="2"/>
  <c r="D922" i="2"/>
  <c r="I922" i="2"/>
  <c r="J922" i="2"/>
  <c r="N922" i="2"/>
  <c r="D923" i="2"/>
  <c r="I923" i="2"/>
  <c r="J923" i="2"/>
  <c r="N923" i="2"/>
  <c r="D924" i="2"/>
  <c r="I924" i="2"/>
  <c r="J924" i="2"/>
  <c r="N924" i="2"/>
  <c r="D925" i="2"/>
  <c r="I925" i="2"/>
  <c r="J925" i="2"/>
  <c r="N925" i="2"/>
  <c r="D926" i="2"/>
  <c r="I926" i="2"/>
  <c r="J926" i="2"/>
  <c r="N926" i="2"/>
  <c r="D927" i="2"/>
  <c r="I927" i="2"/>
  <c r="J927" i="2"/>
  <c r="N927" i="2"/>
  <c r="D928" i="2"/>
  <c r="I928" i="2"/>
  <c r="J928" i="2"/>
  <c r="N928" i="2"/>
  <c r="D929" i="2"/>
  <c r="I929" i="2"/>
  <c r="J929" i="2"/>
  <c r="N929" i="2"/>
  <c r="D930" i="2"/>
  <c r="I930" i="2"/>
  <c r="J930" i="2"/>
  <c r="N930" i="2"/>
  <c r="D931" i="2"/>
  <c r="I931" i="2"/>
  <c r="J931" i="2"/>
  <c r="N931" i="2"/>
  <c r="D932" i="2"/>
  <c r="I932" i="2"/>
  <c r="J932" i="2"/>
  <c r="N932" i="2"/>
  <c r="D933" i="2"/>
  <c r="I933" i="2"/>
  <c r="J933" i="2"/>
  <c r="N933" i="2"/>
  <c r="D934" i="2"/>
  <c r="I934" i="2"/>
  <c r="J934" i="2"/>
  <c r="N934" i="2"/>
  <c r="D935" i="2"/>
  <c r="I935" i="2"/>
  <c r="J935" i="2"/>
  <c r="N935" i="2"/>
  <c r="D936" i="2"/>
  <c r="I936" i="2"/>
  <c r="J936" i="2"/>
  <c r="N936" i="2"/>
  <c r="D937" i="2"/>
  <c r="I937" i="2"/>
  <c r="J937" i="2"/>
  <c r="N937" i="2"/>
  <c r="D938" i="2"/>
  <c r="I938" i="2"/>
  <c r="J938" i="2"/>
  <c r="N938" i="2"/>
  <c r="D939" i="2"/>
  <c r="I939" i="2"/>
  <c r="J939" i="2"/>
  <c r="N939" i="2"/>
  <c r="D940" i="2"/>
  <c r="I940" i="2"/>
  <c r="J940" i="2"/>
  <c r="N940" i="2"/>
  <c r="D941" i="2"/>
  <c r="I941" i="2"/>
  <c r="J941" i="2"/>
  <c r="N941" i="2"/>
  <c r="D942" i="2"/>
  <c r="I942" i="2"/>
  <c r="J942" i="2"/>
  <c r="N942" i="2"/>
  <c r="D943" i="2"/>
  <c r="I943" i="2"/>
  <c r="J943" i="2"/>
  <c r="N943" i="2"/>
  <c r="D944" i="2"/>
  <c r="I944" i="2"/>
  <c r="J944" i="2"/>
  <c r="N944" i="2"/>
  <c r="D945" i="2"/>
  <c r="I945" i="2"/>
  <c r="J945" i="2"/>
  <c r="N945" i="2"/>
  <c r="D946" i="2"/>
  <c r="I946" i="2"/>
  <c r="J946" i="2"/>
  <c r="N946" i="2"/>
  <c r="D947" i="2"/>
  <c r="I947" i="2"/>
  <c r="J947" i="2"/>
  <c r="N947" i="2"/>
  <c r="D948" i="2"/>
  <c r="I948" i="2"/>
  <c r="J948" i="2"/>
  <c r="N948" i="2"/>
  <c r="D949" i="2"/>
  <c r="I949" i="2"/>
  <c r="J949" i="2"/>
  <c r="N949" i="2"/>
  <c r="D950" i="2"/>
  <c r="I950" i="2"/>
  <c r="J950" i="2"/>
  <c r="N950" i="2"/>
  <c r="D951" i="2"/>
  <c r="I951" i="2"/>
  <c r="J951" i="2"/>
  <c r="N951" i="2"/>
  <c r="D952" i="2"/>
  <c r="I952" i="2"/>
  <c r="J952" i="2"/>
  <c r="N952" i="2"/>
  <c r="D953" i="2"/>
  <c r="I953" i="2"/>
  <c r="J953" i="2"/>
  <c r="N953" i="2"/>
  <c r="D954" i="2"/>
  <c r="I954" i="2"/>
  <c r="J954" i="2"/>
  <c r="N954" i="2"/>
  <c r="D955" i="2"/>
  <c r="I955" i="2"/>
  <c r="J955" i="2"/>
  <c r="N955" i="2"/>
  <c r="D956" i="2"/>
  <c r="I956" i="2"/>
  <c r="J956" i="2"/>
  <c r="N956" i="2"/>
  <c r="D957" i="2"/>
  <c r="I957" i="2"/>
  <c r="J957" i="2"/>
  <c r="N957" i="2"/>
  <c r="D958" i="2"/>
  <c r="I958" i="2"/>
  <c r="J958" i="2"/>
  <c r="N958" i="2"/>
  <c r="D959" i="2"/>
  <c r="I959" i="2"/>
  <c r="J959" i="2"/>
  <c r="N959" i="2"/>
  <c r="D960" i="2"/>
  <c r="I960" i="2"/>
  <c r="J960" i="2"/>
  <c r="N960" i="2"/>
  <c r="D961" i="2"/>
  <c r="I961" i="2"/>
  <c r="J961" i="2"/>
  <c r="N961" i="2"/>
  <c r="D962" i="2"/>
  <c r="I962" i="2"/>
  <c r="J962" i="2"/>
  <c r="N962" i="2"/>
  <c r="D963" i="2"/>
  <c r="I963" i="2"/>
  <c r="J963" i="2"/>
  <c r="N963" i="2"/>
  <c r="D964" i="2"/>
  <c r="I964" i="2"/>
  <c r="J964" i="2"/>
  <c r="N964" i="2"/>
  <c r="D965" i="2"/>
  <c r="I965" i="2"/>
  <c r="J965" i="2"/>
  <c r="N965" i="2"/>
  <c r="D966" i="2"/>
  <c r="I966" i="2"/>
  <c r="J966" i="2"/>
  <c r="N966" i="2"/>
  <c r="D967" i="2"/>
  <c r="I967" i="2"/>
  <c r="J967" i="2"/>
  <c r="N967" i="2"/>
  <c r="D968" i="2"/>
  <c r="I968" i="2"/>
  <c r="J968" i="2"/>
  <c r="N968" i="2"/>
  <c r="D969" i="2"/>
  <c r="I969" i="2"/>
  <c r="J969" i="2"/>
  <c r="N969" i="2"/>
  <c r="D970" i="2"/>
  <c r="I970" i="2"/>
  <c r="J970" i="2"/>
  <c r="N970" i="2"/>
  <c r="D971" i="2"/>
  <c r="I971" i="2"/>
  <c r="J971" i="2"/>
  <c r="N971" i="2"/>
  <c r="D972" i="2"/>
  <c r="I972" i="2"/>
  <c r="J972" i="2"/>
  <c r="N972" i="2"/>
  <c r="D973" i="2"/>
  <c r="I973" i="2"/>
  <c r="J973" i="2"/>
  <c r="N973" i="2"/>
  <c r="D974" i="2"/>
  <c r="I974" i="2"/>
  <c r="J974" i="2"/>
  <c r="N974" i="2"/>
  <c r="D975" i="2"/>
  <c r="I975" i="2"/>
  <c r="J975" i="2"/>
  <c r="N975" i="2"/>
  <c r="D976" i="2"/>
  <c r="I976" i="2"/>
  <c r="J976" i="2"/>
  <c r="N976" i="2"/>
  <c r="D977" i="2"/>
  <c r="I977" i="2"/>
  <c r="J977" i="2"/>
  <c r="N977" i="2"/>
  <c r="D978" i="2"/>
  <c r="I978" i="2"/>
  <c r="J978" i="2"/>
  <c r="N978" i="2"/>
  <c r="D979" i="2"/>
  <c r="I979" i="2"/>
  <c r="J979" i="2"/>
  <c r="N979" i="2"/>
  <c r="D980" i="2"/>
  <c r="I980" i="2"/>
  <c r="J980" i="2"/>
  <c r="N980" i="2"/>
  <c r="D981" i="2"/>
  <c r="I981" i="2"/>
  <c r="J981" i="2"/>
  <c r="N981" i="2"/>
  <c r="D982" i="2"/>
  <c r="I982" i="2"/>
  <c r="J982" i="2"/>
  <c r="N982" i="2"/>
  <c r="D983" i="2"/>
  <c r="I983" i="2"/>
  <c r="J983" i="2"/>
  <c r="N983" i="2"/>
  <c r="D984" i="2"/>
  <c r="I984" i="2"/>
  <c r="J984" i="2"/>
  <c r="N984" i="2"/>
  <c r="D985" i="2"/>
  <c r="I985" i="2"/>
  <c r="J985" i="2"/>
  <c r="N985" i="2"/>
  <c r="D986" i="2"/>
  <c r="I986" i="2"/>
  <c r="J986" i="2"/>
  <c r="N986" i="2"/>
  <c r="D987" i="2"/>
  <c r="I987" i="2"/>
  <c r="J987" i="2"/>
  <c r="N987" i="2"/>
  <c r="D988" i="2"/>
  <c r="I988" i="2"/>
  <c r="J988" i="2"/>
  <c r="N988" i="2"/>
  <c r="D989" i="2"/>
  <c r="I989" i="2"/>
  <c r="J989" i="2"/>
  <c r="N989" i="2"/>
  <c r="D990" i="2"/>
  <c r="I990" i="2"/>
  <c r="J990" i="2"/>
  <c r="N990" i="2"/>
  <c r="D991" i="2"/>
  <c r="I991" i="2"/>
  <c r="J991" i="2"/>
  <c r="N991" i="2"/>
  <c r="D992" i="2"/>
  <c r="I992" i="2"/>
  <c r="J992" i="2"/>
  <c r="N992" i="2"/>
  <c r="D993" i="2"/>
  <c r="I993" i="2"/>
  <c r="J993" i="2"/>
  <c r="N993" i="2"/>
  <c r="D994" i="2"/>
  <c r="I994" i="2"/>
  <c r="J994" i="2"/>
  <c r="N994" i="2"/>
  <c r="D995" i="2"/>
  <c r="I995" i="2"/>
  <c r="J995" i="2"/>
  <c r="N995" i="2"/>
  <c r="D996" i="2"/>
  <c r="I996" i="2"/>
  <c r="J996" i="2"/>
  <c r="N996" i="2"/>
  <c r="D997" i="2"/>
  <c r="I997" i="2"/>
  <c r="J997" i="2"/>
  <c r="N997" i="2"/>
  <c r="D998" i="2"/>
  <c r="I998" i="2"/>
  <c r="J998" i="2"/>
  <c r="N998" i="2"/>
  <c r="D999" i="2"/>
  <c r="I999" i="2"/>
  <c r="J999" i="2"/>
  <c r="N999" i="2"/>
  <c r="D1000" i="2"/>
  <c r="I1000" i="2"/>
  <c r="J1000" i="2"/>
  <c r="N1000" i="2"/>
  <c r="D1001" i="2"/>
  <c r="I1001" i="2"/>
  <c r="J1001" i="2"/>
  <c r="N1001" i="2"/>
  <c r="D1002" i="2"/>
  <c r="I1002" i="2"/>
  <c r="J1002" i="2"/>
  <c r="N1002" i="2"/>
  <c r="D1003" i="2"/>
  <c r="I1003" i="2"/>
  <c r="J1003" i="2"/>
  <c r="N1003" i="2"/>
  <c r="D1004" i="2"/>
  <c r="I1004" i="2"/>
  <c r="J1004" i="2"/>
  <c r="N1004" i="2"/>
  <c r="D1005" i="2"/>
  <c r="I1005" i="2"/>
  <c r="J1005" i="2"/>
  <c r="N1005" i="2"/>
  <c r="D1006" i="2"/>
  <c r="I1006" i="2"/>
  <c r="J1006" i="2"/>
  <c r="N1006" i="2"/>
  <c r="D1007" i="2"/>
  <c r="I1007" i="2"/>
  <c r="J1007" i="2"/>
  <c r="N1007" i="2"/>
  <c r="D1008" i="2"/>
  <c r="I1008" i="2"/>
  <c r="J1008" i="2"/>
  <c r="N1008" i="2"/>
  <c r="D1009" i="2"/>
  <c r="I1009" i="2"/>
  <c r="J1009" i="2"/>
  <c r="N1009" i="2"/>
  <c r="D1010" i="2"/>
  <c r="I1010" i="2"/>
  <c r="J1010" i="2"/>
  <c r="N1010" i="2"/>
  <c r="D1011" i="2"/>
  <c r="I1011" i="2"/>
  <c r="J1011" i="2"/>
  <c r="N1011" i="2"/>
  <c r="D1012" i="2"/>
  <c r="I1012" i="2"/>
  <c r="J1012" i="2"/>
  <c r="N1012" i="2"/>
  <c r="D1013" i="2"/>
  <c r="I1013" i="2"/>
  <c r="J1013" i="2"/>
  <c r="N1013" i="2"/>
  <c r="D1014" i="2"/>
  <c r="I1014" i="2"/>
  <c r="J1014" i="2"/>
  <c r="N1014" i="2"/>
  <c r="D1015" i="2"/>
  <c r="I1015" i="2"/>
  <c r="J1015" i="2"/>
  <c r="N1015" i="2"/>
  <c r="D1016" i="2"/>
  <c r="I1016" i="2"/>
  <c r="J1016" i="2"/>
  <c r="N1016" i="2"/>
  <c r="D1017" i="2"/>
  <c r="I1017" i="2"/>
  <c r="J1017" i="2"/>
  <c r="N1017" i="2"/>
  <c r="D1018" i="2"/>
  <c r="I1018" i="2"/>
  <c r="J1018" i="2"/>
  <c r="N1018" i="2"/>
  <c r="D1019" i="2"/>
  <c r="I1019" i="2"/>
  <c r="J1019" i="2"/>
  <c r="N1019" i="2"/>
  <c r="D1020" i="2"/>
  <c r="I1020" i="2"/>
  <c r="J1020" i="2"/>
  <c r="N1020" i="2"/>
  <c r="D1021" i="2"/>
  <c r="I1021" i="2"/>
  <c r="J1021" i="2"/>
  <c r="N1021" i="2"/>
  <c r="D1022" i="2"/>
  <c r="I1022" i="2"/>
  <c r="J1022" i="2"/>
  <c r="N1022" i="2"/>
  <c r="D1023" i="2"/>
  <c r="I1023" i="2"/>
  <c r="J1023" i="2"/>
  <c r="N1023" i="2"/>
  <c r="D1024" i="2"/>
  <c r="I1024" i="2"/>
  <c r="J1024" i="2"/>
  <c r="N1024" i="2"/>
  <c r="D1025" i="2"/>
  <c r="I1025" i="2"/>
  <c r="J1025" i="2"/>
  <c r="N1025" i="2"/>
  <c r="D1026" i="2"/>
  <c r="I1026" i="2"/>
  <c r="J1026" i="2"/>
  <c r="N1026" i="2"/>
  <c r="D1027" i="2"/>
  <c r="I1027" i="2"/>
  <c r="J1027" i="2"/>
  <c r="N1027" i="2"/>
  <c r="D1028" i="2"/>
  <c r="I1028" i="2"/>
  <c r="J1028" i="2"/>
  <c r="N1028" i="2"/>
  <c r="D1029" i="2"/>
  <c r="I1029" i="2"/>
  <c r="J1029" i="2"/>
  <c r="N1029" i="2"/>
  <c r="D1030" i="2"/>
  <c r="I1030" i="2"/>
  <c r="J1030" i="2"/>
  <c r="N1030" i="2"/>
  <c r="D1031" i="2"/>
  <c r="I1031" i="2"/>
  <c r="J1031" i="2"/>
  <c r="N1031" i="2"/>
  <c r="D1032" i="2"/>
  <c r="I1032" i="2"/>
  <c r="J1032" i="2"/>
  <c r="N1032" i="2"/>
  <c r="D1033" i="2"/>
  <c r="I1033" i="2"/>
  <c r="J1033" i="2"/>
  <c r="N1033" i="2"/>
  <c r="D1034" i="2"/>
  <c r="I1034" i="2"/>
  <c r="J1034" i="2"/>
  <c r="N1034" i="2"/>
  <c r="D1035" i="2"/>
  <c r="I1035" i="2"/>
  <c r="J1035" i="2"/>
  <c r="N1035" i="2"/>
  <c r="D1036" i="2"/>
  <c r="I1036" i="2"/>
  <c r="J1036" i="2"/>
  <c r="N1036" i="2"/>
  <c r="D1037" i="2"/>
  <c r="I1037" i="2"/>
  <c r="J1037" i="2"/>
  <c r="N1037" i="2"/>
  <c r="D1038" i="2"/>
  <c r="I1038" i="2"/>
  <c r="J1038" i="2"/>
  <c r="N1038" i="2"/>
  <c r="D1039" i="2"/>
  <c r="I1039" i="2"/>
  <c r="J1039" i="2"/>
  <c r="N1039" i="2"/>
  <c r="D1040" i="2"/>
  <c r="I1040" i="2"/>
  <c r="J1040" i="2"/>
  <c r="N1040" i="2"/>
  <c r="D1041" i="2"/>
  <c r="I1041" i="2"/>
  <c r="J1041" i="2"/>
  <c r="N1041" i="2"/>
  <c r="D1042" i="2"/>
  <c r="I1042" i="2"/>
  <c r="J1042" i="2"/>
  <c r="N1042" i="2"/>
  <c r="D1043" i="2"/>
  <c r="I1043" i="2"/>
  <c r="J1043" i="2"/>
  <c r="N1043" i="2"/>
  <c r="D1044" i="2"/>
  <c r="I1044" i="2"/>
  <c r="J1044" i="2"/>
  <c r="N1044" i="2"/>
  <c r="D1045" i="2"/>
  <c r="I1045" i="2"/>
  <c r="J1045" i="2"/>
  <c r="N1045" i="2"/>
  <c r="D1046" i="2"/>
  <c r="I1046" i="2"/>
  <c r="J1046" i="2"/>
  <c r="N1046" i="2"/>
  <c r="D1047" i="2"/>
  <c r="I1047" i="2"/>
  <c r="J1047" i="2"/>
  <c r="N1047" i="2"/>
  <c r="D1048" i="2"/>
  <c r="I1048" i="2"/>
  <c r="J1048" i="2"/>
  <c r="N1048" i="2"/>
  <c r="D1049" i="2"/>
  <c r="I1049" i="2"/>
  <c r="J1049" i="2"/>
  <c r="N1049" i="2"/>
  <c r="D1050" i="2"/>
  <c r="I1050" i="2"/>
  <c r="J1050" i="2"/>
  <c r="N1050" i="2"/>
  <c r="D1051" i="2"/>
  <c r="I1051" i="2"/>
  <c r="J1051" i="2"/>
  <c r="N1051" i="2"/>
  <c r="D1052" i="2"/>
  <c r="I1052" i="2"/>
  <c r="J1052" i="2"/>
  <c r="N1052" i="2"/>
  <c r="D1053" i="2"/>
  <c r="I1053" i="2"/>
  <c r="J1053" i="2"/>
  <c r="N1053" i="2"/>
  <c r="D1054" i="2"/>
  <c r="I1054" i="2"/>
  <c r="J1054" i="2"/>
  <c r="N1054" i="2"/>
  <c r="D1055" i="2"/>
  <c r="I1055" i="2"/>
  <c r="J1055" i="2"/>
  <c r="N1055" i="2"/>
  <c r="D1056" i="2"/>
  <c r="I1056" i="2"/>
  <c r="J1056" i="2"/>
  <c r="N1056" i="2"/>
  <c r="D1057" i="2"/>
  <c r="I1057" i="2"/>
  <c r="J1057" i="2"/>
  <c r="N1057" i="2"/>
  <c r="D1058" i="2"/>
  <c r="I1058" i="2"/>
  <c r="J1058" i="2"/>
  <c r="N1058" i="2"/>
  <c r="D1059" i="2"/>
  <c r="I1059" i="2"/>
  <c r="J1059" i="2"/>
  <c r="N1059" i="2"/>
  <c r="D1060" i="2"/>
  <c r="I1060" i="2"/>
  <c r="J1060" i="2"/>
  <c r="N1060" i="2"/>
  <c r="D1061" i="2"/>
  <c r="I1061" i="2"/>
  <c r="J1061" i="2"/>
  <c r="N1061" i="2"/>
  <c r="D1062" i="2"/>
  <c r="I1062" i="2"/>
  <c r="J1062" i="2"/>
  <c r="N1062" i="2"/>
  <c r="D1063" i="2"/>
  <c r="I1063" i="2"/>
  <c r="J1063" i="2"/>
  <c r="N1063" i="2"/>
  <c r="D1064" i="2"/>
  <c r="I1064" i="2"/>
  <c r="J1064" i="2"/>
  <c r="N1064" i="2"/>
  <c r="D1065" i="2"/>
  <c r="I1065" i="2"/>
  <c r="J1065" i="2"/>
  <c r="N1065" i="2"/>
  <c r="D1066" i="2"/>
  <c r="I1066" i="2"/>
  <c r="J1066" i="2"/>
  <c r="N1066" i="2"/>
  <c r="D1067" i="2"/>
  <c r="I1067" i="2"/>
  <c r="J1067" i="2"/>
  <c r="N1067" i="2"/>
  <c r="D1068" i="2"/>
  <c r="I1068" i="2"/>
  <c r="J1068" i="2"/>
  <c r="N1068" i="2"/>
  <c r="D1069" i="2"/>
  <c r="I1069" i="2"/>
  <c r="J1069" i="2"/>
  <c r="N1069" i="2"/>
  <c r="D1070" i="2"/>
  <c r="I1070" i="2"/>
  <c r="J1070" i="2"/>
  <c r="N1070" i="2"/>
  <c r="D1071" i="2"/>
  <c r="I1071" i="2"/>
  <c r="J1071" i="2"/>
  <c r="N1071" i="2"/>
  <c r="D1072" i="2"/>
  <c r="I1072" i="2"/>
  <c r="J1072" i="2"/>
  <c r="N1072" i="2"/>
  <c r="D1073" i="2"/>
  <c r="I1073" i="2"/>
  <c r="J1073" i="2"/>
  <c r="N1073" i="2"/>
  <c r="D1074" i="2"/>
  <c r="I1074" i="2"/>
  <c r="J1074" i="2"/>
  <c r="N1074" i="2"/>
  <c r="D1075" i="2"/>
  <c r="I1075" i="2"/>
  <c r="J1075" i="2"/>
  <c r="N1075" i="2"/>
  <c r="D1076" i="2"/>
  <c r="I1076" i="2"/>
  <c r="J1076" i="2"/>
  <c r="N1076" i="2"/>
  <c r="D1077" i="2"/>
  <c r="I1077" i="2"/>
  <c r="J1077" i="2"/>
  <c r="N1077" i="2"/>
  <c r="D1078" i="2"/>
  <c r="I1078" i="2"/>
  <c r="J1078" i="2"/>
  <c r="N1078" i="2"/>
  <c r="D1079" i="2"/>
  <c r="I1079" i="2"/>
  <c r="J1079" i="2"/>
  <c r="N1079" i="2"/>
  <c r="D1080" i="2"/>
  <c r="I1080" i="2"/>
  <c r="J1080" i="2"/>
  <c r="N1080" i="2"/>
  <c r="D1081" i="2"/>
  <c r="I1081" i="2"/>
  <c r="J1081" i="2"/>
  <c r="N1081" i="2"/>
  <c r="D1082" i="2"/>
  <c r="I1082" i="2"/>
  <c r="J1082" i="2"/>
  <c r="N1082" i="2"/>
  <c r="D1083" i="2"/>
  <c r="I1083" i="2"/>
  <c r="J1083" i="2"/>
  <c r="N1083" i="2"/>
  <c r="D1084" i="2"/>
  <c r="I1084" i="2"/>
  <c r="J1084" i="2"/>
  <c r="N1084" i="2"/>
  <c r="D1085" i="2"/>
  <c r="I1085" i="2"/>
  <c r="J1085" i="2"/>
  <c r="N1085" i="2"/>
  <c r="D1086" i="2"/>
  <c r="I1086" i="2"/>
  <c r="J1086" i="2"/>
  <c r="N1086" i="2"/>
  <c r="D1087" i="2"/>
  <c r="I1087" i="2"/>
  <c r="J1087" i="2"/>
  <c r="N1087" i="2"/>
  <c r="D1088" i="2"/>
  <c r="I1088" i="2"/>
  <c r="J1088" i="2"/>
  <c r="N1088" i="2"/>
  <c r="D1089" i="2"/>
  <c r="I1089" i="2"/>
  <c r="J1089" i="2"/>
  <c r="N1089" i="2"/>
  <c r="D1090" i="2"/>
  <c r="I1090" i="2"/>
  <c r="J1090" i="2"/>
  <c r="N1090" i="2"/>
  <c r="D1091" i="2"/>
  <c r="I1091" i="2"/>
  <c r="J1091" i="2"/>
  <c r="N1091" i="2"/>
  <c r="D1092" i="2"/>
  <c r="I1092" i="2"/>
  <c r="J1092" i="2"/>
  <c r="N1092" i="2"/>
  <c r="D1093" i="2"/>
  <c r="I1093" i="2"/>
  <c r="J1093" i="2"/>
  <c r="N1093" i="2"/>
  <c r="D1094" i="2"/>
  <c r="I1094" i="2"/>
  <c r="J1094" i="2"/>
  <c r="N1094" i="2"/>
  <c r="D1095" i="2"/>
  <c r="I1095" i="2"/>
  <c r="J1095" i="2"/>
  <c r="N1095" i="2"/>
  <c r="D1096" i="2"/>
  <c r="I1096" i="2"/>
  <c r="J1096" i="2"/>
  <c r="N1096" i="2"/>
  <c r="D1097" i="2"/>
  <c r="I1097" i="2"/>
  <c r="J1097" i="2"/>
  <c r="N1097" i="2"/>
  <c r="D1098" i="2"/>
  <c r="I1098" i="2"/>
  <c r="J1098" i="2"/>
  <c r="N1098" i="2"/>
  <c r="D1099" i="2"/>
  <c r="I1099" i="2"/>
  <c r="J1099" i="2"/>
  <c r="N1099" i="2"/>
  <c r="D1100" i="2"/>
  <c r="I1100" i="2"/>
  <c r="J1100" i="2"/>
  <c r="N1100" i="2"/>
  <c r="D1101" i="2"/>
  <c r="I1101" i="2"/>
  <c r="J1101" i="2"/>
  <c r="N1101" i="2"/>
  <c r="D1102" i="2"/>
  <c r="I1102" i="2"/>
  <c r="J1102" i="2"/>
  <c r="N1102" i="2"/>
  <c r="D1103" i="2"/>
  <c r="I1103" i="2"/>
  <c r="J1103" i="2"/>
  <c r="N1103" i="2"/>
  <c r="D1104" i="2"/>
  <c r="I1104" i="2"/>
  <c r="J1104" i="2"/>
  <c r="N1104" i="2"/>
  <c r="D1105" i="2"/>
  <c r="I1105" i="2"/>
  <c r="J1105" i="2"/>
  <c r="N1105" i="2"/>
  <c r="D1106" i="2"/>
  <c r="I1106" i="2"/>
  <c r="J1106" i="2"/>
  <c r="N1106" i="2"/>
  <c r="D1107" i="2"/>
  <c r="I1107" i="2"/>
  <c r="J1107" i="2"/>
  <c r="N1107" i="2"/>
  <c r="D1108" i="2"/>
  <c r="I1108" i="2"/>
  <c r="J1108" i="2"/>
  <c r="N1108" i="2"/>
  <c r="D1109" i="2"/>
  <c r="I1109" i="2"/>
  <c r="J1109" i="2"/>
  <c r="N1109" i="2"/>
  <c r="D1110" i="2"/>
  <c r="I1110" i="2"/>
  <c r="J1110" i="2"/>
  <c r="N1110" i="2"/>
  <c r="D1111" i="2"/>
  <c r="I1111" i="2"/>
  <c r="J1111" i="2"/>
  <c r="N1111" i="2"/>
  <c r="D1112" i="2"/>
  <c r="I1112" i="2"/>
  <c r="J1112" i="2"/>
  <c r="N1112" i="2"/>
  <c r="D1113" i="2"/>
  <c r="I1113" i="2"/>
  <c r="J1113" i="2"/>
  <c r="N1113" i="2"/>
  <c r="D1114" i="2"/>
  <c r="I1114" i="2"/>
  <c r="J1114" i="2"/>
  <c r="N1114" i="2"/>
  <c r="D1115" i="2"/>
  <c r="I1115" i="2"/>
  <c r="J1115" i="2"/>
  <c r="N1115" i="2"/>
  <c r="D1116" i="2"/>
  <c r="I1116" i="2"/>
  <c r="J1116" i="2"/>
  <c r="N1116" i="2"/>
  <c r="D1117" i="2"/>
  <c r="I1117" i="2"/>
  <c r="J1117" i="2"/>
  <c r="N1117" i="2"/>
  <c r="D1118" i="2"/>
  <c r="I1118" i="2"/>
  <c r="J1118" i="2"/>
  <c r="N1118" i="2"/>
  <c r="D1119" i="2"/>
  <c r="I1119" i="2"/>
  <c r="J1119" i="2"/>
  <c r="N1119" i="2"/>
  <c r="D1120" i="2"/>
  <c r="I1120" i="2"/>
  <c r="J1120" i="2"/>
  <c r="N1120" i="2"/>
  <c r="D1121" i="2"/>
  <c r="I1121" i="2"/>
  <c r="J1121" i="2"/>
  <c r="N1121" i="2"/>
  <c r="D1122" i="2"/>
  <c r="I1122" i="2"/>
  <c r="J1122" i="2"/>
  <c r="N1122" i="2"/>
  <c r="D1123" i="2"/>
  <c r="I1123" i="2"/>
  <c r="J1123" i="2"/>
  <c r="N1123" i="2"/>
  <c r="D1124" i="2"/>
  <c r="I1124" i="2"/>
  <c r="J1124" i="2"/>
  <c r="N1124" i="2"/>
  <c r="D1125" i="2"/>
  <c r="I1125" i="2"/>
  <c r="J1125" i="2"/>
  <c r="N1125" i="2"/>
  <c r="D1126" i="2"/>
  <c r="I1126" i="2"/>
  <c r="J1126" i="2"/>
  <c r="N1126" i="2"/>
  <c r="D1127" i="2"/>
  <c r="I1127" i="2"/>
  <c r="J1127" i="2"/>
  <c r="N1127" i="2"/>
  <c r="D1128" i="2"/>
  <c r="I1128" i="2"/>
  <c r="J1128" i="2"/>
  <c r="N1128" i="2"/>
  <c r="D1129" i="2"/>
  <c r="I1129" i="2"/>
  <c r="J1129" i="2"/>
  <c r="N1129" i="2"/>
  <c r="D1130" i="2"/>
  <c r="I1130" i="2"/>
  <c r="J1130" i="2"/>
  <c r="N1130" i="2"/>
  <c r="D1131" i="2"/>
  <c r="I1131" i="2"/>
  <c r="J1131" i="2"/>
  <c r="N1131" i="2"/>
  <c r="D1132" i="2"/>
  <c r="I1132" i="2"/>
  <c r="J1132" i="2"/>
  <c r="N1132" i="2"/>
  <c r="D1133" i="2"/>
  <c r="I1133" i="2"/>
  <c r="J1133" i="2"/>
  <c r="N1133" i="2"/>
  <c r="D1134" i="2"/>
  <c r="I1134" i="2"/>
  <c r="J1134" i="2"/>
  <c r="N1134" i="2"/>
  <c r="D1135" i="2"/>
  <c r="I1135" i="2"/>
  <c r="J1135" i="2"/>
  <c r="N1135" i="2"/>
  <c r="D1136" i="2"/>
  <c r="I1136" i="2"/>
  <c r="J1136" i="2"/>
  <c r="N1136" i="2"/>
  <c r="D1137" i="2"/>
  <c r="I1137" i="2"/>
  <c r="J1137" i="2"/>
  <c r="N1137" i="2"/>
  <c r="D1138" i="2"/>
  <c r="I1138" i="2"/>
  <c r="J1138" i="2"/>
  <c r="N1138" i="2"/>
  <c r="D1139" i="2"/>
  <c r="I1139" i="2"/>
  <c r="J1139" i="2"/>
  <c r="N1139" i="2"/>
  <c r="D1140" i="2"/>
  <c r="I1140" i="2"/>
  <c r="J1140" i="2"/>
  <c r="N1140" i="2"/>
  <c r="D1141" i="2"/>
  <c r="I1141" i="2"/>
  <c r="J1141" i="2"/>
  <c r="N1141" i="2"/>
  <c r="D1142" i="2"/>
  <c r="I1142" i="2"/>
  <c r="J1142" i="2"/>
  <c r="N1142" i="2"/>
  <c r="D1143" i="2"/>
  <c r="I1143" i="2"/>
  <c r="J1143" i="2"/>
  <c r="N1143" i="2"/>
  <c r="D1144" i="2"/>
  <c r="I1144" i="2"/>
  <c r="J1144" i="2"/>
  <c r="N1144" i="2"/>
  <c r="D1145" i="2"/>
  <c r="I1145" i="2"/>
  <c r="J1145" i="2"/>
  <c r="N1145" i="2"/>
  <c r="D1146" i="2"/>
  <c r="I1146" i="2"/>
  <c r="J1146" i="2"/>
  <c r="N1146" i="2"/>
  <c r="D1147" i="2"/>
  <c r="I1147" i="2"/>
  <c r="J1147" i="2"/>
  <c r="N1147" i="2"/>
  <c r="D1148" i="2"/>
  <c r="I1148" i="2"/>
  <c r="J1148" i="2"/>
  <c r="N1148" i="2"/>
  <c r="D1149" i="2"/>
  <c r="I1149" i="2"/>
  <c r="J1149" i="2"/>
  <c r="N1149" i="2"/>
  <c r="D1150" i="2"/>
  <c r="I1150" i="2"/>
  <c r="J1150" i="2"/>
  <c r="N1150" i="2"/>
  <c r="D1151" i="2"/>
  <c r="I1151" i="2"/>
  <c r="J1151" i="2"/>
  <c r="N1151" i="2"/>
  <c r="D1152" i="2"/>
  <c r="I1152" i="2"/>
  <c r="J1152" i="2"/>
  <c r="N1152" i="2"/>
  <c r="D1153" i="2"/>
  <c r="I1153" i="2"/>
  <c r="J1153" i="2"/>
  <c r="N1153" i="2"/>
  <c r="D1154" i="2"/>
  <c r="I1154" i="2"/>
  <c r="J1154" i="2"/>
  <c r="N1154" i="2"/>
  <c r="D1155" i="2"/>
  <c r="I1155" i="2"/>
  <c r="J1155" i="2"/>
  <c r="N1155" i="2"/>
  <c r="D1156" i="2"/>
  <c r="I1156" i="2"/>
  <c r="J1156" i="2"/>
  <c r="N1156" i="2"/>
  <c r="D1157" i="2"/>
  <c r="I1157" i="2"/>
  <c r="J1157" i="2"/>
  <c r="N1157" i="2"/>
  <c r="D1158" i="2"/>
  <c r="I1158" i="2"/>
  <c r="J1158" i="2"/>
  <c r="N1158" i="2"/>
  <c r="D1159" i="2"/>
  <c r="I1159" i="2"/>
  <c r="J1159" i="2"/>
  <c r="N1159" i="2"/>
  <c r="D1160" i="2"/>
  <c r="I1160" i="2"/>
  <c r="J1160" i="2"/>
  <c r="N1160" i="2"/>
  <c r="D1161" i="2"/>
  <c r="I1161" i="2"/>
  <c r="J1161" i="2"/>
  <c r="N1161" i="2"/>
  <c r="D1162" i="2"/>
  <c r="I1162" i="2"/>
  <c r="J1162" i="2"/>
  <c r="N1162" i="2"/>
  <c r="D1163" i="2"/>
  <c r="I1163" i="2"/>
  <c r="J1163" i="2"/>
  <c r="N1163" i="2"/>
  <c r="D1164" i="2"/>
  <c r="I1164" i="2"/>
  <c r="J1164" i="2"/>
  <c r="N1164" i="2"/>
  <c r="D1165" i="2"/>
  <c r="I1165" i="2"/>
  <c r="J1165" i="2"/>
  <c r="N1165" i="2"/>
  <c r="D1166" i="2"/>
  <c r="I1166" i="2"/>
  <c r="J1166" i="2"/>
  <c r="N1166" i="2"/>
  <c r="D1167" i="2"/>
  <c r="I1167" i="2"/>
  <c r="J1167" i="2"/>
  <c r="N1167" i="2"/>
  <c r="D1168" i="2"/>
  <c r="I1168" i="2"/>
  <c r="J1168" i="2"/>
  <c r="N1168" i="2"/>
  <c r="D1169" i="2"/>
  <c r="I1169" i="2"/>
  <c r="J1169" i="2"/>
  <c r="N1169" i="2"/>
  <c r="D1170" i="2"/>
  <c r="I1170" i="2"/>
  <c r="J1170" i="2"/>
  <c r="N1170" i="2"/>
  <c r="D1171" i="2"/>
  <c r="I1171" i="2"/>
  <c r="J1171" i="2"/>
  <c r="N1171" i="2"/>
  <c r="D1172" i="2"/>
  <c r="I1172" i="2"/>
  <c r="J1172" i="2"/>
  <c r="N1172" i="2"/>
  <c r="D1173" i="2"/>
  <c r="I1173" i="2"/>
  <c r="J1173" i="2"/>
  <c r="N1173" i="2"/>
  <c r="D1174" i="2"/>
  <c r="I1174" i="2"/>
  <c r="J1174" i="2"/>
  <c r="N1174" i="2"/>
  <c r="D1175" i="2"/>
  <c r="I1175" i="2"/>
  <c r="J1175" i="2"/>
  <c r="N1175" i="2"/>
  <c r="D1176" i="2"/>
  <c r="I1176" i="2"/>
  <c r="J1176" i="2"/>
  <c r="N1176" i="2"/>
  <c r="D1177" i="2"/>
  <c r="I1177" i="2"/>
  <c r="J1177" i="2"/>
  <c r="N1177" i="2"/>
  <c r="D1178" i="2"/>
  <c r="I1178" i="2"/>
  <c r="J1178" i="2"/>
  <c r="N1178" i="2"/>
  <c r="D1179" i="2"/>
  <c r="I1179" i="2"/>
  <c r="J1179" i="2"/>
  <c r="N1179" i="2"/>
  <c r="D1180" i="2"/>
  <c r="I1180" i="2"/>
  <c r="J1180" i="2"/>
  <c r="N1180" i="2"/>
  <c r="D1181" i="2"/>
  <c r="I1181" i="2"/>
  <c r="J1181" i="2"/>
  <c r="N1181" i="2"/>
  <c r="D1182" i="2"/>
  <c r="I1182" i="2"/>
  <c r="J1182" i="2"/>
  <c r="N1182" i="2"/>
  <c r="D1183" i="2"/>
  <c r="I1183" i="2"/>
  <c r="J1183" i="2"/>
  <c r="N1183" i="2"/>
  <c r="D1184" i="2"/>
  <c r="I1184" i="2"/>
  <c r="J1184" i="2"/>
  <c r="N1184" i="2"/>
  <c r="D1185" i="2"/>
  <c r="I1185" i="2"/>
  <c r="J1185" i="2"/>
  <c r="N1185" i="2"/>
  <c r="D1186" i="2"/>
  <c r="I1186" i="2"/>
  <c r="J1186" i="2"/>
  <c r="N1186" i="2"/>
  <c r="D1187" i="2"/>
  <c r="I1187" i="2"/>
  <c r="J1187" i="2"/>
  <c r="N1187" i="2"/>
  <c r="D1188" i="2"/>
  <c r="I1188" i="2"/>
  <c r="J1188" i="2"/>
  <c r="N1188" i="2"/>
  <c r="D1189" i="2"/>
  <c r="I1189" i="2"/>
  <c r="J1189" i="2"/>
  <c r="N1189" i="2"/>
  <c r="D1190" i="2"/>
  <c r="I1190" i="2"/>
  <c r="J1190" i="2"/>
  <c r="N1190" i="2"/>
  <c r="D1191" i="2"/>
  <c r="I1191" i="2"/>
  <c r="J1191" i="2"/>
  <c r="N1191" i="2"/>
  <c r="D1192" i="2"/>
  <c r="I1192" i="2"/>
  <c r="J1192" i="2"/>
  <c r="N1192" i="2"/>
  <c r="D1193" i="2"/>
  <c r="I1193" i="2"/>
  <c r="J1193" i="2"/>
  <c r="N1193" i="2"/>
  <c r="D1194" i="2"/>
  <c r="I1194" i="2"/>
  <c r="J1194" i="2"/>
  <c r="N1194" i="2"/>
  <c r="D1195" i="2"/>
  <c r="I1195" i="2"/>
  <c r="J1195" i="2"/>
  <c r="N1195" i="2"/>
  <c r="D1196" i="2"/>
  <c r="I1196" i="2"/>
  <c r="J1196" i="2"/>
  <c r="N1196" i="2"/>
  <c r="D1197" i="2"/>
  <c r="I1197" i="2"/>
  <c r="J1197" i="2"/>
  <c r="N1197" i="2"/>
  <c r="D1198" i="2"/>
  <c r="I1198" i="2"/>
  <c r="J1198" i="2"/>
  <c r="N1198" i="2"/>
  <c r="D1199" i="2"/>
  <c r="I1199" i="2"/>
  <c r="J1199" i="2"/>
  <c r="N1199" i="2"/>
  <c r="D1200" i="2"/>
  <c r="I1200" i="2"/>
  <c r="J1200" i="2"/>
  <c r="N1200" i="2"/>
  <c r="D1201" i="2"/>
  <c r="I1201" i="2"/>
  <c r="J1201" i="2"/>
  <c r="N1201" i="2"/>
  <c r="D1202" i="2"/>
  <c r="I1202" i="2"/>
  <c r="J1202" i="2"/>
  <c r="N1202" i="2"/>
  <c r="D1203" i="2"/>
  <c r="I1203" i="2"/>
  <c r="J1203" i="2"/>
  <c r="N1203" i="2"/>
  <c r="D1204" i="2"/>
  <c r="I1204" i="2"/>
  <c r="J1204" i="2"/>
  <c r="N1204" i="2"/>
  <c r="D1205" i="2"/>
  <c r="I1205" i="2"/>
  <c r="J1205" i="2"/>
  <c r="N1205" i="2"/>
  <c r="D1206" i="2"/>
  <c r="I1206" i="2"/>
  <c r="J1206" i="2"/>
  <c r="N1206" i="2"/>
  <c r="D1207" i="2"/>
  <c r="I1207" i="2"/>
  <c r="J1207" i="2"/>
  <c r="N1207" i="2"/>
  <c r="D1208" i="2"/>
  <c r="I1208" i="2"/>
  <c r="J1208" i="2"/>
  <c r="N1208" i="2"/>
  <c r="D1209" i="2"/>
  <c r="I1209" i="2"/>
  <c r="J1209" i="2"/>
  <c r="N1209" i="2"/>
  <c r="D1210" i="2"/>
  <c r="I1210" i="2"/>
  <c r="J1210" i="2"/>
  <c r="N1210" i="2"/>
  <c r="D1211" i="2"/>
  <c r="I1211" i="2"/>
  <c r="J1211" i="2"/>
  <c r="N1211" i="2"/>
  <c r="D1212" i="2"/>
  <c r="I1212" i="2"/>
  <c r="J1212" i="2"/>
  <c r="N1212" i="2"/>
  <c r="D1213" i="2"/>
  <c r="I1213" i="2"/>
  <c r="J1213" i="2"/>
  <c r="N1213" i="2"/>
  <c r="D1214" i="2"/>
  <c r="I1214" i="2"/>
  <c r="J1214" i="2"/>
  <c r="N1214" i="2"/>
  <c r="D1215" i="2"/>
  <c r="I1215" i="2"/>
  <c r="J1215" i="2"/>
  <c r="N1215" i="2"/>
  <c r="D1216" i="2"/>
  <c r="I1216" i="2"/>
  <c r="J1216" i="2"/>
  <c r="N1216" i="2"/>
  <c r="D1217" i="2"/>
  <c r="I1217" i="2"/>
  <c r="J1217" i="2"/>
  <c r="N1217" i="2"/>
  <c r="D1218" i="2"/>
  <c r="I1218" i="2"/>
  <c r="J1218" i="2"/>
  <c r="N1218" i="2"/>
  <c r="D1219" i="2"/>
  <c r="I1219" i="2"/>
  <c r="J1219" i="2"/>
  <c r="N1219" i="2"/>
  <c r="D1220" i="2"/>
  <c r="I1220" i="2"/>
  <c r="J1220" i="2"/>
  <c r="N1220" i="2"/>
  <c r="D1221" i="2"/>
  <c r="I1221" i="2"/>
  <c r="J1221" i="2"/>
  <c r="N1221" i="2"/>
  <c r="D1222" i="2"/>
  <c r="I1222" i="2"/>
  <c r="J1222" i="2"/>
  <c r="N1222" i="2"/>
  <c r="D1223" i="2"/>
  <c r="I1223" i="2"/>
  <c r="J1223" i="2"/>
  <c r="N1223" i="2"/>
  <c r="D1224" i="2"/>
  <c r="I1224" i="2"/>
  <c r="J1224" i="2"/>
  <c r="N1224" i="2"/>
  <c r="D1225" i="2"/>
  <c r="I1225" i="2"/>
  <c r="J1225" i="2"/>
  <c r="N1225" i="2"/>
  <c r="D1226" i="2"/>
  <c r="I1226" i="2"/>
  <c r="J1226" i="2"/>
  <c r="N1226" i="2"/>
  <c r="D1227" i="2"/>
  <c r="I1227" i="2"/>
  <c r="J1227" i="2"/>
  <c r="N1227" i="2"/>
  <c r="D1228" i="2"/>
  <c r="I1228" i="2"/>
  <c r="J1228" i="2"/>
  <c r="N1228" i="2"/>
  <c r="D1229" i="2"/>
  <c r="I1229" i="2"/>
  <c r="J1229" i="2"/>
  <c r="N1229" i="2"/>
  <c r="D1230" i="2"/>
  <c r="I1230" i="2"/>
  <c r="J1230" i="2"/>
  <c r="N1230" i="2"/>
  <c r="D1231" i="2"/>
  <c r="I1231" i="2"/>
  <c r="J1231" i="2"/>
  <c r="N1231" i="2"/>
  <c r="D1232" i="2"/>
  <c r="I1232" i="2"/>
  <c r="J1232" i="2"/>
  <c r="N1232" i="2"/>
  <c r="D1233" i="2"/>
  <c r="I1233" i="2"/>
  <c r="J1233" i="2"/>
  <c r="N1233" i="2"/>
  <c r="D1234" i="2"/>
  <c r="I1234" i="2"/>
  <c r="J1234" i="2"/>
  <c r="N1234" i="2"/>
  <c r="D1235" i="2"/>
  <c r="I1235" i="2"/>
  <c r="J1235" i="2"/>
  <c r="N1235" i="2"/>
  <c r="D1236" i="2"/>
  <c r="I1236" i="2"/>
  <c r="J1236" i="2"/>
  <c r="N1236" i="2"/>
  <c r="D1237" i="2"/>
  <c r="I1237" i="2"/>
  <c r="J1237" i="2"/>
  <c r="N1237" i="2"/>
  <c r="D1238" i="2"/>
  <c r="I1238" i="2"/>
  <c r="J1238" i="2"/>
  <c r="N1238" i="2"/>
  <c r="D1239" i="2"/>
  <c r="I1239" i="2"/>
  <c r="J1239" i="2"/>
  <c r="N1239" i="2"/>
  <c r="D1240" i="2"/>
  <c r="I1240" i="2"/>
  <c r="J1240" i="2"/>
  <c r="N1240" i="2"/>
  <c r="D1241" i="2"/>
  <c r="I1241" i="2"/>
  <c r="J1241" i="2"/>
  <c r="N1241" i="2"/>
  <c r="D1242" i="2"/>
  <c r="I1242" i="2"/>
  <c r="J1242" i="2"/>
  <c r="N1242" i="2"/>
  <c r="D1243" i="2"/>
  <c r="I1243" i="2"/>
  <c r="J1243" i="2"/>
  <c r="N1243" i="2"/>
  <c r="D1244" i="2"/>
  <c r="I1244" i="2"/>
  <c r="J1244" i="2"/>
  <c r="N1244" i="2"/>
  <c r="D1245" i="2"/>
  <c r="I1245" i="2"/>
  <c r="J1245" i="2"/>
  <c r="N1245" i="2"/>
  <c r="D1246" i="2"/>
  <c r="I1246" i="2"/>
  <c r="J1246" i="2"/>
  <c r="N1246" i="2"/>
  <c r="D1247" i="2"/>
  <c r="I1247" i="2"/>
  <c r="J1247" i="2"/>
  <c r="N1247" i="2"/>
  <c r="D1248" i="2"/>
  <c r="I1248" i="2"/>
  <c r="J1248" i="2"/>
  <c r="N1248" i="2"/>
  <c r="D1249" i="2"/>
  <c r="I1249" i="2"/>
  <c r="J1249" i="2"/>
  <c r="N1249" i="2"/>
  <c r="D1250" i="2"/>
  <c r="I1250" i="2"/>
  <c r="J1250" i="2"/>
  <c r="N1250" i="2"/>
  <c r="D1251" i="2"/>
  <c r="I1251" i="2"/>
  <c r="J1251" i="2"/>
  <c r="N1251" i="2"/>
  <c r="D1252" i="2"/>
  <c r="I1252" i="2"/>
  <c r="J1252" i="2"/>
  <c r="N1252" i="2"/>
  <c r="D1253" i="2"/>
  <c r="I1253" i="2"/>
  <c r="J1253" i="2"/>
  <c r="N1253" i="2"/>
  <c r="D1254" i="2"/>
  <c r="I1254" i="2"/>
  <c r="J1254" i="2"/>
  <c r="N1254" i="2"/>
  <c r="D1255" i="2"/>
  <c r="I1255" i="2"/>
  <c r="J1255" i="2"/>
  <c r="N1255" i="2"/>
  <c r="D1256" i="2"/>
  <c r="I1256" i="2"/>
  <c r="J1256" i="2"/>
  <c r="N1256" i="2"/>
  <c r="D1257" i="2"/>
  <c r="I1257" i="2"/>
  <c r="J1257" i="2"/>
  <c r="N1257" i="2"/>
  <c r="D1258" i="2"/>
  <c r="I1258" i="2"/>
  <c r="J1258" i="2"/>
  <c r="N1258" i="2"/>
  <c r="D1259" i="2"/>
  <c r="I1259" i="2"/>
  <c r="J1259" i="2"/>
  <c r="N1259" i="2"/>
  <c r="D1260" i="2"/>
  <c r="I1260" i="2"/>
  <c r="J1260" i="2"/>
  <c r="N1260" i="2"/>
  <c r="D1261" i="2"/>
  <c r="I1261" i="2"/>
  <c r="J1261" i="2"/>
  <c r="N1261" i="2"/>
  <c r="D1262" i="2"/>
  <c r="I1262" i="2"/>
  <c r="J1262" i="2"/>
  <c r="N1262" i="2"/>
  <c r="D1263" i="2"/>
  <c r="I1263" i="2"/>
  <c r="J1263" i="2"/>
  <c r="N1263" i="2"/>
  <c r="D1264" i="2"/>
  <c r="I1264" i="2"/>
  <c r="J1264" i="2"/>
  <c r="N1264" i="2"/>
  <c r="D1265" i="2"/>
  <c r="I1265" i="2"/>
  <c r="J1265" i="2"/>
  <c r="N1265" i="2"/>
  <c r="D1266" i="2"/>
  <c r="I1266" i="2"/>
  <c r="J1266" i="2"/>
  <c r="N1266" i="2"/>
  <c r="D1267" i="2"/>
  <c r="I1267" i="2"/>
  <c r="J1267" i="2"/>
  <c r="N1267" i="2"/>
  <c r="D1268" i="2"/>
  <c r="I1268" i="2"/>
  <c r="J1268" i="2"/>
  <c r="N1268" i="2"/>
  <c r="D1269" i="2"/>
  <c r="I1269" i="2"/>
  <c r="J1269" i="2"/>
  <c r="N1269" i="2"/>
  <c r="D1270" i="2"/>
  <c r="I1270" i="2"/>
  <c r="J1270" i="2"/>
  <c r="N1270" i="2"/>
  <c r="D1271" i="2"/>
  <c r="I1271" i="2"/>
  <c r="J1271" i="2"/>
  <c r="N1271" i="2"/>
  <c r="D1272" i="2"/>
  <c r="I1272" i="2"/>
  <c r="J1272" i="2"/>
  <c r="N1272" i="2"/>
  <c r="D1273" i="2"/>
  <c r="I1273" i="2"/>
  <c r="J1273" i="2"/>
  <c r="N1273" i="2"/>
  <c r="D1274" i="2"/>
  <c r="I1274" i="2"/>
  <c r="J1274" i="2"/>
  <c r="N1274" i="2"/>
  <c r="D1275" i="2"/>
  <c r="I1275" i="2"/>
  <c r="J1275" i="2"/>
  <c r="N1275" i="2"/>
  <c r="D1276" i="2"/>
  <c r="I1276" i="2"/>
  <c r="J1276" i="2"/>
  <c r="N1276" i="2"/>
  <c r="D1277" i="2"/>
  <c r="I1277" i="2"/>
  <c r="J1277" i="2"/>
  <c r="N1277" i="2"/>
  <c r="D1278" i="2"/>
  <c r="I1278" i="2"/>
  <c r="J1278" i="2"/>
  <c r="N1278" i="2"/>
  <c r="D1279" i="2"/>
  <c r="I1279" i="2"/>
  <c r="J1279" i="2"/>
  <c r="N1279" i="2"/>
  <c r="D1280" i="2"/>
  <c r="I1280" i="2"/>
  <c r="J1280" i="2"/>
  <c r="N1280" i="2"/>
  <c r="D1281" i="2"/>
  <c r="I1281" i="2"/>
  <c r="J1281" i="2"/>
  <c r="N1281" i="2"/>
  <c r="D1282" i="2"/>
  <c r="I1282" i="2"/>
  <c r="J1282" i="2"/>
  <c r="N1282" i="2"/>
  <c r="D1283" i="2"/>
  <c r="I1283" i="2"/>
  <c r="J1283" i="2"/>
  <c r="N1283" i="2"/>
  <c r="D1284" i="2"/>
  <c r="I1284" i="2"/>
  <c r="J1284" i="2"/>
  <c r="N1284" i="2"/>
  <c r="D1285" i="2"/>
  <c r="I1285" i="2"/>
  <c r="J1285" i="2"/>
  <c r="N1285" i="2"/>
  <c r="D1286" i="2"/>
  <c r="I1286" i="2"/>
  <c r="J1286" i="2"/>
  <c r="N1286" i="2"/>
  <c r="D1287" i="2"/>
  <c r="I1287" i="2"/>
  <c r="J1287" i="2"/>
  <c r="N1287" i="2"/>
  <c r="D1288" i="2"/>
  <c r="I1288" i="2"/>
  <c r="J1288" i="2"/>
  <c r="N1288" i="2"/>
  <c r="D1289" i="2"/>
  <c r="I1289" i="2"/>
  <c r="J1289" i="2"/>
  <c r="N1289" i="2"/>
  <c r="D1290" i="2"/>
  <c r="I1290" i="2"/>
  <c r="J1290" i="2"/>
  <c r="N1290" i="2"/>
  <c r="D1291" i="2"/>
  <c r="I1291" i="2"/>
  <c r="J1291" i="2"/>
  <c r="N1291" i="2"/>
  <c r="D1292" i="2"/>
  <c r="I1292" i="2"/>
  <c r="J1292" i="2"/>
  <c r="N1292" i="2"/>
  <c r="D1293" i="2"/>
  <c r="I1293" i="2"/>
  <c r="J1293" i="2"/>
  <c r="N1293" i="2"/>
  <c r="D1294" i="2"/>
  <c r="I1294" i="2"/>
  <c r="J1294" i="2"/>
  <c r="N1294" i="2"/>
  <c r="D1295" i="2"/>
  <c r="I1295" i="2"/>
  <c r="J1295" i="2"/>
  <c r="N1295" i="2"/>
  <c r="D1296" i="2"/>
  <c r="I1296" i="2"/>
  <c r="J1296" i="2"/>
  <c r="N1296" i="2"/>
  <c r="D1297" i="2"/>
  <c r="I1297" i="2"/>
  <c r="J1297" i="2"/>
  <c r="N1297" i="2"/>
  <c r="D1298" i="2"/>
  <c r="I1298" i="2"/>
  <c r="J1298" i="2"/>
  <c r="N1298" i="2"/>
  <c r="D1299" i="2"/>
  <c r="I1299" i="2"/>
  <c r="J1299" i="2"/>
  <c r="N1299" i="2"/>
  <c r="D1300" i="2"/>
  <c r="I1300" i="2"/>
  <c r="J1300" i="2"/>
  <c r="N1300" i="2"/>
  <c r="D1301" i="2"/>
  <c r="I1301" i="2"/>
  <c r="J1301" i="2"/>
  <c r="N1301" i="2"/>
  <c r="D1302" i="2"/>
  <c r="I1302" i="2"/>
  <c r="J1302" i="2"/>
  <c r="N1302" i="2"/>
  <c r="D1303" i="2"/>
  <c r="I1303" i="2"/>
  <c r="J1303" i="2"/>
  <c r="N1303" i="2"/>
  <c r="D1304" i="2"/>
  <c r="I1304" i="2"/>
  <c r="J1304" i="2"/>
  <c r="N1304" i="2"/>
  <c r="D1305" i="2"/>
  <c r="I1305" i="2"/>
  <c r="J1305" i="2"/>
  <c r="N1305" i="2"/>
  <c r="D1306" i="2"/>
  <c r="I1306" i="2"/>
  <c r="J1306" i="2"/>
  <c r="N1306" i="2"/>
  <c r="D1307" i="2"/>
  <c r="I1307" i="2"/>
  <c r="J1307" i="2"/>
  <c r="N1307" i="2"/>
  <c r="D1308" i="2"/>
  <c r="I1308" i="2"/>
  <c r="J1308" i="2"/>
  <c r="N1308" i="2"/>
  <c r="D1309" i="2"/>
  <c r="I1309" i="2"/>
  <c r="J1309" i="2"/>
  <c r="N1309" i="2"/>
  <c r="D1310" i="2"/>
  <c r="I1310" i="2"/>
  <c r="J1310" i="2"/>
  <c r="N1310" i="2"/>
  <c r="D1311" i="2"/>
  <c r="I1311" i="2"/>
  <c r="J1311" i="2"/>
  <c r="N1311" i="2"/>
  <c r="D1312" i="2"/>
  <c r="I1312" i="2"/>
  <c r="J1312" i="2"/>
  <c r="N1312" i="2"/>
  <c r="D1313" i="2"/>
  <c r="I1313" i="2"/>
  <c r="J1313" i="2"/>
  <c r="N1313" i="2"/>
  <c r="D1314" i="2"/>
  <c r="I1314" i="2"/>
  <c r="J1314" i="2"/>
  <c r="N1314" i="2"/>
  <c r="D1315" i="2"/>
  <c r="I1315" i="2"/>
  <c r="J1315" i="2"/>
  <c r="N1315" i="2"/>
  <c r="D1316" i="2"/>
  <c r="I1316" i="2"/>
  <c r="J1316" i="2"/>
  <c r="N1316" i="2"/>
  <c r="D1317" i="2"/>
  <c r="I1317" i="2"/>
  <c r="J1317" i="2"/>
  <c r="N1317" i="2"/>
  <c r="D1318" i="2"/>
  <c r="I1318" i="2"/>
  <c r="J1318" i="2"/>
  <c r="N1318" i="2"/>
  <c r="D1319" i="2"/>
  <c r="I1319" i="2"/>
  <c r="J1319" i="2"/>
  <c r="N1319" i="2"/>
  <c r="D1320" i="2"/>
  <c r="I1320" i="2"/>
  <c r="J1320" i="2"/>
  <c r="N1320" i="2"/>
  <c r="D1321" i="2"/>
  <c r="I1321" i="2"/>
  <c r="J1321" i="2"/>
  <c r="N1321" i="2"/>
  <c r="D1322" i="2"/>
  <c r="I1322" i="2"/>
  <c r="J1322" i="2"/>
  <c r="N1322" i="2"/>
  <c r="D1323" i="2"/>
  <c r="I1323" i="2"/>
  <c r="J1323" i="2"/>
  <c r="N1323" i="2"/>
  <c r="D1324" i="2"/>
  <c r="I1324" i="2"/>
  <c r="J1324" i="2"/>
  <c r="N1324" i="2"/>
  <c r="D1325" i="2"/>
  <c r="I1325" i="2"/>
  <c r="J1325" i="2"/>
  <c r="N1325" i="2"/>
  <c r="D1326" i="2"/>
  <c r="I1326" i="2"/>
  <c r="J1326" i="2"/>
  <c r="N1326" i="2"/>
  <c r="D1327" i="2"/>
  <c r="I1327" i="2"/>
  <c r="J1327" i="2"/>
  <c r="N1327" i="2"/>
  <c r="D1328" i="2"/>
  <c r="I1328" i="2"/>
  <c r="J1328" i="2"/>
  <c r="N1328" i="2"/>
  <c r="D1329" i="2"/>
  <c r="I1329" i="2"/>
  <c r="J1329" i="2"/>
  <c r="N1329" i="2"/>
  <c r="D1330" i="2"/>
  <c r="I1330" i="2"/>
  <c r="J1330" i="2"/>
  <c r="N1330" i="2"/>
  <c r="D1331" i="2"/>
  <c r="I1331" i="2"/>
  <c r="J1331" i="2"/>
  <c r="N1331" i="2"/>
  <c r="D1332" i="2"/>
  <c r="I1332" i="2"/>
  <c r="J1332" i="2"/>
  <c r="N1332" i="2"/>
  <c r="D1333" i="2"/>
  <c r="I1333" i="2"/>
  <c r="J1333" i="2"/>
  <c r="N1333" i="2"/>
  <c r="D1334" i="2"/>
  <c r="I1334" i="2"/>
  <c r="J1334" i="2"/>
  <c r="N1334" i="2"/>
  <c r="D1335" i="2"/>
  <c r="I1335" i="2"/>
  <c r="J1335" i="2"/>
  <c r="N1335" i="2"/>
  <c r="D1336" i="2"/>
  <c r="I1336" i="2"/>
  <c r="J1336" i="2"/>
  <c r="N1336" i="2"/>
  <c r="D1337" i="2"/>
  <c r="I1337" i="2"/>
  <c r="J1337" i="2"/>
  <c r="N1337" i="2"/>
  <c r="D1338" i="2"/>
  <c r="I1338" i="2"/>
  <c r="J1338" i="2"/>
  <c r="N1338" i="2"/>
  <c r="D1339" i="2"/>
  <c r="I1339" i="2"/>
  <c r="J1339" i="2"/>
  <c r="N1339" i="2"/>
  <c r="D1340" i="2"/>
  <c r="I1340" i="2"/>
  <c r="J1340" i="2"/>
  <c r="N1340" i="2"/>
  <c r="D1341" i="2"/>
  <c r="I1341" i="2"/>
  <c r="J1341" i="2"/>
  <c r="N1341" i="2"/>
  <c r="D1342" i="2"/>
  <c r="I1342" i="2"/>
  <c r="J1342" i="2"/>
  <c r="N1342" i="2"/>
  <c r="D1343" i="2"/>
  <c r="I1343" i="2"/>
  <c r="J1343" i="2"/>
  <c r="N1343" i="2"/>
  <c r="D1344" i="2"/>
  <c r="I1344" i="2"/>
  <c r="J1344" i="2"/>
  <c r="N1344" i="2"/>
  <c r="D1345" i="2"/>
  <c r="I1345" i="2"/>
  <c r="J1345" i="2"/>
  <c r="N1345" i="2"/>
  <c r="D1346" i="2"/>
  <c r="I1346" i="2"/>
  <c r="J1346" i="2"/>
  <c r="N1346" i="2"/>
  <c r="D1347" i="2"/>
  <c r="I1347" i="2"/>
  <c r="J1347" i="2"/>
  <c r="N1347" i="2"/>
  <c r="D1348" i="2"/>
  <c r="I1348" i="2"/>
  <c r="J1348" i="2"/>
  <c r="N1348" i="2"/>
  <c r="D1349" i="2"/>
  <c r="I1349" i="2"/>
  <c r="J1349" i="2"/>
  <c r="N1349" i="2"/>
  <c r="D1350" i="2"/>
  <c r="I1350" i="2"/>
  <c r="J1350" i="2"/>
  <c r="N1350" i="2"/>
  <c r="D1351" i="2"/>
  <c r="I1351" i="2"/>
  <c r="J1351" i="2"/>
  <c r="N1351" i="2"/>
  <c r="D1352" i="2"/>
  <c r="I1352" i="2"/>
  <c r="J1352" i="2"/>
  <c r="N1352" i="2"/>
  <c r="D1353" i="2"/>
  <c r="I1353" i="2"/>
  <c r="J1353" i="2"/>
  <c r="N1353" i="2"/>
  <c r="D1354" i="2"/>
  <c r="I1354" i="2"/>
  <c r="J1354" i="2"/>
  <c r="N1354" i="2"/>
  <c r="D1355" i="2"/>
  <c r="I1355" i="2"/>
  <c r="J1355" i="2"/>
  <c r="N1355" i="2"/>
  <c r="D1356" i="2"/>
  <c r="I1356" i="2"/>
  <c r="J1356" i="2"/>
  <c r="N1356" i="2"/>
  <c r="D1357" i="2"/>
  <c r="I1357" i="2"/>
  <c r="J1357" i="2"/>
  <c r="N1357" i="2"/>
  <c r="D1358" i="2"/>
  <c r="I1358" i="2"/>
  <c r="J1358" i="2"/>
  <c r="N1358" i="2"/>
  <c r="D1359" i="2"/>
  <c r="I1359" i="2"/>
  <c r="J1359" i="2"/>
  <c r="N1359" i="2"/>
  <c r="D1360" i="2"/>
  <c r="I1360" i="2"/>
  <c r="J1360" i="2"/>
  <c r="N1360" i="2"/>
  <c r="D1361" i="2"/>
  <c r="I1361" i="2"/>
  <c r="J1361" i="2"/>
  <c r="N1361" i="2"/>
  <c r="D1362" i="2"/>
  <c r="I1362" i="2"/>
  <c r="J1362" i="2"/>
  <c r="N1362" i="2"/>
  <c r="D1363" i="2"/>
  <c r="I1363" i="2"/>
  <c r="J1363" i="2"/>
  <c r="N1363" i="2"/>
  <c r="D1364" i="2"/>
  <c r="I1364" i="2"/>
  <c r="J1364" i="2"/>
  <c r="N1364" i="2"/>
  <c r="D1365" i="2"/>
  <c r="I1365" i="2"/>
  <c r="J1365" i="2"/>
  <c r="N1365" i="2"/>
  <c r="D1366" i="2"/>
  <c r="I1366" i="2"/>
  <c r="J1366" i="2"/>
  <c r="N1366" i="2"/>
  <c r="D1367" i="2"/>
  <c r="I1367" i="2"/>
  <c r="J1367" i="2"/>
  <c r="N1367" i="2"/>
  <c r="D1368" i="2"/>
  <c r="I1368" i="2"/>
  <c r="J1368" i="2"/>
  <c r="N1368" i="2"/>
  <c r="D1369" i="2"/>
  <c r="I1369" i="2"/>
  <c r="J1369" i="2"/>
  <c r="N1369" i="2"/>
  <c r="D1370" i="2"/>
  <c r="I1370" i="2"/>
  <c r="J1370" i="2"/>
  <c r="N1370" i="2"/>
  <c r="D1371" i="2"/>
  <c r="I1371" i="2"/>
  <c r="J1371" i="2"/>
  <c r="N1371" i="2"/>
  <c r="D1372" i="2"/>
  <c r="I1372" i="2"/>
  <c r="J1372" i="2"/>
  <c r="N1372" i="2"/>
  <c r="D1373" i="2"/>
  <c r="I1373" i="2"/>
  <c r="J1373" i="2"/>
  <c r="N1373" i="2"/>
  <c r="D1374" i="2"/>
  <c r="I1374" i="2"/>
  <c r="J1374" i="2"/>
  <c r="N1374" i="2"/>
  <c r="D1375" i="2"/>
  <c r="I1375" i="2"/>
  <c r="J1375" i="2"/>
  <c r="N1375" i="2"/>
  <c r="D1376" i="2"/>
  <c r="I1376" i="2"/>
  <c r="J1376" i="2"/>
  <c r="N1376" i="2"/>
  <c r="D1377" i="2"/>
  <c r="I1377" i="2"/>
  <c r="J1377" i="2"/>
  <c r="N1377" i="2"/>
  <c r="D1378" i="2"/>
  <c r="I1378" i="2"/>
  <c r="J1378" i="2"/>
  <c r="N1378" i="2"/>
  <c r="D1379" i="2"/>
  <c r="I1379" i="2"/>
  <c r="J1379" i="2"/>
  <c r="N1379" i="2"/>
  <c r="D1380" i="2"/>
  <c r="I1380" i="2"/>
  <c r="J1380" i="2"/>
  <c r="N1380" i="2"/>
  <c r="D1381" i="2"/>
  <c r="I1381" i="2"/>
  <c r="J1381" i="2"/>
  <c r="N1381" i="2"/>
  <c r="D1382" i="2"/>
  <c r="I1382" i="2"/>
  <c r="J1382" i="2"/>
  <c r="N1382" i="2"/>
  <c r="D1383" i="2"/>
  <c r="I1383" i="2"/>
  <c r="J1383" i="2"/>
  <c r="N1383" i="2"/>
  <c r="D1384" i="2"/>
  <c r="I1384" i="2"/>
  <c r="J1384" i="2"/>
  <c r="N1384" i="2"/>
  <c r="D1385" i="2"/>
  <c r="I1385" i="2"/>
  <c r="J1385" i="2"/>
  <c r="N1385" i="2"/>
  <c r="D1386" i="2"/>
  <c r="I1386" i="2"/>
  <c r="J1386" i="2"/>
  <c r="N1386" i="2"/>
  <c r="D1387" i="2"/>
  <c r="I1387" i="2"/>
  <c r="J1387" i="2"/>
  <c r="N1387" i="2"/>
  <c r="D1388" i="2"/>
  <c r="I1388" i="2"/>
  <c r="J1388" i="2"/>
  <c r="N1388" i="2"/>
  <c r="D1389" i="2"/>
  <c r="I1389" i="2"/>
  <c r="J1389" i="2"/>
  <c r="N1389" i="2"/>
  <c r="D1390" i="2"/>
  <c r="I1390" i="2"/>
  <c r="J1390" i="2"/>
  <c r="N1390" i="2"/>
  <c r="D1391" i="2"/>
  <c r="I1391" i="2"/>
  <c r="J1391" i="2"/>
  <c r="N1391" i="2"/>
  <c r="D1392" i="2"/>
  <c r="I1392" i="2"/>
  <c r="J1392" i="2"/>
  <c r="N1392" i="2"/>
  <c r="D1393" i="2"/>
  <c r="I1393" i="2"/>
  <c r="J1393" i="2"/>
  <c r="N1393" i="2"/>
  <c r="D1394" i="2"/>
  <c r="I1394" i="2"/>
  <c r="J1394" i="2"/>
  <c r="N1394" i="2"/>
  <c r="D1395" i="2"/>
  <c r="I1395" i="2"/>
  <c r="J1395" i="2"/>
  <c r="N1395" i="2"/>
  <c r="D1396" i="2"/>
  <c r="I1396" i="2"/>
  <c r="J1396" i="2"/>
  <c r="N1396" i="2"/>
  <c r="D1397" i="2"/>
  <c r="I1397" i="2"/>
  <c r="J1397" i="2"/>
  <c r="N1397" i="2"/>
  <c r="D1398" i="2"/>
  <c r="I1398" i="2"/>
  <c r="J1398" i="2"/>
  <c r="N1398" i="2"/>
  <c r="D1399" i="2"/>
  <c r="I1399" i="2"/>
  <c r="J1399" i="2"/>
  <c r="N1399" i="2"/>
  <c r="D1400" i="2"/>
  <c r="I1400" i="2"/>
  <c r="J1400" i="2"/>
  <c r="N1400" i="2"/>
  <c r="D1401" i="2"/>
  <c r="I1401" i="2"/>
  <c r="J1401" i="2"/>
  <c r="N1401" i="2"/>
  <c r="D1402" i="2"/>
  <c r="I1402" i="2"/>
  <c r="J1402" i="2"/>
  <c r="N1402" i="2"/>
  <c r="D1403" i="2"/>
  <c r="I1403" i="2"/>
  <c r="J1403" i="2"/>
  <c r="N1403" i="2"/>
  <c r="D1404" i="2"/>
  <c r="I1404" i="2"/>
  <c r="J1404" i="2"/>
  <c r="N1404" i="2"/>
  <c r="D1405" i="2"/>
  <c r="I1405" i="2"/>
  <c r="J1405" i="2"/>
  <c r="N1405" i="2"/>
  <c r="D1406" i="2"/>
  <c r="I1406" i="2"/>
  <c r="J1406" i="2"/>
  <c r="N1406" i="2"/>
  <c r="D1407" i="2"/>
  <c r="I1407" i="2"/>
  <c r="J1407" i="2"/>
  <c r="N1407" i="2"/>
  <c r="D1408" i="2"/>
  <c r="I1408" i="2"/>
  <c r="J1408" i="2"/>
  <c r="N1408" i="2"/>
  <c r="D1409" i="2"/>
  <c r="I1409" i="2"/>
  <c r="J1409" i="2"/>
  <c r="N1409" i="2"/>
  <c r="D1410" i="2"/>
  <c r="I1410" i="2"/>
  <c r="J1410" i="2"/>
  <c r="N1410" i="2"/>
  <c r="D1411" i="2"/>
  <c r="I1411" i="2"/>
  <c r="J1411" i="2"/>
  <c r="N1411" i="2"/>
  <c r="D1412" i="2"/>
  <c r="I1412" i="2"/>
  <c r="J1412" i="2"/>
  <c r="N1412" i="2"/>
  <c r="D1413" i="2"/>
  <c r="I1413" i="2"/>
  <c r="J1413" i="2"/>
  <c r="N1413" i="2"/>
  <c r="D1414" i="2"/>
  <c r="I1414" i="2"/>
  <c r="J1414" i="2"/>
  <c r="N1414" i="2"/>
  <c r="D1415" i="2"/>
  <c r="I1415" i="2"/>
  <c r="J1415" i="2"/>
  <c r="N1415" i="2"/>
  <c r="D1416" i="2"/>
  <c r="I1416" i="2"/>
  <c r="J1416" i="2"/>
  <c r="N1416" i="2"/>
  <c r="D1417" i="2"/>
  <c r="I1417" i="2"/>
  <c r="J1417" i="2"/>
  <c r="N1417" i="2"/>
  <c r="D1418" i="2"/>
  <c r="I1418" i="2"/>
  <c r="J1418" i="2"/>
  <c r="N1418" i="2"/>
  <c r="D1419" i="2"/>
  <c r="I1419" i="2"/>
  <c r="J1419" i="2"/>
  <c r="N1419" i="2"/>
  <c r="D1420" i="2"/>
  <c r="I1420" i="2"/>
  <c r="J1420" i="2"/>
  <c r="N1420" i="2"/>
  <c r="D1421" i="2"/>
  <c r="I1421" i="2"/>
  <c r="J1421" i="2"/>
  <c r="N1421" i="2"/>
  <c r="D1422" i="2"/>
  <c r="I1422" i="2"/>
  <c r="J1422" i="2"/>
  <c r="N1422" i="2"/>
  <c r="D1423" i="2"/>
  <c r="I1423" i="2"/>
  <c r="J1423" i="2"/>
  <c r="N1423" i="2"/>
  <c r="D1424" i="2"/>
  <c r="I1424" i="2"/>
  <c r="J1424" i="2"/>
  <c r="N1424" i="2"/>
  <c r="D1425" i="2"/>
  <c r="I1425" i="2"/>
  <c r="J1425" i="2"/>
  <c r="N1425" i="2"/>
  <c r="D1426" i="2"/>
  <c r="I1426" i="2"/>
  <c r="J1426" i="2"/>
  <c r="N1426" i="2"/>
  <c r="D1427" i="2"/>
  <c r="I1427" i="2"/>
  <c r="J1427" i="2"/>
  <c r="N1427" i="2"/>
  <c r="D1428" i="2"/>
  <c r="I1428" i="2"/>
  <c r="J1428" i="2"/>
  <c r="N1428" i="2"/>
  <c r="D1429" i="2"/>
  <c r="I1429" i="2"/>
  <c r="J1429" i="2"/>
  <c r="N1429" i="2"/>
  <c r="D1430" i="2"/>
  <c r="I1430" i="2"/>
  <c r="J1430" i="2"/>
  <c r="N1430" i="2"/>
  <c r="D1431" i="2"/>
  <c r="I1431" i="2"/>
  <c r="J1431" i="2"/>
  <c r="N1431" i="2"/>
  <c r="D1432" i="2"/>
  <c r="I1432" i="2"/>
  <c r="J1432" i="2"/>
  <c r="N1432" i="2"/>
  <c r="D1433" i="2"/>
  <c r="I1433" i="2"/>
  <c r="J1433" i="2"/>
  <c r="N1433" i="2"/>
  <c r="D1434" i="2"/>
  <c r="I1434" i="2"/>
  <c r="J1434" i="2"/>
  <c r="N1434" i="2"/>
  <c r="D1435" i="2"/>
  <c r="I1435" i="2"/>
  <c r="J1435" i="2"/>
  <c r="N1435" i="2"/>
  <c r="D1436" i="2"/>
  <c r="I1436" i="2"/>
  <c r="J1436" i="2"/>
  <c r="N1436" i="2"/>
  <c r="D1437" i="2"/>
  <c r="I1437" i="2"/>
  <c r="J1437" i="2"/>
  <c r="N1437" i="2"/>
  <c r="D1438" i="2"/>
  <c r="I1438" i="2"/>
  <c r="J1438" i="2"/>
  <c r="N1438" i="2"/>
  <c r="D1439" i="2"/>
  <c r="I1439" i="2"/>
  <c r="J1439" i="2"/>
  <c r="N1439" i="2"/>
  <c r="D1440" i="2"/>
  <c r="I1440" i="2"/>
  <c r="J1440" i="2"/>
  <c r="N1440" i="2"/>
  <c r="D1441" i="2"/>
  <c r="I1441" i="2"/>
  <c r="J1441" i="2"/>
  <c r="N1441" i="2"/>
  <c r="D1442" i="2"/>
  <c r="I1442" i="2"/>
  <c r="J1442" i="2"/>
  <c r="N1442" i="2"/>
  <c r="D1443" i="2"/>
  <c r="I1443" i="2"/>
  <c r="J1443" i="2"/>
  <c r="N1443" i="2"/>
  <c r="D1444" i="2"/>
  <c r="I1444" i="2"/>
  <c r="J1444" i="2"/>
  <c r="N1444" i="2"/>
  <c r="D1445" i="2"/>
  <c r="I1445" i="2"/>
  <c r="J1445" i="2"/>
  <c r="N1445" i="2"/>
  <c r="D1446" i="2"/>
  <c r="I1446" i="2"/>
  <c r="J1446" i="2"/>
  <c r="N1446" i="2"/>
  <c r="D1447" i="2"/>
  <c r="I1447" i="2"/>
  <c r="J1447" i="2"/>
  <c r="N1447" i="2"/>
  <c r="D1448" i="2"/>
  <c r="I1448" i="2"/>
  <c r="J1448" i="2"/>
  <c r="N1448" i="2"/>
  <c r="D1449" i="2"/>
  <c r="I1449" i="2"/>
  <c r="J1449" i="2"/>
  <c r="N1449" i="2"/>
  <c r="D1450" i="2"/>
  <c r="I1450" i="2"/>
  <c r="J1450" i="2"/>
  <c r="N1450" i="2"/>
  <c r="D1451" i="2"/>
  <c r="I1451" i="2"/>
  <c r="J1451" i="2"/>
  <c r="N1451" i="2"/>
  <c r="D1452" i="2"/>
  <c r="I1452" i="2"/>
  <c r="J1452" i="2"/>
  <c r="N1452" i="2"/>
  <c r="D1453" i="2"/>
  <c r="I1453" i="2"/>
  <c r="J1453" i="2"/>
  <c r="N1453" i="2"/>
  <c r="D1454" i="2"/>
  <c r="I1454" i="2"/>
  <c r="J1454" i="2"/>
  <c r="N1454" i="2"/>
  <c r="D1455" i="2"/>
  <c r="I1455" i="2"/>
  <c r="J1455" i="2"/>
  <c r="N1455" i="2"/>
  <c r="D1456" i="2"/>
  <c r="I1456" i="2"/>
  <c r="J1456" i="2"/>
  <c r="N1456" i="2"/>
  <c r="D1457" i="2"/>
  <c r="I1457" i="2"/>
  <c r="J1457" i="2"/>
  <c r="N1457" i="2"/>
  <c r="D1458" i="2"/>
  <c r="I1458" i="2"/>
  <c r="J1458" i="2"/>
  <c r="N1458" i="2"/>
  <c r="D1459" i="2"/>
  <c r="I1459" i="2"/>
  <c r="J1459" i="2"/>
  <c r="N1459" i="2"/>
  <c r="D1460" i="2"/>
  <c r="I1460" i="2"/>
  <c r="J1460" i="2"/>
  <c r="N1460" i="2"/>
  <c r="D1461" i="2"/>
  <c r="I1461" i="2"/>
  <c r="J1461" i="2"/>
  <c r="N1461" i="2"/>
  <c r="D1462" i="2"/>
  <c r="I1462" i="2"/>
  <c r="J1462" i="2"/>
  <c r="N1462" i="2"/>
  <c r="D1463" i="2"/>
  <c r="I1463" i="2"/>
  <c r="J1463" i="2"/>
  <c r="N1463" i="2"/>
  <c r="D1464" i="2"/>
  <c r="I1464" i="2"/>
  <c r="J1464" i="2"/>
  <c r="N1464" i="2"/>
  <c r="D1465" i="2"/>
  <c r="I1465" i="2"/>
  <c r="J1465" i="2"/>
  <c r="N1465" i="2"/>
  <c r="D1466" i="2"/>
  <c r="I1466" i="2"/>
  <c r="J1466" i="2"/>
  <c r="N1466" i="2"/>
  <c r="D1467" i="2"/>
  <c r="I1467" i="2"/>
  <c r="J1467" i="2"/>
  <c r="N1467" i="2"/>
  <c r="D1468" i="2"/>
  <c r="I1468" i="2"/>
  <c r="J1468" i="2"/>
  <c r="N1468" i="2"/>
  <c r="D1469" i="2"/>
  <c r="I1469" i="2"/>
  <c r="J1469" i="2"/>
  <c r="N1469" i="2"/>
  <c r="D1470" i="2"/>
  <c r="I1470" i="2"/>
  <c r="J1470" i="2"/>
  <c r="N1470" i="2"/>
  <c r="D1471" i="2"/>
  <c r="I1471" i="2"/>
  <c r="J1471" i="2"/>
  <c r="N1471" i="2"/>
  <c r="D1472" i="2"/>
  <c r="I1472" i="2"/>
  <c r="J1472" i="2"/>
  <c r="N1472" i="2"/>
  <c r="D1473" i="2"/>
  <c r="I1473" i="2"/>
  <c r="J1473" i="2"/>
  <c r="N1473" i="2"/>
  <c r="D1474" i="2"/>
  <c r="I1474" i="2"/>
  <c r="J1474" i="2"/>
  <c r="N1474" i="2"/>
  <c r="D1475" i="2"/>
  <c r="I1475" i="2"/>
  <c r="J1475" i="2"/>
  <c r="N1475" i="2"/>
  <c r="D1476" i="2"/>
  <c r="I1476" i="2"/>
  <c r="J1476" i="2"/>
  <c r="N1476" i="2"/>
  <c r="D1477" i="2"/>
  <c r="I1477" i="2"/>
  <c r="J1477" i="2"/>
  <c r="N1477" i="2"/>
  <c r="D1478" i="2"/>
  <c r="I1478" i="2"/>
  <c r="J1478" i="2"/>
  <c r="N1478" i="2"/>
  <c r="D1479" i="2"/>
  <c r="I1479" i="2"/>
  <c r="J1479" i="2"/>
  <c r="N1479" i="2"/>
  <c r="D1480" i="2"/>
  <c r="I1480" i="2"/>
  <c r="J1480" i="2"/>
  <c r="N1480" i="2"/>
  <c r="D1481" i="2"/>
  <c r="I1481" i="2"/>
  <c r="J1481" i="2"/>
  <c r="N1481" i="2"/>
  <c r="D1482" i="2"/>
  <c r="I1482" i="2"/>
  <c r="J1482" i="2"/>
  <c r="N1482" i="2"/>
  <c r="D1483" i="2"/>
  <c r="I1483" i="2"/>
  <c r="J1483" i="2"/>
  <c r="N1483" i="2"/>
  <c r="D1484" i="2"/>
  <c r="I1484" i="2"/>
  <c r="J1484" i="2"/>
  <c r="N1484" i="2"/>
  <c r="D1485" i="2"/>
  <c r="I1485" i="2"/>
  <c r="J1485" i="2"/>
  <c r="N1485" i="2"/>
  <c r="D1486" i="2"/>
  <c r="I1486" i="2"/>
  <c r="J1486" i="2"/>
  <c r="N1486" i="2"/>
  <c r="D1487" i="2"/>
  <c r="I1487" i="2"/>
  <c r="J1487" i="2"/>
  <c r="N1487" i="2"/>
  <c r="D1488" i="2"/>
  <c r="I1488" i="2"/>
  <c r="J1488" i="2"/>
  <c r="N1488" i="2"/>
  <c r="D1489" i="2"/>
  <c r="I1489" i="2"/>
  <c r="J1489" i="2"/>
  <c r="N1489" i="2"/>
  <c r="D1490" i="2"/>
  <c r="I1490" i="2"/>
  <c r="J1490" i="2"/>
  <c r="N1490" i="2"/>
  <c r="D1491" i="2"/>
  <c r="I1491" i="2"/>
  <c r="J1491" i="2"/>
  <c r="N1491" i="2"/>
  <c r="D1492" i="2"/>
  <c r="I1492" i="2"/>
  <c r="J1492" i="2"/>
  <c r="N1492" i="2"/>
  <c r="D1493" i="2"/>
  <c r="I1493" i="2"/>
  <c r="J1493" i="2"/>
  <c r="N1493" i="2"/>
  <c r="D1494" i="2"/>
  <c r="I1494" i="2"/>
  <c r="J1494" i="2"/>
  <c r="N1494" i="2"/>
  <c r="D1495" i="2"/>
  <c r="I1495" i="2"/>
  <c r="J1495" i="2"/>
  <c r="N1495" i="2"/>
  <c r="D1496" i="2"/>
  <c r="I1496" i="2"/>
  <c r="J1496" i="2"/>
  <c r="N1496" i="2"/>
  <c r="D1497" i="2"/>
  <c r="I1497" i="2"/>
  <c r="J1497" i="2"/>
  <c r="N1497" i="2"/>
  <c r="D1498" i="2"/>
  <c r="I1498" i="2"/>
  <c r="J1498" i="2"/>
  <c r="N1498" i="2"/>
  <c r="D1499" i="2"/>
  <c r="I1499" i="2"/>
  <c r="J1499" i="2"/>
  <c r="N1499" i="2"/>
  <c r="D1500" i="2"/>
  <c r="I1500" i="2"/>
  <c r="J1500" i="2"/>
  <c r="N1500" i="2"/>
  <c r="D1501" i="2"/>
  <c r="I1501" i="2"/>
  <c r="J1501" i="2"/>
  <c r="N1501" i="2"/>
  <c r="D1502" i="2"/>
  <c r="I1502" i="2"/>
  <c r="J1502" i="2"/>
  <c r="N1502" i="2"/>
  <c r="D1503" i="2"/>
  <c r="I1503" i="2"/>
  <c r="J1503" i="2"/>
  <c r="N1503" i="2"/>
  <c r="D1504" i="2"/>
  <c r="I1504" i="2"/>
  <c r="J1504" i="2"/>
  <c r="N1504" i="2"/>
  <c r="D1505" i="2"/>
  <c r="I1505" i="2"/>
  <c r="J1505" i="2"/>
  <c r="N1505" i="2"/>
  <c r="D1506" i="2"/>
  <c r="I1506" i="2"/>
  <c r="J1506" i="2"/>
  <c r="N1506" i="2"/>
  <c r="D1507" i="2"/>
  <c r="I1507" i="2"/>
  <c r="J1507" i="2"/>
  <c r="N1507" i="2"/>
  <c r="D1508" i="2"/>
  <c r="I1508" i="2"/>
  <c r="J1508" i="2"/>
  <c r="N1508" i="2"/>
  <c r="D1509" i="2"/>
  <c r="I1509" i="2"/>
  <c r="J1509" i="2"/>
  <c r="N1509" i="2"/>
  <c r="D1510" i="2"/>
  <c r="I1510" i="2"/>
  <c r="J1510" i="2"/>
  <c r="N1510" i="2"/>
  <c r="D1511" i="2"/>
  <c r="I1511" i="2"/>
  <c r="J1511" i="2"/>
  <c r="N1511" i="2"/>
  <c r="D1512" i="2"/>
  <c r="I1512" i="2"/>
  <c r="J1512" i="2"/>
  <c r="N1512" i="2"/>
  <c r="D1513" i="2"/>
  <c r="I1513" i="2"/>
  <c r="J1513" i="2"/>
  <c r="N1513" i="2"/>
  <c r="D1514" i="2"/>
  <c r="I1514" i="2"/>
  <c r="J1514" i="2"/>
  <c r="N1514" i="2"/>
  <c r="D1515" i="2"/>
  <c r="I1515" i="2"/>
  <c r="J1515" i="2"/>
  <c r="N1515" i="2"/>
  <c r="D1516" i="2"/>
  <c r="I1516" i="2"/>
  <c r="J1516" i="2"/>
  <c r="N1516" i="2"/>
  <c r="D1517" i="2"/>
  <c r="I1517" i="2"/>
  <c r="J1517" i="2"/>
  <c r="N1517" i="2"/>
  <c r="D1518" i="2"/>
  <c r="I1518" i="2"/>
  <c r="J1518" i="2"/>
  <c r="N1518" i="2"/>
  <c r="D1519" i="2"/>
  <c r="I1519" i="2"/>
  <c r="J1519" i="2"/>
  <c r="N1519" i="2"/>
  <c r="D1520" i="2"/>
  <c r="I1520" i="2"/>
  <c r="J1520" i="2"/>
  <c r="N1520" i="2"/>
  <c r="D1521" i="2"/>
  <c r="I1521" i="2"/>
  <c r="J1521" i="2"/>
  <c r="N1521" i="2"/>
  <c r="D1522" i="2"/>
  <c r="I1522" i="2"/>
  <c r="J1522" i="2"/>
  <c r="N1522" i="2"/>
  <c r="D1523" i="2"/>
  <c r="I1523" i="2"/>
  <c r="J1523" i="2"/>
  <c r="N1523" i="2"/>
  <c r="D1524" i="2"/>
  <c r="I1524" i="2"/>
  <c r="J1524" i="2"/>
  <c r="N1524" i="2"/>
  <c r="D1525" i="2"/>
  <c r="I1525" i="2"/>
  <c r="J1525" i="2"/>
  <c r="N1525" i="2"/>
  <c r="D1526" i="2"/>
  <c r="I1526" i="2"/>
  <c r="J1526" i="2"/>
  <c r="N1526" i="2"/>
  <c r="D1527" i="2"/>
  <c r="I1527" i="2"/>
  <c r="J1527" i="2"/>
  <c r="N1527" i="2"/>
  <c r="D1528" i="2"/>
  <c r="I1528" i="2"/>
  <c r="J1528" i="2"/>
  <c r="N1528" i="2"/>
  <c r="D1529" i="2"/>
  <c r="I1529" i="2"/>
  <c r="J1529" i="2"/>
  <c r="N1529" i="2"/>
  <c r="D1530" i="2"/>
  <c r="I1530" i="2"/>
  <c r="J1530" i="2"/>
  <c r="N1530" i="2"/>
  <c r="D1531" i="2"/>
  <c r="I1531" i="2"/>
  <c r="J1531" i="2"/>
  <c r="N1531" i="2"/>
  <c r="D1532" i="2"/>
  <c r="I1532" i="2"/>
  <c r="J1532" i="2"/>
  <c r="N1532" i="2"/>
  <c r="D1533" i="2"/>
  <c r="I1533" i="2"/>
  <c r="J1533" i="2"/>
  <c r="N1533" i="2"/>
  <c r="D1534" i="2"/>
  <c r="I1534" i="2"/>
  <c r="J1534" i="2"/>
  <c r="N1534" i="2"/>
  <c r="D1535" i="2"/>
  <c r="I1535" i="2"/>
  <c r="J1535" i="2"/>
  <c r="N1535" i="2"/>
  <c r="D1536" i="2"/>
  <c r="I1536" i="2"/>
  <c r="J1536" i="2"/>
  <c r="N1536" i="2"/>
  <c r="D1537" i="2"/>
  <c r="I1537" i="2"/>
  <c r="J1537" i="2"/>
  <c r="N1537" i="2"/>
  <c r="D1538" i="2"/>
  <c r="I1538" i="2"/>
  <c r="J1538" i="2"/>
  <c r="N1538" i="2"/>
  <c r="D1539" i="2"/>
  <c r="I1539" i="2"/>
  <c r="J1539" i="2"/>
  <c r="N1539" i="2"/>
  <c r="D1540" i="2"/>
  <c r="I1540" i="2"/>
  <c r="J1540" i="2"/>
  <c r="N1540" i="2"/>
  <c r="D1541" i="2"/>
  <c r="I1541" i="2"/>
  <c r="J1541" i="2"/>
  <c r="N1541" i="2"/>
  <c r="D1542" i="2"/>
  <c r="I1542" i="2"/>
  <c r="J1542" i="2"/>
  <c r="N1542" i="2"/>
  <c r="D1543" i="2"/>
  <c r="I1543" i="2"/>
  <c r="J1543" i="2"/>
  <c r="N1543" i="2"/>
  <c r="D1544" i="2"/>
  <c r="I1544" i="2"/>
  <c r="J1544" i="2"/>
  <c r="N1544" i="2"/>
  <c r="D1545" i="2"/>
  <c r="I1545" i="2"/>
  <c r="J1545" i="2"/>
  <c r="N1545" i="2"/>
  <c r="D1546" i="2"/>
  <c r="I1546" i="2"/>
  <c r="J1546" i="2"/>
  <c r="N1546" i="2"/>
  <c r="D1547" i="2"/>
  <c r="I1547" i="2"/>
  <c r="J1547" i="2"/>
  <c r="N1547" i="2"/>
  <c r="D1548" i="2"/>
  <c r="I1548" i="2"/>
  <c r="J1548" i="2"/>
  <c r="N1548" i="2"/>
  <c r="D1549" i="2"/>
  <c r="I1549" i="2"/>
  <c r="J1549" i="2"/>
  <c r="N1549" i="2"/>
  <c r="D1550" i="2"/>
  <c r="I1550" i="2"/>
  <c r="J1550" i="2"/>
  <c r="N1550" i="2"/>
  <c r="D1551" i="2"/>
  <c r="I1551" i="2"/>
  <c r="J1551" i="2"/>
  <c r="N1551" i="2"/>
  <c r="D1552" i="2"/>
  <c r="I1552" i="2"/>
  <c r="J1552" i="2"/>
  <c r="N1552" i="2"/>
  <c r="D1553" i="2"/>
  <c r="I1553" i="2"/>
  <c r="J1553" i="2"/>
  <c r="N1553" i="2"/>
  <c r="D1554" i="2"/>
  <c r="I1554" i="2"/>
  <c r="J1554" i="2"/>
  <c r="N1554" i="2"/>
  <c r="D1555" i="2"/>
  <c r="I1555" i="2"/>
  <c r="J1555" i="2"/>
  <c r="N1555" i="2"/>
  <c r="D1556" i="2"/>
  <c r="I1556" i="2"/>
  <c r="J1556" i="2"/>
  <c r="N1556" i="2"/>
  <c r="D1557" i="2"/>
  <c r="I1557" i="2"/>
  <c r="J1557" i="2"/>
  <c r="N1557" i="2"/>
  <c r="D1558" i="2"/>
  <c r="I1558" i="2"/>
  <c r="J1558" i="2"/>
  <c r="N1558" i="2"/>
  <c r="D1559" i="2"/>
  <c r="I1559" i="2"/>
  <c r="J1559" i="2"/>
  <c r="N1559" i="2"/>
  <c r="D1560" i="2"/>
  <c r="I1560" i="2"/>
  <c r="J1560" i="2"/>
  <c r="N1560" i="2"/>
  <c r="D1561" i="2"/>
  <c r="I1561" i="2"/>
  <c r="J1561" i="2"/>
  <c r="N1561" i="2"/>
  <c r="D1562" i="2"/>
  <c r="I1562" i="2"/>
  <c r="J1562" i="2"/>
  <c r="N1562" i="2"/>
  <c r="D1563" i="2"/>
  <c r="I1563" i="2"/>
  <c r="J1563" i="2"/>
  <c r="N1563" i="2"/>
  <c r="D1564" i="2"/>
  <c r="I1564" i="2"/>
  <c r="J1564" i="2"/>
  <c r="N1564" i="2"/>
  <c r="D1565" i="2"/>
  <c r="I1565" i="2"/>
  <c r="J1565" i="2"/>
  <c r="N1565" i="2"/>
  <c r="D1566" i="2"/>
  <c r="I1566" i="2"/>
  <c r="J1566" i="2"/>
  <c r="N1566" i="2"/>
  <c r="D1567" i="2"/>
  <c r="I1567" i="2"/>
  <c r="J1567" i="2"/>
  <c r="N1567" i="2"/>
  <c r="D1568" i="2"/>
  <c r="I1568" i="2"/>
  <c r="J1568" i="2"/>
  <c r="N1568" i="2"/>
  <c r="D1569" i="2"/>
  <c r="I1569" i="2"/>
  <c r="J1569" i="2"/>
  <c r="N1569" i="2"/>
  <c r="D1570" i="2"/>
  <c r="I1570" i="2"/>
  <c r="J1570" i="2"/>
  <c r="N1570" i="2"/>
  <c r="D1571" i="2"/>
  <c r="I1571" i="2"/>
  <c r="J1571" i="2"/>
  <c r="N1571" i="2"/>
  <c r="D1572" i="2"/>
  <c r="I1572" i="2"/>
  <c r="J1572" i="2"/>
  <c r="N1572" i="2"/>
  <c r="D1573" i="2"/>
  <c r="I1573" i="2"/>
  <c r="J1573" i="2"/>
  <c r="N1573" i="2"/>
  <c r="D1574" i="2"/>
  <c r="I1574" i="2"/>
  <c r="J1574" i="2"/>
  <c r="N1574" i="2"/>
  <c r="D1575" i="2"/>
  <c r="I1575" i="2"/>
  <c r="J1575" i="2"/>
  <c r="N1575" i="2"/>
  <c r="D1576" i="2"/>
  <c r="I1576" i="2"/>
  <c r="J1576" i="2"/>
  <c r="N1576" i="2"/>
  <c r="D1577" i="2"/>
  <c r="I1577" i="2"/>
  <c r="J1577" i="2"/>
  <c r="N1577" i="2"/>
  <c r="D1578" i="2"/>
  <c r="I1578" i="2"/>
  <c r="J1578" i="2"/>
  <c r="N1578" i="2"/>
  <c r="D1579" i="2"/>
  <c r="I1579" i="2"/>
  <c r="J1579" i="2"/>
  <c r="N1579" i="2"/>
  <c r="D1580" i="2"/>
  <c r="I1580" i="2"/>
  <c r="J1580" i="2"/>
  <c r="N1580" i="2"/>
  <c r="D1581" i="2"/>
  <c r="I1581" i="2"/>
  <c r="J1581" i="2"/>
  <c r="N1581" i="2"/>
  <c r="D1582" i="2"/>
  <c r="I1582" i="2"/>
  <c r="J1582" i="2"/>
  <c r="N1582" i="2"/>
  <c r="D1583" i="2"/>
  <c r="I1583" i="2"/>
  <c r="J1583" i="2"/>
  <c r="N1583" i="2"/>
  <c r="D1584" i="2"/>
  <c r="I1584" i="2"/>
  <c r="J1584" i="2"/>
  <c r="N1584" i="2"/>
  <c r="D1585" i="2"/>
  <c r="I1585" i="2"/>
  <c r="J1585" i="2"/>
  <c r="N1585" i="2"/>
  <c r="D1586" i="2"/>
  <c r="I1586" i="2"/>
  <c r="J1586" i="2"/>
  <c r="N1586" i="2"/>
  <c r="D1587" i="2"/>
  <c r="I1587" i="2"/>
  <c r="J1587" i="2"/>
  <c r="N1587" i="2"/>
  <c r="D1588" i="2"/>
  <c r="I1588" i="2"/>
  <c r="J1588" i="2"/>
  <c r="N1588" i="2"/>
  <c r="D1589" i="2"/>
  <c r="I1589" i="2"/>
  <c r="J1589" i="2"/>
  <c r="N1589" i="2"/>
  <c r="D1590" i="2"/>
  <c r="I1590" i="2"/>
  <c r="J1590" i="2"/>
  <c r="N1590" i="2"/>
  <c r="D1591" i="2"/>
  <c r="I1591" i="2"/>
  <c r="J1591" i="2"/>
  <c r="N1591" i="2"/>
  <c r="D1592" i="2"/>
  <c r="I1592" i="2"/>
  <c r="J1592" i="2"/>
  <c r="N1592" i="2"/>
  <c r="D1593" i="2"/>
  <c r="I1593" i="2"/>
  <c r="J1593" i="2"/>
  <c r="N1593" i="2"/>
  <c r="D1594" i="2"/>
  <c r="I1594" i="2"/>
  <c r="J1594" i="2"/>
  <c r="N1594" i="2"/>
  <c r="D1595" i="2"/>
  <c r="I1595" i="2"/>
  <c r="J1595" i="2"/>
  <c r="N1595" i="2"/>
  <c r="D1596" i="2"/>
  <c r="I1596" i="2"/>
  <c r="J1596" i="2"/>
  <c r="N1596" i="2"/>
  <c r="D1597" i="2"/>
  <c r="I1597" i="2"/>
  <c r="J1597" i="2"/>
  <c r="N1597" i="2"/>
  <c r="D1598" i="2"/>
  <c r="I1598" i="2"/>
  <c r="J1598" i="2"/>
  <c r="N1598" i="2"/>
  <c r="D1599" i="2"/>
  <c r="I1599" i="2"/>
  <c r="J1599" i="2"/>
  <c r="N1599" i="2"/>
  <c r="D1600" i="2"/>
  <c r="I1600" i="2"/>
  <c r="J1600" i="2"/>
  <c r="N1600" i="2"/>
  <c r="D1601" i="2"/>
  <c r="I1601" i="2"/>
  <c r="J1601" i="2"/>
  <c r="N1601" i="2"/>
  <c r="D1602" i="2"/>
  <c r="I1602" i="2"/>
  <c r="J1602" i="2"/>
  <c r="N1602" i="2"/>
  <c r="D1603" i="2"/>
  <c r="I1603" i="2"/>
  <c r="J1603" i="2"/>
  <c r="N1603" i="2"/>
  <c r="D1604" i="2"/>
  <c r="I1604" i="2"/>
  <c r="J1604" i="2"/>
  <c r="N1604" i="2"/>
  <c r="D1605" i="2"/>
  <c r="I1605" i="2"/>
  <c r="J1605" i="2"/>
  <c r="N1605" i="2"/>
  <c r="D1606" i="2"/>
  <c r="I1606" i="2"/>
  <c r="J1606" i="2"/>
  <c r="N1606" i="2"/>
  <c r="D1607" i="2"/>
  <c r="I1607" i="2"/>
  <c r="J1607" i="2"/>
  <c r="N1607" i="2"/>
  <c r="D1608" i="2"/>
  <c r="I1608" i="2"/>
  <c r="J1608" i="2"/>
  <c r="N1608" i="2"/>
  <c r="D1609" i="2"/>
  <c r="I1609" i="2"/>
  <c r="J1609" i="2"/>
  <c r="N1609" i="2"/>
  <c r="D1610" i="2"/>
  <c r="I1610" i="2"/>
  <c r="J1610" i="2"/>
  <c r="N1610" i="2"/>
  <c r="D1611" i="2"/>
  <c r="I1611" i="2"/>
  <c r="J1611" i="2"/>
  <c r="N1611" i="2"/>
  <c r="D1612" i="2"/>
  <c r="I1612" i="2"/>
  <c r="J1612" i="2"/>
  <c r="N1612" i="2"/>
  <c r="D1613" i="2"/>
  <c r="I1613" i="2"/>
  <c r="J1613" i="2"/>
  <c r="N1613" i="2"/>
  <c r="D1614" i="2"/>
  <c r="I1614" i="2"/>
  <c r="J1614" i="2"/>
  <c r="N1614" i="2"/>
  <c r="D1615" i="2"/>
  <c r="I1615" i="2"/>
  <c r="J1615" i="2"/>
  <c r="N1615" i="2"/>
  <c r="D1616" i="2"/>
  <c r="I1616" i="2"/>
  <c r="J1616" i="2"/>
  <c r="N1616" i="2"/>
  <c r="D1617" i="2"/>
  <c r="I1617" i="2"/>
  <c r="J1617" i="2"/>
  <c r="N1617" i="2"/>
  <c r="D1618" i="2"/>
  <c r="I1618" i="2"/>
  <c r="J1618" i="2"/>
  <c r="N1618" i="2"/>
  <c r="D1619" i="2"/>
  <c r="I1619" i="2"/>
  <c r="J1619" i="2"/>
  <c r="N1619" i="2"/>
  <c r="D1620" i="2"/>
  <c r="I1620" i="2"/>
  <c r="J1620" i="2"/>
  <c r="N1620" i="2"/>
  <c r="D1621" i="2"/>
  <c r="I1621" i="2"/>
  <c r="J1621" i="2"/>
  <c r="N1621" i="2"/>
  <c r="D1622" i="2"/>
  <c r="I1622" i="2"/>
  <c r="J1622" i="2"/>
  <c r="N1622" i="2"/>
  <c r="D1623" i="2"/>
  <c r="I1623" i="2"/>
  <c r="J1623" i="2"/>
  <c r="N1623" i="2"/>
  <c r="D1624" i="2"/>
  <c r="I1624" i="2"/>
  <c r="J1624" i="2"/>
  <c r="N1624" i="2"/>
  <c r="D1625" i="2"/>
  <c r="I1625" i="2"/>
  <c r="J1625" i="2"/>
  <c r="N1625" i="2"/>
  <c r="D1626" i="2"/>
  <c r="I1626" i="2"/>
  <c r="J1626" i="2"/>
  <c r="N1626" i="2"/>
  <c r="D1627" i="2"/>
  <c r="I1627" i="2"/>
  <c r="J1627" i="2"/>
  <c r="N1627" i="2"/>
  <c r="D1628" i="2"/>
  <c r="I1628" i="2"/>
  <c r="J1628" i="2"/>
  <c r="N1628" i="2"/>
  <c r="D1629" i="2"/>
  <c r="I1629" i="2"/>
  <c r="J1629" i="2"/>
  <c r="N1629" i="2"/>
  <c r="D1630" i="2"/>
  <c r="I1630" i="2"/>
  <c r="J1630" i="2"/>
  <c r="N1630" i="2"/>
  <c r="D1631" i="2"/>
  <c r="I1631" i="2"/>
  <c r="J1631" i="2"/>
  <c r="N1631" i="2"/>
  <c r="D1632" i="2"/>
  <c r="I1632" i="2"/>
  <c r="J1632" i="2"/>
  <c r="N1632" i="2"/>
  <c r="D1633" i="2"/>
  <c r="I1633" i="2"/>
  <c r="J1633" i="2"/>
  <c r="N1633" i="2"/>
  <c r="D1634" i="2"/>
  <c r="I1634" i="2"/>
  <c r="J1634" i="2"/>
  <c r="N1634" i="2"/>
  <c r="D1635" i="2"/>
  <c r="I1635" i="2"/>
  <c r="J1635" i="2"/>
  <c r="N1635" i="2"/>
  <c r="D1636" i="2"/>
  <c r="I1636" i="2"/>
  <c r="J1636" i="2"/>
  <c r="N1636" i="2"/>
  <c r="D1637" i="2"/>
  <c r="I1637" i="2"/>
  <c r="J1637" i="2"/>
  <c r="N1637" i="2"/>
  <c r="D1638" i="2"/>
  <c r="I1638" i="2"/>
  <c r="J1638" i="2"/>
  <c r="N1638" i="2"/>
  <c r="D1639" i="2"/>
  <c r="I1639" i="2"/>
  <c r="J1639" i="2"/>
  <c r="N1639" i="2"/>
  <c r="D1640" i="2"/>
  <c r="I1640" i="2"/>
  <c r="J1640" i="2"/>
  <c r="N1640" i="2"/>
  <c r="D1641" i="2"/>
  <c r="I1641" i="2"/>
  <c r="J1641" i="2"/>
  <c r="N1641" i="2"/>
  <c r="D1642" i="2"/>
  <c r="I1642" i="2"/>
  <c r="J1642" i="2"/>
  <c r="N1642" i="2"/>
  <c r="D1643" i="2"/>
  <c r="I1643" i="2"/>
  <c r="J1643" i="2"/>
  <c r="N1643" i="2"/>
  <c r="D1644" i="2"/>
  <c r="I1644" i="2"/>
  <c r="J1644" i="2"/>
  <c r="N1644" i="2"/>
  <c r="D1645" i="2"/>
  <c r="I1645" i="2"/>
  <c r="J1645" i="2"/>
  <c r="N1645" i="2"/>
  <c r="D1646" i="2"/>
  <c r="I1646" i="2"/>
  <c r="J1646" i="2"/>
  <c r="N1646" i="2"/>
  <c r="D1647" i="2"/>
  <c r="I1647" i="2"/>
  <c r="J1647" i="2"/>
  <c r="N1647" i="2"/>
  <c r="D1648" i="2"/>
  <c r="I1648" i="2"/>
  <c r="J1648" i="2"/>
  <c r="N1648" i="2"/>
  <c r="D1649" i="2"/>
  <c r="I1649" i="2"/>
  <c r="J1649" i="2"/>
  <c r="N1649" i="2"/>
  <c r="D1650" i="2"/>
  <c r="I1650" i="2"/>
  <c r="J1650" i="2"/>
  <c r="N1650" i="2"/>
  <c r="D1651" i="2"/>
  <c r="I1651" i="2"/>
  <c r="J1651" i="2"/>
  <c r="N1651" i="2"/>
  <c r="D1652" i="2"/>
  <c r="I1652" i="2"/>
  <c r="J1652" i="2"/>
  <c r="N1652" i="2"/>
  <c r="D1653" i="2"/>
  <c r="I1653" i="2"/>
  <c r="J1653" i="2"/>
  <c r="N1653" i="2"/>
  <c r="D1654" i="2"/>
  <c r="I1654" i="2"/>
  <c r="J1654" i="2"/>
  <c r="N1654" i="2"/>
  <c r="D1655" i="2"/>
  <c r="I1655" i="2"/>
  <c r="J1655" i="2"/>
  <c r="N1655" i="2"/>
  <c r="D1656" i="2"/>
  <c r="I1656" i="2"/>
  <c r="J1656" i="2"/>
  <c r="N1656" i="2"/>
  <c r="D1657" i="2"/>
  <c r="I1657" i="2"/>
  <c r="J1657" i="2"/>
  <c r="N1657" i="2"/>
  <c r="D1658" i="2"/>
  <c r="I1658" i="2"/>
  <c r="J1658" i="2"/>
  <c r="N1658" i="2"/>
  <c r="D1659" i="2"/>
  <c r="I1659" i="2"/>
  <c r="J1659" i="2"/>
  <c r="N1659" i="2"/>
  <c r="D1660" i="2"/>
  <c r="I1660" i="2"/>
  <c r="J1660" i="2"/>
  <c r="N1660" i="2"/>
  <c r="D1661" i="2"/>
  <c r="I1661" i="2"/>
  <c r="J1661" i="2"/>
  <c r="N1661" i="2"/>
  <c r="D1662" i="2"/>
  <c r="I1662" i="2"/>
  <c r="J1662" i="2"/>
  <c r="N1662" i="2"/>
  <c r="D1663" i="2"/>
  <c r="I1663" i="2"/>
  <c r="J1663" i="2"/>
  <c r="N1663" i="2"/>
  <c r="D1664" i="2"/>
  <c r="I1664" i="2"/>
  <c r="J1664" i="2"/>
  <c r="N1664" i="2"/>
  <c r="D1665" i="2"/>
  <c r="I1665" i="2"/>
  <c r="J1665" i="2"/>
  <c r="N1665" i="2"/>
  <c r="D1666" i="2"/>
  <c r="I1666" i="2"/>
  <c r="J1666" i="2"/>
  <c r="N1666" i="2"/>
  <c r="D1667" i="2"/>
  <c r="I1667" i="2"/>
  <c r="J1667" i="2"/>
  <c r="N1667" i="2"/>
  <c r="D1668" i="2"/>
  <c r="I1668" i="2"/>
  <c r="J1668" i="2"/>
  <c r="N1668" i="2"/>
  <c r="D1669" i="2"/>
  <c r="I1669" i="2"/>
  <c r="J1669" i="2"/>
  <c r="N1669" i="2"/>
  <c r="D1670" i="2"/>
  <c r="I1670" i="2"/>
  <c r="J1670" i="2"/>
  <c r="N1670" i="2"/>
  <c r="D1671" i="2"/>
  <c r="I1671" i="2"/>
  <c r="J1671" i="2"/>
  <c r="N1671" i="2"/>
  <c r="D1672" i="2"/>
  <c r="I1672" i="2"/>
  <c r="J1672" i="2"/>
  <c r="N1672" i="2"/>
  <c r="D1673" i="2"/>
  <c r="I1673" i="2"/>
  <c r="J1673" i="2"/>
  <c r="N1673" i="2"/>
  <c r="D1674" i="2"/>
  <c r="I1674" i="2"/>
  <c r="J1674" i="2"/>
  <c r="N1674" i="2"/>
  <c r="D1675" i="2"/>
  <c r="I1675" i="2"/>
  <c r="J1675" i="2"/>
  <c r="N1675" i="2"/>
  <c r="D1676" i="2"/>
  <c r="I1676" i="2"/>
  <c r="J1676" i="2"/>
  <c r="N1676" i="2"/>
  <c r="D1677" i="2"/>
  <c r="I1677" i="2"/>
  <c r="J1677" i="2"/>
  <c r="N1677" i="2"/>
  <c r="D1678" i="2"/>
  <c r="I1678" i="2"/>
  <c r="J1678" i="2"/>
  <c r="N1678" i="2"/>
  <c r="D1679" i="2"/>
  <c r="I1679" i="2"/>
  <c r="J1679" i="2"/>
  <c r="N1679" i="2"/>
  <c r="D1680" i="2"/>
  <c r="I1680" i="2"/>
  <c r="J1680" i="2"/>
  <c r="N1680" i="2"/>
  <c r="D1681" i="2"/>
  <c r="I1681" i="2"/>
  <c r="J1681" i="2"/>
  <c r="N1681" i="2"/>
  <c r="D1682" i="2"/>
  <c r="I1682" i="2"/>
  <c r="J1682" i="2"/>
  <c r="N1682" i="2"/>
  <c r="D1683" i="2"/>
  <c r="I1683" i="2"/>
  <c r="J1683" i="2"/>
  <c r="N1683" i="2"/>
  <c r="D1684" i="2"/>
  <c r="I1684" i="2"/>
  <c r="J1684" i="2"/>
  <c r="N1684" i="2"/>
  <c r="D1685" i="2"/>
  <c r="I1685" i="2"/>
  <c r="J1685" i="2"/>
  <c r="N1685" i="2"/>
  <c r="D1686" i="2"/>
  <c r="I1686" i="2"/>
  <c r="J1686" i="2"/>
  <c r="N1686" i="2"/>
  <c r="D1687" i="2"/>
  <c r="I1687" i="2"/>
  <c r="J1687" i="2"/>
  <c r="N1687" i="2"/>
  <c r="D1688" i="2"/>
  <c r="I1688" i="2"/>
  <c r="J1688" i="2"/>
  <c r="N1688" i="2"/>
  <c r="D1689" i="2"/>
  <c r="I1689" i="2"/>
  <c r="J1689" i="2"/>
  <c r="N1689" i="2"/>
  <c r="D1690" i="2"/>
  <c r="I1690" i="2"/>
  <c r="J1690" i="2"/>
  <c r="N1690" i="2"/>
  <c r="D1691" i="2"/>
  <c r="I1691" i="2"/>
  <c r="J1691" i="2"/>
  <c r="N1691" i="2"/>
  <c r="D1692" i="2"/>
  <c r="I1692" i="2"/>
  <c r="J1692" i="2"/>
  <c r="N1692" i="2"/>
  <c r="D1693" i="2"/>
  <c r="I1693" i="2"/>
  <c r="J1693" i="2"/>
  <c r="N1693" i="2"/>
  <c r="D1694" i="2"/>
  <c r="I1694" i="2"/>
  <c r="J1694" i="2"/>
  <c r="N1694" i="2"/>
  <c r="D1695" i="2"/>
  <c r="I1695" i="2"/>
  <c r="J1695" i="2"/>
  <c r="N1695" i="2"/>
  <c r="D1696" i="2"/>
  <c r="I1696" i="2"/>
  <c r="J1696" i="2"/>
  <c r="N1696" i="2"/>
  <c r="D1697" i="2"/>
  <c r="I1697" i="2"/>
  <c r="J1697" i="2"/>
  <c r="N1697" i="2"/>
  <c r="D1698" i="2"/>
  <c r="I1698" i="2"/>
  <c r="J1698" i="2"/>
  <c r="N1698" i="2"/>
  <c r="D1699" i="2"/>
  <c r="I1699" i="2"/>
  <c r="J1699" i="2"/>
  <c r="N1699" i="2"/>
  <c r="D1700" i="2"/>
  <c r="I1700" i="2"/>
  <c r="J1700" i="2"/>
  <c r="N1700" i="2"/>
  <c r="D1701" i="2"/>
  <c r="I1701" i="2"/>
  <c r="J1701" i="2"/>
  <c r="N1701" i="2"/>
  <c r="D1702" i="2"/>
  <c r="I1702" i="2"/>
  <c r="J1702" i="2"/>
  <c r="N1702" i="2"/>
  <c r="D1703" i="2"/>
  <c r="I1703" i="2"/>
  <c r="J1703" i="2"/>
  <c r="N1703" i="2"/>
  <c r="D1704" i="2"/>
  <c r="I1704" i="2"/>
  <c r="J1704" i="2"/>
  <c r="N1704" i="2"/>
  <c r="D1705" i="2"/>
  <c r="I1705" i="2"/>
  <c r="J1705" i="2"/>
  <c r="N1705" i="2"/>
  <c r="D1706" i="2"/>
  <c r="I1706" i="2"/>
  <c r="J1706" i="2"/>
  <c r="N1706" i="2"/>
  <c r="D1707" i="2"/>
  <c r="I1707" i="2"/>
  <c r="J1707" i="2"/>
  <c r="N1707" i="2"/>
  <c r="D1708" i="2"/>
  <c r="I1708" i="2"/>
  <c r="J1708" i="2"/>
  <c r="N1708" i="2"/>
  <c r="D1709" i="2"/>
  <c r="I1709" i="2"/>
  <c r="J1709" i="2"/>
  <c r="N1709" i="2"/>
  <c r="D1710" i="2"/>
  <c r="I1710" i="2"/>
  <c r="J1710" i="2"/>
  <c r="N1710" i="2"/>
  <c r="D1711" i="2"/>
  <c r="I1711" i="2"/>
  <c r="J1711" i="2"/>
  <c r="N1711" i="2"/>
  <c r="D1712" i="2"/>
  <c r="I1712" i="2"/>
  <c r="J1712" i="2"/>
  <c r="N1712" i="2"/>
  <c r="D1713" i="2"/>
  <c r="I1713" i="2"/>
  <c r="J1713" i="2"/>
  <c r="N1713" i="2"/>
  <c r="D1714" i="2"/>
  <c r="I1714" i="2"/>
  <c r="J1714" i="2"/>
  <c r="N1714" i="2"/>
  <c r="D1715" i="2"/>
  <c r="I1715" i="2"/>
  <c r="J1715" i="2"/>
  <c r="N1715" i="2"/>
  <c r="D1716" i="2"/>
  <c r="I1716" i="2"/>
  <c r="J1716" i="2"/>
  <c r="N1716" i="2"/>
  <c r="D1717" i="2"/>
  <c r="I1717" i="2"/>
  <c r="J1717" i="2"/>
  <c r="N1717" i="2"/>
  <c r="D1718" i="2"/>
  <c r="I1718" i="2"/>
  <c r="J1718" i="2"/>
  <c r="N1718" i="2"/>
  <c r="D1719" i="2"/>
  <c r="I1719" i="2"/>
  <c r="J1719" i="2"/>
  <c r="N1719" i="2"/>
  <c r="D1720" i="2"/>
  <c r="I1720" i="2"/>
  <c r="J1720" i="2"/>
  <c r="N1720" i="2"/>
  <c r="D1721" i="2"/>
  <c r="I1721" i="2"/>
  <c r="J1721" i="2"/>
  <c r="N1721" i="2"/>
  <c r="D1722" i="2"/>
  <c r="I1722" i="2"/>
  <c r="J1722" i="2"/>
  <c r="N1722" i="2"/>
  <c r="D1723" i="2"/>
  <c r="I1723" i="2"/>
  <c r="J1723" i="2"/>
  <c r="N1723" i="2"/>
  <c r="D1724" i="2"/>
  <c r="I1724" i="2"/>
  <c r="J1724" i="2"/>
  <c r="N1724" i="2"/>
  <c r="D1725" i="2"/>
  <c r="I1725" i="2"/>
  <c r="J1725" i="2"/>
  <c r="N1725" i="2"/>
  <c r="D1726" i="2"/>
  <c r="I1726" i="2"/>
  <c r="J1726" i="2"/>
  <c r="N1726" i="2"/>
  <c r="D1727" i="2"/>
  <c r="I1727" i="2"/>
  <c r="J1727" i="2"/>
  <c r="N1727" i="2"/>
  <c r="D1728" i="2"/>
  <c r="I1728" i="2"/>
  <c r="J1728" i="2"/>
  <c r="N1728" i="2"/>
  <c r="D1729" i="2"/>
  <c r="I1729" i="2"/>
  <c r="J1729" i="2"/>
  <c r="N1729" i="2"/>
  <c r="D1730" i="2"/>
  <c r="I1730" i="2"/>
  <c r="J1730" i="2"/>
  <c r="N1730" i="2"/>
  <c r="D1731" i="2"/>
  <c r="I1731" i="2"/>
  <c r="J1731" i="2"/>
  <c r="N1731" i="2"/>
  <c r="D1732" i="2"/>
  <c r="I1732" i="2"/>
  <c r="J1732" i="2"/>
  <c r="N1732" i="2"/>
  <c r="D1733" i="2"/>
  <c r="I1733" i="2"/>
  <c r="J1733" i="2"/>
  <c r="N1733" i="2"/>
  <c r="D1734" i="2"/>
  <c r="I1734" i="2"/>
  <c r="J1734" i="2"/>
  <c r="N1734" i="2"/>
  <c r="D1735" i="2"/>
  <c r="I1735" i="2"/>
  <c r="J1735" i="2"/>
  <c r="N1735" i="2"/>
  <c r="D1736" i="2"/>
  <c r="I1736" i="2"/>
  <c r="J1736" i="2"/>
  <c r="N1736" i="2"/>
  <c r="D1737" i="2"/>
  <c r="I1737" i="2"/>
  <c r="J1737" i="2"/>
  <c r="N1737" i="2"/>
  <c r="D1738" i="2"/>
  <c r="I1738" i="2"/>
  <c r="J1738" i="2"/>
  <c r="N1738" i="2"/>
  <c r="D1739" i="2"/>
  <c r="I1739" i="2"/>
  <c r="J1739" i="2"/>
  <c r="N1739" i="2"/>
  <c r="D1740" i="2"/>
  <c r="I1740" i="2"/>
  <c r="J1740" i="2"/>
  <c r="N1740" i="2"/>
  <c r="D1741" i="2"/>
  <c r="I1741" i="2"/>
  <c r="J1741" i="2"/>
  <c r="N1741" i="2"/>
  <c r="D1742" i="2"/>
  <c r="I1742" i="2"/>
  <c r="J1742" i="2"/>
  <c r="N1742" i="2"/>
  <c r="D1743" i="2"/>
  <c r="I1743" i="2"/>
  <c r="J1743" i="2"/>
  <c r="N1743" i="2"/>
  <c r="D1744" i="2"/>
  <c r="I1744" i="2"/>
  <c r="J1744" i="2"/>
  <c r="N1744" i="2"/>
  <c r="D1745" i="2"/>
  <c r="I1745" i="2"/>
  <c r="J1745" i="2"/>
  <c r="N1745" i="2"/>
  <c r="D1746" i="2"/>
  <c r="I1746" i="2"/>
  <c r="J1746" i="2"/>
  <c r="N1746" i="2"/>
  <c r="D1747" i="2"/>
  <c r="I1747" i="2"/>
  <c r="J1747" i="2"/>
  <c r="N1747" i="2"/>
  <c r="D1748" i="2"/>
  <c r="I1748" i="2"/>
  <c r="J1748" i="2"/>
  <c r="N1748" i="2"/>
  <c r="D1749" i="2"/>
  <c r="I1749" i="2"/>
  <c r="J1749" i="2"/>
  <c r="N1749" i="2"/>
  <c r="D1750" i="2"/>
  <c r="I1750" i="2"/>
  <c r="J1750" i="2"/>
  <c r="N1750" i="2"/>
  <c r="D1751" i="2"/>
  <c r="I1751" i="2"/>
  <c r="J1751" i="2"/>
  <c r="N1751" i="2"/>
  <c r="D1752" i="2"/>
  <c r="I1752" i="2"/>
  <c r="J1752" i="2"/>
  <c r="N1752" i="2"/>
  <c r="D1753" i="2"/>
  <c r="I1753" i="2"/>
  <c r="J1753" i="2"/>
  <c r="N1753" i="2"/>
  <c r="D1754" i="2"/>
  <c r="I1754" i="2"/>
  <c r="J1754" i="2"/>
  <c r="N1754" i="2"/>
  <c r="D1755" i="2"/>
  <c r="I1755" i="2"/>
  <c r="J1755" i="2"/>
  <c r="N1755" i="2"/>
  <c r="D1756" i="2"/>
  <c r="I1756" i="2"/>
  <c r="J1756" i="2"/>
  <c r="N1756" i="2"/>
  <c r="D1757" i="2"/>
  <c r="I1757" i="2"/>
  <c r="J1757" i="2"/>
  <c r="N1757" i="2"/>
  <c r="D1758" i="2"/>
  <c r="I1758" i="2"/>
  <c r="J1758" i="2"/>
  <c r="N1758" i="2"/>
  <c r="D1759" i="2"/>
  <c r="I1759" i="2"/>
  <c r="J1759" i="2"/>
  <c r="N1759" i="2"/>
  <c r="D1760" i="2"/>
  <c r="I1760" i="2"/>
  <c r="J1760" i="2"/>
  <c r="N1760" i="2"/>
  <c r="D1761" i="2"/>
  <c r="I1761" i="2"/>
  <c r="J1761" i="2"/>
  <c r="N1761" i="2"/>
  <c r="D1762" i="2"/>
  <c r="I1762" i="2"/>
  <c r="J1762" i="2"/>
  <c r="N1762" i="2"/>
  <c r="D1763" i="2"/>
  <c r="I1763" i="2"/>
  <c r="J1763" i="2"/>
  <c r="N1763" i="2"/>
  <c r="D1764" i="2"/>
  <c r="I1764" i="2"/>
  <c r="J1764" i="2"/>
  <c r="N1764" i="2"/>
  <c r="D1765" i="2"/>
  <c r="I1765" i="2"/>
  <c r="J1765" i="2"/>
  <c r="N1765" i="2"/>
  <c r="D1766" i="2"/>
  <c r="I1766" i="2"/>
  <c r="J1766" i="2"/>
  <c r="N1766" i="2"/>
  <c r="D1767" i="2"/>
  <c r="I1767" i="2"/>
  <c r="J1767" i="2"/>
  <c r="N1767" i="2"/>
  <c r="D1768" i="2"/>
  <c r="I1768" i="2"/>
  <c r="J1768" i="2"/>
  <c r="N1768" i="2"/>
  <c r="D1769" i="2"/>
  <c r="I1769" i="2"/>
  <c r="J1769" i="2"/>
  <c r="N1769" i="2"/>
  <c r="D1770" i="2"/>
  <c r="I1770" i="2"/>
  <c r="J1770" i="2"/>
  <c r="N1770" i="2"/>
  <c r="D1771" i="2"/>
  <c r="I1771" i="2"/>
  <c r="J1771" i="2"/>
  <c r="N1771" i="2"/>
  <c r="D1772" i="2"/>
  <c r="I1772" i="2"/>
  <c r="J1772" i="2"/>
  <c r="N1772" i="2"/>
  <c r="D1773" i="2"/>
  <c r="I1773" i="2"/>
  <c r="J1773" i="2"/>
  <c r="N1773" i="2"/>
  <c r="D1774" i="2"/>
  <c r="I1774" i="2"/>
  <c r="J1774" i="2"/>
  <c r="N1774" i="2"/>
  <c r="D1775" i="2"/>
  <c r="I1775" i="2"/>
  <c r="J1775" i="2"/>
  <c r="N1775" i="2"/>
  <c r="D1776" i="2"/>
  <c r="I1776" i="2"/>
  <c r="J1776" i="2"/>
  <c r="N1776" i="2"/>
  <c r="D1777" i="2"/>
  <c r="I1777" i="2"/>
  <c r="J1777" i="2"/>
  <c r="N1777" i="2"/>
  <c r="D1778" i="2"/>
  <c r="I1778" i="2"/>
  <c r="J1778" i="2"/>
  <c r="N1778" i="2"/>
  <c r="D1779" i="2"/>
  <c r="I1779" i="2"/>
  <c r="J1779" i="2"/>
  <c r="N1779" i="2"/>
  <c r="D1780" i="2"/>
  <c r="I1780" i="2"/>
  <c r="J1780" i="2"/>
  <c r="N1780" i="2"/>
  <c r="D1781" i="2"/>
  <c r="I1781" i="2"/>
  <c r="J1781" i="2"/>
  <c r="N1781" i="2"/>
  <c r="D1782" i="2"/>
  <c r="I1782" i="2"/>
  <c r="J1782" i="2"/>
  <c r="N1782" i="2"/>
  <c r="D1783" i="2"/>
  <c r="I1783" i="2"/>
  <c r="J1783" i="2"/>
  <c r="N1783" i="2"/>
  <c r="D1784" i="2"/>
  <c r="I1784" i="2"/>
  <c r="J1784" i="2"/>
  <c r="N1784" i="2"/>
  <c r="D1785" i="2"/>
  <c r="I1785" i="2"/>
  <c r="J1785" i="2"/>
  <c r="N1785" i="2"/>
  <c r="D1786" i="2"/>
  <c r="I1786" i="2"/>
  <c r="J1786" i="2"/>
  <c r="N1786" i="2"/>
  <c r="D1787" i="2"/>
  <c r="I1787" i="2"/>
  <c r="J1787" i="2"/>
  <c r="N1787" i="2"/>
  <c r="D1788" i="2"/>
  <c r="I1788" i="2"/>
  <c r="J1788" i="2"/>
  <c r="N1788" i="2"/>
  <c r="D1789" i="2"/>
  <c r="I1789" i="2"/>
  <c r="J1789" i="2"/>
  <c r="N1789" i="2"/>
  <c r="D1790" i="2"/>
  <c r="I1790" i="2"/>
  <c r="J1790" i="2"/>
  <c r="N1790" i="2"/>
  <c r="D1791" i="2"/>
  <c r="I1791" i="2"/>
  <c r="J1791" i="2"/>
  <c r="N1791" i="2"/>
  <c r="D1792" i="2"/>
  <c r="I1792" i="2"/>
  <c r="J1792" i="2"/>
  <c r="N1792" i="2"/>
  <c r="D1793" i="2"/>
  <c r="I1793" i="2"/>
  <c r="J1793" i="2"/>
  <c r="N1793" i="2"/>
  <c r="D1794" i="2"/>
  <c r="I1794" i="2"/>
  <c r="J1794" i="2"/>
  <c r="N1794" i="2"/>
  <c r="D1795" i="2"/>
  <c r="I1795" i="2"/>
  <c r="J1795" i="2"/>
  <c r="N1795" i="2"/>
  <c r="D1796" i="2"/>
  <c r="I1796" i="2"/>
  <c r="J1796" i="2"/>
  <c r="N1796" i="2"/>
  <c r="D1797" i="2"/>
  <c r="I1797" i="2"/>
  <c r="J1797" i="2"/>
  <c r="N1797" i="2"/>
  <c r="D1798" i="2"/>
  <c r="I1798" i="2"/>
  <c r="J1798" i="2"/>
  <c r="N1798" i="2"/>
  <c r="D1799" i="2"/>
  <c r="I1799" i="2"/>
  <c r="J1799" i="2"/>
  <c r="N1799" i="2"/>
  <c r="D1800" i="2"/>
  <c r="I1800" i="2"/>
  <c r="J1800" i="2"/>
  <c r="N1800" i="2"/>
  <c r="D1801" i="2"/>
  <c r="I1801" i="2"/>
  <c r="J1801" i="2"/>
  <c r="N1801" i="2"/>
  <c r="D1802" i="2"/>
  <c r="I1802" i="2"/>
  <c r="J1802" i="2"/>
  <c r="N1802" i="2"/>
  <c r="D1803" i="2"/>
  <c r="I1803" i="2"/>
  <c r="J1803" i="2"/>
  <c r="N1803" i="2"/>
  <c r="D1804" i="2"/>
  <c r="I1804" i="2"/>
  <c r="J1804" i="2"/>
  <c r="N1804" i="2"/>
  <c r="D1805" i="2"/>
  <c r="I1805" i="2"/>
  <c r="J1805" i="2"/>
  <c r="N1805" i="2"/>
  <c r="D1806" i="2"/>
  <c r="I1806" i="2"/>
  <c r="J1806" i="2"/>
  <c r="N1806" i="2"/>
  <c r="D1807" i="2"/>
  <c r="I1807" i="2"/>
  <c r="J1807" i="2"/>
  <c r="N1807" i="2"/>
  <c r="D1808" i="2"/>
  <c r="I1808" i="2"/>
  <c r="J1808" i="2"/>
  <c r="N1808" i="2"/>
  <c r="D1809" i="2"/>
  <c r="I1809" i="2"/>
  <c r="J1809" i="2"/>
  <c r="N1809" i="2"/>
  <c r="D1810" i="2"/>
  <c r="I1810" i="2"/>
  <c r="J1810" i="2"/>
  <c r="N1810" i="2"/>
  <c r="D1811" i="2"/>
  <c r="I1811" i="2"/>
  <c r="J1811" i="2"/>
  <c r="N1811" i="2"/>
  <c r="D1812" i="2"/>
  <c r="I1812" i="2"/>
  <c r="J1812" i="2"/>
  <c r="N1812" i="2"/>
  <c r="D1813" i="2"/>
  <c r="I1813" i="2"/>
  <c r="J1813" i="2"/>
  <c r="N1813" i="2"/>
  <c r="D1814" i="2"/>
  <c r="I1814" i="2"/>
  <c r="J1814" i="2"/>
  <c r="N1814" i="2"/>
  <c r="D1815" i="2"/>
  <c r="I1815" i="2"/>
  <c r="J1815" i="2"/>
  <c r="N1815" i="2"/>
  <c r="D1816" i="2"/>
  <c r="I1816" i="2"/>
  <c r="J1816" i="2"/>
  <c r="N1816" i="2"/>
  <c r="D1817" i="2"/>
  <c r="I1817" i="2"/>
  <c r="J1817" i="2"/>
  <c r="N1817" i="2"/>
  <c r="D1818" i="2"/>
  <c r="I1818" i="2"/>
  <c r="J1818" i="2"/>
  <c r="N1818" i="2"/>
  <c r="D1819" i="2"/>
  <c r="I1819" i="2"/>
  <c r="J1819" i="2"/>
  <c r="N1819" i="2"/>
  <c r="D1820" i="2"/>
  <c r="I1820" i="2"/>
  <c r="J1820" i="2"/>
  <c r="N1820" i="2"/>
  <c r="D1821" i="2"/>
  <c r="I1821" i="2"/>
  <c r="J1821" i="2"/>
  <c r="N1821" i="2"/>
  <c r="D1822" i="2"/>
  <c r="I1822" i="2"/>
  <c r="J1822" i="2"/>
  <c r="N1822" i="2"/>
  <c r="D1823" i="2"/>
  <c r="I1823" i="2"/>
  <c r="J1823" i="2"/>
  <c r="N1823" i="2"/>
  <c r="D1824" i="2"/>
  <c r="I1824" i="2"/>
  <c r="J1824" i="2"/>
  <c r="N1824" i="2"/>
  <c r="D1825" i="2"/>
  <c r="I1825" i="2"/>
  <c r="J1825" i="2"/>
  <c r="N1825" i="2"/>
  <c r="D1826" i="2"/>
  <c r="I1826" i="2"/>
  <c r="J1826" i="2"/>
  <c r="N1826" i="2"/>
  <c r="D1827" i="2"/>
  <c r="I1827" i="2"/>
  <c r="J1827" i="2"/>
  <c r="N1827" i="2"/>
  <c r="D1828" i="2"/>
  <c r="I1828" i="2"/>
  <c r="J1828" i="2"/>
  <c r="N1828" i="2"/>
  <c r="D1829" i="2"/>
  <c r="I1829" i="2"/>
  <c r="J1829" i="2"/>
  <c r="N1829" i="2"/>
  <c r="D1830" i="2"/>
  <c r="I1830" i="2"/>
  <c r="J1830" i="2"/>
  <c r="N1830" i="2"/>
  <c r="D1831" i="2"/>
  <c r="I1831" i="2"/>
  <c r="J1831" i="2"/>
  <c r="N1831" i="2"/>
  <c r="D1832" i="2"/>
  <c r="I1832" i="2"/>
  <c r="J1832" i="2"/>
  <c r="N1832" i="2"/>
  <c r="D1833" i="2"/>
  <c r="I1833" i="2"/>
  <c r="J1833" i="2"/>
  <c r="N1833" i="2"/>
  <c r="D1834" i="2"/>
  <c r="I1834" i="2"/>
  <c r="J1834" i="2"/>
  <c r="N1834" i="2"/>
  <c r="D1835" i="2"/>
  <c r="I1835" i="2"/>
  <c r="J1835" i="2"/>
  <c r="N1835" i="2"/>
  <c r="D1836" i="2"/>
  <c r="I1836" i="2"/>
  <c r="J1836" i="2"/>
  <c r="N1836" i="2"/>
  <c r="D1837" i="2"/>
  <c r="I1837" i="2"/>
  <c r="J1837" i="2"/>
  <c r="N1837" i="2"/>
  <c r="D1838" i="2"/>
  <c r="I1838" i="2"/>
  <c r="J1838" i="2"/>
  <c r="N1838" i="2"/>
  <c r="D1839" i="2"/>
  <c r="I1839" i="2"/>
  <c r="J1839" i="2"/>
  <c r="N1839" i="2"/>
  <c r="D1840" i="2"/>
  <c r="I1840" i="2"/>
  <c r="J1840" i="2"/>
  <c r="N1840" i="2"/>
  <c r="D1841" i="2"/>
  <c r="I1841" i="2"/>
  <c r="J1841" i="2"/>
  <c r="N1841" i="2"/>
  <c r="D1842" i="2"/>
  <c r="I1842" i="2"/>
  <c r="J1842" i="2"/>
  <c r="N1842" i="2"/>
  <c r="D1843" i="2"/>
  <c r="I1843" i="2"/>
  <c r="J1843" i="2"/>
  <c r="N1843" i="2"/>
  <c r="D1844" i="2"/>
  <c r="I1844" i="2"/>
  <c r="J1844" i="2"/>
  <c r="N1844" i="2"/>
  <c r="D1845" i="2"/>
  <c r="I1845" i="2"/>
  <c r="J1845" i="2"/>
  <c r="N1845" i="2"/>
  <c r="D1846" i="2"/>
  <c r="I1846" i="2"/>
  <c r="J1846" i="2"/>
  <c r="N1846" i="2"/>
  <c r="D1847" i="2"/>
  <c r="I1847" i="2"/>
  <c r="J1847" i="2"/>
  <c r="N1847" i="2"/>
  <c r="D1848" i="2"/>
  <c r="I1848" i="2"/>
  <c r="J1848" i="2"/>
  <c r="N1848" i="2"/>
  <c r="D1849" i="2"/>
  <c r="I1849" i="2"/>
  <c r="J1849" i="2"/>
  <c r="N1849" i="2"/>
  <c r="D1850" i="2"/>
  <c r="I1850" i="2"/>
  <c r="J1850" i="2"/>
  <c r="N1850" i="2"/>
  <c r="D1851" i="2"/>
  <c r="I1851" i="2"/>
  <c r="J1851" i="2"/>
  <c r="N1851" i="2"/>
  <c r="D1852" i="2"/>
  <c r="I1852" i="2"/>
  <c r="J1852" i="2"/>
  <c r="N1852" i="2"/>
  <c r="D1853" i="2"/>
  <c r="I1853" i="2"/>
  <c r="J1853" i="2"/>
  <c r="N1853" i="2"/>
  <c r="D1854" i="2"/>
  <c r="I1854" i="2"/>
  <c r="J1854" i="2"/>
  <c r="N1854" i="2"/>
  <c r="D1855" i="2"/>
  <c r="I1855" i="2"/>
  <c r="J1855" i="2"/>
  <c r="N1855" i="2"/>
  <c r="D1856" i="2"/>
  <c r="I1856" i="2"/>
  <c r="J1856" i="2"/>
  <c r="N1856" i="2"/>
  <c r="D1857" i="2"/>
  <c r="I1857" i="2"/>
  <c r="J1857" i="2"/>
  <c r="N1857" i="2"/>
  <c r="D1858" i="2"/>
  <c r="I1858" i="2"/>
  <c r="J1858" i="2"/>
  <c r="N1858" i="2"/>
  <c r="D1859" i="2"/>
  <c r="I1859" i="2"/>
  <c r="J1859" i="2"/>
  <c r="N1859" i="2"/>
  <c r="D1860" i="2"/>
  <c r="I1860" i="2"/>
  <c r="J1860" i="2"/>
  <c r="N1860" i="2"/>
  <c r="D1861" i="2"/>
  <c r="I1861" i="2"/>
  <c r="J1861" i="2"/>
  <c r="N1861" i="2"/>
  <c r="D1862" i="2"/>
  <c r="I1862" i="2"/>
  <c r="J1862" i="2"/>
  <c r="N1862" i="2"/>
  <c r="D1863" i="2"/>
  <c r="I1863" i="2"/>
  <c r="J1863" i="2"/>
  <c r="N1863" i="2"/>
  <c r="D1864" i="2"/>
  <c r="I1864" i="2"/>
  <c r="J1864" i="2"/>
  <c r="N1864" i="2"/>
  <c r="D1865" i="2"/>
  <c r="I1865" i="2"/>
  <c r="J1865" i="2"/>
  <c r="N1865" i="2"/>
  <c r="D1866" i="2"/>
  <c r="I1866" i="2"/>
  <c r="J1866" i="2"/>
  <c r="N1866" i="2"/>
  <c r="D1867" i="2"/>
  <c r="I1867" i="2"/>
  <c r="J1867" i="2"/>
  <c r="N1867" i="2"/>
  <c r="D1868" i="2"/>
  <c r="I1868" i="2"/>
  <c r="J1868" i="2"/>
  <c r="N1868" i="2"/>
  <c r="D1869" i="2"/>
  <c r="I1869" i="2"/>
  <c r="J1869" i="2"/>
  <c r="N1869" i="2"/>
  <c r="D1870" i="2"/>
  <c r="I1870" i="2"/>
  <c r="J1870" i="2"/>
  <c r="N1870" i="2"/>
  <c r="D1871" i="2"/>
  <c r="I1871" i="2"/>
  <c r="J1871" i="2"/>
  <c r="N1871" i="2"/>
  <c r="D1872" i="2"/>
  <c r="I1872" i="2"/>
  <c r="J1872" i="2"/>
  <c r="N1872" i="2"/>
  <c r="D1873" i="2"/>
  <c r="I1873" i="2"/>
  <c r="J1873" i="2"/>
  <c r="N1873" i="2"/>
  <c r="D1874" i="2"/>
  <c r="I1874" i="2"/>
  <c r="J1874" i="2"/>
  <c r="N1874" i="2"/>
  <c r="D1875" i="2"/>
  <c r="I1875" i="2"/>
  <c r="J1875" i="2"/>
  <c r="N1875" i="2"/>
  <c r="D1876" i="2"/>
  <c r="I1876" i="2"/>
  <c r="J1876" i="2"/>
  <c r="N1876" i="2"/>
  <c r="D1877" i="2"/>
  <c r="I1877" i="2"/>
  <c r="J1877" i="2"/>
  <c r="N1877" i="2"/>
  <c r="D1878" i="2"/>
  <c r="I1878" i="2"/>
  <c r="J1878" i="2"/>
  <c r="N1878" i="2"/>
  <c r="D1879" i="2"/>
  <c r="I1879" i="2"/>
  <c r="J1879" i="2"/>
  <c r="N1879" i="2"/>
  <c r="D1880" i="2"/>
  <c r="I1880" i="2"/>
  <c r="J1880" i="2"/>
  <c r="N1880" i="2"/>
  <c r="D1881" i="2"/>
  <c r="I1881" i="2"/>
  <c r="J1881" i="2"/>
  <c r="N1881" i="2"/>
  <c r="D1882" i="2"/>
  <c r="I1882" i="2"/>
  <c r="J1882" i="2"/>
  <c r="N1882" i="2"/>
  <c r="D1883" i="2"/>
  <c r="I1883" i="2"/>
  <c r="J1883" i="2"/>
  <c r="N1883" i="2"/>
  <c r="D1884" i="2"/>
  <c r="I1884" i="2"/>
  <c r="J1884" i="2"/>
  <c r="N1884" i="2"/>
  <c r="D1885" i="2"/>
  <c r="I1885" i="2"/>
  <c r="J1885" i="2"/>
  <c r="N1885" i="2"/>
  <c r="D1886" i="2"/>
  <c r="I1886" i="2"/>
  <c r="J1886" i="2"/>
  <c r="N1886" i="2"/>
  <c r="D1887" i="2"/>
  <c r="I1887" i="2"/>
  <c r="J1887" i="2"/>
  <c r="N1887" i="2"/>
  <c r="D1888" i="2"/>
  <c r="I1888" i="2"/>
  <c r="J1888" i="2"/>
  <c r="N1888" i="2"/>
  <c r="D1889" i="2"/>
  <c r="I1889" i="2"/>
  <c r="J1889" i="2"/>
  <c r="N1889" i="2"/>
  <c r="D1890" i="2"/>
  <c r="I1890" i="2"/>
  <c r="J1890" i="2"/>
  <c r="N1890" i="2"/>
  <c r="D1891" i="2"/>
  <c r="I1891" i="2"/>
  <c r="J1891" i="2"/>
  <c r="N1891" i="2"/>
  <c r="D1892" i="2"/>
  <c r="I1892" i="2"/>
  <c r="J1892" i="2"/>
  <c r="N1892" i="2"/>
  <c r="D1893" i="2"/>
  <c r="I1893" i="2"/>
  <c r="J1893" i="2"/>
  <c r="N1893" i="2"/>
  <c r="D1894" i="2"/>
  <c r="I1894" i="2"/>
  <c r="J1894" i="2"/>
  <c r="N1894" i="2"/>
  <c r="D1895" i="2"/>
  <c r="I1895" i="2"/>
  <c r="J1895" i="2"/>
  <c r="N1895" i="2"/>
  <c r="D1896" i="2"/>
  <c r="I1896" i="2"/>
  <c r="J1896" i="2"/>
  <c r="N1896" i="2"/>
  <c r="D1897" i="2"/>
  <c r="I1897" i="2"/>
  <c r="J1897" i="2"/>
  <c r="N1897" i="2"/>
  <c r="D1898" i="2"/>
  <c r="I1898" i="2"/>
  <c r="J1898" i="2"/>
  <c r="N1898" i="2"/>
  <c r="D1899" i="2"/>
  <c r="I1899" i="2"/>
  <c r="J1899" i="2"/>
  <c r="N1899" i="2"/>
  <c r="D1900" i="2"/>
  <c r="I1900" i="2"/>
  <c r="J1900" i="2"/>
  <c r="N1900" i="2"/>
  <c r="D1901" i="2"/>
  <c r="I1901" i="2"/>
  <c r="J1901" i="2"/>
  <c r="N1901" i="2"/>
  <c r="D1902" i="2"/>
  <c r="I1902" i="2"/>
  <c r="J1902" i="2"/>
  <c r="N1902" i="2"/>
  <c r="D1903" i="2"/>
  <c r="I1903" i="2"/>
  <c r="J1903" i="2"/>
  <c r="N1903" i="2"/>
  <c r="D1904" i="2"/>
  <c r="I1904" i="2"/>
  <c r="J1904" i="2"/>
  <c r="N1904" i="2"/>
  <c r="D1905" i="2"/>
  <c r="I1905" i="2"/>
  <c r="J1905" i="2"/>
  <c r="N1905" i="2"/>
  <c r="D1906" i="2"/>
  <c r="I1906" i="2"/>
  <c r="J1906" i="2"/>
  <c r="N1906" i="2"/>
  <c r="D1907" i="2"/>
  <c r="I1907" i="2"/>
  <c r="J1907" i="2"/>
  <c r="N1907" i="2"/>
  <c r="D1908" i="2"/>
  <c r="I1908" i="2"/>
  <c r="J1908" i="2"/>
  <c r="N1908" i="2"/>
  <c r="D1909" i="2"/>
  <c r="I1909" i="2"/>
  <c r="J1909" i="2"/>
  <c r="N1909" i="2"/>
  <c r="D1910" i="2"/>
  <c r="I1910" i="2"/>
  <c r="J1910" i="2"/>
  <c r="N1910" i="2"/>
  <c r="D1911" i="2"/>
  <c r="I1911" i="2"/>
  <c r="J1911" i="2"/>
  <c r="N1911" i="2"/>
  <c r="D1912" i="2"/>
  <c r="I1912" i="2"/>
  <c r="J1912" i="2"/>
  <c r="N1912" i="2"/>
  <c r="D1913" i="2"/>
  <c r="I1913" i="2"/>
  <c r="J1913" i="2"/>
  <c r="N1913" i="2"/>
  <c r="D1914" i="2"/>
  <c r="I1914" i="2"/>
  <c r="J1914" i="2"/>
  <c r="N1914" i="2"/>
  <c r="D1915" i="2"/>
  <c r="I1915" i="2"/>
  <c r="J1915" i="2"/>
  <c r="N1915" i="2"/>
  <c r="D1916" i="2"/>
  <c r="I1916" i="2"/>
  <c r="J1916" i="2"/>
  <c r="N1916" i="2"/>
  <c r="D1917" i="2"/>
  <c r="I1917" i="2"/>
  <c r="J1917" i="2"/>
  <c r="N1917" i="2"/>
  <c r="D1918" i="2"/>
  <c r="I1918" i="2"/>
  <c r="J1918" i="2"/>
  <c r="N1918" i="2"/>
  <c r="D1919" i="2"/>
  <c r="I1919" i="2"/>
  <c r="J1919" i="2"/>
  <c r="N1919" i="2"/>
  <c r="D1920" i="2"/>
  <c r="I1920" i="2"/>
  <c r="J1920" i="2"/>
  <c r="N1920" i="2"/>
  <c r="D1921" i="2"/>
  <c r="I1921" i="2"/>
  <c r="J1921" i="2"/>
  <c r="N1921" i="2"/>
  <c r="D1922" i="2"/>
  <c r="I1922" i="2"/>
  <c r="J1922" i="2"/>
  <c r="N1922" i="2"/>
  <c r="D1923" i="2"/>
  <c r="I1923" i="2"/>
  <c r="J1923" i="2"/>
  <c r="N1923" i="2"/>
  <c r="D1924" i="2"/>
  <c r="I1924" i="2"/>
  <c r="J1924" i="2"/>
  <c r="N1924" i="2"/>
  <c r="D1925" i="2"/>
  <c r="I1925" i="2"/>
  <c r="J1925" i="2"/>
  <c r="N1925" i="2"/>
  <c r="D1926" i="2"/>
  <c r="I1926" i="2"/>
  <c r="J1926" i="2"/>
  <c r="N1926" i="2"/>
  <c r="D1927" i="2"/>
  <c r="I1927" i="2"/>
  <c r="J1927" i="2"/>
  <c r="N1927" i="2"/>
  <c r="D1928" i="2"/>
  <c r="I1928" i="2"/>
  <c r="J1928" i="2"/>
  <c r="N1928" i="2"/>
  <c r="D1929" i="2"/>
  <c r="I1929" i="2"/>
  <c r="J1929" i="2"/>
  <c r="N1929" i="2"/>
  <c r="D1930" i="2"/>
  <c r="I1930" i="2"/>
  <c r="J1930" i="2"/>
  <c r="N1930" i="2"/>
  <c r="D1931" i="2"/>
  <c r="I1931" i="2"/>
  <c r="J1931" i="2"/>
  <c r="N1931" i="2"/>
  <c r="D1932" i="2"/>
  <c r="I1932" i="2"/>
  <c r="J1932" i="2"/>
  <c r="N1932" i="2"/>
  <c r="D1933" i="2"/>
  <c r="I1933" i="2"/>
  <c r="J1933" i="2"/>
  <c r="N1933" i="2"/>
  <c r="D1934" i="2"/>
  <c r="I1934" i="2"/>
  <c r="J1934" i="2"/>
  <c r="N1934" i="2"/>
  <c r="D1935" i="2"/>
  <c r="I1935" i="2"/>
  <c r="J1935" i="2"/>
  <c r="N1935" i="2"/>
  <c r="D1936" i="2"/>
  <c r="I1936" i="2"/>
  <c r="J1936" i="2"/>
  <c r="N1936" i="2"/>
  <c r="D1937" i="2"/>
  <c r="I1937" i="2"/>
  <c r="J1937" i="2"/>
  <c r="N1937" i="2"/>
  <c r="D1938" i="2"/>
  <c r="I1938" i="2"/>
  <c r="J1938" i="2"/>
  <c r="N1938" i="2"/>
  <c r="D1939" i="2"/>
  <c r="I1939" i="2"/>
  <c r="J1939" i="2"/>
  <c r="N1939" i="2"/>
  <c r="D1940" i="2"/>
  <c r="I1940" i="2"/>
  <c r="J1940" i="2"/>
  <c r="N1940" i="2"/>
  <c r="D1941" i="2"/>
  <c r="I1941" i="2"/>
  <c r="J1941" i="2"/>
  <c r="N1941" i="2"/>
  <c r="D1942" i="2"/>
  <c r="I1942" i="2"/>
  <c r="J1942" i="2"/>
  <c r="N1942" i="2"/>
  <c r="D1943" i="2"/>
  <c r="I1943" i="2"/>
  <c r="J1943" i="2"/>
  <c r="N1943" i="2"/>
  <c r="D1944" i="2"/>
  <c r="I1944" i="2"/>
  <c r="J1944" i="2"/>
  <c r="N1944" i="2"/>
  <c r="D1945" i="2"/>
  <c r="I1945" i="2"/>
  <c r="J1945" i="2"/>
  <c r="N1945" i="2"/>
  <c r="D1946" i="2"/>
  <c r="I1946" i="2"/>
  <c r="J1946" i="2"/>
  <c r="N1946" i="2"/>
  <c r="D1947" i="2"/>
  <c r="I1947" i="2"/>
  <c r="J1947" i="2"/>
  <c r="N1947" i="2"/>
  <c r="D1948" i="2"/>
  <c r="I1948" i="2"/>
  <c r="J1948" i="2"/>
  <c r="N1948" i="2"/>
  <c r="D1949" i="2"/>
  <c r="I1949" i="2"/>
  <c r="J1949" i="2"/>
  <c r="N1949" i="2"/>
  <c r="D1950" i="2"/>
  <c r="I1950" i="2"/>
  <c r="J1950" i="2"/>
  <c r="N1950" i="2"/>
  <c r="D1951" i="2"/>
  <c r="I1951" i="2"/>
  <c r="J1951" i="2"/>
  <c r="N1951" i="2"/>
  <c r="D1952" i="2"/>
  <c r="I1952" i="2"/>
  <c r="J1952" i="2"/>
  <c r="N1952" i="2"/>
  <c r="D1953" i="2"/>
  <c r="I1953" i="2"/>
  <c r="J1953" i="2"/>
  <c r="N1953" i="2"/>
  <c r="D1954" i="2"/>
  <c r="I1954" i="2"/>
  <c r="J1954" i="2"/>
  <c r="N1954" i="2"/>
  <c r="D1955" i="2"/>
  <c r="I1955" i="2"/>
  <c r="J1955" i="2"/>
  <c r="N1955" i="2"/>
  <c r="D1956" i="2"/>
  <c r="I1956" i="2"/>
  <c r="J1956" i="2"/>
  <c r="N1956" i="2"/>
  <c r="D1957" i="2"/>
  <c r="I1957" i="2"/>
  <c r="J1957" i="2"/>
  <c r="N1957" i="2"/>
  <c r="D1958" i="2"/>
  <c r="I1958" i="2"/>
  <c r="J1958" i="2"/>
  <c r="N1958" i="2"/>
  <c r="D1959" i="2"/>
  <c r="I1959" i="2"/>
  <c r="J1959" i="2"/>
  <c r="N1959" i="2"/>
  <c r="D1960" i="2"/>
  <c r="I1960" i="2"/>
  <c r="J1960" i="2"/>
  <c r="N1960" i="2"/>
  <c r="D1961" i="2"/>
  <c r="I1961" i="2"/>
  <c r="J1961" i="2"/>
  <c r="N1961" i="2"/>
  <c r="D1962" i="2"/>
  <c r="I1962" i="2"/>
  <c r="J1962" i="2"/>
  <c r="N1962" i="2"/>
  <c r="D1963" i="2"/>
  <c r="I1963" i="2"/>
  <c r="J1963" i="2"/>
  <c r="N1963" i="2"/>
  <c r="D1964" i="2"/>
  <c r="I1964" i="2"/>
  <c r="J1964" i="2"/>
  <c r="N1964" i="2"/>
  <c r="D1965" i="2"/>
  <c r="I1965" i="2"/>
  <c r="J1965" i="2"/>
  <c r="N1965" i="2"/>
  <c r="D1966" i="2"/>
  <c r="I1966" i="2"/>
  <c r="J1966" i="2"/>
  <c r="N1966" i="2"/>
  <c r="D1967" i="2"/>
  <c r="I1967" i="2"/>
  <c r="J1967" i="2"/>
  <c r="N1967" i="2"/>
  <c r="D1968" i="2"/>
  <c r="I1968" i="2"/>
  <c r="J1968" i="2"/>
  <c r="N1968" i="2"/>
  <c r="D1969" i="2"/>
  <c r="I1969" i="2"/>
  <c r="J1969" i="2"/>
  <c r="N1969" i="2"/>
  <c r="D1970" i="2"/>
  <c r="I1970" i="2"/>
  <c r="J1970" i="2"/>
  <c r="N1970" i="2"/>
  <c r="D1971" i="2"/>
  <c r="I1971" i="2"/>
  <c r="J1971" i="2"/>
  <c r="N1971" i="2"/>
  <c r="D1972" i="2"/>
  <c r="I1972" i="2"/>
  <c r="J1972" i="2"/>
  <c r="N1972" i="2"/>
  <c r="D1973" i="2"/>
  <c r="I1973" i="2"/>
  <c r="J1973" i="2"/>
  <c r="N1973" i="2"/>
  <c r="D1974" i="2"/>
  <c r="I1974" i="2"/>
  <c r="J1974" i="2"/>
  <c r="N1974" i="2"/>
  <c r="D1975" i="2"/>
  <c r="I1975" i="2"/>
  <c r="J1975" i="2"/>
  <c r="N1975" i="2"/>
  <c r="D1976" i="2"/>
  <c r="I1976" i="2"/>
  <c r="J1976" i="2"/>
  <c r="N1976" i="2"/>
  <c r="D1977" i="2"/>
  <c r="I1977" i="2"/>
  <c r="J1977" i="2"/>
  <c r="N1977" i="2"/>
  <c r="D1978" i="2"/>
  <c r="I1978" i="2"/>
  <c r="J1978" i="2"/>
  <c r="N1978" i="2"/>
  <c r="D1979" i="2"/>
  <c r="I1979" i="2"/>
  <c r="J1979" i="2"/>
  <c r="N1979" i="2"/>
  <c r="D1980" i="2"/>
  <c r="I1980" i="2"/>
  <c r="J1980" i="2"/>
  <c r="N1980" i="2"/>
  <c r="D1981" i="2"/>
  <c r="I1981" i="2"/>
  <c r="J1981" i="2"/>
  <c r="N1981" i="2"/>
  <c r="D1982" i="2"/>
  <c r="I1982" i="2"/>
  <c r="J1982" i="2"/>
  <c r="N1982" i="2"/>
  <c r="D1983" i="2"/>
  <c r="I1983" i="2"/>
  <c r="J1983" i="2"/>
  <c r="N1983" i="2"/>
  <c r="D1984" i="2"/>
  <c r="I1984" i="2"/>
  <c r="J1984" i="2"/>
  <c r="N1984" i="2"/>
  <c r="D1985" i="2"/>
  <c r="I1985" i="2"/>
  <c r="J1985" i="2"/>
  <c r="N1985" i="2"/>
  <c r="D1986" i="2"/>
  <c r="I1986" i="2"/>
  <c r="J1986" i="2"/>
  <c r="N1986" i="2"/>
  <c r="D1987" i="2"/>
  <c r="I1987" i="2"/>
  <c r="J1987" i="2"/>
  <c r="N1987" i="2"/>
  <c r="D1988" i="2"/>
  <c r="I1988" i="2"/>
  <c r="J1988" i="2"/>
  <c r="N1988" i="2"/>
  <c r="D1989" i="2"/>
  <c r="I1989" i="2"/>
  <c r="J1989" i="2"/>
  <c r="N1989" i="2"/>
  <c r="D1990" i="2"/>
  <c r="I1990" i="2"/>
  <c r="J1990" i="2"/>
  <c r="N1990" i="2"/>
  <c r="D1991" i="2"/>
  <c r="I1991" i="2"/>
  <c r="J1991" i="2"/>
  <c r="N1991" i="2"/>
  <c r="D1992" i="2"/>
  <c r="I1992" i="2"/>
  <c r="J1992" i="2"/>
  <c r="N1992" i="2"/>
  <c r="D1993" i="2"/>
  <c r="I1993" i="2"/>
  <c r="J1993" i="2"/>
  <c r="N1993" i="2"/>
  <c r="D1994" i="2"/>
  <c r="I1994" i="2"/>
  <c r="J1994" i="2"/>
  <c r="N1994" i="2"/>
  <c r="D1995" i="2"/>
  <c r="I1995" i="2"/>
  <c r="J1995" i="2"/>
  <c r="N1995" i="2"/>
  <c r="D1996" i="2"/>
  <c r="I1996" i="2"/>
  <c r="J1996" i="2"/>
  <c r="N1996" i="2"/>
  <c r="D1997" i="2"/>
  <c r="I1997" i="2"/>
  <c r="J1997" i="2"/>
  <c r="N1997" i="2"/>
  <c r="D1998" i="2"/>
  <c r="I1998" i="2"/>
  <c r="J1998" i="2"/>
  <c r="N1998" i="2"/>
  <c r="D1999" i="2"/>
  <c r="I1999" i="2"/>
  <c r="J1999" i="2"/>
  <c r="N1999" i="2"/>
  <c r="D2000" i="2"/>
  <c r="I2000" i="2"/>
  <c r="J2000" i="2"/>
  <c r="N2000" i="2"/>
  <c r="D2001" i="2"/>
  <c r="I2001" i="2"/>
  <c r="J2001" i="2"/>
  <c r="N2001" i="2"/>
  <c r="D2002" i="2"/>
  <c r="I2002" i="2"/>
  <c r="J2002" i="2"/>
  <c r="N2002" i="2"/>
  <c r="D2003" i="2"/>
  <c r="I2003" i="2"/>
  <c r="J2003" i="2"/>
  <c r="N2003" i="2"/>
  <c r="D2004" i="2"/>
  <c r="I2004" i="2"/>
  <c r="J2004" i="2"/>
  <c r="N2004" i="2"/>
  <c r="D2005" i="2"/>
  <c r="I2005" i="2"/>
  <c r="J2005" i="2"/>
  <c r="N2005" i="2"/>
  <c r="D2006" i="2"/>
  <c r="I2006" i="2"/>
  <c r="J2006" i="2"/>
  <c r="N2006" i="2"/>
  <c r="D2007" i="2"/>
  <c r="I2007" i="2"/>
  <c r="J2007" i="2"/>
  <c r="N2007" i="2"/>
  <c r="D2008" i="2"/>
  <c r="I2008" i="2"/>
  <c r="J2008" i="2"/>
  <c r="N2008" i="2"/>
  <c r="D2009" i="2"/>
  <c r="I2009" i="2"/>
  <c r="J2009" i="2"/>
  <c r="N2009" i="2"/>
  <c r="D2010" i="2"/>
  <c r="I2010" i="2"/>
  <c r="J2010" i="2"/>
  <c r="N2010" i="2"/>
  <c r="D2011" i="2"/>
  <c r="I2011" i="2"/>
  <c r="J2011" i="2"/>
  <c r="N2011" i="2"/>
  <c r="D2012" i="2"/>
  <c r="I2012" i="2"/>
  <c r="J2012" i="2"/>
  <c r="N2012" i="2"/>
  <c r="D2013" i="2"/>
  <c r="I2013" i="2"/>
  <c r="J2013" i="2"/>
  <c r="N2013" i="2"/>
  <c r="D2014" i="2"/>
  <c r="I2014" i="2"/>
  <c r="J2014" i="2"/>
  <c r="N2014" i="2"/>
  <c r="D2015" i="2"/>
  <c r="I2015" i="2"/>
  <c r="J2015" i="2"/>
  <c r="N2015" i="2"/>
  <c r="D2016" i="2"/>
  <c r="I2016" i="2"/>
  <c r="J2016" i="2"/>
  <c r="N2016" i="2"/>
  <c r="D2017" i="2"/>
  <c r="I2017" i="2"/>
  <c r="J2017" i="2"/>
  <c r="N2017" i="2"/>
  <c r="D2018" i="2"/>
  <c r="I2018" i="2"/>
  <c r="J2018" i="2"/>
  <c r="N2018" i="2"/>
  <c r="D2019" i="2"/>
  <c r="I2019" i="2"/>
  <c r="J2019" i="2"/>
  <c r="N2019" i="2"/>
  <c r="D2020" i="2"/>
  <c r="I2020" i="2"/>
  <c r="J2020" i="2"/>
  <c r="N2020" i="2"/>
  <c r="D2021" i="2"/>
  <c r="I2021" i="2"/>
  <c r="J2021" i="2"/>
  <c r="N2021" i="2"/>
  <c r="D2022" i="2"/>
  <c r="I2022" i="2"/>
  <c r="J2022" i="2"/>
  <c r="N2022" i="2"/>
  <c r="D2023" i="2"/>
  <c r="I2023" i="2"/>
  <c r="J2023" i="2"/>
  <c r="N2023" i="2"/>
  <c r="I23" i="2"/>
  <c r="J23" i="2"/>
  <c r="N23" i="2"/>
  <c r="E23" i="2"/>
  <c r="W11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E1205" i="2"/>
  <c r="E1206" i="2"/>
  <c r="E1207" i="2"/>
  <c r="E1208" i="2"/>
  <c r="E1209" i="2"/>
  <c r="E1210" i="2"/>
  <c r="E1211" i="2"/>
  <c r="E1212" i="2"/>
  <c r="E1213" i="2"/>
  <c r="E1214" i="2"/>
  <c r="E1215" i="2"/>
  <c r="E1216" i="2"/>
  <c r="E1217" i="2"/>
  <c r="E1218" i="2"/>
  <c r="E1219" i="2"/>
  <c r="E1220" i="2"/>
  <c r="E1221" i="2"/>
  <c r="E1222" i="2"/>
  <c r="E1223" i="2"/>
  <c r="E1224" i="2"/>
  <c r="E1225" i="2"/>
  <c r="E1226" i="2"/>
  <c r="E1227" i="2"/>
  <c r="E1228" i="2"/>
  <c r="E1229" i="2"/>
  <c r="E1230" i="2"/>
  <c r="E1231" i="2"/>
  <c r="E1232" i="2"/>
  <c r="E1233" i="2"/>
  <c r="E1234" i="2"/>
  <c r="E1235" i="2"/>
  <c r="E1236" i="2"/>
  <c r="E1237" i="2"/>
  <c r="E1238" i="2"/>
  <c r="E1239" i="2"/>
  <c r="E1240" i="2"/>
  <c r="E1241" i="2"/>
  <c r="E1242" i="2"/>
  <c r="E1243" i="2"/>
  <c r="E1244" i="2"/>
  <c r="E1245" i="2"/>
  <c r="E1246" i="2"/>
  <c r="E1247" i="2"/>
  <c r="E1248" i="2"/>
  <c r="E1249" i="2"/>
  <c r="E1250" i="2"/>
  <c r="E1251" i="2"/>
  <c r="E1252" i="2"/>
  <c r="E1253" i="2"/>
  <c r="E1254" i="2"/>
  <c r="E1255" i="2"/>
  <c r="E1256" i="2"/>
  <c r="E1257" i="2"/>
  <c r="E1258" i="2"/>
  <c r="E1259" i="2"/>
  <c r="E1260" i="2"/>
  <c r="E1261" i="2"/>
  <c r="E1262" i="2"/>
  <c r="E1263" i="2"/>
  <c r="E1264" i="2"/>
  <c r="E1265" i="2"/>
  <c r="E1266" i="2"/>
  <c r="E1267" i="2"/>
  <c r="E1268" i="2"/>
  <c r="E1269" i="2"/>
  <c r="E1270" i="2"/>
  <c r="E1271" i="2"/>
  <c r="E1272" i="2"/>
  <c r="E1273" i="2"/>
  <c r="E1274" i="2"/>
  <c r="E1275" i="2"/>
  <c r="E1276" i="2"/>
  <c r="E1277" i="2"/>
  <c r="E1278" i="2"/>
  <c r="E1279" i="2"/>
  <c r="E1280" i="2"/>
  <c r="E1281" i="2"/>
  <c r="E1282" i="2"/>
  <c r="E1283" i="2"/>
  <c r="E1284" i="2"/>
  <c r="E1285" i="2"/>
  <c r="E1286" i="2"/>
  <c r="E1287" i="2"/>
  <c r="E1288" i="2"/>
  <c r="E1289" i="2"/>
  <c r="E1290" i="2"/>
  <c r="E1291" i="2"/>
  <c r="E1292" i="2"/>
  <c r="E1293" i="2"/>
  <c r="E1294" i="2"/>
  <c r="E1295" i="2"/>
  <c r="E1296" i="2"/>
  <c r="E1297" i="2"/>
  <c r="E1298" i="2"/>
  <c r="E1299" i="2"/>
  <c r="E1300" i="2"/>
  <c r="E1301" i="2"/>
  <c r="E1302" i="2"/>
  <c r="E1303" i="2"/>
  <c r="E1304" i="2"/>
  <c r="E1305" i="2"/>
  <c r="E1306" i="2"/>
  <c r="E1307" i="2"/>
  <c r="E1308" i="2"/>
  <c r="E1309" i="2"/>
  <c r="E1310" i="2"/>
  <c r="E1311" i="2"/>
  <c r="E1312" i="2"/>
  <c r="E1313" i="2"/>
  <c r="E1314" i="2"/>
  <c r="E1315" i="2"/>
  <c r="E1316" i="2"/>
  <c r="E1317" i="2"/>
  <c r="E1318" i="2"/>
  <c r="E1319" i="2"/>
  <c r="E1320" i="2"/>
  <c r="E1321" i="2"/>
  <c r="E1322" i="2"/>
  <c r="E1323" i="2"/>
  <c r="E1324" i="2"/>
  <c r="E1325" i="2"/>
  <c r="E1326" i="2"/>
  <c r="E1327" i="2"/>
  <c r="E1328" i="2"/>
  <c r="E1329" i="2"/>
  <c r="E1330" i="2"/>
  <c r="E1331" i="2"/>
  <c r="E1332" i="2"/>
  <c r="E1333" i="2"/>
  <c r="E1334" i="2"/>
  <c r="E1335" i="2"/>
  <c r="E1336" i="2"/>
  <c r="E1337" i="2"/>
  <c r="E1338" i="2"/>
  <c r="E1339" i="2"/>
  <c r="E1340" i="2"/>
  <c r="E1341" i="2"/>
  <c r="E1342" i="2"/>
  <c r="E1343" i="2"/>
  <c r="E1344" i="2"/>
  <c r="E1345" i="2"/>
  <c r="E1346" i="2"/>
  <c r="E1347" i="2"/>
  <c r="E1348" i="2"/>
  <c r="E1349" i="2"/>
  <c r="E1350" i="2"/>
  <c r="E1351" i="2"/>
  <c r="E1352" i="2"/>
  <c r="E1353" i="2"/>
  <c r="E1354" i="2"/>
  <c r="E1355" i="2"/>
  <c r="E1356" i="2"/>
  <c r="E1357" i="2"/>
  <c r="E1358" i="2"/>
  <c r="E1359" i="2"/>
  <c r="E1360" i="2"/>
  <c r="E1361" i="2"/>
  <c r="E1362" i="2"/>
  <c r="E1363" i="2"/>
  <c r="E1364" i="2"/>
  <c r="E1365" i="2"/>
  <c r="E1366" i="2"/>
  <c r="E1367" i="2"/>
  <c r="E1368" i="2"/>
  <c r="E1369" i="2"/>
  <c r="E1370" i="2"/>
  <c r="E1371" i="2"/>
  <c r="E1372" i="2"/>
  <c r="E1373" i="2"/>
  <c r="E1374" i="2"/>
  <c r="E1375" i="2"/>
  <c r="E1376" i="2"/>
  <c r="E1377" i="2"/>
  <c r="E1378" i="2"/>
  <c r="E1379" i="2"/>
  <c r="E1380" i="2"/>
  <c r="E1381" i="2"/>
  <c r="E1382" i="2"/>
  <c r="E1383" i="2"/>
  <c r="E1384" i="2"/>
  <c r="E1385" i="2"/>
  <c r="E1386" i="2"/>
  <c r="E1387" i="2"/>
  <c r="E1388" i="2"/>
  <c r="E1389" i="2"/>
  <c r="E1390" i="2"/>
  <c r="E1391" i="2"/>
  <c r="E1392" i="2"/>
  <c r="E1393" i="2"/>
  <c r="E1394" i="2"/>
  <c r="E1395" i="2"/>
  <c r="E1396" i="2"/>
  <c r="E1397" i="2"/>
  <c r="E1398" i="2"/>
  <c r="E1399" i="2"/>
  <c r="E1400" i="2"/>
  <c r="E1401" i="2"/>
  <c r="E1402" i="2"/>
  <c r="E1403" i="2"/>
  <c r="E1404" i="2"/>
  <c r="E1405" i="2"/>
  <c r="E1406" i="2"/>
  <c r="E1407" i="2"/>
  <c r="E1408" i="2"/>
  <c r="E1409" i="2"/>
  <c r="E1410" i="2"/>
  <c r="E1411" i="2"/>
  <c r="E1412" i="2"/>
  <c r="E1413" i="2"/>
  <c r="E1414" i="2"/>
  <c r="E1415" i="2"/>
  <c r="E1416" i="2"/>
  <c r="E1417" i="2"/>
  <c r="E1418" i="2"/>
  <c r="E1419" i="2"/>
  <c r="E1420" i="2"/>
  <c r="E1421" i="2"/>
  <c r="E1422" i="2"/>
  <c r="E1423" i="2"/>
  <c r="E1424" i="2"/>
  <c r="E1425" i="2"/>
  <c r="E1426" i="2"/>
  <c r="E1427" i="2"/>
  <c r="E1428" i="2"/>
  <c r="E1429" i="2"/>
  <c r="E1430" i="2"/>
  <c r="E1431" i="2"/>
  <c r="E1432" i="2"/>
  <c r="E1433" i="2"/>
  <c r="E1434" i="2"/>
  <c r="E1435" i="2"/>
  <c r="E1436" i="2"/>
  <c r="E1437" i="2"/>
  <c r="E1438" i="2"/>
  <c r="E1439" i="2"/>
  <c r="E1440" i="2"/>
  <c r="E1441" i="2"/>
  <c r="E1442" i="2"/>
  <c r="E1443" i="2"/>
  <c r="E1444" i="2"/>
  <c r="E1445" i="2"/>
  <c r="E1446" i="2"/>
  <c r="E1447" i="2"/>
  <c r="E1448" i="2"/>
  <c r="E1449" i="2"/>
  <c r="E1450" i="2"/>
  <c r="E1451" i="2"/>
  <c r="E1452" i="2"/>
  <c r="E1453" i="2"/>
  <c r="E1454" i="2"/>
  <c r="E1455" i="2"/>
  <c r="E1456" i="2"/>
  <c r="E1457" i="2"/>
  <c r="E1458" i="2"/>
  <c r="E1459" i="2"/>
  <c r="E1460" i="2"/>
  <c r="E1461" i="2"/>
  <c r="E1462" i="2"/>
  <c r="E1463" i="2"/>
  <c r="E1464" i="2"/>
  <c r="E1465" i="2"/>
  <c r="E1466" i="2"/>
  <c r="E1467" i="2"/>
  <c r="E1468" i="2"/>
  <c r="E1469" i="2"/>
  <c r="E1470" i="2"/>
  <c r="E1471" i="2"/>
  <c r="E1472" i="2"/>
  <c r="E1473" i="2"/>
  <c r="E1474" i="2"/>
  <c r="E1475" i="2"/>
  <c r="E1476" i="2"/>
  <c r="E1477" i="2"/>
  <c r="E1478" i="2"/>
  <c r="E1479" i="2"/>
  <c r="E1480" i="2"/>
  <c r="E1481" i="2"/>
  <c r="E1482" i="2"/>
  <c r="E1483" i="2"/>
  <c r="E1484" i="2"/>
  <c r="E1485" i="2"/>
  <c r="E1486" i="2"/>
  <c r="E1487" i="2"/>
  <c r="E1488" i="2"/>
  <c r="E1489" i="2"/>
  <c r="E1490" i="2"/>
  <c r="E1491" i="2"/>
  <c r="E1492" i="2"/>
  <c r="E1493" i="2"/>
  <c r="E1494" i="2"/>
  <c r="E1495" i="2"/>
  <c r="E1496" i="2"/>
  <c r="E1497" i="2"/>
  <c r="E1498" i="2"/>
  <c r="E1499" i="2"/>
  <c r="E1500" i="2"/>
  <c r="E1501" i="2"/>
  <c r="E1502" i="2"/>
  <c r="E1503" i="2"/>
  <c r="E1504" i="2"/>
  <c r="E1505" i="2"/>
  <c r="E1506" i="2"/>
  <c r="E1507" i="2"/>
  <c r="E1508" i="2"/>
  <c r="E1509" i="2"/>
  <c r="E1510" i="2"/>
  <c r="E1511" i="2"/>
  <c r="E1512" i="2"/>
  <c r="E1513" i="2"/>
  <c r="E1514" i="2"/>
  <c r="E1515" i="2"/>
  <c r="E1516" i="2"/>
  <c r="E1517" i="2"/>
  <c r="E1518" i="2"/>
  <c r="E1519" i="2"/>
  <c r="E1520" i="2"/>
  <c r="E1521" i="2"/>
  <c r="E1522" i="2"/>
  <c r="E1523" i="2"/>
  <c r="E1524" i="2"/>
  <c r="E1525" i="2"/>
  <c r="E1526" i="2"/>
  <c r="E1527" i="2"/>
  <c r="E1528" i="2"/>
  <c r="E1529" i="2"/>
  <c r="E1530" i="2"/>
  <c r="E1531" i="2"/>
  <c r="E1532" i="2"/>
  <c r="E1533" i="2"/>
  <c r="E1534" i="2"/>
  <c r="E1535" i="2"/>
  <c r="E1536" i="2"/>
  <c r="E1537" i="2"/>
  <c r="E1538" i="2"/>
  <c r="E1539" i="2"/>
  <c r="E1540" i="2"/>
  <c r="E1541" i="2"/>
  <c r="E1542" i="2"/>
  <c r="E1543" i="2"/>
  <c r="E1544" i="2"/>
  <c r="E1545" i="2"/>
  <c r="E1546" i="2"/>
  <c r="E1547" i="2"/>
  <c r="E1548" i="2"/>
  <c r="E1549" i="2"/>
  <c r="E1550" i="2"/>
  <c r="E1551" i="2"/>
  <c r="E1552" i="2"/>
  <c r="E1553" i="2"/>
  <c r="E1554" i="2"/>
  <c r="E1555" i="2"/>
  <c r="E1556" i="2"/>
  <c r="E1557" i="2"/>
  <c r="E1558" i="2"/>
  <c r="E1559" i="2"/>
  <c r="E1560" i="2"/>
  <c r="E1561" i="2"/>
  <c r="E1562" i="2"/>
  <c r="E1563" i="2"/>
  <c r="E1564" i="2"/>
  <c r="E1565" i="2"/>
  <c r="E1566" i="2"/>
  <c r="E1567" i="2"/>
  <c r="E1568" i="2"/>
  <c r="E1569" i="2"/>
  <c r="E1570" i="2"/>
  <c r="E1571" i="2"/>
  <c r="E1572" i="2"/>
  <c r="E1573" i="2"/>
  <c r="E1574" i="2"/>
  <c r="E1575" i="2"/>
  <c r="E1576" i="2"/>
  <c r="E1577" i="2"/>
  <c r="E1578" i="2"/>
  <c r="E1579" i="2"/>
  <c r="E1580" i="2"/>
  <c r="E1581" i="2"/>
  <c r="E1582" i="2"/>
  <c r="E1583" i="2"/>
  <c r="E1584" i="2"/>
  <c r="E1585" i="2"/>
  <c r="E1586" i="2"/>
  <c r="E1587" i="2"/>
  <c r="E1588" i="2"/>
  <c r="E1589" i="2"/>
  <c r="E1590" i="2"/>
  <c r="E1591" i="2"/>
  <c r="E1592" i="2"/>
  <c r="E1593" i="2"/>
  <c r="E1594" i="2"/>
  <c r="E1595" i="2"/>
  <c r="E1596" i="2"/>
  <c r="E1597" i="2"/>
  <c r="E1598" i="2"/>
  <c r="E1599" i="2"/>
  <c r="E1600" i="2"/>
  <c r="E1601" i="2"/>
  <c r="E1602" i="2"/>
  <c r="E1603" i="2"/>
  <c r="E1604" i="2"/>
  <c r="E1605" i="2"/>
  <c r="E1606" i="2"/>
  <c r="E1607" i="2"/>
  <c r="E1608" i="2"/>
  <c r="E1609" i="2"/>
  <c r="E1610" i="2"/>
  <c r="E1611" i="2"/>
  <c r="E1612" i="2"/>
  <c r="E1613" i="2"/>
  <c r="E1614" i="2"/>
  <c r="E1615" i="2"/>
  <c r="E1616" i="2"/>
  <c r="E1617" i="2"/>
  <c r="E1618" i="2"/>
  <c r="E1619" i="2"/>
  <c r="E1620" i="2"/>
  <c r="E1621" i="2"/>
  <c r="E1622" i="2"/>
  <c r="E1623" i="2"/>
  <c r="E1624" i="2"/>
  <c r="E1625" i="2"/>
  <c r="E1626" i="2"/>
  <c r="E1627" i="2"/>
  <c r="E1628" i="2"/>
  <c r="E1629" i="2"/>
  <c r="E1630" i="2"/>
  <c r="E1631" i="2"/>
  <c r="E1632" i="2"/>
  <c r="E1633" i="2"/>
  <c r="E1634" i="2"/>
  <c r="E1635" i="2"/>
  <c r="E1636" i="2"/>
  <c r="E1637" i="2"/>
  <c r="E1638" i="2"/>
  <c r="E1639" i="2"/>
  <c r="E1640" i="2"/>
  <c r="E1641" i="2"/>
  <c r="E1642" i="2"/>
  <c r="E1643" i="2"/>
  <c r="E1644" i="2"/>
  <c r="E1645" i="2"/>
  <c r="E1646" i="2"/>
  <c r="E1647" i="2"/>
  <c r="E1648" i="2"/>
  <c r="E1649" i="2"/>
  <c r="E1650" i="2"/>
  <c r="E1651" i="2"/>
  <c r="E1652" i="2"/>
  <c r="E1653" i="2"/>
  <c r="E1654" i="2"/>
  <c r="E1655" i="2"/>
  <c r="E1656" i="2"/>
  <c r="E1657" i="2"/>
  <c r="E1658" i="2"/>
  <c r="E1659" i="2"/>
  <c r="E1660" i="2"/>
  <c r="E1661" i="2"/>
  <c r="E1662" i="2"/>
  <c r="E1663" i="2"/>
  <c r="E1664" i="2"/>
  <c r="E1665" i="2"/>
  <c r="E1666" i="2"/>
  <c r="E1667" i="2"/>
  <c r="E1668" i="2"/>
  <c r="E1669" i="2"/>
  <c r="E1670" i="2"/>
  <c r="E1671" i="2"/>
  <c r="E1672" i="2"/>
  <c r="E1673" i="2"/>
  <c r="E1674" i="2"/>
  <c r="E1675" i="2"/>
  <c r="E1676" i="2"/>
  <c r="E1677" i="2"/>
  <c r="E1678" i="2"/>
  <c r="E1679" i="2"/>
  <c r="E1680" i="2"/>
  <c r="E1681" i="2"/>
  <c r="E1682" i="2"/>
  <c r="E1683" i="2"/>
  <c r="E1684" i="2"/>
  <c r="E1685" i="2"/>
  <c r="E1686" i="2"/>
  <c r="E1687" i="2"/>
  <c r="E1688" i="2"/>
  <c r="E1689" i="2"/>
  <c r="E1690" i="2"/>
  <c r="E1691" i="2"/>
  <c r="E1692" i="2"/>
  <c r="E1693" i="2"/>
  <c r="E1694" i="2"/>
  <c r="E1695" i="2"/>
  <c r="E1696" i="2"/>
  <c r="E1697" i="2"/>
  <c r="E1698" i="2"/>
  <c r="E1699" i="2"/>
  <c r="E1700" i="2"/>
  <c r="E1701" i="2"/>
  <c r="E1702" i="2"/>
  <c r="E1703" i="2"/>
  <c r="E1704" i="2"/>
  <c r="E1705" i="2"/>
  <c r="E1706" i="2"/>
  <c r="E1707" i="2"/>
  <c r="E1708" i="2"/>
  <c r="E1709" i="2"/>
  <c r="E1710" i="2"/>
  <c r="E1711" i="2"/>
  <c r="E1712" i="2"/>
  <c r="E1713" i="2"/>
  <c r="E1714" i="2"/>
  <c r="E1715" i="2"/>
  <c r="E1716" i="2"/>
  <c r="E1717" i="2"/>
  <c r="E1718" i="2"/>
  <c r="E1719" i="2"/>
  <c r="E1720" i="2"/>
  <c r="E1721" i="2"/>
  <c r="E1722" i="2"/>
  <c r="E1723" i="2"/>
  <c r="E1724" i="2"/>
  <c r="E1725" i="2"/>
  <c r="E1726" i="2"/>
  <c r="E1727" i="2"/>
  <c r="E1728" i="2"/>
  <c r="E1729" i="2"/>
  <c r="E1730" i="2"/>
  <c r="E1731" i="2"/>
  <c r="E1732" i="2"/>
  <c r="E1733" i="2"/>
  <c r="E1734" i="2"/>
  <c r="E1735" i="2"/>
  <c r="E1736" i="2"/>
  <c r="E1737" i="2"/>
  <c r="E1738" i="2"/>
  <c r="E1739" i="2"/>
  <c r="E1740" i="2"/>
  <c r="E1741" i="2"/>
  <c r="E1742" i="2"/>
  <c r="E1743" i="2"/>
  <c r="E1744" i="2"/>
  <c r="E1745" i="2"/>
  <c r="E1746" i="2"/>
  <c r="E1747" i="2"/>
  <c r="E1748" i="2"/>
  <c r="E1749" i="2"/>
  <c r="E1750" i="2"/>
  <c r="E1751" i="2"/>
  <c r="E1752" i="2"/>
  <c r="E1753" i="2"/>
  <c r="E1754" i="2"/>
  <c r="E1755" i="2"/>
  <c r="E1756" i="2"/>
  <c r="E1757" i="2"/>
  <c r="E1758" i="2"/>
  <c r="E1759" i="2"/>
  <c r="E1760" i="2"/>
  <c r="E1761" i="2"/>
  <c r="E1762" i="2"/>
  <c r="E1763" i="2"/>
  <c r="E1764" i="2"/>
  <c r="E1765" i="2"/>
  <c r="E1766" i="2"/>
  <c r="E1767" i="2"/>
  <c r="E1768" i="2"/>
  <c r="E1769" i="2"/>
  <c r="E1770" i="2"/>
  <c r="E1771" i="2"/>
  <c r="E1772" i="2"/>
  <c r="E1773" i="2"/>
  <c r="E1774" i="2"/>
  <c r="E1775" i="2"/>
  <c r="E1776" i="2"/>
  <c r="E1777" i="2"/>
  <c r="E1778" i="2"/>
  <c r="E1779" i="2"/>
  <c r="E1780" i="2"/>
  <c r="E1781" i="2"/>
  <c r="E1782" i="2"/>
  <c r="E1783" i="2"/>
  <c r="E1784" i="2"/>
  <c r="E1785" i="2"/>
  <c r="E1786" i="2"/>
  <c r="E1787" i="2"/>
  <c r="E1788" i="2"/>
  <c r="E1789" i="2"/>
  <c r="E1790" i="2"/>
  <c r="E1791" i="2"/>
  <c r="E1792" i="2"/>
  <c r="E1793" i="2"/>
  <c r="E1794" i="2"/>
  <c r="E1795" i="2"/>
  <c r="E1796" i="2"/>
  <c r="E1797" i="2"/>
  <c r="E1798" i="2"/>
  <c r="E1799" i="2"/>
  <c r="E1800" i="2"/>
  <c r="E1801" i="2"/>
  <c r="E1802" i="2"/>
  <c r="E1803" i="2"/>
  <c r="E1804" i="2"/>
  <c r="E1805" i="2"/>
  <c r="E1806" i="2"/>
  <c r="E1807" i="2"/>
  <c r="E1808" i="2"/>
  <c r="E1809" i="2"/>
  <c r="E1810" i="2"/>
  <c r="E1811" i="2"/>
  <c r="E1812" i="2"/>
  <c r="E1813" i="2"/>
  <c r="E1814" i="2"/>
  <c r="E1815" i="2"/>
  <c r="E1816" i="2"/>
  <c r="E1817" i="2"/>
  <c r="E1818" i="2"/>
  <c r="E1819" i="2"/>
  <c r="E1820" i="2"/>
  <c r="E1821" i="2"/>
  <c r="E1822" i="2"/>
  <c r="E1823" i="2"/>
  <c r="E1824" i="2"/>
  <c r="E1825" i="2"/>
  <c r="E1826" i="2"/>
  <c r="E1827" i="2"/>
  <c r="E1828" i="2"/>
  <c r="E1829" i="2"/>
  <c r="E1830" i="2"/>
  <c r="E1831" i="2"/>
  <c r="E1832" i="2"/>
  <c r="E1833" i="2"/>
  <c r="E1834" i="2"/>
  <c r="E1835" i="2"/>
  <c r="E1836" i="2"/>
  <c r="E1837" i="2"/>
  <c r="E1838" i="2"/>
  <c r="E1839" i="2"/>
  <c r="E1840" i="2"/>
  <c r="E1841" i="2"/>
  <c r="E1842" i="2"/>
  <c r="E1843" i="2"/>
  <c r="E1844" i="2"/>
  <c r="E1845" i="2"/>
  <c r="E1846" i="2"/>
  <c r="E1847" i="2"/>
  <c r="E1848" i="2"/>
  <c r="E1849" i="2"/>
  <c r="E1850" i="2"/>
  <c r="E1851" i="2"/>
  <c r="E1852" i="2"/>
  <c r="E1853" i="2"/>
  <c r="E1854" i="2"/>
  <c r="E1855" i="2"/>
  <c r="E1856" i="2"/>
  <c r="E1857" i="2"/>
  <c r="E1858" i="2"/>
  <c r="E1859" i="2"/>
  <c r="E1860" i="2"/>
  <c r="E1861" i="2"/>
  <c r="E1862" i="2"/>
  <c r="E1863" i="2"/>
  <c r="E1864" i="2"/>
  <c r="E1865" i="2"/>
  <c r="E1866" i="2"/>
  <c r="E1867" i="2"/>
  <c r="E1868" i="2"/>
  <c r="E1869" i="2"/>
  <c r="E1870" i="2"/>
  <c r="E1871" i="2"/>
  <c r="E1872" i="2"/>
  <c r="E1873" i="2"/>
  <c r="E1874" i="2"/>
  <c r="E1875" i="2"/>
  <c r="E1876" i="2"/>
  <c r="E1877" i="2"/>
  <c r="E1878" i="2"/>
  <c r="E1879" i="2"/>
  <c r="E1880" i="2"/>
  <c r="E1881" i="2"/>
  <c r="E1882" i="2"/>
  <c r="E1883" i="2"/>
  <c r="E1884" i="2"/>
  <c r="E1885" i="2"/>
  <c r="E1886" i="2"/>
  <c r="E1887" i="2"/>
  <c r="E1888" i="2"/>
  <c r="E1889" i="2"/>
  <c r="E1890" i="2"/>
  <c r="E1891" i="2"/>
  <c r="E1892" i="2"/>
  <c r="E1893" i="2"/>
  <c r="E1894" i="2"/>
  <c r="E1895" i="2"/>
  <c r="E1896" i="2"/>
  <c r="E1897" i="2"/>
  <c r="E1898" i="2"/>
  <c r="E1899" i="2"/>
  <c r="E1900" i="2"/>
  <c r="E1901" i="2"/>
  <c r="E1902" i="2"/>
  <c r="E1903" i="2"/>
  <c r="E1904" i="2"/>
  <c r="E1905" i="2"/>
  <c r="E1906" i="2"/>
  <c r="E1907" i="2"/>
  <c r="E1908" i="2"/>
  <c r="E1909" i="2"/>
  <c r="E1910" i="2"/>
  <c r="E1911" i="2"/>
  <c r="E1912" i="2"/>
  <c r="E1913" i="2"/>
  <c r="E1914" i="2"/>
  <c r="E1915" i="2"/>
  <c r="E1916" i="2"/>
  <c r="E1917" i="2"/>
  <c r="E1918" i="2"/>
  <c r="E1919" i="2"/>
  <c r="E1920" i="2"/>
  <c r="E1921" i="2"/>
  <c r="E1922" i="2"/>
  <c r="E1923" i="2"/>
  <c r="E1924" i="2"/>
  <c r="E1925" i="2"/>
  <c r="E1926" i="2"/>
  <c r="E1927" i="2"/>
  <c r="E1928" i="2"/>
  <c r="E1929" i="2"/>
  <c r="E1930" i="2"/>
  <c r="E1931" i="2"/>
  <c r="E1932" i="2"/>
  <c r="E1933" i="2"/>
  <c r="E1934" i="2"/>
  <c r="E1935" i="2"/>
  <c r="E1936" i="2"/>
  <c r="E1937" i="2"/>
  <c r="E1938" i="2"/>
  <c r="E1939" i="2"/>
  <c r="E1940" i="2"/>
  <c r="E1941" i="2"/>
  <c r="E1942" i="2"/>
  <c r="E1943" i="2"/>
  <c r="E1944" i="2"/>
  <c r="E1945" i="2"/>
  <c r="E1946" i="2"/>
  <c r="E1947" i="2"/>
  <c r="E1948" i="2"/>
  <c r="E1949" i="2"/>
  <c r="E1950" i="2"/>
  <c r="E1951" i="2"/>
  <c r="E1952" i="2"/>
  <c r="E1953" i="2"/>
  <c r="E1954" i="2"/>
  <c r="E1955" i="2"/>
  <c r="E1956" i="2"/>
  <c r="E1957" i="2"/>
  <c r="E1958" i="2"/>
  <c r="E1959" i="2"/>
  <c r="E1960" i="2"/>
  <c r="E1961" i="2"/>
  <c r="E1962" i="2"/>
  <c r="E1963" i="2"/>
  <c r="E1964" i="2"/>
  <c r="E1965" i="2"/>
  <c r="E1966" i="2"/>
  <c r="E1967" i="2"/>
  <c r="E1968" i="2"/>
  <c r="E1969" i="2"/>
  <c r="E1970" i="2"/>
  <c r="E1971" i="2"/>
  <c r="E1972" i="2"/>
  <c r="E1973" i="2"/>
  <c r="E1974" i="2"/>
  <c r="E1975" i="2"/>
  <c r="E1976" i="2"/>
  <c r="E1977" i="2"/>
  <c r="E1978" i="2"/>
  <c r="E1979" i="2"/>
  <c r="E1980" i="2"/>
  <c r="E1981" i="2"/>
  <c r="E1982" i="2"/>
  <c r="E1983" i="2"/>
  <c r="E1984" i="2"/>
  <c r="E1985" i="2"/>
  <c r="E1986" i="2"/>
  <c r="E1987" i="2"/>
  <c r="E1988" i="2"/>
  <c r="E1989" i="2"/>
  <c r="E1990" i="2"/>
  <c r="E1991" i="2"/>
  <c r="E1992" i="2"/>
  <c r="E1993" i="2"/>
  <c r="E1994" i="2"/>
  <c r="E1995" i="2"/>
  <c r="E1996" i="2"/>
  <c r="E1997" i="2"/>
  <c r="E1998" i="2"/>
  <c r="E1999" i="2"/>
  <c r="E2000" i="2"/>
  <c r="E2001" i="2"/>
  <c r="E2002" i="2"/>
  <c r="E2003" i="2"/>
  <c r="E2004" i="2"/>
  <c r="E2005" i="2"/>
  <c r="E2006" i="2"/>
  <c r="E2007" i="2"/>
  <c r="E2008" i="2"/>
  <c r="E2009" i="2"/>
  <c r="E2010" i="2"/>
  <c r="E2011" i="2"/>
  <c r="E2012" i="2"/>
  <c r="E2013" i="2"/>
  <c r="E2014" i="2"/>
  <c r="E2015" i="2"/>
  <c r="E2016" i="2"/>
  <c r="E2017" i="2"/>
  <c r="E2018" i="2"/>
  <c r="E2019" i="2"/>
  <c r="E2020" i="2"/>
  <c r="E2021" i="2"/>
  <c r="E2022" i="2"/>
  <c r="E2023" i="2"/>
  <c r="E21" i="2"/>
  <c r="F23" i="2"/>
  <c r="G23" i="2"/>
  <c r="F24" i="2"/>
  <c r="G24" i="2"/>
  <c r="F25" i="2"/>
  <c r="G25" i="2"/>
  <c r="F26" i="2"/>
  <c r="G26" i="2"/>
  <c r="F27" i="2"/>
  <c r="G27" i="2"/>
  <c r="F28" i="2"/>
  <c r="G28" i="2"/>
  <c r="F29" i="2"/>
  <c r="G29" i="2"/>
  <c r="F30" i="2"/>
  <c r="G30" i="2"/>
  <c r="F31" i="2"/>
  <c r="G31" i="2"/>
  <c r="F32" i="2"/>
  <c r="G32" i="2"/>
  <c r="F33" i="2"/>
  <c r="G33" i="2"/>
  <c r="F34" i="2"/>
  <c r="G34" i="2"/>
  <c r="F35" i="2"/>
  <c r="G35" i="2"/>
  <c r="F36" i="2"/>
  <c r="G36" i="2"/>
  <c r="F37" i="2"/>
  <c r="G37" i="2"/>
  <c r="F38" i="2"/>
  <c r="G38" i="2"/>
  <c r="F39" i="2"/>
  <c r="G39" i="2"/>
  <c r="F40" i="2"/>
  <c r="G40" i="2"/>
  <c r="F41" i="2"/>
  <c r="G41" i="2"/>
  <c r="F42" i="2"/>
  <c r="G42" i="2"/>
  <c r="F43" i="2"/>
  <c r="G43" i="2"/>
  <c r="F44" i="2"/>
  <c r="G44" i="2"/>
  <c r="F45" i="2"/>
  <c r="G45" i="2"/>
  <c r="F46" i="2"/>
  <c r="G46" i="2"/>
  <c r="F47" i="2"/>
  <c r="G47" i="2"/>
  <c r="F48" i="2"/>
  <c r="G48" i="2"/>
  <c r="F49" i="2"/>
  <c r="G49" i="2"/>
  <c r="F50" i="2"/>
  <c r="G50" i="2"/>
  <c r="F51" i="2"/>
  <c r="G51" i="2"/>
  <c r="F52" i="2"/>
  <c r="G52" i="2"/>
  <c r="F53" i="2"/>
  <c r="G53" i="2"/>
  <c r="F54" i="2"/>
  <c r="G54" i="2"/>
  <c r="F55" i="2"/>
  <c r="G55" i="2"/>
  <c r="F56" i="2"/>
  <c r="G56" i="2"/>
  <c r="F57" i="2"/>
  <c r="G57" i="2"/>
  <c r="F58" i="2"/>
  <c r="G58" i="2"/>
  <c r="F59" i="2"/>
  <c r="G59" i="2"/>
  <c r="F60" i="2"/>
  <c r="G60" i="2"/>
  <c r="F61" i="2"/>
  <c r="G61" i="2"/>
  <c r="F62" i="2"/>
  <c r="G62" i="2"/>
  <c r="F63" i="2"/>
  <c r="G63" i="2"/>
  <c r="F64" i="2"/>
  <c r="G64" i="2"/>
  <c r="F65" i="2"/>
  <c r="G65" i="2"/>
  <c r="F66" i="2"/>
  <c r="G66" i="2"/>
  <c r="F67" i="2"/>
  <c r="G67" i="2"/>
  <c r="F68" i="2"/>
  <c r="G68" i="2"/>
  <c r="F69" i="2"/>
  <c r="G69" i="2"/>
  <c r="F70" i="2"/>
  <c r="G70" i="2"/>
  <c r="F71" i="2"/>
  <c r="G71" i="2"/>
  <c r="F72" i="2"/>
  <c r="G72" i="2"/>
  <c r="F73" i="2"/>
  <c r="G73" i="2"/>
  <c r="F74" i="2"/>
  <c r="G74" i="2"/>
  <c r="F75" i="2"/>
  <c r="G75" i="2"/>
  <c r="F76" i="2"/>
  <c r="G76" i="2"/>
  <c r="F77" i="2"/>
  <c r="G77" i="2"/>
  <c r="F78" i="2"/>
  <c r="G78" i="2"/>
  <c r="F79" i="2"/>
  <c r="G79" i="2"/>
  <c r="F80" i="2"/>
  <c r="G80" i="2"/>
  <c r="F81" i="2"/>
  <c r="G81" i="2"/>
  <c r="F82" i="2"/>
  <c r="G82" i="2"/>
  <c r="F83" i="2"/>
  <c r="G83" i="2"/>
  <c r="F84" i="2"/>
  <c r="G84" i="2"/>
  <c r="F85" i="2"/>
  <c r="G85" i="2"/>
  <c r="F86" i="2"/>
  <c r="G86" i="2"/>
  <c r="F87" i="2"/>
  <c r="G87" i="2"/>
  <c r="F88" i="2"/>
  <c r="G88" i="2"/>
  <c r="F89" i="2"/>
  <c r="G89" i="2"/>
  <c r="F90" i="2"/>
  <c r="G90" i="2"/>
  <c r="F91" i="2"/>
  <c r="G91" i="2"/>
  <c r="F92" i="2"/>
  <c r="G92" i="2"/>
  <c r="F93" i="2"/>
  <c r="G93" i="2"/>
  <c r="F94" i="2"/>
  <c r="G94" i="2"/>
  <c r="F95" i="2"/>
  <c r="G95" i="2"/>
  <c r="F96" i="2"/>
  <c r="G96" i="2"/>
  <c r="F97" i="2"/>
  <c r="G97" i="2"/>
  <c r="F98" i="2"/>
  <c r="G98" i="2"/>
  <c r="F99" i="2"/>
  <c r="G99" i="2"/>
  <c r="F100" i="2"/>
  <c r="G100" i="2"/>
  <c r="F101" i="2"/>
  <c r="G101" i="2"/>
  <c r="F102" i="2"/>
  <c r="G102" i="2"/>
  <c r="F103" i="2"/>
  <c r="G103" i="2"/>
  <c r="F104" i="2"/>
  <c r="G104" i="2"/>
  <c r="F105" i="2"/>
  <c r="G105" i="2"/>
  <c r="F106" i="2"/>
  <c r="G106" i="2"/>
  <c r="F107" i="2"/>
  <c r="G107" i="2"/>
  <c r="F108" i="2"/>
  <c r="G108" i="2"/>
  <c r="F109" i="2"/>
  <c r="G109" i="2"/>
  <c r="F110" i="2"/>
  <c r="G110" i="2"/>
  <c r="F111" i="2"/>
  <c r="G111" i="2"/>
  <c r="F112" i="2"/>
  <c r="G112" i="2"/>
  <c r="F113" i="2"/>
  <c r="G113" i="2"/>
  <c r="F114" i="2"/>
  <c r="G114" i="2"/>
  <c r="F115" i="2"/>
  <c r="G115" i="2"/>
  <c r="F116" i="2"/>
  <c r="G116" i="2"/>
  <c r="F117" i="2"/>
  <c r="G117" i="2"/>
  <c r="F118" i="2"/>
  <c r="G118" i="2"/>
  <c r="F119" i="2"/>
  <c r="G119" i="2"/>
  <c r="F120" i="2"/>
  <c r="G120" i="2"/>
  <c r="F121" i="2"/>
  <c r="G121" i="2"/>
  <c r="F122" i="2"/>
  <c r="G122" i="2"/>
  <c r="F123" i="2"/>
  <c r="G123" i="2"/>
  <c r="F124" i="2"/>
  <c r="G124" i="2"/>
  <c r="F125" i="2"/>
  <c r="G125" i="2"/>
  <c r="F126" i="2"/>
  <c r="G126" i="2"/>
  <c r="F127" i="2"/>
  <c r="G127" i="2"/>
  <c r="F128" i="2"/>
  <c r="G128" i="2"/>
  <c r="F129" i="2"/>
  <c r="G129" i="2"/>
  <c r="F130" i="2"/>
  <c r="G130" i="2"/>
  <c r="F131" i="2"/>
  <c r="G131" i="2"/>
  <c r="F132" i="2"/>
  <c r="G132" i="2"/>
  <c r="F133" i="2"/>
  <c r="G133" i="2"/>
  <c r="F134" i="2"/>
  <c r="G134" i="2"/>
  <c r="F135" i="2"/>
  <c r="G135" i="2"/>
  <c r="F136" i="2"/>
  <c r="G136" i="2"/>
  <c r="F137" i="2"/>
  <c r="G137" i="2"/>
  <c r="F138" i="2"/>
  <c r="G138" i="2"/>
  <c r="F139" i="2"/>
  <c r="G139" i="2"/>
  <c r="F140" i="2"/>
  <c r="G140" i="2"/>
  <c r="F141" i="2"/>
  <c r="G141" i="2"/>
  <c r="F142" i="2"/>
  <c r="G142" i="2"/>
  <c r="F143" i="2"/>
  <c r="G143" i="2"/>
  <c r="F144" i="2"/>
  <c r="G144" i="2"/>
  <c r="F145" i="2"/>
  <c r="G145" i="2"/>
  <c r="F146" i="2"/>
  <c r="G146" i="2"/>
  <c r="F147" i="2"/>
  <c r="G147" i="2"/>
  <c r="F148" i="2"/>
  <c r="G148" i="2"/>
  <c r="F149" i="2"/>
  <c r="G149" i="2"/>
  <c r="F150" i="2"/>
  <c r="G150" i="2"/>
  <c r="F151" i="2"/>
  <c r="G151" i="2"/>
  <c r="F152" i="2"/>
  <c r="G152" i="2"/>
  <c r="F153" i="2"/>
  <c r="G153" i="2"/>
  <c r="F154" i="2"/>
  <c r="G154" i="2"/>
  <c r="F155" i="2"/>
  <c r="G155" i="2"/>
  <c r="F156" i="2"/>
  <c r="G156" i="2"/>
  <c r="F157" i="2"/>
  <c r="G157" i="2"/>
  <c r="F158" i="2"/>
  <c r="G158" i="2"/>
  <c r="F159" i="2"/>
  <c r="G159" i="2"/>
  <c r="F160" i="2"/>
  <c r="G160" i="2"/>
  <c r="F161" i="2"/>
  <c r="G161" i="2"/>
  <c r="F162" i="2"/>
  <c r="G162" i="2"/>
  <c r="F163" i="2"/>
  <c r="G163" i="2"/>
  <c r="F164" i="2"/>
  <c r="G164" i="2"/>
  <c r="F165" i="2"/>
  <c r="G165" i="2"/>
  <c r="F166" i="2"/>
  <c r="G166" i="2"/>
  <c r="F167" i="2"/>
  <c r="G167" i="2"/>
  <c r="F168" i="2"/>
  <c r="G168" i="2"/>
  <c r="F169" i="2"/>
  <c r="G169" i="2"/>
  <c r="F170" i="2"/>
  <c r="G170" i="2"/>
  <c r="F171" i="2"/>
  <c r="G171" i="2"/>
  <c r="F172" i="2"/>
  <c r="G172" i="2"/>
  <c r="F173" i="2"/>
  <c r="G173" i="2"/>
  <c r="F174" i="2"/>
  <c r="G174" i="2"/>
  <c r="F175" i="2"/>
  <c r="G175" i="2"/>
  <c r="F176" i="2"/>
  <c r="G176" i="2"/>
  <c r="F177" i="2"/>
  <c r="G177" i="2"/>
  <c r="F178" i="2"/>
  <c r="G178" i="2"/>
  <c r="F179" i="2"/>
  <c r="G179" i="2"/>
  <c r="F180" i="2"/>
  <c r="G180" i="2"/>
  <c r="F181" i="2"/>
  <c r="G181" i="2"/>
  <c r="F182" i="2"/>
  <c r="G182" i="2"/>
  <c r="F183" i="2"/>
  <c r="G183" i="2"/>
  <c r="F184" i="2"/>
  <c r="G184" i="2"/>
  <c r="F185" i="2"/>
  <c r="G185" i="2"/>
  <c r="F186" i="2"/>
  <c r="G186" i="2"/>
  <c r="F187" i="2"/>
  <c r="G187" i="2"/>
  <c r="F188" i="2"/>
  <c r="G188" i="2"/>
  <c r="F189" i="2"/>
  <c r="G189" i="2"/>
  <c r="F190" i="2"/>
  <c r="G190" i="2"/>
  <c r="F191" i="2"/>
  <c r="G191" i="2"/>
  <c r="F192" i="2"/>
  <c r="G192" i="2"/>
  <c r="F193" i="2"/>
  <c r="G193" i="2"/>
  <c r="F194" i="2"/>
  <c r="G194" i="2"/>
  <c r="F195" i="2"/>
  <c r="G195" i="2"/>
  <c r="F196" i="2"/>
  <c r="G196" i="2"/>
  <c r="F197" i="2"/>
  <c r="G197" i="2"/>
  <c r="F198" i="2"/>
  <c r="G198" i="2"/>
  <c r="F199" i="2"/>
  <c r="G199" i="2"/>
  <c r="F200" i="2"/>
  <c r="G200" i="2"/>
  <c r="F201" i="2"/>
  <c r="G201" i="2"/>
  <c r="F202" i="2"/>
  <c r="G202" i="2"/>
  <c r="F203" i="2"/>
  <c r="G203" i="2"/>
  <c r="F204" i="2"/>
  <c r="G204" i="2"/>
  <c r="F205" i="2"/>
  <c r="G205" i="2"/>
  <c r="F206" i="2"/>
  <c r="G206" i="2"/>
  <c r="F207" i="2"/>
  <c r="G207" i="2"/>
  <c r="F208" i="2"/>
  <c r="G208" i="2"/>
  <c r="F209" i="2"/>
  <c r="G209" i="2"/>
  <c r="F210" i="2"/>
  <c r="G210" i="2"/>
  <c r="F211" i="2"/>
  <c r="G211" i="2"/>
  <c r="F212" i="2"/>
  <c r="G212" i="2"/>
  <c r="F213" i="2"/>
  <c r="G213" i="2"/>
  <c r="F214" i="2"/>
  <c r="G214" i="2"/>
  <c r="F215" i="2"/>
  <c r="G215" i="2"/>
  <c r="F216" i="2"/>
  <c r="G216" i="2"/>
  <c r="F217" i="2"/>
  <c r="G217" i="2"/>
  <c r="F218" i="2"/>
  <c r="G218" i="2"/>
  <c r="F219" i="2"/>
  <c r="G219" i="2"/>
  <c r="F220" i="2"/>
  <c r="G220" i="2"/>
  <c r="F221" i="2"/>
  <c r="G221" i="2"/>
  <c r="F222" i="2"/>
  <c r="G222" i="2"/>
  <c r="F223" i="2"/>
  <c r="G223" i="2"/>
  <c r="F224" i="2"/>
  <c r="G224" i="2"/>
  <c r="F225" i="2"/>
  <c r="G225" i="2"/>
  <c r="F226" i="2"/>
  <c r="G226" i="2"/>
  <c r="F227" i="2"/>
  <c r="G227" i="2"/>
  <c r="F228" i="2"/>
  <c r="G228" i="2"/>
  <c r="F229" i="2"/>
  <c r="G229" i="2"/>
  <c r="F230" i="2"/>
  <c r="G230" i="2"/>
  <c r="F231" i="2"/>
  <c r="G231" i="2"/>
  <c r="F232" i="2"/>
  <c r="G232" i="2"/>
  <c r="F233" i="2"/>
  <c r="G233" i="2"/>
  <c r="F234" i="2"/>
  <c r="G234" i="2"/>
  <c r="F235" i="2"/>
  <c r="G235" i="2"/>
  <c r="F236" i="2"/>
  <c r="G236" i="2"/>
  <c r="F237" i="2"/>
  <c r="G237" i="2"/>
  <c r="F238" i="2"/>
  <c r="G238" i="2"/>
  <c r="F239" i="2"/>
  <c r="G239" i="2"/>
  <c r="F240" i="2"/>
  <c r="G240" i="2"/>
  <c r="F241" i="2"/>
  <c r="G241" i="2"/>
  <c r="F242" i="2"/>
  <c r="G242" i="2"/>
  <c r="F243" i="2"/>
  <c r="G243" i="2"/>
  <c r="F244" i="2"/>
  <c r="G244" i="2"/>
  <c r="F245" i="2"/>
  <c r="G245" i="2"/>
  <c r="F246" i="2"/>
  <c r="G246" i="2"/>
  <c r="F247" i="2"/>
  <c r="G247" i="2"/>
  <c r="F248" i="2"/>
  <c r="G248" i="2"/>
  <c r="F249" i="2"/>
  <c r="G249" i="2"/>
  <c r="F250" i="2"/>
  <c r="G250" i="2"/>
  <c r="F251" i="2"/>
  <c r="G251" i="2"/>
  <c r="F252" i="2"/>
  <c r="G252" i="2"/>
  <c r="F253" i="2"/>
  <c r="G253" i="2"/>
  <c r="F254" i="2"/>
  <c r="G254" i="2"/>
  <c r="F255" i="2"/>
  <c r="G255" i="2"/>
  <c r="F256" i="2"/>
  <c r="G256" i="2"/>
  <c r="F257" i="2"/>
  <c r="G257" i="2"/>
  <c r="F258" i="2"/>
  <c r="G258" i="2"/>
  <c r="F259" i="2"/>
  <c r="G259" i="2"/>
  <c r="F260" i="2"/>
  <c r="G260" i="2"/>
  <c r="F261" i="2"/>
  <c r="G261" i="2"/>
  <c r="F262" i="2"/>
  <c r="G262" i="2"/>
  <c r="F263" i="2"/>
  <c r="G263" i="2"/>
  <c r="F264" i="2"/>
  <c r="G264" i="2"/>
  <c r="F265" i="2"/>
  <c r="G265" i="2"/>
  <c r="F266" i="2"/>
  <c r="G266" i="2"/>
  <c r="F267" i="2"/>
  <c r="G267" i="2"/>
  <c r="F268" i="2"/>
  <c r="G268" i="2"/>
  <c r="F269" i="2"/>
  <c r="G269" i="2"/>
  <c r="F270" i="2"/>
  <c r="G270" i="2"/>
  <c r="F271" i="2"/>
  <c r="G271" i="2"/>
  <c r="F272" i="2"/>
  <c r="G272" i="2"/>
  <c r="F273" i="2"/>
  <c r="G273" i="2"/>
  <c r="F274" i="2"/>
  <c r="G274" i="2"/>
  <c r="F275" i="2"/>
  <c r="G275" i="2"/>
  <c r="F276" i="2"/>
  <c r="G276" i="2"/>
  <c r="F277" i="2"/>
  <c r="G277" i="2"/>
  <c r="F278" i="2"/>
  <c r="G278" i="2"/>
  <c r="F279" i="2"/>
  <c r="G279" i="2"/>
  <c r="F280" i="2"/>
  <c r="G280" i="2"/>
  <c r="F281" i="2"/>
  <c r="G281" i="2"/>
  <c r="F282" i="2"/>
  <c r="G282" i="2"/>
  <c r="F283" i="2"/>
  <c r="G283" i="2"/>
  <c r="F284" i="2"/>
  <c r="G284" i="2"/>
  <c r="F285" i="2"/>
  <c r="G285" i="2"/>
  <c r="F286" i="2"/>
  <c r="G286" i="2"/>
  <c r="F287" i="2"/>
  <c r="G287" i="2"/>
  <c r="F288" i="2"/>
  <c r="G288" i="2"/>
  <c r="F289" i="2"/>
  <c r="G289" i="2"/>
  <c r="F290" i="2"/>
  <c r="G290" i="2"/>
  <c r="F291" i="2"/>
  <c r="G291" i="2"/>
  <c r="F292" i="2"/>
  <c r="G292" i="2"/>
  <c r="F293" i="2"/>
  <c r="G293" i="2"/>
  <c r="F294" i="2"/>
  <c r="G294" i="2"/>
  <c r="F295" i="2"/>
  <c r="G295" i="2"/>
  <c r="F296" i="2"/>
  <c r="G296" i="2"/>
  <c r="F297" i="2"/>
  <c r="G297" i="2"/>
  <c r="F298" i="2"/>
  <c r="G298" i="2"/>
  <c r="F299" i="2"/>
  <c r="G299" i="2"/>
  <c r="F300" i="2"/>
  <c r="G300" i="2"/>
  <c r="F301" i="2"/>
  <c r="G301" i="2"/>
  <c r="F302" i="2"/>
  <c r="G302" i="2"/>
  <c r="F303" i="2"/>
  <c r="G303" i="2"/>
  <c r="F304" i="2"/>
  <c r="G304" i="2"/>
  <c r="F305" i="2"/>
  <c r="G305" i="2"/>
  <c r="F306" i="2"/>
  <c r="G306" i="2"/>
  <c r="F307" i="2"/>
  <c r="G307" i="2"/>
  <c r="F308" i="2"/>
  <c r="G308" i="2"/>
  <c r="F309" i="2"/>
  <c r="G309" i="2"/>
  <c r="F310" i="2"/>
  <c r="G310" i="2"/>
  <c r="F311" i="2"/>
  <c r="G311" i="2"/>
  <c r="F312" i="2"/>
  <c r="G312" i="2"/>
  <c r="F313" i="2"/>
  <c r="G313" i="2"/>
  <c r="F314" i="2"/>
  <c r="G314" i="2"/>
  <c r="F315" i="2"/>
  <c r="G315" i="2"/>
  <c r="F316" i="2"/>
  <c r="G316" i="2"/>
  <c r="F317" i="2"/>
  <c r="G317" i="2"/>
  <c r="F318" i="2"/>
  <c r="G318" i="2"/>
  <c r="F319" i="2"/>
  <c r="G319" i="2"/>
  <c r="F320" i="2"/>
  <c r="G320" i="2"/>
  <c r="F321" i="2"/>
  <c r="G321" i="2"/>
  <c r="F322" i="2"/>
  <c r="G322" i="2"/>
  <c r="F323" i="2"/>
  <c r="G323" i="2"/>
  <c r="F324" i="2"/>
  <c r="G324" i="2"/>
  <c r="F325" i="2"/>
  <c r="G325" i="2"/>
  <c r="F326" i="2"/>
  <c r="G326" i="2"/>
  <c r="F327" i="2"/>
  <c r="G327" i="2"/>
  <c r="F328" i="2"/>
  <c r="G328" i="2"/>
  <c r="F329" i="2"/>
  <c r="G329" i="2"/>
  <c r="F330" i="2"/>
  <c r="G330" i="2"/>
  <c r="F331" i="2"/>
  <c r="G331" i="2"/>
  <c r="F332" i="2"/>
  <c r="G332" i="2"/>
  <c r="F333" i="2"/>
  <c r="G333" i="2"/>
  <c r="F334" i="2"/>
  <c r="G334" i="2"/>
  <c r="F335" i="2"/>
  <c r="G335" i="2"/>
  <c r="F336" i="2"/>
  <c r="G336" i="2"/>
  <c r="F337" i="2"/>
  <c r="G337" i="2"/>
  <c r="F338" i="2"/>
  <c r="G338" i="2"/>
  <c r="F339" i="2"/>
  <c r="G339" i="2"/>
  <c r="F340" i="2"/>
  <c r="G340" i="2"/>
  <c r="F341" i="2"/>
  <c r="G341" i="2"/>
  <c r="F342" i="2"/>
  <c r="G342" i="2"/>
  <c r="F343" i="2"/>
  <c r="G343" i="2"/>
  <c r="F344" i="2"/>
  <c r="G344" i="2"/>
  <c r="F345" i="2"/>
  <c r="G345" i="2"/>
  <c r="F346" i="2"/>
  <c r="G346" i="2"/>
  <c r="F347" i="2"/>
  <c r="G347" i="2"/>
  <c r="F348" i="2"/>
  <c r="G348" i="2"/>
  <c r="F349" i="2"/>
  <c r="G349" i="2"/>
  <c r="F350" i="2"/>
  <c r="G350" i="2"/>
  <c r="F351" i="2"/>
  <c r="G351" i="2"/>
  <c r="F352" i="2"/>
  <c r="G352" i="2"/>
  <c r="F353" i="2"/>
  <c r="G353" i="2"/>
  <c r="F354" i="2"/>
  <c r="G354" i="2"/>
  <c r="F355" i="2"/>
  <c r="G355" i="2"/>
  <c r="F356" i="2"/>
  <c r="G356" i="2"/>
  <c r="F357" i="2"/>
  <c r="G357" i="2"/>
  <c r="F358" i="2"/>
  <c r="G358" i="2"/>
  <c r="F359" i="2"/>
  <c r="G359" i="2"/>
  <c r="F360" i="2"/>
  <c r="G360" i="2"/>
  <c r="F361" i="2"/>
  <c r="G361" i="2"/>
  <c r="F362" i="2"/>
  <c r="G362" i="2"/>
  <c r="F363" i="2"/>
  <c r="G363" i="2"/>
  <c r="F364" i="2"/>
  <c r="G364" i="2"/>
  <c r="F365" i="2"/>
  <c r="G365" i="2"/>
  <c r="F366" i="2"/>
  <c r="G366" i="2"/>
  <c r="F367" i="2"/>
  <c r="G367" i="2"/>
  <c r="F368" i="2"/>
  <c r="G368" i="2"/>
  <c r="F369" i="2"/>
  <c r="G369" i="2"/>
  <c r="F370" i="2"/>
  <c r="G370" i="2"/>
  <c r="F371" i="2"/>
  <c r="G371" i="2"/>
  <c r="F372" i="2"/>
  <c r="G372" i="2"/>
  <c r="F373" i="2"/>
  <c r="G373" i="2"/>
  <c r="F374" i="2"/>
  <c r="G374" i="2"/>
  <c r="F375" i="2"/>
  <c r="G375" i="2"/>
  <c r="F376" i="2"/>
  <c r="G376" i="2"/>
  <c r="F377" i="2"/>
  <c r="G377" i="2"/>
  <c r="F378" i="2"/>
  <c r="G378" i="2"/>
  <c r="F379" i="2"/>
  <c r="G379" i="2"/>
  <c r="F380" i="2"/>
  <c r="G380" i="2"/>
  <c r="F381" i="2"/>
  <c r="G381" i="2"/>
  <c r="F382" i="2"/>
  <c r="G382" i="2"/>
  <c r="F383" i="2"/>
  <c r="G383" i="2"/>
  <c r="F384" i="2"/>
  <c r="G384" i="2"/>
  <c r="F385" i="2"/>
  <c r="G385" i="2"/>
  <c r="F386" i="2"/>
  <c r="G386" i="2"/>
  <c r="F387" i="2"/>
  <c r="G387" i="2"/>
  <c r="F388" i="2"/>
  <c r="G388" i="2"/>
  <c r="F389" i="2"/>
  <c r="G389" i="2"/>
  <c r="F390" i="2"/>
  <c r="G390" i="2"/>
  <c r="F391" i="2"/>
  <c r="G391" i="2"/>
  <c r="F392" i="2"/>
  <c r="G392" i="2"/>
  <c r="F393" i="2"/>
  <c r="G393" i="2"/>
  <c r="F394" i="2"/>
  <c r="G394" i="2"/>
  <c r="F395" i="2"/>
  <c r="G395" i="2"/>
  <c r="F396" i="2"/>
  <c r="G396" i="2"/>
  <c r="F397" i="2"/>
  <c r="G397" i="2"/>
  <c r="F398" i="2"/>
  <c r="G398" i="2"/>
  <c r="F399" i="2"/>
  <c r="G399" i="2"/>
  <c r="F400" i="2"/>
  <c r="G400" i="2"/>
  <c r="F401" i="2"/>
  <c r="G401" i="2"/>
  <c r="F402" i="2"/>
  <c r="G402" i="2"/>
  <c r="F403" i="2"/>
  <c r="G403" i="2"/>
  <c r="F404" i="2"/>
  <c r="G404" i="2"/>
  <c r="F405" i="2"/>
  <c r="G405" i="2"/>
  <c r="F406" i="2"/>
  <c r="G406" i="2"/>
  <c r="F407" i="2"/>
  <c r="G407" i="2"/>
  <c r="F408" i="2"/>
  <c r="G408" i="2"/>
  <c r="F409" i="2"/>
  <c r="G409" i="2"/>
  <c r="F410" i="2"/>
  <c r="G410" i="2"/>
  <c r="F411" i="2"/>
  <c r="G411" i="2"/>
  <c r="F412" i="2"/>
  <c r="G412" i="2"/>
  <c r="F413" i="2"/>
  <c r="G413" i="2"/>
  <c r="F414" i="2"/>
  <c r="G414" i="2"/>
  <c r="F415" i="2"/>
  <c r="G415" i="2"/>
  <c r="F416" i="2"/>
  <c r="G416" i="2"/>
  <c r="F417" i="2"/>
  <c r="G417" i="2"/>
  <c r="F418" i="2"/>
  <c r="G418" i="2"/>
  <c r="F419" i="2"/>
  <c r="G419" i="2"/>
  <c r="F420" i="2"/>
  <c r="G420" i="2"/>
  <c r="F421" i="2"/>
  <c r="G421" i="2"/>
  <c r="F422" i="2"/>
  <c r="G422" i="2"/>
  <c r="F423" i="2"/>
  <c r="G423" i="2"/>
  <c r="F424" i="2"/>
  <c r="G424" i="2"/>
  <c r="F425" i="2"/>
  <c r="G425" i="2"/>
  <c r="F426" i="2"/>
  <c r="G426" i="2"/>
  <c r="F427" i="2"/>
  <c r="G427" i="2"/>
  <c r="F428" i="2"/>
  <c r="G428" i="2"/>
  <c r="F429" i="2"/>
  <c r="G429" i="2"/>
  <c r="F430" i="2"/>
  <c r="G430" i="2"/>
  <c r="F431" i="2"/>
  <c r="G431" i="2"/>
  <c r="F432" i="2"/>
  <c r="G432" i="2"/>
  <c r="F433" i="2"/>
  <c r="G433" i="2"/>
  <c r="F434" i="2"/>
  <c r="G434" i="2"/>
  <c r="F435" i="2"/>
  <c r="G435" i="2"/>
  <c r="F436" i="2"/>
  <c r="G436" i="2"/>
  <c r="F437" i="2"/>
  <c r="G437" i="2"/>
  <c r="F438" i="2"/>
  <c r="G438" i="2"/>
  <c r="F439" i="2"/>
  <c r="G439" i="2"/>
  <c r="F440" i="2"/>
  <c r="G440" i="2"/>
  <c r="F441" i="2"/>
  <c r="G441" i="2"/>
  <c r="F442" i="2"/>
  <c r="G442" i="2"/>
  <c r="F443" i="2"/>
  <c r="G443" i="2"/>
  <c r="F444" i="2"/>
  <c r="G444" i="2"/>
  <c r="F445" i="2"/>
  <c r="G445" i="2"/>
  <c r="F446" i="2"/>
  <c r="G446" i="2"/>
  <c r="F447" i="2"/>
  <c r="G447" i="2"/>
  <c r="F448" i="2"/>
  <c r="G448" i="2"/>
  <c r="F449" i="2"/>
  <c r="G449" i="2"/>
  <c r="F450" i="2"/>
  <c r="G450" i="2"/>
  <c r="F451" i="2"/>
  <c r="G451" i="2"/>
  <c r="F452" i="2"/>
  <c r="G452" i="2"/>
  <c r="F453" i="2"/>
  <c r="G453" i="2"/>
  <c r="F454" i="2"/>
  <c r="G454" i="2"/>
  <c r="F455" i="2"/>
  <c r="G455" i="2"/>
  <c r="F456" i="2"/>
  <c r="G456" i="2"/>
  <c r="F457" i="2"/>
  <c r="G457" i="2"/>
  <c r="F458" i="2"/>
  <c r="G458" i="2"/>
  <c r="F459" i="2"/>
  <c r="G459" i="2"/>
  <c r="F460" i="2"/>
  <c r="G460" i="2"/>
  <c r="F461" i="2"/>
  <c r="G461" i="2"/>
  <c r="F462" i="2"/>
  <c r="G462" i="2"/>
  <c r="F463" i="2"/>
  <c r="G463" i="2"/>
  <c r="F464" i="2"/>
  <c r="G464" i="2"/>
  <c r="F465" i="2"/>
  <c r="G465" i="2"/>
  <c r="F466" i="2"/>
  <c r="G466" i="2"/>
  <c r="F467" i="2"/>
  <c r="G467" i="2"/>
  <c r="F468" i="2"/>
  <c r="G468" i="2"/>
  <c r="F469" i="2"/>
  <c r="G469" i="2"/>
  <c r="F470" i="2"/>
  <c r="G470" i="2"/>
  <c r="F471" i="2"/>
  <c r="G471" i="2"/>
  <c r="F472" i="2"/>
  <c r="G472" i="2"/>
  <c r="F473" i="2"/>
  <c r="G473" i="2"/>
  <c r="F474" i="2"/>
  <c r="G474" i="2"/>
  <c r="F475" i="2"/>
  <c r="G475" i="2"/>
  <c r="F476" i="2"/>
  <c r="G476" i="2"/>
  <c r="F477" i="2"/>
  <c r="G477" i="2"/>
  <c r="F478" i="2"/>
  <c r="G478" i="2"/>
  <c r="F479" i="2"/>
  <c r="G479" i="2"/>
  <c r="F480" i="2"/>
  <c r="G480" i="2"/>
  <c r="F481" i="2"/>
  <c r="G481" i="2"/>
  <c r="F482" i="2"/>
  <c r="G482" i="2"/>
  <c r="F483" i="2"/>
  <c r="G483" i="2"/>
  <c r="F484" i="2"/>
  <c r="G484" i="2"/>
  <c r="F485" i="2"/>
  <c r="G485" i="2"/>
  <c r="F486" i="2"/>
  <c r="G486" i="2"/>
  <c r="F487" i="2"/>
  <c r="G487" i="2"/>
  <c r="F488" i="2"/>
  <c r="G488" i="2"/>
  <c r="F489" i="2"/>
  <c r="G489" i="2"/>
  <c r="F490" i="2"/>
  <c r="G490" i="2"/>
  <c r="F491" i="2"/>
  <c r="G491" i="2"/>
  <c r="F492" i="2"/>
  <c r="G492" i="2"/>
  <c r="F493" i="2"/>
  <c r="G493" i="2"/>
  <c r="F494" i="2"/>
  <c r="G494" i="2"/>
  <c r="F495" i="2"/>
  <c r="G495" i="2"/>
  <c r="F496" i="2"/>
  <c r="G496" i="2"/>
  <c r="F497" i="2"/>
  <c r="G497" i="2"/>
  <c r="F498" i="2"/>
  <c r="G498" i="2"/>
  <c r="F499" i="2"/>
  <c r="G499" i="2"/>
  <c r="F500" i="2"/>
  <c r="G500" i="2"/>
  <c r="F501" i="2"/>
  <c r="G501" i="2"/>
  <c r="F502" i="2"/>
  <c r="G502" i="2"/>
  <c r="F503" i="2"/>
  <c r="G503" i="2"/>
  <c r="F504" i="2"/>
  <c r="G504" i="2"/>
  <c r="F505" i="2"/>
  <c r="G505" i="2"/>
  <c r="F506" i="2"/>
  <c r="G506" i="2"/>
  <c r="F507" i="2"/>
  <c r="G507" i="2"/>
  <c r="F508" i="2"/>
  <c r="G508" i="2"/>
  <c r="F509" i="2"/>
  <c r="G509" i="2"/>
  <c r="F510" i="2"/>
  <c r="G510" i="2"/>
  <c r="F511" i="2"/>
  <c r="G511" i="2"/>
  <c r="F512" i="2"/>
  <c r="G512" i="2"/>
  <c r="F513" i="2"/>
  <c r="G513" i="2"/>
  <c r="F514" i="2"/>
  <c r="G514" i="2"/>
  <c r="F515" i="2"/>
  <c r="G515" i="2"/>
  <c r="F516" i="2"/>
  <c r="G516" i="2"/>
  <c r="F517" i="2"/>
  <c r="G517" i="2"/>
  <c r="F518" i="2"/>
  <c r="G518" i="2"/>
  <c r="F519" i="2"/>
  <c r="G519" i="2"/>
  <c r="F520" i="2"/>
  <c r="G520" i="2"/>
  <c r="F521" i="2"/>
  <c r="G521" i="2"/>
  <c r="F522" i="2"/>
  <c r="G522" i="2"/>
  <c r="F523" i="2"/>
  <c r="G523" i="2"/>
  <c r="F524" i="2"/>
  <c r="G524" i="2"/>
  <c r="F525" i="2"/>
  <c r="G525" i="2"/>
  <c r="F526" i="2"/>
  <c r="G526" i="2"/>
  <c r="F527" i="2"/>
  <c r="G527" i="2"/>
  <c r="F528" i="2"/>
  <c r="G528" i="2"/>
  <c r="F529" i="2"/>
  <c r="G529" i="2"/>
  <c r="F530" i="2"/>
  <c r="G530" i="2"/>
  <c r="F531" i="2"/>
  <c r="G531" i="2"/>
  <c r="F532" i="2"/>
  <c r="G532" i="2"/>
  <c r="F533" i="2"/>
  <c r="G533" i="2"/>
  <c r="F534" i="2"/>
  <c r="G534" i="2"/>
  <c r="F535" i="2"/>
  <c r="G535" i="2"/>
  <c r="F536" i="2"/>
  <c r="G536" i="2"/>
  <c r="F537" i="2"/>
  <c r="G537" i="2"/>
  <c r="F538" i="2"/>
  <c r="G538" i="2"/>
  <c r="F539" i="2"/>
  <c r="G539" i="2"/>
  <c r="F540" i="2"/>
  <c r="G540" i="2"/>
  <c r="F541" i="2"/>
  <c r="G541" i="2"/>
  <c r="F542" i="2"/>
  <c r="G542" i="2"/>
  <c r="F543" i="2"/>
  <c r="G543" i="2"/>
  <c r="F544" i="2"/>
  <c r="G544" i="2"/>
  <c r="F545" i="2"/>
  <c r="G545" i="2"/>
  <c r="F546" i="2"/>
  <c r="G546" i="2"/>
  <c r="F547" i="2"/>
  <c r="G547" i="2"/>
  <c r="F548" i="2"/>
  <c r="G548" i="2"/>
  <c r="F549" i="2"/>
  <c r="G549" i="2"/>
  <c r="F550" i="2"/>
  <c r="G550" i="2"/>
  <c r="F551" i="2"/>
  <c r="G551" i="2"/>
  <c r="F552" i="2"/>
  <c r="G552" i="2"/>
  <c r="F553" i="2"/>
  <c r="G553" i="2"/>
  <c r="F554" i="2"/>
  <c r="G554" i="2"/>
  <c r="F555" i="2"/>
  <c r="G555" i="2"/>
  <c r="F556" i="2"/>
  <c r="G556" i="2"/>
  <c r="F557" i="2"/>
  <c r="G557" i="2"/>
  <c r="F558" i="2"/>
  <c r="G558" i="2"/>
  <c r="F559" i="2"/>
  <c r="G559" i="2"/>
  <c r="F560" i="2"/>
  <c r="G560" i="2"/>
  <c r="F561" i="2"/>
  <c r="G561" i="2"/>
  <c r="F562" i="2"/>
  <c r="G562" i="2"/>
  <c r="F563" i="2"/>
  <c r="G563" i="2"/>
  <c r="F564" i="2"/>
  <c r="G564" i="2"/>
  <c r="F565" i="2"/>
  <c r="G565" i="2"/>
  <c r="F566" i="2"/>
  <c r="G566" i="2"/>
  <c r="F567" i="2"/>
  <c r="G567" i="2"/>
  <c r="F568" i="2"/>
  <c r="G568" i="2"/>
  <c r="F569" i="2"/>
  <c r="G569" i="2"/>
  <c r="F570" i="2"/>
  <c r="G570" i="2"/>
  <c r="F571" i="2"/>
  <c r="G571" i="2"/>
  <c r="F572" i="2"/>
  <c r="G572" i="2"/>
  <c r="F573" i="2"/>
  <c r="G573" i="2"/>
  <c r="F574" i="2"/>
  <c r="G574" i="2"/>
  <c r="F575" i="2"/>
  <c r="G575" i="2"/>
  <c r="F576" i="2"/>
  <c r="G576" i="2"/>
  <c r="F577" i="2"/>
  <c r="G577" i="2"/>
  <c r="F578" i="2"/>
  <c r="G578" i="2"/>
  <c r="F579" i="2"/>
  <c r="G579" i="2"/>
  <c r="F580" i="2"/>
  <c r="G580" i="2"/>
  <c r="F581" i="2"/>
  <c r="G581" i="2"/>
  <c r="F582" i="2"/>
  <c r="G582" i="2"/>
  <c r="F583" i="2"/>
  <c r="G583" i="2"/>
  <c r="F584" i="2"/>
  <c r="G584" i="2"/>
  <c r="F585" i="2"/>
  <c r="G585" i="2"/>
  <c r="F586" i="2"/>
  <c r="G586" i="2"/>
  <c r="F587" i="2"/>
  <c r="G587" i="2"/>
  <c r="F588" i="2"/>
  <c r="G588" i="2"/>
  <c r="F589" i="2"/>
  <c r="G589" i="2"/>
  <c r="F590" i="2"/>
  <c r="G590" i="2"/>
  <c r="F591" i="2"/>
  <c r="G591" i="2"/>
  <c r="F592" i="2"/>
  <c r="G592" i="2"/>
  <c r="F593" i="2"/>
  <c r="G593" i="2"/>
  <c r="F594" i="2"/>
  <c r="G594" i="2"/>
  <c r="F595" i="2"/>
  <c r="G595" i="2"/>
  <c r="F596" i="2"/>
  <c r="G596" i="2"/>
  <c r="F597" i="2"/>
  <c r="G597" i="2"/>
  <c r="F598" i="2"/>
  <c r="G598" i="2"/>
  <c r="F599" i="2"/>
  <c r="G599" i="2"/>
  <c r="F600" i="2"/>
  <c r="G600" i="2"/>
  <c r="F601" i="2"/>
  <c r="G601" i="2"/>
  <c r="F602" i="2"/>
  <c r="G602" i="2"/>
  <c r="F603" i="2"/>
  <c r="G603" i="2"/>
  <c r="F604" i="2"/>
  <c r="G604" i="2"/>
  <c r="F605" i="2"/>
  <c r="G605" i="2"/>
  <c r="F606" i="2"/>
  <c r="G606" i="2"/>
  <c r="F607" i="2"/>
  <c r="G607" i="2"/>
  <c r="F608" i="2"/>
  <c r="G608" i="2"/>
  <c r="F609" i="2"/>
  <c r="G609" i="2"/>
  <c r="F610" i="2"/>
  <c r="G610" i="2"/>
  <c r="F611" i="2"/>
  <c r="G611" i="2"/>
  <c r="F612" i="2"/>
  <c r="G612" i="2"/>
  <c r="F613" i="2"/>
  <c r="G613" i="2"/>
  <c r="F614" i="2"/>
  <c r="G614" i="2"/>
  <c r="F615" i="2"/>
  <c r="G615" i="2"/>
  <c r="F616" i="2"/>
  <c r="G616" i="2"/>
  <c r="F617" i="2"/>
  <c r="G617" i="2"/>
  <c r="F618" i="2"/>
  <c r="G618" i="2"/>
  <c r="F619" i="2"/>
  <c r="G619" i="2"/>
  <c r="F620" i="2"/>
  <c r="G620" i="2"/>
  <c r="F621" i="2"/>
  <c r="G621" i="2"/>
  <c r="F622" i="2"/>
  <c r="G622" i="2"/>
  <c r="F623" i="2"/>
  <c r="G623" i="2"/>
  <c r="F624" i="2"/>
  <c r="G624" i="2"/>
  <c r="F625" i="2"/>
  <c r="G625" i="2"/>
  <c r="F626" i="2"/>
  <c r="G626" i="2"/>
  <c r="F627" i="2"/>
  <c r="G627" i="2"/>
  <c r="F628" i="2"/>
  <c r="G628" i="2"/>
  <c r="F629" i="2"/>
  <c r="G629" i="2"/>
  <c r="F630" i="2"/>
  <c r="G630" i="2"/>
  <c r="F631" i="2"/>
  <c r="G631" i="2"/>
  <c r="F632" i="2"/>
  <c r="G632" i="2"/>
  <c r="F633" i="2"/>
  <c r="G633" i="2"/>
  <c r="F634" i="2"/>
  <c r="G634" i="2"/>
  <c r="F635" i="2"/>
  <c r="G635" i="2"/>
  <c r="F636" i="2"/>
  <c r="G636" i="2"/>
  <c r="F637" i="2"/>
  <c r="G637" i="2"/>
  <c r="F638" i="2"/>
  <c r="G638" i="2"/>
  <c r="F639" i="2"/>
  <c r="G639" i="2"/>
  <c r="F640" i="2"/>
  <c r="G640" i="2"/>
  <c r="F641" i="2"/>
  <c r="G641" i="2"/>
  <c r="F642" i="2"/>
  <c r="G642" i="2"/>
  <c r="F643" i="2"/>
  <c r="G643" i="2"/>
  <c r="F644" i="2"/>
  <c r="G644" i="2"/>
  <c r="F645" i="2"/>
  <c r="G645" i="2"/>
  <c r="F646" i="2"/>
  <c r="G646" i="2"/>
  <c r="F647" i="2"/>
  <c r="G647" i="2"/>
  <c r="F648" i="2"/>
  <c r="G648" i="2"/>
  <c r="F649" i="2"/>
  <c r="G649" i="2"/>
  <c r="F650" i="2"/>
  <c r="G650" i="2"/>
  <c r="F651" i="2"/>
  <c r="G651" i="2"/>
  <c r="F652" i="2"/>
  <c r="G652" i="2"/>
  <c r="F653" i="2"/>
  <c r="G653" i="2"/>
  <c r="F654" i="2"/>
  <c r="G654" i="2"/>
  <c r="F655" i="2"/>
  <c r="G655" i="2"/>
  <c r="F656" i="2"/>
  <c r="G656" i="2"/>
  <c r="F657" i="2"/>
  <c r="G657" i="2"/>
  <c r="F658" i="2"/>
  <c r="G658" i="2"/>
  <c r="F659" i="2"/>
  <c r="G659" i="2"/>
  <c r="F660" i="2"/>
  <c r="G660" i="2"/>
  <c r="F661" i="2"/>
  <c r="G661" i="2"/>
  <c r="F662" i="2"/>
  <c r="G662" i="2"/>
  <c r="F663" i="2"/>
  <c r="G663" i="2"/>
  <c r="F664" i="2"/>
  <c r="G664" i="2"/>
  <c r="F665" i="2"/>
  <c r="G665" i="2"/>
  <c r="F666" i="2"/>
  <c r="G666" i="2"/>
  <c r="F667" i="2"/>
  <c r="G667" i="2"/>
  <c r="F668" i="2"/>
  <c r="G668" i="2"/>
  <c r="F669" i="2"/>
  <c r="G669" i="2"/>
  <c r="F670" i="2"/>
  <c r="G670" i="2"/>
  <c r="F671" i="2"/>
  <c r="G671" i="2"/>
  <c r="F672" i="2"/>
  <c r="G672" i="2"/>
  <c r="F673" i="2"/>
  <c r="G673" i="2"/>
  <c r="F674" i="2"/>
  <c r="G674" i="2"/>
  <c r="F675" i="2"/>
  <c r="G675" i="2"/>
  <c r="F676" i="2"/>
  <c r="G676" i="2"/>
  <c r="F677" i="2"/>
  <c r="G677" i="2"/>
  <c r="F678" i="2"/>
  <c r="G678" i="2"/>
  <c r="F679" i="2"/>
  <c r="G679" i="2"/>
  <c r="F680" i="2"/>
  <c r="G680" i="2"/>
  <c r="F681" i="2"/>
  <c r="G681" i="2"/>
  <c r="F682" i="2"/>
  <c r="G682" i="2"/>
  <c r="F683" i="2"/>
  <c r="G683" i="2"/>
  <c r="F684" i="2"/>
  <c r="G684" i="2"/>
  <c r="F685" i="2"/>
  <c r="G685" i="2"/>
  <c r="F686" i="2"/>
  <c r="G686" i="2"/>
  <c r="F687" i="2"/>
  <c r="G687" i="2"/>
  <c r="F688" i="2"/>
  <c r="G688" i="2"/>
  <c r="F689" i="2"/>
  <c r="G689" i="2"/>
  <c r="F690" i="2"/>
  <c r="G690" i="2"/>
  <c r="F691" i="2"/>
  <c r="G691" i="2"/>
  <c r="F692" i="2"/>
  <c r="G692" i="2"/>
  <c r="F693" i="2"/>
  <c r="G693" i="2"/>
  <c r="F694" i="2"/>
  <c r="G694" i="2"/>
  <c r="F695" i="2"/>
  <c r="G695" i="2"/>
  <c r="F696" i="2"/>
  <c r="G696" i="2"/>
  <c r="F697" i="2"/>
  <c r="G697" i="2"/>
  <c r="F698" i="2"/>
  <c r="G698" i="2"/>
  <c r="F699" i="2"/>
  <c r="G699" i="2"/>
  <c r="F700" i="2"/>
  <c r="G700" i="2"/>
  <c r="F701" i="2"/>
  <c r="G701" i="2"/>
  <c r="F702" i="2"/>
  <c r="G702" i="2"/>
  <c r="F703" i="2"/>
  <c r="G703" i="2"/>
  <c r="F704" i="2"/>
  <c r="G704" i="2"/>
  <c r="F705" i="2"/>
  <c r="G705" i="2"/>
  <c r="F706" i="2"/>
  <c r="G706" i="2"/>
  <c r="F707" i="2"/>
  <c r="G707" i="2"/>
  <c r="F708" i="2"/>
  <c r="G708" i="2"/>
  <c r="F709" i="2"/>
  <c r="G709" i="2"/>
  <c r="F710" i="2"/>
  <c r="G710" i="2"/>
  <c r="F711" i="2"/>
  <c r="G711" i="2"/>
  <c r="F712" i="2"/>
  <c r="G712" i="2"/>
  <c r="F713" i="2"/>
  <c r="G713" i="2"/>
  <c r="F714" i="2"/>
  <c r="G714" i="2"/>
  <c r="F715" i="2"/>
  <c r="G715" i="2"/>
  <c r="F716" i="2"/>
  <c r="G716" i="2"/>
  <c r="F717" i="2"/>
  <c r="G717" i="2"/>
  <c r="F718" i="2"/>
  <c r="G718" i="2"/>
  <c r="F719" i="2"/>
  <c r="G719" i="2"/>
  <c r="F720" i="2"/>
  <c r="G720" i="2"/>
  <c r="F721" i="2"/>
  <c r="G721" i="2"/>
  <c r="F722" i="2"/>
  <c r="G722" i="2"/>
  <c r="F723" i="2"/>
  <c r="G723" i="2"/>
  <c r="F724" i="2"/>
  <c r="G724" i="2"/>
  <c r="F725" i="2"/>
  <c r="G725" i="2"/>
  <c r="F726" i="2"/>
  <c r="G726" i="2"/>
  <c r="F727" i="2"/>
  <c r="G727" i="2"/>
  <c r="F728" i="2"/>
  <c r="G728" i="2"/>
  <c r="F729" i="2"/>
  <c r="G729" i="2"/>
  <c r="F730" i="2"/>
  <c r="G730" i="2"/>
  <c r="F731" i="2"/>
  <c r="G731" i="2"/>
  <c r="F732" i="2"/>
  <c r="G732" i="2"/>
  <c r="F733" i="2"/>
  <c r="G733" i="2"/>
  <c r="F734" i="2"/>
  <c r="G734" i="2"/>
  <c r="F735" i="2"/>
  <c r="G735" i="2"/>
  <c r="F736" i="2"/>
  <c r="G736" i="2"/>
  <c r="F737" i="2"/>
  <c r="G737" i="2"/>
  <c r="F738" i="2"/>
  <c r="G738" i="2"/>
  <c r="F739" i="2"/>
  <c r="G739" i="2"/>
  <c r="F740" i="2"/>
  <c r="G740" i="2"/>
  <c r="F741" i="2"/>
  <c r="G741" i="2"/>
  <c r="F742" i="2"/>
  <c r="G742" i="2"/>
  <c r="F743" i="2"/>
  <c r="G743" i="2"/>
  <c r="F744" i="2"/>
  <c r="G744" i="2"/>
  <c r="F745" i="2"/>
  <c r="G745" i="2"/>
  <c r="F746" i="2"/>
  <c r="G746" i="2"/>
  <c r="F747" i="2"/>
  <c r="G747" i="2"/>
  <c r="F748" i="2"/>
  <c r="G748" i="2"/>
  <c r="F749" i="2"/>
  <c r="G749" i="2"/>
  <c r="F750" i="2"/>
  <c r="G750" i="2"/>
  <c r="F751" i="2"/>
  <c r="G751" i="2"/>
  <c r="F752" i="2"/>
  <c r="G752" i="2"/>
  <c r="F753" i="2"/>
  <c r="G753" i="2"/>
  <c r="F754" i="2"/>
  <c r="G754" i="2"/>
  <c r="F755" i="2"/>
  <c r="G755" i="2"/>
  <c r="F756" i="2"/>
  <c r="G756" i="2"/>
  <c r="F757" i="2"/>
  <c r="G757" i="2"/>
  <c r="F758" i="2"/>
  <c r="G758" i="2"/>
  <c r="F759" i="2"/>
  <c r="G759" i="2"/>
  <c r="F760" i="2"/>
  <c r="G760" i="2"/>
  <c r="F761" i="2"/>
  <c r="G761" i="2"/>
  <c r="F762" i="2"/>
  <c r="G762" i="2"/>
  <c r="F763" i="2"/>
  <c r="G763" i="2"/>
  <c r="F764" i="2"/>
  <c r="G764" i="2"/>
  <c r="F765" i="2"/>
  <c r="G765" i="2"/>
  <c r="F766" i="2"/>
  <c r="G766" i="2"/>
  <c r="F767" i="2"/>
  <c r="G767" i="2"/>
  <c r="F768" i="2"/>
  <c r="G768" i="2"/>
  <c r="F769" i="2"/>
  <c r="G769" i="2"/>
  <c r="F770" i="2"/>
  <c r="G770" i="2"/>
  <c r="F771" i="2"/>
  <c r="G771" i="2"/>
  <c r="F772" i="2"/>
  <c r="G772" i="2"/>
  <c r="F773" i="2"/>
  <c r="G773" i="2"/>
  <c r="F774" i="2"/>
  <c r="G774" i="2"/>
  <c r="F775" i="2"/>
  <c r="G775" i="2"/>
  <c r="F776" i="2"/>
  <c r="G776" i="2"/>
  <c r="F777" i="2"/>
  <c r="G777" i="2"/>
  <c r="F778" i="2"/>
  <c r="G778" i="2"/>
  <c r="F779" i="2"/>
  <c r="G779" i="2"/>
  <c r="F780" i="2"/>
  <c r="G780" i="2"/>
  <c r="F781" i="2"/>
  <c r="G781" i="2"/>
  <c r="F782" i="2"/>
  <c r="G782" i="2"/>
  <c r="F783" i="2"/>
  <c r="G783" i="2"/>
  <c r="F784" i="2"/>
  <c r="G784" i="2"/>
  <c r="F785" i="2"/>
  <c r="G785" i="2"/>
  <c r="F786" i="2"/>
  <c r="G786" i="2"/>
  <c r="F787" i="2"/>
  <c r="G787" i="2"/>
  <c r="F788" i="2"/>
  <c r="G788" i="2"/>
  <c r="F789" i="2"/>
  <c r="G789" i="2"/>
  <c r="F790" i="2"/>
  <c r="G790" i="2"/>
  <c r="F791" i="2"/>
  <c r="G791" i="2"/>
  <c r="F792" i="2"/>
  <c r="G792" i="2"/>
  <c r="F793" i="2"/>
  <c r="G793" i="2"/>
  <c r="F794" i="2"/>
  <c r="G794" i="2"/>
  <c r="F795" i="2"/>
  <c r="G795" i="2"/>
  <c r="F796" i="2"/>
  <c r="G796" i="2"/>
  <c r="F797" i="2"/>
  <c r="G797" i="2"/>
  <c r="F798" i="2"/>
  <c r="G798" i="2"/>
  <c r="F799" i="2"/>
  <c r="G799" i="2"/>
  <c r="F800" i="2"/>
  <c r="G800" i="2"/>
  <c r="F801" i="2"/>
  <c r="G801" i="2"/>
  <c r="F802" i="2"/>
  <c r="G802" i="2"/>
  <c r="F803" i="2"/>
  <c r="G803" i="2"/>
  <c r="F804" i="2"/>
  <c r="G804" i="2"/>
  <c r="F805" i="2"/>
  <c r="G805" i="2"/>
  <c r="F806" i="2"/>
  <c r="G806" i="2"/>
  <c r="F807" i="2"/>
  <c r="G807" i="2"/>
  <c r="F808" i="2"/>
  <c r="G808" i="2"/>
  <c r="F809" i="2"/>
  <c r="G809" i="2"/>
  <c r="F810" i="2"/>
  <c r="G810" i="2"/>
  <c r="F811" i="2"/>
  <c r="G811" i="2"/>
  <c r="F812" i="2"/>
  <c r="G812" i="2"/>
  <c r="F813" i="2"/>
  <c r="G813" i="2"/>
  <c r="F814" i="2"/>
  <c r="G814" i="2"/>
  <c r="F815" i="2"/>
  <c r="G815" i="2"/>
  <c r="F816" i="2"/>
  <c r="G816" i="2"/>
  <c r="F817" i="2"/>
  <c r="G817" i="2"/>
  <c r="F818" i="2"/>
  <c r="G818" i="2"/>
  <c r="F819" i="2"/>
  <c r="G819" i="2"/>
  <c r="F820" i="2"/>
  <c r="G820" i="2"/>
  <c r="F821" i="2"/>
  <c r="G821" i="2"/>
  <c r="F822" i="2"/>
  <c r="G822" i="2"/>
  <c r="F823" i="2"/>
  <c r="G823" i="2"/>
  <c r="F824" i="2"/>
  <c r="G824" i="2"/>
  <c r="F825" i="2"/>
  <c r="G825" i="2"/>
  <c r="F826" i="2"/>
  <c r="G826" i="2"/>
  <c r="F827" i="2"/>
  <c r="G827" i="2"/>
  <c r="F828" i="2"/>
  <c r="G828" i="2"/>
  <c r="F829" i="2"/>
  <c r="G829" i="2"/>
  <c r="F830" i="2"/>
  <c r="G830" i="2"/>
  <c r="F831" i="2"/>
  <c r="G831" i="2"/>
  <c r="F832" i="2"/>
  <c r="G832" i="2"/>
  <c r="F833" i="2"/>
  <c r="G833" i="2"/>
  <c r="F834" i="2"/>
  <c r="G834" i="2"/>
  <c r="F835" i="2"/>
  <c r="G835" i="2"/>
  <c r="F836" i="2"/>
  <c r="G836" i="2"/>
  <c r="F837" i="2"/>
  <c r="G837" i="2"/>
  <c r="F838" i="2"/>
  <c r="G838" i="2"/>
  <c r="F839" i="2"/>
  <c r="G839" i="2"/>
  <c r="F840" i="2"/>
  <c r="G840" i="2"/>
  <c r="F841" i="2"/>
  <c r="G841" i="2"/>
  <c r="F842" i="2"/>
  <c r="G842" i="2"/>
  <c r="F843" i="2"/>
  <c r="G843" i="2"/>
  <c r="F844" i="2"/>
  <c r="G844" i="2"/>
  <c r="F845" i="2"/>
  <c r="G845" i="2"/>
  <c r="F846" i="2"/>
  <c r="G846" i="2"/>
  <c r="F847" i="2"/>
  <c r="G847" i="2"/>
  <c r="F848" i="2"/>
  <c r="G848" i="2"/>
  <c r="F849" i="2"/>
  <c r="G849" i="2"/>
  <c r="F850" i="2"/>
  <c r="G850" i="2"/>
  <c r="F851" i="2"/>
  <c r="G851" i="2"/>
  <c r="F852" i="2"/>
  <c r="G852" i="2"/>
  <c r="F853" i="2"/>
  <c r="G853" i="2"/>
  <c r="F854" i="2"/>
  <c r="G854" i="2"/>
  <c r="F855" i="2"/>
  <c r="G855" i="2"/>
  <c r="F856" i="2"/>
  <c r="G856" i="2"/>
  <c r="F857" i="2"/>
  <c r="G857" i="2"/>
  <c r="F858" i="2"/>
  <c r="G858" i="2"/>
  <c r="F859" i="2"/>
  <c r="G859" i="2"/>
  <c r="F860" i="2"/>
  <c r="G860" i="2"/>
  <c r="F861" i="2"/>
  <c r="G861" i="2"/>
  <c r="F862" i="2"/>
  <c r="G862" i="2"/>
  <c r="F863" i="2"/>
  <c r="G863" i="2"/>
  <c r="F864" i="2"/>
  <c r="G864" i="2"/>
  <c r="F865" i="2"/>
  <c r="G865" i="2"/>
  <c r="F866" i="2"/>
  <c r="G866" i="2"/>
  <c r="F867" i="2"/>
  <c r="G867" i="2"/>
  <c r="F868" i="2"/>
  <c r="G868" i="2"/>
  <c r="F869" i="2"/>
  <c r="G869" i="2"/>
  <c r="F870" i="2"/>
  <c r="G870" i="2"/>
  <c r="F871" i="2"/>
  <c r="G871" i="2"/>
  <c r="F872" i="2"/>
  <c r="G872" i="2"/>
  <c r="F873" i="2"/>
  <c r="G873" i="2"/>
  <c r="F874" i="2"/>
  <c r="G874" i="2"/>
  <c r="F875" i="2"/>
  <c r="G875" i="2"/>
  <c r="F876" i="2"/>
  <c r="G876" i="2"/>
  <c r="F877" i="2"/>
  <c r="G877" i="2"/>
  <c r="F878" i="2"/>
  <c r="G878" i="2"/>
  <c r="F879" i="2"/>
  <c r="G879" i="2"/>
  <c r="F880" i="2"/>
  <c r="G880" i="2"/>
  <c r="F881" i="2"/>
  <c r="G881" i="2"/>
  <c r="F882" i="2"/>
  <c r="G882" i="2"/>
  <c r="F883" i="2"/>
  <c r="G883" i="2"/>
  <c r="F884" i="2"/>
  <c r="G884" i="2"/>
  <c r="F885" i="2"/>
  <c r="G885" i="2"/>
  <c r="F886" i="2"/>
  <c r="G886" i="2"/>
  <c r="F887" i="2"/>
  <c r="G887" i="2"/>
  <c r="F888" i="2"/>
  <c r="G888" i="2"/>
  <c r="F889" i="2"/>
  <c r="G889" i="2"/>
  <c r="F890" i="2"/>
  <c r="G890" i="2"/>
  <c r="F891" i="2"/>
  <c r="G891" i="2"/>
  <c r="F892" i="2"/>
  <c r="G892" i="2"/>
  <c r="F893" i="2"/>
  <c r="G893" i="2"/>
  <c r="F894" i="2"/>
  <c r="G894" i="2"/>
  <c r="F895" i="2"/>
  <c r="G895" i="2"/>
  <c r="F896" i="2"/>
  <c r="G896" i="2"/>
  <c r="F897" i="2"/>
  <c r="G897" i="2"/>
  <c r="F898" i="2"/>
  <c r="G898" i="2"/>
  <c r="F899" i="2"/>
  <c r="G899" i="2"/>
  <c r="F900" i="2"/>
  <c r="G900" i="2"/>
  <c r="F901" i="2"/>
  <c r="G901" i="2"/>
  <c r="F902" i="2"/>
  <c r="G902" i="2"/>
  <c r="F903" i="2"/>
  <c r="G903" i="2"/>
  <c r="F904" i="2"/>
  <c r="G904" i="2"/>
  <c r="F905" i="2"/>
  <c r="G905" i="2"/>
  <c r="F906" i="2"/>
  <c r="G906" i="2"/>
  <c r="F907" i="2"/>
  <c r="G907" i="2"/>
  <c r="F908" i="2"/>
  <c r="G908" i="2"/>
  <c r="F909" i="2"/>
  <c r="G909" i="2"/>
  <c r="F910" i="2"/>
  <c r="G910" i="2"/>
  <c r="F911" i="2"/>
  <c r="G911" i="2"/>
  <c r="F912" i="2"/>
  <c r="G912" i="2"/>
  <c r="F913" i="2"/>
  <c r="G913" i="2"/>
  <c r="F914" i="2"/>
  <c r="G914" i="2"/>
  <c r="F915" i="2"/>
  <c r="G915" i="2"/>
  <c r="F916" i="2"/>
  <c r="G916" i="2"/>
  <c r="F917" i="2"/>
  <c r="G917" i="2"/>
  <c r="F918" i="2"/>
  <c r="G918" i="2"/>
  <c r="F919" i="2"/>
  <c r="G919" i="2"/>
  <c r="F920" i="2"/>
  <c r="G920" i="2"/>
  <c r="F921" i="2"/>
  <c r="G921" i="2"/>
  <c r="F922" i="2"/>
  <c r="G922" i="2"/>
  <c r="F923" i="2"/>
  <c r="G923" i="2"/>
  <c r="F924" i="2"/>
  <c r="G924" i="2"/>
  <c r="F925" i="2"/>
  <c r="G925" i="2"/>
  <c r="F926" i="2"/>
  <c r="G926" i="2"/>
  <c r="F927" i="2"/>
  <c r="G927" i="2"/>
  <c r="F928" i="2"/>
  <c r="G928" i="2"/>
  <c r="F929" i="2"/>
  <c r="G929" i="2"/>
  <c r="F930" i="2"/>
  <c r="G930" i="2"/>
  <c r="F931" i="2"/>
  <c r="G931" i="2"/>
  <c r="F932" i="2"/>
  <c r="G932" i="2"/>
  <c r="F933" i="2"/>
  <c r="G933" i="2"/>
  <c r="F934" i="2"/>
  <c r="G934" i="2"/>
  <c r="F935" i="2"/>
  <c r="G935" i="2"/>
  <c r="F936" i="2"/>
  <c r="G936" i="2"/>
  <c r="F937" i="2"/>
  <c r="G937" i="2"/>
  <c r="F938" i="2"/>
  <c r="G938" i="2"/>
  <c r="F939" i="2"/>
  <c r="G939" i="2"/>
  <c r="F940" i="2"/>
  <c r="G940" i="2"/>
  <c r="F941" i="2"/>
  <c r="G941" i="2"/>
  <c r="F942" i="2"/>
  <c r="G942" i="2"/>
  <c r="F943" i="2"/>
  <c r="G943" i="2"/>
  <c r="F944" i="2"/>
  <c r="G944" i="2"/>
  <c r="F945" i="2"/>
  <c r="G945" i="2"/>
  <c r="F946" i="2"/>
  <c r="G946" i="2"/>
  <c r="F947" i="2"/>
  <c r="G947" i="2"/>
  <c r="F948" i="2"/>
  <c r="G948" i="2"/>
  <c r="F949" i="2"/>
  <c r="G949" i="2"/>
  <c r="F950" i="2"/>
  <c r="G950" i="2"/>
  <c r="F951" i="2"/>
  <c r="G951" i="2"/>
  <c r="F952" i="2"/>
  <c r="G952" i="2"/>
  <c r="F953" i="2"/>
  <c r="G953" i="2"/>
  <c r="F954" i="2"/>
  <c r="G954" i="2"/>
  <c r="F955" i="2"/>
  <c r="G955" i="2"/>
  <c r="F956" i="2"/>
  <c r="G956" i="2"/>
  <c r="F957" i="2"/>
  <c r="G957" i="2"/>
  <c r="F958" i="2"/>
  <c r="G958" i="2"/>
  <c r="F959" i="2"/>
  <c r="G959" i="2"/>
  <c r="F960" i="2"/>
  <c r="G960" i="2"/>
  <c r="F961" i="2"/>
  <c r="G961" i="2"/>
  <c r="F962" i="2"/>
  <c r="G962" i="2"/>
  <c r="F963" i="2"/>
  <c r="G963" i="2"/>
  <c r="F964" i="2"/>
  <c r="G964" i="2"/>
  <c r="F965" i="2"/>
  <c r="G965" i="2"/>
  <c r="F966" i="2"/>
  <c r="G966" i="2"/>
  <c r="F967" i="2"/>
  <c r="G967" i="2"/>
  <c r="F968" i="2"/>
  <c r="G968" i="2"/>
  <c r="F969" i="2"/>
  <c r="G969" i="2"/>
  <c r="F970" i="2"/>
  <c r="G970" i="2"/>
  <c r="F971" i="2"/>
  <c r="G971" i="2"/>
  <c r="F972" i="2"/>
  <c r="G972" i="2"/>
  <c r="F973" i="2"/>
  <c r="G973" i="2"/>
  <c r="F974" i="2"/>
  <c r="G974" i="2"/>
  <c r="F975" i="2"/>
  <c r="G975" i="2"/>
  <c r="F976" i="2"/>
  <c r="G976" i="2"/>
  <c r="F977" i="2"/>
  <c r="G977" i="2"/>
  <c r="F978" i="2"/>
  <c r="G978" i="2"/>
  <c r="F979" i="2"/>
  <c r="G979" i="2"/>
  <c r="F980" i="2"/>
  <c r="G980" i="2"/>
  <c r="F981" i="2"/>
  <c r="G981" i="2"/>
  <c r="F982" i="2"/>
  <c r="G982" i="2"/>
  <c r="F983" i="2"/>
  <c r="G983" i="2"/>
  <c r="F984" i="2"/>
  <c r="G984" i="2"/>
  <c r="F985" i="2"/>
  <c r="G985" i="2"/>
  <c r="F986" i="2"/>
  <c r="G986" i="2"/>
  <c r="F987" i="2"/>
  <c r="G987" i="2"/>
  <c r="F988" i="2"/>
  <c r="G988" i="2"/>
  <c r="F989" i="2"/>
  <c r="G989" i="2"/>
  <c r="F990" i="2"/>
  <c r="G990" i="2"/>
  <c r="F991" i="2"/>
  <c r="G991" i="2"/>
  <c r="F992" i="2"/>
  <c r="G992" i="2"/>
  <c r="F993" i="2"/>
  <c r="G993" i="2"/>
  <c r="F994" i="2"/>
  <c r="G994" i="2"/>
  <c r="F995" i="2"/>
  <c r="G995" i="2"/>
  <c r="F996" i="2"/>
  <c r="G996" i="2"/>
  <c r="F997" i="2"/>
  <c r="G997" i="2"/>
  <c r="F998" i="2"/>
  <c r="G998" i="2"/>
  <c r="F999" i="2"/>
  <c r="G999" i="2"/>
  <c r="F1000" i="2"/>
  <c r="G1000" i="2"/>
  <c r="F1001" i="2"/>
  <c r="G1001" i="2"/>
  <c r="F1002" i="2"/>
  <c r="G1002" i="2"/>
  <c r="F1003" i="2"/>
  <c r="G1003" i="2"/>
  <c r="F1004" i="2"/>
  <c r="G1004" i="2"/>
  <c r="F1005" i="2"/>
  <c r="G1005" i="2"/>
  <c r="F1006" i="2"/>
  <c r="G1006" i="2"/>
  <c r="F1007" i="2"/>
  <c r="G1007" i="2"/>
  <c r="F1008" i="2"/>
  <c r="G1008" i="2"/>
  <c r="F1009" i="2"/>
  <c r="G1009" i="2"/>
  <c r="F1010" i="2"/>
  <c r="G1010" i="2"/>
  <c r="F1011" i="2"/>
  <c r="G1011" i="2"/>
  <c r="F1012" i="2"/>
  <c r="G1012" i="2"/>
  <c r="F1013" i="2"/>
  <c r="G1013" i="2"/>
  <c r="F1014" i="2"/>
  <c r="G1014" i="2"/>
  <c r="F1015" i="2"/>
  <c r="G1015" i="2"/>
  <c r="F1016" i="2"/>
  <c r="G1016" i="2"/>
  <c r="F1017" i="2"/>
  <c r="G1017" i="2"/>
  <c r="F1018" i="2"/>
  <c r="G1018" i="2"/>
  <c r="F1019" i="2"/>
  <c r="G1019" i="2"/>
  <c r="F1020" i="2"/>
  <c r="G1020" i="2"/>
  <c r="F1021" i="2"/>
  <c r="G1021" i="2"/>
  <c r="F1022" i="2"/>
  <c r="G1022" i="2"/>
  <c r="F1023" i="2"/>
  <c r="G1023" i="2"/>
  <c r="F1024" i="2"/>
  <c r="G1024" i="2"/>
  <c r="F1025" i="2"/>
  <c r="G1025" i="2"/>
  <c r="F1026" i="2"/>
  <c r="G1026" i="2"/>
  <c r="F1027" i="2"/>
  <c r="G1027" i="2"/>
  <c r="F1028" i="2"/>
  <c r="G1028" i="2"/>
  <c r="F1029" i="2"/>
  <c r="G1029" i="2"/>
  <c r="F1030" i="2"/>
  <c r="G1030" i="2"/>
  <c r="F1031" i="2"/>
  <c r="G1031" i="2"/>
  <c r="F1032" i="2"/>
  <c r="G1032" i="2"/>
  <c r="F1033" i="2"/>
  <c r="G1033" i="2"/>
  <c r="F1034" i="2"/>
  <c r="G1034" i="2"/>
  <c r="F1035" i="2"/>
  <c r="G1035" i="2"/>
  <c r="F1036" i="2"/>
  <c r="G1036" i="2"/>
  <c r="F1037" i="2"/>
  <c r="G1037" i="2"/>
  <c r="F1038" i="2"/>
  <c r="G1038" i="2"/>
  <c r="F1039" i="2"/>
  <c r="G1039" i="2"/>
  <c r="F1040" i="2"/>
  <c r="G1040" i="2"/>
  <c r="F1041" i="2"/>
  <c r="G1041" i="2"/>
  <c r="F1042" i="2"/>
  <c r="G1042" i="2"/>
  <c r="F1043" i="2"/>
  <c r="G1043" i="2"/>
  <c r="F1044" i="2"/>
  <c r="G1044" i="2"/>
  <c r="F1045" i="2"/>
  <c r="G1045" i="2"/>
  <c r="F1046" i="2"/>
  <c r="G1046" i="2"/>
  <c r="F1047" i="2"/>
  <c r="G1047" i="2"/>
  <c r="F1048" i="2"/>
  <c r="G1048" i="2"/>
  <c r="F1049" i="2"/>
  <c r="G1049" i="2"/>
  <c r="F1050" i="2"/>
  <c r="G1050" i="2"/>
  <c r="F1051" i="2"/>
  <c r="G1051" i="2"/>
  <c r="F1052" i="2"/>
  <c r="G1052" i="2"/>
  <c r="F1053" i="2"/>
  <c r="G1053" i="2"/>
  <c r="F1054" i="2"/>
  <c r="G1054" i="2"/>
  <c r="F1055" i="2"/>
  <c r="G1055" i="2"/>
  <c r="F1056" i="2"/>
  <c r="G1056" i="2"/>
  <c r="F1057" i="2"/>
  <c r="G1057" i="2"/>
  <c r="F1058" i="2"/>
  <c r="G1058" i="2"/>
  <c r="F1059" i="2"/>
  <c r="G1059" i="2"/>
  <c r="F1060" i="2"/>
  <c r="G1060" i="2"/>
  <c r="F1061" i="2"/>
  <c r="G1061" i="2"/>
  <c r="F1062" i="2"/>
  <c r="G1062" i="2"/>
  <c r="F1063" i="2"/>
  <c r="G1063" i="2"/>
  <c r="F1064" i="2"/>
  <c r="G1064" i="2"/>
  <c r="F1065" i="2"/>
  <c r="G1065" i="2"/>
  <c r="F1066" i="2"/>
  <c r="G1066" i="2"/>
  <c r="F1067" i="2"/>
  <c r="G1067" i="2"/>
  <c r="F1068" i="2"/>
  <c r="G1068" i="2"/>
  <c r="F1069" i="2"/>
  <c r="G1069" i="2"/>
  <c r="F1070" i="2"/>
  <c r="G1070" i="2"/>
  <c r="F1071" i="2"/>
  <c r="G1071" i="2"/>
  <c r="F1072" i="2"/>
  <c r="G1072" i="2"/>
  <c r="F1073" i="2"/>
  <c r="G1073" i="2"/>
  <c r="F1074" i="2"/>
  <c r="G1074" i="2"/>
  <c r="F1075" i="2"/>
  <c r="G1075" i="2"/>
  <c r="F1076" i="2"/>
  <c r="G1076" i="2"/>
  <c r="F1077" i="2"/>
  <c r="G1077" i="2"/>
  <c r="F1078" i="2"/>
  <c r="G1078" i="2"/>
  <c r="F1079" i="2"/>
  <c r="G1079" i="2"/>
  <c r="F1080" i="2"/>
  <c r="G1080" i="2"/>
  <c r="F1081" i="2"/>
  <c r="G1081" i="2"/>
  <c r="F1082" i="2"/>
  <c r="G1082" i="2"/>
  <c r="F1083" i="2"/>
  <c r="G1083" i="2"/>
  <c r="F1084" i="2"/>
  <c r="G1084" i="2"/>
  <c r="F1085" i="2"/>
  <c r="G1085" i="2"/>
  <c r="F1086" i="2"/>
  <c r="G1086" i="2"/>
  <c r="F1087" i="2"/>
  <c r="G1087" i="2"/>
  <c r="F1088" i="2"/>
  <c r="G1088" i="2"/>
  <c r="F1089" i="2"/>
  <c r="G1089" i="2"/>
  <c r="F1090" i="2"/>
  <c r="G1090" i="2"/>
  <c r="F1091" i="2"/>
  <c r="G1091" i="2"/>
  <c r="F1092" i="2"/>
  <c r="G1092" i="2"/>
  <c r="F1093" i="2"/>
  <c r="G1093" i="2"/>
  <c r="F1094" i="2"/>
  <c r="G1094" i="2"/>
  <c r="F1095" i="2"/>
  <c r="G1095" i="2"/>
  <c r="F1096" i="2"/>
  <c r="G1096" i="2"/>
  <c r="F1097" i="2"/>
  <c r="G1097" i="2"/>
  <c r="F1098" i="2"/>
  <c r="G1098" i="2"/>
  <c r="F1099" i="2"/>
  <c r="G1099" i="2"/>
  <c r="F1100" i="2"/>
  <c r="G1100" i="2"/>
  <c r="F1101" i="2"/>
  <c r="G1101" i="2"/>
  <c r="F1102" i="2"/>
  <c r="G1102" i="2"/>
  <c r="F1103" i="2"/>
  <c r="G1103" i="2"/>
  <c r="F1104" i="2"/>
  <c r="G1104" i="2"/>
  <c r="F1105" i="2"/>
  <c r="G1105" i="2"/>
  <c r="F1106" i="2"/>
  <c r="G1106" i="2"/>
  <c r="F1107" i="2"/>
  <c r="G1107" i="2"/>
  <c r="F1108" i="2"/>
  <c r="G1108" i="2"/>
  <c r="F1109" i="2"/>
  <c r="G1109" i="2"/>
  <c r="F1110" i="2"/>
  <c r="G1110" i="2"/>
  <c r="F1111" i="2"/>
  <c r="G1111" i="2"/>
  <c r="F1112" i="2"/>
  <c r="G1112" i="2"/>
  <c r="F1113" i="2"/>
  <c r="G1113" i="2"/>
  <c r="F1114" i="2"/>
  <c r="G1114" i="2"/>
  <c r="F1115" i="2"/>
  <c r="G1115" i="2"/>
  <c r="F1116" i="2"/>
  <c r="G1116" i="2"/>
  <c r="F1117" i="2"/>
  <c r="G1117" i="2"/>
  <c r="F1118" i="2"/>
  <c r="G1118" i="2"/>
  <c r="F1119" i="2"/>
  <c r="G1119" i="2"/>
  <c r="F1120" i="2"/>
  <c r="G1120" i="2"/>
  <c r="F1121" i="2"/>
  <c r="G1121" i="2"/>
  <c r="F1122" i="2"/>
  <c r="G1122" i="2"/>
  <c r="F1123" i="2"/>
  <c r="G1123" i="2"/>
  <c r="F1124" i="2"/>
  <c r="G1124" i="2"/>
  <c r="F1125" i="2"/>
  <c r="G1125" i="2"/>
  <c r="F1126" i="2"/>
  <c r="G1126" i="2"/>
  <c r="F1127" i="2"/>
  <c r="G1127" i="2"/>
  <c r="F1128" i="2"/>
  <c r="G1128" i="2"/>
  <c r="F1129" i="2"/>
  <c r="G1129" i="2"/>
  <c r="F1130" i="2"/>
  <c r="G1130" i="2"/>
  <c r="F1131" i="2"/>
  <c r="G1131" i="2"/>
  <c r="F1132" i="2"/>
  <c r="G1132" i="2"/>
  <c r="F1133" i="2"/>
  <c r="G1133" i="2"/>
  <c r="F1134" i="2"/>
  <c r="G1134" i="2"/>
  <c r="F1135" i="2"/>
  <c r="G1135" i="2"/>
  <c r="F1136" i="2"/>
  <c r="G1136" i="2"/>
  <c r="F1137" i="2"/>
  <c r="G1137" i="2"/>
  <c r="F1138" i="2"/>
  <c r="G1138" i="2"/>
  <c r="F1139" i="2"/>
  <c r="G1139" i="2"/>
  <c r="F1140" i="2"/>
  <c r="G1140" i="2"/>
  <c r="F1141" i="2"/>
  <c r="G1141" i="2"/>
  <c r="F1142" i="2"/>
  <c r="G1142" i="2"/>
  <c r="F1143" i="2"/>
  <c r="G1143" i="2"/>
  <c r="F1144" i="2"/>
  <c r="G1144" i="2"/>
  <c r="F1145" i="2"/>
  <c r="G1145" i="2"/>
  <c r="F1146" i="2"/>
  <c r="G1146" i="2"/>
  <c r="F1147" i="2"/>
  <c r="G1147" i="2"/>
  <c r="F1148" i="2"/>
  <c r="G1148" i="2"/>
  <c r="F1149" i="2"/>
  <c r="G1149" i="2"/>
  <c r="F1150" i="2"/>
  <c r="G1150" i="2"/>
  <c r="F1151" i="2"/>
  <c r="G1151" i="2"/>
  <c r="F1152" i="2"/>
  <c r="G1152" i="2"/>
  <c r="F1153" i="2"/>
  <c r="G1153" i="2"/>
  <c r="F1154" i="2"/>
  <c r="G1154" i="2"/>
  <c r="F1155" i="2"/>
  <c r="G1155" i="2"/>
  <c r="F1156" i="2"/>
  <c r="G1156" i="2"/>
  <c r="F1157" i="2"/>
  <c r="G1157" i="2"/>
  <c r="F1158" i="2"/>
  <c r="G1158" i="2"/>
  <c r="F1159" i="2"/>
  <c r="G1159" i="2"/>
  <c r="F1160" i="2"/>
  <c r="G1160" i="2"/>
  <c r="F1161" i="2"/>
  <c r="G1161" i="2"/>
  <c r="F1162" i="2"/>
  <c r="G1162" i="2"/>
  <c r="F1163" i="2"/>
  <c r="G1163" i="2"/>
  <c r="F1164" i="2"/>
  <c r="G1164" i="2"/>
  <c r="F1165" i="2"/>
  <c r="G1165" i="2"/>
  <c r="F1166" i="2"/>
  <c r="G1166" i="2"/>
  <c r="F1167" i="2"/>
  <c r="G1167" i="2"/>
  <c r="F1168" i="2"/>
  <c r="G1168" i="2"/>
  <c r="F1169" i="2"/>
  <c r="G1169" i="2"/>
  <c r="F1170" i="2"/>
  <c r="G1170" i="2"/>
  <c r="F1171" i="2"/>
  <c r="G1171" i="2"/>
  <c r="F1172" i="2"/>
  <c r="G1172" i="2"/>
  <c r="F1173" i="2"/>
  <c r="G1173" i="2"/>
  <c r="F1174" i="2"/>
  <c r="G1174" i="2"/>
  <c r="F1175" i="2"/>
  <c r="G1175" i="2"/>
  <c r="F1176" i="2"/>
  <c r="G1176" i="2"/>
  <c r="F1177" i="2"/>
  <c r="G1177" i="2"/>
  <c r="F1178" i="2"/>
  <c r="G1178" i="2"/>
  <c r="F1179" i="2"/>
  <c r="G1179" i="2"/>
  <c r="F1180" i="2"/>
  <c r="G1180" i="2"/>
  <c r="F1181" i="2"/>
  <c r="G1181" i="2"/>
  <c r="F1182" i="2"/>
  <c r="G1182" i="2"/>
  <c r="F1183" i="2"/>
  <c r="G1183" i="2"/>
  <c r="F1184" i="2"/>
  <c r="G1184" i="2"/>
  <c r="F1185" i="2"/>
  <c r="G1185" i="2"/>
  <c r="F1186" i="2"/>
  <c r="G1186" i="2"/>
  <c r="F1187" i="2"/>
  <c r="G1187" i="2"/>
  <c r="F1188" i="2"/>
  <c r="G1188" i="2"/>
  <c r="F1189" i="2"/>
  <c r="G1189" i="2"/>
  <c r="F1190" i="2"/>
  <c r="G1190" i="2"/>
  <c r="F1191" i="2"/>
  <c r="G1191" i="2"/>
  <c r="F1192" i="2"/>
  <c r="G1192" i="2"/>
  <c r="F1193" i="2"/>
  <c r="G1193" i="2"/>
  <c r="F1194" i="2"/>
  <c r="G1194" i="2"/>
  <c r="F1195" i="2"/>
  <c r="G1195" i="2"/>
  <c r="F1196" i="2"/>
  <c r="G1196" i="2"/>
  <c r="F1197" i="2"/>
  <c r="G1197" i="2"/>
  <c r="F1198" i="2"/>
  <c r="G1198" i="2"/>
  <c r="F1199" i="2"/>
  <c r="G1199" i="2"/>
  <c r="F1200" i="2"/>
  <c r="G1200" i="2"/>
  <c r="F1201" i="2"/>
  <c r="G1201" i="2"/>
  <c r="F1202" i="2"/>
  <c r="G1202" i="2"/>
  <c r="F1203" i="2"/>
  <c r="G1203" i="2"/>
  <c r="F1204" i="2"/>
  <c r="G1204" i="2"/>
  <c r="F1205" i="2"/>
  <c r="G1205" i="2"/>
  <c r="F1206" i="2"/>
  <c r="G1206" i="2"/>
  <c r="F1207" i="2"/>
  <c r="G1207" i="2"/>
  <c r="F1208" i="2"/>
  <c r="G1208" i="2"/>
  <c r="F1209" i="2"/>
  <c r="G1209" i="2"/>
  <c r="F1210" i="2"/>
  <c r="G1210" i="2"/>
  <c r="F1211" i="2"/>
  <c r="G1211" i="2"/>
  <c r="F1212" i="2"/>
  <c r="G1212" i="2"/>
  <c r="F1213" i="2"/>
  <c r="G1213" i="2"/>
  <c r="F1214" i="2"/>
  <c r="G1214" i="2"/>
  <c r="F1215" i="2"/>
  <c r="G1215" i="2"/>
  <c r="F1216" i="2"/>
  <c r="G1216" i="2"/>
  <c r="F1217" i="2"/>
  <c r="G1217" i="2"/>
  <c r="F1218" i="2"/>
  <c r="G1218" i="2"/>
  <c r="F1219" i="2"/>
  <c r="G1219" i="2"/>
  <c r="F1220" i="2"/>
  <c r="G1220" i="2"/>
  <c r="F1221" i="2"/>
  <c r="G1221" i="2"/>
  <c r="F1222" i="2"/>
  <c r="G1222" i="2"/>
  <c r="F1223" i="2"/>
  <c r="G1223" i="2"/>
  <c r="F1224" i="2"/>
  <c r="G1224" i="2"/>
  <c r="F1225" i="2"/>
  <c r="G1225" i="2"/>
  <c r="F1226" i="2"/>
  <c r="G1226" i="2"/>
  <c r="F1227" i="2"/>
  <c r="G1227" i="2"/>
  <c r="F1228" i="2"/>
  <c r="G1228" i="2"/>
  <c r="F1229" i="2"/>
  <c r="G1229" i="2"/>
  <c r="F1230" i="2"/>
  <c r="G1230" i="2"/>
  <c r="F1231" i="2"/>
  <c r="G1231" i="2"/>
  <c r="F1232" i="2"/>
  <c r="G1232" i="2"/>
  <c r="F1233" i="2"/>
  <c r="G1233" i="2"/>
  <c r="F1234" i="2"/>
  <c r="G1234" i="2"/>
  <c r="F1235" i="2"/>
  <c r="G1235" i="2"/>
  <c r="F1236" i="2"/>
  <c r="G1236" i="2"/>
  <c r="F1237" i="2"/>
  <c r="G1237" i="2"/>
  <c r="F1238" i="2"/>
  <c r="G1238" i="2"/>
  <c r="F1239" i="2"/>
  <c r="G1239" i="2"/>
  <c r="F1240" i="2"/>
  <c r="G1240" i="2"/>
  <c r="F1241" i="2"/>
  <c r="G1241" i="2"/>
  <c r="F1242" i="2"/>
  <c r="G1242" i="2"/>
  <c r="F1243" i="2"/>
  <c r="G1243" i="2"/>
  <c r="F1244" i="2"/>
  <c r="G1244" i="2"/>
  <c r="F1245" i="2"/>
  <c r="G1245" i="2"/>
  <c r="F1246" i="2"/>
  <c r="G1246" i="2"/>
  <c r="F1247" i="2"/>
  <c r="G1247" i="2"/>
  <c r="F1248" i="2"/>
  <c r="G1248" i="2"/>
  <c r="F1249" i="2"/>
  <c r="G1249" i="2"/>
  <c r="F1250" i="2"/>
  <c r="G1250" i="2"/>
  <c r="F1251" i="2"/>
  <c r="G1251" i="2"/>
  <c r="F1252" i="2"/>
  <c r="G1252" i="2"/>
  <c r="F1253" i="2"/>
  <c r="G1253" i="2"/>
  <c r="F1254" i="2"/>
  <c r="G1254" i="2"/>
  <c r="F1255" i="2"/>
  <c r="G1255" i="2"/>
  <c r="F1256" i="2"/>
  <c r="G1256" i="2"/>
  <c r="F1257" i="2"/>
  <c r="G1257" i="2"/>
  <c r="F1258" i="2"/>
  <c r="G1258" i="2"/>
  <c r="F1259" i="2"/>
  <c r="G1259" i="2"/>
  <c r="F1260" i="2"/>
  <c r="G1260" i="2"/>
  <c r="F1261" i="2"/>
  <c r="G1261" i="2"/>
  <c r="F1262" i="2"/>
  <c r="G1262" i="2"/>
  <c r="F1263" i="2"/>
  <c r="G1263" i="2"/>
  <c r="F1264" i="2"/>
  <c r="G1264" i="2"/>
  <c r="F1265" i="2"/>
  <c r="G1265" i="2"/>
  <c r="F1266" i="2"/>
  <c r="G1266" i="2"/>
  <c r="F1267" i="2"/>
  <c r="G1267" i="2"/>
  <c r="F1268" i="2"/>
  <c r="G1268" i="2"/>
  <c r="F1269" i="2"/>
  <c r="G1269" i="2"/>
  <c r="F1270" i="2"/>
  <c r="G1270" i="2"/>
  <c r="F1271" i="2"/>
  <c r="G1271" i="2"/>
  <c r="F1272" i="2"/>
  <c r="G1272" i="2"/>
  <c r="F1273" i="2"/>
  <c r="G1273" i="2"/>
  <c r="F1274" i="2"/>
  <c r="G1274" i="2"/>
  <c r="F1275" i="2"/>
  <c r="G1275" i="2"/>
  <c r="F1276" i="2"/>
  <c r="G1276" i="2"/>
  <c r="F1277" i="2"/>
  <c r="G1277" i="2"/>
  <c r="F1278" i="2"/>
  <c r="G1278" i="2"/>
  <c r="F1279" i="2"/>
  <c r="G1279" i="2"/>
  <c r="F1280" i="2"/>
  <c r="G1280" i="2"/>
  <c r="F1281" i="2"/>
  <c r="G1281" i="2"/>
  <c r="F1282" i="2"/>
  <c r="G1282" i="2"/>
  <c r="F1283" i="2"/>
  <c r="G1283" i="2"/>
  <c r="F1284" i="2"/>
  <c r="G1284" i="2"/>
  <c r="F1285" i="2"/>
  <c r="G1285" i="2"/>
  <c r="F1286" i="2"/>
  <c r="G1286" i="2"/>
  <c r="F1287" i="2"/>
  <c r="G1287" i="2"/>
  <c r="F1288" i="2"/>
  <c r="G1288" i="2"/>
  <c r="F1289" i="2"/>
  <c r="G1289" i="2"/>
  <c r="F1290" i="2"/>
  <c r="G1290" i="2"/>
  <c r="F1291" i="2"/>
  <c r="G1291" i="2"/>
  <c r="F1292" i="2"/>
  <c r="G1292" i="2"/>
  <c r="F1293" i="2"/>
  <c r="G1293" i="2"/>
  <c r="F1294" i="2"/>
  <c r="G1294" i="2"/>
  <c r="F1295" i="2"/>
  <c r="G1295" i="2"/>
  <c r="F1296" i="2"/>
  <c r="G1296" i="2"/>
  <c r="F1297" i="2"/>
  <c r="G1297" i="2"/>
  <c r="F1298" i="2"/>
  <c r="G1298" i="2"/>
  <c r="F1299" i="2"/>
  <c r="G1299" i="2"/>
  <c r="F1300" i="2"/>
  <c r="G1300" i="2"/>
  <c r="F1301" i="2"/>
  <c r="G1301" i="2"/>
  <c r="F1302" i="2"/>
  <c r="G1302" i="2"/>
  <c r="F1303" i="2"/>
  <c r="G1303" i="2"/>
  <c r="F1304" i="2"/>
  <c r="G1304" i="2"/>
  <c r="F1305" i="2"/>
  <c r="G1305" i="2"/>
  <c r="F1306" i="2"/>
  <c r="G1306" i="2"/>
  <c r="F1307" i="2"/>
  <c r="G1307" i="2"/>
  <c r="F1308" i="2"/>
  <c r="G1308" i="2"/>
  <c r="F1309" i="2"/>
  <c r="G1309" i="2"/>
  <c r="F1310" i="2"/>
  <c r="G1310" i="2"/>
  <c r="F1311" i="2"/>
  <c r="G1311" i="2"/>
  <c r="F1312" i="2"/>
  <c r="G1312" i="2"/>
  <c r="F1313" i="2"/>
  <c r="G1313" i="2"/>
  <c r="F1314" i="2"/>
  <c r="G1314" i="2"/>
  <c r="F1315" i="2"/>
  <c r="G1315" i="2"/>
  <c r="F1316" i="2"/>
  <c r="G1316" i="2"/>
  <c r="F1317" i="2"/>
  <c r="G1317" i="2"/>
  <c r="F1318" i="2"/>
  <c r="G1318" i="2"/>
  <c r="F1319" i="2"/>
  <c r="G1319" i="2"/>
  <c r="F1320" i="2"/>
  <c r="G1320" i="2"/>
  <c r="F1321" i="2"/>
  <c r="G1321" i="2"/>
  <c r="F1322" i="2"/>
  <c r="G1322" i="2"/>
  <c r="F1323" i="2"/>
  <c r="G1323" i="2"/>
  <c r="F1324" i="2"/>
  <c r="G1324" i="2"/>
  <c r="F1325" i="2"/>
  <c r="G1325" i="2"/>
  <c r="F1326" i="2"/>
  <c r="G1326" i="2"/>
  <c r="F1327" i="2"/>
  <c r="G1327" i="2"/>
  <c r="F1328" i="2"/>
  <c r="G1328" i="2"/>
  <c r="F1329" i="2"/>
  <c r="G1329" i="2"/>
  <c r="F1330" i="2"/>
  <c r="G1330" i="2"/>
  <c r="F1331" i="2"/>
  <c r="G1331" i="2"/>
  <c r="F1332" i="2"/>
  <c r="G1332" i="2"/>
  <c r="F1333" i="2"/>
  <c r="G1333" i="2"/>
  <c r="F1334" i="2"/>
  <c r="G1334" i="2"/>
  <c r="F1335" i="2"/>
  <c r="G1335" i="2"/>
  <c r="F1336" i="2"/>
  <c r="G1336" i="2"/>
  <c r="F1337" i="2"/>
  <c r="G1337" i="2"/>
  <c r="F1338" i="2"/>
  <c r="G1338" i="2"/>
  <c r="F1339" i="2"/>
  <c r="G1339" i="2"/>
  <c r="F1340" i="2"/>
  <c r="G1340" i="2"/>
  <c r="F1341" i="2"/>
  <c r="G1341" i="2"/>
  <c r="F1342" i="2"/>
  <c r="G1342" i="2"/>
  <c r="F1343" i="2"/>
  <c r="G1343" i="2"/>
  <c r="F1344" i="2"/>
  <c r="G1344" i="2"/>
  <c r="F1345" i="2"/>
  <c r="G1345" i="2"/>
  <c r="F1346" i="2"/>
  <c r="G1346" i="2"/>
  <c r="F1347" i="2"/>
  <c r="G1347" i="2"/>
  <c r="F1348" i="2"/>
  <c r="G1348" i="2"/>
  <c r="F1349" i="2"/>
  <c r="G1349" i="2"/>
  <c r="F1350" i="2"/>
  <c r="G1350" i="2"/>
  <c r="F1351" i="2"/>
  <c r="G1351" i="2"/>
  <c r="F1352" i="2"/>
  <c r="G1352" i="2"/>
  <c r="F1353" i="2"/>
  <c r="G1353" i="2"/>
  <c r="F1354" i="2"/>
  <c r="G1354" i="2"/>
  <c r="F1355" i="2"/>
  <c r="G1355" i="2"/>
  <c r="F1356" i="2"/>
  <c r="G1356" i="2"/>
  <c r="F1357" i="2"/>
  <c r="G1357" i="2"/>
  <c r="F1358" i="2"/>
  <c r="G1358" i="2"/>
  <c r="F1359" i="2"/>
  <c r="G1359" i="2"/>
  <c r="F1360" i="2"/>
  <c r="G1360" i="2"/>
  <c r="F1361" i="2"/>
  <c r="G1361" i="2"/>
  <c r="F1362" i="2"/>
  <c r="G1362" i="2"/>
  <c r="F1363" i="2"/>
  <c r="G1363" i="2"/>
  <c r="F1364" i="2"/>
  <c r="G1364" i="2"/>
  <c r="F1365" i="2"/>
  <c r="G1365" i="2"/>
  <c r="F1366" i="2"/>
  <c r="G1366" i="2"/>
  <c r="F1367" i="2"/>
  <c r="G1367" i="2"/>
  <c r="F1368" i="2"/>
  <c r="G1368" i="2"/>
  <c r="F1369" i="2"/>
  <c r="G1369" i="2"/>
  <c r="F1370" i="2"/>
  <c r="G1370" i="2"/>
  <c r="F1371" i="2"/>
  <c r="G1371" i="2"/>
  <c r="F1372" i="2"/>
  <c r="G1372" i="2"/>
  <c r="F1373" i="2"/>
  <c r="G1373" i="2"/>
  <c r="F1374" i="2"/>
  <c r="G1374" i="2"/>
  <c r="F1375" i="2"/>
  <c r="G1375" i="2"/>
  <c r="F1376" i="2"/>
  <c r="G1376" i="2"/>
  <c r="F1377" i="2"/>
  <c r="G1377" i="2"/>
  <c r="F1378" i="2"/>
  <c r="G1378" i="2"/>
  <c r="F1379" i="2"/>
  <c r="G1379" i="2"/>
  <c r="F1380" i="2"/>
  <c r="G1380" i="2"/>
  <c r="F1381" i="2"/>
  <c r="G1381" i="2"/>
  <c r="F1382" i="2"/>
  <c r="G1382" i="2"/>
  <c r="F1383" i="2"/>
  <c r="G1383" i="2"/>
  <c r="F1384" i="2"/>
  <c r="G1384" i="2"/>
  <c r="F1385" i="2"/>
  <c r="G1385" i="2"/>
  <c r="F1386" i="2"/>
  <c r="G1386" i="2"/>
  <c r="F1387" i="2"/>
  <c r="G1387" i="2"/>
  <c r="F1388" i="2"/>
  <c r="G1388" i="2"/>
  <c r="F1389" i="2"/>
  <c r="G1389" i="2"/>
  <c r="F1390" i="2"/>
  <c r="G1390" i="2"/>
  <c r="F1391" i="2"/>
  <c r="G1391" i="2"/>
  <c r="F1392" i="2"/>
  <c r="G1392" i="2"/>
  <c r="F1393" i="2"/>
  <c r="G1393" i="2"/>
  <c r="F1394" i="2"/>
  <c r="G1394" i="2"/>
  <c r="F1395" i="2"/>
  <c r="G1395" i="2"/>
  <c r="F1396" i="2"/>
  <c r="G1396" i="2"/>
  <c r="F1397" i="2"/>
  <c r="G1397" i="2"/>
  <c r="F1398" i="2"/>
  <c r="G1398" i="2"/>
  <c r="F1399" i="2"/>
  <c r="G1399" i="2"/>
  <c r="F1400" i="2"/>
  <c r="G1400" i="2"/>
  <c r="F1401" i="2"/>
  <c r="G1401" i="2"/>
  <c r="F1402" i="2"/>
  <c r="G1402" i="2"/>
  <c r="F1403" i="2"/>
  <c r="G1403" i="2"/>
  <c r="F1404" i="2"/>
  <c r="G1404" i="2"/>
  <c r="F1405" i="2"/>
  <c r="G1405" i="2"/>
  <c r="F1406" i="2"/>
  <c r="G1406" i="2"/>
  <c r="F1407" i="2"/>
  <c r="G1407" i="2"/>
  <c r="F1408" i="2"/>
  <c r="G1408" i="2"/>
  <c r="F1409" i="2"/>
  <c r="G1409" i="2"/>
  <c r="F1410" i="2"/>
  <c r="G1410" i="2"/>
  <c r="F1411" i="2"/>
  <c r="G1411" i="2"/>
  <c r="F1412" i="2"/>
  <c r="G1412" i="2"/>
  <c r="F1413" i="2"/>
  <c r="G1413" i="2"/>
  <c r="F1414" i="2"/>
  <c r="G1414" i="2"/>
  <c r="F1415" i="2"/>
  <c r="G1415" i="2"/>
  <c r="F1416" i="2"/>
  <c r="G1416" i="2"/>
  <c r="F1417" i="2"/>
  <c r="G1417" i="2"/>
  <c r="F1418" i="2"/>
  <c r="G1418" i="2"/>
  <c r="F1419" i="2"/>
  <c r="G1419" i="2"/>
  <c r="F1420" i="2"/>
  <c r="G1420" i="2"/>
  <c r="F1421" i="2"/>
  <c r="G1421" i="2"/>
  <c r="F1422" i="2"/>
  <c r="G1422" i="2"/>
  <c r="F1423" i="2"/>
  <c r="G1423" i="2"/>
  <c r="F1424" i="2"/>
  <c r="G1424" i="2"/>
  <c r="F1425" i="2"/>
  <c r="G1425" i="2"/>
  <c r="F1426" i="2"/>
  <c r="G1426" i="2"/>
  <c r="F1427" i="2"/>
  <c r="G1427" i="2"/>
  <c r="F1428" i="2"/>
  <c r="G1428" i="2"/>
  <c r="F1429" i="2"/>
  <c r="G1429" i="2"/>
  <c r="F1430" i="2"/>
  <c r="G1430" i="2"/>
  <c r="F1431" i="2"/>
  <c r="G1431" i="2"/>
  <c r="F1432" i="2"/>
  <c r="G1432" i="2"/>
  <c r="F1433" i="2"/>
  <c r="G1433" i="2"/>
  <c r="F1434" i="2"/>
  <c r="G1434" i="2"/>
  <c r="F1435" i="2"/>
  <c r="G1435" i="2"/>
  <c r="F1436" i="2"/>
  <c r="G1436" i="2"/>
  <c r="F1437" i="2"/>
  <c r="G1437" i="2"/>
  <c r="F1438" i="2"/>
  <c r="G1438" i="2"/>
  <c r="F1439" i="2"/>
  <c r="G1439" i="2"/>
  <c r="F1440" i="2"/>
  <c r="G1440" i="2"/>
  <c r="F1441" i="2"/>
  <c r="G1441" i="2"/>
  <c r="F1442" i="2"/>
  <c r="G1442" i="2"/>
  <c r="F1443" i="2"/>
  <c r="G1443" i="2"/>
  <c r="F1444" i="2"/>
  <c r="G1444" i="2"/>
  <c r="F1445" i="2"/>
  <c r="G1445" i="2"/>
  <c r="F1446" i="2"/>
  <c r="G1446" i="2"/>
  <c r="F1447" i="2"/>
  <c r="G1447" i="2"/>
  <c r="F1448" i="2"/>
  <c r="G1448" i="2"/>
  <c r="F1449" i="2"/>
  <c r="G1449" i="2"/>
  <c r="F1450" i="2"/>
  <c r="G1450" i="2"/>
  <c r="F1451" i="2"/>
  <c r="G1451" i="2"/>
  <c r="F1452" i="2"/>
  <c r="G1452" i="2"/>
  <c r="F1453" i="2"/>
  <c r="G1453" i="2"/>
  <c r="F1454" i="2"/>
  <c r="G1454" i="2"/>
  <c r="F1455" i="2"/>
  <c r="G1455" i="2"/>
  <c r="F1456" i="2"/>
  <c r="G1456" i="2"/>
  <c r="F1457" i="2"/>
  <c r="G1457" i="2"/>
  <c r="F1458" i="2"/>
  <c r="G1458" i="2"/>
  <c r="F1459" i="2"/>
  <c r="G1459" i="2"/>
  <c r="F1460" i="2"/>
  <c r="G1460" i="2"/>
  <c r="F1461" i="2"/>
  <c r="G1461" i="2"/>
  <c r="F1462" i="2"/>
  <c r="G1462" i="2"/>
  <c r="F1463" i="2"/>
  <c r="G1463" i="2"/>
  <c r="F1464" i="2"/>
  <c r="G1464" i="2"/>
  <c r="F1465" i="2"/>
  <c r="G1465" i="2"/>
  <c r="F1466" i="2"/>
  <c r="G1466" i="2"/>
  <c r="F1467" i="2"/>
  <c r="G1467" i="2"/>
  <c r="F1468" i="2"/>
  <c r="G1468" i="2"/>
  <c r="F1469" i="2"/>
  <c r="G1469" i="2"/>
  <c r="F1470" i="2"/>
  <c r="G1470" i="2"/>
  <c r="F1471" i="2"/>
  <c r="G1471" i="2"/>
  <c r="F1472" i="2"/>
  <c r="G1472" i="2"/>
  <c r="F1473" i="2"/>
  <c r="G1473" i="2"/>
  <c r="F1474" i="2"/>
  <c r="G1474" i="2"/>
  <c r="F1475" i="2"/>
  <c r="G1475" i="2"/>
  <c r="F1476" i="2"/>
  <c r="G1476" i="2"/>
  <c r="F1477" i="2"/>
  <c r="G1477" i="2"/>
  <c r="F1478" i="2"/>
  <c r="G1478" i="2"/>
  <c r="F1479" i="2"/>
  <c r="G1479" i="2"/>
  <c r="F1480" i="2"/>
  <c r="G1480" i="2"/>
  <c r="F1481" i="2"/>
  <c r="G1481" i="2"/>
  <c r="F1482" i="2"/>
  <c r="G1482" i="2"/>
  <c r="F1483" i="2"/>
  <c r="G1483" i="2"/>
  <c r="F1484" i="2"/>
  <c r="G1484" i="2"/>
  <c r="F1485" i="2"/>
  <c r="G1485" i="2"/>
  <c r="F1486" i="2"/>
  <c r="G1486" i="2"/>
  <c r="F1487" i="2"/>
  <c r="G1487" i="2"/>
  <c r="F1488" i="2"/>
  <c r="G1488" i="2"/>
  <c r="F1489" i="2"/>
  <c r="G1489" i="2"/>
  <c r="F1490" i="2"/>
  <c r="G1490" i="2"/>
  <c r="F1491" i="2"/>
  <c r="G1491" i="2"/>
  <c r="F1492" i="2"/>
  <c r="G1492" i="2"/>
  <c r="F1493" i="2"/>
  <c r="G1493" i="2"/>
  <c r="F1494" i="2"/>
  <c r="G1494" i="2"/>
  <c r="F1495" i="2"/>
  <c r="G1495" i="2"/>
  <c r="F1496" i="2"/>
  <c r="G1496" i="2"/>
  <c r="F1497" i="2"/>
  <c r="G1497" i="2"/>
  <c r="F1498" i="2"/>
  <c r="G1498" i="2"/>
  <c r="F1499" i="2"/>
  <c r="G1499" i="2"/>
  <c r="F1500" i="2"/>
  <c r="G1500" i="2"/>
  <c r="F1501" i="2"/>
  <c r="G1501" i="2"/>
  <c r="F1502" i="2"/>
  <c r="G1502" i="2"/>
  <c r="F1503" i="2"/>
  <c r="G1503" i="2"/>
  <c r="F1504" i="2"/>
  <c r="G1504" i="2"/>
  <c r="F1505" i="2"/>
  <c r="G1505" i="2"/>
  <c r="F1506" i="2"/>
  <c r="G1506" i="2"/>
  <c r="F1507" i="2"/>
  <c r="G1507" i="2"/>
  <c r="F1508" i="2"/>
  <c r="G1508" i="2"/>
  <c r="F1509" i="2"/>
  <c r="G1509" i="2"/>
  <c r="F1510" i="2"/>
  <c r="G1510" i="2"/>
  <c r="F1511" i="2"/>
  <c r="G1511" i="2"/>
  <c r="F1512" i="2"/>
  <c r="G1512" i="2"/>
  <c r="F1513" i="2"/>
  <c r="G1513" i="2"/>
  <c r="F1514" i="2"/>
  <c r="G1514" i="2"/>
  <c r="F1515" i="2"/>
  <c r="G1515" i="2"/>
  <c r="F1516" i="2"/>
  <c r="G1516" i="2"/>
  <c r="F1517" i="2"/>
  <c r="G1517" i="2"/>
  <c r="F1518" i="2"/>
  <c r="G1518" i="2"/>
  <c r="F1519" i="2"/>
  <c r="G1519" i="2"/>
  <c r="F1520" i="2"/>
  <c r="G1520" i="2"/>
  <c r="F1521" i="2"/>
  <c r="G1521" i="2"/>
  <c r="F1522" i="2"/>
  <c r="G1522" i="2"/>
  <c r="F1523" i="2"/>
  <c r="G1523" i="2"/>
  <c r="F1524" i="2"/>
  <c r="G1524" i="2"/>
  <c r="F1525" i="2"/>
  <c r="G1525" i="2"/>
  <c r="F1526" i="2"/>
  <c r="G1526" i="2"/>
  <c r="F1527" i="2"/>
  <c r="G1527" i="2"/>
  <c r="F1528" i="2"/>
  <c r="G1528" i="2"/>
  <c r="F1529" i="2"/>
  <c r="G1529" i="2"/>
  <c r="F1530" i="2"/>
  <c r="G1530" i="2"/>
  <c r="F1531" i="2"/>
  <c r="G1531" i="2"/>
  <c r="F1532" i="2"/>
  <c r="G1532" i="2"/>
  <c r="F1533" i="2"/>
  <c r="G1533" i="2"/>
  <c r="F1534" i="2"/>
  <c r="G1534" i="2"/>
  <c r="F1535" i="2"/>
  <c r="G1535" i="2"/>
  <c r="F1536" i="2"/>
  <c r="G1536" i="2"/>
  <c r="F1537" i="2"/>
  <c r="G1537" i="2"/>
  <c r="F1538" i="2"/>
  <c r="G1538" i="2"/>
  <c r="F1539" i="2"/>
  <c r="G1539" i="2"/>
  <c r="F1540" i="2"/>
  <c r="G1540" i="2"/>
  <c r="F1541" i="2"/>
  <c r="G1541" i="2"/>
  <c r="F1542" i="2"/>
  <c r="G1542" i="2"/>
  <c r="F1543" i="2"/>
  <c r="G1543" i="2"/>
  <c r="F1544" i="2"/>
  <c r="G1544" i="2"/>
  <c r="F1545" i="2"/>
  <c r="G1545" i="2"/>
  <c r="F1546" i="2"/>
  <c r="G1546" i="2"/>
  <c r="F1547" i="2"/>
  <c r="G1547" i="2"/>
  <c r="F1548" i="2"/>
  <c r="G1548" i="2"/>
  <c r="F1549" i="2"/>
  <c r="G1549" i="2"/>
  <c r="F1550" i="2"/>
  <c r="G1550" i="2"/>
  <c r="F1551" i="2"/>
  <c r="G1551" i="2"/>
  <c r="F1552" i="2"/>
  <c r="G1552" i="2"/>
  <c r="F1553" i="2"/>
  <c r="G1553" i="2"/>
  <c r="F1554" i="2"/>
  <c r="G1554" i="2"/>
  <c r="F1555" i="2"/>
  <c r="G1555" i="2"/>
  <c r="F1556" i="2"/>
  <c r="G1556" i="2"/>
  <c r="F1557" i="2"/>
  <c r="G1557" i="2"/>
  <c r="F1558" i="2"/>
  <c r="G1558" i="2"/>
  <c r="F1559" i="2"/>
  <c r="G1559" i="2"/>
  <c r="F1560" i="2"/>
  <c r="G1560" i="2"/>
  <c r="F1561" i="2"/>
  <c r="G1561" i="2"/>
  <c r="F1562" i="2"/>
  <c r="G1562" i="2"/>
  <c r="F1563" i="2"/>
  <c r="G1563" i="2"/>
  <c r="F1564" i="2"/>
  <c r="G1564" i="2"/>
  <c r="F1565" i="2"/>
  <c r="G1565" i="2"/>
  <c r="F1566" i="2"/>
  <c r="G1566" i="2"/>
  <c r="F1567" i="2"/>
  <c r="G1567" i="2"/>
  <c r="F1568" i="2"/>
  <c r="G1568" i="2"/>
  <c r="F1569" i="2"/>
  <c r="G1569" i="2"/>
  <c r="F1570" i="2"/>
  <c r="G1570" i="2"/>
  <c r="F1571" i="2"/>
  <c r="G1571" i="2"/>
  <c r="F1572" i="2"/>
  <c r="G1572" i="2"/>
  <c r="F1573" i="2"/>
  <c r="G1573" i="2"/>
  <c r="F1574" i="2"/>
  <c r="G1574" i="2"/>
  <c r="F1575" i="2"/>
  <c r="G1575" i="2"/>
  <c r="F1576" i="2"/>
  <c r="G1576" i="2"/>
  <c r="F1577" i="2"/>
  <c r="G1577" i="2"/>
  <c r="F1578" i="2"/>
  <c r="G1578" i="2"/>
  <c r="F1579" i="2"/>
  <c r="G1579" i="2"/>
  <c r="F1580" i="2"/>
  <c r="G1580" i="2"/>
  <c r="F1581" i="2"/>
  <c r="G1581" i="2"/>
  <c r="F1582" i="2"/>
  <c r="G1582" i="2"/>
  <c r="F1583" i="2"/>
  <c r="G1583" i="2"/>
  <c r="F1584" i="2"/>
  <c r="G1584" i="2"/>
  <c r="F1585" i="2"/>
  <c r="G1585" i="2"/>
  <c r="F1586" i="2"/>
  <c r="G1586" i="2"/>
  <c r="F1587" i="2"/>
  <c r="G1587" i="2"/>
  <c r="F1588" i="2"/>
  <c r="G1588" i="2"/>
  <c r="F1589" i="2"/>
  <c r="G1589" i="2"/>
  <c r="F1590" i="2"/>
  <c r="G1590" i="2"/>
  <c r="F1591" i="2"/>
  <c r="G1591" i="2"/>
  <c r="F1592" i="2"/>
  <c r="G1592" i="2"/>
  <c r="F1593" i="2"/>
  <c r="G1593" i="2"/>
  <c r="F1594" i="2"/>
  <c r="G1594" i="2"/>
  <c r="F1595" i="2"/>
  <c r="G1595" i="2"/>
  <c r="F1596" i="2"/>
  <c r="G1596" i="2"/>
  <c r="F1597" i="2"/>
  <c r="G1597" i="2"/>
  <c r="F1598" i="2"/>
  <c r="G1598" i="2"/>
  <c r="F1599" i="2"/>
  <c r="G1599" i="2"/>
  <c r="F1600" i="2"/>
  <c r="G1600" i="2"/>
  <c r="F1601" i="2"/>
  <c r="G1601" i="2"/>
  <c r="F1602" i="2"/>
  <c r="G1602" i="2"/>
  <c r="F1603" i="2"/>
  <c r="G1603" i="2"/>
  <c r="F1604" i="2"/>
  <c r="G1604" i="2"/>
  <c r="F1605" i="2"/>
  <c r="G1605" i="2"/>
  <c r="F1606" i="2"/>
  <c r="G1606" i="2"/>
  <c r="F1607" i="2"/>
  <c r="G1607" i="2"/>
  <c r="F1608" i="2"/>
  <c r="G1608" i="2"/>
  <c r="F1609" i="2"/>
  <c r="G1609" i="2"/>
  <c r="F1610" i="2"/>
  <c r="G1610" i="2"/>
  <c r="F1611" i="2"/>
  <c r="G1611" i="2"/>
  <c r="F1612" i="2"/>
  <c r="G1612" i="2"/>
  <c r="F1613" i="2"/>
  <c r="G1613" i="2"/>
  <c r="F1614" i="2"/>
  <c r="G1614" i="2"/>
  <c r="F1615" i="2"/>
  <c r="G1615" i="2"/>
  <c r="F1616" i="2"/>
  <c r="G1616" i="2"/>
  <c r="F1617" i="2"/>
  <c r="G1617" i="2"/>
  <c r="F1618" i="2"/>
  <c r="G1618" i="2"/>
  <c r="F1619" i="2"/>
  <c r="G1619" i="2"/>
  <c r="F1620" i="2"/>
  <c r="G1620" i="2"/>
  <c r="F1621" i="2"/>
  <c r="G1621" i="2"/>
  <c r="F1622" i="2"/>
  <c r="G1622" i="2"/>
  <c r="F1623" i="2"/>
  <c r="G1623" i="2"/>
  <c r="F1624" i="2"/>
  <c r="G1624" i="2"/>
  <c r="F1625" i="2"/>
  <c r="G1625" i="2"/>
  <c r="F1626" i="2"/>
  <c r="G1626" i="2"/>
  <c r="F1627" i="2"/>
  <c r="G1627" i="2"/>
  <c r="F1628" i="2"/>
  <c r="G1628" i="2"/>
  <c r="F1629" i="2"/>
  <c r="G1629" i="2"/>
  <c r="F1630" i="2"/>
  <c r="G1630" i="2"/>
  <c r="F1631" i="2"/>
  <c r="G1631" i="2"/>
  <c r="F1632" i="2"/>
  <c r="G1632" i="2"/>
  <c r="F1633" i="2"/>
  <c r="G1633" i="2"/>
  <c r="F1634" i="2"/>
  <c r="G1634" i="2"/>
  <c r="F1635" i="2"/>
  <c r="G1635" i="2"/>
  <c r="F1636" i="2"/>
  <c r="G1636" i="2"/>
  <c r="F1637" i="2"/>
  <c r="G1637" i="2"/>
  <c r="F1638" i="2"/>
  <c r="G1638" i="2"/>
  <c r="F1639" i="2"/>
  <c r="G1639" i="2"/>
  <c r="F1640" i="2"/>
  <c r="G1640" i="2"/>
  <c r="F1641" i="2"/>
  <c r="G1641" i="2"/>
  <c r="F1642" i="2"/>
  <c r="G1642" i="2"/>
  <c r="F1643" i="2"/>
  <c r="G1643" i="2"/>
  <c r="F1644" i="2"/>
  <c r="G1644" i="2"/>
  <c r="F1645" i="2"/>
  <c r="G1645" i="2"/>
  <c r="F1646" i="2"/>
  <c r="G1646" i="2"/>
  <c r="F1647" i="2"/>
  <c r="G1647" i="2"/>
  <c r="F1648" i="2"/>
  <c r="G1648" i="2"/>
  <c r="F1649" i="2"/>
  <c r="G1649" i="2"/>
  <c r="F1650" i="2"/>
  <c r="G1650" i="2"/>
  <c r="F1651" i="2"/>
  <c r="G1651" i="2"/>
  <c r="F1652" i="2"/>
  <c r="G1652" i="2"/>
  <c r="F1653" i="2"/>
  <c r="G1653" i="2"/>
  <c r="F1654" i="2"/>
  <c r="G1654" i="2"/>
  <c r="F1655" i="2"/>
  <c r="G1655" i="2"/>
  <c r="F1656" i="2"/>
  <c r="G1656" i="2"/>
  <c r="F1657" i="2"/>
  <c r="G1657" i="2"/>
  <c r="F1658" i="2"/>
  <c r="G1658" i="2"/>
  <c r="F1659" i="2"/>
  <c r="G1659" i="2"/>
  <c r="F1660" i="2"/>
  <c r="G1660" i="2"/>
  <c r="F1661" i="2"/>
  <c r="G1661" i="2"/>
  <c r="F1662" i="2"/>
  <c r="G1662" i="2"/>
  <c r="F1663" i="2"/>
  <c r="G1663" i="2"/>
  <c r="F1664" i="2"/>
  <c r="G1664" i="2"/>
  <c r="F1665" i="2"/>
  <c r="G1665" i="2"/>
  <c r="F1666" i="2"/>
  <c r="G1666" i="2"/>
  <c r="F1667" i="2"/>
  <c r="G1667" i="2"/>
  <c r="F1668" i="2"/>
  <c r="G1668" i="2"/>
  <c r="F1669" i="2"/>
  <c r="G1669" i="2"/>
  <c r="F1670" i="2"/>
  <c r="G1670" i="2"/>
  <c r="F1671" i="2"/>
  <c r="G1671" i="2"/>
  <c r="F1672" i="2"/>
  <c r="G1672" i="2"/>
  <c r="F1673" i="2"/>
  <c r="G1673" i="2"/>
  <c r="F1674" i="2"/>
  <c r="G1674" i="2"/>
  <c r="F1675" i="2"/>
  <c r="G1675" i="2"/>
  <c r="F1676" i="2"/>
  <c r="G1676" i="2"/>
  <c r="F1677" i="2"/>
  <c r="G1677" i="2"/>
  <c r="F1678" i="2"/>
  <c r="G1678" i="2"/>
  <c r="F1679" i="2"/>
  <c r="G1679" i="2"/>
  <c r="F1680" i="2"/>
  <c r="G1680" i="2"/>
  <c r="F1681" i="2"/>
  <c r="G1681" i="2"/>
  <c r="F1682" i="2"/>
  <c r="G1682" i="2"/>
  <c r="F1683" i="2"/>
  <c r="G1683" i="2"/>
  <c r="F1684" i="2"/>
  <c r="G1684" i="2"/>
  <c r="F1685" i="2"/>
  <c r="G1685" i="2"/>
  <c r="F1686" i="2"/>
  <c r="G1686" i="2"/>
  <c r="F1687" i="2"/>
  <c r="G1687" i="2"/>
  <c r="F1688" i="2"/>
  <c r="G1688" i="2"/>
  <c r="F1689" i="2"/>
  <c r="G1689" i="2"/>
  <c r="F1690" i="2"/>
  <c r="G1690" i="2"/>
  <c r="F1691" i="2"/>
  <c r="G1691" i="2"/>
  <c r="F1692" i="2"/>
  <c r="G1692" i="2"/>
  <c r="F1693" i="2"/>
  <c r="G1693" i="2"/>
  <c r="F1694" i="2"/>
  <c r="G1694" i="2"/>
  <c r="F1695" i="2"/>
  <c r="G1695" i="2"/>
  <c r="F1696" i="2"/>
  <c r="G1696" i="2"/>
  <c r="F1697" i="2"/>
  <c r="G1697" i="2"/>
  <c r="F1698" i="2"/>
  <c r="G1698" i="2"/>
  <c r="F1699" i="2"/>
  <c r="G1699" i="2"/>
  <c r="F1700" i="2"/>
  <c r="G1700" i="2"/>
  <c r="F1701" i="2"/>
  <c r="G1701" i="2"/>
  <c r="F1702" i="2"/>
  <c r="G1702" i="2"/>
  <c r="F1703" i="2"/>
  <c r="G1703" i="2"/>
  <c r="F1704" i="2"/>
  <c r="G1704" i="2"/>
  <c r="F1705" i="2"/>
  <c r="G1705" i="2"/>
  <c r="F1706" i="2"/>
  <c r="G1706" i="2"/>
  <c r="F1707" i="2"/>
  <c r="G1707" i="2"/>
  <c r="F1708" i="2"/>
  <c r="G1708" i="2"/>
  <c r="F1709" i="2"/>
  <c r="G1709" i="2"/>
  <c r="F1710" i="2"/>
  <c r="G1710" i="2"/>
  <c r="F1711" i="2"/>
  <c r="G1711" i="2"/>
  <c r="F1712" i="2"/>
  <c r="G1712" i="2"/>
  <c r="F1713" i="2"/>
  <c r="G1713" i="2"/>
  <c r="F1714" i="2"/>
  <c r="G1714" i="2"/>
  <c r="F1715" i="2"/>
  <c r="G1715" i="2"/>
  <c r="F1716" i="2"/>
  <c r="G1716" i="2"/>
  <c r="F1717" i="2"/>
  <c r="G1717" i="2"/>
  <c r="F1718" i="2"/>
  <c r="G1718" i="2"/>
  <c r="F1719" i="2"/>
  <c r="G1719" i="2"/>
  <c r="F1720" i="2"/>
  <c r="G1720" i="2"/>
  <c r="F1721" i="2"/>
  <c r="G1721" i="2"/>
  <c r="F1722" i="2"/>
  <c r="G1722" i="2"/>
  <c r="F1723" i="2"/>
  <c r="G1723" i="2"/>
  <c r="F1724" i="2"/>
  <c r="G1724" i="2"/>
  <c r="F1725" i="2"/>
  <c r="G1725" i="2"/>
  <c r="F1726" i="2"/>
  <c r="G1726" i="2"/>
  <c r="F1727" i="2"/>
  <c r="G1727" i="2"/>
  <c r="F1728" i="2"/>
  <c r="G1728" i="2"/>
  <c r="F1729" i="2"/>
  <c r="G1729" i="2"/>
  <c r="F1730" i="2"/>
  <c r="G1730" i="2"/>
  <c r="F1731" i="2"/>
  <c r="G1731" i="2"/>
  <c r="F1732" i="2"/>
  <c r="G1732" i="2"/>
  <c r="F1733" i="2"/>
  <c r="G1733" i="2"/>
  <c r="F1734" i="2"/>
  <c r="G1734" i="2"/>
  <c r="F1735" i="2"/>
  <c r="G1735" i="2"/>
  <c r="F1736" i="2"/>
  <c r="G1736" i="2"/>
  <c r="F1737" i="2"/>
  <c r="G1737" i="2"/>
  <c r="F1738" i="2"/>
  <c r="G1738" i="2"/>
  <c r="F1739" i="2"/>
  <c r="G1739" i="2"/>
  <c r="F1740" i="2"/>
  <c r="G1740" i="2"/>
  <c r="F1741" i="2"/>
  <c r="G1741" i="2"/>
  <c r="F1742" i="2"/>
  <c r="G1742" i="2"/>
  <c r="F1743" i="2"/>
  <c r="G1743" i="2"/>
  <c r="F1744" i="2"/>
  <c r="G1744" i="2"/>
  <c r="F1745" i="2"/>
  <c r="G1745" i="2"/>
  <c r="F1746" i="2"/>
  <c r="G1746" i="2"/>
  <c r="F1747" i="2"/>
  <c r="G1747" i="2"/>
  <c r="F1748" i="2"/>
  <c r="G1748" i="2"/>
  <c r="F1749" i="2"/>
  <c r="G1749" i="2"/>
  <c r="F1750" i="2"/>
  <c r="G1750" i="2"/>
  <c r="F1751" i="2"/>
  <c r="G1751" i="2"/>
  <c r="F1752" i="2"/>
  <c r="G1752" i="2"/>
  <c r="F1753" i="2"/>
  <c r="G1753" i="2"/>
  <c r="F1754" i="2"/>
  <c r="G1754" i="2"/>
  <c r="F1755" i="2"/>
  <c r="G1755" i="2"/>
  <c r="F1756" i="2"/>
  <c r="G1756" i="2"/>
  <c r="F1757" i="2"/>
  <c r="G1757" i="2"/>
  <c r="F1758" i="2"/>
  <c r="G1758" i="2"/>
  <c r="F1759" i="2"/>
  <c r="G1759" i="2"/>
  <c r="F1760" i="2"/>
  <c r="G1760" i="2"/>
  <c r="F1761" i="2"/>
  <c r="G1761" i="2"/>
  <c r="F1762" i="2"/>
  <c r="G1762" i="2"/>
  <c r="F1763" i="2"/>
  <c r="G1763" i="2"/>
  <c r="F1764" i="2"/>
  <c r="G1764" i="2"/>
  <c r="F1765" i="2"/>
  <c r="G1765" i="2"/>
  <c r="F1766" i="2"/>
  <c r="G1766" i="2"/>
  <c r="F1767" i="2"/>
  <c r="G1767" i="2"/>
  <c r="F1768" i="2"/>
  <c r="G1768" i="2"/>
  <c r="F1769" i="2"/>
  <c r="G1769" i="2"/>
  <c r="F1770" i="2"/>
  <c r="G1770" i="2"/>
  <c r="F1771" i="2"/>
  <c r="G1771" i="2"/>
  <c r="F1772" i="2"/>
  <c r="G1772" i="2"/>
  <c r="F1773" i="2"/>
  <c r="G1773" i="2"/>
  <c r="F1774" i="2"/>
  <c r="G1774" i="2"/>
  <c r="F1775" i="2"/>
  <c r="G1775" i="2"/>
  <c r="F1776" i="2"/>
  <c r="G1776" i="2"/>
  <c r="F1777" i="2"/>
  <c r="G1777" i="2"/>
  <c r="F1778" i="2"/>
  <c r="G1778" i="2"/>
  <c r="F1779" i="2"/>
  <c r="G1779" i="2"/>
  <c r="F1780" i="2"/>
  <c r="G1780" i="2"/>
  <c r="F1781" i="2"/>
  <c r="G1781" i="2"/>
  <c r="F1782" i="2"/>
  <c r="G1782" i="2"/>
  <c r="F1783" i="2"/>
  <c r="G1783" i="2"/>
  <c r="F1784" i="2"/>
  <c r="G1784" i="2"/>
  <c r="F1785" i="2"/>
  <c r="G1785" i="2"/>
  <c r="F1786" i="2"/>
  <c r="G1786" i="2"/>
  <c r="F1787" i="2"/>
  <c r="G1787" i="2"/>
  <c r="F1788" i="2"/>
  <c r="G1788" i="2"/>
  <c r="F1789" i="2"/>
  <c r="G1789" i="2"/>
  <c r="F1790" i="2"/>
  <c r="G1790" i="2"/>
  <c r="F1791" i="2"/>
  <c r="G1791" i="2"/>
  <c r="F1792" i="2"/>
  <c r="G1792" i="2"/>
  <c r="F1793" i="2"/>
  <c r="G1793" i="2"/>
  <c r="F1794" i="2"/>
  <c r="G1794" i="2"/>
  <c r="F1795" i="2"/>
  <c r="G1795" i="2"/>
  <c r="F1796" i="2"/>
  <c r="G1796" i="2"/>
  <c r="F1797" i="2"/>
  <c r="G1797" i="2"/>
  <c r="F1798" i="2"/>
  <c r="G1798" i="2"/>
  <c r="F1799" i="2"/>
  <c r="G1799" i="2"/>
  <c r="F1800" i="2"/>
  <c r="G1800" i="2"/>
  <c r="F1801" i="2"/>
  <c r="G1801" i="2"/>
  <c r="F1802" i="2"/>
  <c r="G1802" i="2"/>
  <c r="F1803" i="2"/>
  <c r="G1803" i="2"/>
  <c r="F1804" i="2"/>
  <c r="G1804" i="2"/>
  <c r="F1805" i="2"/>
  <c r="G1805" i="2"/>
  <c r="F1806" i="2"/>
  <c r="G1806" i="2"/>
  <c r="F1807" i="2"/>
  <c r="G1807" i="2"/>
  <c r="F1808" i="2"/>
  <c r="G1808" i="2"/>
  <c r="F1809" i="2"/>
  <c r="G1809" i="2"/>
  <c r="F1810" i="2"/>
  <c r="G1810" i="2"/>
  <c r="F1811" i="2"/>
  <c r="G1811" i="2"/>
  <c r="F1812" i="2"/>
  <c r="G1812" i="2"/>
  <c r="F1813" i="2"/>
  <c r="G1813" i="2"/>
  <c r="F1814" i="2"/>
  <c r="G1814" i="2"/>
  <c r="F1815" i="2"/>
  <c r="G1815" i="2"/>
  <c r="F1816" i="2"/>
  <c r="G1816" i="2"/>
  <c r="F1817" i="2"/>
  <c r="G1817" i="2"/>
  <c r="F1818" i="2"/>
  <c r="G1818" i="2"/>
  <c r="F1819" i="2"/>
  <c r="G1819" i="2"/>
  <c r="F1820" i="2"/>
  <c r="G1820" i="2"/>
  <c r="F1821" i="2"/>
  <c r="G1821" i="2"/>
  <c r="F1822" i="2"/>
  <c r="G1822" i="2"/>
  <c r="F1823" i="2"/>
  <c r="G1823" i="2"/>
  <c r="F1824" i="2"/>
  <c r="G1824" i="2"/>
  <c r="F1825" i="2"/>
  <c r="G1825" i="2"/>
  <c r="F1826" i="2"/>
  <c r="G1826" i="2"/>
  <c r="F1827" i="2"/>
  <c r="G1827" i="2"/>
  <c r="F1828" i="2"/>
  <c r="G1828" i="2"/>
  <c r="F1829" i="2"/>
  <c r="G1829" i="2"/>
  <c r="F1830" i="2"/>
  <c r="G1830" i="2"/>
  <c r="F1831" i="2"/>
  <c r="G1831" i="2"/>
  <c r="F1832" i="2"/>
  <c r="G1832" i="2"/>
  <c r="F1833" i="2"/>
  <c r="G1833" i="2"/>
  <c r="F1834" i="2"/>
  <c r="G1834" i="2"/>
  <c r="F1835" i="2"/>
  <c r="G1835" i="2"/>
  <c r="F1836" i="2"/>
  <c r="G1836" i="2"/>
  <c r="F1837" i="2"/>
  <c r="G1837" i="2"/>
  <c r="F1838" i="2"/>
  <c r="G1838" i="2"/>
  <c r="F1839" i="2"/>
  <c r="G1839" i="2"/>
  <c r="F1840" i="2"/>
  <c r="G1840" i="2"/>
  <c r="F1841" i="2"/>
  <c r="G1841" i="2"/>
  <c r="F1842" i="2"/>
  <c r="G1842" i="2"/>
  <c r="F1843" i="2"/>
  <c r="G1843" i="2"/>
  <c r="F1844" i="2"/>
  <c r="G1844" i="2"/>
  <c r="F1845" i="2"/>
  <c r="G1845" i="2"/>
  <c r="F1846" i="2"/>
  <c r="G1846" i="2"/>
  <c r="F1847" i="2"/>
  <c r="G1847" i="2"/>
  <c r="F1848" i="2"/>
  <c r="G1848" i="2"/>
  <c r="F1849" i="2"/>
  <c r="G1849" i="2"/>
  <c r="F1850" i="2"/>
  <c r="G1850" i="2"/>
  <c r="F1851" i="2"/>
  <c r="G1851" i="2"/>
  <c r="F1852" i="2"/>
  <c r="G1852" i="2"/>
  <c r="F1853" i="2"/>
  <c r="G1853" i="2"/>
  <c r="F1854" i="2"/>
  <c r="G1854" i="2"/>
  <c r="F1855" i="2"/>
  <c r="G1855" i="2"/>
  <c r="F1856" i="2"/>
  <c r="G1856" i="2"/>
  <c r="F1857" i="2"/>
  <c r="G1857" i="2"/>
  <c r="F1858" i="2"/>
  <c r="G1858" i="2"/>
  <c r="F1859" i="2"/>
  <c r="G1859" i="2"/>
  <c r="F1860" i="2"/>
  <c r="G1860" i="2"/>
  <c r="F1861" i="2"/>
  <c r="G1861" i="2"/>
  <c r="F1862" i="2"/>
  <c r="G1862" i="2"/>
  <c r="F1863" i="2"/>
  <c r="G1863" i="2"/>
  <c r="F1864" i="2"/>
  <c r="G1864" i="2"/>
  <c r="F1865" i="2"/>
  <c r="G1865" i="2"/>
  <c r="F1866" i="2"/>
  <c r="G1866" i="2"/>
  <c r="F1867" i="2"/>
  <c r="G1867" i="2"/>
  <c r="F1868" i="2"/>
  <c r="G1868" i="2"/>
  <c r="F1869" i="2"/>
  <c r="G1869" i="2"/>
  <c r="F1870" i="2"/>
  <c r="G1870" i="2"/>
  <c r="F1871" i="2"/>
  <c r="G1871" i="2"/>
  <c r="F1872" i="2"/>
  <c r="G1872" i="2"/>
  <c r="F1873" i="2"/>
  <c r="G1873" i="2"/>
  <c r="F1874" i="2"/>
  <c r="G1874" i="2"/>
  <c r="F1875" i="2"/>
  <c r="G1875" i="2"/>
  <c r="F1876" i="2"/>
  <c r="G1876" i="2"/>
  <c r="F1877" i="2"/>
  <c r="G1877" i="2"/>
  <c r="F1878" i="2"/>
  <c r="G1878" i="2"/>
  <c r="F1879" i="2"/>
  <c r="G1879" i="2"/>
  <c r="F1880" i="2"/>
  <c r="G1880" i="2"/>
  <c r="F1881" i="2"/>
  <c r="G1881" i="2"/>
  <c r="F1882" i="2"/>
  <c r="G1882" i="2"/>
  <c r="F1883" i="2"/>
  <c r="G1883" i="2"/>
  <c r="F1884" i="2"/>
  <c r="G1884" i="2"/>
  <c r="F1885" i="2"/>
  <c r="G1885" i="2"/>
  <c r="F1886" i="2"/>
  <c r="G1886" i="2"/>
  <c r="F1887" i="2"/>
  <c r="G1887" i="2"/>
  <c r="F1888" i="2"/>
  <c r="G1888" i="2"/>
  <c r="F1889" i="2"/>
  <c r="G1889" i="2"/>
  <c r="F1890" i="2"/>
  <c r="G1890" i="2"/>
  <c r="F1891" i="2"/>
  <c r="G1891" i="2"/>
  <c r="F1892" i="2"/>
  <c r="G1892" i="2"/>
  <c r="F1893" i="2"/>
  <c r="G1893" i="2"/>
  <c r="F1894" i="2"/>
  <c r="G1894" i="2"/>
  <c r="F1895" i="2"/>
  <c r="G1895" i="2"/>
  <c r="F1896" i="2"/>
  <c r="G1896" i="2"/>
  <c r="F1897" i="2"/>
  <c r="G1897" i="2"/>
  <c r="F1898" i="2"/>
  <c r="G1898" i="2"/>
  <c r="F1899" i="2"/>
  <c r="G1899" i="2"/>
  <c r="F1900" i="2"/>
  <c r="G1900" i="2"/>
  <c r="F1901" i="2"/>
  <c r="G1901" i="2"/>
  <c r="F1902" i="2"/>
  <c r="G1902" i="2"/>
  <c r="F1903" i="2"/>
  <c r="G1903" i="2"/>
  <c r="F1904" i="2"/>
  <c r="G1904" i="2"/>
  <c r="F1905" i="2"/>
  <c r="G1905" i="2"/>
  <c r="F1906" i="2"/>
  <c r="G1906" i="2"/>
  <c r="F1907" i="2"/>
  <c r="G1907" i="2"/>
  <c r="F1908" i="2"/>
  <c r="G1908" i="2"/>
  <c r="F1909" i="2"/>
  <c r="G1909" i="2"/>
  <c r="F1910" i="2"/>
  <c r="G1910" i="2"/>
  <c r="F1911" i="2"/>
  <c r="G1911" i="2"/>
  <c r="F1912" i="2"/>
  <c r="G1912" i="2"/>
  <c r="F1913" i="2"/>
  <c r="G1913" i="2"/>
  <c r="F1914" i="2"/>
  <c r="G1914" i="2"/>
  <c r="F1915" i="2"/>
  <c r="G1915" i="2"/>
  <c r="F1916" i="2"/>
  <c r="G1916" i="2"/>
  <c r="F1917" i="2"/>
  <c r="G1917" i="2"/>
  <c r="F1918" i="2"/>
  <c r="G1918" i="2"/>
  <c r="F1919" i="2"/>
  <c r="G1919" i="2"/>
  <c r="F1920" i="2"/>
  <c r="G1920" i="2"/>
  <c r="F1921" i="2"/>
  <c r="G1921" i="2"/>
  <c r="F1922" i="2"/>
  <c r="G1922" i="2"/>
  <c r="F1923" i="2"/>
  <c r="G1923" i="2"/>
  <c r="F1924" i="2"/>
  <c r="G1924" i="2"/>
  <c r="F1925" i="2"/>
  <c r="G1925" i="2"/>
  <c r="F1926" i="2"/>
  <c r="G1926" i="2"/>
  <c r="F1927" i="2"/>
  <c r="G1927" i="2"/>
  <c r="F1928" i="2"/>
  <c r="G1928" i="2"/>
  <c r="F1929" i="2"/>
  <c r="G1929" i="2"/>
  <c r="F1930" i="2"/>
  <c r="G1930" i="2"/>
  <c r="F1931" i="2"/>
  <c r="G1931" i="2"/>
  <c r="F1932" i="2"/>
  <c r="G1932" i="2"/>
  <c r="F1933" i="2"/>
  <c r="G1933" i="2"/>
  <c r="F1934" i="2"/>
  <c r="G1934" i="2"/>
  <c r="F1935" i="2"/>
  <c r="G1935" i="2"/>
  <c r="F1936" i="2"/>
  <c r="G1936" i="2"/>
  <c r="F1937" i="2"/>
  <c r="G1937" i="2"/>
  <c r="F1938" i="2"/>
  <c r="G1938" i="2"/>
  <c r="F1939" i="2"/>
  <c r="G1939" i="2"/>
  <c r="F1940" i="2"/>
  <c r="G1940" i="2"/>
  <c r="F1941" i="2"/>
  <c r="G1941" i="2"/>
  <c r="F1942" i="2"/>
  <c r="G1942" i="2"/>
  <c r="F1943" i="2"/>
  <c r="G1943" i="2"/>
  <c r="F1944" i="2"/>
  <c r="G1944" i="2"/>
  <c r="F1945" i="2"/>
  <c r="G1945" i="2"/>
  <c r="F1946" i="2"/>
  <c r="G1946" i="2"/>
  <c r="F1947" i="2"/>
  <c r="G1947" i="2"/>
  <c r="F1948" i="2"/>
  <c r="G1948" i="2"/>
  <c r="F1949" i="2"/>
  <c r="G1949" i="2"/>
  <c r="F1950" i="2"/>
  <c r="G1950" i="2"/>
  <c r="F1951" i="2"/>
  <c r="G1951" i="2"/>
  <c r="F1952" i="2"/>
  <c r="G1952" i="2"/>
  <c r="F1953" i="2"/>
  <c r="G1953" i="2"/>
  <c r="F1954" i="2"/>
  <c r="G1954" i="2"/>
  <c r="F1955" i="2"/>
  <c r="G1955" i="2"/>
  <c r="F1956" i="2"/>
  <c r="G1956" i="2"/>
  <c r="F1957" i="2"/>
  <c r="G1957" i="2"/>
  <c r="F1958" i="2"/>
  <c r="G1958" i="2"/>
  <c r="F1959" i="2"/>
  <c r="G1959" i="2"/>
  <c r="F1960" i="2"/>
  <c r="G1960" i="2"/>
  <c r="F1961" i="2"/>
  <c r="G1961" i="2"/>
  <c r="F1962" i="2"/>
  <c r="G1962" i="2"/>
  <c r="F1963" i="2"/>
  <c r="G1963" i="2"/>
  <c r="F1964" i="2"/>
  <c r="G1964" i="2"/>
  <c r="F1965" i="2"/>
  <c r="G1965" i="2"/>
  <c r="F1966" i="2"/>
  <c r="G1966" i="2"/>
  <c r="F1967" i="2"/>
  <c r="G1967" i="2"/>
  <c r="F1968" i="2"/>
  <c r="G1968" i="2"/>
  <c r="F1969" i="2"/>
  <c r="G1969" i="2"/>
  <c r="F1970" i="2"/>
  <c r="G1970" i="2"/>
  <c r="F1971" i="2"/>
  <c r="G1971" i="2"/>
  <c r="F1972" i="2"/>
  <c r="G1972" i="2"/>
  <c r="F1973" i="2"/>
  <c r="G1973" i="2"/>
  <c r="F1974" i="2"/>
  <c r="G1974" i="2"/>
  <c r="F1975" i="2"/>
  <c r="G1975" i="2"/>
  <c r="F1976" i="2"/>
  <c r="G1976" i="2"/>
  <c r="F1977" i="2"/>
  <c r="G1977" i="2"/>
  <c r="F1978" i="2"/>
  <c r="G1978" i="2"/>
  <c r="F1979" i="2"/>
  <c r="G1979" i="2"/>
  <c r="F1980" i="2"/>
  <c r="G1980" i="2"/>
  <c r="F1981" i="2"/>
  <c r="G1981" i="2"/>
  <c r="F1982" i="2"/>
  <c r="G1982" i="2"/>
  <c r="F1983" i="2"/>
  <c r="G1983" i="2"/>
  <c r="F1984" i="2"/>
  <c r="G1984" i="2"/>
  <c r="F1985" i="2"/>
  <c r="G1985" i="2"/>
  <c r="F1986" i="2"/>
  <c r="G1986" i="2"/>
  <c r="F1987" i="2"/>
  <c r="G1987" i="2"/>
  <c r="F1988" i="2"/>
  <c r="G1988" i="2"/>
  <c r="F1989" i="2"/>
  <c r="G1989" i="2"/>
  <c r="F1990" i="2"/>
  <c r="G1990" i="2"/>
  <c r="F1991" i="2"/>
  <c r="G1991" i="2"/>
  <c r="F1992" i="2"/>
  <c r="G1992" i="2"/>
  <c r="F1993" i="2"/>
  <c r="G1993" i="2"/>
  <c r="F1994" i="2"/>
  <c r="G1994" i="2"/>
  <c r="F1995" i="2"/>
  <c r="G1995" i="2"/>
  <c r="F1996" i="2"/>
  <c r="G1996" i="2"/>
  <c r="F1997" i="2"/>
  <c r="G1997" i="2"/>
  <c r="F1998" i="2"/>
  <c r="G1998" i="2"/>
  <c r="F1999" i="2"/>
  <c r="G1999" i="2"/>
  <c r="F2000" i="2"/>
  <c r="G2000" i="2"/>
  <c r="F2001" i="2"/>
  <c r="G2001" i="2"/>
  <c r="F2002" i="2"/>
  <c r="G2002" i="2"/>
  <c r="F2003" i="2"/>
  <c r="G2003" i="2"/>
  <c r="F2004" i="2"/>
  <c r="G2004" i="2"/>
  <c r="F2005" i="2"/>
  <c r="G2005" i="2"/>
  <c r="F2006" i="2"/>
  <c r="G2006" i="2"/>
  <c r="F2007" i="2"/>
  <c r="G2007" i="2"/>
  <c r="F2008" i="2"/>
  <c r="G2008" i="2"/>
  <c r="F2009" i="2"/>
  <c r="G2009" i="2"/>
  <c r="F2010" i="2"/>
  <c r="G2010" i="2"/>
  <c r="F2011" i="2"/>
  <c r="G2011" i="2"/>
  <c r="F2012" i="2"/>
  <c r="G2012" i="2"/>
  <c r="F2013" i="2"/>
  <c r="G2013" i="2"/>
  <c r="F2014" i="2"/>
  <c r="G2014" i="2"/>
  <c r="F2015" i="2"/>
  <c r="G2015" i="2"/>
  <c r="F2016" i="2"/>
  <c r="G2016" i="2"/>
  <c r="F2017" i="2"/>
  <c r="G2017" i="2"/>
  <c r="F2018" i="2"/>
  <c r="G2018" i="2"/>
  <c r="F2019" i="2"/>
  <c r="G2019" i="2"/>
  <c r="F2020" i="2"/>
  <c r="G2020" i="2"/>
  <c r="F2021" i="2"/>
  <c r="G2021" i="2"/>
  <c r="F2022" i="2"/>
  <c r="G2022" i="2"/>
  <c r="F2023" i="2"/>
  <c r="G2023" i="2"/>
  <c r="G21" i="2"/>
  <c r="H23" i="2"/>
  <c r="K23" i="2"/>
  <c r="H24" i="2"/>
  <c r="K24" i="2"/>
  <c r="H25" i="2"/>
  <c r="K25" i="2"/>
  <c r="H26" i="2"/>
  <c r="K26" i="2"/>
  <c r="H27" i="2"/>
  <c r="K27" i="2"/>
  <c r="H28" i="2"/>
  <c r="K28" i="2"/>
  <c r="H29" i="2"/>
  <c r="K29" i="2"/>
  <c r="H30" i="2"/>
  <c r="K30" i="2"/>
  <c r="H31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K1467" i="2"/>
  <c r="K1468" i="2"/>
  <c r="K1469" i="2"/>
  <c r="K1470" i="2"/>
  <c r="K1471" i="2"/>
  <c r="K1472" i="2"/>
  <c r="K1473" i="2"/>
  <c r="K1474" i="2"/>
  <c r="K1475" i="2"/>
  <c r="K1476" i="2"/>
  <c r="K1477" i="2"/>
  <c r="K1478" i="2"/>
  <c r="K1479" i="2"/>
  <c r="K1480" i="2"/>
  <c r="K1481" i="2"/>
  <c r="K1482" i="2"/>
  <c r="K1483" i="2"/>
  <c r="K1484" i="2"/>
  <c r="K1485" i="2"/>
  <c r="K1486" i="2"/>
  <c r="K1487" i="2"/>
  <c r="K1488" i="2"/>
  <c r="K1489" i="2"/>
  <c r="K1490" i="2"/>
  <c r="K1491" i="2"/>
  <c r="K1492" i="2"/>
  <c r="K1493" i="2"/>
  <c r="K1494" i="2"/>
  <c r="K1495" i="2"/>
  <c r="K1496" i="2"/>
  <c r="K1497" i="2"/>
  <c r="K1498" i="2"/>
  <c r="K1499" i="2"/>
  <c r="K1500" i="2"/>
  <c r="K1501" i="2"/>
  <c r="K1502" i="2"/>
  <c r="K1503" i="2"/>
  <c r="K1504" i="2"/>
  <c r="K1505" i="2"/>
  <c r="K1506" i="2"/>
  <c r="K1507" i="2"/>
  <c r="K1508" i="2"/>
  <c r="K1509" i="2"/>
  <c r="K1510" i="2"/>
  <c r="K1511" i="2"/>
  <c r="K1512" i="2"/>
  <c r="K1513" i="2"/>
  <c r="K1514" i="2"/>
  <c r="K1515" i="2"/>
  <c r="K1516" i="2"/>
  <c r="K1517" i="2"/>
  <c r="K1518" i="2"/>
  <c r="K1519" i="2"/>
  <c r="K1520" i="2"/>
  <c r="K1521" i="2"/>
  <c r="K1522" i="2"/>
  <c r="K1523" i="2"/>
  <c r="K1524" i="2"/>
  <c r="K1525" i="2"/>
  <c r="K1526" i="2"/>
  <c r="K1527" i="2"/>
  <c r="K1528" i="2"/>
  <c r="K1529" i="2"/>
  <c r="K1530" i="2"/>
  <c r="K1531" i="2"/>
  <c r="K1532" i="2"/>
  <c r="K1533" i="2"/>
  <c r="K1534" i="2"/>
  <c r="K1535" i="2"/>
  <c r="K1536" i="2"/>
  <c r="K1537" i="2"/>
  <c r="K1538" i="2"/>
  <c r="K1539" i="2"/>
  <c r="K1540" i="2"/>
  <c r="K1541" i="2"/>
  <c r="K1542" i="2"/>
  <c r="K1543" i="2"/>
  <c r="K1544" i="2"/>
  <c r="K1545" i="2"/>
  <c r="K1546" i="2"/>
  <c r="K1547" i="2"/>
  <c r="K1548" i="2"/>
  <c r="K1549" i="2"/>
  <c r="K1550" i="2"/>
  <c r="K1551" i="2"/>
  <c r="K1552" i="2"/>
  <c r="K1553" i="2"/>
  <c r="K1554" i="2"/>
  <c r="K1555" i="2"/>
  <c r="K1556" i="2"/>
  <c r="K1557" i="2"/>
  <c r="K1558" i="2"/>
  <c r="K1559" i="2"/>
  <c r="K1560" i="2"/>
  <c r="K1561" i="2"/>
  <c r="K1562" i="2"/>
  <c r="K1563" i="2"/>
  <c r="K1564" i="2"/>
  <c r="K1565" i="2"/>
  <c r="K1566" i="2"/>
  <c r="K1567" i="2"/>
  <c r="K1568" i="2"/>
  <c r="K1569" i="2"/>
  <c r="K1570" i="2"/>
  <c r="K1571" i="2"/>
  <c r="K1572" i="2"/>
  <c r="K1573" i="2"/>
  <c r="K1574" i="2"/>
  <c r="K1575" i="2"/>
  <c r="K1576" i="2"/>
  <c r="K1577" i="2"/>
  <c r="K1578" i="2"/>
  <c r="K1579" i="2"/>
  <c r="K1580" i="2"/>
  <c r="K1581" i="2"/>
  <c r="K1582" i="2"/>
  <c r="K1583" i="2"/>
  <c r="K1584" i="2"/>
  <c r="K1585" i="2"/>
  <c r="K1586" i="2"/>
  <c r="K1587" i="2"/>
  <c r="K1588" i="2"/>
  <c r="K1589" i="2"/>
  <c r="K1590" i="2"/>
  <c r="K1591" i="2"/>
  <c r="K1592" i="2"/>
  <c r="K1593" i="2"/>
  <c r="K1594" i="2"/>
  <c r="K1595" i="2"/>
  <c r="K1596" i="2"/>
  <c r="K1597" i="2"/>
  <c r="K1598" i="2"/>
  <c r="K1599" i="2"/>
  <c r="K1600" i="2"/>
  <c r="K1601" i="2"/>
  <c r="K1602" i="2"/>
  <c r="K1603" i="2"/>
  <c r="K1604" i="2"/>
  <c r="K1605" i="2"/>
  <c r="K1606" i="2"/>
  <c r="K1607" i="2"/>
  <c r="K1608" i="2"/>
  <c r="K1609" i="2"/>
  <c r="K1610" i="2"/>
  <c r="K1611" i="2"/>
  <c r="K1612" i="2"/>
  <c r="K1613" i="2"/>
  <c r="K1614" i="2"/>
  <c r="K1615" i="2"/>
  <c r="K1616" i="2"/>
  <c r="K1617" i="2"/>
  <c r="K1618" i="2"/>
  <c r="K1619" i="2"/>
  <c r="K1620" i="2"/>
  <c r="K1621" i="2"/>
  <c r="K1622" i="2"/>
  <c r="K1623" i="2"/>
  <c r="K1624" i="2"/>
  <c r="K1625" i="2"/>
  <c r="K1626" i="2"/>
  <c r="K1627" i="2"/>
  <c r="K1628" i="2"/>
  <c r="K1629" i="2"/>
  <c r="K1630" i="2"/>
  <c r="K1631" i="2"/>
  <c r="K1632" i="2"/>
  <c r="K1633" i="2"/>
  <c r="K1634" i="2"/>
  <c r="K1635" i="2"/>
  <c r="K1636" i="2"/>
  <c r="K1637" i="2"/>
  <c r="K1638" i="2"/>
  <c r="K1639" i="2"/>
  <c r="K1640" i="2"/>
  <c r="K1641" i="2"/>
  <c r="K1642" i="2"/>
  <c r="K1643" i="2"/>
  <c r="K1644" i="2"/>
  <c r="K1645" i="2"/>
  <c r="K1646" i="2"/>
  <c r="K1647" i="2"/>
  <c r="K1648" i="2"/>
  <c r="K1649" i="2"/>
  <c r="K1650" i="2"/>
  <c r="K1651" i="2"/>
  <c r="K1652" i="2"/>
  <c r="K1653" i="2"/>
  <c r="K1654" i="2"/>
  <c r="K1655" i="2"/>
  <c r="K1656" i="2"/>
  <c r="K1657" i="2"/>
  <c r="K1658" i="2"/>
  <c r="K1659" i="2"/>
  <c r="K1660" i="2"/>
  <c r="K1661" i="2"/>
  <c r="K1662" i="2"/>
  <c r="K1663" i="2"/>
  <c r="K1664" i="2"/>
  <c r="K1665" i="2"/>
  <c r="K1666" i="2"/>
  <c r="K1667" i="2"/>
  <c r="K1668" i="2"/>
  <c r="K1669" i="2"/>
  <c r="K1670" i="2"/>
  <c r="K1671" i="2"/>
  <c r="K1672" i="2"/>
  <c r="K1673" i="2"/>
  <c r="K1674" i="2"/>
  <c r="K1675" i="2"/>
  <c r="K1676" i="2"/>
  <c r="K1677" i="2"/>
  <c r="K1678" i="2"/>
  <c r="K1679" i="2"/>
  <c r="K1680" i="2"/>
  <c r="K1681" i="2"/>
  <c r="K1682" i="2"/>
  <c r="K1683" i="2"/>
  <c r="K1684" i="2"/>
  <c r="K1685" i="2"/>
  <c r="K1686" i="2"/>
  <c r="K1687" i="2"/>
  <c r="K1688" i="2"/>
  <c r="K1689" i="2"/>
  <c r="K1690" i="2"/>
  <c r="K1691" i="2"/>
  <c r="K1692" i="2"/>
  <c r="K1693" i="2"/>
  <c r="K1694" i="2"/>
  <c r="K1695" i="2"/>
  <c r="K1696" i="2"/>
  <c r="K1697" i="2"/>
  <c r="K1698" i="2"/>
  <c r="K1699" i="2"/>
  <c r="K1700" i="2"/>
  <c r="K1701" i="2"/>
  <c r="K1702" i="2"/>
  <c r="K1703" i="2"/>
  <c r="K1704" i="2"/>
  <c r="K1705" i="2"/>
  <c r="K1706" i="2"/>
  <c r="K1707" i="2"/>
  <c r="K1708" i="2"/>
  <c r="K1709" i="2"/>
  <c r="K1710" i="2"/>
  <c r="K1711" i="2"/>
  <c r="K1712" i="2"/>
  <c r="K1713" i="2"/>
  <c r="K1714" i="2"/>
  <c r="K1715" i="2"/>
  <c r="K1716" i="2"/>
  <c r="K1717" i="2"/>
  <c r="K1718" i="2"/>
  <c r="K1719" i="2"/>
  <c r="K1720" i="2"/>
  <c r="K1721" i="2"/>
  <c r="K1722" i="2"/>
  <c r="K1723" i="2"/>
  <c r="K1724" i="2"/>
  <c r="K1725" i="2"/>
  <c r="K1726" i="2"/>
  <c r="K1727" i="2"/>
  <c r="K1728" i="2"/>
  <c r="K1729" i="2"/>
  <c r="K1730" i="2"/>
  <c r="K1731" i="2"/>
  <c r="K1732" i="2"/>
  <c r="K1733" i="2"/>
  <c r="K1734" i="2"/>
  <c r="K1735" i="2"/>
  <c r="K1736" i="2"/>
  <c r="K1737" i="2"/>
  <c r="K1738" i="2"/>
  <c r="K1739" i="2"/>
  <c r="K1740" i="2"/>
  <c r="K1741" i="2"/>
  <c r="K1742" i="2"/>
  <c r="K1743" i="2"/>
  <c r="K1744" i="2"/>
  <c r="K1745" i="2"/>
  <c r="K1746" i="2"/>
  <c r="K1747" i="2"/>
  <c r="K1748" i="2"/>
  <c r="K1749" i="2"/>
  <c r="K1750" i="2"/>
  <c r="K1751" i="2"/>
  <c r="K1752" i="2"/>
  <c r="K1753" i="2"/>
  <c r="K1754" i="2"/>
  <c r="K1755" i="2"/>
  <c r="K1756" i="2"/>
  <c r="K1757" i="2"/>
  <c r="K1758" i="2"/>
  <c r="K1759" i="2"/>
  <c r="K1760" i="2"/>
  <c r="K1761" i="2"/>
  <c r="K1762" i="2"/>
  <c r="K1763" i="2"/>
  <c r="K1764" i="2"/>
  <c r="K1765" i="2"/>
  <c r="K1766" i="2"/>
  <c r="K1767" i="2"/>
  <c r="K1768" i="2"/>
  <c r="K1769" i="2"/>
  <c r="K1770" i="2"/>
  <c r="K1771" i="2"/>
  <c r="K1772" i="2"/>
  <c r="K1773" i="2"/>
  <c r="K1774" i="2"/>
  <c r="K1775" i="2"/>
  <c r="K1776" i="2"/>
  <c r="K1777" i="2"/>
  <c r="K1778" i="2"/>
  <c r="K1779" i="2"/>
  <c r="K1780" i="2"/>
  <c r="K1781" i="2"/>
  <c r="K1782" i="2"/>
  <c r="K1783" i="2"/>
  <c r="K1784" i="2"/>
  <c r="K1785" i="2"/>
  <c r="K1786" i="2"/>
  <c r="K1787" i="2"/>
  <c r="K1788" i="2"/>
  <c r="K1789" i="2"/>
  <c r="K1790" i="2"/>
  <c r="K1791" i="2"/>
  <c r="K1792" i="2"/>
  <c r="K1793" i="2"/>
  <c r="K1794" i="2"/>
  <c r="K1795" i="2"/>
  <c r="K1796" i="2"/>
  <c r="K1797" i="2"/>
  <c r="K1798" i="2"/>
  <c r="K1799" i="2"/>
  <c r="K1800" i="2"/>
  <c r="K1801" i="2"/>
  <c r="K1802" i="2"/>
  <c r="K1803" i="2"/>
  <c r="K1804" i="2"/>
  <c r="K1805" i="2"/>
  <c r="K1806" i="2"/>
  <c r="K1807" i="2"/>
  <c r="K1808" i="2"/>
  <c r="K1809" i="2"/>
  <c r="K1810" i="2"/>
  <c r="K1811" i="2"/>
  <c r="K1812" i="2"/>
  <c r="K1813" i="2"/>
  <c r="K1814" i="2"/>
  <c r="K1815" i="2"/>
  <c r="K1816" i="2"/>
  <c r="K1817" i="2"/>
  <c r="K1818" i="2"/>
  <c r="K1819" i="2"/>
  <c r="K1820" i="2"/>
  <c r="K1821" i="2"/>
  <c r="K1822" i="2"/>
  <c r="K1823" i="2"/>
  <c r="K1824" i="2"/>
  <c r="K1825" i="2"/>
  <c r="K1826" i="2"/>
  <c r="K1827" i="2"/>
  <c r="K1828" i="2"/>
  <c r="K1829" i="2"/>
  <c r="K1830" i="2"/>
  <c r="K1831" i="2"/>
  <c r="K1832" i="2"/>
  <c r="K1833" i="2"/>
  <c r="K1834" i="2"/>
  <c r="K1835" i="2"/>
  <c r="K1836" i="2"/>
  <c r="K1837" i="2"/>
  <c r="K1838" i="2"/>
  <c r="K1839" i="2"/>
  <c r="K1840" i="2"/>
  <c r="K1841" i="2"/>
  <c r="K1842" i="2"/>
  <c r="K1843" i="2"/>
  <c r="K1844" i="2"/>
  <c r="K1845" i="2"/>
  <c r="K1846" i="2"/>
  <c r="K1847" i="2"/>
  <c r="K1848" i="2"/>
  <c r="K1849" i="2"/>
  <c r="K1850" i="2"/>
  <c r="K1851" i="2"/>
  <c r="K1852" i="2"/>
  <c r="K1853" i="2"/>
  <c r="K1854" i="2"/>
  <c r="K1855" i="2"/>
  <c r="K1856" i="2"/>
  <c r="K1857" i="2"/>
  <c r="K1858" i="2"/>
  <c r="K1859" i="2"/>
  <c r="K1860" i="2"/>
  <c r="K1861" i="2"/>
  <c r="K1862" i="2"/>
  <c r="K1863" i="2"/>
  <c r="K1864" i="2"/>
  <c r="K1865" i="2"/>
  <c r="K1866" i="2"/>
  <c r="K1867" i="2"/>
  <c r="K1868" i="2"/>
  <c r="K1869" i="2"/>
  <c r="K1870" i="2"/>
  <c r="K1871" i="2"/>
  <c r="K1872" i="2"/>
  <c r="K1873" i="2"/>
  <c r="K1874" i="2"/>
  <c r="K1875" i="2"/>
  <c r="K1876" i="2"/>
  <c r="K1877" i="2"/>
  <c r="K1878" i="2"/>
  <c r="K1879" i="2"/>
  <c r="K1880" i="2"/>
  <c r="K1881" i="2"/>
  <c r="K1882" i="2"/>
  <c r="K1883" i="2"/>
  <c r="K1884" i="2"/>
  <c r="K1885" i="2"/>
  <c r="K1886" i="2"/>
  <c r="K1887" i="2"/>
  <c r="K1888" i="2"/>
  <c r="K1889" i="2"/>
  <c r="K1890" i="2"/>
  <c r="K1891" i="2"/>
  <c r="K1892" i="2"/>
  <c r="K1893" i="2"/>
  <c r="K1894" i="2"/>
  <c r="K1895" i="2"/>
  <c r="K1896" i="2"/>
  <c r="K1897" i="2"/>
  <c r="K1898" i="2"/>
  <c r="K1899" i="2"/>
  <c r="K1900" i="2"/>
  <c r="K1901" i="2"/>
  <c r="K1902" i="2"/>
  <c r="K1903" i="2"/>
  <c r="K1904" i="2"/>
  <c r="K1905" i="2"/>
  <c r="K1906" i="2"/>
  <c r="K1907" i="2"/>
  <c r="K1908" i="2"/>
  <c r="K1909" i="2"/>
  <c r="K1910" i="2"/>
  <c r="K1911" i="2"/>
  <c r="K1912" i="2"/>
  <c r="K1913" i="2"/>
  <c r="K1914" i="2"/>
  <c r="K1915" i="2"/>
  <c r="K1916" i="2"/>
  <c r="K1917" i="2"/>
  <c r="K1918" i="2"/>
  <c r="K1919" i="2"/>
  <c r="K1920" i="2"/>
  <c r="K1921" i="2"/>
  <c r="K1922" i="2"/>
  <c r="K1923" i="2"/>
  <c r="K1924" i="2"/>
  <c r="K1925" i="2"/>
  <c r="K1926" i="2"/>
  <c r="K1927" i="2"/>
  <c r="K1928" i="2"/>
  <c r="K1929" i="2"/>
  <c r="K1930" i="2"/>
  <c r="K1931" i="2"/>
  <c r="K1932" i="2"/>
  <c r="K1933" i="2"/>
  <c r="K1934" i="2"/>
  <c r="K1935" i="2"/>
  <c r="K1936" i="2"/>
  <c r="K1937" i="2"/>
  <c r="K1938" i="2"/>
  <c r="K1939" i="2"/>
  <c r="K1940" i="2"/>
  <c r="K1941" i="2"/>
  <c r="K1942" i="2"/>
  <c r="K1943" i="2"/>
  <c r="K1944" i="2"/>
  <c r="K1945" i="2"/>
  <c r="K1946" i="2"/>
  <c r="K1947" i="2"/>
  <c r="K1948" i="2"/>
  <c r="K1949" i="2"/>
  <c r="K1950" i="2"/>
  <c r="K1951" i="2"/>
  <c r="K1952" i="2"/>
  <c r="K1953" i="2"/>
  <c r="K1954" i="2"/>
  <c r="K1955" i="2"/>
  <c r="K1956" i="2"/>
  <c r="K1957" i="2"/>
  <c r="K1958" i="2"/>
  <c r="K1959" i="2"/>
  <c r="K1960" i="2"/>
  <c r="K1961" i="2"/>
  <c r="K1962" i="2"/>
  <c r="K1963" i="2"/>
  <c r="K1964" i="2"/>
  <c r="K1965" i="2"/>
  <c r="K1966" i="2"/>
  <c r="K1967" i="2"/>
  <c r="K1968" i="2"/>
  <c r="K1969" i="2"/>
  <c r="K1970" i="2"/>
  <c r="K1971" i="2"/>
  <c r="K1972" i="2"/>
  <c r="K1973" i="2"/>
  <c r="K1974" i="2"/>
  <c r="K1975" i="2"/>
  <c r="K1976" i="2"/>
  <c r="K1977" i="2"/>
  <c r="K1978" i="2"/>
  <c r="K1979" i="2"/>
  <c r="K1980" i="2"/>
  <c r="K1981" i="2"/>
  <c r="K1982" i="2"/>
  <c r="K1983" i="2"/>
  <c r="K1984" i="2"/>
  <c r="K1985" i="2"/>
  <c r="K1986" i="2"/>
  <c r="K1987" i="2"/>
  <c r="K1988" i="2"/>
  <c r="K1989" i="2"/>
  <c r="K1990" i="2"/>
  <c r="K1991" i="2"/>
  <c r="K1992" i="2"/>
  <c r="K1993" i="2"/>
  <c r="K1994" i="2"/>
  <c r="K1995" i="2"/>
  <c r="K1996" i="2"/>
  <c r="K1997" i="2"/>
  <c r="K1998" i="2"/>
  <c r="K1999" i="2"/>
  <c r="K2000" i="2"/>
  <c r="K2001" i="2"/>
  <c r="K2002" i="2"/>
  <c r="K2003" i="2"/>
  <c r="K2004" i="2"/>
  <c r="K2005" i="2"/>
  <c r="K2006" i="2"/>
  <c r="K2007" i="2"/>
  <c r="K2008" i="2"/>
  <c r="K2009" i="2"/>
  <c r="K2010" i="2"/>
  <c r="K2011" i="2"/>
  <c r="K2012" i="2"/>
  <c r="K2013" i="2"/>
  <c r="K2014" i="2"/>
  <c r="K2015" i="2"/>
  <c r="K2016" i="2"/>
  <c r="K2017" i="2"/>
  <c r="K2018" i="2"/>
  <c r="K2019" i="2"/>
  <c r="K2020" i="2"/>
  <c r="K2021" i="2"/>
  <c r="K2022" i="2"/>
  <c r="K2023" i="2"/>
  <c r="S1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H1001" i="2"/>
  <c r="H1002" i="2"/>
  <c r="H1003" i="2"/>
  <c r="H1004" i="2"/>
  <c r="H1005" i="2"/>
  <c r="H1006" i="2"/>
  <c r="H1007" i="2"/>
  <c r="H1008" i="2"/>
  <c r="H1009" i="2"/>
  <c r="H1010" i="2"/>
  <c r="H1011" i="2"/>
  <c r="H1012" i="2"/>
  <c r="H1013" i="2"/>
  <c r="H1014" i="2"/>
  <c r="H1015" i="2"/>
  <c r="H1016" i="2"/>
  <c r="H1017" i="2"/>
  <c r="H1018" i="2"/>
  <c r="H1019" i="2"/>
  <c r="H1020" i="2"/>
  <c r="H1021" i="2"/>
  <c r="H1022" i="2"/>
  <c r="H1023" i="2"/>
  <c r="H1024" i="2"/>
  <c r="H1025" i="2"/>
  <c r="H1026" i="2"/>
  <c r="H1027" i="2"/>
  <c r="H1028" i="2"/>
  <c r="H1029" i="2"/>
  <c r="H1030" i="2"/>
  <c r="H1031" i="2"/>
  <c r="H1032" i="2"/>
  <c r="H1033" i="2"/>
  <c r="H1034" i="2"/>
  <c r="H1035" i="2"/>
  <c r="H1036" i="2"/>
  <c r="H1037" i="2"/>
  <c r="H1038" i="2"/>
  <c r="H1039" i="2"/>
  <c r="H1040" i="2"/>
  <c r="H1041" i="2"/>
  <c r="H1042" i="2"/>
  <c r="H1043" i="2"/>
  <c r="H1044" i="2"/>
  <c r="H1045" i="2"/>
  <c r="H1046" i="2"/>
  <c r="H1047" i="2"/>
  <c r="H1048" i="2"/>
  <c r="H1049" i="2"/>
  <c r="H1050" i="2"/>
  <c r="H1051" i="2"/>
  <c r="H1052" i="2"/>
  <c r="H1053" i="2"/>
  <c r="H1054" i="2"/>
  <c r="H1055" i="2"/>
  <c r="H1056" i="2"/>
  <c r="H1057" i="2"/>
  <c r="H1058" i="2"/>
  <c r="H1059" i="2"/>
  <c r="H1060" i="2"/>
  <c r="H1061" i="2"/>
  <c r="H1062" i="2"/>
  <c r="H1063" i="2"/>
  <c r="H1064" i="2"/>
  <c r="H1065" i="2"/>
  <c r="H1066" i="2"/>
  <c r="H1067" i="2"/>
  <c r="H1068" i="2"/>
  <c r="H1069" i="2"/>
  <c r="H1070" i="2"/>
  <c r="H1071" i="2"/>
  <c r="H1072" i="2"/>
  <c r="H1073" i="2"/>
  <c r="H1074" i="2"/>
  <c r="H1075" i="2"/>
  <c r="H1076" i="2"/>
  <c r="H1077" i="2"/>
  <c r="H1078" i="2"/>
  <c r="H1079" i="2"/>
  <c r="H1080" i="2"/>
  <c r="H1081" i="2"/>
  <c r="H1082" i="2"/>
  <c r="H1083" i="2"/>
  <c r="H1084" i="2"/>
  <c r="H1085" i="2"/>
  <c r="H1086" i="2"/>
  <c r="H1087" i="2"/>
  <c r="H1088" i="2"/>
  <c r="H1089" i="2"/>
  <c r="H1090" i="2"/>
  <c r="H1091" i="2"/>
  <c r="H1092" i="2"/>
  <c r="H1093" i="2"/>
  <c r="H1094" i="2"/>
  <c r="H1095" i="2"/>
  <c r="H1096" i="2"/>
  <c r="H1097" i="2"/>
  <c r="H1098" i="2"/>
  <c r="H1099" i="2"/>
  <c r="H1100" i="2"/>
  <c r="H1101" i="2"/>
  <c r="H1102" i="2"/>
  <c r="H1103" i="2"/>
  <c r="H1104" i="2"/>
  <c r="H1105" i="2"/>
  <c r="H1106" i="2"/>
  <c r="H1107" i="2"/>
  <c r="H1108" i="2"/>
  <c r="H1109" i="2"/>
  <c r="H1110" i="2"/>
  <c r="H1111" i="2"/>
  <c r="H1112" i="2"/>
  <c r="H1113" i="2"/>
  <c r="H1114" i="2"/>
  <c r="H1115" i="2"/>
  <c r="H1116" i="2"/>
  <c r="H1117" i="2"/>
  <c r="H1118" i="2"/>
  <c r="H1119" i="2"/>
  <c r="H1120" i="2"/>
  <c r="H1121" i="2"/>
  <c r="H1122" i="2"/>
  <c r="H1123" i="2"/>
  <c r="H1124" i="2"/>
  <c r="H1125" i="2"/>
  <c r="H1126" i="2"/>
  <c r="H1127" i="2"/>
  <c r="H1128" i="2"/>
  <c r="H1129" i="2"/>
  <c r="H1130" i="2"/>
  <c r="H1131" i="2"/>
  <c r="H1132" i="2"/>
  <c r="H1133" i="2"/>
  <c r="H1134" i="2"/>
  <c r="H1135" i="2"/>
  <c r="H1136" i="2"/>
  <c r="H1137" i="2"/>
  <c r="H1138" i="2"/>
  <c r="H1139" i="2"/>
  <c r="H1140" i="2"/>
  <c r="H1141" i="2"/>
  <c r="H1142" i="2"/>
  <c r="H1143" i="2"/>
  <c r="H1144" i="2"/>
  <c r="H1145" i="2"/>
  <c r="H1146" i="2"/>
  <c r="H1147" i="2"/>
  <c r="H1148" i="2"/>
  <c r="H1149" i="2"/>
  <c r="H1150" i="2"/>
  <c r="H1151" i="2"/>
  <c r="H1152" i="2"/>
  <c r="H1153" i="2"/>
  <c r="H1154" i="2"/>
  <c r="H1155" i="2"/>
  <c r="H1156" i="2"/>
  <c r="H1157" i="2"/>
  <c r="H1158" i="2"/>
  <c r="H1159" i="2"/>
  <c r="H1160" i="2"/>
  <c r="H1161" i="2"/>
  <c r="H1162" i="2"/>
  <c r="H1163" i="2"/>
  <c r="H1164" i="2"/>
  <c r="H1165" i="2"/>
  <c r="H1166" i="2"/>
  <c r="H1167" i="2"/>
  <c r="H1168" i="2"/>
  <c r="H1169" i="2"/>
  <c r="H1170" i="2"/>
  <c r="H1171" i="2"/>
  <c r="H1172" i="2"/>
  <c r="H1173" i="2"/>
  <c r="H1174" i="2"/>
  <c r="H1175" i="2"/>
  <c r="H1176" i="2"/>
  <c r="H1177" i="2"/>
  <c r="H1178" i="2"/>
  <c r="H1179" i="2"/>
  <c r="H1180" i="2"/>
  <c r="H1181" i="2"/>
  <c r="H1182" i="2"/>
  <c r="H1183" i="2"/>
  <c r="H1184" i="2"/>
  <c r="H1185" i="2"/>
  <c r="H1186" i="2"/>
  <c r="H1187" i="2"/>
  <c r="H1188" i="2"/>
  <c r="H1189" i="2"/>
  <c r="H1190" i="2"/>
  <c r="H1191" i="2"/>
  <c r="H1192" i="2"/>
  <c r="H1193" i="2"/>
  <c r="H1194" i="2"/>
  <c r="H1195" i="2"/>
  <c r="H1196" i="2"/>
  <c r="H1197" i="2"/>
  <c r="H1198" i="2"/>
  <c r="H1199" i="2"/>
  <c r="H1200" i="2"/>
  <c r="H1201" i="2"/>
  <c r="H1202" i="2"/>
  <c r="H1203" i="2"/>
  <c r="H1204" i="2"/>
  <c r="H1205" i="2"/>
  <c r="H1206" i="2"/>
  <c r="H1207" i="2"/>
  <c r="H1208" i="2"/>
  <c r="H1209" i="2"/>
  <c r="H1210" i="2"/>
  <c r="H1211" i="2"/>
  <c r="H1212" i="2"/>
  <c r="H1213" i="2"/>
  <c r="H1214" i="2"/>
  <c r="H1215" i="2"/>
  <c r="H1216" i="2"/>
  <c r="H1217" i="2"/>
  <c r="H1218" i="2"/>
  <c r="H1219" i="2"/>
  <c r="H1220" i="2"/>
  <c r="H1221" i="2"/>
  <c r="H1222" i="2"/>
  <c r="H1223" i="2"/>
  <c r="H1224" i="2"/>
  <c r="H1225" i="2"/>
  <c r="H1226" i="2"/>
  <c r="H1227" i="2"/>
  <c r="H1228" i="2"/>
  <c r="H1229" i="2"/>
  <c r="H1230" i="2"/>
  <c r="H1231" i="2"/>
  <c r="H1232" i="2"/>
  <c r="H1233" i="2"/>
  <c r="H1234" i="2"/>
  <c r="H1235" i="2"/>
  <c r="H1236" i="2"/>
  <c r="H1237" i="2"/>
  <c r="H1238" i="2"/>
  <c r="H1239" i="2"/>
  <c r="H1240" i="2"/>
  <c r="H1241" i="2"/>
  <c r="H1242" i="2"/>
  <c r="H1243" i="2"/>
  <c r="H1244" i="2"/>
  <c r="H1245" i="2"/>
  <c r="H1246" i="2"/>
  <c r="H1247" i="2"/>
  <c r="H1248" i="2"/>
  <c r="H1249" i="2"/>
  <c r="H1250" i="2"/>
  <c r="H1251" i="2"/>
  <c r="H1252" i="2"/>
  <c r="H1253" i="2"/>
  <c r="H1254" i="2"/>
  <c r="H1255" i="2"/>
  <c r="H1256" i="2"/>
  <c r="H1257" i="2"/>
  <c r="H1258" i="2"/>
  <c r="H1259" i="2"/>
  <c r="H1260" i="2"/>
  <c r="H1261" i="2"/>
  <c r="H1262" i="2"/>
  <c r="H1263" i="2"/>
  <c r="H1264" i="2"/>
  <c r="H1265" i="2"/>
  <c r="H1266" i="2"/>
  <c r="H1267" i="2"/>
  <c r="H1268" i="2"/>
  <c r="H1269" i="2"/>
  <c r="H1270" i="2"/>
  <c r="H1271" i="2"/>
  <c r="H1272" i="2"/>
  <c r="H1273" i="2"/>
  <c r="H1274" i="2"/>
  <c r="H1275" i="2"/>
  <c r="H1276" i="2"/>
  <c r="H1277" i="2"/>
  <c r="H1278" i="2"/>
  <c r="H1279" i="2"/>
  <c r="H1280" i="2"/>
  <c r="H1281" i="2"/>
  <c r="H1282" i="2"/>
  <c r="H1283" i="2"/>
  <c r="H1284" i="2"/>
  <c r="H1285" i="2"/>
  <c r="H1286" i="2"/>
  <c r="H1287" i="2"/>
  <c r="H1288" i="2"/>
  <c r="H1289" i="2"/>
  <c r="H1290" i="2"/>
  <c r="H1291" i="2"/>
  <c r="H1292" i="2"/>
  <c r="H1293" i="2"/>
  <c r="H1294" i="2"/>
  <c r="H1295" i="2"/>
  <c r="H1296" i="2"/>
  <c r="H1297" i="2"/>
  <c r="H1298" i="2"/>
  <c r="H1299" i="2"/>
  <c r="H1300" i="2"/>
  <c r="H1301" i="2"/>
  <c r="H1302" i="2"/>
  <c r="H1303" i="2"/>
  <c r="H1304" i="2"/>
  <c r="H1305" i="2"/>
  <c r="H1306" i="2"/>
  <c r="H1307" i="2"/>
  <c r="H1308" i="2"/>
  <c r="H1309" i="2"/>
  <c r="H1310" i="2"/>
  <c r="H1311" i="2"/>
  <c r="H1312" i="2"/>
  <c r="H1313" i="2"/>
  <c r="H1314" i="2"/>
  <c r="H1315" i="2"/>
  <c r="H1316" i="2"/>
  <c r="H1317" i="2"/>
  <c r="H1318" i="2"/>
  <c r="H1319" i="2"/>
  <c r="H1320" i="2"/>
  <c r="H1321" i="2"/>
  <c r="H1322" i="2"/>
  <c r="H1323" i="2"/>
  <c r="H1324" i="2"/>
  <c r="H1325" i="2"/>
  <c r="H1326" i="2"/>
  <c r="H1327" i="2"/>
  <c r="H1328" i="2"/>
  <c r="H1329" i="2"/>
  <c r="H1330" i="2"/>
  <c r="H1331" i="2"/>
  <c r="H1332" i="2"/>
  <c r="H1333" i="2"/>
  <c r="H1334" i="2"/>
  <c r="H1335" i="2"/>
  <c r="H1336" i="2"/>
  <c r="H1337" i="2"/>
  <c r="H1338" i="2"/>
  <c r="H1339" i="2"/>
  <c r="H1340" i="2"/>
  <c r="H1341" i="2"/>
  <c r="H1342" i="2"/>
  <c r="H1343" i="2"/>
  <c r="H1344" i="2"/>
  <c r="H1345" i="2"/>
  <c r="H1346" i="2"/>
  <c r="H1347" i="2"/>
  <c r="H1348" i="2"/>
  <c r="H1349" i="2"/>
  <c r="H1350" i="2"/>
  <c r="H1351" i="2"/>
  <c r="H1352" i="2"/>
  <c r="H1353" i="2"/>
  <c r="H1354" i="2"/>
  <c r="H1355" i="2"/>
  <c r="H1356" i="2"/>
  <c r="H1357" i="2"/>
  <c r="H1358" i="2"/>
  <c r="H1359" i="2"/>
  <c r="H1360" i="2"/>
  <c r="H1361" i="2"/>
  <c r="H1362" i="2"/>
  <c r="H1363" i="2"/>
  <c r="H1364" i="2"/>
  <c r="H1365" i="2"/>
  <c r="H1366" i="2"/>
  <c r="H1367" i="2"/>
  <c r="H1368" i="2"/>
  <c r="H1369" i="2"/>
  <c r="H1370" i="2"/>
  <c r="H1371" i="2"/>
  <c r="H1372" i="2"/>
  <c r="H1373" i="2"/>
  <c r="H1374" i="2"/>
  <c r="H1375" i="2"/>
  <c r="H1376" i="2"/>
  <c r="H1377" i="2"/>
  <c r="H1378" i="2"/>
  <c r="H1379" i="2"/>
  <c r="H1380" i="2"/>
  <c r="H1381" i="2"/>
  <c r="H1382" i="2"/>
  <c r="H1383" i="2"/>
  <c r="H1384" i="2"/>
  <c r="H1385" i="2"/>
  <c r="H1386" i="2"/>
  <c r="H1387" i="2"/>
  <c r="H1388" i="2"/>
  <c r="H1389" i="2"/>
  <c r="H1390" i="2"/>
  <c r="H1391" i="2"/>
  <c r="H1392" i="2"/>
  <c r="H1393" i="2"/>
  <c r="H1394" i="2"/>
  <c r="H1395" i="2"/>
  <c r="H1396" i="2"/>
  <c r="H1397" i="2"/>
  <c r="H1398" i="2"/>
  <c r="H1399" i="2"/>
  <c r="H1400" i="2"/>
  <c r="H1401" i="2"/>
  <c r="H1402" i="2"/>
  <c r="H1403" i="2"/>
  <c r="H1404" i="2"/>
  <c r="H1405" i="2"/>
  <c r="H1406" i="2"/>
  <c r="H1407" i="2"/>
  <c r="H1408" i="2"/>
  <c r="H1409" i="2"/>
  <c r="H1410" i="2"/>
  <c r="H1411" i="2"/>
  <c r="H1412" i="2"/>
  <c r="H1413" i="2"/>
  <c r="H1414" i="2"/>
  <c r="H1415" i="2"/>
  <c r="H1416" i="2"/>
  <c r="H1417" i="2"/>
  <c r="H1418" i="2"/>
  <c r="H1419" i="2"/>
  <c r="H1420" i="2"/>
  <c r="H1421" i="2"/>
  <c r="H1422" i="2"/>
  <c r="H1423" i="2"/>
  <c r="H1424" i="2"/>
  <c r="H1425" i="2"/>
  <c r="H1426" i="2"/>
  <c r="H1427" i="2"/>
  <c r="H1428" i="2"/>
  <c r="H1429" i="2"/>
  <c r="H1430" i="2"/>
  <c r="H1431" i="2"/>
  <c r="H1432" i="2"/>
  <c r="H1433" i="2"/>
  <c r="H1434" i="2"/>
  <c r="H1435" i="2"/>
  <c r="H1436" i="2"/>
  <c r="H1437" i="2"/>
  <c r="H1438" i="2"/>
  <c r="H1439" i="2"/>
  <c r="H1440" i="2"/>
  <c r="H1441" i="2"/>
  <c r="H1442" i="2"/>
  <c r="H1443" i="2"/>
  <c r="H1444" i="2"/>
  <c r="H1445" i="2"/>
  <c r="H1446" i="2"/>
  <c r="H1447" i="2"/>
  <c r="H1448" i="2"/>
  <c r="H1449" i="2"/>
  <c r="H1450" i="2"/>
  <c r="H1451" i="2"/>
  <c r="H1452" i="2"/>
  <c r="H1453" i="2"/>
  <c r="H1454" i="2"/>
  <c r="H1455" i="2"/>
  <c r="H1456" i="2"/>
  <c r="H1457" i="2"/>
  <c r="H1458" i="2"/>
  <c r="H1459" i="2"/>
  <c r="H1460" i="2"/>
  <c r="H1461" i="2"/>
  <c r="H1462" i="2"/>
  <c r="H1463" i="2"/>
  <c r="H1464" i="2"/>
  <c r="H1465" i="2"/>
  <c r="H1466" i="2"/>
  <c r="H1467" i="2"/>
  <c r="H1468" i="2"/>
  <c r="H1469" i="2"/>
  <c r="H1470" i="2"/>
  <c r="H1471" i="2"/>
  <c r="H1472" i="2"/>
  <c r="H1473" i="2"/>
  <c r="H1474" i="2"/>
  <c r="H1475" i="2"/>
  <c r="H1476" i="2"/>
  <c r="H1477" i="2"/>
  <c r="H1478" i="2"/>
  <c r="H1479" i="2"/>
  <c r="H1480" i="2"/>
  <c r="H1481" i="2"/>
  <c r="H1482" i="2"/>
  <c r="H1483" i="2"/>
  <c r="H1484" i="2"/>
  <c r="H1485" i="2"/>
  <c r="H1486" i="2"/>
  <c r="H1487" i="2"/>
  <c r="H1488" i="2"/>
  <c r="H1489" i="2"/>
  <c r="H1490" i="2"/>
  <c r="H1491" i="2"/>
  <c r="H1492" i="2"/>
  <c r="H1493" i="2"/>
  <c r="H1494" i="2"/>
  <c r="H1495" i="2"/>
  <c r="H1496" i="2"/>
  <c r="H1497" i="2"/>
  <c r="H1498" i="2"/>
  <c r="H1499" i="2"/>
  <c r="H1500" i="2"/>
  <c r="H1501" i="2"/>
  <c r="H1502" i="2"/>
  <c r="H1503" i="2"/>
  <c r="H1504" i="2"/>
  <c r="H1505" i="2"/>
  <c r="H1506" i="2"/>
  <c r="H1507" i="2"/>
  <c r="H1508" i="2"/>
  <c r="H1509" i="2"/>
  <c r="H1510" i="2"/>
  <c r="H1511" i="2"/>
  <c r="H1512" i="2"/>
  <c r="H1513" i="2"/>
  <c r="H1514" i="2"/>
  <c r="H1515" i="2"/>
  <c r="H1516" i="2"/>
  <c r="H1517" i="2"/>
  <c r="H1518" i="2"/>
  <c r="H1519" i="2"/>
  <c r="H1520" i="2"/>
  <c r="H1521" i="2"/>
  <c r="H1522" i="2"/>
  <c r="H1523" i="2"/>
  <c r="H1524" i="2"/>
  <c r="H1525" i="2"/>
  <c r="H1526" i="2"/>
  <c r="H1527" i="2"/>
  <c r="H1528" i="2"/>
  <c r="H1529" i="2"/>
  <c r="H1530" i="2"/>
  <c r="H1531" i="2"/>
  <c r="H1532" i="2"/>
  <c r="H1533" i="2"/>
  <c r="H1534" i="2"/>
  <c r="H1535" i="2"/>
  <c r="H1536" i="2"/>
  <c r="H1537" i="2"/>
  <c r="H1538" i="2"/>
  <c r="H1539" i="2"/>
  <c r="H1540" i="2"/>
  <c r="H1541" i="2"/>
  <c r="H1542" i="2"/>
  <c r="H1543" i="2"/>
  <c r="H1544" i="2"/>
  <c r="H1545" i="2"/>
  <c r="H1546" i="2"/>
  <c r="H1547" i="2"/>
  <c r="H1548" i="2"/>
  <c r="H1549" i="2"/>
  <c r="H1550" i="2"/>
  <c r="H1551" i="2"/>
  <c r="H1552" i="2"/>
  <c r="H1553" i="2"/>
  <c r="H1554" i="2"/>
  <c r="H1555" i="2"/>
  <c r="H1556" i="2"/>
  <c r="H1557" i="2"/>
  <c r="H1558" i="2"/>
  <c r="H1559" i="2"/>
  <c r="H1560" i="2"/>
  <c r="H1561" i="2"/>
  <c r="H1562" i="2"/>
  <c r="H1563" i="2"/>
  <c r="H1564" i="2"/>
  <c r="H1565" i="2"/>
  <c r="H1566" i="2"/>
  <c r="H1567" i="2"/>
  <c r="H1568" i="2"/>
  <c r="H1569" i="2"/>
  <c r="H1570" i="2"/>
  <c r="H1571" i="2"/>
  <c r="H1572" i="2"/>
  <c r="H1573" i="2"/>
  <c r="H1574" i="2"/>
  <c r="H1575" i="2"/>
  <c r="H1576" i="2"/>
  <c r="H1577" i="2"/>
  <c r="H1578" i="2"/>
  <c r="H1579" i="2"/>
  <c r="H1580" i="2"/>
  <c r="H1581" i="2"/>
  <c r="H1582" i="2"/>
  <c r="H1583" i="2"/>
  <c r="H1584" i="2"/>
  <c r="H1585" i="2"/>
  <c r="H1586" i="2"/>
  <c r="H1587" i="2"/>
  <c r="H1588" i="2"/>
  <c r="H1589" i="2"/>
  <c r="H1590" i="2"/>
  <c r="H1591" i="2"/>
  <c r="H1592" i="2"/>
  <c r="H1593" i="2"/>
  <c r="H1594" i="2"/>
  <c r="H1595" i="2"/>
  <c r="H1596" i="2"/>
  <c r="H1597" i="2"/>
  <c r="H1598" i="2"/>
  <c r="H1599" i="2"/>
  <c r="H1600" i="2"/>
  <c r="H1601" i="2"/>
  <c r="H1602" i="2"/>
  <c r="H1603" i="2"/>
  <c r="H1604" i="2"/>
  <c r="H1605" i="2"/>
  <c r="H1606" i="2"/>
  <c r="H1607" i="2"/>
  <c r="H1608" i="2"/>
  <c r="H1609" i="2"/>
  <c r="H1610" i="2"/>
  <c r="H1611" i="2"/>
  <c r="H1612" i="2"/>
  <c r="H1613" i="2"/>
  <c r="H1614" i="2"/>
  <c r="H1615" i="2"/>
  <c r="H1616" i="2"/>
  <c r="H1617" i="2"/>
  <c r="H1618" i="2"/>
  <c r="H1619" i="2"/>
  <c r="H1620" i="2"/>
  <c r="H1621" i="2"/>
  <c r="H1622" i="2"/>
  <c r="H1623" i="2"/>
  <c r="H1624" i="2"/>
  <c r="H1625" i="2"/>
  <c r="H1626" i="2"/>
  <c r="H1627" i="2"/>
  <c r="H1628" i="2"/>
  <c r="H1629" i="2"/>
  <c r="H1630" i="2"/>
  <c r="H1631" i="2"/>
  <c r="H1632" i="2"/>
  <c r="H1633" i="2"/>
  <c r="H1634" i="2"/>
  <c r="H1635" i="2"/>
  <c r="H1636" i="2"/>
  <c r="H1637" i="2"/>
  <c r="H1638" i="2"/>
  <c r="H1639" i="2"/>
  <c r="H1640" i="2"/>
  <c r="H1641" i="2"/>
  <c r="H1642" i="2"/>
  <c r="H1643" i="2"/>
  <c r="H1644" i="2"/>
  <c r="H1645" i="2"/>
  <c r="H1646" i="2"/>
  <c r="H1647" i="2"/>
  <c r="H1648" i="2"/>
  <c r="H1649" i="2"/>
  <c r="H1650" i="2"/>
  <c r="H1651" i="2"/>
  <c r="H1652" i="2"/>
  <c r="H1653" i="2"/>
  <c r="H1654" i="2"/>
  <c r="H1655" i="2"/>
  <c r="H1656" i="2"/>
  <c r="H1657" i="2"/>
  <c r="H1658" i="2"/>
  <c r="H1659" i="2"/>
  <c r="H1660" i="2"/>
  <c r="H1661" i="2"/>
  <c r="H1662" i="2"/>
  <c r="H1663" i="2"/>
  <c r="H1664" i="2"/>
  <c r="H1665" i="2"/>
  <c r="H1666" i="2"/>
  <c r="H1667" i="2"/>
  <c r="H1668" i="2"/>
  <c r="H1669" i="2"/>
  <c r="H1670" i="2"/>
  <c r="H1671" i="2"/>
  <c r="H1672" i="2"/>
  <c r="H1673" i="2"/>
  <c r="H1674" i="2"/>
  <c r="H1675" i="2"/>
  <c r="H1676" i="2"/>
  <c r="H1677" i="2"/>
  <c r="H1678" i="2"/>
  <c r="H1679" i="2"/>
  <c r="H1680" i="2"/>
  <c r="H1681" i="2"/>
  <c r="H1682" i="2"/>
  <c r="H1683" i="2"/>
  <c r="H1684" i="2"/>
  <c r="H1685" i="2"/>
  <c r="H1686" i="2"/>
  <c r="H1687" i="2"/>
  <c r="H1688" i="2"/>
  <c r="H1689" i="2"/>
  <c r="H1690" i="2"/>
  <c r="H1691" i="2"/>
  <c r="H1692" i="2"/>
  <c r="H1693" i="2"/>
  <c r="H1694" i="2"/>
  <c r="H1695" i="2"/>
  <c r="H1696" i="2"/>
  <c r="H1697" i="2"/>
  <c r="H1698" i="2"/>
  <c r="H1699" i="2"/>
  <c r="H1700" i="2"/>
  <c r="H1701" i="2"/>
  <c r="H1702" i="2"/>
  <c r="H1703" i="2"/>
  <c r="H1704" i="2"/>
  <c r="H1705" i="2"/>
  <c r="H1706" i="2"/>
  <c r="H1707" i="2"/>
  <c r="H1708" i="2"/>
  <c r="H1709" i="2"/>
  <c r="H1710" i="2"/>
  <c r="H1711" i="2"/>
  <c r="H1712" i="2"/>
  <c r="H1713" i="2"/>
  <c r="H1714" i="2"/>
  <c r="H1715" i="2"/>
  <c r="H1716" i="2"/>
  <c r="H1717" i="2"/>
  <c r="H1718" i="2"/>
  <c r="H1719" i="2"/>
  <c r="H1720" i="2"/>
  <c r="H1721" i="2"/>
  <c r="H1722" i="2"/>
  <c r="H1723" i="2"/>
  <c r="H1724" i="2"/>
  <c r="H1725" i="2"/>
  <c r="H1726" i="2"/>
  <c r="H1727" i="2"/>
  <c r="H1728" i="2"/>
  <c r="H1729" i="2"/>
  <c r="H1730" i="2"/>
  <c r="H1731" i="2"/>
  <c r="H1732" i="2"/>
  <c r="H1733" i="2"/>
  <c r="H1734" i="2"/>
  <c r="H1735" i="2"/>
  <c r="H1736" i="2"/>
  <c r="H1737" i="2"/>
  <c r="H1738" i="2"/>
  <c r="H1739" i="2"/>
  <c r="H1740" i="2"/>
  <c r="H1741" i="2"/>
  <c r="H1742" i="2"/>
  <c r="H1743" i="2"/>
  <c r="H1744" i="2"/>
  <c r="H1745" i="2"/>
  <c r="H1746" i="2"/>
  <c r="H1747" i="2"/>
  <c r="H1748" i="2"/>
  <c r="H1749" i="2"/>
  <c r="H1750" i="2"/>
  <c r="H1751" i="2"/>
  <c r="H1752" i="2"/>
  <c r="H1753" i="2"/>
  <c r="H1754" i="2"/>
  <c r="H1755" i="2"/>
  <c r="H1756" i="2"/>
  <c r="H1757" i="2"/>
  <c r="H1758" i="2"/>
  <c r="H1759" i="2"/>
  <c r="H1760" i="2"/>
  <c r="H1761" i="2"/>
  <c r="H1762" i="2"/>
  <c r="H1763" i="2"/>
  <c r="H1764" i="2"/>
  <c r="H1765" i="2"/>
  <c r="H1766" i="2"/>
  <c r="H1767" i="2"/>
  <c r="H1768" i="2"/>
  <c r="H1769" i="2"/>
  <c r="H1770" i="2"/>
  <c r="H1771" i="2"/>
  <c r="H1772" i="2"/>
  <c r="H1773" i="2"/>
  <c r="H1774" i="2"/>
  <c r="H1775" i="2"/>
  <c r="H1776" i="2"/>
  <c r="H1777" i="2"/>
  <c r="H1778" i="2"/>
  <c r="H1779" i="2"/>
  <c r="H1780" i="2"/>
  <c r="H1781" i="2"/>
  <c r="H1782" i="2"/>
  <c r="H1783" i="2"/>
  <c r="H1784" i="2"/>
  <c r="H1785" i="2"/>
  <c r="H1786" i="2"/>
  <c r="H1787" i="2"/>
  <c r="H1788" i="2"/>
  <c r="H1789" i="2"/>
  <c r="H1790" i="2"/>
  <c r="H1791" i="2"/>
  <c r="H1792" i="2"/>
  <c r="H1793" i="2"/>
  <c r="H1794" i="2"/>
  <c r="H1795" i="2"/>
  <c r="H1796" i="2"/>
  <c r="H1797" i="2"/>
  <c r="H1798" i="2"/>
  <c r="H1799" i="2"/>
  <c r="H1800" i="2"/>
  <c r="H1801" i="2"/>
  <c r="H1802" i="2"/>
  <c r="H1803" i="2"/>
  <c r="H1804" i="2"/>
  <c r="H1805" i="2"/>
  <c r="H1806" i="2"/>
  <c r="H1807" i="2"/>
  <c r="H1808" i="2"/>
  <c r="H1809" i="2"/>
  <c r="H1810" i="2"/>
  <c r="H1811" i="2"/>
  <c r="H1812" i="2"/>
  <c r="H1813" i="2"/>
  <c r="H1814" i="2"/>
  <c r="H1815" i="2"/>
  <c r="H1816" i="2"/>
  <c r="H1817" i="2"/>
  <c r="H1818" i="2"/>
  <c r="H1819" i="2"/>
  <c r="H1820" i="2"/>
  <c r="H1821" i="2"/>
  <c r="H1822" i="2"/>
  <c r="H1823" i="2"/>
  <c r="H1824" i="2"/>
  <c r="H1825" i="2"/>
  <c r="H1826" i="2"/>
  <c r="H1827" i="2"/>
  <c r="H1828" i="2"/>
  <c r="H1829" i="2"/>
  <c r="H1830" i="2"/>
  <c r="H1831" i="2"/>
  <c r="H1832" i="2"/>
  <c r="H1833" i="2"/>
  <c r="H1834" i="2"/>
  <c r="H1835" i="2"/>
  <c r="H1836" i="2"/>
  <c r="H1837" i="2"/>
  <c r="H1838" i="2"/>
  <c r="H1839" i="2"/>
  <c r="H1840" i="2"/>
  <c r="H1841" i="2"/>
  <c r="H1842" i="2"/>
  <c r="H1843" i="2"/>
  <c r="H1844" i="2"/>
  <c r="H1845" i="2"/>
  <c r="H1846" i="2"/>
  <c r="H1847" i="2"/>
  <c r="H1848" i="2"/>
  <c r="H1849" i="2"/>
  <c r="H1850" i="2"/>
  <c r="H1851" i="2"/>
  <c r="H1852" i="2"/>
  <c r="H1853" i="2"/>
  <c r="H1854" i="2"/>
  <c r="H1855" i="2"/>
  <c r="H1856" i="2"/>
  <c r="H1857" i="2"/>
  <c r="H1858" i="2"/>
  <c r="H1859" i="2"/>
  <c r="H1860" i="2"/>
  <c r="H1861" i="2"/>
  <c r="H1862" i="2"/>
  <c r="H1863" i="2"/>
  <c r="H1864" i="2"/>
  <c r="H1865" i="2"/>
  <c r="H1866" i="2"/>
  <c r="H1867" i="2"/>
  <c r="H1868" i="2"/>
  <c r="H1869" i="2"/>
  <c r="H1870" i="2"/>
  <c r="H1871" i="2"/>
  <c r="H1872" i="2"/>
  <c r="H1873" i="2"/>
  <c r="H1874" i="2"/>
  <c r="H1875" i="2"/>
  <c r="H1876" i="2"/>
  <c r="H1877" i="2"/>
  <c r="H1878" i="2"/>
  <c r="H1879" i="2"/>
  <c r="H1880" i="2"/>
  <c r="H1881" i="2"/>
  <c r="H1882" i="2"/>
  <c r="H1883" i="2"/>
  <c r="H1884" i="2"/>
  <c r="H1885" i="2"/>
  <c r="H1886" i="2"/>
  <c r="H1887" i="2"/>
  <c r="H1888" i="2"/>
  <c r="H1889" i="2"/>
  <c r="H1890" i="2"/>
  <c r="H1891" i="2"/>
  <c r="H1892" i="2"/>
  <c r="H1893" i="2"/>
  <c r="H1894" i="2"/>
  <c r="H1895" i="2"/>
  <c r="H1896" i="2"/>
  <c r="H1897" i="2"/>
  <c r="H1898" i="2"/>
  <c r="H1899" i="2"/>
  <c r="H1900" i="2"/>
  <c r="H1901" i="2"/>
  <c r="H1902" i="2"/>
  <c r="H1903" i="2"/>
  <c r="H1904" i="2"/>
  <c r="H1905" i="2"/>
  <c r="H1906" i="2"/>
  <c r="H1907" i="2"/>
  <c r="H1908" i="2"/>
  <c r="H1909" i="2"/>
  <c r="H1910" i="2"/>
  <c r="H1911" i="2"/>
  <c r="H1912" i="2"/>
  <c r="H1913" i="2"/>
  <c r="H1914" i="2"/>
  <c r="H1915" i="2"/>
  <c r="H1916" i="2"/>
  <c r="H1917" i="2"/>
  <c r="H1918" i="2"/>
  <c r="H1919" i="2"/>
  <c r="H1920" i="2"/>
  <c r="H1921" i="2"/>
  <c r="H1922" i="2"/>
  <c r="H1923" i="2"/>
  <c r="H1924" i="2"/>
  <c r="H1925" i="2"/>
  <c r="H1926" i="2"/>
  <c r="H1927" i="2"/>
  <c r="H1928" i="2"/>
  <c r="H1929" i="2"/>
  <c r="H1930" i="2"/>
  <c r="H1931" i="2"/>
  <c r="H1932" i="2"/>
  <c r="H1933" i="2"/>
  <c r="H1934" i="2"/>
  <c r="H1935" i="2"/>
  <c r="H1936" i="2"/>
  <c r="H1937" i="2"/>
  <c r="H1938" i="2"/>
  <c r="H1939" i="2"/>
  <c r="H1940" i="2"/>
  <c r="H1941" i="2"/>
  <c r="H1942" i="2"/>
  <c r="H1943" i="2"/>
  <c r="H1944" i="2"/>
  <c r="H1945" i="2"/>
  <c r="H1946" i="2"/>
  <c r="H1947" i="2"/>
  <c r="H1948" i="2"/>
  <c r="H1949" i="2"/>
  <c r="H1950" i="2"/>
  <c r="H1951" i="2"/>
  <c r="H1952" i="2"/>
  <c r="H1953" i="2"/>
  <c r="H1954" i="2"/>
  <c r="H1955" i="2"/>
  <c r="H1956" i="2"/>
  <c r="H1957" i="2"/>
  <c r="H1958" i="2"/>
  <c r="H1959" i="2"/>
  <c r="H1960" i="2"/>
  <c r="H1961" i="2"/>
  <c r="H1962" i="2"/>
  <c r="H1963" i="2"/>
  <c r="H1964" i="2"/>
  <c r="H1965" i="2"/>
  <c r="H1966" i="2"/>
  <c r="H1967" i="2"/>
  <c r="H1968" i="2"/>
  <c r="H1969" i="2"/>
  <c r="H1970" i="2"/>
  <c r="H1971" i="2"/>
  <c r="H1972" i="2"/>
  <c r="H1973" i="2"/>
  <c r="H1974" i="2"/>
  <c r="H1975" i="2"/>
  <c r="H1976" i="2"/>
  <c r="H1977" i="2"/>
  <c r="H1978" i="2"/>
  <c r="H1979" i="2"/>
  <c r="H1980" i="2"/>
  <c r="H1981" i="2"/>
  <c r="H1982" i="2"/>
  <c r="H1983" i="2"/>
  <c r="H1984" i="2"/>
  <c r="H1985" i="2"/>
  <c r="H1986" i="2"/>
  <c r="H1987" i="2"/>
  <c r="H1988" i="2"/>
  <c r="H1989" i="2"/>
  <c r="H1990" i="2"/>
  <c r="H1991" i="2"/>
  <c r="H1992" i="2"/>
  <c r="H1993" i="2"/>
  <c r="H1994" i="2"/>
  <c r="H1995" i="2"/>
  <c r="H1996" i="2"/>
  <c r="H1997" i="2"/>
  <c r="H1998" i="2"/>
  <c r="H1999" i="2"/>
  <c r="H2000" i="2"/>
  <c r="H2001" i="2"/>
  <c r="H2002" i="2"/>
  <c r="H2003" i="2"/>
  <c r="H2004" i="2"/>
  <c r="H2005" i="2"/>
  <c r="H2006" i="2"/>
  <c r="H2007" i="2"/>
  <c r="H2008" i="2"/>
  <c r="H2009" i="2"/>
  <c r="H2010" i="2"/>
  <c r="H2011" i="2"/>
  <c r="H2012" i="2"/>
  <c r="H2013" i="2"/>
  <c r="H2014" i="2"/>
  <c r="H2015" i="2"/>
  <c r="H2016" i="2"/>
  <c r="H2017" i="2"/>
  <c r="H2018" i="2"/>
  <c r="H2019" i="2"/>
  <c r="H2020" i="2"/>
  <c r="H2021" i="2"/>
  <c r="H2022" i="2"/>
  <c r="H2023" i="2"/>
  <c r="P11" i="2"/>
  <c r="V11" i="2"/>
  <c r="H21" i="2"/>
  <c r="L1820" i="2"/>
  <c r="M1820" i="2"/>
  <c r="L1821" i="2"/>
  <c r="M1821" i="2"/>
  <c r="L1822" i="2"/>
  <c r="M1822" i="2"/>
  <c r="L1823" i="2"/>
  <c r="M1823" i="2"/>
  <c r="L1824" i="2"/>
  <c r="M1824" i="2"/>
  <c r="L1825" i="2"/>
  <c r="M1825" i="2"/>
  <c r="L1826" i="2"/>
  <c r="M1826" i="2"/>
  <c r="L1827" i="2"/>
  <c r="M1827" i="2"/>
  <c r="L1828" i="2"/>
  <c r="M1828" i="2"/>
  <c r="L1829" i="2"/>
  <c r="M1829" i="2"/>
  <c r="L1830" i="2"/>
  <c r="M1830" i="2"/>
  <c r="L1831" i="2"/>
  <c r="M1831" i="2"/>
  <c r="L1832" i="2"/>
  <c r="M1832" i="2"/>
  <c r="L1833" i="2"/>
  <c r="M1833" i="2"/>
  <c r="L1834" i="2"/>
  <c r="M1834" i="2"/>
  <c r="L1835" i="2"/>
  <c r="M1835" i="2"/>
  <c r="L1836" i="2"/>
  <c r="M1836" i="2"/>
  <c r="L1837" i="2"/>
  <c r="M1837" i="2"/>
  <c r="L1838" i="2"/>
  <c r="M1838" i="2"/>
  <c r="L1839" i="2"/>
  <c r="M1839" i="2"/>
  <c r="L1840" i="2"/>
  <c r="M1840" i="2"/>
  <c r="L1841" i="2"/>
  <c r="M1841" i="2"/>
  <c r="L1842" i="2"/>
  <c r="M1842" i="2"/>
  <c r="L1843" i="2"/>
  <c r="M1843" i="2"/>
  <c r="L1844" i="2"/>
  <c r="M1844" i="2"/>
  <c r="L1845" i="2"/>
  <c r="M1845" i="2"/>
  <c r="L1846" i="2"/>
  <c r="M1846" i="2"/>
  <c r="L1847" i="2"/>
  <c r="M1847" i="2"/>
  <c r="L1848" i="2"/>
  <c r="M1848" i="2"/>
  <c r="L1849" i="2"/>
  <c r="M1849" i="2"/>
  <c r="L1850" i="2"/>
  <c r="M1850" i="2"/>
  <c r="L1851" i="2"/>
  <c r="M1851" i="2"/>
  <c r="L1852" i="2"/>
  <c r="M1852" i="2"/>
  <c r="L1853" i="2"/>
  <c r="M1853" i="2"/>
  <c r="L1854" i="2"/>
  <c r="M1854" i="2"/>
  <c r="L1855" i="2"/>
  <c r="M1855" i="2"/>
  <c r="L1856" i="2"/>
  <c r="M1856" i="2"/>
  <c r="L1857" i="2"/>
  <c r="M1857" i="2"/>
  <c r="L1858" i="2"/>
  <c r="M1858" i="2"/>
  <c r="L1859" i="2"/>
  <c r="M1859" i="2"/>
  <c r="L1860" i="2"/>
  <c r="M1860" i="2"/>
  <c r="L1861" i="2"/>
  <c r="M1861" i="2"/>
  <c r="L1862" i="2"/>
  <c r="M1862" i="2"/>
  <c r="L1863" i="2"/>
  <c r="M1863" i="2"/>
  <c r="L1864" i="2"/>
  <c r="M1864" i="2"/>
  <c r="L1865" i="2"/>
  <c r="M1865" i="2"/>
  <c r="L1866" i="2"/>
  <c r="M1866" i="2"/>
  <c r="L1867" i="2"/>
  <c r="M1867" i="2"/>
  <c r="L1868" i="2"/>
  <c r="M1868" i="2"/>
  <c r="L1869" i="2"/>
  <c r="M1869" i="2"/>
  <c r="L1870" i="2"/>
  <c r="M1870" i="2"/>
  <c r="L1871" i="2"/>
  <c r="M1871" i="2"/>
  <c r="L1872" i="2"/>
  <c r="M1872" i="2"/>
  <c r="L1873" i="2"/>
  <c r="M1873" i="2"/>
  <c r="L1874" i="2"/>
  <c r="M1874" i="2"/>
  <c r="L1875" i="2"/>
  <c r="M1875" i="2"/>
  <c r="L1876" i="2"/>
  <c r="M1876" i="2"/>
  <c r="L1877" i="2"/>
  <c r="M1877" i="2"/>
  <c r="L1878" i="2"/>
  <c r="M1878" i="2"/>
  <c r="L1879" i="2"/>
  <c r="M1879" i="2"/>
  <c r="L1880" i="2"/>
  <c r="M1880" i="2"/>
  <c r="L1881" i="2"/>
  <c r="M1881" i="2"/>
  <c r="L1882" i="2"/>
  <c r="M1882" i="2"/>
  <c r="L1883" i="2"/>
  <c r="M1883" i="2"/>
  <c r="L1884" i="2"/>
  <c r="M1884" i="2"/>
  <c r="L1885" i="2"/>
  <c r="M1885" i="2"/>
  <c r="L1886" i="2"/>
  <c r="M1886" i="2"/>
  <c r="L1887" i="2"/>
  <c r="M1887" i="2"/>
  <c r="L1888" i="2"/>
  <c r="M1888" i="2"/>
  <c r="L1889" i="2"/>
  <c r="M1889" i="2"/>
  <c r="L1890" i="2"/>
  <c r="M1890" i="2"/>
  <c r="L1891" i="2"/>
  <c r="M1891" i="2"/>
  <c r="L1892" i="2"/>
  <c r="M1892" i="2"/>
  <c r="L1893" i="2"/>
  <c r="M1893" i="2"/>
  <c r="L1894" i="2"/>
  <c r="M1894" i="2"/>
  <c r="L1895" i="2"/>
  <c r="M1895" i="2"/>
  <c r="L1896" i="2"/>
  <c r="M1896" i="2"/>
  <c r="L1897" i="2"/>
  <c r="M1897" i="2"/>
  <c r="L1898" i="2"/>
  <c r="M1898" i="2"/>
  <c r="L1899" i="2"/>
  <c r="M1899" i="2"/>
  <c r="L1900" i="2"/>
  <c r="M1900" i="2"/>
  <c r="L1901" i="2"/>
  <c r="M1901" i="2"/>
  <c r="L1902" i="2"/>
  <c r="M1902" i="2"/>
  <c r="L1903" i="2"/>
  <c r="M1903" i="2"/>
  <c r="L1904" i="2"/>
  <c r="M1904" i="2"/>
  <c r="L1905" i="2"/>
  <c r="M1905" i="2"/>
  <c r="L1906" i="2"/>
  <c r="M1906" i="2"/>
  <c r="L1907" i="2"/>
  <c r="M1907" i="2"/>
  <c r="L1908" i="2"/>
  <c r="M1908" i="2"/>
  <c r="L1909" i="2"/>
  <c r="M1909" i="2"/>
  <c r="L1910" i="2"/>
  <c r="M1910" i="2"/>
  <c r="L1911" i="2"/>
  <c r="M1911" i="2"/>
  <c r="L1912" i="2"/>
  <c r="M1912" i="2"/>
  <c r="L1913" i="2"/>
  <c r="M1913" i="2"/>
  <c r="L1914" i="2"/>
  <c r="M1914" i="2"/>
  <c r="L1915" i="2"/>
  <c r="M1915" i="2"/>
  <c r="L1916" i="2"/>
  <c r="M1916" i="2"/>
  <c r="L1917" i="2"/>
  <c r="M1917" i="2"/>
  <c r="L1918" i="2"/>
  <c r="M1918" i="2"/>
  <c r="L1919" i="2"/>
  <c r="M1919" i="2"/>
  <c r="L1920" i="2"/>
  <c r="M1920" i="2"/>
  <c r="L1921" i="2"/>
  <c r="M1921" i="2"/>
  <c r="L1922" i="2"/>
  <c r="M1922" i="2"/>
  <c r="L1923" i="2"/>
  <c r="M1923" i="2"/>
  <c r="L1924" i="2"/>
  <c r="M1924" i="2"/>
  <c r="L1925" i="2"/>
  <c r="M1925" i="2"/>
  <c r="L1926" i="2"/>
  <c r="M1926" i="2"/>
  <c r="L1927" i="2"/>
  <c r="M1927" i="2"/>
  <c r="L1928" i="2"/>
  <c r="M1928" i="2"/>
  <c r="L1929" i="2"/>
  <c r="M1929" i="2"/>
  <c r="L1930" i="2"/>
  <c r="M1930" i="2"/>
  <c r="L1931" i="2"/>
  <c r="M1931" i="2"/>
  <c r="L1932" i="2"/>
  <c r="M1932" i="2"/>
  <c r="L1933" i="2"/>
  <c r="M1933" i="2"/>
  <c r="L1934" i="2"/>
  <c r="M1934" i="2"/>
  <c r="L1935" i="2"/>
  <c r="M1935" i="2"/>
  <c r="L1936" i="2"/>
  <c r="M1936" i="2"/>
  <c r="L1937" i="2"/>
  <c r="M1937" i="2"/>
  <c r="L1938" i="2"/>
  <c r="M1938" i="2"/>
  <c r="L1939" i="2"/>
  <c r="M1939" i="2"/>
  <c r="L1940" i="2"/>
  <c r="M1940" i="2"/>
  <c r="L1941" i="2"/>
  <c r="M1941" i="2"/>
  <c r="L1942" i="2"/>
  <c r="M1942" i="2"/>
  <c r="L1943" i="2"/>
  <c r="M1943" i="2"/>
  <c r="L1944" i="2"/>
  <c r="M1944" i="2"/>
  <c r="L1945" i="2"/>
  <c r="M1945" i="2"/>
  <c r="L1946" i="2"/>
  <c r="M1946" i="2"/>
  <c r="L1947" i="2"/>
  <c r="M1947" i="2"/>
  <c r="L1948" i="2"/>
  <c r="M1948" i="2"/>
  <c r="L1949" i="2"/>
  <c r="M1949" i="2"/>
  <c r="L1950" i="2"/>
  <c r="M1950" i="2"/>
  <c r="L1951" i="2"/>
  <c r="M1951" i="2"/>
  <c r="L1952" i="2"/>
  <c r="M1952" i="2"/>
  <c r="L1953" i="2"/>
  <c r="M1953" i="2"/>
  <c r="L1954" i="2"/>
  <c r="M1954" i="2"/>
  <c r="L1955" i="2"/>
  <c r="M1955" i="2"/>
  <c r="L1956" i="2"/>
  <c r="M1956" i="2"/>
  <c r="L1957" i="2"/>
  <c r="M1957" i="2"/>
  <c r="L1958" i="2"/>
  <c r="M1958" i="2"/>
  <c r="L1959" i="2"/>
  <c r="M1959" i="2"/>
  <c r="L1960" i="2"/>
  <c r="M1960" i="2"/>
  <c r="L1961" i="2"/>
  <c r="M1961" i="2"/>
  <c r="L1962" i="2"/>
  <c r="M1962" i="2"/>
  <c r="L1963" i="2"/>
  <c r="M1963" i="2"/>
  <c r="L1964" i="2"/>
  <c r="M1964" i="2"/>
  <c r="L1965" i="2"/>
  <c r="M1965" i="2"/>
  <c r="L1966" i="2"/>
  <c r="M1966" i="2"/>
  <c r="L1967" i="2"/>
  <c r="M1967" i="2"/>
  <c r="L1968" i="2"/>
  <c r="M1968" i="2"/>
  <c r="L1969" i="2"/>
  <c r="M1969" i="2"/>
  <c r="L1970" i="2"/>
  <c r="M1970" i="2"/>
  <c r="L1971" i="2"/>
  <c r="M1971" i="2"/>
  <c r="L1972" i="2"/>
  <c r="M1972" i="2"/>
  <c r="L1973" i="2"/>
  <c r="M1973" i="2"/>
  <c r="L1974" i="2"/>
  <c r="M1974" i="2"/>
  <c r="L1975" i="2"/>
  <c r="M1975" i="2"/>
  <c r="L1976" i="2"/>
  <c r="M1976" i="2"/>
  <c r="L1977" i="2"/>
  <c r="M1977" i="2"/>
  <c r="L1978" i="2"/>
  <c r="M1978" i="2"/>
  <c r="L1979" i="2"/>
  <c r="M1979" i="2"/>
  <c r="L1980" i="2"/>
  <c r="M1980" i="2"/>
  <c r="L1981" i="2"/>
  <c r="M1981" i="2"/>
  <c r="L1982" i="2"/>
  <c r="M1982" i="2"/>
  <c r="L1983" i="2"/>
  <c r="M1983" i="2"/>
  <c r="L1984" i="2"/>
  <c r="M1984" i="2"/>
  <c r="L1985" i="2"/>
  <c r="M1985" i="2"/>
  <c r="L1986" i="2"/>
  <c r="M1986" i="2"/>
  <c r="L1987" i="2"/>
  <c r="M1987" i="2"/>
  <c r="L1988" i="2"/>
  <c r="M1988" i="2"/>
  <c r="L1989" i="2"/>
  <c r="M1989" i="2"/>
  <c r="L1990" i="2"/>
  <c r="M1990" i="2"/>
  <c r="L1991" i="2"/>
  <c r="M1991" i="2"/>
  <c r="L1992" i="2"/>
  <c r="M1992" i="2"/>
  <c r="L1993" i="2"/>
  <c r="M1993" i="2"/>
  <c r="L1994" i="2"/>
  <c r="M1994" i="2"/>
  <c r="L1995" i="2"/>
  <c r="M1995" i="2"/>
  <c r="L1996" i="2"/>
  <c r="M1996" i="2"/>
  <c r="L1997" i="2"/>
  <c r="M1997" i="2"/>
  <c r="L1998" i="2"/>
  <c r="M1998" i="2"/>
  <c r="L1999" i="2"/>
  <c r="M1999" i="2"/>
  <c r="L2000" i="2"/>
  <c r="M2000" i="2"/>
  <c r="L2001" i="2"/>
  <c r="M2001" i="2"/>
  <c r="L2002" i="2"/>
  <c r="M2002" i="2"/>
  <c r="L2003" i="2"/>
  <c r="M2003" i="2"/>
  <c r="L2004" i="2"/>
  <c r="M2004" i="2"/>
  <c r="L2005" i="2"/>
  <c r="M2005" i="2"/>
  <c r="L2006" i="2"/>
  <c r="M2006" i="2"/>
  <c r="L2007" i="2"/>
  <c r="M2007" i="2"/>
  <c r="L2008" i="2"/>
  <c r="M2008" i="2"/>
  <c r="L2009" i="2"/>
  <c r="M2009" i="2"/>
  <c r="L2010" i="2"/>
  <c r="M2010" i="2"/>
  <c r="L2011" i="2"/>
  <c r="M2011" i="2"/>
  <c r="L2012" i="2"/>
  <c r="M2012" i="2"/>
  <c r="L2013" i="2"/>
  <c r="M2013" i="2"/>
  <c r="L2014" i="2"/>
  <c r="M2014" i="2"/>
  <c r="L2015" i="2"/>
  <c r="M2015" i="2"/>
  <c r="L2016" i="2"/>
  <c r="M2016" i="2"/>
  <c r="L2017" i="2"/>
  <c r="M2017" i="2"/>
  <c r="L2018" i="2"/>
  <c r="M2018" i="2"/>
  <c r="L2019" i="2"/>
  <c r="M2019" i="2"/>
  <c r="L2020" i="2"/>
  <c r="M2020" i="2"/>
  <c r="L2021" i="2"/>
  <c r="M2021" i="2"/>
  <c r="L2022" i="2"/>
  <c r="M2022" i="2"/>
  <c r="L2023" i="2"/>
  <c r="M2023" i="2"/>
  <c r="L324" i="2"/>
  <c r="M324" i="2"/>
  <c r="L325" i="2"/>
  <c r="M325" i="2"/>
  <c r="L326" i="2"/>
  <c r="M326" i="2"/>
  <c r="L327" i="2"/>
  <c r="M327" i="2"/>
  <c r="L328" i="2"/>
  <c r="M328" i="2"/>
  <c r="L329" i="2"/>
  <c r="M329" i="2"/>
  <c r="L330" i="2"/>
  <c r="M330" i="2"/>
  <c r="L331" i="2"/>
  <c r="M331" i="2"/>
  <c r="L332" i="2"/>
  <c r="M332" i="2"/>
  <c r="L333" i="2"/>
  <c r="M333" i="2"/>
  <c r="L334" i="2"/>
  <c r="M334" i="2"/>
  <c r="L335" i="2"/>
  <c r="M335" i="2"/>
  <c r="L336" i="2"/>
  <c r="M336" i="2"/>
  <c r="L337" i="2"/>
  <c r="M337" i="2"/>
  <c r="L338" i="2"/>
  <c r="M338" i="2"/>
  <c r="L339" i="2"/>
  <c r="M339" i="2"/>
  <c r="L340" i="2"/>
  <c r="M340" i="2"/>
  <c r="L341" i="2"/>
  <c r="M341" i="2"/>
  <c r="L342" i="2"/>
  <c r="M342" i="2"/>
  <c r="L343" i="2"/>
  <c r="M343" i="2"/>
  <c r="L344" i="2"/>
  <c r="M344" i="2"/>
  <c r="L345" i="2"/>
  <c r="M345" i="2"/>
  <c r="L346" i="2"/>
  <c r="M346" i="2"/>
  <c r="L347" i="2"/>
  <c r="M347" i="2"/>
  <c r="L348" i="2"/>
  <c r="M348" i="2"/>
  <c r="L349" i="2"/>
  <c r="M349" i="2"/>
  <c r="L350" i="2"/>
  <c r="M350" i="2"/>
  <c r="L351" i="2"/>
  <c r="M351" i="2"/>
  <c r="L352" i="2"/>
  <c r="M352" i="2"/>
  <c r="L353" i="2"/>
  <c r="M353" i="2"/>
  <c r="L354" i="2"/>
  <c r="M354" i="2"/>
  <c r="L355" i="2"/>
  <c r="M355" i="2"/>
  <c r="L356" i="2"/>
  <c r="M356" i="2"/>
  <c r="L357" i="2"/>
  <c r="M357" i="2"/>
  <c r="L358" i="2"/>
  <c r="M358" i="2"/>
  <c r="L359" i="2"/>
  <c r="M359" i="2"/>
  <c r="L360" i="2"/>
  <c r="M360" i="2"/>
  <c r="L361" i="2"/>
  <c r="M361" i="2"/>
  <c r="L362" i="2"/>
  <c r="M362" i="2"/>
  <c r="L363" i="2"/>
  <c r="M363" i="2"/>
  <c r="L364" i="2"/>
  <c r="M364" i="2"/>
  <c r="L365" i="2"/>
  <c r="M365" i="2"/>
  <c r="L366" i="2"/>
  <c r="M366" i="2"/>
  <c r="L367" i="2"/>
  <c r="M367" i="2"/>
  <c r="L368" i="2"/>
  <c r="M368" i="2"/>
  <c r="L369" i="2"/>
  <c r="M369" i="2"/>
  <c r="L370" i="2"/>
  <c r="M370" i="2"/>
  <c r="L371" i="2"/>
  <c r="M371" i="2"/>
  <c r="L372" i="2"/>
  <c r="M372" i="2"/>
  <c r="L373" i="2"/>
  <c r="M373" i="2"/>
  <c r="L374" i="2"/>
  <c r="M374" i="2"/>
  <c r="L375" i="2"/>
  <c r="M375" i="2"/>
  <c r="L376" i="2"/>
  <c r="M376" i="2"/>
  <c r="L377" i="2"/>
  <c r="M377" i="2"/>
  <c r="L378" i="2"/>
  <c r="M378" i="2"/>
  <c r="L379" i="2"/>
  <c r="M379" i="2"/>
  <c r="L380" i="2"/>
  <c r="M380" i="2"/>
  <c r="L381" i="2"/>
  <c r="M381" i="2"/>
  <c r="L382" i="2"/>
  <c r="M382" i="2"/>
  <c r="L383" i="2"/>
  <c r="M383" i="2"/>
  <c r="L384" i="2"/>
  <c r="M384" i="2"/>
  <c r="L385" i="2"/>
  <c r="M385" i="2"/>
  <c r="L386" i="2"/>
  <c r="M386" i="2"/>
  <c r="L387" i="2"/>
  <c r="M387" i="2"/>
  <c r="L388" i="2"/>
  <c r="M388" i="2"/>
  <c r="L389" i="2"/>
  <c r="M389" i="2"/>
  <c r="L390" i="2"/>
  <c r="M390" i="2"/>
  <c r="L391" i="2"/>
  <c r="M391" i="2"/>
  <c r="L392" i="2"/>
  <c r="M392" i="2"/>
  <c r="L393" i="2"/>
  <c r="M393" i="2"/>
  <c r="L394" i="2"/>
  <c r="M394" i="2"/>
  <c r="L395" i="2"/>
  <c r="M395" i="2"/>
  <c r="L396" i="2"/>
  <c r="M396" i="2"/>
  <c r="L397" i="2"/>
  <c r="M397" i="2"/>
  <c r="L398" i="2"/>
  <c r="M398" i="2"/>
  <c r="L399" i="2"/>
  <c r="M399" i="2"/>
  <c r="L400" i="2"/>
  <c r="M400" i="2"/>
  <c r="L401" i="2"/>
  <c r="M401" i="2"/>
  <c r="L402" i="2"/>
  <c r="M402" i="2"/>
  <c r="L403" i="2"/>
  <c r="M403" i="2"/>
  <c r="L404" i="2"/>
  <c r="M404" i="2"/>
  <c r="L405" i="2"/>
  <c r="M405" i="2"/>
  <c r="L406" i="2"/>
  <c r="M406" i="2"/>
  <c r="L407" i="2"/>
  <c r="M407" i="2"/>
  <c r="L408" i="2"/>
  <c r="M408" i="2"/>
  <c r="L409" i="2"/>
  <c r="M409" i="2"/>
  <c r="L410" i="2"/>
  <c r="M410" i="2"/>
  <c r="L411" i="2"/>
  <c r="M411" i="2"/>
  <c r="L412" i="2"/>
  <c r="M412" i="2"/>
  <c r="L413" i="2"/>
  <c r="M413" i="2"/>
  <c r="L414" i="2"/>
  <c r="M414" i="2"/>
  <c r="L415" i="2"/>
  <c r="M415" i="2"/>
  <c r="L416" i="2"/>
  <c r="M416" i="2"/>
  <c r="L417" i="2"/>
  <c r="M417" i="2"/>
  <c r="L418" i="2"/>
  <c r="M418" i="2"/>
  <c r="L419" i="2"/>
  <c r="M419" i="2"/>
  <c r="L420" i="2"/>
  <c r="M420" i="2"/>
  <c r="L421" i="2"/>
  <c r="M421" i="2"/>
  <c r="L422" i="2"/>
  <c r="M422" i="2"/>
  <c r="L423" i="2"/>
  <c r="M423" i="2"/>
  <c r="L424" i="2"/>
  <c r="M424" i="2"/>
  <c r="L425" i="2"/>
  <c r="M425" i="2"/>
  <c r="L426" i="2"/>
  <c r="M426" i="2"/>
  <c r="L427" i="2"/>
  <c r="M427" i="2"/>
  <c r="L428" i="2"/>
  <c r="M428" i="2"/>
  <c r="L429" i="2"/>
  <c r="M429" i="2"/>
  <c r="L430" i="2"/>
  <c r="M430" i="2"/>
  <c r="L431" i="2"/>
  <c r="M431" i="2"/>
  <c r="L432" i="2"/>
  <c r="M432" i="2"/>
  <c r="L433" i="2"/>
  <c r="M433" i="2"/>
  <c r="L434" i="2"/>
  <c r="M434" i="2"/>
  <c r="L435" i="2"/>
  <c r="M435" i="2"/>
  <c r="L436" i="2"/>
  <c r="M436" i="2"/>
  <c r="L437" i="2"/>
  <c r="M437" i="2"/>
  <c r="L438" i="2"/>
  <c r="M438" i="2"/>
  <c r="L439" i="2"/>
  <c r="M439" i="2"/>
  <c r="L440" i="2"/>
  <c r="M440" i="2"/>
  <c r="L441" i="2"/>
  <c r="M441" i="2"/>
  <c r="L442" i="2"/>
  <c r="M442" i="2"/>
  <c r="L443" i="2"/>
  <c r="M443" i="2"/>
  <c r="L444" i="2"/>
  <c r="M444" i="2"/>
  <c r="L445" i="2"/>
  <c r="M445" i="2"/>
  <c r="L446" i="2"/>
  <c r="M446" i="2"/>
  <c r="L447" i="2"/>
  <c r="M447" i="2"/>
  <c r="L448" i="2"/>
  <c r="M448" i="2"/>
  <c r="L449" i="2"/>
  <c r="M449" i="2"/>
  <c r="L450" i="2"/>
  <c r="M450" i="2"/>
  <c r="L451" i="2"/>
  <c r="M451" i="2"/>
  <c r="L452" i="2"/>
  <c r="M452" i="2"/>
  <c r="L453" i="2"/>
  <c r="M453" i="2"/>
  <c r="L454" i="2"/>
  <c r="M454" i="2"/>
  <c r="L455" i="2"/>
  <c r="M455" i="2"/>
  <c r="L456" i="2"/>
  <c r="M456" i="2"/>
  <c r="L457" i="2"/>
  <c r="M457" i="2"/>
  <c r="L458" i="2"/>
  <c r="M458" i="2"/>
  <c r="L459" i="2"/>
  <c r="M459" i="2"/>
  <c r="L460" i="2"/>
  <c r="M460" i="2"/>
  <c r="L461" i="2"/>
  <c r="M461" i="2"/>
  <c r="L462" i="2"/>
  <c r="M462" i="2"/>
  <c r="L463" i="2"/>
  <c r="M463" i="2"/>
  <c r="L464" i="2"/>
  <c r="M464" i="2"/>
  <c r="L465" i="2"/>
  <c r="M465" i="2"/>
  <c r="L466" i="2"/>
  <c r="M466" i="2"/>
  <c r="L467" i="2"/>
  <c r="M467" i="2"/>
  <c r="L468" i="2"/>
  <c r="M468" i="2"/>
  <c r="L469" i="2"/>
  <c r="M469" i="2"/>
  <c r="L470" i="2"/>
  <c r="M470" i="2"/>
  <c r="L471" i="2"/>
  <c r="M471" i="2"/>
  <c r="L472" i="2"/>
  <c r="M472" i="2"/>
  <c r="L473" i="2"/>
  <c r="M473" i="2"/>
  <c r="L474" i="2"/>
  <c r="M474" i="2"/>
  <c r="L475" i="2"/>
  <c r="M475" i="2"/>
  <c r="L476" i="2"/>
  <c r="M476" i="2"/>
  <c r="L477" i="2"/>
  <c r="M477" i="2"/>
  <c r="L478" i="2"/>
  <c r="M478" i="2"/>
  <c r="L479" i="2"/>
  <c r="M479" i="2"/>
  <c r="L480" i="2"/>
  <c r="M480" i="2"/>
  <c r="L481" i="2"/>
  <c r="M481" i="2"/>
  <c r="L482" i="2"/>
  <c r="M482" i="2"/>
  <c r="L483" i="2"/>
  <c r="M483" i="2"/>
  <c r="L484" i="2"/>
  <c r="M484" i="2"/>
  <c r="L485" i="2"/>
  <c r="M485" i="2"/>
  <c r="L486" i="2"/>
  <c r="M486" i="2"/>
  <c r="L487" i="2"/>
  <c r="M487" i="2"/>
  <c r="L488" i="2"/>
  <c r="M488" i="2"/>
  <c r="L489" i="2"/>
  <c r="M489" i="2"/>
  <c r="L490" i="2"/>
  <c r="M490" i="2"/>
  <c r="L491" i="2"/>
  <c r="M491" i="2"/>
  <c r="L492" i="2"/>
  <c r="M492" i="2"/>
  <c r="L493" i="2"/>
  <c r="M493" i="2"/>
  <c r="L494" i="2"/>
  <c r="M494" i="2"/>
  <c r="L495" i="2"/>
  <c r="M495" i="2"/>
  <c r="L496" i="2"/>
  <c r="M496" i="2"/>
  <c r="L497" i="2"/>
  <c r="M497" i="2"/>
  <c r="L498" i="2"/>
  <c r="M498" i="2"/>
  <c r="L499" i="2"/>
  <c r="M499" i="2"/>
  <c r="L500" i="2"/>
  <c r="M500" i="2"/>
  <c r="L501" i="2"/>
  <c r="M501" i="2"/>
  <c r="L502" i="2"/>
  <c r="M502" i="2"/>
  <c r="L503" i="2"/>
  <c r="M503" i="2"/>
  <c r="L504" i="2"/>
  <c r="M504" i="2"/>
  <c r="L505" i="2"/>
  <c r="M505" i="2"/>
  <c r="L506" i="2"/>
  <c r="M506" i="2"/>
  <c r="L507" i="2"/>
  <c r="M507" i="2"/>
  <c r="L508" i="2"/>
  <c r="M508" i="2"/>
  <c r="L509" i="2"/>
  <c r="M509" i="2"/>
  <c r="L510" i="2"/>
  <c r="M510" i="2"/>
  <c r="L511" i="2"/>
  <c r="M511" i="2"/>
  <c r="L512" i="2"/>
  <c r="M512" i="2"/>
  <c r="L513" i="2"/>
  <c r="M513" i="2"/>
  <c r="L514" i="2"/>
  <c r="M514" i="2"/>
  <c r="L515" i="2"/>
  <c r="M515" i="2"/>
  <c r="L516" i="2"/>
  <c r="M516" i="2"/>
  <c r="L517" i="2"/>
  <c r="M517" i="2"/>
  <c r="L518" i="2"/>
  <c r="M518" i="2"/>
  <c r="L519" i="2"/>
  <c r="M519" i="2"/>
  <c r="L520" i="2"/>
  <c r="M520" i="2"/>
  <c r="L521" i="2"/>
  <c r="M521" i="2"/>
  <c r="L522" i="2"/>
  <c r="M522" i="2"/>
  <c r="L523" i="2"/>
  <c r="M523" i="2"/>
  <c r="L524" i="2"/>
  <c r="M524" i="2"/>
  <c r="L525" i="2"/>
  <c r="M525" i="2"/>
  <c r="L526" i="2"/>
  <c r="M526" i="2"/>
  <c r="L527" i="2"/>
  <c r="M527" i="2"/>
  <c r="L528" i="2"/>
  <c r="M528" i="2"/>
  <c r="L529" i="2"/>
  <c r="M529" i="2"/>
  <c r="L530" i="2"/>
  <c r="M530" i="2"/>
  <c r="L531" i="2"/>
  <c r="M531" i="2"/>
  <c r="L532" i="2"/>
  <c r="M532" i="2"/>
  <c r="L533" i="2"/>
  <c r="M533" i="2"/>
  <c r="L534" i="2"/>
  <c r="M534" i="2"/>
  <c r="L535" i="2"/>
  <c r="M535" i="2"/>
  <c r="L536" i="2"/>
  <c r="M536" i="2"/>
  <c r="L537" i="2"/>
  <c r="M537" i="2"/>
  <c r="L538" i="2"/>
  <c r="M538" i="2"/>
  <c r="L539" i="2"/>
  <c r="M539" i="2"/>
  <c r="L540" i="2"/>
  <c r="M540" i="2"/>
  <c r="L541" i="2"/>
  <c r="M541" i="2"/>
  <c r="L542" i="2"/>
  <c r="M542" i="2"/>
  <c r="L543" i="2"/>
  <c r="M543" i="2"/>
  <c r="L544" i="2"/>
  <c r="M544" i="2"/>
  <c r="L545" i="2"/>
  <c r="M545" i="2"/>
  <c r="L546" i="2"/>
  <c r="M546" i="2"/>
  <c r="L547" i="2"/>
  <c r="M547" i="2"/>
  <c r="L548" i="2"/>
  <c r="M548" i="2"/>
  <c r="L549" i="2"/>
  <c r="M549" i="2"/>
  <c r="L550" i="2"/>
  <c r="M550" i="2"/>
  <c r="L551" i="2"/>
  <c r="M551" i="2"/>
  <c r="L552" i="2"/>
  <c r="M552" i="2"/>
  <c r="L553" i="2"/>
  <c r="M553" i="2"/>
  <c r="L554" i="2"/>
  <c r="M554" i="2"/>
  <c r="L555" i="2"/>
  <c r="M555" i="2"/>
  <c r="L556" i="2"/>
  <c r="M556" i="2"/>
  <c r="L557" i="2"/>
  <c r="M557" i="2"/>
  <c r="L558" i="2"/>
  <c r="M558" i="2"/>
  <c r="L559" i="2"/>
  <c r="M559" i="2"/>
  <c r="L560" i="2"/>
  <c r="M560" i="2"/>
  <c r="L561" i="2"/>
  <c r="M561" i="2"/>
  <c r="L562" i="2"/>
  <c r="M562" i="2"/>
  <c r="L563" i="2"/>
  <c r="M563" i="2"/>
  <c r="L564" i="2"/>
  <c r="M564" i="2"/>
  <c r="L565" i="2"/>
  <c r="M565" i="2"/>
  <c r="L566" i="2"/>
  <c r="M566" i="2"/>
  <c r="L567" i="2"/>
  <c r="M567" i="2"/>
  <c r="L568" i="2"/>
  <c r="M568" i="2"/>
  <c r="L569" i="2"/>
  <c r="M569" i="2"/>
  <c r="L570" i="2"/>
  <c r="M570" i="2"/>
  <c r="L571" i="2"/>
  <c r="M571" i="2"/>
  <c r="L572" i="2"/>
  <c r="M572" i="2"/>
  <c r="L573" i="2"/>
  <c r="M573" i="2"/>
  <c r="L574" i="2"/>
  <c r="M574" i="2"/>
  <c r="L575" i="2"/>
  <c r="M575" i="2"/>
  <c r="L576" i="2"/>
  <c r="M576" i="2"/>
  <c r="L577" i="2"/>
  <c r="M577" i="2"/>
  <c r="L578" i="2"/>
  <c r="M578" i="2"/>
  <c r="L579" i="2"/>
  <c r="M579" i="2"/>
  <c r="L580" i="2"/>
  <c r="M580" i="2"/>
  <c r="L581" i="2"/>
  <c r="M581" i="2"/>
  <c r="L582" i="2"/>
  <c r="M582" i="2"/>
  <c r="L583" i="2"/>
  <c r="M583" i="2"/>
  <c r="L584" i="2"/>
  <c r="M584" i="2"/>
  <c r="L585" i="2"/>
  <c r="M585" i="2"/>
  <c r="L586" i="2"/>
  <c r="M586" i="2"/>
  <c r="L587" i="2"/>
  <c r="M587" i="2"/>
  <c r="L588" i="2"/>
  <c r="M588" i="2"/>
  <c r="L589" i="2"/>
  <c r="M589" i="2"/>
  <c r="L590" i="2"/>
  <c r="M590" i="2"/>
  <c r="L591" i="2"/>
  <c r="M591" i="2"/>
  <c r="L592" i="2"/>
  <c r="M592" i="2"/>
  <c r="L593" i="2"/>
  <c r="M593" i="2"/>
  <c r="L594" i="2"/>
  <c r="M594" i="2"/>
  <c r="L595" i="2"/>
  <c r="M595" i="2"/>
  <c r="L596" i="2"/>
  <c r="M596" i="2"/>
  <c r="L597" i="2"/>
  <c r="M597" i="2"/>
  <c r="L598" i="2"/>
  <c r="M598" i="2"/>
  <c r="L599" i="2"/>
  <c r="M599" i="2"/>
  <c r="L600" i="2"/>
  <c r="M600" i="2"/>
  <c r="L601" i="2"/>
  <c r="M601" i="2"/>
  <c r="L602" i="2"/>
  <c r="M602" i="2"/>
  <c r="L603" i="2"/>
  <c r="M603" i="2"/>
  <c r="L604" i="2"/>
  <c r="M604" i="2"/>
  <c r="L605" i="2"/>
  <c r="M605" i="2"/>
  <c r="L606" i="2"/>
  <c r="M606" i="2"/>
  <c r="L607" i="2"/>
  <c r="M607" i="2"/>
  <c r="L608" i="2"/>
  <c r="M608" i="2"/>
  <c r="L609" i="2"/>
  <c r="M609" i="2"/>
  <c r="L610" i="2"/>
  <c r="M610" i="2"/>
  <c r="L611" i="2"/>
  <c r="M611" i="2"/>
  <c r="L612" i="2"/>
  <c r="M612" i="2"/>
  <c r="L613" i="2"/>
  <c r="M613" i="2"/>
  <c r="L614" i="2"/>
  <c r="M614" i="2"/>
  <c r="L615" i="2"/>
  <c r="M615" i="2"/>
  <c r="L616" i="2"/>
  <c r="M616" i="2"/>
  <c r="L617" i="2"/>
  <c r="M617" i="2"/>
  <c r="L618" i="2"/>
  <c r="M618" i="2"/>
  <c r="L619" i="2"/>
  <c r="M619" i="2"/>
  <c r="L620" i="2"/>
  <c r="M620" i="2"/>
  <c r="L621" i="2"/>
  <c r="M621" i="2"/>
  <c r="L622" i="2"/>
  <c r="M622" i="2"/>
  <c r="L623" i="2"/>
  <c r="M623" i="2"/>
  <c r="L624" i="2"/>
  <c r="M624" i="2"/>
  <c r="L625" i="2"/>
  <c r="M625" i="2"/>
  <c r="L626" i="2"/>
  <c r="M626" i="2"/>
  <c r="L627" i="2"/>
  <c r="M627" i="2"/>
  <c r="L628" i="2"/>
  <c r="M628" i="2"/>
  <c r="L629" i="2"/>
  <c r="M629" i="2"/>
  <c r="L630" i="2"/>
  <c r="M630" i="2"/>
  <c r="L631" i="2"/>
  <c r="M631" i="2"/>
  <c r="L632" i="2"/>
  <c r="M632" i="2"/>
  <c r="L633" i="2"/>
  <c r="M633" i="2"/>
  <c r="L634" i="2"/>
  <c r="M634" i="2"/>
  <c r="L635" i="2"/>
  <c r="M635" i="2"/>
  <c r="L636" i="2"/>
  <c r="M636" i="2"/>
  <c r="L637" i="2"/>
  <c r="M637" i="2"/>
  <c r="L638" i="2"/>
  <c r="M638" i="2"/>
  <c r="L639" i="2"/>
  <c r="M639" i="2"/>
  <c r="L640" i="2"/>
  <c r="M640" i="2"/>
  <c r="L641" i="2"/>
  <c r="M641" i="2"/>
  <c r="L642" i="2"/>
  <c r="M642" i="2"/>
  <c r="L643" i="2"/>
  <c r="M643" i="2"/>
  <c r="L644" i="2"/>
  <c r="M644" i="2"/>
  <c r="L645" i="2"/>
  <c r="M645" i="2"/>
  <c r="L646" i="2"/>
  <c r="M646" i="2"/>
  <c r="L647" i="2"/>
  <c r="M647" i="2"/>
  <c r="L648" i="2"/>
  <c r="M648" i="2"/>
  <c r="L649" i="2"/>
  <c r="M649" i="2"/>
  <c r="L650" i="2"/>
  <c r="M650" i="2"/>
  <c r="L651" i="2"/>
  <c r="M651" i="2"/>
  <c r="L652" i="2"/>
  <c r="M652" i="2"/>
  <c r="L653" i="2"/>
  <c r="M653" i="2"/>
  <c r="L654" i="2"/>
  <c r="M654" i="2"/>
  <c r="L655" i="2"/>
  <c r="M655" i="2"/>
  <c r="L656" i="2"/>
  <c r="M656" i="2"/>
  <c r="L657" i="2"/>
  <c r="M657" i="2"/>
  <c r="L658" i="2"/>
  <c r="M658" i="2"/>
  <c r="L659" i="2"/>
  <c r="M659" i="2"/>
  <c r="L660" i="2"/>
  <c r="M660" i="2"/>
  <c r="L661" i="2"/>
  <c r="M661" i="2"/>
  <c r="L662" i="2"/>
  <c r="M662" i="2"/>
  <c r="L663" i="2"/>
  <c r="M663" i="2"/>
  <c r="L664" i="2"/>
  <c r="M664" i="2"/>
  <c r="L665" i="2"/>
  <c r="M665" i="2"/>
  <c r="L666" i="2"/>
  <c r="M666" i="2"/>
  <c r="L667" i="2"/>
  <c r="M667" i="2"/>
  <c r="L668" i="2"/>
  <c r="M668" i="2"/>
  <c r="L669" i="2"/>
  <c r="M669" i="2"/>
  <c r="L670" i="2"/>
  <c r="M670" i="2"/>
  <c r="L671" i="2"/>
  <c r="M671" i="2"/>
  <c r="L672" i="2"/>
  <c r="M672" i="2"/>
  <c r="L673" i="2"/>
  <c r="M673" i="2"/>
  <c r="L674" i="2"/>
  <c r="M674" i="2"/>
  <c r="L675" i="2"/>
  <c r="M675" i="2"/>
  <c r="L676" i="2"/>
  <c r="M676" i="2"/>
  <c r="L677" i="2"/>
  <c r="M677" i="2"/>
  <c r="L678" i="2"/>
  <c r="M678" i="2"/>
  <c r="L679" i="2"/>
  <c r="M679" i="2"/>
  <c r="L680" i="2"/>
  <c r="M680" i="2"/>
  <c r="L681" i="2"/>
  <c r="M681" i="2"/>
  <c r="L682" i="2"/>
  <c r="M682" i="2"/>
  <c r="L683" i="2"/>
  <c r="M683" i="2"/>
  <c r="L684" i="2"/>
  <c r="M684" i="2"/>
  <c r="L685" i="2"/>
  <c r="M685" i="2"/>
  <c r="L686" i="2"/>
  <c r="M686" i="2"/>
  <c r="L687" i="2"/>
  <c r="M687" i="2"/>
  <c r="L688" i="2"/>
  <c r="M688" i="2"/>
  <c r="L689" i="2"/>
  <c r="M689" i="2"/>
  <c r="L690" i="2"/>
  <c r="M690" i="2"/>
  <c r="L691" i="2"/>
  <c r="M691" i="2"/>
  <c r="L692" i="2"/>
  <c r="M692" i="2"/>
  <c r="L693" i="2"/>
  <c r="M693" i="2"/>
  <c r="L694" i="2"/>
  <c r="M694" i="2"/>
  <c r="L695" i="2"/>
  <c r="M695" i="2"/>
  <c r="L696" i="2"/>
  <c r="M696" i="2"/>
  <c r="L697" i="2"/>
  <c r="M697" i="2"/>
  <c r="L698" i="2"/>
  <c r="M698" i="2"/>
  <c r="L699" i="2"/>
  <c r="M699" i="2"/>
  <c r="L700" i="2"/>
  <c r="M700" i="2"/>
  <c r="L701" i="2"/>
  <c r="M701" i="2"/>
  <c r="L702" i="2"/>
  <c r="M702" i="2"/>
  <c r="L703" i="2"/>
  <c r="M703" i="2"/>
  <c r="L704" i="2"/>
  <c r="M704" i="2"/>
  <c r="L705" i="2"/>
  <c r="M705" i="2"/>
  <c r="L706" i="2"/>
  <c r="M706" i="2"/>
  <c r="L707" i="2"/>
  <c r="M707" i="2"/>
  <c r="L708" i="2"/>
  <c r="M708" i="2"/>
  <c r="L709" i="2"/>
  <c r="M709" i="2"/>
  <c r="L710" i="2"/>
  <c r="M710" i="2"/>
  <c r="L711" i="2"/>
  <c r="M711" i="2"/>
  <c r="L712" i="2"/>
  <c r="M712" i="2"/>
  <c r="L713" i="2"/>
  <c r="M713" i="2"/>
  <c r="L714" i="2"/>
  <c r="M714" i="2"/>
  <c r="L715" i="2"/>
  <c r="M715" i="2"/>
  <c r="L716" i="2"/>
  <c r="M716" i="2"/>
  <c r="L717" i="2"/>
  <c r="M717" i="2"/>
  <c r="L718" i="2"/>
  <c r="M718" i="2"/>
  <c r="L719" i="2"/>
  <c r="M719" i="2"/>
  <c r="L720" i="2"/>
  <c r="M720" i="2"/>
  <c r="L721" i="2"/>
  <c r="M721" i="2"/>
  <c r="L722" i="2"/>
  <c r="M722" i="2"/>
  <c r="L723" i="2"/>
  <c r="M723" i="2"/>
  <c r="L724" i="2"/>
  <c r="M724" i="2"/>
  <c r="L725" i="2"/>
  <c r="M725" i="2"/>
  <c r="L726" i="2"/>
  <c r="M726" i="2"/>
  <c r="L727" i="2"/>
  <c r="M727" i="2"/>
  <c r="L728" i="2"/>
  <c r="M728" i="2"/>
  <c r="L729" i="2"/>
  <c r="M729" i="2"/>
  <c r="L730" i="2"/>
  <c r="M730" i="2"/>
  <c r="L731" i="2"/>
  <c r="M731" i="2"/>
  <c r="L732" i="2"/>
  <c r="M732" i="2"/>
  <c r="L733" i="2"/>
  <c r="M733" i="2"/>
  <c r="L734" i="2"/>
  <c r="M734" i="2"/>
  <c r="L735" i="2"/>
  <c r="M735" i="2"/>
  <c r="L736" i="2"/>
  <c r="M736" i="2"/>
  <c r="L737" i="2"/>
  <c r="M737" i="2"/>
  <c r="L738" i="2"/>
  <c r="M738" i="2"/>
  <c r="L739" i="2"/>
  <c r="M739" i="2"/>
  <c r="L740" i="2"/>
  <c r="M740" i="2"/>
  <c r="L741" i="2"/>
  <c r="M741" i="2"/>
  <c r="L742" i="2"/>
  <c r="M742" i="2"/>
  <c r="L743" i="2"/>
  <c r="M743" i="2"/>
  <c r="L744" i="2"/>
  <c r="M744" i="2"/>
  <c r="L745" i="2"/>
  <c r="M745" i="2"/>
  <c r="L746" i="2"/>
  <c r="M746" i="2"/>
  <c r="L747" i="2"/>
  <c r="M747" i="2"/>
  <c r="L748" i="2"/>
  <c r="M748" i="2"/>
  <c r="L749" i="2"/>
  <c r="M749" i="2"/>
  <c r="L750" i="2"/>
  <c r="M750" i="2"/>
  <c r="L751" i="2"/>
  <c r="M751" i="2"/>
  <c r="L752" i="2"/>
  <c r="M752" i="2"/>
  <c r="L753" i="2"/>
  <c r="M753" i="2"/>
  <c r="L754" i="2"/>
  <c r="M754" i="2"/>
  <c r="L755" i="2"/>
  <c r="M755" i="2"/>
  <c r="L756" i="2"/>
  <c r="M756" i="2"/>
  <c r="L757" i="2"/>
  <c r="M757" i="2"/>
  <c r="L758" i="2"/>
  <c r="M758" i="2"/>
  <c r="L759" i="2"/>
  <c r="M759" i="2"/>
  <c r="L760" i="2"/>
  <c r="M760" i="2"/>
  <c r="L761" i="2"/>
  <c r="M761" i="2"/>
  <c r="L762" i="2"/>
  <c r="M762" i="2"/>
  <c r="L763" i="2"/>
  <c r="M763" i="2"/>
  <c r="L764" i="2"/>
  <c r="M764" i="2"/>
  <c r="L765" i="2"/>
  <c r="M765" i="2"/>
  <c r="L766" i="2"/>
  <c r="M766" i="2"/>
  <c r="L767" i="2"/>
  <c r="M767" i="2"/>
  <c r="L768" i="2"/>
  <c r="M768" i="2"/>
  <c r="L769" i="2"/>
  <c r="M769" i="2"/>
  <c r="L770" i="2"/>
  <c r="M770" i="2"/>
  <c r="L771" i="2"/>
  <c r="M771" i="2"/>
  <c r="L772" i="2"/>
  <c r="M772" i="2"/>
  <c r="L773" i="2"/>
  <c r="M773" i="2"/>
  <c r="L774" i="2"/>
  <c r="M774" i="2"/>
  <c r="L775" i="2"/>
  <c r="M775" i="2"/>
  <c r="L776" i="2"/>
  <c r="M776" i="2"/>
  <c r="L777" i="2"/>
  <c r="M777" i="2"/>
  <c r="L778" i="2"/>
  <c r="M778" i="2"/>
  <c r="L779" i="2"/>
  <c r="M779" i="2"/>
  <c r="L780" i="2"/>
  <c r="M780" i="2"/>
  <c r="L781" i="2"/>
  <c r="M781" i="2"/>
  <c r="L782" i="2"/>
  <c r="M782" i="2"/>
  <c r="L783" i="2"/>
  <c r="M783" i="2"/>
  <c r="L784" i="2"/>
  <c r="M784" i="2"/>
  <c r="L785" i="2"/>
  <c r="M785" i="2"/>
  <c r="L786" i="2"/>
  <c r="M786" i="2"/>
  <c r="L787" i="2"/>
  <c r="M787" i="2"/>
  <c r="L788" i="2"/>
  <c r="M788" i="2"/>
  <c r="L789" i="2"/>
  <c r="M789" i="2"/>
  <c r="L790" i="2"/>
  <c r="M790" i="2"/>
  <c r="L791" i="2"/>
  <c r="M791" i="2"/>
  <c r="L792" i="2"/>
  <c r="M792" i="2"/>
  <c r="L793" i="2"/>
  <c r="M793" i="2"/>
  <c r="L794" i="2"/>
  <c r="M794" i="2"/>
  <c r="L795" i="2"/>
  <c r="M795" i="2"/>
  <c r="L796" i="2"/>
  <c r="M796" i="2"/>
  <c r="L797" i="2"/>
  <c r="M797" i="2"/>
  <c r="L798" i="2"/>
  <c r="M798" i="2"/>
  <c r="L799" i="2"/>
  <c r="M799" i="2"/>
  <c r="L800" i="2"/>
  <c r="M800" i="2"/>
  <c r="L801" i="2"/>
  <c r="M801" i="2"/>
  <c r="L802" i="2"/>
  <c r="M802" i="2"/>
  <c r="L803" i="2"/>
  <c r="M803" i="2"/>
  <c r="L804" i="2"/>
  <c r="M804" i="2"/>
  <c r="L805" i="2"/>
  <c r="M805" i="2"/>
  <c r="L806" i="2"/>
  <c r="M806" i="2"/>
  <c r="L807" i="2"/>
  <c r="M807" i="2"/>
  <c r="L808" i="2"/>
  <c r="M808" i="2"/>
  <c r="L809" i="2"/>
  <c r="M809" i="2"/>
  <c r="L810" i="2"/>
  <c r="M810" i="2"/>
  <c r="L811" i="2"/>
  <c r="M811" i="2"/>
  <c r="L812" i="2"/>
  <c r="M812" i="2"/>
  <c r="L813" i="2"/>
  <c r="M813" i="2"/>
  <c r="L814" i="2"/>
  <c r="M814" i="2"/>
  <c r="L815" i="2"/>
  <c r="M815" i="2"/>
  <c r="L816" i="2"/>
  <c r="M816" i="2"/>
  <c r="L817" i="2"/>
  <c r="M817" i="2"/>
  <c r="L818" i="2"/>
  <c r="M818" i="2"/>
  <c r="L819" i="2"/>
  <c r="M819" i="2"/>
  <c r="L820" i="2"/>
  <c r="M820" i="2"/>
  <c r="L821" i="2"/>
  <c r="M821" i="2"/>
  <c r="L822" i="2"/>
  <c r="M822" i="2"/>
  <c r="L823" i="2"/>
  <c r="M823" i="2"/>
  <c r="L824" i="2"/>
  <c r="M824" i="2"/>
  <c r="L825" i="2"/>
  <c r="M825" i="2"/>
  <c r="L826" i="2"/>
  <c r="M826" i="2"/>
  <c r="L827" i="2"/>
  <c r="M827" i="2"/>
  <c r="L828" i="2"/>
  <c r="M828" i="2"/>
  <c r="L829" i="2"/>
  <c r="M829" i="2"/>
  <c r="L830" i="2"/>
  <c r="M830" i="2"/>
  <c r="L831" i="2"/>
  <c r="M831" i="2"/>
  <c r="L832" i="2"/>
  <c r="M832" i="2"/>
  <c r="L833" i="2"/>
  <c r="M833" i="2"/>
  <c r="L834" i="2"/>
  <c r="M834" i="2"/>
  <c r="L835" i="2"/>
  <c r="M835" i="2"/>
  <c r="L836" i="2"/>
  <c r="M836" i="2"/>
  <c r="L837" i="2"/>
  <c r="M837" i="2"/>
  <c r="L838" i="2"/>
  <c r="M838" i="2"/>
  <c r="L839" i="2"/>
  <c r="M839" i="2"/>
  <c r="L840" i="2"/>
  <c r="M840" i="2"/>
  <c r="L841" i="2"/>
  <c r="M841" i="2"/>
  <c r="L842" i="2"/>
  <c r="M842" i="2"/>
  <c r="L843" i="2"/>
  <c r="M843" i="2"/>
  <c r="L844" i="2"/>
  <c r="M844" i="2"/>
  <c r="L845" i="2"/>
  <c r="M845" i="2"/>
  <c r="L846" i="2"/>
  <c r="M846" i="2"/>
  <c r="L847" i="2"/>
  <c r="M847" i="2"/>
  <c r="L848" i="2"/>
  <c r="M848" i="2"/>
  <c r="L849" i="2"/>
  <c r="M849" i="2"/>
  <c r="L850" i="2"/>
  <c r="M850" i="2"/>
  <c r="L851" i="2"/>
  <c r="M851" i="2"/>
  <c r="L852" i="2"/>
  <c r="M852" i="2"/>
  <c r="L853" i="2"/>
  <c r="M853" i="2"/>
  <c r="L854" i="2"/>
  <c r="M854" i="2"/>
  <c r="L855" i="2"/>
  <c r="M855" i="2"/>
  <c r="L856" i="2"/>
  <c r="M856" i="2"/>
  <c r="L857" i="2"/>
  <c r="M857" i="2"/>
  <c r="L858" i="2"/>
  <c r="M858" i="2"/>
  <c r="L859" i="2"/>
  <c r="M859" i="2"/>
  <c r="L860" i="2"/>
  <c r="M860" i="2"/>
  <c r="L861" i="2"/>
  <c r="M861" i="2"/>
  <c r="L862" i="2"/>
  <c r="M862" i="2"/>
  <c r="L863" i="2"/>
  <c r="M863" i="2"/>
  <c r="L864" i="2"/>
  <c r="M864" i="2"/>
  <c r="L865" i="2"/>
  <c r="M865" i="2"/>
  <c r="L866" i="2"/>
  <c r="M866" i="2"/>
  <c r="L867" i="2"/>
  <c r="M867" i="2"/>
  <c r="L868" i="2"/>
  <c r="M868" i="2"/>
  <c r="L869" i="2"/>
  <c r="M869" i="2"/>
  <c r="L870" i="2"/>
  <c r="M870" i="2"/>
  <c r="L871" i="2"/>
  <c r="M871" i="2"/>
  <c r="L872" i="2"/>
  <c r="M872" i="2"/>
  <c r="L873" i="2"/>
  <c r="M873" i="2"/>
  <c r="L874" i="2"/>
  <c r="M874" i="2"/>
  <c r="L875" i="2"/>
  <c r="M875" i="2"/>
  <c r="L876" i="2"/>
  <c r="M876" i="2"/>
  <c r="L877" i="2"/>
  <c r="M877" i="2"/>
  <c r="L878" i="2"/>
  <c r="M878" i="2"/>
  <c r="L879" i="2"/>
  <c r="M879" i="2"/>
  <c r="L880" i="2"/>
  <c r="M880" i="2"/>
  <c r="L881" i="2"/>
  <c r="M881" i="2"/>
  <c r="L882" i="2"/>
  <c r="M882" i="2"/>
  <c r="L883" i="2"/>
  <c r="M883" i="2"/>
  <c r="L884" i="2"/>
  <c r="M884" i="2"/>
  <c r="L885" i="2"/>
  <c r="M885" i="2"/>
  <c r="L886" i="2"/>
  <c r="M886" i="2"/>
  <c r="L887" i="2"/>
  <c r="M887" i="2"/>
  <c r="L888" i="2"/>
  <c r="M888" i="2"/>
  <c r="L889" i="2"/>
  <c r="M889" i="2"/>
  <c r="L890" i="2"/>
  <c r="M890" i="2"/>
  <c r="L891" i="2"/>
  <c r="M891" i="2"/>
  <c r="L892" i="2"/>
  <c r="M892" i="2"/>
  <c r="L893" i="2"/>
  <c r="M893" i="2"/>
  <c r="L894" i="2"/>
  <c r="M894" i="2"/>
  <c r="L895" i="2"/>
  <c r="M895" i="2"/>
  <c r="L896" i="2"/>
  <c r="M896" i="2"/>
  <c r="L897" i="2"/>
  <c r="M897" i="2"/>
  <c r="L898" i="2"/>
  <c r="M898" i="2"/>
  <c r="L899" i="2"/>
  <c r="M899" i="2"/>
  <c r="L900" i="2"/>
  <c r="M900" i="2"/>
  <c r="L901" i="2"/>
  <c r="M901" i="2"/>
  <c r="L902" i="2"/>
  <c r="M902" i="2"/>
  <c r="L903" i="2"/>
  <c r="M903" i="2"/>
  <c r="L904" i="2"/>
  <c r="M904" i="2"/>
  <c r="L905" i="2"/>
  <c r="M905" i="2"/>
  <c r="L906" i="2"/>
  <c r="M906" i="2"/>
  <c r="L907" i="2"/>
  <c r="M907" i="2"/>
  <c r="L908" i="2"/>
  <c r="M908" i="2"/>
  <c r="L909" i="2"/>
  <c r="M909" i="2"/>
  <c r="L910" i="2"/>
  <c r="M910" i="2"/>
  <c r="L911" i="2"/>
  <c r="M911" i="2"/>
  <c r="L912" i="2"/>
  <c r="M912" i="2"/>
  <c r="L913" i="2"/>
  <c r="M913" i="2"/>
  <c r="L914" i="2"/>
  <c r="M914" i="2"/>
  <c r="L915" i="2"/>
  <c r="M915" i="2"/>
  <c r="L916" i="2"/>
  <c r="M916" i="2"/>
  <c r="L917" i="2"/>
  <c r="M917" i="2"/>
  <c r="L918" i="2"/>
  <c r="M918" i="2"/>
  <c r="L919" i="2"/>
  <c r="M919" i="2"/>
  <c r="L920" i="2"/>
  <c r="M920" i="2"/>
  <c r="L921" i="2"/>
  <c r="M921" i="2"/>
  <c r="L922" i="2"/>
  <c r="M922" i="2"/>
  <c r="L923" i="2"/>
  <c r="M923" i="2"/>
  <c r="L924" i="2"/>
  <c r="M924" i="2"/>
  <c r="L925" i="2"/>
  <c r="M925" i="2"/>
  <c r="L926" i="2"/>
  <c r="M926" i="2"/>
  <c r="L927" i="2"/>
  <c r="M927" i="2"/>
  <c r="L928" i="2"/>
  <c r="M928" i="2"/>
  <c r="L929" i="2"/>
  <c r="M929" i="2"/>
  <c r="L930" i="2"/>
  <c r="M930" i="2"/>
  <c r="L931" i="2"/>
  <c r="M931" i="2"/>
  <c r="L932" i="2"/>
  <c r="M932" i="2"/>
  <c r="L933" i="2"/>
  <c r="M933" i="2"/>
  <c r="L934" i="2"/>
  <c r="M934" i="2"/>
  <c r="L935" i="2"/>
  <c r="M935" i="2"/>
  <c r="L936" i="2"/>
  <c r="M936" i="2"/>
  <c r="L937" i="2"/>
  <c r="M937" i="2"/>
  <c r="L938" i="2"/>
  <c r="M938" i="2"/>
  <c r="L939" i="2"/>
  <c r="M939" i="2"/>
  <c r="L940" i="2"/>
  <c r="M940" i="2"/>
  <c r="L941" i="2"/>
  <c r="M941" i="2"/>
  <c r="L942" i="2"/>
  <c r="M942" i="2"/>
  <c r="L943" i="2"/>
  <c r="M943" i="2"/>
  <c r="L944" i="2"/>
  <c r="M944" i="2"/>
  <c r="L945" i="2"/>
  <c r="M945" i="2"/>
  <c r="L946" i="2"/>
  <c r="M946" i="2"/>
  <c r="L947" i="2"/>
  <c r="M947" i="2"/>
  <c r="L948" i="2"/>
  <c r="M948" i="2"/>
  <c r="L949" i="2"/>
  <c r="M949" i="2"/>
  <c r="L950" i="2"/>
  <c r="M950" i="2"/>
  <c r="L951" i="2"/>
  <c r="M951" i="2"/>
  <c r="L952" i="2"/>
  <c r="M952" i="2"/>
  <c r="L953" i="2"/>
  <c r="M953" i="2"/>
  <c r="L954" i="2"/>
  <c r="M954" i="2"/>
  <c r="L955" i="2"/>
  <c r="M955" i="2"/>
  <c r="L956" i="2"/>
  <c r="M956" i="2"/>
  <c r="L957" i="2"/>
  <c r="M957" i="2"/>
  <c r="L958" i="2"/>
  <c r="M958" i="2"/>
  <c r="L959" i="2"/>
  <c r="M959" i="2"/>
  <c r="L960" i="2"/>
  <c r="M960" i="2"/>
  <c r="L961" i="2"/>
  <c r="M961" i="2"/>
  <c r="L962" i="2"/>
  <c r="M962" i="2"/>
  <c r="L963" i="2"/>
  <c r="M963" i="2"/>
  <c r="L964" i="2"/>
  <c r="M964" i="2"/>
  <c r="L965" i="2"/>
  <c r="M965" i="2"/>
  <c r="L966" i="2"/>
  <c r="M966" i="2"/>
  <c r="L967" i="2"/>
  <c r="M967" i="2"/>
  <c r="L968" i="2"/>
  <c r="M968" i="2"/>
  <c r="L969" i="2"/>
  <c r="M969" i="2"/>
  <c r="L970" i="2"/>
  <c r="M970" i="2"/>
  <c r="L971" i="2"/>
  <c r="M971" i="2"/>
  <c r="L972" i="2"/>
  <c r="M972" i="2"/>
  <c r="L973" i="2"/>
  <c r="M973" i="2"/>
  <c r="L974" i="2"/>
  <c r="M974" i="2"/>
  <c r="L975" i="2"/>
  <c r="M975" i="2"/>
  <c r="L976" i="2"/>
  <c r="M976" i="2"/>
  <c r="L977" i="2"/>
  <c r="M977" i="2"/>
  <c r="L978" i="2"/>
  <c r="M978" i="2"/>
  <c r="L979" i="2"/>
  <c r="M979" i="2"/>
  <c r="L980" i="2"/>
  <c r="M980" i="2"/>
  <c r="L981" i="2"/>
  <c r="M981" i="2"/>
  <c r="L982" i="2"/>
  <c r="M982" i="2"/>
  <c r="L983" i="2"/>
  <c r="M983" i="2"/>
  <c r="L984" i="2"/>
  <c r="M984" i="2"/>
  <c r="L985" i="2"/>
  <c r="M985" i="2"/>
  <c r="L986" i="2"/>
  <c r="M986" i="2"/>
  <c r="L987" i="2"/>
  <c r="M987" i="2"/>
  <c r="L988" i="2"/>
  <c r="M988" i="2"/>
  <c r="L989" i="2"/>
  <c r="M989" i="2"/>
  <c r="L990" i="2"/>
  <c r="M990" i="2"/>
  <c r="L991" i="2"/>
  <c r="M991" i="2"/>
  <c r="L992" i="2"/>
  <c r="M992" i="2"/>
  <c r="L993" i="2"/>
  <c r="M993" i="2"/>
  <c r="L994" i="2"/>
  <c r="M994" i="2"/>
  <c r="L995" i="2"/>
  <c r="M995" i="2"/>
  <c r="L996" i="2"/>
  <c r="M996" i="2"/>
  <c r="L997" i="2"/>
  <c r="M997" i="2"/>
  <c r="L998" i="2"/>
  <c r="M998" i="2"/>
  <c r="L999" i="2"/>
  <c r="M999" i="2"/>
  <c r="L1000" i="2"/>
  <c r="M1000" i="2"/>
  <c r="L1001" i="2"/>
  <c r="M1001" i="2"/>
  <c r="L1002" i="2"/>
  <c r="M1002" i="2"/>
  <c r="L1003" i="2"/>
  <c r="M1003" i="2"/>
  <c r="L1004" i="2"/>
  <c r="M1004" i="2"/>
  <c r="L1005" i="2"/>
  <c r="M1005" i="2"/>
  <c r="L1006" i="2"/>
  <c r="M1006" i="2"/>
  <c r="L1007" i="2"/>
  <c r="M1007" i="2"/>
  <c r="L1008" i="2"/>
  <c r="M1008" i="2"/>
  <c r="L1009" i="2"/>
  <c r="M1009" i="2"/>
  <c r="L1010" i="2"/>
  <c r="M1010" i="2"/>
  <c r="L1011" i="2"/>
  <c r="M1011" i="2"/>
  <c r="L1012" i="2"/>
  <c r="M1012" i="2"/>
  <c r="L1013" i="2"/>
  <c r="M1013" i="2"/>
  <c r="L1014" i="2"/>
  <c r="M1014" i="2"/>
  <c r="L1015" i="2"/>
  <c r="M1015" i="2"/>
  <c r="L1016" i="2"/>
  <c r="M1016" i="2"/>
  <c r="L1017" i="2"/>
  <c r="M1017" i="2"/>
  <c r="L1018" i="2"/>
  <c r="M1018" i="2"/>
  <c r="L1019" i="2"/>
  <c r="M1019" i="2"/>
  <c r="L1020" i="2"/>
  <c r="M1020" i="2"/>
  <c r="L1021" i="2"/>
  <c r="M1021" i="2"/>
  <c r="L1022" i="2"/>
  <c r="M1022" i="2"/>
  <c r="L1023" i="2"/>
  <c r="M1023" i="2"/>
  <c r="L1024" i="2"/>
  <c r="M1024" i="2"/>
  <c r="L1025" i="2"/>
  <c r="M1025" i="2"/>
  <c r="L1026" i="2"/>
  <c r="M1026" i="2"/>
  <c r="L1027" i="2"/>
  <c r="M1027" i="2"/>
  <c r="L1028" i="2"/>
  <c r="M1028" i="2"/>
  <c r="L1029" i="2"/>
  <c r="M1029" i="2"/>
  <c r="L1030" i="2"/>
  <c r="M1030" i="2"/>
  <c r="L1031" i="2"/>
  <c r="M1031" i="2"/>
  <c r="L1032" i="2"/>
  <c r="M1032" i="2"/>
  <c r="L1033" i="2"/>
  <c r="M1033" i="2"/>
  <c r="L1034" i="2"/>
  <c r="M1034" i="2"/>
  <c r="L1035" i="2"/>
  <c r="M1035" i="2"/>
  <c r="L1036" i="2"/>
  <c r="M1036" i="2"/>
  <c r="L1037" i="2"/>
  <c r="M1037" i="2"/>
  <c r="L1038" i="2"/>
  <c r="M1038" i="2"/>
  <c r="L1039" i="2"/>
  <c r="M1039" i="2"/>
  <c r="L1040" i="2"/>
  <c r="M1040" i="2"/>
  <c r="L1041" i="2"/>
  <c r="M1041" i="2"/>
  <c r="L1042" i="2"/>
  <c r="M1042" i="2"/>
  <c r="L1043" i="2"/>
  <c r="M1043" i="2"/>
  <c r="L1044" i="2"/>
  <c r="M1044" i="2"/>
  <c r="L1045" i="2"/>
  <c r="M1045" i="2"/>
  <c r="L1046" i="2"/>
  <c r="M1046" i="2"/>
  <c r="L1047" i="2"/>
  <c r="M1047" i="2"/>
  <c r="L1048" i="2"/>
  <c r="M1048" i="2"/>
  <c r="L1049" i="2"/>
  <c r="M1049" i="2"/>
  <c r="L1050" i="2"/>
  <c r="M1050" i="2"/>
  <c r="L1051" i="2"/>
  <c r="M1051" i="2"/>
  <c r="L1052" i="2"/>
  <c r="M1052" i="2"/>
  <c r="L1053" i="2"/>
  <c r="M1053" i="2"/>
  <c r="L1054" i="2"/>
  <c r="M1054" i="2"/>
  <c r="L1055" i="2"/>
  <c r="M1055" i="2"/>
  <c r="L1056" i="2"/>
  <c r="M1056" i="2"/>
  <c r="L1057" i="2"/>
  <c r="M1057" i="2"/>
  <c r="L1058" i="2"/>
  <c r="M1058" i="2"/>
  <c r="L1059" i="2"/>
  <c r="M1059" i="2"/>
  <c r="L1060" i="2"/>
  <c r="M1060" i="2"/>
  <c r="L1061" i="2"/>
  <c r="M1061" i="2"/>
  <c r="L1062" i="2"/>
  <c r="M1062" i="2"/>
  <c r="L1063" i="2"/>
  <c r="M1063" i="2"/>
  <c r="L1064" i="2"/>
  <c r="M1064" i="2"/>
  <c r="L1065" i="2"/>
  <c r="M1065" i="2"/>
  <c r="L1066" i="2"/>
  <c r="M1066" i="2"/>
  <c r="L1067" i="2"/>
  <c r="M1067" i="2"/>
  <c r="L1068" i="2"/>
  <c r="M1068" i="2"/>
  <c r="L1069" i="2"/>
  <c r="M1069" i="2"/>
  <c r="L1070" i="2"/>
  <c r="M1070" i="2"/>
  <c r="L1071" i="2"/>
  <c r="M1071" i="2"/>
  <c r="L1072" i="2"/>
  <c r="M1072" i="2"/>
  <c r="L1073" i="2"/>
  <c r="M1073" i="2"/>
  <c r="L1074" i="2"/>
  <c r="M1074" i="2"/>
  <c r="L1075" i="2"/>
  <c r="M1075" i="2"/>
  <c r="L1076" i="2"/>
  <c r="M1076" i="2"/>
  <c r="L1077" i="2"/>
  <c r="M1077" i="2"/>
  <c r="L1078" i="2"/>
  <c r="M1078" i="2"/>
  <c r="L1079" i="2"/>
  <c r="M1079" i="2"/>
  <c r="L1080" i="2"/>
  <c r="M1080" i="2"/>
  <c r="L1081" i="2"/>
  <c r="M1081" i="2"/>
  <c r="L1082" i="2"/>
  <c r="M1082" i="2"/>
  <c r="L1083" i="2"/>
  <c r="M1083" i="2"/>
  <c r="L1084" i="2"/>
  <c r="M1084" i="2"/>
  <c r="L1085" i="2"/>
  <c r="M1085" i="2"/>
  <c r="L1086" i="2"/>
  <c r="M1086" i="2"/>
  <c r="L1087" i="2"/>
  <c r="M1087" i="2"/>
  <c r="L1088" i="2"/>
  <c r="M1088" i="2"/>
  <c r="L1089" i="2"/>
  <c r="M1089" i="2"/>
  <c r="L1090" i="2"/>
  <c r="M1090" i="2"/>
  <c r="L1091" i="2"/>
  <c r="M1091" i="2"/>
  <c r="L1092" i="2"/>
  <c r="M1092" i="2"/>
  <c r="L1093" i="2"/>
  <c r="M1093" i="2"/>
  <c r="L1094" i="2"/>
  <c r="M1094" i="2"/>
  <c r="L1095" i="2"/>
  <c r="M1095" i="2"/>
  <c r="L1096" i="2"/>
  <c r="M1096" i="2"/>
  <c r="L1097" i="2"/>
  <c r="M1097" i="2"/>
  <c r="L1098" i="2"/>
  <c r="M1098" i="2"/>
  <c r="L1099" i="2"/>
  <c r="M1099" i="2"/>
  <c r="L1100" i="2"/>
  <c r="M1100" i="2"/>
  <c r="L1101" i="2"/>
  <c r="M1101" i="2"/>
  <c r="L1102" i="2"/>
  <c r="M1102" i="2"/>
  <c r="L1103" i="2"/>
  <c r="M1103" i="2"/>
  <c r="L1104" i="2"/>
  <c r="M1104" i="2"/>
  <c r="L1105" i="2"/>
  <c r="M1105" i="2"/>
  <c r="L1106" i="2"/>
  <c r="M1106" i="2"/>
  <c r="L1107" i="2"/>
  <c r="M1107" i="2"/>
  <c r="L1108" i="2"/>
  <c r="M1108" i="2"/>
  <c r="L1109" i="2"/>
  <c r="M1109" i="2"/>
  <c r="L1110" i="2"/>
  <c r="M1110" i="2"/>
  <c r="L1111" i="2"/>
  <c r="M1111" i="2"/>
  <c r="L1112" i="2"/>
  <c r="M1112" i="2"/>
  <c r="L1113" i="2"/>
  <c r="M1113" i="2"/>
  <c r="L1114" i="2"/>
  <c r="M1114" i="2"/>
  <c r="L1115" i="2"/>
  <c r="M1115" i="2"/>
  <c r="L1116" i="2"/>
  <c r="M1116" i="2"/>
  <c r="L1117" i="2"/>
  <c r="M1117" i="2"/>
  <c r="L1118" i="2"/>
  <c r="M1118" i="2"/>
  <c r="L1119" i="2"/>
  <c r="M1119" i="2"/>
  <c r="L1120" i="2"/>
  <c r="M1120" i="2"/>
  <c r="L1121" i="2"/>
  <c r="M1121" i="2"/>
  <c r="L1122" i="2"/>
  <c r="M1122" i="2"/>
  <c r="L1123" i="2"/>
  <c r="M1123" i="2"/>
  <c r="L1124" i="2"/>
  <c r="M1124" i="2"/>
  <c r="L1125" i="2"/>
  <c r="M1125" i="2"/>
  <c r="L1126" i="2"/>
  <c r="M1126" i="2"/>
  <c r="L1127" i="2"/>
  <c r="M1127" i="2"/>
  <c r="L1128" i="2"/>
  <c r="M1128" i="2"/>
  <c r="L1129" i="2"/>
  <c r="M1129" i="2"/>
  <c r="L1130" i="2"/>
  <c r="M1130" i="2"/>
  <c r="L1131" i="2"/>
  <c r="M1131" i="2"/>
  <c r="L1132" i="2"/>
  <c r="M1132" i="2"/>
  <c r="L1133" i="2"/>
  <c r="M1133" i="2"/>
  <c r="L1134" i="2"/>
  <c r="M1134" i="2"/>
  <c r="L1135" i="2"/>
  <c r="M1135" i="2"/>
  <c r="L1136" i="2"/>
  <c r="M1136" i="2"/>
  <c r="L1137" i="2"/>
  <c r="M1137" i="2"/>
  <c r="L1138" i="2"/>
  <c r="M1138" i="2"/>
  <c r="L1139" i="2"/>
  <c r="M1139" i="2"/>
  <c r="L1140" i="2"/>
  <c r="M1140" i="2"/>
  <c r="L1141" i="2"/>
  <c r="M1141" i="2"/>
  <c r="L1142" i="2"/>
  <c r="M1142" i="2"/>
  <c r="L1143" i="2"/>
  <c r="M1143" i="2"/>
  <c r="L1144" i="2"/>
  <c r="M1144" i="2"/>
  <c r="L1145" i="2"/>
  <c r="M1145" i="2"/>
  <c r="L1146" i="2"/>
  <c r="M1146" i="2"/>
  <c r="L1147" i="2"/>
  <c r="M1147" i="2"/>
  <c r="L1148" i="2"/>
  <c r="M1148" i="2"/>
  <c r="L1149" i="2"/>
  <c r="M1149" i="2"/>
  <c r="L1150" i="2"/>
  <c r="M1150" i="2"/>
  <c r="L1151" i="2"/>
  <c r="M1151" i="2"/>
  <c r="L1152" i="2"/>
  <c r="M1152" i="2"/>
  <c r="L1153" i="2"/>
  <c r="M1153" i="2"/>
  <c r="L1154" i="2"/>
  <c r="M1154" i="2"/>
  <c r="L1155" i="2"/>
  <c r="M1155" i="2"/>
  <c r="L1156" i="2"/>
  <c r="M1156" i="2"/>
  <c r="L1157" i="2"/>
  <c r="M1157" i="2"/>
  <c r="L1158" i="2"/>
  <c r="M1158" i="2"/>
  <c r="L1159" i="2"/>
  <c r="M1159" i="2"/>
  <c r="L1160" i="2"/>
  <c r="M1160" i="2"/>
  <c r="L1161" i="2"/>
  <c r="M1161" i="2"/>
  <c r="L1162" i="2"/>
  <c r="M1162" i="2"/>
  <c r="L1163" i="2"/>
  <c r="M1163" i="2"/>
  <c r="L1164" i="2"/>
  <c r="M1164" i="2"/>
  <c r="L1165" i="2"/>
  <c r="M1165" i="2"/>
  <c r="L1166" i="2"/>
  <c r="M1166" i="2"/>
  <c r="L1167" i="2"/>
  <c r="M1167" i="2"/>
  <c r="L1168" i="2"/>
  <c r="M1168" i="2"/>
  <c r="L1169" i="2"/>
  <c r="M1169" i="2"/>
  <c r="L1170" i="2"/>
  <c r="M1170" i="2"/>
  <c r="L1171" i="2"/>
  <c r="M1171" i="2"/>
  <c r="L1172" i="2"/>
  <c r="M1172" i="2"/>
  <c r="L1173" i="2"/>
  <c r="M1173" i="2"/>
  <c r="L1174" i="2"/>
  <c r="M1174" i="2"/>
  <c r="L1175" i="2"/>
  <c r="M1175" i="2"/>
  <c r="L1176" i="2"/>
  <c r="M1176" i="2"/>
  <c r="L1177" i="2"/>
  <c r="M1177" i="2"/>
  <c r="L1178" i="2"/>
  <c r="M1178" i="2"/>
  <c r="L1179" i="2"/>
  <c r="M1179" i="2"/>
  <c r="L1180" i="2"/>
  <c r="M1180" i="2"/>
  <c r="L1181" i="2"/>
  <c r="M1181" i="2"/>
  <c r="L1182" i="2"/>
  <c r="M1182" i="2"/>
  <c r="L1183" i="2"/>
  <c r="M1183" i="2"/>
  <c r="L1184" i="2"/>
  <c r="M1184" i="2"/>
  <c r="L1185" i="2"/>
  <c r="M1185" i="2"/>
  <c r="L1186" i="2"/>
  <c r="M1186" i="2"/>
  <c r="L1187" i="2"/>
  <c r="M1187" i="2"/>
  <c r="L1188" i="2"/>
  <c r="M1188" i="2"/>
  <c r="L1189" i="2"/>
  <c r="M1189" i="2"/>
  <c r="L1190" i="2"/>
  <c r="M1190" i="2"/>
  <c r="L1191" i="2"/>
  <c r="M1191" i="2"/>
  <c r="L1192" i="2"/>
  <c r="M1192" i="2"/>
  <c r="L1193" i="2"/>
  <c r="M1193" i="2"/>
  <c r="L1194" i="2"/>
  <c r="M1194" i="2"/>
  <c r="L1195" i="2"/>
  <c r="M1195" i="2"/>
  <c r="L1196" i="2"/>
  <c r="M1196" i="2"/>
  <c r="L1197" i="2"/>
  <c r="M1197" i="2"/>
  <c r="L1198" i="2"/>
  <c r="M1198" i="2"/>
  <c r="L1199" i="2"/>
  <c r="M1199" i="2"/>
  <c r="L1200" i="2"/>
  <c r="M1200" i="2"/>
  <c r="L1201" i="2"/>
  <c r="M1201" i="2"/>
  <c r="L1202" i="2"/>
  <c r="M1202" i="2"/>
  <c r="L1203" i="2"/>
  <c r="M1203" i="2"/>
  <c r="L1204" i="2"/>
  <c r="M1204" i="2"/>
  <c r="L1205" i="2"/>
  <c r="M1205" i="2"/>
  <c r="L1206" i="2"/>
  <c r="M1206" i="2"/>
  <c r="L1207" i="2"/>
  <c r="M1207" i="2"/>
  <c r="L1208" i="2"/>
  <c r="M1208" i="2"/>
  <c r="L1209" i="2"/>
  <c r="M1209" i="2"/>
  <c r="L1210" i="2"/>
  <c r="M1210" i="2"/>
  <c r="L1211" i="2"/>
  <c r="M1211" i="2"/>
  <c r="L1212" i="2"/>
  <c r="M1212" i="2"/>
  <c r="L1213" i="2"/>
  <c r="M1213" i="2"/>
  <c r="L1214" i="2"/>
  <c r="M1214" i="2"/>
  <c r="L1215" i="2"/>
  <c r="M1215" i="2"/>
  <c r="L1216" i="2"/>
  <c r="M1216" i="2"/>
  <c r="L1217" i="2"/>
  <c r="M1217" i="2"/>
  <c r="L1218" i="2"/>
  <c r="M1218" i="2"/>
  <c r="L1219" i="2"/>
  <c r="M1219" i="2"/>
  <c r="L1220" i="2"/>
  <c r="M1220" i="2"/>
  <c r="L1221" i="2"/>
  <c r="M1221" i="2"/>
  <c r="L1222" i="2"/>
  <c r="M1222" i="2"/>
  <c r="L1223" i="2"/>
  <c r="M1223" i="2"/>
  <c r="L1224" i="2"/>
  <c r="M1224" i="2"/>
  <c r="L1225" i="2"/>
  <c r="M1225" i="2"/>
  <c r="L1226" i="2"/>
  <c r="M1226" i="2"/>
  <c r="L1227" i="2"/>
  <c r="M1227" i="2"/>
  <c r="L1228" i="2"/>
  <c r="M1228" i="2"/>
  <c r="L1229" i="2"/>
  <c r="M1229" i="2"/>
  <c r="L1230" i="2"/>
  <c r="M1230" i="2"/>
  <c r="L1231" i="2"/>
  <c r="M1231" i="2"/>
  <c r="L1232" i="2"/>
  <c r="M1232" i="2"/>
  <c r="L1233" i="2"/>
  <c r="M1233" i="2"/>
  <c r="L1234" i="2"/>
  <c r="M1234" i="2"/>
  <c r="L1235" i="2"/>
  <c r="M1235" i="2"/>
  <c r="L1236" i="2"/>
  <c r="M1236" i="2"/>
  <c r="L1237" i="2"/>
  <c r="M1237" i="2"/>
  <c r="L1238" i="2"/>
  <c r="M1238" i="2"/>
  <c r="L1239" i="2"/>
  <c r="M1239" i="2"/>
  <c r="L1240" i="2"/>
  <c r="M1240" i="2"/>
  <c r="L1241" i="2"/>
  <c r="M1241" i="2"/>
  <c r="L1242" i="2"/>
  <c r="M1242" i="2"/>
  <c r="L1243" i="2"/>
  <c r="M1243" i="2"/>
  <c r="L1244" i="2"/>
  <c r="M1244" i="2"/>
  <c r="L1245" i="2"/>
  <c r="M1245" i="2"/>
  <c r="L1246" i="2"/>
  <c r="M1246" i="2"/>
  <c r="L1247" i="2"/>
  <c r="M1247" i="2"/>
  <c r="L1248" i="2"/>
  <c r="M1248" i="2"/>
  <c r="L1249" i="2"/>
  <c r="M1249" i="2"/>
  <c r="L1250" i="2"/>
  <c r="M1250" i="2"/>
  <c r="L1251" i="2"/>
  <c r="M1251" i="2"/>
  <c r="L1252" i="2"/>
  <c r="M1252" i="2"/>
  <c r="L1253" i="2"/>
  <c r="M1253" i="2"/>
  <c r="L1254" i="2"/>
  <c r="M1254" i="2"/>
  <c r="L1255" i="2"/>
  <c r="M1255" i="2"/>
  <c r="L1256" i="2"/>
  <c r="M1256" i="2"/>
  <c r="L1257" i="2"/>
  <c r="M1257" i="2"/>
  <c r="L1258" i="2"/>
  <c r="M1258" i="2"/>
  <c r="L1259" i="2"/>
  <c r="M1259" i="2"/>
  <c r="L1260" i="2"/>
  <c r="M1260" i="2"/>
  <c r="L1261" i="2"/>
  <c r="M1261" i="2"/>
  <c r="L1262" i="2"/>
  <c r="M1262" i="2"/>
  <c r="L1263" i="2"/>
  <c r="M1263" i="2"/>
  <c r="L1264" i="2"/>
  <c r="M1264" i="2"/>
  <c r="L1265" i="2"/>
  <c r="M1265" i="2"/>
  <c r="L1266" i="2"/>
  <c r="M1266" i="2"/>
  <c r="L1267" i="2"/>
  <c r="M1267" i="2"/>
  <c r="L1268" i="2"/>
  <c r="M1268" i="2"/>
  <c r="L1269" i="2"/>
  <c r="M1269" i="2"/>
  <c r="L1270" i="2"/>
  <c r="M1270" i="2"/>
  <c r="L1271" i="2"/>
  <c r="M1271" i="2"/>
  <c r="L1272" i="2"/>
  <c r="M1272" i="2"/>
  <c r="L1273" i="2"/>
  <c r="M1273" i="2"/>
  <c r="L1274" i="2"/>
  <c r="M1274" i="2"/>
  <c r="L1275" i="2"/>
  <c r="M1275" i="2"/>
  <c r="L1276" i="2"/>
  <c r="M1276" i="2"/>
  <c r="L1277" i="2"/>
  <c r="M1277" i="2"/>
  <c r="L1278" i="2"/>
  <c r="M1278" i="2"/>
  <c r="L1279" i="2"/>
  <c r="M1279" i="2"/>
  <c r="L1280" i="2"/>
  <c r="M1280" i="2"/>
  <c r="L1281" i="2"/>
  <c r="M1281" i="2"/>
  <c r="L1282" i="2"/>
  <c r="M1282" i="2"/>
  <c r="L1283" i="2"/>
  <c r="M1283" i="2"/>
  <c r="L1284" i="2"/>
  <c r="M1284" i="2"/>
  <c r="L1285" i="2"/>
  <c r="M1285" i="2"/>
  <c r="L1286" i="2"/>
  <c r="M1286" i="2"/>
  <c r="L1287" i="2"/>
  <c r="M1287" i="2"/>
  <c r="L1288" i="2"/>
  <c r="M1288" i="2"/>
  <c r="L1289" i="2"/>
  <c r="M1289" i="2"/>
  <c r="L1290" i="2"/>
  <c r="M1290" i="2"/>
  <c r="L1291" i="2"/>
  <c r="M1291" i="2"/>
  <c r="L1292" i="2"/>
  <c r="M1292" i="2"/>
  <c r="L1293" i="2"/>
  <c r="M1293" i="2"/>
  <c r="L1294" i="2"/>
  <c r="M1294" i="2"/>
  <c r="L1295" i="2"/>
  <c r="M1295" i="2"/>
  <c r="L1296" i="2"/>
  <c r="M1296" i="2"/>
  <c r="L1297" i="2"/>
  <c r="M1297" i="2"/>
  <c r="L1298" i="2"/>
  <c r="M1298" i="2"/>
  <c r="L1299" i="2"/>
  <c r="M1299" i="2"/>
  <c r="L1300" i="2"/>
  <c r="M1300" i="2"/>
  <c r="L1301" i="2"/>
  <c r="M1301" i="2"/>
  <c r="L1302" i="2"/>
  <c r="M1302" i="2"/>
  <c r="L1303" i="2"/>
  <c r="M1303" i="2"/>
  <c r="L1304" i="2"/>
  <c r="M1304" i="2"/>
  <c r="L1305" i="2"/>
  <c r="M1305" i="2"/>
  <c r="L1306" i="2"/>
  <c r="M1306" i="2"/>
  <c r="L1307" i="2"/>
  <c r="M1307" i="2"/>
  <c r="L1308" i="2"/>
  <c r="M1308" i="2"/>
  <c r="L1309" i="2"/>
  <c r="M1309" i="2"/>
  <c r="L1310" i="2"/>
  <c r="M1310" i="2"/>
  <c r="L1311" i="2"/>
  <c r="M1311" i="2"/>
  <c r="L1312" i="2"/>
  <c r="M1312" i="2"/>
  <c r="L1313" i="2"/>
  <c r="M1313" i="2"/>
  <c r="L1314" i="2"/>
  <c r="M1314" i="2"/>
  <c r="L1315" i="2"/>
  <c r="M1315" i="2"/>
  <c r="L1316" i="2"/>
  <c r="M1316" i="2"/>
  <c r="L1317" i="2"/>
  <c r="M1317" i="2"/>
  <c r="L1318" i="2"/>
  <c r="M1318" i="2"/>
  <c r="L1319" i="2"/>
  <c r="M1319" i="2"/>
  <c r="L1320" i="2"/>
  <c r="M1320" i="2"/>
  <c r="L1321" i="2"/>
  <c r="M1321" i="2"/>
  <c r="L1322" i="2"/>
  <c r="M1322" i="2"/>
  <c r="L1323" i="2"/>
  <c r="M1323" i="2"/>
  <c r="L1324" i="2"/>
  <c r="M1324" i="2"/>
  <c r="L1325" i="2"/>
  <c r="M1325" i="2"/>
  <c r="L1326" i="2"/>
  <c r="M1326" i="2"/>
  <c r="L1327" i="2"/>
  <c r="M1327" i="2"/>
  <c r="L1328" i="2"/>
  <c r="M1328" i="2"/>
  <c r="L1329" i="2"/>
  <c r="M1329" i="2"/>
  <c r="L1330" i="2"/>
  <c r="M1330" i="2"/>
  <c r="L1331" i="2"/>
  <c r="M1331" i="2"/>
  <c r="L1332" i="2"/>
  <c r="M1332" i="2"/>
  <c r="L1333" i="2"/>
  <c r="M1333" i="2"/>
  <c r="L1334" i="2"/>
  <c r="M1334" i="2"/>
  <c r="L1335" i="2"/>
  <c r="M1335" i="2"/>
  <c r="L1336" i="2"/>
  <c r="M1336" i="2"/>
  <c r="L1337" i="2"/>
  <c r="M1337" i="2"/>
  <c r="L1338" i="2"/>
  <c r="M1338" i="2"/>
  <c r="L1339" i="2"/>
  <c r="M1339" i="2"/>
  <c r="L1340" i="2"/>
  <c r="M1340" i="2"/>
  <c r="L1341" i="2"/>
  <c r="M1341" i="2"/>
  <c r="L1342" i="2"/>
  <c r="M1342" i="2"/>
  <c r="L1343" i="2"/>
  <c r="M1343" i="2"/>
  <c r="L1344" i="2"/>
  <c r="M1344" i="2"/>
  <c r="L1345" i="2"/>
  <c r="M1345" i="2"/>
  <c r="L1346" i="2"/>
  <c r="M1346" i="2"/>
  <c r="L1347" i="2"/>
  <c r="M1347" i="2"/>
  <c r="L1348" i="2"/>
  <c r="M1348" i="2"/>
  <c r="L1349" i="2"/>
  <c r="M1349" i="2"/>
  <c r="L1350" i="2"/>
  <c r="M1350" i="2"/>
  <c r="L1351" i="2"/>
  <c r="M1351" i="2"/>
  <c r="L1352" i="2"/>
  <c r="M1352" i="2"/>
  <c r="L1353" i="2"/>
  <c r="M1353" i="2"/>
  <c r="L1354" i="2"/>
  <c r="M1354" i="2"/>
  <c r="L1355" i="2"/>
  <c r="M1355" i="2"/>
  <c r="L1356" i="2"/>
  <c r="M1356" i="2"/>
  <c r="L1357" i="2"/>
  <c r="M1357" i="2"/>
  <c r="L1358" i="2"/>
  <c r="M1358" i="2"/>
  <c r="L1359" i="2"/>
  <c r="M1359" i="2"/>
  <c r="L1360" i="2"/>
  <c r="M1360" i="2"/>
  <c r="L1361" i="2"/>
  <c r="M1361" i="2"/>
  <c r="L1362" i="2"/>
  <c r="M1362" i="2"/>
  <c r="L1363" i="2"/>
  <c r="M1363" i="2"/>
  <c r="L1364" i="2"/>
  <c r="M1364" i="2"/>
  <c r="L1365" i="2"/>
  <c r="M1365" i="2"/>
  <c r="L1366" i="2"/>
  <c r="M1366" i="2"/>
  <c r="L1367" i="2"/>
  <c r="M1367" i="2"/>
  <c r="L1368" i="2"/>
  <c r="M1368" i="2"/>
  <c r="L1369" i="2"/>
  <c r="M1369" i="2"/>
  <c r="L1370" i="2"/>
  <c r="M1370" i="2"/>
  <c r="L1371" i="2"/>
  <c r="M1371" i="2"/>
  <c r="L1372" i="2"/>
  <c r="M1372" i="2"/>
  <c r="L1373" i="2"/>
  <c r="M1373" i="2"/>
  <c r="L1374" i="2"/>
  <c r="M1374" i="2"/>
  <c r="L1375" i="2"/>
  <c r="M1375" i="2"/>
  <c r="L1376" i="2"/>
  <c r="M1376" i="2"/>
  <c r="L1377" i="2"/>
  <c r="M1377" i="2"/>
  <c r="L1378" i="2"/>
  <c r="M1378" i="2"/>
  <c r="L1379" i="2"/>
  <c r="M1379" i="2"/>
  <c r="L1380" i="2"/>
  <c r="M1380" i="2"/>
  <c r="L1381" i="2"/>
  <c r="M1381" i="2"/>
  <c r="L1382" i="2"/>
  <c r="M1382" i="2"/>
  <c r="L1383" i="2"/>
  <c r="M1383" i="2"/>
  <c r="L1384" i="2"/>
  <c r="M1384" i="2"/>
  <c r="L1385" i="2"/>
  <c r="M1385" i="2"/>
  <c r="L1386" i="2"/>
  <c r="M1386" i="2"/>
  <c r="L1387" i="2"/>
  <c r="M1387" i="2"/>
  <c r="L1388" i="2"/>
  <c r="M1388" i="2"/>
  <c r="L1389" i="2"/>
  <c r="M1389" i="2"/>
  <c r="L1390" i="2"/>
  <c r="M1390" i="2"/>
  <c r="L1391" i="2"/>
  <c r="M1391" i="2"/>
  <c r="L1392" i="2"/>
  <c r="M1392" i="2"/>
  <c r="L1393" i="2"/>
  <c r="M1393" i="2"/>
  <c r="L1394" i="2"/>
  <c r="M1394" i="2"/>
  <c r="L1395" i="2"/>
  <c r="M1395" i="2"/>
  <c r="L1396" i="2"/>
  <c r="M1396" i="2"/>
  <c r="L1397" i="2"/>
  <c r="M1397" i="2"/>
  <c r="L1398" i="2"/>
  <c r="M1398" i="2"/>
  <c r="L1399" i="2"/>
  <c r="M1399" i="2"/>
  <c r="L1400" i="2"/>
  <c r="M1400" i="2"/>
  <c r="L1401" i="2"/>
  <c r="M1401" i="2"/>
  <c r="L1402" i="2"/>
  <c r="M1402" i="2"/>
  <c r="L1403" i="2"/>
  <c r="M1403" i="2"/>
  <c r="L1404" i="2"/>
  <c r="M1404" i="2"/>
  <c r="L1405" i="2"/>
  <c r="M1405" i="2"/>
  <c r="L1406" i="2"/>
  <c r="M1406" i="2"/>
  <c r="L1407" i="2"/>
  <c r="M1407" i="2"/>
  <c r="L1408" i="2"/>
  <c r="M1408" i="2"/>
  <c r="L1409" i="2"/>
  <c r="M1409" i="2"/>
  <c r="L1410" i="2"/>
  <c r="M1410" i="2"/>
  <c r="L1411" i="2"/>
  <c r="M1411" i="2"/>
  <c r="L1412" i="2"/>
  <c r="M1412" i="2"/>
  <c r="L1413" i="2"/>
  <c r="M1413" i="2"/>
  <c r="L1414" i="2"/>
  <c r="M1414" i="2"/>
  <c r="L1415" i="2"/>
  <c r="M1415" i="2"/>
  <c r="L1416" i="2"/>
  <c r="M1416" i="2"/>
  <c r="L1417" i="2"/>
  <c r="M1417" i="2"/>
  <c r="L1418" i="2"/>
  <c r="M1418" i="2"/>
  <c r="L1419" i="2"/>
  <c r="M1419" i="2"/>
  <c r="L1420" i="2"/>
  <c r="M1420" i="2"/>
  <c r="L1421" i="2"/>
  <c r="M1421" i="2"/>
  <c r="L1422" i="2"/>
  <c r="M1422" i="2"/>
  <c r="L1423" i="2"/>
  <c r="M1423" i="2"/>
  <c r="L1424" i="2"/>
  <c r="M1424" i="2"/>
  <c r="L1425" i="2"/>
  <c r="M1425" i="2"/>
  <c r="L1426" i="2"/>
  <c r="M1426" i="2"/>
  <c r="L1427" i="2"/>
  <c r="M1427" i="2"/>
  <c r="L1428" i="2"/>
  <c r="M1428" i="2"/>
  <c r="L1429" i="2"/>
  <c r="M1429" i="2"/>
  <c r="L1430" i="2"/>
  <c r="M1430" i="2"/>
  <c r="L1431" i="2"/>
  <c r="M1431" i="2"/>
  <c r="L1432" i="2"/>
  <c r="M1432" i="2"/>
  <c r="L1433" i="2"/>
  <c r="M1433" i="2"/>
  <c r="L1434" i="2"/>
  <c r="M1434" i="2"/>
  <c r="L1435" i="2"/>
  <c r="M1435" i="2"/>
  <c r="L1436" i="2"/>
  <c r="M1436" i="2"/>
  <c r="L1437" i="2"/>
  <c r="M1437" i="2"/>
  <c r="L1438" i="2"/>
  <c r="M1438" i="2"/>
  <c r="L1439" i="2"/>
  <c r="M1439" i="2"/>
  <c r="L1440" i="2"/>
  <c r="M1440" i="2"/>
  <c r="L1441" i="2"/>
  <c r="M1441" i="2"/>
  <c r="L1442" i="2"/>
  <c r="M1442" i="2"/>
  <c r="L1443" i="2"/>
  <c r="M1443" i="2"/>
  <c r="L1444" i="2"/>
  <c r="M1444" i="2"/>
  <c r="L1445" i="2"/>
  <c r="M1445" i="2"/>
  <c r="L1446" i="2"/>
  <c r="M1446" i="2"/>
  <c r="L1447" i="2"/>
  <c r="M1447" i="2"/>
  <c r="L1448" i="2"/>
  <c r="M1448" i="2"/>
  <c r="L1449" i="2"/>
  <c r="M1449" i="2"/>
  <c r="L1450" i="2"/>
  <c r="M1450" i="2"/>
  <c r="L1451" i="2"/>
  <c r="M1451" i="2"/>
  <c r="L1452" i="2"/>
  <c r="M1452" i="2"/>
  <c r="L1453" i="2"/>
  <c r="M1453" i="2"/>
  <c r="L1454" i="2"/>
  <c r="M1454" i="2"/>
  <c r="L1455" i="2"/>
  <c r="M1455" i="2"/>
  <c r="L1456" i="2"/>
  <c r="M1456" i="2"/>
  <c r="L1457" i="2"/>
  <c r="M1457" i="2"/>
  <c r="L1458" i="2"/>
  <c r="M1458" i="2"/>
  <c r="L1459" i="2"/>
  <c r="M1459" i="2"/>
  <c r="L1460" i="2"/>
  <c r="M1460" i="2"/>
  <c r="L1461" i="2"/>
  <c r="M1461" i="2"/>
  <c r="L1462" i="2"/>
  <c r="M1462" i="2"/>
  <c r="L1463" i="2"/>
  <c r="M1463" i="2"/>
  <c r="L1464" i="2"/>
  <c r="M1464" i="2"/>
  <c r="L1465" i="2"/>
  <c r="M1465" i="2"/>
  <c r="L1466" i="2"/>
  <c r="M1466" i="2"/>
  <c r="L1467" i="2"/>
  <c r="M1467" i="2"/>
  <c r="L1468" i="2"/>
  <c r="M1468" i="2"/>
  <c r="L1469" i="2"/>
  <c r="M1469" i="2"/>
  <c r="L1470" i="2"/>
  <c r="M1470" i="2"/>
  <c r="L1471" i="2"/>
  <c r="M1471" i="2"/>
  <c r="L1472" i="2"/>
  <c r="M1472" i="2"/>
  <c r="L1473" i="2"/>
  <c r="M1473" i="2"/>
  <c r="L1474" i="2"/>
  <c r="M1474" i="2"/>
  <c r="L1475" i="2"/>
  <c r="M1475" i="2"/>
  <c r="L1476" i="2"/>
  <c r="M1476" i="2"/>
  <c r="L1477" i="2"/>
  <c r="M1477" i="2"/>
  <c r="L1478" i="2"/>
  <c r="M1478" i="2"/>
  <c r="L1479" i="2"/>
  <c r="M1479" i="2"/>
  <c r="L1480" i="2"/>
  <c r="M1480" i="2"/>
  <c r="L1481" i="2"/>
  <c r="M1481" i="2"/>
  <c r="L1482" i="2"/>
  <c r="M1482" i="2"/>
  <c r="L1483" i="2"/>
  <c r="M1483" i="2"/>
  <c r="L1484" i="2"/>
  <c r="M1484" i="2"/>
  <c r="L1485" i="2"/>
  <c r="M1485" i="2"/>
  <c r="L1486" i="2"/>
  <c r="M1486" i="2"/>
  <c r="L1487" i="2"/>
  <c r="M1487" i="2"/>
  <c r="L1488" i="2"/>
  <c r="M1488" i="2"/>
  <c r="L1489" i="2"/>
  <c r="M1489" i="2"/>
  <c r="L1490" i="2"/>
  <c r="M1490" i="2"/>
  <c r="L1491" i="2"/>
  <c r="M1491" i="2"/>
  <c r="L1492" i="2"/>
  <c r="M1492" i="2"/>
  <c r="L1493" i="2"/>
  <c r="M1493" i="2"/>
  <c r="L1494" i="2"/>
  <c r="M1494" i="2"/>
  <c r="L1495" i="2"/>
  <c r="M1495" i="2"/>
  <c r="L1496" i="2"/>
  <c r="M1496" i="2"/>
  <c r="L1497" i="2"/>
  <c r="M1497" i="2"/>
  <c r="L1498" i="2"/>
  <c r="M1498" i="2"/>
  <c r="L1499" i="2"/>
  <c r="M1499" i="2"/>
  <c r="L1500" i="2"/>
  <c r="M1500" i="2"/>
  <c r="L1501" i="2"/>
  <c r="M1501" i="2"/>
  <c r="L1502" i="2"/>
  <c r="M1502" i="2"/>
  <c r="L1503" i="2"/>
  <c r="M1503" i="2"/>
  <c r="L1504" i="2"/>
  <c r="M1504" i="2"/>
  <c r="L1505" i="2"/>
  <c r="M1505" i="2"/>
  <c r="L1506" i="2"/>
  <c r="M1506" i="2"/>
  <c r="L1507" i="2"/>
  <c r="M1507" i="2"/>
  <c r="L1508" i="2"/>
  <c r="M1508" i="2"/>
  <c r="L1509" i="2"/>
  <c r="M1509" i="2"/>
  <c r="L1510" i="2"/>
  <c r="M1510" i="2"/>
  <c r="L1511" i="2"/>
  <c r="M1511" i="2"/>
  <c r="L1512" i="2"/>
  <c r="M1512" i="2"/>
  <c r="L1513" i="2"/>
  <c r="M1513" i="2"/>
  <c r="L1514" i="2"/>
  <c r="M1514" i="2"/>
  <c r="L1515" i="2"/>
  <c r="M1515" i="2"/>
  <c r="L1516" i="2"/>
  <c r="M1516" i="2"/>
  <c r="L1517" i="2"/>
  <c r="M1517" i="2"/>
  <c r="L1518" i="2"/>
  <c r="M1518" i="2"/>
  <c r="L1519" i="2"/>
  <c r="M1519" i="2"/>
  <c r="L1520" i="2"/>
  <c r="M1520" i="2"/>
  <c r="L1521" i="2"/>
  <c r="M1521" i="2"/>
  <c r="L1522" i="2"/>
  <c r="M1522" i="2"/>
  <c r="L1523" i="2"/>
  <c r="M1523" i="2"/>
  <c r="L1524" i="2"/>
  <c r="M1524" i="2"/>
  <c r="L1525" i="2"/>
  <c r="M1525" i="2"/>
  <c r="L1526" i="2"/>
  <c r="M1526" i="2"/>
  <c r="L1527" i="2"/>
  <c r="M1527" i="2"/>
  <c r="L1528" i="2"/>
  <c r="M1528" i="2"/>
  <c r="L1529" i="2"/>
  <c r="M1529" i="2"/>
  <c r="L1530" i="2"/>
  <c r="M1530" i="2"/>
  <c r="L1531" i="2"/>
  <c r="M1531" i="2"/>
  <c r="L1532" i="2"/>
  <c r="M1532" i="2"/>
  <c r="L1533" i="2"/>
  <c r="M1533" i="2"/>
  <c r="L1534" i="2"/>
  <c r="M1534" i="2"/>
  <c r="L1535" i="2"/>
  <c r="M1535" i="2"/>
  <c r="L1536" i="2"/>
  <c r="M1536" i="2"/>
  <c r="L1537" i="2"/>
  <c r="M1537" i="2"/>
  <c r="L1538" i="2"/>
  <c r="M1538" i="2"/>
  <c r="L1539" i="2"/>
  <c r="M1539" i="2"/>
  <c r="L1540" i="2"/>
  <c r="M1540" i="2"/>
  <c r="L1541" i="2"/>
  <c r="M1541" i="2"/>
  <c r="L1542" i="2"/>
  <c r="M1542" i="2"/>
  <c r="L1543" i="2"/>
  <c r="M1543" i="2"/>
  <c r="L1544" i="2"/>
  <c r="M1544" i="2"/>
  <c r="L1545" i="2"/>
  <c r="M1545" i="2"/>
  <c r="L1546" i="2"/>
  <c r="M1546" i="2"/>
  <c r="L1547" i="2"/>
  <c r="M1547" i="2"/>
  <c r="L1548" i="2"/>
  <c r="M1548" i="2"/>
  <c r="L1549" i="2"/>
  <c r="M1549" i="2"/>
  <c r="L1550" i="2"/>
  <c r="M1550" i="2"/>
  <c r="L1551" i="2"/>
  <c r="M1551" i="2"/>
  <c r="L1552" i="2"/>
  <c r="M1552" i="2"/>
  <c r="L1553" i="2"/>
  <c r="M1553" i="2"/>
  <c r="L1554" i="2"/>
  <c r="M1554" i="2"/>
  <c r="L1555" i="2"/>
  <c r="M1555" i="2"/>
  <c r="L1556" i="2"/>
  <c r="M1556" i="2"/>
  <c r="L1557" i="2"/>
  <c r="M1557" i="2"/>
  <c r="L1558" i="2"/>
  <c r="M1558" i="2"/>
  <c r="L1559" i="2"/>
  <c r="M1559" i="2"/>
  <c r="L1560" i="2"/>
  <c r="M1560" i="2"/>
  <c r="L1561" i="2"/>
  <c r="M1561" i="2"/>
  <c r="L1562" i="2"/>
  <c r="M1562" i="2"/>
  <c r="L1563" i="2"/>
  <c r="M1563" i="2"/>
  <c r="L1564" i="2"/>
  <c r="M1564" i="2"/>
  <c r="L1565" i="2"/>
  <c r="M1565" i="2"/>
  <c r="L1566" i="2"/>
  <c r="M1566" i="2"/>
  <c r="L1567" i="2"/>
  <c r="M1567" i="2"/>
  <c r="L1568" i="2"/>
  <c r="M1568" i="2"/>
  <c r="L1569" i="2"/>
  <c r="M1569" i="2"/>
  <c r="L1570" i="2"/>
  <c r="M1570" i="2"/>
  <c r="L1571" i="2"/>
  <c r="M1571" i="2"/>
  <c r="L1572" i="2"/>
  <c r="M1572" i="2"/>
  <c r="L1573" i="2"/>
  <c r="M1573" i="2"/>
  <c r="L1574" i="2"/>
  <c r="M1574" i="2"/>
  <c r="L1575" i="2"/>
  <c r="M1575" i="2"/>
  <c r="L1576" i="2"/>
  <c r="M1576" i="2"/>
  <c r="L1577" i="2"/>
  <c r="M1577" i="2"/>
  <c r="L1578" i="2"/>
  <c r="M1578" i="2"/>
  <c r="L1579" i="2"/>
  <c r="M1579" i="2"/>
  <c r="L1580" i="2"/>
  <c r="M1580" i="2"/>
  <c r="L1581" i="2"/>
  <c r="M1581" i="2"/>
  <c r="L1582" i="2"/>
  <c r="M1582" i="2"/>
  <c r="L1583" i="2"/>
  <c r="M1583" i="2"/>
  <c r="L1584" i="2"/>
  <c r="M1584" i="2"/>
  <c r="L1585" i="2"/>
  <c r="M1585" i="2"/>
  <c r="L1586" i="2"/>
  <c r="M1586" i="2"/>
  <c r="L1587" i="2"/>
  <c r="M1587" i="2"/>
  <c r="L1588" i="2"/>
  <c r="M1588" i="2"/>
  <c r="L1589" i="2"/>
  <c r="M1589" i="2"/>
  <c r="L1590" i="2"/>
  <c r="M1590" i="2"/>
  <c r="L1591" i="2"/>
  <c r="M1591" i="2"/>
  <c r="L1592" i="2"/>
  <c r="M1592" i="2"/>
  <c r="L1593" i="2"/>
  <c r="M1593" i="2"/>
  <c r="L1594" i="2"/>
  <c r="M1594" i="2"/>
  <c r="L1595" i="2"/>
  <c r="M1595" i="2"/>
  <c r="L1596" i="2"/>
  <c r="M1596" i="2"/>
  <c r="L1597" i="2"/>
  <c r="M1597" i="2"/>
  <c r="L1598" i="2"/>
  <c r="M1598" i="2"/>
  <c r="L1599" i="2"/>
  <c r="M1599" i="2"/>
  <c r="L1600" i="2"/>
  <c r="M1600" i="2"/>
  <c r="L1601" i="2"/>
  <c r="M1601" i="2"/>
  <c r="L1602" i="2"/>
  <c r="M1602" i="2"/>
  <c r="L1603" i="2"/>
  <c r="M1603" i="2"/>
  <c r="L1604" i="2"/>
  <c r="M1604" i="2"/>
  <c r="L1605" i="2"/>
  <c r="M1605" i="2"/>
  <c r="L1606" i="2"/>
  <c r="M1606" i="2"/>
  <c r="L1607" i="2"/>
  <c r="M1607" i="2"/>
  <c r="L1608" i="2"/>
  <c r="M1608" i="2"/>
  <c r="L1609" i="2"/>
  <c r="M1609" i="2"/>
  <c r="L1610" i="2"/>
  <c r="M1610" i="2"/>
  <c r="L1611" i="2"/>
  <c r="M1611" i="2"/>
  <c r="L1612" i="2"/>
  <c r="M1612" i="2"/>
  <c r="L1613" i="2"/>
  <c r="M1613" i="2"/>
  <c r="L1614" i="2"/>
  <c r="M1614" i="2"/>
  <c r="L1615" i="2"/>
  <c r="M1615" i="2"/>
  <c r="L1616" i="2"/>
  <c r="M1616" i="2"/>
  <c r="L1617" i="2"/>
  <c r="M1617" i="2"/>
  <c r="L1618" i="2"/>
  <c r="M1618" i="2"/>
  <c r="L1619" i="2"/>
  <c r="M1619" i="2"/>
  <c r="L1620" i="2"/>
  <c r="M1620" i="2"/>
  <c r="L1621" i="2"/>
  <c r="M1621" i="2"/>
  <c r="L1622" i="2"/>
  <c r="M1622" i="2"/>
  <c r="L1623" i="2"/>
  <c r="M1623" i="2"/>
  <c r="L1624" i="2"/>
  <c r="M1624" i="2"/>
  <c r="L1625" i="2"/>
  <c r="M1625" i="2"/>
  <c r="L1626" i="2"/>
  <c r="M1626" i="2"/>
  <c r="L1627" i="2"/>
  <c r="M1627" i="2"/>
  <c r="L1628" i="2"/>
  <c r="M1628" i="2"/>
  <c r="L1629" i="2"/>
  <c r="M1629" i="2"/>
  <c r="L1630" i="2"/>
  <c r="M1630" i="2"/>
  <c r="L1631" i="2"/>
  <c r="M1631" i="2"/>
  <c r="L1632" i="2"/>
  <c r="M1632" i="2"/>
  <c r="L1633" i="2"/>
  <c r="M1633" i="2"/>
  <c r="L1634" i="2"/>
  <c r="M1634" i="2"/>
  <c r="L1635" i="2"/>
  <c r="M1635" i="2"/>
  <c r="L1636" i="2"/>
  <c r="M1636" i="2"/>
  <c r="L1637" i="2"/>
  <c r="M1637" i="2"/>
  <c r="L1638" i="2"/>
  <c r="M1638" i="2"/>
  <c r="L1639" i="2"/>
  <c r="M1639" i="2"/>
  <c r="L1640" i="2"/>
  <c r="M1640" i="2"/>
  <c r="L1641" i="2"/>
  <c r="M1641" i="2"/>
  <c r="L1642" i="2"/>
  <c r="M1642" i="2"/>
  <c r="L1643" i="2"/>
  <c r="M1643" i="2"/>
  <c r="L1644" i="2"/>
  <c r="M1644" i="2"/>
  <c r="L1645" i="2"/>
  <c r="M1645" i="2"/>
  <c r="L1646" i="2"/>
  <c r="M1646" i="2"/>
  <c r="L1647" i="2"/>
  <c r="M1647" i="2"/>
  <c r="L1648" i="2"/>
  <c r="M1648" i="2"/>
  <c r="L1649" i="2"/>
  <c r="M1649" i="2"/>
  <c r="L1650" i="2"/>
  <c r="M1650" i="2"/>
  <c r="L1651" i="2"/>
  <c r="M1651" i="2"/>
  <c r="L1652" i="2"/>
  <c r="M1652" i="2"/>
  <c r="L1653" i="2"/>
  <c r="M1653" i="2"/>
  <c r="L1654" i="2"/>
  <c r="M1654" i="2"/>
  <c r="L1655" i="2"/>
  <c r="M1655" i="2"/>
  <c r="L1656" i="2"/>
  <c r="M1656" i="2"/>
  <c r="L1657" i="2"/>
  <c r="M1657" i="2"/>
  <c r="L1658" i="2"/>
  <c r="M1658" i="2"/>
  <c r="L1659" i="2"/>
  <c r="M1659" i="2"/>
  <c r="L1660" i="2"/>
  <c r="M1660" i="2"/>
  <c r="L1661" i="2"/>
  <c r="M1661" i="2"/>
  <c r="L1662" i="2"/>
  <c r="M1662" i="2"/>
  <c r="L1663" i="2"/>
  <c r="M1663" i="2"/>
  <c r="L1664" i="2"/>
  <c r="M1664" i="2"/>
  <c r="L1665" i="2"/>
  <c r="M1665" i="2"/>
  <c r="L1666" i="2"/>
  <c r="M1666" i="2"/>
  <c r="L1667" i="2"/>
  <c r="M1667" i="2"/>
  <c r="L1668" i="2"/>
  <c r="M1668" i="2"/>
  <c r="L1669" i="2"/>
  <c r="M1669" i="2"/>
  <c r="L1670" i="2"/>
  <c r="M1670" i="2"/>
  <c r="L1671" i="2"/>
  <c r="M1671" i="2"/>
  <c r="L1672" i="2"/>
  <c r="M1672" i="2"/>
  <c r="L1673" i="2"/>
  <c r="M1673" i="2"/>
  <c r="L1674" i="2"/>
  <c r="M1674" i="2"/>
  <c r="L1675" i="2"/>
  <c r="M1675" i="2"/>
  <c r="L1676" i="2"/>
  <c r="M1676" i="2"/>
  <c r="L1677" i="2"/>
  <c r="M1677" i="2"/>
  <c r="L1678" i="2"/>
  <c r="M1678" i="2"/>
  <c r="L1679" i="2"/>
  <c r="M1679" i="2"/>
  <c r="L1680" i="2"/>
  <c r="M1680" i="2"/>
  <c r="L1681" i="2"/>
  <c r="M1681" i="2"/>
  <c r="L1682" i="2"/>
  <c r="M1682" i="2"/>
  <c r="L1683" i="2"/>
  <c r="M1683" i="2"/>
  <c r="L1684" i="2"/>
  <c r="M1684" i="2"/>
  <c r="L1685" i="2"/>
  <c r="M1685" i="2"/>
  <c r="L1686" i="2"/>
  <c r="M1686" i="2"/>
  <c r="L1687" i="2"/>
  <c r="M1687" i="2"/>
  <c r="L1688" i="2"/>
  <c r="M1688" i="2"/>
  <c r="L1689" i="2"/>
  <c r="M1689" i="2"/>
  <c r="L1690" i="2"/>
  <c r="M1690" i="2"/>
  <c r="L1691" i="2"/>
  <c r="M1691" i="2"/>
  <c r="L1692" i="2"/>
  <c r="M1692" i="2"/>
  <c r="L1693" i="2"/>
  <c r="M1693" i="2"/>
  <c r="L1694" i="2"/>
  <c r="M1694" i="2"/>
  <c r="L1695" i="2"/>
  <c r="M1695" i="2"/>
  <c r="L1696" i="2"/>
  <c r="M1696" i="2"/>
  <c r="L1697" i="2"/>
  <c r="M1697" i="2"/>
  <c r="L1698" i="2"/>
  <c r="M1698" i="2"/>
  <c r="L1699" i="2"/>
  <c r="M1699" i="2"/>
  <c r="L1700" i="2"/>
  <c r="M1700" i="2"/>
  <c r="L1701" i="2"/>
  <c r="M1701" i="2"/>
  <c r="L1702" i="2"/>
  <c r="M1702" i="2"/>
  <c r="L1703" i="2"/>
  <c r="M1703" i="2"/>
  <c r="L1704" i="2"/>
  <c r="M1704" i="2"/>
  <c r="L1705" i="2"/>
  <c r="M1705" i="2"/>
  <c r="L1706" i="2"/>
  <c r="M1706" i="2"/>
  <c r="L1707" i="2"/>
  <c r="M1707" i="2"/>
  <c r="L1708" i="2"/>
  <c r="M1708" i="2"/>
  <c r="L1709" i="2"/>
  <c r="M1709" i="2"/>
  <c r="L1710" i="2"/>
  <c r="M1710" i="2"/>
  <c r="L1711" i="2"/>
  <c r="M1711" i="2"/>
  <c r="L1712" i="2"/>
  <c r="M1712" i="2"/>
  <c r="L1713" i="2"/>
  <c r="M1713" i="2"/>
  <c r="L1714" i="2"/>
  <c r="M1714" i="2"/>
  <c r="L1715" i="2"/>
  <c r="M1715" i="2"/>
  <c r="L1716" i="2"/>
  <c r="M1716" i="2"/>
  <c r="L1717" i="2"/>
  <c r="M1717" i="2"/>
  <c r="L1718" i="2"/>
  <c r="M1718" i="2"/>
  <c r="L1719" i="2"/>
  <c r="M1719" i="2"/>
  <c r="L1720" i="2"/>
  <c r="M1720" i="2"/>
  <c r="L1721" i="2"/>
  <c r="M1721" i="2"/>
  <c r="L1722" i="2"/>
  <c r="M1722" i="2"/>
  <c r="L1723" i="2"/>
  <c r="M1723" i="2"/>
  <c r="L1724" i="2"/>
  <c r="M1724" i="2"/>
  <c r="L1725" i="2"/>
  <c r="M1725" i="2"/>
  <c r="L1726" i="2"/>
  <c r="M1726" i="2"/>
  <c r="L1727" i="2"/>
  <c r="M1727" i="2"/>
  <c r="L1728" i="2"/>
  <c r="M1728" i="2"/>
  <c r="L1729" i="2"/>
  <c r="M1729" i="2"/>
  <c r="L1730" i="2"/>
  <c r="M1730" i="2"/>
  <c r="L1731" i="2"/>
  <c r="M1731" i="2"/>
  <c r="L1732" i="2"/>
  <c r="M1732" i="2"/>
  <c r="L1733" i="2"/>
  <c r="M1733" i="2"/>
  <c r="L1734" i="2"/>
  <c r="M1734" i="2"/>
  <c r="L1735" i="2"/>
  <c r="M1735" i="2"/>
  <c r="L1736" i="2"/>
  <c r="M1736" i="2"/>
  <c r="L1737" i="2"/>
  <c r="M1737" i="2"/>
  <c r="L1738" i="2"/>
  <c r="M1738" i="2"/>
  <c r="L1739" i="2"/>
  <c r="M1739" i="2"/>
  <c r="L1740" i="2"/>
  <c r="M1740" i="2"/>
  <c r="L1741" i="2"/>
  <c r="M1741" i="2"/>
  <c r="L1742" i="2"/>
  <c r="M1742" i="2"/>
  <c r="L1743" i="2"/>
  <c r="M1743" i="2"/>
  <c r="L1744" i="2"/>
  <c r="M1744" i="2"/>
  <c r="L1745" i="2"/>
  <c r="M1745" i="2"/>
  <c r="L1746" i="2"/>
  <c r="M1746" i="2"/>
  <c r="L1747" i="2"/>
  <c r="M1747" i="2"/>
  <c r="L1748" i="2"/>
  <c r="M1748" i="2"/>
  <c r="L1749" i="2"/>
  <c r="M1749" i="2"/>
  <c r="L1750" i="2"/>
  <c r="M1750" i="2"/>
  <c r="L1751" i="2"/>
  <c r="M1751" i="2"/>
  <c r="L1752" i="2"/>
  <c r="M1752" i="2"/>
  <c r="L1753" i="2"/>
  <c r="M1753" i="2"/>
  <c r="L1754" i="2"/>
  <c r="M1754" i="2"/>
  <c r="L1755" i="2"/>
  <c r="M1755" i="2"/>
  <c r="L1756" i="2"/>
  <c r="M1756" i="2"/>
  <c r="L1757" i="2"/>
  <c r="M1757" i="2"/>
  <c r="L1758" i="2"/>
  <c r="M1758" i="2"/>
  <c r="L1759" i="2"/>
  <c r="M1759" i="2"/>
  <c r="L1760" i="2"/>
  <c r="M1760" i="2"/>
  <c r="L1761" i="2"/>
  <c r="M1761" i="2"/>
  <c r="L1762" i="2"/>
  <c r="M1762" i="2"/>
  <c r="L1763" i="2"/>
  <c r="M1763" i="2"/>
  <c r="L1764" i="2"/>
  <c r="M1764" i="2"/>
  <c r="L1765" i="2"/>
  <c r="M1765" i="2"/>
  <c r="L1766" i="2"/>
  <c r="M1766" i="2"/>
  <c r="L1767" i="2"/>
  <c r="M1767" i="2"/>
  <c r="L1768" i="2"/>
  <c r="M1768" i="2"/>
  <c r="L1769" i="2"/>
  <c r="M1769" i="2"/>
  <c r="L1770" i="2"/>
  <c r="M1770" i="2"/>
  <c r="L1771" i="2"/>
  <c r="M1771" i="2"/>
  <c r="L1772" i="2"/>
  <c r="M1772" i="2"/>
  <c r="L1773" i="2"/>
  <c r="M1773" i="2"/>
  <c r="L1774" i="2"/>
  <c r="M1774" i="2"/>
  <c r="L1775" i="2"/>
  <c r="M1775" i="2"/>
  <c r="L1776" i="2"/>
  <c r="M1776" i="2"/>
  <c r="L1777" i="2"/>
  <c r="M1777" i="2"/>
  <c r="L1778" i="2"/>
  <c r="M1778" i="2"/>
  <c r="L1779" i="2"/>
  <c r="M1779" i="2"/>
  <c r="L1780" i="2"/>
  <c r="M1780" i="2"/>
  <c r="L1781" i="2"/>
  <c r="M1781" i="2"/>
  <c r="L1782" i="2"/>
  <c r="M1782" i="2"/>
  <c r="L1783" i="2"/>
  <c r="M1783" i="2"/>
  <c r="L1784" i="2"/>
  <c r="M1784" i="2"/>
  <c r="L1785" i="2"/>
  <c r="M1785" i="2"/>
  <c r="L1786" i="2"/>
  <c r="M1786" i="2"/>
  <c r="L1787" i="2"/>
  <c r="M1787" i="2"/>
  <c r="L1788" i="2"/>
  <c r="M1788" i="2"/>
  <c r="L1789" i="2"/>
  <c r="M1789" i="2"/>
  <c r="L1790" i="2"/>
  <c r="M1790" i="2"/>
  <c r="L1791" i="2"/>
  <c r="M1791" i="2"/>
  <c r="L1792" i="2"/>
  <c r="M1792" i="2"/>
  <c r="L1793" i="2"/>
  <c r="M1793" i="2"/>
  <c r="L1794" i="2"/>
  <c r="M1794" i="2"/>
  <c r="L1795" i="2"/>
  <c r="M1795" i="2"/>
  <c r="L1796" i="2"/>
  <c r="M1796" i="2"/>
  <c r="L1797" i="2"/>
  <c r="M1797" i="2"/>
  <c r="L1798" i="2"/>
  <c r="M1798" i="2"/>
  <c r="L1799" i="2"/>
  <c r="M1799" i="2"/>
  <c r="L1800" i="2"/>
  <c r="M1800" i="2"/>
  <c r="L1801" i="2"/>
  <c r="M1801" i="2"/>
  <c r="L1802" i="2"/>
  <c r="M1802" i="2"/>
  <c r="L1803" i="2"/>
  <c r="M1803" i="2"/>
  <c r="L1804" i="2"/>
  <c r="M1804" i="2"/>
  <c r="L1805" i="2"/>
  <c r="M1805" i="2"/>
  <c r="L1806" i="2"/>
  <c r="M1806" i="2"/>
  <c r="L1807" i="2"/>
  <c r="M1807" i="2"/>
  <c r="L1808" i="2"/>
  <c r="M1808" i="2"/>
  <c r="L1809" i="2"/>
  <c r="M1809" i="2"/>
  <c r="L1810" i="2"/>
  <c r="M1810" i="2"/>
  <c r="L1811" i="2"/>
  <c r="M1811" i="2"/>
  <c r="L1812" i="2"/>
  <c r="M1812" i="2"/>
  <c r="L1813" i="2"/>
  <c r="M1813" i="2"/>
  <c r="L1814" i="2"/>
  <c r="M1814" i="2"/>
  <c r="L1815" i="2"/>
  <c r="M1815" i="2"/>
  <c r="L1816" i="2"/>
  <c r="M1816" i="2"/>
  <c r="L1817" i="2"/>
  <c r="M1817" i="2"/>
  <c r="L1818" i="2"/>
  <c r="M1818" i="2"/>
  <c r="L1819" i="2"/>
  <c r="M1819" i="2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E28" i="3"/>
  <c r="A29" i="3"/>
  <c r="E29" i="3"/>
  <c r="A30" i="3"/>
  <c r="E30" i="3"/>
  <c r="A31" i="3"/>
  <c r="E31" i="3"/>
  <c r="A32" i="3"/>
  <c r="E32" i="3"/>
  <c r="A33" i="3"/>
  <c r="E33" i="3"/>
  <c r="A34" i="3"/>
  <c r="E34" i="3"/>
  <c r="A35" i="3"/>
  <c r="E35" i="3"/>
  <c r="A36" i="3"/>
  <c r="E36" i="3"/>
  <c r="A37" i="3"/>
  <c r="E37" i="3"/>
  <c r="A38" i="3"/>
  <c r="E38" i="3"/>
  <c r="A39" i="3"/>
  <c r="E39" i="3"/>
  <c r="A40" i="3"/>
  <c r="E40" i="3"/>
  <c r="A41" i="3"/>
  <c r="E41" i="3"/>
  <c r="A42" i="3"/>
  <c r="E42" i="3"/>
  <c r="A43" i="3"/>
  <c r="E43" i="3"/>
  <c r="A44" i="3"/>
  <c r="E44" i="3"/>
  <c r="A45" i="3"/>
  <c r="E45" i="3"/>
  <c r="A46" i="3"/>
  <c r="E46" i="3"/>
  <c r="A47" i="3"/>
  <c r="E47" i="3"/>
  <c r="A48" i="3"/>
  <c r="E48" i="3"/>
  <c r="A49" i="3"/>
  <c r="E49" i="3"/>
  <c r="A50" i="3"/>
  <c r="E50" i="3"/>
  <c r="A51" i="3"/>
  <c r="E51" i="3"/>
  <c r="A52" i="3"/>
  <c r="E52" i="3"/>
  <c r="A53" i="3"/>
  <c r="E53" i="3"/>
  <c r="A54" i="3"/>
  <c r="E54" i="3"/>
  <c r="A55" i="3"/>
  <c r="E55" i="3"/>
  <c r="A56" i="3"/>
  <c r="E56" i="3"/>
  <c r="A57" i="3"/>
  <c r="E57" i="3"/>
  <c r="A58" i="3"/>
  <c r="E58" i="3"/>
  <c r="A59" i="3"/>
  <c r="E59" i="3"/>
  <c r="A60" i="3"/>
  <c r="E60" i="3"/>
  <c r="A61" i="3"/>
  <c r="E61" i="3"/>
  <c r="A62" i="3"/>
  <c r="E62" i="3"/>
  <c r="A63" i="3"/>
  <c r="E63" i="3"/>
  <c r="A64" i="3"/>
  <c r="E64" i="3"/>
  <c r="A65" i="3"/>
  <c r="E65" i="3"/>
  <c r="A66" i="3"/>
  <c r="E66" i="3"/>
  <c r="A67" i="3"/>
  <c r="E67" i="3"/>
  <c r="A68" i="3"/>
  <c r="E68" i="3"/>
  <c r="A69" i="3"/>
  <c r="E69" i="3"/>
  <c r="A70" i="3"/>
  <c r="E70" i="3"/>
  <c r="A71" i="3"/>
  <c r="E71" i="3"/>
  <c r="A72" i="3"/>
  <c r="E72" i="3"/>
  <c r="A73" i="3"/>
  <c r="E73" i="3"/>
  <c r="A74" i="3"/>
  <c r="E74" i="3"/>
  <c r="A75" i="3"/>
  <c r="E75" i="3"/>
  <c r="A76" i="3"/>
  <c r="E76" i="3"/>
  <c r="A77" i="3"/>
  <c r="E77" i="3"/>
  <c r="A78" i="3"/>
  <c r="E78" i="3"/>
  <c r="A79" i="3"/>
  <c r="E79" i="3"/>
  <c r="A80" i="3"/>
  <c r="E80" i="3"/>
  <c r="A81" i="3"/>
  <c r="E81" i="3"/>
  <c r="A82" i="3"/>
  <c r="E82" i="3"/>
  <c r="A83" i="3"/>
  <c r="E83" i="3"/>
  <c r="A84" i="3"/>
  <c r="E84" i="3"/>
  <c r="A85" i="3"/>
  <c r="E85" i="3"/>
  <c r="A86" i="3"/>
  <c r="E86" i="3"/>
  <c r="A87" i="3"/>
  <c r="E87" i="3"/>
  <c r="A88" i="3"/>
  <c r="E88" i="3"/>
  <c r="A89" i="3"/>
  <c r="E89" i="3"/>
  <c r="A90" i="3"/>
  <c r="E90" i="3"/>
  <c r="A91" i="3"/>
  <c r="E91" i="3"/>
  <c r="A92" i="3"/>
  <c r="E92" i="3"/>
  <c r="A93" i="3"/>
  <c r="E93" i="3"/>
  <c r="A94" i="3"/>
  <c r="E94" i="3"/>
  <c r="A95" i="3"/>
  <c r="E95" i="3"/>
  <c r="A96" i="3"/>
  <c r="E96" i="3"/>
  <c r="A97" i="3"/>
  <c r="E97" i="3"/>
  <c r="A98" i="3"/>
  <c r="E98" i="3"/>
  <c r="A99" i="3"/>
  <c r="E99" i="3"/>
  <c r="A100" i="3"/>
  <c r="E100" i="3"/>
  <c r="A101" i="3"/>
  <c r="E101" i="3"/>
  <c r="A102" i="3"/>
  <c r="E102" i="3"/>
  <c r="A103" i="3"/>
  <c r="E103" i="3"/>
  <c r="A104" i="3"/>
  <c r="E104" i="3"/>
  <c r="A105" i="3"/>
  <c r="E105" i="3"/>
  <c r="A106" i="3"/>
  <c r="E106" i="3"/>
  <c r="A107" i="3"/>
  <c r="E107" i="3"/>
  <c r="A108" i="3"/>
  <c r="E108" i="3"/>
  <c r="A109" i="3"/>
  <c r="E109" i="3"/>
  <c r="A110" i="3"/>
  <c r="E110" i="3"/>
  <c r="A111" i="3"/>
  <c r="E111" i="3"/>
  <c r="A112" i="3"/>
  <c r="E112" i="3"/>
  <c r="A113" i="3"/>
  <c r="E113" i="3"/>
  <c r="A114" i="3"/>
  <c r="E114" i="3"/>
  <c r="A115" i="3"/>
  <c r="E115" i="3"/>
  <c r="A116" i="3"/>
  <c r="E116" i="3"/>
  <c r="A117" i="3"/>
  <c r="E117" i="3"/>
  <c r="A118" i="3"/>
  <c r="E118" i="3"/>
  <c r="A119" i="3"/>
  <c r="E119" i="3"/>
  <c r="A120" i="3"/>
  <c r="E120" i="3"/>
  <c r="A121" i="3"/>
  <c r="E121" i="3"/>
  <c r="A122" i="3"/>
  <c r="E122" i="3"/>
  <c r="A123" i="3"/>
  <c r="E123" i="3"/>
  <c r="A124" i="3"/>
  <c r="E124" i="3"/>
  <c r="A125" i="3"/>
  <c r="E125" i="3"/>
  <c r="A126" i="3"/>
  <c r="E126" i="3"/>
  <c r="A127" i="3"/>
  <c r="E127" i="3"/>
  <c r="A128" i="3"/>
  <c r="E128" i="3"/>
  <c r="A129" i="3"/>
  <c r="E129" i="3"/>
  <c r="A130" i="3"/>
  <c r="E130" i="3"/>
  <c r="A131" i="3"/>
  <c r="E131" i="3"/>
  <c r="A132" i="3"/>
  <c r="E132" i="3"/>
  <c r="A133" i="3"/>
  <c r="E133" i="3"/>
  <c r="A134" i="3"/>
  <c r="E134" i="3"/>
  <c r="A135" i="3"/>
  <c r="E135" i="3"/>
  <c r="A136" i="3"/>
  <c r="E136" i="3"/>
  <c r="A137" i="3"/>
  <c r="E137" i="3"/>
  <c r="A138" i="3"/>
  <c r="E138" i="3"/>
  <c r="A139" i="3"/>
  <c r="E139" i="3"/>
  <c r="A140" i="3"/>
  <c r="E140" i="3"/>
  <c r="A141" i="3"/>
  <c r="E141" i="3"/>
  <c r="A142" i="3"/>
  <c r="E142" i="3"/>
  <c r="A143" i="3"/>
  <c r="E143" i="3"/>
  <c r="A144" i="3"/>
  <c r="E144" i="3"/>
  <c r="A145" i="3"/>
  <c r="E145" i="3"/>
  <c r="A146" i="3"/>
  <c r="E146" i="3"/>
  <c r="A147" i="3"/>
  <c r="E147" i="3"/>
  <c r="A148" i="3"/>
  <c r="E148" i="3"/>
  <c r="A149" i="3"/>
  <c r="E149" i="3"/>
  <c r="A150" i="3"/>
  <c r="E150" i="3"/>
  <c r="A151" i="3"/>
  <c r="E151" i="3"/>
  <c r="A152" i="3"/>
  <c r="E152" i="3"/>
  <c r="A153" i="3"/>
  <c r="E153" i="3"/>
  <c r="A154" i="3"/>
  <c r="E154" i="3"/>
  <c r="A155" i="3"/>
  <c r="E155" i="3"/>
  <c r="A156" i="3"/>
  <c r="E156" i="3"/>
  <c r="A157" i="3"/>
  <c r="E157" i="3"/>
  <c r="A158" i="3"/>
  <c r="E158" i="3"/>
  <c r="A159" i="3"/>
  <c r="E159" i="3"/>
  <c r="A160" i="3"/>
  <c r="E160" i="3"/>
  <c r="A161" i="3"/>
  <c r="E161" i="3"/>
  <c r="A162" i="3"/>
  <c r="E162" i="3"/>
  <c r="A163" i="3"/>
  <c r="E163" i="3"/>
  <c r="A164" i="3"/>
  <c r="E164" i="3"/>
  <c r="A165" i="3"/>
  <c r="E165" i="3"/>
  <c r="A166" i="3"/>
  <c r="E166" i="3"/>
  <c r="A167" i="3"/>
  <c r="E167" i="3"/>
  <c r="A168" i="3"/>
  <c r="E168" i="3"/>
  <c r="A169" i="3"/>
  <c r="E169" i="3"/>
  <c r="A170" i="3"/>
  <c r="E170" i="3"/>
  <c r="A171" i="3"/>
  <c r="E171" i="3"/>
  <c r="A172" i="3"/>
  <c r="E172" i="3"/>
  <c r="A173" i="3"/>
  <c r="E173" i="3"/>
  <c r="A174" i="3"/>
  <c r="E174" i="3"/>
  <c r="A175" i="3"/>
  <c r="E175" i="3"/>
  <c r="A176" i="3"/>
  <c r="E176" i="3"/>
  <c r="A177" i="3"/>
  <c r="E177" i="3"/>
  <c r="A178" i="3"/>
  <c r="E178" i="3"/>
  <c r="A179" i="3"/>
  <c r="E179" i="3"/>
  <c r="A180" i="3"/>
  <c r="E180" i="3"/>
  <c r="A181" i="3"/>
  <c r="E181" i="3"/>
  <c r="A182" i="3"/>
  <c r="E182" i="3"/>
  <c r="A183" i="3"/>
  <c r="E183" i="3"/>
  <c r="A184" i="3"/>
  <c r="E184" i="3"/>
  <c r="A185" i="3"/>
  <c r="E185" i="3"/>
  <c r="A186" i="3"/>
  <c r="E186" i="3"/>
  <c r="A187" i="3"/>
  <c r="E187" i="3"/>
  <c r="A188" i="3"/>
  <c r="E188" i="3"/>
  <c r="A189" i="3"/>
  <c r="E189" i="3"/>
  <c r="A190" i="3"/>
  <c r="E190" i="3"/>
  <c r="A191" i="3"/>
  <c r="E191" i="3"/>
  <c r="A192" i="3"/>
  <c r="E192" i="3"/>
  <c r="A193" i="3"/>
  <c r="E193" i="3"/>
  <c r="A194" i="3"/>
  <c r="E194" i="3"/>
  <c r="A195" i="3"/>
  <c r="E195" i="3"/>
  <c r="A196" i="3"/>
  <c r="E196" i="3"/>
  <c r="A197" i="3"/>
  <c r="E197" i="3"/>
  <c r="A198" i="3"/>
  <c r="E198" i="3"/>
  <c r="A199" i="3"/>
  <c r="E199" i="3"/>
  <c r="A200" i="3"/>
  <c r="E200" i="3"/>
  <c r="A201" i="3"/>
  <c r="E201" i="3"/>
  <c r="A202" i="3"/>
  <c r="E202" i="3"/>
  <c r="A203" i="3"/>
  <c r="E203" i="3"/>
  <c r="A204" i="3"/>
  <c r="E204" i="3"/>
  <c r="A205" i="3"/>
  <c r="E205" i="3"/>
  <c r="A206" i="3"/>
  <c r="E206" i="3"/>
  <c r="A207" i="3"/>
  <c r="E207" i="3"/>
  <c r="A208" i="3"/>
  <c r="E208" i="3"/>
  <c r="A209" i="3"/>
  <c r="E209" i="3"/>
  <c r="A210" i="3"/>
  <c r="E210" i="3"/>
  <c r="A211" i="3"/>
  <c r="E211" i="3"/>
  <c r="A212" i="3"/>
  <c r="E212" i="3"/>
  <c r="A213" i="3"/>
  <c r="E213" i="3"/>
  <c r="A214" i="3"/>
  <c r="E214" i="3"/>
  <c r="A215" i="3"/>
  <c r="E215" i="3"/>
  <c r="A216" i="3"/>
  <c r="E216" i="3"/>
  <c r="A217" i="3"/>
  <c r="E217" i="3"/>
  <c r="A218" i="3"/>
  <c r="E218" i="3"/>
  <c r="A219" i="3"/>
  <c r="E219" i="3"/>
  <c r="A220" i="3"/>
  <c r="E220" i="3"/>
  <c r="A221" i="3"/>
  <c r="E221" i="3"/>
  <c r="A222" i="3"/>
  <c r="E222" i="3"/>
  <c r="A223" i="3"/>
  <c r="E223" i="3"/>
  <c r="A224" i="3"/>
  <c r="E224" i="3"/>
  <c r="A225" i="3"/>
  <c r="E225" i="3"/>
  <c r="A226" i="3"/>
  <c r="E226" i="3"/>
  <c r="A227" i="3"/>
  <c r="E227" i="3"/>
  <c r="A228" i="3"/>
  <c r="E228" i="3"/>
  <c r="A229" i="3"/>
  <c r="E229" i="3"/>
  <c r="A230" i="3"/>
  <c r="E230" i="3"/>
  <c r="A231" i="3"/>
  <c r="E231" i="3"/>
  <c r="A232" i="3"/>
  <c r="E232" i="3"/>
  <c r="A233" i="3"/>
  <c r="E233" i="3"/>
  <c r="A234" i="3"/>
  <c r="E234" i="3"/>
  <c r="A235" i="3"/>
  <c r="E235" i="3"/>
  <c r="A236" i="3"/>
  <c r="E236" i="3"/>
  <c r="A237" i="3"/>
  <c r="E237" i="3"/>
  <c r="A238" i="3"/>
  <c r="E238" i="3"/>
  <c r="A239" i="3"/>
  <c r="E239" i="3"/>
  <c r="A240" i="3"/>
  <c r="E240" i="3"/>
  <c r="A241" i="3"/>
  <c r="E241" i="3"/>
  <c r="A242" i="3"/>
  <c r="E242" i="3"/>
  <c r="A243" i="3"/>
  <c r="E243" i="3"/>
  <c r="A244" i="3"/>
  <c r="E244" i="3"/>
  <c r="A245" i="3"/>
  <c r="E245" i="3"/>
  <c r="A246" i="3"/>
  <c r="E246" i="3"/>
  <c r="A247" i="3"/>
  <c r="E247" i="3"/>
  <c r="A248" i="3"/>
  <c r="E248" i="3"/>
  <c r="A249" i="3"/>
  <c r="E249" i="3"/>
  <c r="A250" i="3"/>
  <c r="E250" i="3"/>
  <c r="A251" i="3"/>
  <c r="E251" i="3"/>
  <c r="A252" i="3"/>
  <c r="E252" i="3"/>
  <c r="A253" i="3"/>
  <c r="E253" i="3"/>
  <c r="A254" i="3"/>
  <c r="E254" i="3"/>
  <c r="A255" i="3"/>
  <c r="E255" i="3"/>
  <c r="A256" i="3"/>
  <c r="E256" i="3"/>
  <c r="A257" i="3"/>
  <c r="E257" i="3"/>
  <c r="A258" i="3"/>
  <c r="E258" i="3"/>
  <c r="A259" i="3"/>
  <c r="E259" i="3"/>
  <c r="A260" i="3"/>
  <c r="E260" i="3"/>
  <c r="A261" i="3"/>
  <c r="E261" i="3"/>
  <c r="A262" i="3"/>
  <c r="E262" i="3"/>
  <c r="A263" i="3"/>
  <c r="E263" i="3"/>
  <c r="A264" i="3"/>
  <c r="E264" i="3"/>
  <c r="A265" i="3"/>
  <c r="E265" i="3"/>
  <c r="A266" i="3"/>
  <c r="E266" i="3"/>
  <c r="A267" i="3"/>
  <c r="E267" i="3"/>
  <c r="A268" i="3"/>
  <c r="E268" i="3"/>
  <c r="A269" i="3"/>
  <c r="E269" i="3"/>
  <c r="A270" i="3"/>
  <c r="E270" i="3"/>
  <c r="A271" i="3"/>
  <c r="E271" i="3"/>
  <c r="A272" i="3"/>
  <c r="E272" i="3"/>
  <c r="A273" i="3"/>
  <c r="E273" i="3"/>
  <c r="A274" i="3"/>
  <c r="E274" i="3"/>
  <c r="A275" i="3"/>
  <c r="E275" i="3"/>
  <c r="A276" i="3"/>
  <c r="E276" i="3"/>
  <c r="A277" i="3"/>
  <c r="E277" i="3"/>
  <c r="A278" i="3"/>
  <c r="E278" i="3"/>
  <c r="A279" i="3"/>
  <c r="E279" i="3"/>
  <c r="A280" i="3"/>
  <c r="E280" i="3"/>
  <c r="A281" i="3"/>
  <c r="E281" i="3"/>
  <c r="A282" i="3"/>
  <c r="E282" i="3"/>
  <c r="A283" i="3"/>
  <c r="E283" i="3"/>
  <c r="A284" i="3"/>
  <c r="E284" i="3"/>
  <c r="A285" i="3"/>
  <c r="E285" i="3"/>
  <c r="A286" i="3"/>
  <c r="E286" i="3"/>
  <c r="A287" i="3"/>
  <c r="E287" i="3"/>
  <c r="A288" i="3"/>
  <c r="E288" i="3"/>
  <c r="A289" i="3"/>
  <c r="E289" i="3"/>
  <c r="A290" i="3"/>
  <c r="E290" i="3"/>
  <c r="A291" i="3"/>
  <c r="E291" i="3"/>
  <c r="A292" i="3"/>
  <c r="E292" i="3"/>
  <c r="A293" i="3"/>
  <c r="E293" i="3"/>
  <c r="A294" i="3"/>
  <c r="E294" i="3"/>
  <c r="A295" i="3"/>
  <c r="E295" i="3"/>
  <c r="A296" i="3"/>
  <c r="E296" i="3"/>
  <c r="A297" i="3"/>
  <c r="E297" i="3"/>
  <c r="A298" i="3"/>
  <c r="E298" i="3"/>
  <c r="A299" i="3"/>
  <c r="E299" i="3"/>
  <c r="A300" i="3"/>
  <c r="E300" i="3"/>
  <c r="A301" i="3"/>
  <c r="E301" i="3"/>
  <c r="A302" i="3"/>
  <c r="E302" i="3"/>
  <c r="A303" i="3"/>
  <c r="E303" i="3"/>
  <c r="A304" i="3"/>
  <c r="E304" i="3"/>
  <c r="A305" i="3"/>
  <c r="E305" i="3"/>
  <c r="A306" i="3"/>
  <c r="E306" i="3"/>
  <c r="A307" i="3"/>
  <c r="E307" i="3"/>
  <c r="A308" i="3"/>
  <c r="E308" i="3"/>
  <c r="A309" i="3"/>
  <c r="E309" i="3"/>
  <c r="A310" i="3"/>
  <c r="E310" i="3"/>
  <c r="A311" i="3"/>
  <c r="E311" i="3"/>
  <c r="A312" i="3"/>
  <c r="E312" i="3"/>
  <c r="A313" i="3"/>
  <c r="E313" i="3"/>
  <c r="A314" i="3"/>
  <c r="E314" i="3"/>
  <c r="A315" i="3"/>
  <c r="E315" i="3"/>
  <c r="A316" i="3"/>
  <c r="E316" i="3"/>
  <c r="A317" i="3"/>
  <c r="E317" i="3"/>
  <c r="A318" i="3"/>
  <c r="E318" i="3"/>
  <c r="A319" i="3"/>
  <c r="E319" i="3"/>
  <c r="A320" i="3"/>
  <c r="E320" i="3"/>
  <c r="A321" i="3"/>
  <c r="E321" i="3"/>
  <c r="A322" i="3"/>
  <c r="E322" i="3"/>
  <c r="A323" i="3"/>
  <c r="E323" i="3"/>
  <c r="A324" i="3"/>
  <c r="E324" i="3"/>
  <c r="A325" i="3"/>
  <c r="E325" i="3"/>
  <c r="A326" i="3"/>
  <c r="E326" i="3"/>
  <c r="A327" i="3"/>
  <c r="E327" i="3"/>
  <c r="A328" i="3"/>
  <c r="E328" i="3"/>
  <c r="A329" i="3"/>
  <c r="E329" i="3"/>
  <c r="A330" i="3"/>
  <c r="E330" i="3"/>
  <c r="A331" i="3"/>
  <c r="E331" i="3"/>
  <c r="A332" i="3"/>
  <c r="E332" i="3"/>
  <c r="A333" i="3"/>
  <c r="E333" i="3"/>
  <c r="A334" i="3"/>
  <c r="E334" i="3"/>
  <c r="A335" i="3"/>
  <c r="E335" i="3"/>
  <c r="A336" i="3"/>
  <c r="E336" i="3"/>
  <c r="A337" i="3"/>
  <c r="E337" i="3"/>
  <c r="A338" i="3"/>
  <c r="E338" i="3"/>
  <c r="A339" i="3"/>
  <c r="E339" i="3"/>
  <c r="A340" i="3"/>
  <c r="E340" i="3"/>
  <c r="A341" i="3"/>
  <c r="E341" i="3"/>
  <c r="A342" i="3"/>
  <c r="E342" i="3"/>
  <c r="A343" i="3"/>
  <c r="E343" i="3"/>
  <c r="A344" i="3"/>
  <c r="E344" i="3"/>
  <c r="A345" i="3"/>
  <c r="E345" i="3"/>
  <c r="A346" i="3"/>
  <c r="E346" i="3"/>
  <c r="A347" i="3"/>
  <c r="E347" i="3"/>
  <c r="A348" i="3"/>
  <c r="E348" i="3"/>
  <c r="A349" i="3"/>
  <c r="E349" i="3"/>
  <c r="A350" i="3"/>
  <c r="E350" i="3"/>
  <c r="A351" i="3"/>
  <c r="E351" i="3"/>
  <c r="A352" i="3"/>
  <c r="E352" i="3"/>
  <c r="A353" i="3"/>
  <c r="E353" i="3"/>
  <c r="A354" i="3"/>
  <c r="E354" i="3"/>
  <c r="A355" i="3"/>
  <c r="E355" i="3"/>
  <c r="A356" i="3"/>
  <c r="E356" i="3"/>
  <c r="A357" i="3"/>
  <c r="E357" i="3"/>
  <c r="A358" i="3"/>
  <c r="E358" i="3"/>
  <c r="A359" i="3"/>
  <c r="E359" i="3"/>
  <c r="A360" i="3"/>
  <c r="E360" i="3"/>
  <c r="A361" i="3"/>
  <c r="E361" i="3"/>
  <c r="A362" i="3"/>
  <c r="E362" i="3"/>
  <c r="A363" i="3"/>
  <c r="E363" i="3"/>
  <c r="A364" i="3"/>
  <c r="E364" i="3"/>
  <c r="A365" i="3"/>
  <c r="E365" i="3"/>
  <c r="A366" i="3"/>
  <c r="E366" i="3"/>
  <c r="A367" i="3"/>
  <c r="E367" i="3"/>
  <c r="A368" i="3"/>
  <c r="E368" i="3"/>
  <c r="A369" i="3"/>
  <c r="E369" i="3"/>
  <c r="A370" i="3"/>
  <c r="E370" i="3"/>
  <c r="A371" i="3"/>
  <c r="E371" i="3"/>
  <c r="A372" i="3"/>
  <c r="E372" i="3"/>
  <c r="A373" i="3"/>
  <c r="E373" i="3"/>
  <c r="A374" i="3"/>
  <c r="E374" i="3"/>
  <c r="A375" i="3"/>
  <c r="E375" i="3"/>
  <c r="A376" i="3"/>
  <c r="E376" i="3"/>
  <c r="A377" i="3"/>
  <c r="E377" i="3"/>
  <c r="A378" i="3"/>
  <c r="E378" i="3"/>
  <c r="A379" i="3"/>
  <c r="E379" i="3"/>
  <c r="A380" i="3"/>
  <c r="E380" i="3"/>
  <c r="A381" i="3"/>
  <c r="E381" i="3"/>
  <c r="A382" i="3"/>
  <c r="E382" i="3"/>
  <c r="A383" i="3"/>
  <c r="E383" i="3"/>
  <c r="A384" i="3"/>
  <c r="E384" i="3"/>
  <c r="A385" i="3"/>
  <c r="E385" i="3"/>
  <c r="A386" i="3"/>
  <c r="E386" i="3"/>
  <c r="A387" i="3"/>
  <c r="E387" i="3"/>
  <c r="A388" i="3"/>
  <c r="E388" i="3"/>
  <c r="A389" i="3"/>
  <c r="E389" i="3"/>
  <c r="A390" i="3"/>
  <c r="E390" i="3"/>
  <c r="A391" i="3"/>
  <c r="E391" i="3"/>
  <c r="A392" i="3"/>
  <c r="E392" i="3"/>
  <c r="A393" i="3"/>
  <c r="E393" i="3"/>
  <c r="A394" i="3"/>
  <c r="E394" i="3"/>
  <c r="A395" i="3"/>
  <c r="E395" i="3"/>
  <c r="A396" i="3"/>
  <c r="E396" i="3"/>
  <c r="A397" i="3"/>
  <c r="E397" i="3"/>
  <c r="A398" i="3"/>
  <c r="E398" i="3"/>
  <c r="A399" i="3"/>
  <c r="E399" i="3"/>
  <c r="A400" i="3"/>
  <c r="E400" i="3"/>
  <c r="A401" i="3"/>
  <c r="E401" i="3"/>
  <c r="A402" i="3"/>
  <c r="E402" i="3"/>
  <c r="A403" i="3"/>
  <c r="E403" i="3"/>
  <c r="A404" i="3"/>
  <c r="E404" i="3"/>
  <c r="A405" i="3"/>
  <c r="E405" i="3"/>
  <c r="A406" i="3"/>
  <c r="E406" i="3"/>
  <c r="A407" i="3"/>
  <c r="E407" i="3"/>
  <c r="A408" i="3"/>
  <c r="E408" i="3"/>
  <c r="A409" i="3"/>
  <c r="E409" i="3"/>
  <c r="A410" i="3"/>
  <c r="E410" i="3"/>
  <c r="A411" i="3"/>
  <c r="E411" i="3"/>
  <c r="A412" i="3"/>
  <c r="E412" i="3"/>
  <c r="A413" i="3"/>
  <c r="E413" i="3"/>
  <c r="A414" i="3"/>
  <c r="E414" i="3"/>
  <c r="A415" i="3"/>
  <c r="E415" i="3"/>
  <c r="A416" i="3"/>
  <c r="E416" i="3"/>
  <c r="A417" i="3"/>
  <c r="E417" i="3"/>
  <c r="A418" i="3"/>
  <c r="E418" i="3"/>
  <c r="A419" i="3"/>
  <c r="E419" i="3"/>
  <c r="A420" i="3"/>
  <c r="E420" i="3"/>
  <c r="A421" i="3"/>
  <c r="E421" i="3"/>
  <c r="A422" i="3"/>
  <c r="E422" i="3"/>
  <c r="A423" i="3"/>
  <c r="E423" i="3"/>
  <c r="A424" i="3"/>
  <c r="E424" i="3"/>
  <c r="A425" i="3"/>
  <c r="E425" i="3"/>
  <c r="A426" i="3"/>
  <c r="E426" i="3"/>
  <c r="A427" i="3"/>
  <c r="E427" i="3"/>
  <c r="A428" i="3"/>
  <c r="E428" i="3"/>
  <c r="A429" i="3"/>
  <c r="E429" i="3"/>
  <c r="A430" i="3"/>
  <c r="E430" i="3"/>
  <c r="A431" i="3"/>
  <c r="E431" i="3"/>
  <c r="A432" i="3"/>
  <c r="E432" i="3"/>
  <c r="A433" i="3"/>
  <c r="E433" i="3"/>
  <c r="A434" i="3"/>
  <c r="E434" i="3"/>
  <c r="A435" i="3"/>
  <c r="E435" i="3"/>
  <c r="A436" i="3"/>
  <c r="E436" i="3"/>
  <c r="A437" i="3"/>
  <c r="E437" i="3"/>
  <c r="A438" i="3"/>
  <c r="E438" i="3"/>
  <c r="A439" i="3"/>
  <c r="E439" i="3"/>
  <c r="A440" i="3"/>
  <c r="E440" i="3"/>
  <c r="A441" i="3"/>
  <c r="E441" i="3"/>
  <c r="A442" i="3"/>
  <c r="E442" i="3"/>
  <c r="A443" i="3"/>
  <c r="E443" i="3"/>
  <c r="A444" i="3"/>
  <c r="E444" i="3"/>
  <c r="A445" i="3"/>
  <c r="E445" i="3"/>
  <c r="A446" i="3"/>
  <c r="E446" i="3"/>
  <c r="A447" i="3"/>
  <c r="E447" i="3"/>
  <c r="A448" i="3"/>
  <c r="E448" i="3"/>
  <c r="A449" i="3"/>
  <c r="E449" i="3"/>
  <c r="A450" i="3"/>
  <c r="E450" i="3"/>
  <c r="A451" i="3"/>
  <c r="E451" i="3"/>
  <c r="A452" i="3"/>
  <c r="E452" i="3"/>
  <c r="A453" i="3"/>
  <c r="E453" i="3"/>
  <c r="A454" i="3"/>
  <c r="E454" i="3"/>
  <c r="A455" i="3"/>
  <c r="E455" i="3"/>
  <c r="A456" i="3"/>
  <c r="E456" i="3"/>
  <c r="A457" i="3"/>
  <c r="E457" i="3"/>
  <c r="A458" i="3"/>
  <c r="E458" i="3"/>
  <c r="A459" i="3"/>
  <c r="E459" i="3"/>
  <c r="A460" i="3"/>
  <c r="E460" i="3"/>
  <c r="A461" i="3"/>
  <c r="E461" i="3"/>
  <c r="A462" i="3"/>
  <c r="E462" i="3"/>
  <c r="A463" i="3"/>
  <c r="E463" i="3"/>
  <c r="A464" i="3"/>
  <c r="E464" i="3"/>
  <c r="A465" i="3"/>
  <c r="E465" i="3"/>
  <c r="A466" i="3"/>
  <c r="E466" i="3"/>
  <c r="A467" i="3"/>
  <c r="E467" i="3"/>
  <c r="A468" i="3"/>
  <c r="E468" i="3"/>
  <c r="A469" i="3"/>
  <c r="E469" i="3"/>
  <c r="A470" i="3"/>
  <c r="E470" i="3"/>
  <c r="A471" i="3"/>
  <c r="E471" i="3"/>
  <c r="A472" i="3"/>
  <c r="E472" i="3"/>
  <c r="A473" i="3"/>
  <c r="E473" i="3"/>
  <c r="A474" i="3"/>
  <c r="E474" i="3"/>
  <c r="A475" i="3"/>
  <c r="E475" i="3"/>
  <c r="A476" i="3"/>
  <c r="E476" i="3"/>
  <c r="A477" i="3"/>
  <c r="E477" i="3"/>
  <c r="A478" i="3"/>
  <c r="E478" i="3"/>
  <c r="A479" i="3"/>
  <c r="E479" i="3"/>
  <c r="A480" i="3"/>
  <c r="E480" i="3"/>
  <c r="A481" i="3"/>
  <c r="E481" i="3"/>
  <c r="A482" i="3"/>
  <c r="E482" i="3"/>
  <c r="A483" i="3"/>
  <c r="E483" i="3"/>
  <c r="A484" i="3"/>
  <c r="E484" i="3"/>
  <c r="A485" i="3"/>
  <c r="E485" i="3"/>
  <c r="A486" i="3"/>
  <c r="E486" i="3"/>
  <c r="A487" i="3"/>
  <c r="E487" i="3"/>
  <c r="A488" i="3"/>
  <c r="E488" i="3"/>
  <c r="A489" i="3"/>
  <c r="E489" i="3"/>
  <c r="A490" i="3"/>
  <c r="E490" i="3"/>
  <c r="A491" i="3"/>
  <c r="E491" i="3"/>
  <c r="A492" i="3"/>
  <c r="E492" i="3"/>
  <c r="A493" i="3"/>
  <c r="E493" i="3"/>
  <c r="A494" i="3"/>
  <c r="E494" i="3"/>
  <c r="A495" i="3"/>
  <c r="E495" i="3"/>
  <c r="A496" i="3"/>
  <c r="E496" i="3"/>
  <c r="A497" i="3"/>
  <c r="E497" i="3"/>
  <c r="A498" i="3"/>
  <c r="E498" i="3"/>
  <c r="A499" i="3"/>
  <c r="E499" i="3"/>
  <c r="A500" i="3"/>
  <c r="E500" i="3"/>
  <c r="A501" i="3"/>
  <c r="E501" i="3"/>
  <c r="A502" i="3"/>
  <c r="E502" i="3"/>
  <c r="A503" i="3"/>
  <c r="E503" i="3"/>
  <c r="A504" i="3"/>
  <c r="E504" i="3"/>
  <c r="A505" i="3"/>
  <c r="E505" i="3"/>
  <c r="A506" i="3"/>
  <c r="E506" i="3"/>
  <c r="A507" i="3"/>
  <c r="E507" i="3"/>
  <c r="A508" i="3"/>
  <c r="E508" i="3"/>
  <c r="A509" i="3"/>
  <c r="E509" i="3"/>
  <c r="A510" i="3"/>
  <c r="E510" i="3"/>
  <c r="A511" i="3"/>
  <c r="E511" i="3"/>
  <c r="A512" i="3"/>
  <c r="E512" i="3"/>
  <c r="A513" i="3"/>
  <c r="E513" i="3"/>
  <c r="A514" i="3"/>
  <c r="E514" i="3"/>
  <c r="A515" i="3"/>
  <c r="E515" i="3"/>
  <c r="A516" i="3"/>
  <c r="E516" i="3"/>
  <c r="A517" i="3"/>
  <c r="E517" i="3"/>
  <c r="A518" i="3"/>
  <c r="E518" i="3"/>
  <c r="A519" i="3"/>
  <c r="E519" i="3"/>
  <c r="A520" i="3"/>
  <c r="E520" i="3"/>
  <c r="A521" i="3"/>
  <c r="E521" i="3"/>
  <c r="A522" i="3"/>
  <c r="E522" i="3"/>
  <c r="A523" i="3"/>
  <c r="E523" i="3"/>
  <c r="A524" i="3"/>
  <c r="E524" i="3"/>
  <c r="A525" i="3"/>
  <c r="E525" i="3"/>
  <c r="A526" i="3"/>
  <c r="E526" i="3"/>
  <c r="A527" i="3"/>
  <c r="E527" i="3"/>
  <c r="A528" i="3"/>
  <c r="E528" i="3"/>
  <c r="A529" i="3"/>
  <c r="E529" i="3"/>
  <c r="A530" i="3"/>
  <c r="E530" i="3"/>
  <c r="A531" i="3"/>
  <c r="E531" i="3"/>
  <c r="A532" i="3"/>
  <c r="E532" i="3"/>
  <c r="A533" i="3"/>
  <c r="E533" i="3"/>
  <c r="A534" i="3"/>
  <c r="E534" i="3"/>
  <c r="A535" i="3"/>
  <c r="E535" i="3"/>
  <c r="A536" i="3"/>
  <c r="E536" i="3"/>
  <c r="A537" i="3"/>
  <c r="E537" i="3"/>
  <c r="A538" i="3"/>
  <c r="E538" i="3"/>
  <c r="A539" i="3"/>
  <c r="E539" i="3"/>
  <c r="A540" i="3"/>
  <c r="E540" i="3"/>
  <c r="A541" i="3"/>
  <c r="E541" i="3"/>
  <c r="A542" i="3"/>
  <c r="E542" i="3"/>
  <c r="A543" i="3"/>
  <c r="E543" i="3"/>
  <c r="A544" i="3"/>
  <c r="E544" i="3"/>
  <c r="A545" i="3"/>
  <c r="E545" i="3"/>
  <c r="A546" i="3"/>
  <c r="E546" i="3"/>
  <c r="A547" i="3"/>
  <c r="E547" i="3"/>
  <c r="A548" i="3"/>
  <c r="E548" i="3"/>
  <c r="A549" i="3"/>
  <c r="E549" i="3"/>
  <c r="A550" i="3"/>
  <c r="E550" i="3"/>
  <c r="A551" i="3"/>
  <c r="E551" i="3"/>
  <c r="A552" i="3"/>
  <c r="E552" i="3"/>
  <c r="A553" i="3"/>
  <c r="E553" i="3"/>
  <c r="A554" i="3"/>
  <c r="E554" i="3"/>
  <c r="A555" i="3"/>
  <c r="E555" i="3"/>
  <c r="A556" i="3"/>
  <c r="E556" i="3"/>
  <c r="A557" i="3"/>
  <c r="E557" i="3"/>
  <c r="A558" i="3"/>
  <c r="E558" i="3"/>
  <c r="A559" i="3"/>
  <c r="E559" i="3"/>
  <c r="A560" i="3"/>
  <c r="E560" i="3"/>
  <c r="A561" i="3"/>
  <c r="E561" i="3"/>
  <c r="A562" i="3"/>
  <c r="E562" i="3"/>
  <c r="A563" i="3"/>
  <c r="E563" i="3"/>
  <c r="A564" i="3"/>
  <c r="E564" i="3"/>
  <c r="A565" i="3"/>
  <c r="E565" i="3"/>
  <c r="A566" i="3"/>
  <c r="E566" i="3"/>
  <c r="A567" i="3"/>
  <c r="E567" i="3"/>
  <c r="A568" i="3"/>
  <c r="E568" i="3"/>
  <c r="A569" i="3"/>
  <c r="E569" i="3"/>
  <c r="A570" i="3"/>
  <c r="E570" i="3"/>
  <c r="A571" i="3"/>
  <c r="E571" i="3"/>
  <c r="A572" i="3"/>
  <c r="E572" i="3"/>
  <c r="A573" i="3"/>
  <c r="E573" i="3"/>
  <c r="A574" i="3"/>
  <c r="E574" i="3"/>
  <c r="A575" i="3"/>
  <c r="E575" i="3"/>
  <c r="A576" i="3"/>
  <c r="E576" i="3"/>
  <c r="A577" i="3"/>
  <c r="E577" i="3"/>
  <c r="A578" i="3"/>
  <c r="E578" i="3"/>
  <c r="A579" i="3"/>
  <c r="E579" i="3"/>
  <c r="A580" i="3"/>
  <c r="E580" i="3"/>
  <c r="A581" i="3"/>
  <c r="E581" i="3"/>
  <c r="A582" i="3"/>
  <c r="E582" i="3"/>
  <c r="A583" i="3"/>
  <c r="E583" i="3"/>
  <c r="A584" i="3"/>
  <c r="E584" i="3"/>
  <c r="A585" i="3"/>
  <c r="E585" i="3"/>
  <c r="A586" i="3"/>
  <c r="E586" i="3"/>
  <c r="A587" i="3"/>
  <c r="E587" i="3"/>
  <c r="A588" i="3"/>
  <c r="E588" i="3"/>
  <c r="A589" i="3"/>
  <c r="E589" i="3"/>
  <c r="A590" i="3"/>
  <c r="E590" i="3"/>
  <c r="A591" i="3"/>
  <c r="E591" i="3"/>
  <c r="A592" i="3"/>
  <c r="E592" i="3"/>
  <c r="A593" i="3"/>
  <c r="E593" i="3"/>
  <c r="A594" i="3"/>
  <c r="E594" i="3"/>
  <c r="A595" i="3"/>
  <c r="E595" i="3"/>
  <c r="A596" i="3"/>
  <c r="E596" i="3"/>
  <c r="A597" i="3"/>
  <c r="E597" i="3"/>
  <c r="A598" i="3"/>
  <c r="E598" i="3"/>
  <c r="A599" i="3"/>
  <c r="E599" i="3"/>
  <c r="A600" i="3"/>
  <c r="E600" i="3"/>
  <c r="A601" i="3"/>
  <c r="E601" i="3"/>
  <c r="A602" i="3"/>
  <c r="E602" i="3"/>
  <c r="A603" i="3"/>
  <c r="E603" i="3"/>
  <c r="A604" i="3"/>
  <c r="E604" i="3"/>
  <c r="A605" i="3"/>
  <c r="E605" i="3"/>
  <c r="A606" i="3"/>
  <c r="E606" i="3"/>
  <c r="A607" i="3"/>
  <c r="E607" i="3"/>
  <c r="A608" i="3"/>
  <c r="E608" i="3"/>
  <c r="A609" i="3"/>
  <c r="E609" i="3"/>
  <c r="A610" i="3"/>
  <c r="E610" i="3"/>
  <c r="A611" i="3"/>
  <c r="E611" i="3"/>
  <c r="A612" i="3"/>
  <c r="E612" i="3"/>
  <c r="A613" i="3"/>
  <c r="E613" i="3"/>
  <c r="A614" i="3"/>
  <c r="E614" i="3"/>
  <c r="A615" i="3"/>
  <c r="E615" i="3"/>
  <c r="A616" i="3"/>
  <c r="E616" i="3"/>
  <c r="A617" i="3"/>
  <c r="E617" i="3"/>
  <c r="A618" i="3"/>
  <c r="E618" i="3"/>
  <c r="A619" i="3"/>
  <c r="E619" i="3"/>
  <c r="A620" i="3"/>
  <c r="E620" i="3"/>
  <c r="A621" i="3"/>
  <c r="E621" i="3"/>
  <c r="A622" i="3"/>
  <c r="E622" i="3"/>
  <c r="A623" i="3"/>
  <c r="E623" i="3"/>
  <c r="A624" i="3"/>
  <c r="E624" i="3"/>
  <c r="A625" i="3"/>
  <c r="E625" i="3"/>
  <c r="A626" i="3"/>
  <c r="E626" i="3"/>
  <c r="A627" i="3"/>
  <c r="E627" i="3"/>
  <c r="A628" i="3"/>
  <c r="E628" i="3"/>
  <c r="A629" i="3"/>
  <c r="E629" i="3"/>
  <c r="A630" i="3"/>
  <c r="E630" i="3"/>
  <c r="A631" i="3"/>
  <c r="E631" i="3"/>
  <c r="A632" i="3"/>
  <c r="E632" i="3"/>
  <c r="A633" i="3"/>
  <c r="E633" i="3"/>
  <c r="A634" i="3"/>
  <c r="E634" i="3"/>
  <c r="A635" i="3"/>
  <c r="E635" i="3"/>
  <c r="A636" i="3"/>
  <c r="E636" i="3"/>
  <c r="A637" i="3"/>
  <c r="E637" i="3"/>
  <c r="A638" i="3"/>
  <c r="E638" i="3"/>
  <c r="A639" i="3"/>
  <c r="E639" i="3"/>
  <c r="A640" i="3"/>
  <c r="E640" i="3"/>
  <c r="A641" i="3"/>
  <c r="E641" i="3"/>
  <c r="A642" i="3"/>
  <c r="E642" i="3"/>
  <c r="A643" i="3"/>
  <c r="E643" i="3"/>
  <c r="A644" i="3"/>
  <c r="E644" i="3"/>
  <c r="A645" i="3"/>
  <c r="E645" i="3"/>
  <c r="A646" i="3"/>
  <c r="E646" i="3"/>
  <c r="A647" i="3"/>
  <c r="E647" i="3"/>
  <c r="A648" i="3"/>
  <c r="E648" i="3"/>
  <c r="A649" i="3"/>
  <c r="E649" i="3"/>
  <c r="A650" i="3"/>
  <c r="E650" i="3"/>
  <c r="A651" i="3"/>
  <c r="E651" i="3"/>
  <c r="A652" i="3"/>
  <c r="E652" i="3"/>
  <c r="A653" i="3"/>
  <c r="E653" i="3"/>
  <c r="A654" i="3"/>
  <c r="E654" i="3"/>
  <c r="A655" i="3"/>
  <c r="E655" i="3"/>
  <c r="A656" i="3"/>
  <c r="E656" i="3"/>
  <c r="A657" i="3"/>
  <c r="E657" i="3"/>
  <c r="A658" i="3"/>
  <c r="E658" i="3"/>
  <c r="A659" i="3"/>
  <c r="E659" i="3"/>
  <c r="A660" i="3"/>
  <c r="E660" i="3"/>
  <c r="A661" i="3"/>
  <c r="E661" i="3"/>
  <c r="A662" i="3"/>
  <c r="E662" i="3"/>
  <c r="A663" i="3"/>
  <c r="E663" i="3"/>
  <c r="A664" i="3"/>
  <c r="E664" i="3"/>
  <c r="A665" i="3"/>
  <c r="E665" i="3"/>
  <c r="A666" i="3"/>
  <c r="E666" i="3"/>
  <c r="A667" i="3"/>
  <c r="E667" i="3"/>
  <c r="A668" i="3"/>
  <c r="E668" i="3"/>
  <c r="A669" i="3"/>
  <c r="E669" i="3"/>
  <c r="A670" i="3"/>
  <c r="E670" i="3"/>
  <c r="A671" i="3"/>
  <c r="E671" i="3"/>
  <c r="A672" i="3"/>
  <c r="E672" i="3"/>
  <c r="A673" i="3"/>
  <c r="E673" i="3"/>
  <c r="A674" i="3"/>
  <c r="E674" i="3"/>
  <c r="A675" i="3"/>
  <c r="E675" i="3"/>
  <c r="A676" i="3"/>
  <c r="E676" i="3"/>
  <c r="A677" i="3"/>
  <c r="E677" i="3"/>
  <c r="A678" i="3"/>
  <c r="E678" i="3"/>
  <c r="A679" i="3"/>
  <c r="E679" i="3"/>
  <c r="A680" i="3"/>
  <c r="E680" i="3"/>
  <c r="A681" i="3"/>
  <c r="E681" i="3"/>
  <c r="A682" i="3"/>
  <c r="E682" i="3"/>
  <c r="A683" i="3"/>
  <c r="E683" i="3"/>
  <c r="A684" i="3"/>
  <c r="E684" i="3"/>
  <c r="A685" i="3"/>
  <c r="E685" i="3"/>
  <c r="A686" i="3"/>
  <c r="E686" i="3"/>
  <c r="A687" i="3"/>
  <c r="E687" i="3"/>
  <c r="A688" i="3"/>
  <c r="E688" i="3"/>
  <c r="A689" i="3"/>
  <c r="E689" i="3"/>
  <c r="A690" i="3"/>
  <c r="E690" i="3"/>
  <c r="A691" i="3"/>
  <c r="E691" i="3"/>
  <c r="A692" i="3"/>
  <c r="E692" i="3"/>
  <c r="A693" i="3"/>
  <c r="E693" i="3"/>
  <c r="A694" i="3"/>
  <c r="E694" i="3"/>
  <c r="A695" i="3"/>
  <c r="E695" i="3"/>
  <c r="A696" i="3"/>
  <c r="E696" i="3"/>
  <c r="A697" i="3"/>
  <c r="E697" i="3"/>
  <c r="A698" i="3"/>
  <c r="E698" i="3"/>
  <c r="A699" i="3"/>
  <c r="E699" i="3"/>
  <c r="A700" i="3"/>
  <c r="E700" i="3"/>
  <c r="A701" i="3"/>
  <c r="E701" i="3"/>
  <c r="A702" i="3"/>
  <c r="E702" i="3"/>
  <c r="A703" i="3"/>
  <c r="E703" i="3"/>
  <c r="A704" i="3"/>
  <c r="E704" i="3"/>
  <c r="A705" i="3"/>
  <c r="E705" i="3"/>
  <c r="A706" i="3"/>
  <c r="E706" i="3"/>
  <c r="A707" i="3"/>
  <c r="E707" i="3"/>
  <c r="A708" i="3"/>
  <c r="E708" i="3"/>
  <c r="A709" i="3"/>
  <c r="E709" i="3"/>
  <c r="A710" i="3"/>
  <c r="E710" i="3"/>
  <c r="A711" i="3"/>
  <c r="E711" i="3"/>
  <c r="A712" i="3"/>
  <c r="E712" i="3"/>
  <c r="A713" i="3"/>
  <c r="E713" i="3"/>
  <c r="A714" i="3"/>
  <c r="E714" i="3"/>
  <c r="A715" i="3"/>
  <c r="E715" i="3"/>
  <c r="A716" i="3"/>
  <c r="E716" i="3"/>
  <c r="A717" i="3"/>
  <c r="E717" i="3"/>
  <c r="A718" i="3"/>
  <c r="E718" i="3"/>
  <c r="A719" i="3"/>
  <c r="E719" i="3"/>
  <c r="A720" i="3"/>
  <c r="E720" i="3"/>
  <c r="A721" i="3"/>
  <c r="E721" i="3"/>
  <c r="A722" i="3"/>
  <c r="E722" i="3"/>
  <c r="A723" i="3"/>
  <c r="E723" i="3"/>
  <c r="A724" i="3"/>
  <c r="E724" i="3"/>
  <c r="A725" i="3"/>
  <c r="E725" i="3"/>
  <c r="A726" i="3"/>
  <c r="E726" i="3"/>
  <c r="A727" i="3"/>
  <c r="E727" i="3"/>
  <c r="A728" i="3"/>
  <c r="E728" i="3"/>
  <c r="A729" i="3"/>
  <c r="E729" i="3"/>
  <c r="A730" i="3"/>
  <c r="E730" i="3"/>
  <c r="A731" i="3"/>
  <c r="E731" i="3"/>
  <c r="A732" i="3"/>
  <c r="E732" i="3"/>
  <c r="A733" i="3"/>
  <c r="E733" i="3"/>
  <c r="A734" i="3"/>
  <c r="E734" i="3"/>
  <c r="A735" i="3"/>
  <c r="E735" i="3"/>
  <c r="A736" i="3"/>
  <c r="E736" i="3"/>
  <c r="A737" i="3"/>
  <c r="E737" i="3"/>
  <c r="A738" i="3"/>
  <c r="E738" i="3"/>
  <c r="A739" i="3"/>
  <c r="E739" i="3"/>
  <c r="A740" i="3"/>
  <c r="E740" i="3"/>
  <c r="A741" i="3"/>
  <c r="E741" i="3"/>
  <c r="A742" i="3"/>
  <c r="E742" i="3"/>
  <c r="A743" i="3"/>
  <c r="E743" i="3"/>
  <c r="A744" i="3"/>
  <c r="E744" i="3"/>
  <c r="A745" i="3"/>
  <c r="E745" i="3"/>
  <c r="A746" i="3"/>
  <c r="E746" i="3"/>
  <c r="A747" i="3"/>
  <c r="E747" i="3"/>
  <c r="A748" i="3"/>
  <c r="E748" i="3"/>
  <c r="A749" i="3"/>
  <c r="E749" i="3"/>
  <c r="A750" i="3"/>
  <c r="E750" i="3"/>
  <c r="A751" i="3"/>
  <c r="E751" i="3"/>
  <c r="A752" i="3"/>
  <c r="E752" i="3"/>
  <c r="A753" i="3"/>
  <c r="E753" i="3"/>
  <c r="A754" i="3"/>
  <c r="E754" i="3"/>
  <c r="A755" i="3"/>
  <c r="E755" i="3"/>
  <c r="A756" i="3"/>
  <c r="E756" i="3"/>
  <c r="A757" i="3"/>
  <c r="E757" i="3"/>
  <c r="A758" i="3"/>
  <c r="E758" i="3"/>
  <c r="A759" i="3"/>
  <c r="E759" i="3"/>
  <c r="A760" i="3"/>
  <c r="E760" i="3"/>
  <c r="A761" i="3"/>
  <c r="E761" i="3"/>
  <c r="A762" i="3"/>
  <c r="E762" i="3"/>
  <c r="A763" i="3"/>
  <c r="E763" i="3"/>
  <c r="A764" i="3"/>
  <c r="E764" i="3"/>
  <c r="A765" i="3"/>
  <c r="E765" i="3"/>
  <c r="A766" i="3"/>
  <c r="E766" i="3"/>
  <c r="A767" i="3"/>
  <c r="E767" i="3"/>
  <c r="A768" i="3"/>
  <c r="E768" i="3"/>
  <c r="A769" i="3"/>
  <c r="E769" i="3"/>
  <c r="A770" i="3"/>
  <c r="E770" i="3"/>
  <c r="A771" i="3"/>
  <c r="E771" i="3"/>
  <c r="A772" i="3"/>
  <c r="E772" i="3"/>
  <c r="A773" i="3"/>
  <c r="E773" i="3"/>
  <c r="A774" i="3"/>
  <c r="E774" i="3"/>
  <c r="A775" i="3"/>
  <c r="E775" i="3"/>
  <c r="A776" i="3"/>
  <c r="E776" i="3"/>
  <c r="A777" i="3"/>
  <c r="E777" i="3"/>
  <c r="A778" i="3"/>
  <c r="E778" i="3"/>
  <c r="A779" i="3"/>
  <c r="E779" i="3"/>
  <c r="A780" i="3"/>
  <c r="E780" i="3"/>
  <c r="A781" i="3"/>
  <c r="E781" i="3"/>
  <c r="A782" i="3"/>
  <c r="E782" i="3"/>
  <c r="A783" i="3"/>
  <c r="E783" i="3"/>
  <c r="A784" i="3"/>
  <c r="E784" i="3"/>
  <c r="A785" i="3"/>
  <c r="E785" i="3"/>
  <c r="A786" i="3"/>
  <c r="E786" i="3"/>
  <c r="A787" i="3"/>
  <c r="E787" i="3"/>
  <c r="A788" i="3"/>
  <c r="E788" i="3"/>
  <c r="A789" i="3"/>
  <c r="E789" i="3"/>
  <c r="A790" i="3"/>
  <c r="E790" i="3"/>
  <c r="A791" i="3"/>
  <c r="E791" i="3"/>
  <c r="A792" i="3"/>
  <c r="E792" i="3"/>
  <c r="A793" i="3"/>
  <c r="E793" i="3"/>
  <c r="A794" i="3"/>
  <c r="E794" i="3"/>
  <c r="A795" i="3"/>
  <c r="E795" i="3"/>
  <c r="A796" i="3"/>
  <c r="E796" i="3"/>
  <c r="A797" i="3"/>
  <c r="E797" i="3"/>
  <c r="A798" i="3"/>
  <c r="E798" i="3"/>
  <c r="A799" i="3"/>
  <c r="E799" i="3"/>
  <c r="A800" i="3"/>
  <c r="E800" i="3"/>
  <c r="A801" i="3"/>
  <c r="E801" i="3"/>
  <c r="A802" i="3"/>
  <c r="E802" i="3"/>
  <c r="A803" i="3"/>
  <c r="E803" i="3"/>
  <c r="A804" i="3"/>
  <c r="E804" i="3"/>
  <c r="A805" i="3"/>
  <c r="E805" i="3"/>
  <c r="A806" i="3"/>
  <c r="E806" i="3"/>
  <c r="A807" i="3"/>
  <c r="E807" i="3"/>
  <c r="A808" i="3"/>
  <c r="E808" i="3"/>
  <c r="A809" i="3"/>
  <c r="E809" i="3"/>
  <c r="A810" i="3"/>
  <c r="E810" i="3"/>
  <c r="A811" i="3"/>
  <c r="E811" i="3"/>
  <c r="A812" i="3"/>
  <c r="E812" i="3"/>
  <c r="A813" i="3"/>
  <c r="E813" i="3"/>
  <c r="A814" i="3"/>
  <c r="E814" i="3"/>
  <c r="A815" i="3"/>
  <c r="E815" i="3"/>
  <c r="A816" i="3"/>
  <c r="E816" i="3"/>
  <c r="A817" i="3"/>
  <c r="E817" i="3"/>
  <c r="A818" i="3"/>
  <c r="E818" i="3"/>
  <c r="A819" i="3"/>
  <c r="E819" i="3"/>
  <c r="A820" i="3"/>
  <c r="E820" i="3"/>
  <c r="A821" i="3"/>
  <c r="E821" i="3"/>
  <c r="A822" i="3"/>
  <c r="E822" i="3"/>
  <c r="A823" i="3"/>
  <c r="E823" i="3"/>
  <c r="A824" i="3"/>
  <c r="E824" i="3"/>
  <c r="A825" i="3"/>
  <c r="E825" i="3"/>
  <c r="A826" i="3"/>
  <c r="E826" i="3"/>
  <c r="A827" i="3"/>
  <c r="E827" i="3"/>
  <c r="A828" i="3"/>
  <c r="E828" i="3"/>
  <c r="A829" i="3"/>
  <c r="E829" i="3"/>
  <c r="A830" i="3"/>
  <c r="E830" i="3"/>
  <c r="A831" i="3"/>
  <c r="E831" i="3"/>
  <c r="A832" i="3"/>
  <c r="E832" i="3"/>
  <c r="A833" i="3"/>
  <c r="E833" i="3"/>
  <c r="A834" i="3"/>
  <c r="E834" i="3"/>
  <c r="A835" i="3"/>
  <c r="E835" i="3"/>
  <c r="A836" i="3"/>
  <c r="E836" i="3"/>
  <c r="A837" i="3"/>
  <c r="E837" i="3"/>
  <c r="A838" i="3"/>
  <c r="E838" i="3"/>
  <c r="A839" i="3"/>
  <c r="E839" i="3"/>
  <c r="A840" i="3"/>
  <c r="E840" i="3"/>
  <c r="A841" i="3"/>
  <c r="E841" i="3"/>
  <c r="A842" i="3"/>
  <c r="E842" i="3"/>
  <c r="A843" i="3"/>
  <c r="E843" i="3"/>
  <c r="A844" i="3"/>
  <c r="E844" i="3"/>
  <c r="A845" i="3"/>
  <c r="E845" i="3"/>
  <c r="A846" i="3"/>
  <c r="E846" i="3"/>
  <c r="A847" i="3"/>
  <c r="E847" i="3"/>
  <c r="A848" i="3"/>
  <c r="E848" i="3"/>
  <c r="A849" i="3"/>
  <c r="E849" i="3"/>
  <c r="A850" i="3"/>
  <c r="E850" i="3"/>
  <c r="A851" i="3"/>
  <c r="E851" i="3"/>
  <c r="A852" i="3"/>
  <c r="E852" i="3"/>
  <c r="A853" i="3"/>
  <c r="E853" i="3"/>
  <c r="A854" i="3"/>
  <c r="E854" i="3"/>
  <c r="A855" i="3"/>
  <c r="E855" i="3"/>
  <c r="A856" i="3"/>
  <c r="E856" i="3"/>
  <c r="A857" i="3"/>
  <c r="E857" i="3"/>
  <c r="A858" i="3"/>
  <c r="E858" i="3"/>
  <c r="A859" i="3"/>
  <c r="E859" i="3"/>
  <c r="A860" i="3"/>
  <c r="E860" i="3"/>
  <c r="A861" i="3"/>
  <c r="E861" i="3"/>
  <c r="A862" i="3"/>
  <c r="E862" i="3"/>
  <c r="A863" i="3"/>
  <c r="E863" i="3"/>
  <c r="A864" i="3"/>
  <c r="E864" i="3"/>
  <c r="A865" i="3"/>
  <c r="E865" i="3"/>
  <c r="A866" i="3"/>
  <c r="E866" i="3"/>
  <c r="A867" i="3"/>
  <c r="E867" i="3"/>
  <c r="A868" i="3"/>
  <c r="E868" i="3"/>
  <c r="A869" i="3"/>
  <c r="E869" i="3"/>
  <c r="A870" i="3"/>
  <c r="E870" i="3"/>
  <c r="A871" i="3"/>
  <c r="E871" i="3"/>
  <c r="A872" i="3"/>
  <c r="E872" i="3"/>
  <c r="A873" i="3"/>
  <c r="E873" i="3"/>
  <c r="A874" i="3"/>
  <c r="E874" i="3"/>
  <c r="A875" i="3"/>
  <c r="E875" i="3"/>
  <c r="A876" i="3"/>
  <c r="E876" i="3"/>
  <c r="A877" i="3"/>
  <c r="E877" i="3"/>
  <c r="A878" i="3"/>
  <c r="E878" i="3"/>
  <c r="A879" i="3"/>
  <c r="E879" i="3"/>
  <c r="A880" i="3"/>
  <c r="E880" i="3"/>
  <c r="A881" i="3"/>
  <c r="E881" i="3"/>
  <c r="A882" i="3"/>
  <c r="E882" i="3"/>
  <c r="A883" i="3"/>
  <c r="E883" i="3"/>
  <c r="A884" i="3"/>
  <c r="E884" i="3"/>
  <c r="A885" i="3"/>
  <c r="E885" i="3"/>
  <c r="A886" i="3"/>
  <c r="E886" i="3"/>
  <c r="A887" i="3"/>
  <c r="E887" i="3"/>
  <c r="A888" i="3"/>
  <c r="E888" i="3"/>
  <c r="A889" i="3"/>
  <c r="E889" i="3"/>
  <c r="A890" i="3"/>
  <c r="E890" i="3"/>
  <c r="A891" i="3"/>
  <c r="E891" i="3"/>
  <c r="A892" i="3"/>
  <c r="E892" i="3"/>
  <c r="A893" i="3"/>
  <c r="E893" i="3"/>
  <c r="A894" i="3"/>
  <c r="E894" i="3"/>
  <c r="A895" i="3"/>
  <c r="E895" i="3"/>
  <c r="A896" i="3"/>
  <c r="E896" i="3"/>
  <c r="A897" i="3"/>
  <c r="E897" i="3"/>
  <c r="A898" i="3"/>
  <c r="E898" i="3"/>
  <c r="A899" i="3"/>
  <c r="E899" i="3"/>
  <c r="A900" i="3"/>
  <c r="E900" i="3"/>
  <c r="A901" i="3"/>
  <c r="E901" i="3"/>
  <c r="A902" i="3"/>
  <c r="E902" i="3"/>
  <c r="A903" i="3"/>
  <c r="E903" i="3"/>
  <c r="A904" i="3"/>
  <c r="E904" i="3"/>
  <c r="A905" i="3"/>
  <c r="E905" i="3"/>
  <c r="A906" i="3"/>
  <c r="E906" i="3"/>
  <c r="A907" i="3"/>
  <c r="E907" i="3"/>
  <c r="A908" i="3"/>
  <c r="E908" i="3"/>
  <c r="A909" i="3"/>
  <c r="E909" i="3"/>
  <c r="A910" i="3"/>
  <c r="E910" i="3"/>
  <c r="A911" i="3"/>
  <c r="E911" i="3"/>
  <c r="A912" i="3"/>
  <c r="E912" i="3"/>
  <c r="A913" i="3"/>
  <c r="E913" i="3"/>
  <c r="A914" i="3"/>
  <c r="E914" i="3"/>
  <c r="A915" i="3"/>
  <c r="E915" i="3"/>
  <c r="A916" i="3"/>
  <c r="E916" i="3"/>
  <c r="A917" i="3"/>
  <c r="E917" i="3"/>
  <c r="A918" i="3"/>
  <c r="E918" i="3"/>
  <c r="A919" i="3"/>
  <c r="E919" i="3"/>
  <c r="A920" i="3"/>
  <c r="E920" i="3"/>
  <c r="A921" i="3"/>
  <c r="E921" i="3"/>
  <c r="A922" i="3"/>
  <c r="E922" i="3"/>
  <c r="A923" i="3"/>
  <c r="E923" i="3"/>
  <c r="A924" i="3"/>
  <c r="E924" i="3"/>
  <c r="A925" i="3"/>
  <c r="E925" i="3"/>
  <c r="A926" i="3"/>
  <c r="E926" i="3"/>
  <c r="A927" i="3"/>
  <c r="E927" i="3"/>
  <c r="A928" i="3"/>
  <c r="E928" i="3"/>
  <c r="A929" i="3"/>
  <c r="E929" i="3"/>
  <c r="A930" i="3"/>
  <c r="E930" i="3"/>
  <c r="A931" i="3"/>
  <c r="E931" i="3"/>
  <c r="A932" i="3"/>
  <c r="E932" i="3"/>
  <c r="A933" i="3"/>
  <c r="E933" i="3"/>
  <c r="A934" i="3"/>
  <c r="E934" i="3"/>
  <c r="A935" i="3"/>
  <c r="E935" i="3"/>
  <c r="A936" i="3"/>
  <c r="E936" i="3"/>
  <c r="A937" i="3"/>
  <c r="E937" i="3"/>
  <c r="A938" i="3"/>
  <c r="E938" i="3"/>
  <c r="A939" i="3"/>
  <c r="E939" i="3"/>
  <c r="A940" i="3"/>
  <c r="E940" i="3"/>
  <c r="A941" i="3"/>
  <c r="E941" i="3"/>
  <c r="A942" i="3"/>
  <c r="E942" i="3"/>
  <c r="A943" i="3"/>
  <c r="E943" i="3"/>
  <c r="A944" i="3"/>
  <c r="E944" i="3"/>
  <c r="A945" i="3"/>
  <c r="E945" i="3"/>
  <c r="A946" i="3"/>
  <c r="E946" i="3"/>
  <c r="A947" i="3"/>
  <c r="E947" i="3"/>
  <c r="A948" i="3"/>
  <c r="E948" i="3"/>
  <c r="A949" i="3"/>
  <c r="E949" i="3"/>
  <c r="A950" i="3"/>
  <c r="E950" i="3"/>
  <c r="A951" i="3"/>
  <c r="E951" i="3"/>
  <c r="A952" i="3"/>
  <c r="E952" i="3"/>
  <c r="A953" i="3"/>
  <c r="E953" i="3"/>
  <c r="A954" i="3"/>
  <c r="E954" i="3"/>
  <c r="A955" i="3"/>
  <c r="E955" i="3"/>
  <c r="A956" i="3"/>
  <c r="E956" i="3"/>
  <c r="A957" i="3"/>
  <c r="E957" i="3"/>
  <c r="A958" i="3"/>
  <c r="E958" i="3"/>
  <c r="A959" i="3"/>
  <c r="E959" i="3"/>
  <c r="A960" i="3"/>
  <c r="E960" i="3"/>
  <c r="A961" i="3"/>
  <c r="E961" i="3"/>
  <c r="A962" i="3"/>
  <c r="E962" i="3"/>
  <c r="A963" i="3"/>
  <c r="E963" i="3"/>
  <c r="A964" i="3"/>
  <c r="E964" i="3"/>
  <c r="A965" i="3"/>
  <c r="E965" i="3"/>
  <c r="A966" i="3"/>
  <c r="E966" i="3"/>
  <c r="A967" i="3"/>
  <c r="E967" i="3"/>
  <c r="A968" i="3"/>
  <c r="E968" i="3"/>
  <c r="A969" i="3"/>
  <c r="E969" i="3"/>
  <c r="A970" i="3"/>
  <c r="E970" i="3"/>
  <c r="A971" i="3"/>
  <c r="E971" i="3"/>
  <c r="A972" i="3"/>
  <c r="E972" i="3"/>
  <c r="A973" i="3"/>
  <c r="E973" i="3"/>
  <c r="A974" i="3"/>
  <c r="E974" i="3"/>
  <c r="A975" i="3"/>
  <c r="E975" i="3"/>
  <c r="A976" i="3"/>
  <c r="E976" i="3"/>
  <c r="A977" i="3"/>
  <c r="E977" i="3"/>
  <c r="A978" i="3"/>
  <c r="E978" i="3"/>
  <c r="A979" i="3"/>
  <c r="E979" i="3"/>
  <c r="A980" i="3"/>
  <c r="E980" i="3"/>
  <c r="A981" i="3"/>
  <c r="E981" i="3"/>
  <c r="A982" i="3"/>
  <c r="E982" i="3"/>
  <c r="A983" i="3"/>
  <c r="E983" i="3"/>
  <c r="A984" i="3"/>
  <c r="E984" i="3"/>
  <c r="A985" i="3"/>
  <c r="E985" i="3"/>
  <c r="A986" i="3"/>
  <c r="E986" i="3"/>
  <c r="A987" i="3"/>
  <c r="E987" i="3"/>
  <c r="A988" i="3"/>
  <c r="E988" i="3"/>
  <c r="A989" i="3"/>
  <c r="E989" i="3"/>
  <c r="A990" i="3"/>
  <c r="E990" i="3"/>
  <c r="A991" i="3"/>
  <c r="E991" i="3"/>
  <c r="A992" i="3"/>
  <c r="E992" i="3"/>
  <c r="A993" i="3"/>
  <c r="E993" i="3"/>
  <c r="A994" i="3"/>
  <c r="E994" i="3"/>
  <c r="A995" i="3"/>
  <c r="E995" i="3"/>
  <c r="A996" i="3"/>
  <c r="E996" i="3"/>
  <c r="A997" i="3"/>
  <c r="E997" i="3"/>
  <c r="A998" i="3"/>
  <c r="E998" i="3"/>
  <c r="A999" i="3"/>
  <c r="E999" i="3"/>
  <c r="A1000" i="3"/>
  <c r="E1000" i="3"/>
  <c r="A1001" i="3"/>
  <c r="E1001" i="3"/>
  <c r="A1002" i="3"/>
  <c r="E1002" i="3"/>
  <c r="A1003" i="3"/>
  <c r="E1003" i="3"/>
  <c r="A1004" i="3"/>
  <c r="E1004" i="3"/>
  <c r="A1005" i="3"/>
  <c r="E1005" i="3"/>
  <c r="A1006" i="3"/>
  <c r="E1006" i="3"/>
  <c r="A1007" i="3"/>
  <c r="E1007" i="3"/>
  <c r="A1008" i="3"/>
  <c r="E1008" i="3"/>
  <c r="A1009" i="3"/>
  <c r="E1009" i="3"/>
  <c r="A1010" i="3"/>
  <c r="E1010" i="3"/>
  <c r="A1011" i="3"/>
  <c r="E1011" i="3"/>
  <c r="A1012" i="3"/>
  <c r="E1012" i="3"/>
  <c r="A1013" i="3"/>
  <c r="E1013" i="3"/>
  <c r="A1014" i="3"/>
  <c r="E1014" i="3"/>
  <c r="A1015" i="3"/>
  <c r="E1015" i="3"/>
  <c r="A1016" i="3"/>
  <c r="E1016" i="3"/>
  <c r="A1017" i="3"/>
  <c r="E1017" i="3"/>
  <c r="A1018" i="3"/>
  <c r="E1018" i="3"/>
  <c r="A1019" i="3"/>
  <c r="E1019" i="3"/>
  <c r="A1020" i="3"/>
  <c r="E1020" i="3"/>
  <c r="A1021" i="3"/>
  <c r="E1021" i="3"/>
  <c r="A1022" i="3"/>
  <c r="E1022" i="3"/>
  <c r="A1023" i="3"/>
  <c r="E1023" i="3"/>
  <c r="A1024" i="3"/>
  <c r="E1024" i="3"/>
  <c r="A1025" i="3"/>
  <c r="E1025" i="3"/>
  <c r="A1026" i="3"/>
  <c r="E1026" i="3"/>
  <c r="A1027" i="3"/>
  <c r="E1027" i="3"/>
  <c r="A1028" i="3"/>
  <c r="E1028" i="3"/>
  <c r="A1029" i="3"/>
  <c r="E1029" i="3"/>
  <c r="A1030" i="3"/>
  <c r="E1030" i="3"/>
  <c r="A1031" i="3"/>
  <c r="E1031" i="3"/>
  <c r="A1032" i="3"/>
  <c r="E1032" i="3"/>
  <c r="A1033" i="3"/>
  <c r="E1033" i="3"/>
  <c r="A1034" i="3"/>
  <c r="E1034" i="3"/>
  <c r="A1035" i="3"/>
  <c r="E1035" i="3"/>
  <c r="A1036" i="3"/>
  <c r="E1036" i="3"/>
  <c r="A1037" i="3"/>
  <c r="E1037" i="3"/>
  <c r="A1038" i="3"/>
  <c r="E1038" i="3"/>
  <c r="A1039" i="3"/>
  <c r="E1039" i="3"/>
  <c r="A1040" i="3"/>
  <c r="E1040" i="3"/>
  <c r="A1041" i="3"/>
  <c r="E1041" i="3"/>
  <c r="A1042" i="3"/>
  <c r="E1042" i="3"/>
  <c r="A1043" i="3"/>
  <c r="E1043" i="3"/>
  <c r="A1044" i="3"/>
  <c r="E1044" i="3"/>
  <c r="A1045" i="3"/>
  <c r="E1045" i="3"/>
  <c r="A1046" i="3"/>
  <c r="E1046" i="3"/>
  <c r="A1047" i="3"/>
  <c r="E1047" i="3"/>
  <c r="A1048" i="3"/>
  <c r="E1048" i="3"/>
  <c r="A1049" i="3"/>
  <c r="E1049" i="3"/>
  <c r="A1050" i="3"/>
  <c r="E1050" i="3"/>
  <c r="A1051" i="3"/>
  <c r="E1051" i="3"/>
  <c r="A1052" i="3"/>
  <c r="E1052" i="3"/>
  <c r="A1053" i="3"/>
  <c r="E1053" i="3"/>
  <c r="A1054" i="3"/>
  <c r="E1054" i="3"/>
  <c r="A1055" i="3"/>
  <c r="E1055" i="3"/>
  <c r="A1056" i="3"/>
  <c r="E1056" i="3"/>
  <c r="A1057" i="3"/>
  <c r="E1057" i="3"/>
  <c r="A1058" i="3"/>
  <c r="E1058" i="3"/>
  <c r="A1059" i="3"/>
  <c r="E1059" i="3"/>
  <c r="A1060" i="3"/>
  <c r="E1060" i="3"/>
  <c r="A1061" i="3"/>
  <c r="E1061" i="3"/>
  <c r="A1062" i="3"/>
  <c r="E1062" i="3"/>
  <c r="A1063" i="3"/>
  <c r="E1063" i="3"/>
  <c r="A1064" i="3"/>
  <c r="E1064" i="3"/>
  <c r="A1065" i="3"/>
  <c r="E1065" i="3"/>
  <c r="A1066" i="3"/>
  <c r="E1066" i="3"/>
  <c r="A1067" i="3"/>
  <c r="E1067" i="3"/>
  <c r="A1068" i="3"/>
  <c r="E1068" i="3"/>
  <c r="A1069" i="3"/>
  <c r="E1069" i="3"/>
  <c r="A1070" i="3"/>
  <c r="E1070" i="3"/>
  <c r="A1071" i="3"/>
  <c r="E1071" i="3"/>
  <c r="A1072" i="3"/>
  <c r="E1072" i="3"/>
  <c r="A1073" i="3"/>
  <c r="E1073" i="3"/>
  <c r="A1074" i="3"/>
  <c r="E1074" i="3"/>
  <c r="A1075" i="3"/>
  <c r="E1075" i="3"/>
  <c r="A1076" i="3"/>
  <c r="E1076" i="3"/>
  <c r="A1077" i="3"/>
  <c r="E1077" i="3"/>
  <c r="A1078" i="3"/>
  <c r="E1078" i="3"/>
  <c r="A1079" i="3"/>
  <c r="E1079" i="3"/>
  <c r="A1080" i="3"/>
  <c r="E1080" i="3"/>
  <c r="A1081" i="3"/>
  <c r="E1081" i="3"/>
  <c r="A1082" i="3"/>
  <c r="E1082" i="3"/>
  <c r="A1083" i="3"/>
  <c r="E1083" i="3"/>
  <c r="A1084" i="3"/>
  <c r="E1084" i="3"/>
  <c r="A1085" i="3"/>
  <c r="E1085" i="3"/>
  <c r="A1086" i="3"/>
  <c r="E1086" i="3"/>
  <c r="A1087" i="3"/>
  <c r="E1087" i="3"/>
  <c r="A1088" i="3"/>
  <c r="E1088" i="3"/>
  <c r="A1089" i="3"/>
  <c r="E1089" i="3"/>
  <c r="A1090" i="3"/>
  <c r="E1090" i="3"/>
  <c r="A1091" i="3"/>
  <c r="E1091" i="3"/>
  <c r="A1092" i="3"/>
  <c r="E1092" i="3"/>
  <c r="A1093" i="3"/>
  <c r="E1093" i="3"/>
  <c r="A1094" i="3"/>
  <c r="E1094" i="3"/>
  <c r="A1095" i="3"/>
  <c r="E1095" i="3"/>
  <c r="A1096" i="3"/>
  <c r="E1096" i="3"/>
  <c r="A1097" i="3"/>
  <c r="E1097" i="3"/>
  <c r="A1098" i="3"/>
  <c r="E1098" i="3"/>
  <c r="A1099" i="3"/>
  <c r="E1099" i="3"/>
  <c r="A1100" i="3"/>
  <c r="E1100" i="3"/>
  <c r="A1101" i="3"/>
  <c r="E1101" i="3"/>
  <c r="A1102" i="3"/>
  <c r="E1102" i="3"/>
  <c r="A1103" i="3"/>
  <c r="E1103" i="3"/>
  <c r="A1104" i="3"/>
  <c r="E1104" i="3"/>
  <c r="A1105" i="3"/>
  <c r="E1105" i="3"/>
  <c r="A1106" i="3"/>
  <c r="E1106" i="3"/>
  <c r="A1107" i="3"/>
  <c r="E1107" i="3"/>
  <c r="A1108" i="3"/>
  <c r="E1108" i="3"/>
  <c r="A1109" i="3"/>
  <c r="E1109" i="3"/>
  <c r="A1110" i="3"/>
  <c r="E1110" i="3"/>
  <c r="A1111" i="3"/>
  <c r="E1111" i="3"/>
  <c r="A1112" i="3"/>
  <c r="E1112" i="3"/>
  <c r="A1113" i="3"/>
  <c r="E1113" i="3"/>
  <c r="A1114" i="3"/>
  <c r="E1114" i="3"/>
  <c r="A1115" i="3"/>
  <c r="E1115" i="3"/>
  <c r="A1116" i="3"/>
  <c r="E1116" i="3"/>
  <c r="A1117" i="3"/>
  <c r="E1117" i="3"/>
  <c r="A1118" i="3"/>
  <c r="E1118" i="3"/>
  <c r="A1119" i="3"/>
  <c r="E1119" i="3"/>
  <c r="A1120" i="3"/>
  <c r="E1120" i="3"/>
  <c r="A1121" i="3"/>
  <c r="E1121" i="3"/>
  <c r="A1122" i="3"/>
  <c r="E1122" i="3"/>
  <c r="A1123" i="3"/>
  <c r="E1123" i="3"/>
  <c r="A1124" i="3"/>
  <c r="E1124" i="3"/>
  <c r="A1125" i="3"/>
  <c r="E1125" i="3"/>
  <c r="A1126" i="3"/>
  <c r="E1126" i="3"/>
  <c r="A1127" i="3"/>
  <c r="E1127" i="3"/>
  <c r="A1128" i="3"/>
  <c r="E1128" i="3"/>
  <c r="A1129" i="3"/>
  <c r="E1129" i="3"/>
  <c r="A1130" i="3"/>
  <c r="E1130" i="3"/>
  <c r="A1131" i="3"/>
  <c r="E1131" i="3"/>
  <c r="A1132" i="3"/>
  <c r="E1132" i="3"/>
  <c r="A1133" i="3"/>
  <c r="E1133" i="3"/>
  <c r="A1134" i="3"/>
  <c r="E1134" i="3"/>
  <c r="A1135" i="3"/>
  <c r="E1135" i="3"/>
  <c r="A1136" i="3"/>
  <c r="E1136" i="3"/>
  <c r="A1137" i="3"/>
  <c r="E1137" i="3"/>
  <c r="A1138" i="3"/>
  <c r="E1138" i="3"/>
  <c r="A1139" i="3"/>
  <c r="E1139" i="3"/>
  <c r="A1140" i="3"/>
  <c r="E1140" i="3"/>
  <c r="A1141" i="3"/>
  <c r="E1141" i="3"/>
  <c r="A1142" i="3"/>
  <c r="E1142" i="3"/>
  <c r="A1143" i="3"/>
  <c r="E1143" i="3"/>
  <c r="A1144" i="3"/>
  <c r="E1144" i="3"/>
  <c r="A1145" i="3"/>
  <c r="E1145" i="3"/>
  <c r="A1146" i="3"/>
  <c r="E1146" i="3"/>
  <c r="A1147" i="3"/>
  <c r="E1147" i="3"/>
  <c r="A1148" i="3"/>
  <c r="E1148" i="3"/>
  <c r="A1149" i="3"/>
  <c r="E1149" i="3"/>
  <c r="A1150" i="3"/>
  <c r="E1150" i="3"/>
  <c r="A1151" i="3"/>
  <c r="E1151" i="3"/>
  <c r="A1152" i="3"/>
  <c r="E1152" i="3"/>
  <c r="A1153" i="3"/>
  <c r="E1153" i="3"/>
  <c r="A1154" i="3"/>
  <c r="E1154" i="3"/>
  <c r="A1155" i="3"/>
  <c r="E1155" i="3"/>
  <c r="A1156" i="3"/>
  <c r="E1156" i="3"/>
  <c r="A1157" i="3"/>
  <c r="E1157" i="3"/>
  <c r="A1158" i="3"/>
  <c r="E1158" i="3"/>
  <c r="A1159" i="3"/>
  <c r="E1159" i="3"/>
  <c r="A1160" i="3"/>
  <c r="E1160" i="3"/>
  <c r="A1161" i="3"/>
  <c r="E1161" i="3"/>
  <c r="A1162" i="3"/>
  <c r="E1162" i="3"/>
  <c r="A1163" i="3"/>
  <c r="E1163" i="3"/>
  <c r="A1164" i="3"/>
  <c r="E1164" i="3"/>
  <c r="A1165" i="3"/>
  <c r="E1165" i="3"/>
  <c r="A1166" i="3"/>
  <c r="E1166" i="3"/>
  <c r="A1167" i="3"/>
  <c r="E1167" i="3"/>
  <c r="A1168" i="3"/>
  <c r="E1168" i="3"/>
  <c r="A1169" i="3"/>
  <c r="E1169" i="3"/>
  <c r="A1170" i="3"/>
  <c r="E1170" i="3"/>
  <c r="A1171" i="3"/>
  <c r="E1171" i="3"/>
  <c r="A1172" i="3"/>
  <c r="E1172" i="3"/>
  <c r="A1173" i="3"/>
  <c r="E1173" i="3"/>
  <c r="A1174" i="3"/>
  <c r="E1174" i="3"/>
  <c r="A1175" i="3"/>
  <c r="E1175" i="3"/>
  <c r="A1176" i="3"/>
  <c r="E1176" i="3"/>
  <c r="A1177" i="3"/>
  <c r="E1177" i="3"/>
  <c r="A1178" i="3"/>
  <c r="E1178" i="3"/>
  <c r="A1179" i="3"/>
  <c r="E1179" i="3"/>
  <c r="A1180" i="3"/>
  <c r="E1180" i="3"/>
  <c r="A1181" i="3"/>
  <c r="E1181" i="3"/>
  <c r="A1182" i="3"/>
  <c r="E1182" i="3"/>
  <c r="A1183" i="3"/>
  <c r="E1183" i="3"/>
  <c r="A1184" i="3"/>
  <c r="E1184" i="3"/>
  <c r="A1185" i="3"/>
  <c r="E1185" i="3"/>
  <c r="A1186" i="3"/>
  <c r="E1186" i="3"/>
  <c r="A1187" i="3"/>
  <c r="E1187" i="3"/>
  <c r="A1188" i="3"/>
  <c r="E1188" i="3"/>
  <c r="A1189" i="3"/>
  <c r="E1189" i="3"/>
  <c r="A1190" i="3"/>
  <c r="E1190" i="3"/>
  <c r="A1191" i="3"/>
  <c r="E1191" i="3"/>
  <c r="A1192" i="3"/>
  <c r="E1192" i="3"/>
  <c r="A1193" i="3"/>
  <c r="E1193" i="3"/>
  <c r="A1194" i="3"/>
  <c r="E1194" i="3"/>
  <c r="A1195" i="3"/>
  <c r="E1195" i="3"/>
  <c r="A1196" i="3"/>
  <c r="E1196" i="3"/>
  <c r="A1197" i="3"/>
  <c r="E1197" i="3"/>
  <c r="A1198" i="3"/>
  <c r="E1198" i="3"/>
  <c r="A1199" i="3"/>
  <c r="E1199" i="3"/>
  <c r="A1200" i="3"/>
  <c r="E1200" i="3"/>
  <c r="A1201" i="3"/>
  <c r="E1201" i="3"/>
  <c r="A1202" i="3"/>
  <c r="E1202" i="3"/>
  <c r="A1203" i="3"/>
  <c r="E1203" i="3"/>
  <c r="A1204" i="3"/>
  <c r="E1204" i="3"/>
  <c r="A1205" i="3"/>
  <c r="E1205" i="3"/>
  <c r="A1206" i="3"/>
  <c r="E1206" i="3"/>
  <c r="A1207" i="3"/>
  <c r="E1207" i="3"/>
  <c r="A1208" i="3"/>
  <c r="E1208" i="3"/>
  <c r="A1209" i="3"/>
  <c r="E1209" i="3"/>
  <c r="A1210" i="3"/>
  <c r="E1210" i="3"/>
  <c r="A1211" i="3"/>
  <c r="E1211" i="3"/>
  <c r="A1212" i="3"/>
  <c r="E1212" i="3"/>
  <c r="A1213" i="3"/>
  <c r="E1213" i="3"/>
  <c r="A1214" i="3"/>
  <c r="E1214" i="3"/>
  <c r="A1215" i="3"/>
  <c r="E1215" i="3"/>
  <c r="A1216" i="3"/>
  <c r="E1216" i="3"/>
  <c r="A1217" i="3"/>
  <c r="E1217" i="3"/>
  <c r="A1218" i="3"/>
  <c r="E1218" i="3"/>
  <c r="A1219" i="3"/>
  <c r="E1219" i="3"/>
  <c r="A1220" i="3"/>
  <c r="E1220" i="3"/>
  <c r="A1221" i="3"/>
  <c r="E1221" i="3"/>
  <c r="A1222" i="3"/>
  <c r="E1222" i="3"/>
  <c r="A1223" i="3"/>
  <c r="E1223" i="3"/>
  <c r="A1224" i="3"/>
  <c r="E1224" i="3"/>
  <c r="A1225" i="3"/>
  <c r="E1225" i="3"/>
  <c r="A1226" i="3"/>
  <c r="E1226" i="3"/>
  <c r="A1227" i="3"/>
  <c r="E1227" i="3"/>
  <c r="A1228" i="3"/>
  <c r="E1228" i="3"/>
  <c r="A1229" i="3"/>
  <c r="E1229" i="3"/>
  <c r="A1230" i="3"/>
  <c r="E1230" i="3"/>
  <c r="A1231" i="3"/>
  <c r="E1231" i="3"/>
  <c r="A1232" i="3"/>
  <c r="E1232" i="3"/>
  <c r="A1233" i="3"/>
  <c r="E1233" i="3"/>
  <c r="A1234" i="3"/>
  <c r="E1234" i="3"/>
  <c r="A1235" i="3"/>
  <c r="E1235" i="3"/>
  <c r="A1236" i="3"/>
  <c r="E1236" i="3"/>
  <c r="A1237" i="3"/>
  <c r="E1237" i="3"/>
  <c r="A1238" i="3"/>
  <c r="E1238" i="3"/>
  <c r="A1239" i="3"/>
  <c r="E1239" i="3"/>
  <c r="A1240" i="3"/>
  <c r="E1240" i="3"/>
  <c r="A1241" i="3"/>
  <c r="E1241" i="3"/>
  <c r="A1242" i="3"/>
  <c r="E1242" i="3"/>
  <c r="A1243" i="3"/>
  <c r="E1243" i="3"/>
  <c r="A1244" i="3"/>
  <c r="E1244" i="3"/>
  <c r="A1245" i="3"/>
  <c r="E1245" i="3"/>
  <c r="A1246" i="3"/>
  <c r="E1246" i="3"/>
  <c r="A1247" i="3"/>
  <c r="E1247" i="3"/>
  <c r="A1248" i="3"/>
  <c r="E1248" i="3"/>
  <c r="A1249" i="3"/>
  <c r="E1249" i="3"/>
  <c r="A1250" i="3"/>
  <c r="E1250" i="3"/>
  <c r="A1251" i="3"/>
  <c r="E1251" i="3"/>
  <c r="A1252" i="3"/>
  <c r="E1252" i="3"/>
  <c r="A1253" i="3"/>
  <c r="E1253" i="3"/>
  <c r="A1254" i="3"/>
  <c r="E1254" i="3"/>
  <c r="A1255" i="3"/>
  <c r="E1255" i="3"/>
  <c r="A1256" i="3"/>
  <c r="E1256" i="3"/>
  <c r="A1257" i="3"/>
  <c r="E1257" i="3"/>
  <c r="A1258" i="3"/>
  <c r="E1258" i="3"/>
  <c r="A1259" i="3"/>
  <c r="E1259" i="3"/>
  <c r="A1260" i="3"/>
  <c r="E1260" i="3"/>
  <c r="A1261" i="3"/>
  <c r="E1261" i="3"/>
  <c r="A1262" i="3"/>
  <c r="E1262" i="3"/>
  <c r="A1263" i="3"/>
  <c r="E1263" i="3"/>
  <c r="A1264" i="3"/>
  <c r="E1264" i="3"/>
  <c r="A1265" i="3"/>
  <c r="E1265" i="3"/>
  <c r="A1266" i="3"/>
  <c r="E1266" i="3"/>
  <c r="A1267" i="3"/>
  <c r="E1267" i="3"/>
  <c r="A1268" i="3"/>
  <c r="E1268" i="3"/>
  <c r="A1269" i="3"/>
  <c r="E1269" i="3"/>
  <c r="A1270" i="3"/>
  <c r="E1270" i="3"/>
  <c r="A1271" i="3"/>
  <c r="E1271" i="3"/>
  <c r="A1272" i="3"/>
  <c r="E1272" i="3"/>
  <c r="A1273" i="3"/>
  <c r="E1273" i="3"/>
  <c r="A1274" i="3"/>
  <c r="E1274" i="3"/>
  <c r="A1275" i="3"/>
  <c r="E1275" i="3"/>
  <c r="A1276" i="3"/>
  <c r="E1276" i="3"/>
  <c r="A1277" i="3"/>
  <c r="E1277" i="3"/>
  <c r="A1278" i="3"/>
  <c r="E1278" i="3"/>
  <c r="A1279" i="3"/>
  <c r="E1279" i="3"/>
  <c r="A1280" i="3"/>
  <c r="E1280" i="3"/>
  <c r="A1281" i="3"/>
  <c r="E1281" i="3"/>
  <c r="A1282" i="3"/>
  <c r="E1282" i="3"/>
  <c r="A1283" i="3"/>
  <c r="E1283" i="3"/>
  <c r="A1284" i="3"/>
  <c r="E1284" i="3"/>
  <c r="A1285" i="3"/>
  <c r="E1285" i="3"/>
  <c r="A1286" i="3"/>
  <c r="E1286" i="3"/>
  <c r="A1287" i="3"/>
  <c r="E1287" i="3"/>
  <c r="A1288" i="3"/>
  <c r="E1288" i="3"/>
  <c r="A1289" i="3"/>
  <c r="E1289" i="3"/>
  <c r="A1290" i="3"/>
  <c r="E1290" i="3"/>
  <c r="A1291" i="3"/>
  <c r="E1291" i="3"/>
  <c r="A1292" i="3"/>
  <c r="E1292" i="3"/>
  <c r="A1293" i="3"/>
  <c r="E1293" i="3"/>
  <c r="A1294" i="3"/>
  <c r="E1294" i="3"/>
  <c r="A1295" i="3"/>
  <c r="E1295" i="3"/>
  <c r="A1296" i="3"/>
  <c r="E1296" i="3"/>
  <c r="A1297" i="3"/>
  <c r="E1297" i="3"/>
  <c r="A1298" i="3"/>
  <c r="E1298" i="3"/>
  <c r="A1299" i="3"/>
  <c r="E1299" i="3"/>
  <c r="A1300" i="3"/>
  <c r="E1300" i="3"/>
  <c r="A1301" i="3"/>
  <c r="E1301" i="3"/>
  <c r="A1302" i="3"/>
  <c r="E1302" i="3"/>
  <c r="A1303" i="3"/>
  <c r="E1303" i="3"/>
  <c r="A1304" i="3"/>
  <c r="E1304" i="3"/>
  <c r="A1305" i="3"/>
  <c r="E1305" i="3"/>
  <c r="A1306" i="3"/>
  <c r="E1306" i="3"/>
  <c r="A1307" i="3"/>
  <c r="E1307" i="3"/>
  <c r="A1308" i="3"/>
  <c r="E1308" i="3"/>
  <c r="A1309" i="3"/>
  <c r="E1309" i="3"/>
  <c r="A1310" i="3"/>
  <c r="E1310" i="3"/>
  <c r="A1311" i="3"/>
  <c r="E1311" i="3"/>
  <c r="A1312" i="3"/>
  <c r="E1312" i="3"/>
  <c r="A1313" i="3"/>
  <c r="E1313" i="3"/>
  <c r="A1314" i="3"/>
  <c r="E1314" i="3"/>
  <c r="A1315" i="3"/>
  <c r="E1315" i="3"/>
  <c r="A1316" i="3"/>
  <c r="E1316" i="3"/>
  <c r="A1317" i="3"/>
  <c r="E1317" i="3"/>
  <c r="A1318" i="3"/>
  <c r="E1318" i="3"/>
  <c r="A1319" i="3"/>
  <c r="E1319" i="3"/>
  <c r="A1320" i="3"/>
  <c r="E1320" i="3"/>
  <c r="A1321" i="3"/>
  <c r="E1321" i="3"/>
  <c r="A1322" i="3"/>
  <c r="E1322" i="3"/>
  <c r="A1323" i="3"/>
  <c r="E1323" i="3"/>
  <c r="A1324" i="3"/>
  <c r="E1324" i="3"/>
  <c r="A1325" i="3"/>
  <c r="E1325" i="3"/>
  <c r="A1326" i="3"/>
  <c r="E1326" i="3"/>
  <c r="A1327" i="3"/>
  <c r="E1327" i="3"/>
  <c r="A1328" i="3"/>
  <c r="E1328" i="3"/>
  <c r="A1329" i="3"/>
  <c r="E1329" i="3"/>
  <c r="A1330" i="3"/>
  <c r="E1330" i="3"/>
  <c r="A1331" i="3"/>
  <c r="E1331" i="3"/>
  <c r="A1332" i="3"/>
  <c r="E1332" i="3"/>
  <c r="A1333" i="3"/>
  <c r="E1333" i="3"/>
  <c r="A1334" i="3"/>
  <c r="E1334" i="3"/>
  <c r="A1335" i="3"/>
  <c r="E1335" i="3"/>
  <c r="A1336" i="3"/>
  <c r="E1336" i="3"/>
  <c r="A1337" i="3"/>
  <c r="E1337" i="3"/>
  <c r="A1338" i="3"/>
  <c r="E1338" i="3"/>
  <c r="A1339" i="3"/>
  <c r="E1339" i="3"/>
  <c r="A1340" i="3"/>
  <c r="E1340" i="3"/>
  <c r="A1341" i="3"/>
  <c r="E1341" i="3"/>
  <c r="A1342" i="3"/>
  <c r="E1342" i="3"/>
  <c r="A1343" i="3"/>
  <c r="E1343" i="3"/>
  <c r="A1344" i="3"/>
  <c r="E1344" i="3"/>
  <c r="A1345" i="3"/>
  <c r="E1345" i="3"/>
  <c r="A1346" i="3"/>
  <c r="E1346" i="3"/>
  <c r="A1347" i="3"/>
  <c r="E1347" i="3"/>
  <c r="A1348" i="3"/>
  <c r="E1348" i="3"/>
  <c r="A1349" i="3"/>
  <c r="E1349" i="3"/>
  <c r="A1350" i="3"/>
  <c r="E1350" i="3"/>
  <c r="A1351" i="3"/>
  <c r="E1351" i="3"/>
  <c r="A1352" i="3"/>
  <c r="E1352" i="3"/>
  <c r="A1353" i="3"/>
  <c r="E1353" i="3"/>
  <c r="A1354" i="3"/>
  <c r="E1354" i="3"/>
  <c r="A1355" i="3"/>
  <c r="E1355" i="3"/>
  <c r="A1356" i="3"/>
  <c r="E1356" i="3"/>
  <c r="A1357" i="3"/>
  <c r="E1357" i="3"/>
  <c r="A1358" i="3"/>
  <c r="E1358" i="3"/>
  <c r="A1359" i="3"/>
  <c r="E1359" i="3"/>
  <c r="A1360" i="3"/>
  <c r="E1360" i="3"/>
  <c r="A1361" i="3"/>
  <c r="E1361" i="3"/>
  <c r="A1362" i="3"/>
  <c r="E1362" i="3"/>
  <c r="A1363" i="3"/>
  <c r="E1363" i="3"/>
  <c r="A1364" i="3"/>
  <c r="E1364" i="3"/>
  <c r="A1365" i="3"/>
  <c r="E1365" i="3"/>
  <c r="A1366" i="3"/>
  <c r="E1366" i="3"/>
  <c r="A1367" i="3"/>
  <c r="E1367" i="3"/>
  <c r="A1368" i="3"/>
  <c r="E1368" i="3"/>
  <c r="A1369" i="3"/>
  <c r="E1369" i="3"/>
  <c r="A1370" i="3"/>
  <c r="E1370" i="3"/>
  <c r="A1371" i="3"/>
  <c r="E1371" i="3"/>
  <c r="A1372" i="3"/>
  <c r="E1372" i="3"/>
  <c r="A1373" i="3"/>
  <c r="E1373" i="3"/>
  <c r="A1374" i="3"/>
  <c r="E1374" i="3"/>
  <c r="A1375" i="3"/>
  <c r="E1375" i="3"/>
  <c r="A1376" i="3"/>
  <c r="E1376" i="3"/>
  <c r="A1377" i="3"/>
  <c r="E1377" i="3"/>
  <c r="A1378" i="3"/>
  <c r="E1378" i="3"/>
  <c r="A1379" i="3"/>
  <c r="E1379" i="3"/>
  <c r="A1380" i="3"/>
  <c r="E1380" i="3"/>
  <c r="A1381" i="3"/>
  <c r="E1381" i="3"/>
  <c r="A1382" i="3"/>
  <c r="E1382" i="3"/>
  <c r="A1383" i="3"/>
  <c r="E1383" i="3"/>
  <c r="A1384" i="3"/>
  <c r="E1384" i="3"/>
  <c r="A1385" i="3"/>
  <c r="E1385" i="3"/>
  <c r="A1386" i="3"/>
  <c r="E1386" i="3"/>
  <c r="A1387" i="3"/>
  <c r="E1387" i="3"/>
  <c r="A1388" i="3"/>
  <c r="E1388" i="3"/>
  <c r="A1389" i="3"/>
  <c r="E1389" i="3"/>
  <c r="A1390" i="3"/>
  <c r="E1390" i="3"/>
  <c r="A1391" i="3"/>
  <c r="E1391" i="3"/>
  <c r="A1392" i="3"/>
  <c r="E1392" i="3"/>
  <c r="A1393" i="3"/>
  <c r="E1393" i="3"/>
  <c r="A1394" i="3"/>
  <c r="E1394" i="3"/>
  <c r="A1395" i="3"/>
  <c r="E1395" i="3"/>
  <c r="A1396" i="3"/>
  <c r="E1396" i="3"/>
  <c r="A1397" i="3"/>
  <c r="E1397" i="3"/>
  <c r="A1398" i="3"/>
  <c r="E1398" i="3"/>
  <c r="A1399" i="3"/>
  <c r="E1399" i="3"/>
  <c r="A1400" i="3"/>
  <c r="E1400" i="3"/>
  <c r="A1401" i="3"/>
  <c r="E1401" i="3"/>
  <c r="A1402" i="3"/>
  <c r="E1402" i="3"/>
  <c r="A1403" i="3"/>
  <c r="E1403" i="3"/>
  <c r="A1404" i="3"/>
  <c r="E1404" i="3"/>
  <c r="A1405" i="3"/>
  <c r="E1405" i="3"/>
  <c r="A1406" i="3"/>
  <c r="E1406" i="3"/>
  <c r="A1407" i="3"/>
  <c r="E1407" i="3"/>
  <c r="A1408" i="3"/>
  <c r="E1408" i="3"/>
  <c r="A1409" i="3"/>
  <c r="E1409" i="3"/>
  <c r="A1410" i="3"/>
  <c r="E1410" i="3"/>
  <c r="A1411" i="3"/>
  <c r="E1411" i="3"/>
  <c r="A1412" i="3"/>
  <c r="E1412" i="3"/>
  <c r="A1413" i="3"/>
  <c r="E1413" i="3"/>
  <c r="A1414" i="3"/>
  <c r="E1414" i="3"/>
  <c r="A1415" i="3"/>
  <c r="E1415" i="3"/>
  <c r="A1416" i="3"/>
  <c r="E1416" i="3"/>
  <c r="A1417" i="3"/>
  <c r="E1417" i="3"/>
  <c r="A1418" i="3"/>
  <c r="E1418" i="3"/>
  <c r="A1419" i="3"/>
  <c r="E1419" i="3"/>
  <c r="A1420" i="3"/>
  <c r="E1420" i="3"/>
  <c r="A1421" i="3"/>
  <c r="E1421" i="3"/>
  <c r="A1422" i="3"/>
  <c r="E1422" i="3"/>
  <c r="A1423" i="3"/>
  <c r="E1423" i="3"/>
  <c r="A1424" i="3"/>
  <c r="E1424" i="3"/>
  <c r="A1425" i="3"/>
  <c r="E1425" i="3"/>
  <c r="A1426" i="3"/>
  <c r="E1426" i="3"/>
  <c r="A1427" i="3"/>
  <c r="E1427" i="3"/>
  <c r="A1428" i="3"/>
  <c r="E1428" i="3"/>
  <c r="A1429" i="3"/>
  <c r="E1429" i="3"/>
  <c r="A1430" i="3"/>
  <c r="E1430" i="3"/>
  <c r="A1431" i="3"/>
  <c r="E1431" i="3"/>
  <c r="A1432" i="3"/>
  <c r="E1432" i="3"/>
  <c r="A1433" i="3"/>
  <c r="E1433" i="3"/>
  <c r="A1434" i="3"/>
  <c r="E1434" i="3"/>
  <c r="A1435" i="3"/>
  <c r="E1435" i="3"/>
  <c r="A1436" i="3"/>
  <c r="E1436" i="3"/>
  <c r="A1437" i="3"/>
  <c r="E1437" i="3"/>
  <c r="A1438" i="3"/>
  <c r="E1438" i="3"/>
  <c r="A1439" i="3"/>
  <c r="E1439" i="3"/>
  <c r="A1440" i="3"/>
  <c r="E1440" i="3"/>
  <c r="A1441" i="3"/>
  <c r="E1441" i="3"/>
  <c r="A1442" i="3"/>
  <c r="E1442" i="3"/>
  <c r="A1443" i="3"/>
  <c r="E1443" i="3"/>
  <c r="A1444" i="3"/>
  <c r="E1444" i="3"/>
  <c r="A1445" i="3"/>
  <c r="E1445" i="3"/>
  <c r="A1446" i="3"/>
  <c r="E1446" i="3"/>
  <c r="A1447" i="3"/>
  <c r="E1447" i="3"/>
  <c r="A1448" i="3"/>
  <c r="E1448" i="3"/>
  <c r="A1449" i="3"/>
  <c r="E1449" i="3"/>
  <c r="A1450" i="3"/>
  <c r="E1450" i="3"/>
  <c r="A1451" i="3"/>
  <c r="E1451" i="3"/>
  <c r="A1452" i="3"/>
  <c r="E1452" i="3"/>
  <c r="A1453" i="3"/>
  <c r="E1453" i="3"/>
  <c r="A1454" i="3"/>
  <c r="E1454" i="3"/>
  <c r="A1455" i="3"/>
  <c r="E1455" i="3"/>
  <c r="A1456" i="3"/>
  <c r="E1456" i="3"/>
  <c r="A1457" i="3"/>
  <c r="E1457" i="3"/>
  <c r="A1458" i="3"/>
  <c r="E1458" i="3"/>
  <c r="A1459" i="3"/>
  <c r="E1459" i="3"/>
  <c r="A1460" i="3"/>
  <c r="E1460" i="3"/>
  <c r="A1461" i="3"/>
  <c r="E1461" i="3"/>
  <c r="A1462" i="3"/>
  <c r="E1462" i="3"/>
  <c r="A1463" i="3"/>
  <c r="E1463" i="3"/>
  <c r="A1464" i="3"/>
  <c r="E1464" i="3"/>
  <c r="A1465" i="3"/>
  <c r="E1465" i="3"/>
  <c r="A1466" i="3"/>
  <c r="E1466" i="3"/>
  <c r="A1467" i="3"/>
  <c r="E1467" i="3"/>
  <c r="A1468" i="3"/>
  <c r="E1468" i="3"/>
  <c r="A1469" i="3"/>
  <c r="E1469" i="3"/>
  <c r="A1470" i="3"/>
  <c r="E1470" i="3"/>
  <c r="A1471" i="3"/>
  <c r="E1471" i="3"/>
  <c r="A1472" i="3"/>
  <c r="E1472" i="3"/>
  <c r="A1473" i="3"/>
  <c r="E1473" i="3"/>
  <c r="A1474" i="3"/>
  <c r="E1474" i="3"/>
  <c r="A1475" i="3"/>
  <c r="E1475" i="3"/>
  <c r="A1476" i="3"/>
  <c r="E1476" i="3"/>
  <c r="A1477" i="3"/>
  <c r="E1477" i="3"/>
  <c r="A1478" i="3"/>
  <c r="E1478" i="3"/>
  <c r="A1479" i="3"/>
  <c r="E1479" i="3"/>
  <c r="A1480" i="3"/>
  <c r="E1480" i="3"/>
  <c r="A1481" i="3"/>
  <c r="E1481" i="3"/>
  <c r="A1482" i="3"/>
  <c r="E1482" i="3"/>
  <c r="A1483" i="3"/>
  <c r="E1483" i="3"/>
  <c r="A1484" i="3"/>
  <c r="E1484" i="3"/>
  <c r="A1485" i="3"/>
  <c r="E1485" i="3"/>
  <c r="A1486" i="3"/>
  <c r="E1486" i="3"/>
  <c r="A1487" i="3"/>
  <c r="E1487" i="3"/>
  <c r="A1488" i="3"/>
  <c r="E1488" i="3"/>
  <c r="A1489" i="3"/>
  <c r="E1489" i="3"/>
  <c r="A1490" i="3"/>
  <c r="E1490" i="3"/>
  <c r="A1491" i="3"/>
  <c r="E1491" i="3"/>
  <c r="A1492" i="3"/>
  <c r="E1492" i="3"/>
  <c r="A1493" i="3"/>
  <c r="E1493" i="3"/>
  <c r="A1494" i="3"/>
  <c r="E1494" i="3"/>
  <c r="A1495" i="3"/>
  <c r="E1495" i="3"/>
  <c r="A1496" i="3"/>
  <c r="E1496" i="3"/>
  <c r="A1497" i="3"/>
  <c r="E1497" i="3"/>
  <c r="A1498" i="3"/>
  <c r="E1498" i="3"/>
  <c r="A1499" i="3"/>
  <c r="E1499" i="3"/>
  <c r="A1500" i="3"/>
  <c r="E1500" i="3"/>
  <c r="A1501" i="3"/>
  <c r="E1501" i="3"/>
  <c r="A1502" i="3"/>
  <c r="E1502" i="3"/>
  <c r="A1503" i="3"/>
  <c r="E1503" i="3"/>
  <c r="A1504" i="3"/>
  <c r="E1504" i="3"/>
  <c r="A1505" i="3"/>
  <c r="E1505" i="3"/>
  <c r="A1506" i="3"/>
  <c r="E1506" i="3"/>
  <c r="A1507" i="3"/>
  <c r="E1507" i="3"/>
  <c r="A1508" i="3"/>
  <c r="E1508" i="3"/>
  <c r="A1509" i="3"/>
  <c r="E1509" i="3"/>
  <c r="A1510" i="3"/>
  <c r="E1510" i="3"/>
  <c r="A1511" i="3"/>
  <c r="E1511" i="3"/>
  <c r="A1512" i="3"/>
  <c r="E14" i="3"/>
  <c r="E15" i="3"/>
  <c r="E16" i="3"/>
  <c r="E17" i="3"/>
  <c r="E18" i="3"/>
  <c r="E20" i="3"/>
  <c r="E21" i="3"/>
  <c r="E22" i="3"/>
  <c r="E23" i="3"/>
  <c r="E24" i="3"/>
  <c r="E25" i="3"/>
  <c r="E26" i="3"/>
  <c r="E27" i="3"/>
  <c r="E13" i="3"/>
  <c r="M23" i="2"/>
  <c r="L23" i="2"/>
  <c r="M24" i="2"/>
  <c r="L24" i="2"/>
  <c r="M25" i="2"/>
  <c r="L25" i="2"/>
  <c r="M26" i="2"/>
  <c r="L26" i="2"/>
  <c r="M27" i="2"/>
  <c r="L27" i="2"/>
  <c r="M28" i="2"/>
  <c r="L28" i="2"/>
  <c r="L29" i="2"/>
  <c r="M29" i="2"/>
  <c r="M30" i="2"/>
  <c r="L30" i="2"/>
  <c r="M31" i="2"/>
  <c r="L31" i="2"/>
  <c r="M32" i="2"/>
  <c r="L32" i="2"/>
  <c r="M33" i="2"/>
  <c r="L33" i="2"/>
  <c r="M34" i="2"/>
  <c r="L34" i="2"/>
  <c r="M35" i="2"/>
  <c r="L35" i="2"/>
  <c r="M36" i="2"/>
  <c r="L36" i="2"/>
  <c r="L37" i="2"/>
  <c r="M37" i="2"/>
  <c r="M38" i="2"/>
  <c r="L38" i="2"/>
  <c r="M39" i="2"/>
  <c r="L39" i="2"/>
  <c r="M40" i="2"/>
  <c r="L40" i="2"/>
  <c r="M41" i="2"/>
  <c r="L41" i="2"/>
  <c r="M42" i="2"/>
  <c r="L42" i="2"/>
  <c r="M43" i="2"/>
  <c r="L43" i="2"/>
  <c r="M44" i="2"/>
  <c r="L44" i="2"/>
  <c r="L45" i="2"/>
  <c r="M45" i="2"/>
  <c r="M46" i="2"/>
  <c r="L46" i="2"/>
  <c r="M47" i="2"/>
  <c r="L47" i="2"/>
  <c r="M48" i="2"/>
  <c r="L48" i="2"/>
  <c r="M49" i="2"/>
  <c r="L49" i="2"/>
  <c r="M50" i="2"/>
  <c r="L50" i="2"/>
  <c r="M51" i="2"/>
  <c r="L51" i="2"/>
  <c r="L52" i="2"/>
  <c r="M52" i="2"/>
  <c r="L53" i="2"/>
  <c r="M53" i="2"/>
  <c r="M54" i="2"/>
  <c r="L54" i="2"/>
  <c r="M55" i="2"/>
  <c r="L55" i="2"/>
  <c r="M56" i="2"/>
  <c r="L56" i="2"/>
  <c r="M57" i="2"/>
  <c r="L57" i="2"/>
  <c r="M58" i="2"/>
  <c r="L58" i="2"/>
  <c r="M59" i="2"/>
  <c r="L59" i="2"/>
  <c r="M60" i="2"/>
  <c r="L60" i="2"/>
  <c r="L61" i="2"/>
  <c r="M61" i="2"/>
  <c r="M62" i="2"/>
  <c r="L62" i="2"/>
  <c r="M63" i="2"/>
  <c r="L63" i="2"/>
  <c r="M64" i="2"/>
  <c r="L64" i="2"/>
  <c r="M65" i="2"/>
  <c r="L65" i="2"/>
  <c r="M66" i="2"/>
  <c r="L66" i="2"/>
  <c r="M67" i="2"/>
  <c r="L67" i="2"/>
  <c r="M68" i="2"/>
  <c r="L68" i="2"/>
  <c r="L69" i="2"/>
  <c r="M69" i="2"/>
  <c r="M70" i="2"/>
  <c r="L70" i="2"/>
  <c r="M71" i="2"/>
  <c r="L71" i="2"/>
  <c r="M72" i="2"/>
  <c r="L72" i="2"/>
  <c r="M73" i="2"/>
  <c r="L73" i="2"/>
  <c r="M74" i="2"/>
  <c r="L74" i="2"/>
  <c r="M75" i="2"/>
  <c r="L75" i="2"/>
  <c r="M76" i="2"/>
  <c r="L76" i="2"/>
  <c r="L77" i="2"/>
  <c r="M77" i="2"/>
  <c r="M78" i="2"/>
  <c r="L78" i="2"/>
  <c r="M79" i="2"/>
  <c r="L79" i="2"/>
  <c r="M80" i="2"/>
  <c r="L80" i="2"/>
  <c r="M81" i="2"/>
  <c r="L81" i="2"/>
  <c r="M82" i="2"/>
  <c r="L82" i="2"/>
  <c r="M83" i="2"/>
  <c r="L83" i="2"/>
  <c r="L84" i="2"/>
  <c r="M84" i="2"/>
  <c r="L85" i="2"/>
  <c r="M85" i="2"/>
  <c r="M86" i="2"/>
  <c r="L86" i="2"/>
  <c r="M87" i="2"/>
  <c r="L87" i="2"/>
  <c r="M88" i="2"/>
  <c r="L88" i="2"/>
  <c r="M89" i="2"/>
  <c r="L89" i="2"/>
  <c r="M90" i="2"/>
  <c r="L90" i="2"/>
  <c r="M91" i="2"/>
  <c r="L91" i="2"/>
  <c r="M92" i="2"/>
  <c r="L92" i="2"/>
  <c r="L93" i="2"/>
  <c r="M93" i="2"/>
  <c r="M94" i="2"/>
  <c r="L94" i="2"/>
  <c r="M95" i="2"/>
  <c r="L95" i="2"/>
  <c r="M96" i="2"/>
  <c r="L96" i="2"/>
  <c r="M97" i="2"/>
  <c r="L97" i="2"/>
  <c r="M98" i="2"/>
  <c r="L98" i="2"/>
  <c r="M99" i="2"/>
  <c r="L99" i="2"/>
  <c r="M100" i="2"/>
  <c r="L100" i="2"/>
  <c r="L101" i="2"/>
  <c r="M101" i="2"/>
  <c r="M102" i="2"/>
  <c r="L102" i="2"/>
  <c r="M103" i="2"/>
  <c r="L103" i="2"/>
  <c r="M104" i="2"/>
  <c r="L104" i="2"/>
  <c r="M105" i="2"/>
  <c r="L105" i="2"/>
  <c r="M106" i="2"/>
  <c r="L106" i="2"/>
  <c r="M107" i="2"/>
  <c r="L107" i="2"/>
  <c r="M108" i="2"/>
  <c r="L108" i="2"/>
  <c r="L109" i="2"/>
  <c r="M109" i="2"/>
  <c r="M110" i="2"/>
  <c r="L110" i="2"/>
  <c r="M111" i="2"/>
  <c r="L111" i="2"/>
  <c r="M112" i="2"/>
  <c r="L112" i="2"/>
  <c r="M113" i="2"/>
  <c r="L113" i="2"/>
  <c r="M114" i="2"/>
  <c r="L114" i="2"/>
  <c r="M115" i="2"/>
  <c r="L115" i="2"/>
  <c r="M116" i="2"/>
  <c r="L116" i="2"/>
  <c r="L117" i="2"/>
  <c r="M117" i="2"/>
  <c r="M118" i="2"/>
  <c r="L118" i="2"/>
  <c r="M119" i="2"/>
  <c r="L119" i="2"/>
  <c r="M120" i="2"/>
  <c r="L120" i="2"/>
  <c r="M121" i="2"/>
  <c r="L121" i="2"/>
  <c r="M122" i="2"/>
  <c r="L122" i="2"/>
  <c r="M123" i="2"/>
  <c r="L123" i="2"/>
  <c r="M124" i="2"/>
  <c r="L124" i="2"/>
  <c r="L125" i="2"/>
  <c r="M125" i="2"/>
  <c r="M126" i="2"/>
  <c r="L126" i="2"/>
  <c r="M127" i="2"/>
  <c r="L127" i="2"/>
  <c r="M128" i="2"/>
  <c r="L128" i="2"/>
  <c r="M129" i="2"/>
  <c r="L129" i="2"/>
  <c r="M130" i="2"/>
  <c r="L130" i="2"/>
  <c r="M131" i="2"/>
  <c r="L131" i="2"/>
  <c r="M132" i="2"/>
  <c r="L132" i="2"/>
  <c r="L133" i="2"/>
  <c r="M133" i="2"/>
  <c r="M134" i="2"/>
  <c r="L134" i="2"/>
  <c r="M135" i="2"/>
  <c r="L135" i="2"/>
  <c r="M136" i="2"/>
  <c r="L136" i="2"/>
  <c r="M137" i="2"/>
  <c r="L137" i="2"/>
  <c r="M138" i="2"/>
  <c r="L138" i="2"/>
  <c r="M139" i="2"/>
  <c r="L139" i="2"/>
  <c r="M140" i="2"/>
  <c r="L140" i="2"/>
  <c r="L141" i="2"/>
  <c r="M141" i="2"/>
  <c r="M142" i="2"/>
  <c r="L142" i="2"/>
  <c r="M143" i="2"/>
  <c r="L143" i="2"/>
  <c r="M144" i="2"/>
  <c r="L144" i="2"/>
  <c r="M145" i="2"/>
  <c r="L145" i="2"/>
  <c r="M146" i="2"/>
  <c r="L146" i="2"/>
  <c r="M147" i="2"/>
  <c r="L147" i="2"/>
  <c r="L148" i="2"/>
  <c r="M148" i="2"/>
  <c r="L149" i="2"/>
  <c r="M149" i="2"/>
  <c r="M150" i="2"/>
  <c r="L150" i="2"/>
  <c r="M151" i="2"/>
  <c r="L151" i="2"/>
  <c r="M152" i="2"/>
  <c r="L152" i="2"/>
  <c r="M153" i="2"/>
  <c r="L153" i="2"/>
  <c r="M154" i="2"/>
  <c r="L154" i="2"/>
  <c r="M155" i="2"/>
  <c r="L155" i="2"/>
  <c r="M156" i="2"/>
  <c r="L156" i="2"/>
  <c r="L157" i="2"/>
  <c r="M157" i="2"/>
  <c r="M158" i="2"/>
  <c r="L158" i="2"/>
  <c r="M159" i="2"/>
  <c r="L159" i="2"/>
  <c r="M160" i="2"/>
  <c r="L160" i="2"/>
  <c r="M161" i="2"/>
  <c r="L161" i="2"/>
  <c r="M162" i="2"/>
  <c r="L162" i="2"/>
  <c r="M163" i="2"/>
  <c r="L163" i="2"/>
  <c r="M164" i="2"/>
  <c r="L164" i="2"/>
  <c r="L165" i="2"/>
  <c r="M165" i="2"/>
  <c r="M166" i="2"/>
  <c r="L166" i="2"/>
  <c r="M167" i="2"/>
  <c r="L167" i="2"/>
  <c r="M168" i="2"/>
  <c r="L168" i="2"/>
  <c r="M169" i="2"/>
  <c r="L169" i="2"/>
  <c r="M170" i="2"/>
  <c r="L170" i="2"/>
  <c r="M171" i="2"/>
  <c r="L171" i="2"/>
  <c r="M172" i="2"/>
  <c r="L172" i="2"/>
  <c r="L173" i="2"/>
  <c r="M173" i="2"/>
  <c r="M174" i="2"/>
  <c r="L174" i="2"/>
  <c r="M175" i="2"/>
  <c r="L175" i="2"/>
  <c r="M176" i="2"/>
  <c r="L176" i="2"/>
  <c r="M177" i="2"/>
  <c r="L177" i="2"/>
  <c r="M178" i="2"/>
  <c r="L178" i="2"/>
  <c r="M179" i="2"/>
  <c r="L179" i="2"/>
  <c r="L180" i="2"/>
  <c r="M180" i="2"/>
  <c r="L181" i="2"/>
  <c r="M181" i="2"/>
  <c r="M182" i="2"/>
  <c r="L182" i="2"/>
  <c r="M183" i="2"/>
  <c r="L183" i="2"/>
  <c r="M184" i="2"/>
  <c r="L184" i="2"/>
  <c r="M185" i="2"/>
  <c r="L185" i="2"/>
  <c r="M186" i="2"/>
  <c r="L186" i="2"/>
  <c r="M187" i="2"/>
  <c r="L187" i="2"/>
  <c r="M188" i="2"/>
  <c r="L188" i="2"/>
  <c r="L189" i="2"/>
  <c r="M189" i="2"/>
  <c r="M190" i="2"/>
  <c r="L190" i="2"/>
  <c r="M191" i="2"/>
  <c r="L191" i="2"/>
  <c r="M192" i="2"/>
  <c r="L192" i="2"/>
  <c r="M193" i="2"/>
  <c r="L193" i="2"/>
  <c r="M194" i="2"/>
  <c r="L194" i="2"/>
  <c r="M195" i="2"/>
  <c r="L195" i="2"/>
  <c r="M196" i="2"/>
  <c r="L196" i="2"/>
  <c r="L197" i="2"/>
  <c r="M197" i="2"/>
  <c r="M198" i="2"/>
  <c r="L198" i="2"/>
  <c r="M199" i="2"/>
  <c r="L199" i="2"/>
  <c r="M200" i="2"/>
  <c r="L200" i="2"/>
  <c r="M201" i="2"/>
  <c r="L201" i="2"/>
  <c r="M202" i="2"/>
  <c r="L202" i="2"/>
  <c r="M203" i="2"/>
  <c r="L203" i="2"/>
  <c r="M204" i="2"/>
  <c r="L204" i="2"/>
  <c r="L205" i="2"/>
  <c r="M205" i="2"/>
  <c r="M206" i="2"/>
  <c r="L206" i="2"/>
  <c r="M207" i="2"/>
  <c r="L207" i="2"/>
  <c r="M208" i="2"/>
  <c r="L208" i="2"/>
  <c r="M209" i="2"/>
  <c r="L209" i="2"/>
  <c r="M210" i="2"/>
  <c r="L210" i="2"/>
  <c r="M211" i="2"/>
  <c r="L211" i="2"/>
  <c r="L212" i="2"/>
  <c r="M212" i="2"/>
  <c r="L213" i="2"/>
  <c r="M213" i="2"/>
  <c r="M214" i="2"/>
  <c r="L214" i="2"/>
  <c r="M215" i="2"/>
  <c r="L215" i="2"/>
  <c r="M216" i="2"/>
  <c r="L216" i="2"/>
  <c r="M217" i="2"/>
  <c r="L217" i="2"/>
  <c r="M218" i="2"/>
  <c r="L218" i="2"/>
  <c r="M219" i="2"/>
  <c r="L219" i="2"/>
  <c r="M220" i="2"/>
  <c r="L220" i="2"/>
  <c r="L221" i="2"/>
  <c r="M221" i="2"/>
  <c r="M222" i="2"/>
  <c r="L222" i="2"/>
  <c r="M223" i="2"/>
  <c r="L223" i="2"/>
  <c r="M224" i="2"/>
  <c r="L224" i="2"/>
  <c r="M225" i="2"/>
  <c r="L225" i="2"/>
  <c r="M226" i="2"/>
  <c r="L226" i="2"/>
  <c r="M227" i="2"/>
  <c r="L227" i="2"/>
  <c r="M228" i="2"/>
  <c r="L228" i="2"/>
  <c r="L229" i="2"/>
  <c r="M229" i="2"/>
  <c r="M230" i="2"/>
  <c r="L230" i="2"/>
  <c r="M231" i="2"/>
  <c r="L231" i="2"/>
  <c r="M232" i="2"/>
  <c r="L232" i="2"/>
  <c r="M233" i="2"/>
  <c r="L233" i="2"/>
  <c r="M234" i="2"/>
  <c r="L234" i="2"/>
  <c r="M235" i="2"/>
  <c r="L235" i="2"/>
  <c r="M236" i="2"/>
  <c r="L236" i="2"/>
  <c r="L237" i="2"/>
  <c r="M237" i="2"/>
  <c r="M238" i="2"/>
  <c r="L238" i="2"/>
  <c r="M239" i="2"/>
  <c r="L239" i="2"/>
  <c r="M240" i="2"/>
  <c r="L240" i="2"/>
  <c r="M241" i="2"/>
  <c r="L241" i="2"/>
  <c r="M242" i="2"/>
  <c r="L242" i="2"/>
  <c r="M243" i="2"/>
  <c r="L243" i="2"/>
  <c r="L244" i="2"/>
  <c r="M244" i="2"/>
  <c r="L245" i="2"/>
  <c r="M245" i="2"/>
  <c r="M246" i="2"/>
  <c r="L246" i="2"/>
  <c r="M247" i="2"/>
  <c r="L247" i="2"/>
  <c r="M248" i="2"/>
  <c r="L248" i="2"/>
  <c r="M249" i="2"/>
  <c r="L249" i="2"/>
  <c r="M250" i="2"/>
  <c r="L250" i="2"/>
  <c r="M251" i="2"/>
  <c r="L251" i="2"/>
  <c r="M252" i="2"/>
  <c r="L252" i="2"/>
  <c r="L253" i="2"/>
  <c r="M253" i="2"/>
  <c r="M254" i="2"/>
  <c r="L254" i="2"/>
  <c r="M255" i="2"/>
  <c r="L255" i="2"/>
  <c r="M256" i="2"/>
  <c r="L256" i="2"/>
  <c r="M257" i="2"/>
  <c r="L257" i="2"/>
  <c r="M258" i="2"/>
  <c r="L258" i="2"/>
  <c r="M259" i="2"/>
  <c r="L259" i="2"/>
  <c r="M260" i="2"/>
  <c r="L260" i="2"/>
  <c r="L261" i="2"/>
  <c r="M261" i="2"/>
  <c r="M262" i="2"/>
  <c r="L262" i="2"/>
  <c r="M263" i="2"/>
  <c r="L263" i="2"/>
  <c r="M264" i="2"/>
  <c r="L264" i="2"/>
  <c r="M265" i="2"/>
  <c r="L265" i="2"/>
  <c r="M266" i="2"/>
  <c r="L266" i="2"/>
  <c r="M267" i="2"/>
  <c r="L267" i="2"/>
  <c r="M268" i="2"/>
  <c r="L268" i="2"/>
  <c r="L269" i="2"/>
  <c r="M269" i="2"/>
  <c r="M270" i="2"/>
  <c r="L270" i="2"/>
  <c r="M271" i="2"/>
  <c r="L271" i="2"/>
  <c r="M272" i="2"/>
  <c r="L272" i="2"/>
  <c r="M273" i="2"/>
  <c r="L273" i="2"/>
  <c r="M274" i="2"/>
  <c r="L274" i="2"/>
  <c r="M275" i="2"/>
  <c r="L275" i="2"/>
  <c r="L276" i="2"/>
  <c r="M276" i="2"/>
  <c r="L277" i="2"/>
  <c r="M277" i="2"/>
  <c r="M278" i="2"/>
  <c r="L278" i="2"/>
  <c r="M279" i="2"/>
  <c r="L279" i="2"/>
  <c r="M280" i="2"/>
  <c r="L280" i="2"/>
  <c r="M281" i="2"/>
  <c r="L281" i="2"/>
  <c r="M282" i="2"/>
  <c r="L282" i="2"/>
  <c r="M283" i="2"/>
  <c r="L283" i="2"/>
  <c r="M284" i="2"/>
  <c r="L284" i="2"/>
  <c r="L285" i="2"/>
  <c r="M285" i="2"/>
  <c r="M286" i="2"/>
  <c r="L286" i="2"/>
  <c r="M287" i="2"/>
  <c r="L287" i="2"/>
  <c r="M288" i="2"/>
  <c r="L288" i="2"/>
  <c r="M289" i="2"/>
  <c r="L289" i="2"/>
  <c r="M290" i="2"/>
  <c r="L290" i="2"/>
  <c r="M291" i="2"/>
  <c r="L291" i="2"/>
  <c r="M292" i="2"/>
  <c r="L292" i="2"/>
  <c r="L293" i="2"/>
  <c r="M293" i="2"/>
  <c r="M294" i="2"/>
  <c r="L294" i="2"/>
  <c r="M295" i="2"/>
  <c r="L295" i="2"/>
  <c r="M296" i="2"/>
  <c r="L296" i="2"/>
  <c r="M297" i="2"/>
  <c r="L297" i="2"/>
  <c r="M298" i="2"/>
  <c r="L298" i="2"/>
  <c r="M299" i="2"/>
  <c r="L299" i="2"/>
  <c r="M300" i="2"/>
  <c r="L300" i="2"/>
  <c r="L301" i="2"/>
  <c r="M301" i="2"/>
  <c r="M302" i="2"/>
  <c r="L302" i="2"/>
  <c r="M303" i="2"/>
  <c r="L303" i="2"/>
  <c r="M304" i="2"/>
  <c r="L304" i="2"/>
  <c r="M305" i="2"/>
  <c r="L305" i="2"/>
  <c r="M306" i="2"/>
  <c r="L306" i="2"/>
  <c r="M307" i="2"/>
  <c r="L307" i="2"/>
  <c r="L308" i="2"/>
  <c r="M308" i="2"/>
  <c r="L309" i="2"/>
  <c r="M309" i="2"/>
  <c r="M310" i="2"/>
  <c r="L310" i="2"/>
  <c r="M311" i="2"/>
  <c r="L311" i="2"/>
  <c r="M312" i="2"/>
  <c r="L312" i="2"/>
  <c r="M313" i="2"/>
  <c r="L313" i="2"/>
  <c r="M314" i="2"/>
  <c r="L314" i="2"/>
  <c r="M315" i="2"/>
  <c r="L315" i="2"/>
  <c r="M316" i="2"/>
  <c r="L316" i="2"/>
  <c r="L317" i="2"/>
  <c r="M317" i="2"/>
  <c r="M318" i="2"/>
  <c r="L318" i="2"/>
  <c r="M319" i="2"/>
  <c r="L319" i="2"/>
  <c r="M320" i="2"/>
  <c r="L320" i="2"/>
  <c r="M321" i="2"/>
  <c r="L321" i="2"/>
  <c r="M322" i="2"/>
  <c r="L322" i="2"/>
  <c r="M323" i="2"/>
  <c r="L323" i="2"/>
  <c r="R11" i="2"/>
  <c r="T11" i="2"/>
  <c r="O11" i="2"/>
  <c r="M11" i="2"/>
  <c r="Q11" i="2"/>
  <c r="L11" i="2"/>
  <c r="N11" i="2"/>
  <c r="K11" i="2"/>
  <c r="J11" i="2"/>
</calcChain>
</file>

<file path=xl/sharedStrings.xml><?xml version="1.0" encoding="utf-8"?>
<sst xmlns="http://schemas.openxmlformats.org/spreadsheetml/2006/main" count="105" uniqueCount="58">
  <si>
    <t>Precinct</t>
  </si>
  <si>
    <t>Arrival Rate</t>
  </si>
  <si>
    <t>Voters Per Hour</t>
  </si>
  <si>
    <t>Average time to vote</t>
  </si>
  <si>
    <t>Number of voting stations</t>
  </si>
  <si>
    <t>Maximum Line Length</t>
  </si>
  <si>
    <t>Balking Rate</t>
  </si>
  <si>
    <t>Minutes per Voter</t>
  </si>
  <si>
    <t>Number</t>
  </si>
  <si>
    <t>Average Wait Time</t>
  </si>
  <si>
    <t>Average Time in System</t>
  </si>
  <si>
    <t>Expected Voters in System</t>
  </si>
  <si>
    <t>Expected Line Length (Inside)</t>
  </si>
  <si>
    <t>Expected Line Length (outside)</t>
  </si>
  <si>
    <t>Probability of No Wait</t>
  </si>
  <si>
    <t>Probability of Full Waiting Room</t>
  </si>
  <si>
    <t>Effective Arrival Rate</t>
  </si>
  <si>
    <t>Alerts</t>
  </si>
  <si>
    <t>Minutes</t>
  </si>
  <si>
    <t>Number of People</t>
  </si>
  <si>
    <t>Percentage</t>
  </si>
  <si>
    <t>Voters per hour</t>
  </si>
  <si>
    <t>System is Unstable</t>
  </si>
  <si>
    <t>Overall Alert</t>
  </si>
  <si>
    <t>System is Stable</t>
  </si>
  <si>
    <t>None</t>
  </si>
  <si>
    <t>Enter Number of Precincts</t>
  </si>
  <si>
    <t>Finite Waiting Room Calculation Tool</t>
  </si>
  <si>
    <t>Model Inputs</t>
  </si>
  <si>
    <t>Model Outputs</t>
  </si>
  <si>
    <t>Inputs</t>
  </si>
  <si>
    <t>Outputs</t>
  </si>
  <si>
    <t>M/M/k Queue with a finite Waiting Room</t>
  </si>
  <si>
    <t>Maximum Number of Voters in System</t>
  </si>
  <si>
    <t>Total Voters In System</t>
  </si>
  <si>
    <t>Probability of This state</t>
  </si>
  <si>
    <t>Exponent Buildup Calculation</t>
  </si>
  <si>
    <t>Relative Weight of this State</t>
  </si>
  <si>
    <t>Voters in Queue Inside Polling Place</t>
  </si>
  <si>
    <t>Voters in Queue Outside Polling Place</t>
  </si>
  <si>
    <t>Probability of No Queue</t>
  </si>
  <si>
    <t>Arrival Rate in this State</t>
  </si>
  <si>
    <t>Waiting Area Full Flag</t>
  </si>
  <si>
    <t>Calculations</t>
  </si>
  <si>
    <t>Totals:</t>
  </si>
  <si>
    <t>Service Rate</t>
  </si>
  <si>
    <t>Outside line arrival rate</t>
  </si>
  <si>
    <t>Less Than Target Wait Flag</t>
  </si>
  <si>
    <t>Target Wait Time</t>
  </si>
  <si>
    <t>Room Capacity</t>
  </si>
  <si>
    <t>Staff In Room</t>
  </si>
  <si>
    <t>Voter Processing Points</t>
  </si>
  <si>
    <t>Number of Voters</t>
  </si>
  <si>
    <t>Expected Total Queue Length</t>
  </si>
  <si>
    <t>Chance Voter Waits Longer than Target Time</t>
  </si>
  <si>
    <t>Scaled Exponent Buildup Calculation</t>
  </si>
  <si>
    <t>Calculate Outputs</t>
  </si>
  <si>
    <t>Percent of Time Room is Full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</si>
</sst>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B05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double">
        <color auto="1"/>
      </bottom>
      <diagonal/>
    </border>
  </borders>
  <cellStyleXfs count="10">
    <xf numFmtId="0" fontId="0" fillId="0" borderId="0"/>
    <xf numFmtId="9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55">
    <xf numFmtId="0" fontId="0" fillId="0" borderId="0" xfId="0"/>
    <xf numFmtId="2" fontId="0" fillId="0" borderId="0" xfId="0" applyNumberFormat="1"/>
    <xf numFmtId="0" fontId="1" fillId="0" borderId="0" xfId="0" applyFont="1" applyFill="1"/>
    <xf numFmtId="0" fontId="0" fillId="0" borderId="0" xfId="0" applyFill="1"/>
    <xf numFmtId="2" fontId="0" fillId="0" borderId="0" xfId="0" applyNumberFormat="1" applyFill="1"/>
    <xf numFmtId="164" fontId="0" fillId="0" borderId="0" xfId="0" applyNumberFormat="1"/>
    <xf numFmtId="0" fontId="0" fillId="0" borderId="0" xfId="0" applyAlignment="1">
      <alignment horizontal="center" wrapText="1"/>
    </xf>
    <xf numFmtId="0" fontId="1" fillId="0" borderId="0" xfId="0" applyFont="1" applyAlignment="1">
      <alignment horizontal="center" wrapText="1"/>
    </xf>
    <xf numFmtId="9" fontId="0" fillId="0" borderId="0" xfId="1" applyFont="1"/>
    <xf numFmtId="165" fontId="0" fillId="0" borderId="0" xfId="0" applyNumberFormat="1"/>
    <xf numFmtId="0" fontId="1" fillId="0" borderId="0" xfId="0" applyFont="1"/>
    <xf numFmtId="0" fontId="0" fillId="0" borderId="1" xfId="0" applyBorder="1"/>
    <xf numFmtId="0" fontId="0" fillId="4" borderId="0" xfId="0" applyFill="1"/>
    <xf numFmtId="0" fontId="0" fillId="0" borderId="2" xfId="0" applyBorder="1"/>
    <xf numFmtId="0" fontId="7" fillId="0" borderId="0" xfId="0" applyFont="1" applyAlignment="1">
      <alignment horizontal="centerContinuous"/>
    </xf>
    <xf numFmtId="0" fontId="0" fillId="2" borderId="0" xfId="0" applyFill="1" applyAlignment="1">
      <alignment horizontal="centerContinuous"/>
    </xf>
    <xf numFmtId="0" fontId="0" fillId="5" borderId="0" xfId="0" applyFill="1" applyAlignment="1">
      <alignment horizontal="centerContinuous"/>
    </xf>
    <xf numFmtId="0" fontId="6" fillId="2" borderId="0" xfId="0" applyFont="1" applyFill="1" applyAlignment="1">
      <alignment horizontal="centerContinuous"/>
    </xf>
    <xf numFmtId="0" fontId="6" fillId="5" borderId="0" xfId="0" applyFont="1" applyFill="1" applyAlignment="1">
      <alignment horizontal="centerContinuous"/>
    </xf>
    <xf numFmtId="0" fontId="0" fillId="0" borderId="0" xfId="0" applyBorder="1"/>
    <xf numFmtId="2" fontId="6" fillId="2" borderId="0" xfId="0" applyNumberFormat="1" applyFont="1" applyFill="1" applyBorder="1" applyAlignment="1">
      <alignment horizontal="centerContinuous"/>
    </xf>
    <xf numFmtId="0" fontId="6" fillId="2" borderId="0" xfId="0" applyFont="1" applyFill="1" applyBorder="1" applyAlignment="1">
      <alignment horizontal="centerContinuous"/>
    </xf>
    <xf numFmtId="2" fontId="0" fillId="0" borderId="1" xfId="0" applyNumberFormat="1" applyFill="1" applyBorder="1"/>
    <xf numFmtId="0" fontId="0" fillId="0" borderId="1" xfId="0" applyFill="1" applyBorder="1"/>
    <xf numFmtId="0" fontId="1" fillId="0" borderId="1" xfId="0" applyFont="1" applyFill="1" applyBorder="1"/>
    <xf numFmtId="0" fontId="6" fillId="3" borderId="0" xfId="0" applyFont="1" applyFill="1" applyBorder="1" applyAlignment="1">
      <alignment horizontal="centerContinuous"/>
    </xf>
    <xf numFmtId="0" fontId="8" fillId="0" borderId="0" xfId="0" applyFont="1" applyFill="1" applyBorder="1" applyAlignment="1">
      <alignment horizontal="centerContinuous"/>
    </xf>
    <xf numFmtId="0" fontId="8" fillId="0" borderId="0" xfId="0" applyFont="1" applyBorder="1" applyAlignment="1">
      <alignment horizontal="centerContinuous"/>
    </xf>
    <xf numFmtId="164" fontId="8" fillId="0" borderId="0" xfId="0" applyNumberFormat="1" applyFont="1" applyBorder="1" applyAlignment="1">
      <alignment horizontal="centerContinuous"/>
    </xf>
    <xf numFmtId="2" fontId="0" fillId="0" borderId="2" xfId="0" applyNumberFormat="1" applyFill="1" applyBorder="1"/>
    <xf numFmtId="0" fontId="0" fillId="0" borderId="2" xfId="0" applyFill="1" applyBorder="1"/>
    <xf numFmtId="164" fontId="0" fillId="0" borderId="2" xfId="0" applyNumberFormat="1" applyBorder="1"/>
    <xf numFmtId="0" fontId="1" fillId="2" borderId="0" xfId="0" applyFont="1" applyFill="1" applyBorder="1" applyProtection="1">
      <protection locked="0"/>
    </xf>
    <xf numFmtId="0" fontId="1" fillId="0" borderId="2" xfId="0" applyFont="1" applyFill="1" applyBorder="1"/>
    <xf numFmtId="2" fontId="1" fillId="3" borderId="0" xfId="0" applyNumberFormat="1" applyFont="1" applyFill="1" applyBorder="1"/>
    <xf numFmtId="0" fontId="2" fillId="0" borderId="0" xfId="0" applyFont="1" applyBorder="1"/>
    <xf numFmtId="164" fontId="0" fillId="0" borderId="0" xfId="0" applyNumberFormat="1" applyBorder="1"/>
    <xf numFmtId="0" fontId="0" fillId="4" borderId="0" xfId="0" applyFill="1" applyAlignment="1">
      <alignment wrapText="1"/>
    </xf>
    <xf numFmtId="0" fontId="1" fillId="4" borderId="0" xfId="0" applyFont="1" applyFill="1"/>
    <xf numFmtId="0" fontId="0" fillId="0" borderId="0" xfId="0" applyFill="1" applyBorder="1"/>
    <xf numFmtId="2" fontId="0" fillId="0" borderId="0" xfId="0" applyNumberFormat="1" applyFill="1" applyBorder="1"/>
    <xf numFmtId="0" fontId="0" fillId="0" borderId="0" xfId="0" applyBorder="1" applyAlignment="1">
      <alignment wrapText="1"/>
    </xf>
    <xf numFmtId="2" fontId="0" fillId="0" borderId="0" xfId="0" applyNumberFormat="1" applyBorder="1" applyAlignment="1">
      <alignment wrapText="1"/>
    </xf>
    <xf numFmtId="164" fontId="0" fillId="0" borderId="0" xfId="0" applyNumberFormat="1" applyBorder="1" applyAlignment="1">
      <alignment horizontal="left" wrapText="1"/>
    </xf>
    <xf numFmtId="2" fontId="0" fillId="0" borderId="1" xfId="0" applyNumberFormat="1" applyBorder="1"/>
    <xf numFmtId="164" fontId="0" fillId="0" borderId="1" xfId="0" applyNumberFormat="1" applyBorder="1"/>
    <xf numFmtId="0" fontId="7" fillId="0" borderId="0" xfId="0" applyFont="1" applyFill="1" applyAlignment="1">
      <alignment horizontal="centerContinuous"/>
    </xf>
    <xf numFmtId="2" fontId="7" fillId="0" borderId="0" xfId="0" applyNumberFormat="1" applyFont="1" applyFill="1" applyAlignment="1">
      <alignment horizontal="centerContinuous"/>
    </xf>
    <xf numFmtId="164" fontId="7" fillId="0" borderId="0" xfId="0" applyNumberFormat="1" applyFont="1" applyAlignment="1">
      <alignment horizontal="centerContinuous"/>
    </xf>
    <xf numFmtId="2" fontId="9" fillId="0" borderId="0" xfId="0" applyNumberFormat="1" applyFont="1" applyFill="1" applyBorder="1" applyAlignment="1">
      <alignment horizontal="centerContinuous"/>
    </xf>
    <xf numFmtId="2" fontId="0" fillId="0" borderId="0" xfId="0" applyNumberFormat="1" applyAlignment="1">
      <alignment horizontal="centerContinuous"/>
    </xf>
    <xf numFmtId="2" fontId="1" fillId="0" borderId="0" xfId="0" applyNumberFormat="1" applyFont="1"/>
    <xf numFmtId="1" fontId="1" fillId="0" borderId="0" xfId="0" applyNumberFormat="1" applyFont="1"/>
    <xf numFmtId="0" fontId="10" fillId="0" borderId="0" xfId="0" applyFont="1"/>
    <xf numFmtId="0" fontId="6" fillId="4" borderId="0" xfId="0" applyFont="1" applyFill="1"/>
  </cellXfs>
  <cellStyles count="10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Normal" xfId="0" builtinId="0"/>
    <cellStyle name="Percent" xfId="1" builtinId="5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8</xdr:row>
          <xdr:rowOff>25400</xdr:rowOff>
        </xdr:from>
        <xdr:to>
          <xdr:col>3</xdr:col>
          <xdr:colOff>762000</xdr:colOff>
          <xdr:row>10</xdr:row>
          <xdr:rowOff>0</xdr:rowOff>
        </xdr:to>
        <xdr:sp macro="" textlink="">
          <xdr:nvSpPr>
            <xdr:cNvPr id="2051" name="Calculate Outputs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 type="none" w="med" len="med"/>
              <a:tailEnd type="none" w="med" len="med"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Calculate Outputs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W2029"/>
  <sheetViews>
    <sheetView zoomScale="80" zoomScaleNormal="80" workbookViewId="0">
      <selection activeCell="J11" sqref="J11:T11"/>
    </sheetView>
  </sheetViews>
  <sheetFormatPr baseColWidth="10" defaultColWidth="8.83203125" defaultRowHeight="15" outlineLevelCol="1" x14ac:dyDescent="0.2"/>
  <cols>
    <col min="1" max="1" width="27.5" style="12" customWidth="1" outlineLevel="1"/>
    <col min="2" max="2" width="2.5" style="12" customWidth="1" outlineLevel="1"/>
    <col min="3" max="3" width="14.6640625" customWidth="1"/>
    <col min="4" max="4" width="14.5" style="1" customWidth="1"/>
    <col min="5" max="5" width="13.83203125" customWidth="1"/>
    <col min="6" max="6" width="17.6640625" customWidth="1"/>
    <col min="7" max="7" width="20.1640625" customWidth="1"/>
    <col min="8" max="8" width="12.83203125" customWidth="1"/>
    <col min="9" max="9" width="8.83203125" style="5"/>
    <col min="11" max="11" width="11.1640625" customWidth="1"/>
    <col min="12" max="13" width="11.5" customWidth="1"/>
    <col min="14" max="14" width="15.6640625" customWidth="1"/>
    <col min="15" max="17" width="11.5" customWidth="1"/>
    <col min="18" max="18" width="19.33203125" bestFit="1" customWidth="1"/>
    <col min="19" max="19" width="19.33203125" customWidth="1"/>
    <col min="20" max="21" width="11.5" customWidth="1"/>
    <col min="22" max="22" width="9.83203125" customWidth="1"/>
    <col min="25" max="25" width="8.83203125" customWidth="1"/>
  </cols>
  <sheetData>
    <row r="1" spans="1:23" x14ac:dyDescent="0.2">
      <c r="J1" s="7"/>
      <c r="K1" s="7"/>
      <c r="L1" s="7"/>
      <c r="M1" s="7"/>
      <c r="N1" s="7"/>
      <c r="O1" s="7"/>
      <c r="P1" s="7"/>
      <c r="Q1" s="7"/>
      <c r="R1" s="7"/>
      <c r="S1" s="7"/>
    </row>
    <row r="2" spans="1:23" ht="24" x14ac:dyDescent="0.3">
      <c r="C2" s="49" t="s">
        <v>32</v>
      </c>
      <c r="D2" s="26"/>
      <c r="E2" s="26"/>
      <c r="F2" s="27"/>
      <c r="G2" s="27"/>
      <c r="H2" s="28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</row>
    <row r="3" spans="1:23" ht="6" customHeight="1" thickBot="1" x14ac:dyDescent="0.25">
      <c r="C3" s="29"/>
      <c r="D3" s="30"/>
      <c r="E3" s="30"/>
      <c r="F3" s="13"/>
      <c r="G3" s="13"/>
      <c r="H3" s="13"/>
      <c r="I3" s="19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9"/>
    </row>
    <row r="4" spans="1:23" ht="6" customHeight="1" thickTop="1" x14ac:dyDescent="0.2">
      <c r="C4" s="4"/>
      <c r="D4" s="3"/>
      <c r="E4" s="3"/>
      <c r="I4"/>
    </row>
    <row r="5" spans="1:23" ht="19" x14ac:dyDescent="0.25">
      <c r="C5" s="20" t="s">
        <v>30</v>
      </c>
      <c r="D5" s="21"/>
      <c r="E5" s="21"/>
      <c r="F5" s="21"/>
      <c r="G5" s="21"/>
      <c r="H5" s="21"/>
      <c r="I5"/>
      <c r="J5" s="25" t="s">
        <v>31</v>
      </c>
      <c r="K5" s="25"/>
      <c r="L5" s="25"/>
      <c r="M5" s="25"/>
      <c r="N5" s="25"/>
      <c r="O5" s="25"/>
      <c r="P5" s="25"/>
      <c r="Q5" s="25"/>
      <c r="R5" s="25"/>
      <c r="S5" s="25"/>
      <c r="T5" s="25"/>
    </row>
    <row r="6" spans="1:23" ht="6" customHeight="1" x14ac:dyDescent="0.2">
      <c r="C6" s="22"/>
      <c r="D6" s="23"/>
      <c r="E6" s="24"/>
      <c r="F6" s="11"/>
      <c r="G6" s="11"/>
      <c r="H6" s="11"/>
      <c r="I6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9"/>
    </row>
    <row r="7" spans="1:23" ht="6" customHeight="1" x14ac:dyDescent="0.2">
      <c r="C7" s="4"/>
      <c r="D7" s="3"/>
      <c r="E7" s="2"/>
      <c r="I7"/>
    </row>
    <row r="8" spans="1:23" ht="51" customHeight="1" x14ac:dyDescent="0.2">
      <c r="A8" s="37"/>
      <c r="B8" s="37"/>
      <c r="C8" s="7" t="s">
        <v>5</v>
      </c>
      <c r="D8" s="7" t="s">
        <v>1</v>
      </c>
      <c r="E8" s="7" t="s">
        <v>3</v>
      </c>
      <c r="F8" s="7" t="s">
        <v>4</v>
      </c>
      <c r="G8" s="7" t="s">
        <v>48</v>
      </c>
      <c r="H8" s="7" t="s">
        <v>6</v>
      </c>
      <c r="I8"/>
      <c r="J8" s="7" t="s">
        <v>9</v>
      </c>
      <c r="K8" s="7" t="s">
        <v>53</v>
      </c>
      <c r="L8" s="7" t="s">
        <v>13</v>
      </c>
      <c r="M8" s="7" t="s">
        <v>15</v>
      </c>
      <c r="N8" s="7" t="s">
        <v>54</v>
      </c>
      <c r="O8" s="7" t="s">
        <v>10</v>
      </c>
      <c r="P8" s="7" t="s">
        <v>11</v>
      </c>
      <c r="Q8" s="7" t="s">
        <v>12</v>
      </c>
      <c r="R8" s="7" t="s">
        <v>16</v>
      </c>
      <c r="S8" s="7" t="s">
        <v>14</v>
      </c>
      <c r="T8" s="7" t="s">
        <v>17</v>
      </c>
      <c r="U8" s="7"/>
    </row>
    <row r="9" spans="1:23" ht="30" x14ac:dyDescent="0.2">
      <c r="C9" s="6" t="s">
        <v>52</v>
      </c>
      <c r="D9" s="6" t="s">
        <v>2</v>
      </c>
      <c r="E9" s="6" t="s">
        <v>2</v>
      </c>
      <c r="F9" s="6" t="s">
        <v>7</v>
      </c>
      <c r="G9" s="6" t="s">
        <v>18</v>
      </c>
      <c r="H9" s="6" t="s">
        <v>20</v>
      </c>
      <c r="I9"/>
      <c r="J9" s="6" t="s">
        <v>18</v>
      </c>
      <c r="K9" s="6" t="s">
        <v>19</v>
      </c>
      <c r="L9" s="6" t="s">
        <v>19</v>
      </c>
      <c r="M9" s="6" t="s">
        <v>20</v>
      </c>
      <c r="N9" s="6" t="s">
        <v>20</v>
      </c>
      <c r="O9" s="6" t="s">
        <v>18</v>
      </c>
      <c r="P9" s="6" t="s">
        <v>19</v>
      </c>
      <c r="Q9" s="6" t="s">
        <v>19</v>
      </c>
      <c r="R9" s="6" t="s">
        <v>21</v>
      </c>
      <c r="S9" s="6" t="s">
        <v>20</v>
      </c>
    </row>
    <row r="10" spans="1:23" x14ac:dyDescent="0.2">
      <c r="C10" s="4"/>
      <c r="D10" s="3"/>
      <c r="E10" s="2"/>
      <c r="I10"/>
      <c r="V10" t="s">
        <v>45</v>
      </c>
      <c r="W10" t="s">
        <v>46</v>
      </c>
    </row>
    <row r="11" spans="1:23" ht="19" x14ac:dyDescent="0.25">
      <c r="C11" s="32">
        <v>60</v>
      </c>
      <c r="D11" s="32">
        <v>85</v>
      </c>
      <c r="E11" s="32">
        <v>2.5</v>
      </c>
      <c r="F11" s="32">
        <v>4</v>
      </c>
      <c r="G11" s="32">
        <v>30</v>
      </c>
      <c r="H11" s="32">
        <v>0</v>
      </c>
      <c r="I11"/>
      <c r="J11" s="34">
        <f>60*K11/$R$11</f>
        <v>4.1372077751564644</v>
      </c>
      <c r="K11" s="34">
        <f>SUMPRODUCT(J23:J2023,H23:H2023)+SUMPRODUCT($I$23:$I$2023,$H$23:$H$2023)</f>
        <v>5.8610443481383294</v>
      </c>
      <c r="L11" s="34">
        <f>SUMPRODUCT(J23:J2023,H23:H2023)</f>
        <v>3.9521786524648519E-3</v>
      </c>
      <c r="M11" s="34">
        <f>SUMPRODUCT(H23:H2023,M23:M2023)</f>
        <v>5.1145841384839209E-4</v>
      </c>
      <c r="N11" s="34">
        <f>1-SUMPRODUCT($N$23:$N$2023,$H$23:$H$2023)</f>
        <v>1.9506785482485967E-3</v>
      </c>
      <c r="O11" s="34">
        <f>60*P11/$R$11</f>
        <v>6.63720777515646</v>
      </c>
      <c r="P11" s="34">
        <f>SUMPRODUCT(D23:D2023,H23:H2023)</f>
        <v>9.4027110148049911</v>
      </c>
      <c r="Q11" s="34">
        <f>SUMPRODUCT(I23:I2023,H23:H2023)</f>
        <v>5.8570921694858642</v>
      </c>
      <c r="R11" s="34">
        <f>SUMPRODUCT(H23:H2023,L23:L2023)</f>
        <v>85.000000000000057</v>
      </c>
      <c r="S11" s="34">
        <f>SUM(K23:K2023)</f>
        <v>0.24151190788798352</v>
      </c>
      <c r="T11" s="35" t="str">
        <f>IFERROR(IF(R11&gt;=F11*60/E11, "System is Unstable", "System is Stable"),"System is Unstable")</f>
        <v>System is Stable</v>
      </c>
      <c r="U11" s="35"/>
      <c r="V11">
        <f>60/E11*F11</f>
        <v>96</v>
      </c>
      <c r="W11">
        <f>CalcInput*(1-H11)</f>
        <v>60</v>
      </c>
    </row>
    <row r="12" spans="1:23" ht="6" customHeight="1" thickBot="1" x14ac:dyDescent="0.25">
      <c r="C12" s="30"/>
      <c r="D12" s="29"/>
      <c r="E12" s="30"/>
      <c r="F12" s="33"/>
      <c r="G12" s="33"/>
      <c r="H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9"/>
    </row>
    <row r="13" spans="1:23" ht="6" customHeight="1" thickTop="1" x14ac:dyDescent="0.2">
      <c r="C13" s="3"/>
      <c r="D13" s="4"/>
      <c r="E13" s="3"/>
      <c r="F13" s="2"/>
      <c r="G13" s="2"/>
    </row>
    <row r="14" spans="1:23" x14ac:dyDescent="0.2">
      <c r="A14" s="12" t="s">
        <v>33</v>
      </c>
      <c r="D14" s="4"/>
      <c r="E14" s="3"/>
      <c r="F14" s="2"/>
    </row>
    <row r="15" spans="1:23" ht="21" x14ac:dyDescent="0.25">
      <c r="A15" s="38">
        <f>F11+C11</f>
        <v>64</v>
      </c>
      <c r="C15" s="46" t="s">
        <v>43</v>
      </c>
      <c r="D15" s="50"/>
      <c r="E15" s="47"/>
      <c r="F15" s="46"/>
      <c r="G15" s="46"/>
      <c r="H15" s="14"/>
      <c r="I15" s="14"/>
      <c r="J15" s="48"/>
      <c r="K15" s="14"/>
      <c r="L15" s="14"/>
    </row>
    <row r="16" spans="1:23" ht="6" customHeight="1" thickBot="1" x14ac:dyDescent="0.25">
      <c r="C16" s="13"/>
      <c r="D16" s="30"/>
      <c r="E16" s="29"/>
      <c r="F16" s="29"/>
      <c r="G16" s="13"/>
      <c r="H16" s="13"/>
      <c r="I16" s="13"/>
      <c r="J16" s="13"/>
      <c r="K16" s="31"/>
      <c r="L16" s="13"/>
      <c r="M16" s="13"/>
      <c r="N16" s="13"/>
    </row>
    <row r="17" spans="1:14" ht="6" customHeight="1" thickTop="1" x14ac:dyDescent="0.2">
      <c r="D17" s="39"/>
      <c r="E17" s="40"/>
      <c r="F17" s="40"/>
      <c r="G17" s="19"/>
      <c r="H17" s="19"/>
      <c r="I17" s="19"/>
      <c r="J17" s="19"/>
      <c r="K17" s="36"/>
      <c r="L17" s="19"/>
      <c r="M17" s="19"/>
      <c r="N17" s="19"/>
    </row>
    <row r="18" spans="1:14" ht="75" x14ac:dyDescent="0.2">
      <c r="D18" s="41" t="s">
        <v>34</v>
      </c>
      <c r="E18" s="42" t="s">
        <v>36</v>
      </c>
      <c r="F18" s="42" t="s">
        <v>55</v>
      </c>
      <c r="G18" s="41" t="s">
        <v>37</v>
      </c>
      <c r="H18" s="41" t="s">
        <v>35</v>
      </c>
      <c r="I18" s="41" t="s">
        <v>38</v>
      </c>
      <c r="J18" s="41" t="s">
        <v>39</v>
      </c>
      <c r="K18" s="43" t="s">
        <v>40</v>
      </c>
      <c r="L18" s="41" t="s">
        <v>41</v>
      </c>
      <c r="M18" s="41" t="s">
        <v>42</v>
      </c>
      <c r="N18" s="41" t="s">
        <v>47</v>
      </c>
    </row>
    <row r="19" spans="1:14" ht="6" customHeight="1" x14ac:dyDescent="0.2">
      <c r="C19" s="11"/>
      <c r="D19" s="11"/>
      <c r="E19" s="44"/>
      <c r="F19" s="44"/>
      <c r="G19" s="11"/>
      <c r="H19" s="11"/>
      <c r="I19" s="11"/>
      <c r="J19" s="11"/>
      <c r="K19" s="45"/>
      <c r="L19" s="11"/>
      <c r="M19" s="11"/>
      <c r="N19" s="11"/>
    </row>
    <row r="20" spans="1:14" ht="6" customHeight="1" x14ac:dyDescent="0.2">
      <c r="D20"/>
      <c r="E20" s="1"/>
      <c r="F20" s="1"/>
      <c r="I20"/>
      <c r="K20" s="5"/>
    </row>
    <row r="21" spans="1:14" s="10" customFormat="1" x14ac:dyDescent="0.2">
      <c r="A21" s="38"/>
      <c r="B21" s="38"/>
      <c r="C21" s="10" t="s">
        <v>44</v>
      </c>
      <c r="E21" s="51">
        <f>MAX(E23:E2023)</f>
        <v>2.0020328091990587</v>
      </c>
      <c r="F21" s="51"/>
      <c r="G21" s="52">
        <f>SUM(G23:G2023)</f>
        <v>10.187731103010584</v>
      </c>
      <c r="H21" s="52">
        <f>SUM(H23:H2023)</f>
        <v>0.99999999999999944</v>
      </c>
      <c r="I21" s="51"/>
      <c r="J21" s="51"/>
      <c r="K21" s="51"/>
      <c r="L21" s="51"/>
      <c r="M21" s="51"/>
      <c r="N21" s="51"/>
    </row>
    <row r="22" spans="1:14" ht="6" customHeight="1" x14ac:dyDescent="0.2">
      <c r="D22"/>
      <c r="E22" s="1"/>
      <c r="F22" s="1"/>
      <c r="I22"/>
      <c r="K22" s="5"/>
    </row>
    <row r="23" spans="1:14" x14ac:dyDescent="0.2">
      <c r="D23">
        <v>0</v>
      </c>
      <c r="E23" s="1">
        <f>0</f>
        <v>0</v>
      </c>
      <c r="F23" s="1">
        <f>E23-$E$21</f>
        <v>-2.0020328091990587</v>
      </c>
      <c r="G23" s="1">
        <f>EXP(F23)</f>
        <v>0.1350604518624057</v>
      </c>
      <c r="H23" s="1">
        <f t="shared" ref="H23:H86" si="0">G23/$G$21</f>
        <v>1.325716692919917E-2</v>
      </c>
      <c r="I23">
        <f>IF($F$11&lt;=D23, IF(D23&lt;=$A$15,D23-$F$11,$C$11),0)</f>
        <v>0</v>
      </c>
      <c r="J23">
        <f t="shared" ref="J23:J86" si="1">IF(D23&lt;=$A$15,0,D23-$A$15)</f>
        <v>0</v>
      </c>
      <c r="K23" s="5">
        <f>IF(D23&lt;$F$11,H23,0)</f>
        <v>1.325716692919917E-2</v>
      </c>
      <c r="L23">
        <f>IF(D23&lt;$A$15,$D$11,$D$11*(1-$H$11))</f>
        <v>85</v>
      </c>
      <c r="M23">
        <f t="shared" ref="M23:M86" si="2">IF(D23&lt;$A$15,0,1)</f>
        <v>0</v>
      </c>
      <c r="N23">
        <f>IF(SUM(I23:J23)&lt;=($G$11/60*$F$11/($E$11/60)),1,0)</f>
        <v>1</v>
      </c>
    </row>
    <row r="24" spans="1:14" x14ac:dyDescent="0.2">
      <c r="D24">
        <f>1+D23</f>
        <v>1</v>
      </c>
      <c r="E24" s="1">
        <f>IF($H$11=1,
IF(D24&lt;=$A$15,
E23+LN($D$11)-LN(60/$E$11)-LN(MIN(D24,$F$11)),
E23-LN(60/$E$11)-LN(MIN(D24,$F$11))),
 IF(D24&lt;=$A$15,
E23+LN($D$11)-LN(60/$E$11)-LN(MIN(D24,$F$11)),
E23+LN($D$11)+LN(1-$H$11)-LN(60/$E$11)-LN(MIN(D24,$F$11))))</f>
        <v>1.2645974261423709</v>
      </c>
      <c r="F24" s="1">
        <f>E24-$E$21</f>
        <v>-0.73743538305668777</v>
      </c>
      <c r="G24" s="1">
        <f t="shared" ref="G24:G87" si="3">EXP(F24)</f>
        <v>0.47833910034602023</v>
      </c>
      <c r="H24" s="1">
        <f t="shared" si="0"/>
        <v>4.6952466207580396E-2</v>
      </c>
      <c r="I24">
        <f>IF($F$11&lt;=D24, IF(D24&lt;=$A$15,D24-$F$11,$C$11),0)</f>
        <v>0</v>
      </c>
      <c r="J24">
        <f t="shared" si="1"/>
        <v>0</v>
      </c>
      <c r="K24" s="5">
        <f>IF(D24&lt;$F$11,H24,0)</f>
        <v>4.6952466207580396E-2</v>
      </c>
      <c r="L24">
        <f>IF(D24&lt;$A$15,$D$11,$D$11*(1-$H$11))</f>
        <v>85</v>
      </c>
      <c r="M24">
        <f t="shared" si="2"/>
        <v>0</v>
      </c>
      <c r="N24">
        <f>IF(SUM(I24:J24)&lt;=($G$11/60*$F$11/($E$11/60)),1,0)</f>
        <v>1</v>
      </c>
    </row>
    <row r="25" spans="1:14" x14ac:dyDescent="0.2">
      <c r="D25">
        <f t="shared" ref="D25:D88" si="4">1+D24</f>
        <v>2</v>
      </c>
      <c r="E25" s="1">
        <f>IF($H$11=1,IF(D25&lt;=$A$15, E24+LN($D$11)-LN(60/$E$11)-LN(MIN(D25,$F$11)), E24-LN(60/$E$11)-LN(MIN(D25,$F$11))), IF(D25&lt;=$A$15, E24+LN($D$11)-LN(60/$E$11)-LN(MIN(D25,$F$11)), E24+LN($D$11)+LN(1-$H$11)-LN(60/$E$11)-LN(MIN(D25,$F$11))))</f>
        <v>1.8360476717247969</v>
      </c>
      <c r="F25" s="1">
        <f t="shared" ref="F25:F88" si="5">E25-$E$21</f>
        <v>-0.1659851374742618</v>
      </c>
      <c r="G25" s="1">
        <f t="shared" si="3"/>
        <v>0.8470588235294112</v>
      </c>
      <c r="H25" s="1">
        <f t="shared" si="0"/>
        <v>8.3144992242590324E-2</v>
      </c>
      <c r="I25">
        <f>IF($F$11&lt;=D25, IF(D25&lt;=$A$15,D25-$F$11,$C$11),0)</f>
        <v>0</v>
      </c>
      <c r="J25">
        <f t="shared" si="1"/>
        <v>0</v>
      </c>
      <c r="K25" s="5">
        <f>IF(D25&lt;$F$11,H25,0)</f>
        <v>8.3144992242590324E-2</v>
      </c>
      <c r="L25">
        <f>IF(D25&lt;$A$15,$D$11,$D$11*(1-$H$11))</f>
        <v>85</v>
      </c>
      <c r="M25">
        <f t="shared" si="2"/>
        <v>0</v>
      </c>
      <c r="N25">
        <f>IF(SUM(I25:J25)&lt;=($G$11/60*$F$11/($E$11/60)),1,0)</f>
        <v>1</v>
      </c>
    </row>
    <row r="26" spans="1:14" x14ac:dyDescent="0.2">
      <c r="D26">
        <f t="shared" si="4"/>
        <v>3</v>
      </c>
      <c r="E26" s="1">
        <f>IF($H$11=1,IF(D26&lt;=$A$15, E25+LN($D$11)-LN(60/$E$11)-LN(MIN(D26,$F$11)), E25-LN(60/$E$11)-LN(MIN(D26,$F$11))), IF(D26&lt;=$A$15, E25+LN($D$11)-LN(60/$E$11)-LN(MIN(D26,$F$11)), E25+LN($D$11)+LN(1-$H$11)-LN(60/$E$11)-LN(MIN(D26,$F$11))))</f>
        <v>2.0020328091990587</v>
      </c>
      <c r="F26" s="1">
        <f t="shared" si="5"/>
        <v>0</v>
      </c>
      <c r="G26" s="1">
        <f t="shared" si="3"/>
        <v>1</v>
      </c>
      <c r="H26" s="1">
        <f t="shared" si="0"/>
        <v>9.8157282508613636E-2</v>
      </c>
      <c r="I26">
        <f>IF($F$11&lt;=D26, IF(D26&lt;=$A$15,D26-$F$11,$C$11),0)</f>
        <v>0</v>
      </c>
      <c r="J26">
        <f t="shared" si="1"/>
        <v>0</v>
      </c>
      <c r="K26" s="5">
        <f>IF(D26&lt;$F$11,H26,0)</f>
        <v>9.8157282508613636E-2</v>
      </c>
      <c r="L26">
        <f>IF(D26&lt;$A$15,$D$11,$D$11*(1-$H$11))</f>
        <v>85</v>
      </c>
      <c r="M26">
        <f t="shared" si="2"/>
        <v>0</v>
      </c>
      <c r="N26">
        <f>IF(SUM(I26:J26)&lt;=($G$11/60*$F$11/($E$11/60)),1,0)</f>
        <v>1</v>
      </c>
    </row>
    <row r="27" spans="1:14" x14ac:dyDescent="0.2">
      <c r="D27">
        <f t="shared" si="4"/>
        <v>4</v>
      </c>
      <c r="E27" s="1">
        <f>IF($H$11=1,IF(D27&lt;=$A$15, E26+LN($D$11)-LN(60/$E$11)-LN(MIN(D27,$F$11)), E26-LN(60/$E$11)-LN(MIN(D27,$F$11))), IF(D27&lt;=$A$15, E26+LN($D$11)-LN(60/$E$11)-LN(MIN(D27,$F$11)), E26+LN($D$11)+LN(1-$H$11)-LN(60/$E$11)-LN(MIN(D27,$F$11))))</f>
        <v>1.880335874221539</v>
      </c>
      <c r="F27" s="1">
        <f t="shared" si="5"/>
        <v>-0.12169693497751966</v>
      </c>
      <c r="G27" s="1">
        <f t="shared" si="3"/>
        <v>0.88541666666666674</v>
      </c>
      <c r="H27" s="1">
        <f t="shared" si="0"/>
        <v>8.6910093887835008E-2</v>
      </c>
      <c r="I27">
        <f>IF($F$11&lt;=D27, IF(D27&lt;=$A$15,D27-$F$11,$C$11),0)</f>
        <v>0</v>
      </c>
      <c r="J27">
        <f t="shared" si="1"/>
        <v>0</v>
      </c>
      <c r="K27" s="5">
        <f>IF(D27&lt;$F$11,H27,0)</f>
        <v>0</v>
      </c>
      <c r="L27">
        <f>IF(D27&lt;$A$15,$D$11,$D$11*(1-$H$11))</f>
        <v>85</v>
      </c>
      <c r="M27">
        <f t="shared" si="2"/>
        <v>0</v>
      </c>
      <c r="N27">
        <f>IF(SUM(I27:J27)&lt;=($G$11/60*$F$11/($E$11/60)),1,0)</f>
        <v>1</v>
      </c>
    </row>
    <row r="28" spans="1:14" x14ac:dyDescent="0.2">
      <c r="D28">
        <f t="shared" si="4"/>
        <v>5</v>
      </c>
      <c r="E28" s="1">
        <f>IF($H$11=1,IF(D28&lt;=$A$15, E27+LN($D$11)-LN(60/$E$11)-LN(MIN(D28,$F$11)), E27-LN(60/$E$11)-LN(MIN(D28,$F$11))), IF(D28&lt;=$A$15, E27+LN($D$11)-LN(60/$E$11)-LN(MIN(D28,$F$11)), E27+LN($D$11)+LN(1-$H$11)-LN(60/$E$11)-LN(MIN(D28,$F$11))))</f>
        <v>1.7586389392440196</v>
      </c>
      <c r="F28" s="1">
        <f t="shared" si="5"/>
        <v>-0.24339386995503909</v>
      </c>
      <c r="G28" s="1">
        <f t="shared" si="3"/>
        <v>0.78396267361111149</v>
      </c>
      <c r="H28" s="1">
        <f t="shared" si="0"/>
        <v>7.6951645629853946E-2</v>
      </c>
      <c r="I28">
        <f>IF($F$11&lt;=D28, IF(D28&lt;=$A$15,D28-$F$11,$C$11),0)</f>
        <v>1</v>
      </c>
      <c r="J28">
        <f t="shared" si="1"/>
        <v>0</v>
      </c>
      <c r="K28" s="5">
        <f>IF(D28&lt;$F$11,H28,0)</f>
        <v>0</v>
      </c>
      <c r="L28">
        <f>IF(D28&lt;$A$15,$D$11,$D$11*(1-$H$11))</f>
        <v>85</v>
      </c>
      <c r="M28">
        <f t="shared" si="2"/>
        <v>0</v>
      </c>
      <c r="N28">
        <f>IF(SUM(I28:J28)&lt;=($G$11/60*$F$11/($E$11/60)),1,0)</f>
        <v>1</v>
      </c>
    </row>
    <row r="29" spans="1:14" x14ac:dyDescent="0.2">
      <c r="D29">
        <f t="shared" si="4"/>
        <v>6</v>
      </c>
      <c r="E29" s="1">
        <f>IF($H$11=1,IF(D29&lt;=$A$15, E28+LN($D$11)-LN(60/$E$11)-LN(MIN(D29,$F$11)), E28-LN(60/$E$11)-LN(MIN(D29,$F$11))), IF(D29&lt;=$A$15, E28+LN($D$11)-LN(60/$E$11)-LN(MIN(D29,$F$11)), E28+LN($D$11)+LN(1-$H$11)-LN(60/$E$11)-LN(MIN(D29,$F$11))))</f>
        <v>1.6369420042665002</v>
      </c>
      <c r="F29" s="1">
        <f t="shared" si="5"/>
        <v>-0.36509080493255852</v>
      </c>
      <c r="G29" s="1">
        <f t="shared" si="3"/>
        <v>0.69413361725983858</v>
      </c>
      <c r="H29" s="1">
        <f t="shared" si="0"/>
        <v>6.813426956809987E-2</v>
      </c>
      <c r="I29">
        <f>IF($F$11&lt;=D29, IF(D29&lt;=$A$15,D29-$F$11,$C$11),0)</f>
        <v>2</v>
      </c>
      <c r="J29">
        <f t="shared" si="1"/>
        <v>0</v>
      </c>
      <c r="K29" s="5">
        <f>IF(D29&lt;$F$11,H29,0)</f>
        <v>0</v>
      </c>
      <c r="L29">
        <f>IF(D29&lt;$A$15,$D$11,$D$11*(1-$H$11))</f>
        <v>85</v>
      </c>
      <c r="M29">
        <f t="shared" si="2"/>
        <v>0</v>
      </c>
      <c r="N29">
        <f>IF(SUM(I29:J29)&lt;=($G$11/60*$F$11/($E$11/60)),1,0)</f>
        <v>1</v>
      </c>
    </row>
    <row r="30" spans="1:14" x14ac:dyDescent="0.2">
      <c r="D30">
        <f t="shared" si="4"/>
        <v>7</v>
      </c>
      <c r="E30" s="1">
        <f>IF($H$11=1,IF(D30&lt;=$A$15, E29+LN($D$11)-LN(60/$E$11)-LN(MIN(D30,$F$11)), E29-LN(60/$E$11)-LN(MIN(D30,$F$11))), IF(D30&lt;=$A$15, E29+LN($D$11)-LN(60/$E$11)-LN(MIN(D30,$F$11)), E29+LN($D$11)+LN(1-$H$11)-LN(60/$E$11)-LN(MIN(D30,$F$11))))</f>
        <v>1.5152450692889807</v>
      </c>
      <c r="F30" s="1">
        <f t="shared" si="5"/>
        <v>-0.48678773991007795</v>
      </c>
      <c r="G30" s="1">
        <f t="shared" si="3"/>
        <v>0.61459747361548223</v>
      </c>
      <c r="H30" s="1">
        <f t="shared" si="0"/>
        <v>6.0327217846755106E-2</v>
      </c>
      <c r="I30">
        <f>IF($F$11&lt;=D30, IF(D30&lt;=$A$15,D30-$F$11,$C$11),0)</f>
        <v>3</v>
      </c>
      <c r="J30">
        <f t="shared" si="1"/>
        <v>0</v>
      </c>
      <c r="K30" s="5">
        <f>IF(D30&lt;$F$11,H30,0)</f>
        <v>0</v>
      </c>
      <c r="L30">
        <f>IF(D30&lt;$A$15,$D$11,$D$11*(1-$H$11))</f>
        <v>85</v>
      </c>
      <c r="M30">
        <f t="shared" si="2"/>
        <v>0</v>
      </c>
      <c r="N30">
        <f>IF(SUM(I30:J30)&lt;=($G$11/60*$F$11/($E$11/60)),1,0)</f>
        <v>1</v>
      </c>
    </row>
    <row r="31" spans="1:14" x14ac:dyDescent="0.2">
      <c r="D31">
        <f t="shared" si="4"/>
        <v>8</v>
      </c>
      <c r="E31" s="1">
        <f>IF($H$11=1,IF(D31&lt;=$A$15, E30+LN($D$11)-LN(60/$E$11)-LN(MIN(D31,$F$11)), E30-LN(60/$E$11)-LN(MIN(D31,$F$11))), IF(D31&lt;=$A$15, E30+LN($D$11)-LN(60/$E$11)-LN(MIN(D31,$F$11)), E30+LN($D$11)+LN(1-$H$11)-LN(60/$E$11)-LN(MIN(D31,$F$11))))</f>
        <v>1.3935481343114613</v>
      </c>
      <c r="F31" s="1">
        <f t="shared" si="5"/>
        <v>-0.60848467488759739</v>
      </c>
      <c r="G31" s="1">
        <f t="shared" si="3"/>
        <v>0.54417484643037506</v>
      </c>
      <c r="H31" s="1">
        <f t="shared" si="0"/>
        <v>5.3414724135147772E-2</v>
      </c>
      <c r="I31">
        <f>IF($F$11&lt;=D31, IF(D31&lt;=$A$15,D31-$F$11,$C$11),0)</f>
        <v>4</v>
      </c>
      <c r="J31">
        <f t="shared" si="1"/>
        <v>0</v>
      </c>
      <c r="K31" s="5">
        <f>IF(D31&lt;$F$11,H31,0)</f>
        <v>0</v>
      </c>
      <c r="L31">
        <f>IF(D31&lt;$A$15,$D$11,$D$11*(1-$H$11))</f>
        <v>85</v>
      </c>
      <c r="M31">
        <f t="shared" si="2"/>
        <v>0</v>
      </c>
      <c r="N31">
        <f>IF(SUM(I31:J31)&lt;=($G$11/60*$F$11/($E$11/60)),1,0)</f>
        <v>1</v>
      </c>
    </row>
    <row r="32" spans="1:14" x14ac:dyDescent="0.2">
      <c r="D32">
        <f t="shared" si="4"/>
        <v>9</v>
      </c>
      <c r="E32" s="1">
        <f>IF($H$11=1,IF(D32&lt;=$A$15, E31+LN($D$11)-LN(60/$E$11)-LN(MIN(D32,$F$11)), E31-LN(60/$E$11)-LN(MIN(D32,$F$11))), IF(D32&lt;=$A$15, E31+LN($D$11)-LN(60/$E$11)-LN(MIN(D32,$F$11)), E31+LN($D$11)+LN(1-$H$11)-LN(60/$E$11)-LN(MIN(D32,$F$11))))</f>
        <v>1.2718511993339419</v>
      </c>
      <c r="F32" s="1">
        <f t="shared" si="5"/>
        <v>-0.73018160986511682</v>
      </c>
      <c r="G32" s="1">
        <f t="shared" si="3"/>
        <v>0.48182147861022812</v>
      </c>
      <c r="H32" s="1">
        <f t="shared" si="0"/>
        <v>4.7294286994662108E-2</v>
      </c>
      <c r="I32">
        <f>IF($F$11&lt;=D32, IF(D32&lt;=$A$15,D32-$F$11,$C$11),0)</f>
        <v>5</v>
      </c>
      <c r="J32">
        <f t="shared" si="1"/>
        <v>0</v>
      </c>
      <c r="K32" s="5">
        <f>IF(D32&lt;$F$11,H32,0)</f>
        <v>0</v>
      </c>
      <c r="L32">
        <f>IF(D32&lt;$A$15,$D$11,$D$11*(1-$H$11))</f>
        <v>85</v>
      </c>
      <c r="M32">
        <f t="shared" si="2"/>
        <v>0</v>
      </c>
      <c r="N32">
        <f>IF(SUM(I32:J32)&lt;=($G$11/60*$F$11/($E$11/60)),1,0)</f>
        <v>1</v>
      </c>
    </row>
    <row r="33" spans="4:14" x14ac:dyDescent="0.2">
      <c r="D33">
        <f t="shared" si="4"/>
        <v>10</v>
      </c>
      <c r="E33" s="1">
        <f>IF($H$11=1,IF(D33&lt;=$A$15, E32+LN($D$11)-LN(60/$E$11)-LN(MIN(D33,$F$11)), E32-LN(60/$E$11)-LN(MIN(D33,$F$11))), IF(D33&lt;=$A$15, E32+LN($D$11)-LN(60/$E$11)-LN(MIN(D33,$F$11)), E32+LN($D$11)+LN(1-$H$11)-LN(60/$E$11)-LN(MIN(D33,$F$11))))</f>
        <v>1.1501542643564224</v>
      </c>
      <c r="F33" s="1">
        <f t="shared" si="5"/>
        <v>-0.85187854484263625</v>
      </c>
      <c r="G33" s="1">
        <f t="shared" si="3"/>
        <v>0.42661276751947297</v>
      </c>
      <c r="H33" s="1">
        <f t="shared" si="0"/>
        <v>4.1875149943190422E-2</v>
      </c>
      <c r="I33">
        <f>IF($F$11&lt;=D33, IF(D33&lt;=$A$15,D33-$F$11,$C$11),0)</f>
        <v>6</v>
      </c>
      <c r="J33">
        <f t="shared" si="1"/>
        <v>0</v>
      </c>
      <c r="K33" s="5">
        <f>IF(D33&lt;$F$11,H33,0)</f>
        <v>0</v>
      </c>
      <c r="L33">
        <f>IF(D33&lt;$A$15,$D$11,$D$11*(1-$H$11))</f>
        <v>85</v>
      </c>
      <c r="M33">
        <f t="shared" si="2"/>
        <v>0</v>
      </c>
      <c r="N33">
        <f>IF(SUM(I33:J33)&lt;=($G$11/60*$F$11/($E$11/60)),1,0)</f>
        <v>1</v>
      </c>
    </row>
    <row r="34" spans="4:14" x14ac:dyDescent="0.2">
      <c r="D34">
        <f t="shared" si="4"/>
        <v>11</v>
      </c>
      <c r="E34" s="1">
        <f>IF($H$11=1,IF(D34&lt;=$A$15, E33+LN($D$11)-LN(60/$E$11)-LN(MIN(D34,$F$11)), E33-LN(60/$E$11)-LN(MIN(D34,$F$11))), IF(D34&lt;=$A$15, E33+LN($D$11)-LN(60/$E$11)-LN(MIN(D34,$F$11)), E33+LN($D$11)+LN(1-$H$11)-LN(60/$E$11)-LN(MIN(D34,$F$11))))</f>
        <v>1.028457329378903</v>
      </c>
      <c r="F34" s="1">
        <f t="shared" si="5"/>
        <v>-0.97357547982015569</v>
      </c>
      <c r="G34" s="1">
        <f t="shared" si="3"/>
        <v>0.37773005457453351</v>
      </c>
      <c r="H34" s="1">
        <f t="shared" si="0"/>
        <v>3.7076955678866534E-2</v>
      </c>
      <c r="I34">
        <f>IF($F$11&lt;=D34, IF(D34&lt;=$A$15,D34-$F$11,$C$11),0)</f>
        <v>7</v>
      </c>
      <c r="J34">
        <f t="shared" si="1"/>
        <v>0</v>
      </c>
      <c r="K34" s="5">
        <f>IF(D34&lt;$F$11,H34,0)</f>
        <v>0</v>
      </c>
      <c r="L34">
        <f>IF(D34&lt;$A$15,$D$11,$D$11*(1-$H$11))</f>
        <v>85</v>
      </c>
      <c r="M34">
        <f t="shared" si="2"/>
        <v>0</v>
      </c>
      <c r="N34">
        <f>IF(SUM(I34:J34)&lt;=($G$11/60*$F$11/($E$11/60)),1,0)</f>
        <v>1</v>
      </c>
    </row>
    <row r="35" spans="4:14" x14ac:dyDescent="0.2">
      <c r="D35">
        <f t="shared" si="4"/>
        <v>12</v>
      </c>
      <c r="E35" s="1">
        <f>IF($H$11=1,IF(D35&lt;=$A$15, E34+LN($D$11)-LN(60/$E$11)-LN(MIN(D35,$F$11)), E34-LN(60/$E$11)-LN(MIN(D35,$F$11))), IF(D35&lt;=$A$15, E34+LN($D$11)-LN(60/$E$11)-LN(MIN(D35,$F$11)), E34+LN($D$11)+LN(1-$H$11)-LN(60/$E$11)-LN(MIN(D35,$F$11))))</f>
        <v>0.90676039440138356</v>
      </c>
      <c r="F35" s="1">
        <f t="shared" si="5"/>
        <v>-1.0952724147976751</v>
      </c>
      <c r="G35" s="1">
        <f t="shared" si="3"/>
        <v>0.33444848582120162</v>
      </c>
      <c r="H35" s="1">
        <f t="shared" si="0"/>
        <v>3.2828554507329751E-2</v>
      </c>
      <c r="I35">
        <f>IF($F$11&lt;=D35, IF(D35&lt;=$A$15,D35-$F$11,$C$11),0)</f>
        <v>8</v>
      </c>
      <c r="J35">
        <f t="shared" si="1"/>
        <v>0</v>
      </c>
      <c r="K35" s="5">
        <f>IF(D35&lt;$F$11,H35,0)</f>
        <v>0</v>
      </c>
      <c r="L35">
        <f>IF(D35&lt;$A$15,$D$11,$D$11*(1-$H$11))</f>
        <v>85</v>
      </c>
      <c r="M35">
        <f t="shared" si="2"/>
        <v>0</v>
      </c>
      <c r="N35">
        <f>IF(SUM(I35:J35)&lt;=($G$11/60*$F$11/($E$11/60)),1,0)</f>
        <v>1</v>
      </c>
    </row>
    <row r="36" spans="4:14" x14ac:dyDescent="0.2">
      <c r="D36">
        <f t="shared" si="4"/>
        <v>13</v>
      </c>
      <c r="E36" s="1">
        <f>IF($H$11=1,IF(D36&lt;=$A$15, E35+LN($D$11)-LN(60/$E$11)-LN(MIN(D36,$F$11)), E35-LN(60/$E$11)-LN(MIN(D36,$F$11))), IF(D36&lt;=$A$15, E35+LN($D$11)-LN(60/$E$11)-LN(MIN(D36,$F$11)), E35+LN($D$11)+LN(1-$H$11)-LN(60/$E$11)-LN(MIN(D36,$F$11))))</f>
        <v>0.78506345942386413</v>
      </c>
      <c r="F36" s="1">
        <f t="shared" si="5"/>
        <v>-1.2169693497751946</v>
      </c>
      <c r="G36" s="1">
        <f t="shared" si="3"/>
        <v>0.29612626348752241</v>
      </c>
      <c r="H36" s="1">
        <f t="shared" si="0"/>
        <v>2.9066949303364897E-2</v>
      </c>
      <c r="I36">
        <f>IF($F$11&lt;=D36, IF(D36&lt;=$A$15,D36-$F$11,$C$11),0)</f>
        <v>9</v>
      </c>
      <c r="J36">
        <f t="shared" si="1"/>
        <v>0</v>
      </c>
      <c r="K36" s="5">
        <f>IF(D36&lt;$F$11,H36,0)</f>
        <v>0</v>
      </c>
      <c r="L36">
        <f>IF(D36&lt;$A$15,$D$11,$D$11*(1-$H$11))</f>
        <v>85</v>
      </c>
      <c r="M36">
        <f t="shared" si="2"/>
        <v>0</v>
      </c>
      <c r="N36">
        <f>IF(SUM(I36:J36)&lt;=($G$11/60*$F$11/($E$11/60)),1,0)</f>
        <v>1</v>
      </c>
    </row>
    <row r="37" spans="4:14" x14ac:dyDescent="0.2">
      <c r="D37">
        <f t="shared" si="4"/>
        <v>14</v>
      </c>
      <c r="E37" s="1">
        <f>IF($H$11=1,IF(D37&lt;=$A$15, E36+LN($D$11)-LN(60/$E$11)-LN(MIN(D37,$F$11)), E36-LN(60/$E$11)-LN(MIN(D37,$F$11))), IF(D37&lt;=$A$15, E36+LN($D$11)-LN(60/$E$11)-LN(MIN(D37,$F$11)), E36+LN($D$11)+LN(1-$H$11)-LN(60/$E$11)-LN(MIN(D37,$F$11))))</f>
        <v>0.6633665244463447</v>
      </c>
      <c r="F37" s="1">
        <f t="shared" si="5"/>
        <v>-1.338666284752714</v>
      </c>
      <c r="G37" s="1">
        <f t="shared" si="3"/>
        <v>0.26219512912957721</v>
      </c>
      <c r="H37" s="1">
        <f t="shared" si="0"/>
        <v>2.5736361362354344E-2</v>
      </c>
      <c r="I37">
        <f>IF($F$11&lt;=D37, IF(D37&lt;=$A$15,D37-$F$11,$C$11),0)</f>
        <v>10</v>
      </c>
      <c r="J37">
        <f t="shared" si="1"/>
        <v>0</v>
      </c>
      <c r="K37" s="5">
        <f>IF(D37&lt;$F$11,H37,0)</f>
        <v>0</v>
      </c>
      <c r="L37">
        <f>IF(D37&lt;$A$15,$D$11,$D$11*(1-$H$11))</f>
        <v>85</v>
      </c>
      <c r="M37">
        <f t="shared" si="2"/>
        <v>0</v>
      </c>
      <c r="N37">
        <f>IF(SUM(I37:J37)&lt;=($G$11/60*$F$11/($E$11/60)),1,0)</f>
        <v>1</v>
      </c>
    </row>
    <row r="38" spans="4:14" x14ac:dyDescent="0.2">
      <c r="D38">
        <f t="shared" si="4"/>
        <v>15</v>
      </c>
      <c r="E38" s="1">
        <f>IF($H$11=1,IF(D38&lt;=$A$15, E37+LN($D$11)-LN(60/$E$11)-LN(MIN(D38,$F$11)), E37-LN(60/$E$11)-LN(MIN(D38,$F$11))), IF(D38&lt;=$A$15, E37+LN($D$11)-LN(60/$E$11)-LN(MIN(D38,$F$11)), E37+LN($D$11)+LN(1-$H$11)-LN(60/$E$11)-LN(MIN(D38,$F$11))))</f>
        <v>0.54166958946882526</v>
      </c>
      <c r="F38" s="1">
        <f t="shared" si="5"/>
        <v>-1.4603632197302334</v>
      </c>
      <c r="G38" s="1">
        <f t="shared" si="3"/>
        <v>0.23215193725014657</v>
      </c>
      <c r="H38" s="1">
        <f t="shared" si="0"/>
        <v>2.2787403289584583E-2</v>
      </c>
      <c r="I38">
        <f>IF($F$11&lt;=D38, IF(D38&lt;=$A$15,D38-$F$11,$C$11),0)</f>
        <v>11</v>
      </c>
      <c r="J38">
        <f t="shared" si="1"/>
        <v>0</v>
      </c>
      <c r="K38" s="5">
        <f>IF(D38&lt;$F$11,H38,0)</f>
        <v>0</v>
      </c>
      <c r="L38">
        <f>IF(D38&lt;$A$15,$D$11,$D$11*(1-$H$11))</f>
        <v>85</v>
      </c>
      <c r="M38">
        <f t="shared" si="2"/>
        <v>0</v>
      </c>
      <c r="N38">
        <f>IF(SUM(I38:J38)&lt;=($G$11/60*$F$11/($E$11/60)),1,0)</f>
        <v>1</v>
      </c>
    </row>
    <row r="39" spans="4:14" x14ac:dyDescent="0.2">
      <c r="D39">
        <f t="shared" si="4"/>
        <v>16</v>
      </c>
      <c r="E39" s="1">
        <f>IF($H$11=1,IF(D39&lt;=$A$15, E38+LN($D$11)-LN(60/$E$11)-LN(MIN(D39,$F$11)), E38-LN(60/$E$11)-LN(MIN(D39,$F$11))), IF(D39&lt;=$A$15, E38+LN($D$11)-LN(60/$E$11)-LN(MIN(D39,$F$11)), E38+LN($D$11)+LN(1-$H$11)-LN(60/$E$11)-LN(MIN(D39,$F$11))))</f>
        <v>0.41997265449130583</v>
      </c>
      <c r="F39" s="1">
        <f t="shared" si="5"/>
        <v>-1.5820601547077529</v>
      </c>
      <c r="G39" s="1">
        <f t="shared" si="3"/>
        <v>0.20555119444023401</v>
      </c>
      <c r="H39" s="1">
        <f t="shared" si="0"/>
        <v>2.0176346662653024E-2</v>
      </c>
      <c r="I39">
        <f>IF($F$11&lt;=D39, IF(D39&lt;=$A$15,D39-$F$11,$C$11),0)</f>
        <v>12</v>
      </c>
      <c r="J39">
        <f t="shared" si="1"/>
        <v>0</v>
      </c>
      <c r="K39" s="5">
        <f>IF(D39&lt;$F$11,H39,0)</f>
        <v>0</v>
      </c>
      <c r="L39">
        <f>IF(D39&lt;$A$15,$D$11,$D$11*(1-$H$11))</f>
        <v>85</v>
      </c>
      <c r="M39">
        <f t="shared" si="2"/>
        <v>0</v>
      </c>
      <c r="N39">
        <f>IF(SUM(I39:J39)&lt;=($G$11/60*$F$11/($E$11/60)),1,0)</f>
        <v>1</v>
      </c>
    </row>
    <row r="40" spans="4:14" x14ac:dyDescent="0.2">
      <c r="D40">
        <f t="shared" si="4"/>
        <v>17</v>
      </c>
      <c r="E40" s="1">
        <f>IF($H$11=1,IF(D40&lt;=$A$15, E39+LN($D$11)-LN(60/$E$11)-LN(MIN(D40,$F$11)), E39-LN(60/$E$11)-LN(MIN(D40,$F$11))), IF(D40&lt;=$A$15, E39+LN($D$11)-LN(60/$E$11)-LN(MIN(D40,$F$11)), E39+LN($D$11)+LN(1-$H$11)-LN(60/$E$11)-LN(MIN(D40,$F$11))))</f>
        <v>0.2982757195137864</v>
      </c>
      <c r="F40" s="1">
        <f t="shared" si="5"/>
        <v>-1.7037570896852723</v>
      </c>
      <c r="G40" s="1">
        <f t="shared" si="3"/>
        <v>0.18199845341062393</v>
      </c>
      <c r="H40" s="1">
        <f t="shared" si="0"/>
        <v>1.7864473607557371E-2</v>
      </c>
      <c r="I40">
        <f>IF($F$11&lt;=D40, IF(D40&lt;=$A$15,D40-$F$11,$C$11),0)</f>
        <v>13</v>
      </c>
      <c r="J40">
        <f t="shared" si="1"/>
        <v>0</v>
      </c>
      <c r="K40" s="5">
        <f>IF(D40&lt;$F$11,H40,0)</f>
        <v>0</v>
      </c>
      <c r="L40">
        <f>IF(D40&lt;$A$15,$D$11,$D$11*(1-$H$11))</f>
        <v>85</v>
      </c>
      <c r="M40">
        <f t="shared" si="2"/>
        <v>0</v>
      </c>
      <c r="N40">
        <f>IF(SUM(I40:J40)&lt;=($G$11/60*$F$11/($E$11/60)),1,0)</f>
        <v>1</v>
      </c>
    </row>
    <row r="41" spans="4:14" x14ac:dyDescent="0.2">
      <c r="D41">
        <f t="shared" si="4"/>
        <v>18</v>
      </c>
      <c r="E41" s="1">
        <f>IF($H$11=1,IF(D41&lt;=$A$15, E40+LN($D$11)-LN(60/$E$11)-LN(MIN(D41,$F$11)), E40-LN(60/$E$11)-LN(MIN(D41,$F$11))), IF(D41&lt;=$A$15, E40+LN($D$11)-LN(60/$E$11)-LN(MIN(D41,$F$11)), E40+LN($D$11)+LN(1-$H$11)-LN(60/$E$11)-LN(MIN(D41,$F$11))))</f>
        <v>0.17657878453626696</v>
      </c>
      <c r="F41" s="1">
        <f t="shared" si="5"/>
        <v>-1.8254540246627917</v>
      </c>
      <c r="G41" s="1">
        <f t="shared" si="3"/>
        <v>0.16114446395732332</v>
      </c>
      <c r="H41" s="1">
        <f t="shared" si="0"/>
        <v>1.5817502673358092E-2</v>
      </c>
      <c r="I41">
        <f>IF($F$11&lt;=D41, IF(D41&lt;=$A$15,D41-$F$11,$C$11),0)</f>
        <v>14</v>
      </c>
      <c r="J41">
        <f t="shared" si="1"/>
        <v>0</v>
      </c>
      <c r="K41" s="5">
        <f>IF(D41&lt;$F$11,H41,0)</f>
        <v>0</v>
      </c>
      <c r="L41">
        <f>IF(D41&lt;$A$15,$D$11,$D$11*(1-$H$11))</f>
        <v>85</v>
      </c>
      <c r="M41">
        <f t="shared" si="2"/>
        <v>0</v>
      </c>
      <c r="N41">
        <f>IF(SUM(I41:J41)&lt;=($G$11/60*$F$11/($E$11/60)),1,0)</f>
        <v>1</v>
      </c>
    </row>
    <row r="42" spans="4:14" x14ac:dyDescent="0.2">
      <c r="D42">
        <f t="shared" si="4"/>
        <v>19</v>
      </c>
      <c r="E42" s="1">
        <f>IF($H$11=1,IF(D42&lt;=$A$15, E41+LN($D$11)-LN(60/$E$11)-LN(MIN(D42,$F$11)), E41-LN(60/$E$11)-LN(MIN(D42,$F$11))), IF(D42&lt;=$A$15, E41+LN($D$11)-LN(60/$E$11)-LN(MIN(D42,$F$11)), E41+LN($D$11)+LN(1-$H$11)-LN(60/$E$11)-LN(MIN(D42,$F$11))))</f>
        <v>5.4881849558747531E-2</v>
      </c>
      <c r="F42" s="1">
        <f t="shared" si="5"/>
        <v>-1.9471509596403112</v>
      </c>
      <c r="G42" s="1">
        <f t="shared" si="3"/>
        <v>0.14267999412888008</v>
      </c>
      <c r="H42" s="1">
        <f t="shared" si="0"/>
        <v>1.4005080492035818E-2</v>
      </c>
      <c r="I42">
        <f>IF($F$11&lt;=D42, IF(D42&lt;=$A$15,D42-$F$11,$C$11),0)</f>
        <v>15</v>
      </c>
      <c r="J42">
        <f t="shared" si="1"/>
        <v>0</v>
      </c>
      <c r="K42" s="5">
        <f>IF(D42&lt;$F$11,H42,0)</f>
        <v>0</v>
      </c>
      <c r="L42">
        <f>IF(D42&lt;$A$15,$D$11,$D$11*(1-$H$11))</f>
        <v>85</v>
      </c>
      <c r="M42">
        <f t="shared" si="2"/>
        <v>0</v>
      </c>
      <c r="N42">
        <f>IF(SUM(I42:J42)&lt;=($G$11/60*$F$11/($E$11/60)),1,0)</f>
        <v>1</v>
      </c>
    </row>
    <row r="43" spans="4:14" x14ac:dyDescent="0.2">
      <c r="D43">
        <f t="shared" si="4"/>
        <v>20</v>
      </c>
      <c r="E43" s="1">
        <f>IF($H$11=1,IF(D43&lt;=$A$15, E42+LN($D$11)-LN(60/$E$11)-LN(MIN(D43,$F$11)), E42-LN(60/$E$11)-LN(MIN(D43,$F$11))), IF(D43&lt;=$A$15, E42+LN($D$11)-LN(60/$E$11)-LN(MIN(D43,$F$11)), E42+LN($D$11)+LN(1-$H$11)-LN(60/$E$11)-LN(MIN(D43,$F$11))))</f>
        <v>-6.6815085418771902E-2</v>
      </c>
      <c r="F43" s="1">
        <f t="shared" si="5"/>
        <v>-2.0688478946178304</v>
      </c>
      <c r="G43" s="1">
        <f t="shared" si="3"/>
        <v>0.12633124480161265</v>
      </c>
      <c r="H43" s="1">
        <f t="shared" si="0"/>
        <v>1.2400331685656721E-2</v>
      </c>
      <c r="I43">
        <f>IF($F$11&lt;=D43, IF(D43&lt;=$A$15,D43-$F$11,$C$11),0)</f>
        <v>16</v>
      </c>
      <c r="J43">
        <f t="shared" si="1"/>
        <v>0</v>
      </c>
      <c r="K43" s="5">
        <f>IF(D43&lt;$F$11,H43,0)</f>
        <v>0</v>
      </c>
      <c r="L43">
        <f>IF(D43&lt;$A$15,$D$11,$D$11*(1-$H$11))</f>
        <v>85</v>
      </c>
      <c r="M43">
        <f t="shared" si="2"/>
        <v>0</v>
      </c>
      <c r="N43">
        <f>IF(SUM(I43:J43)&lt;=($G$11/60*$F$11/($E$11/60)),1,0)</f>
        <v>1</v>
      </c>
    </row>
    <row r="44" spans="4:14" x14ac:dyDescent="0.2">
      <c r="D44">
        <f t="shared" si="4"/>
        <v>21</v>
      </c>
      <c r="E44" s="1">
        <f>IF($H$11=1,IF(D44&lt;=$A$15, E43+LN($D$11)-LN(60/$E$11)-LN(MIN(D44,$F$11)), E43-LN(60/$E$11)-LN(MIN(D44,$F$11))), IF(D44&lt;=$A$15, E43+LN($D$11)-LN(60/$E$11)-LN(MIN(D44,$F$11)), E43+LN($D$11)+LN(1-$H$11)-LN(60/$E$11)-LN(MIN(D44,$F$11))))</f>
        <v>-0.18851202039629134</v>
      </c>
      <c r="F44" s="1">
        <f t="shared" si="5"/>
        <v>-2.1905448295953498</v>
      </c>
      <c r="G44" s="1">
        <f t="shared" si="3"/>
        <v>0.11185578966809456</v>
      </c>
      <c r="H44" s="1">
        <f t="shared" si="0"/>
        <v>1.0979460346675225E-2</v>
      </c>
      <c r="I44">
        <f>IF($F$11&lt;=D44, IF(D44&lt;=$A$15,D44-$F$11,$C$11),0)</f>
        <v>17</v>
      </c>
      <c r="J44">
        <f t="shared" si="1"/>
        <v>0</v>
      </c>
      <c r="K44" s="5">
        <f>IF(D44&lt;$F$11,H44,0)</f>
        <v>0</v>
      </c>
      <c r="L44">
        <f>IF(D44&lt;$A$15,$D$11,$D$11*(1-$H$11))</f>
        <v>85</v>
      </c>
      <c r="M44">
        <f t="shared" si="2"/>
        <v>0</v>
      </c>
      <c r="N44">
        <f>IF(SUM(I44:J44)&lt;=($G$11/60*$F$11/($E$11/60)),1,0)</f>
        <v>1</v>
      </c>
    </row>
    <row r="45" spans="4:14" x14ac:dyDescent="0.2">
      <c r="D45">
        <f t="shared" si="4"/>
        <v>22</v>
      </c>
      <c r="E45" s="1">
        <f>IF($H$11=1,IF(D45&lt;=$A$15, E44+LN($D$11)-LN(60/$E$11)-LN(MIN(D45,$F$11)), E44-LN(60/$E$11)-LN(MIN(D45,$F$11))), IF(D45&lt;=$A$15, E44+LN($D$11)-LN(60/$E$11)-LN(MIN(D45,$F$11)), E44+LN($D$11)+LN(1-$H$11)-LN(60/$E$11)-LN(MIN(D45,$F$11))))</f>
        <v>-0.31020895537381077</v>
      </c>
      <c r="F45" s="1">
        <f t="shared" si="5"/>
        <v>-2.3122417645728692</v>
      </c>
      <c r="G45" s="1">
        <f t="shared" si="3"/>
        <v>9.9038980435292107E-2</v>
      </c>
      <c r="H45" s="1">
        <f t="shared" si="0"/>
        <v>9.721397181952026E-3</v>
      </c>
      <c r="I45">
        <f>IF($F$11&lt;=D45, IF(D45&lt;=$A$15,D45-$F$11,$C$11),0)</f>
        <v>18</v>
      </c>
      <c r="J45">
        <f t="shared" si="1"/>
        <v>0</v>
      </c>
      <c r="K45" s="5">
        <f>IF(D45&lt;$F$11,H45,0)</f>
        <v>0</v>
      </c>
      <c r="L45">
        <f>IF(D45&lt;$A$15,$D$11,$D$11*(1-$H$11))</f>
        <v>85</v>
      </c>
      <c r="M45">
        <f t="shared" si="2"/>
        <v>0</v>
      </c>
      <c r="N45">
        <f>IF(SUM(I45:J45)&lt;=($G$11/60*$F$11/($E$11/60)),1,0)</f>
        <v>1</v>
      </c>
    </row>
    <row r="46" spans="4:14" x14ac:dyDescent="0.2">
      <c r="D46">
        <f t="shared" si="4"/>
        <v>23</v>
      </c>
      <c r="E46" s="1">
        <f>IF($H$11=1,IF(D46&lt;=$A$15, E45+LN($D$11)-LN(60/$E$11)-LN(MIN(D46,$F$11)), E45-LN(60/$E$11)-LN(MIN(D46,$F$11))), IF(D46&lt;=$A$15, E45+LN($D$11)-LN(60/$E$11)-LN(MIN(D46,$F$11)), E45+LN($D$11)+LN(1-$H$11)-LN(60/$E$11)-LN(MIN(D46,$F$11))))</f>
        <v>-0.4319058903513302</v>
      </c>
      <c r="F46" s="1">
        <f t="shared" si="5"/>
        <v>-2.4339386995503887</v>
      </c>
      <c r="G46" s="1">
        <f t="shared" si="3"/>
        <v>8.7690763927081583E-2</v>
      </c>
      <c r="H46" s="1">
        <f t="shared" si="0"/>
        <v>8.6074870881866928E-3</v>
      </c>
      <c r="I46">
        <f>IF($F$11&lt;=D46, IF(D46&lt;=$A$15,D46-$F$11,$C$11),0)</f>
        <v>19</v>
      </c>
      <c r="J46">
        <f t="shared" si="1"/>
        <v>0</v>
      </c>
      <c r="K46" s="5">
        <f>IF(D46&lt;$F$11,H46,0)</f>
        <v>0</v>
      </c>
      <c r="L46">
        <f>IF(D46&lt;$A$15,$D$11,$D$11*(1-$H$11))</f>
        <v>85</v>
      </c>
      <c r="M46">
        <f t="shared" si="2"/>
        <v>0</v>
      </c>
      <c r="N46">
        <f>IF(SUM(I46:J46)&lt;=($G$11/60*$F$11/($E$11/60)),1,0)</f>
        <v>1</v>
      </c>
    </row>
    <row r="47" spans="4:14" x14ac:dyDescent="0.2">
      <c r="D47">
        <f t="shared" si="4"/>
        <v>24</v>
      </c>
      <c r="E47" s="1">
        <f>IF($H$11=1,IF(D47&lt;=$A$15, E46+LN($D$11)-LN(60/$E$11)-LN(MIN(D47,$F$11)), E46-LN(60/$E$11)-LN(MIN(D47,$F$11))), IF(D47&lt;=$A$15, E46+LN($D$11)-LN(60/$E$11)-LN(MIN(D47,$F$11)), E46+LN($D$11)+LN(1-$H$11)-LN(60/$E$11)-LN(MIN(D47,$F$11))))</f>
        <v>-0.55360282532884963</v>
      </c>
      <c r="F47" s="1">
        <f t="shared" si="5"/>
        <v>-2.5556356345279081</v>
      </c>
      <c r="G47" s="1">
        <f t="shared" si="3"/>
        <v>7.7642863893770175E-2</v>
      </c>
      <c r="H47" s="1">
        <f t="shared" si="0"/>
        <v>7.6212125259986366E-3</v>
      </c>
      <c r="I47">
        <f>IF($F$11&lt;=D47, IF(D47&lt;=$A$15,D47-$F$11,$C$11),0)</f>
        <v>20</v>
      </c>
      <c r="J47">
        <f t="shared" si="1"/>
        <v>0</v>
      </c>
      <c r="K47" s="5">
        <f>IF(D47&lt;$F$11,H47,0)</f>
        <v>0</v>
      </c>
      <c r="L47">
        <f>IF(D47&lt;$A$15,$D$11,$D$11*(1-$H$11))</f>
        <v>85</v>
      </c>
      <c r="M47">
        <f t="shared" si="2"/>
        <v>0</v>
      </c>
      <c r="N47">
        <f>IF(SUM(I47:J47)&lt;=($G$11/60*$F$11/($E$11/60)),1,0)</f>
        <v>1</v>
      </c>
    </row>
    <row r="48" spans="4:14" x14ac:dyDescent="0.2">
      <c r="D48">
        <f t="shared" si="4"/>
        <v>25</v>
      </c>
      <c r="E48" s="1">
        <f>IF($H$11=1,IF(D48&lt;=$A$15, E47+LN($D$11)-LN(60/$E$11)-LN(MIN(D48,$F$11)), E47-LN(60/$E$11)-LN(MIN(D48,$F$11))), IF(D48&lt;=$A$15, E47+LN($D$11)-LN(60/$E$11)-LN(MIN(D48,$F$11)), E47+LN($D$11)+LN(1-$H$11)-LN(60/$E$11)-LN(MIN(D48,$F$11))))</f>
        <v>-0.67529976030636907</v>
      </c>
      <c r="F48" s="1">
        <f t="shared" si="5"/>
        <v>-2.6773325695054275</v>
      </c>
      <c r="G48" s="1">
        <f t="shared" si="3"/>
        <v>6.87462857392757E-2</v>
      </c>
      <c r="H48" s="1">
        <f t="shared" si="0"/>
        <v>6.7479485907279623E-3</v>
      </c>
      <c r="I48">
        <f>IF($F$11&lt;=D48, IF(D48&lt;=$A$15,D48-$F$11,$C$11),0)</f>
        <v>21</v>
      </c>
      <c r="J48">
        <f t="shared" si="1"/>
        <v>0</v>
      </c>
      <c r="K48" s="5">
        <f>IF(D48&lt;$F$11,H48,0)</f>
        <v>0</v>
      </c>
      <c r="L48">
        <f>IF(D48&lt;$A$15,$D$11,$D$11*(1-$H$11))</f>
        <v>85</v>
      </c>
      <c r="M48">
        <f t="shared" si="2"/>
        <v>0</v>
      </c>
      <c r="N48">
        <f>IF(SUM(I48:J48)&lt;=($G$11/60*$F$11/($E$11/60)),1,0)</f>
        <v>1</v>
      </c>
    </row>
    <row r="49" spans="4:14" x14ac:dyDescent="0.2">
      <c r="D49">
        <f t="shared" si="4"/>
        <v>26</v>
      </c>
      <c r="E49" s="1">
        <f>IF($H$11=1,IF(D49&lt;=$A$15, E48+LN($D$11)-LN(60/$E$11)-LN(MIN(D49,$F$11)), E48-LN(60/$E$11)-LN(MIN(D49,$F$11))), IF(D49&lt;=$A$15, E48+LN($D$11)-LN(60/$E$11)-LN(MIN(D49,$F$11)), E48+LN($D$11)+LN(1-$H$11)-LN(60/$E$11)-LN(MIN(D49,$F$11))))</f>
        <v>-0.7969966952838885</v>
      </c>
      <c r="F49" s="1">
        <f t="shared" si="5"/>
        <v>-2.799029504482947</v>
      </c>
      <c r="G49" s="1">
        <f t="shared" si="3"/>
        <v>6.0869107164983713E-2</v>
      </c>
      <c r="H49" s="1">
        <f t="shared" si="0"/>
        <v>5.974746148040385E-3</v>
      </c>
      <c r="I49">
        <f>IF($F$11&lt;=D49, IF(D49&lt;=$A$15,D49-$F$11,$C$11),0)</f>
        <v>22</v>
      </c>
      <c r="J49">
        <f t="shared" si="1"/>
        <v>0</v>
      </c>
      <c r="K49" s="5">
        <f>IF(D49&lt;$F$11,H49,0)</f>
        <v>0</v>
      </c>
      <c r="L49">
        <f>IF(D49&lt;$A$15,$D$11,$D$11*(1-$H$11))</f>
        <v>85</v>
      </c>
      <c r="M49">
        <f t="shared" si="2"/>
        <v>0</v>
      </c>
      <c r="N49">
        <f>IF(SUM(I49:J49)&lt;=($G$11/60*$F$11/($E$11/60)),1,0)</f>
        <v>1</v>
      </c>
    </row>
    <row r="50" spans="4:14" x14ac:dyDescent="0.2">
      <c r="D50">
        <f t="shared" si="4"/>
        <v>27</v>
      </c>
      <c r="E50" s="1">
        <f>IF($H$11=1,IF(D50&lt;=$A$15, E49+LN($D$11)-LN(60/$E$11)-LN(MIN(D50,$F$11)), E49-LN(60/$E$11)-LN(MIN(D50,$F$11))), IF(D50&lt;=$A$15, E49+LN($D$11)-LN(60/$E$11)-LN(MIN(D50,$F$11)), E49+LN($D$11)+LN(1-$H$11)-LN(60/$E$11)-LN(MIN(D50,$F$11))))</f>
        <v>-0.91869363026140793</v>
      </c>
      <c r="F50" s="1">
        <f t="shared" si="5"/>
        <v>-2.9207264394604664</v>
      </c>
      <c r="G50" s="1">
        <f t="shared" si="3"/>
        <v>5.3894521968996016E-2</v>
      </c>
      <c r="H50" s="1">
        <f t="shared" si="0"/>
        <v>5.2901398185774265E-3</v>
      </c>
      <c r="I50">
        <f>IF($F$11&lt;=D50, IF(D50&lt;=$A$15,D50-$F$11,$C$11),0)</f>
        <v>23</v>
      </c>
      <c r="J50">
        <f t="shared" si="1"/>
        <v>0</v>
      </c>
      <c r="K50" s="5">
        <f>IF(D50&lt;$F$11,H50,0)</f>
        <v>0</v>
      </c>
      <c r="L50">
        <f>IF(D50&lt;$A$15,$D$11,$D$11*(1-$H$11))</f>
        <v>85</v>
      </c>
      <c r="M50">
        <f t="shared" si="2"/>
        <v>0</v>
      </c>
      <c r="N50">
        <f>IF(SUM(I50:J50)&lt;=($G$11/60*$F$11/($E$11/60)),1,0)</f>
        <v>1</v>
      </c>
    </row>
    <row r="51" spans="4:14" x14ac:dyDescent="0.2">
      <c r="D51">
        <f t="shared" si="4"/>
        <v>28</v>
      </c>
      <c r="E51" s="1">
        <f>IF($H$11=1,IF(D51&lt;=$A$15, E50+LN($D$11)-LN(60/$E$11)-LN(MIN(D51,$F$11)), E50-LN(60/$E$11)-LN(MIN(D51,$F$11))), IF(D51&lt;=$A$15, E50+LN($D$11)-LN(60/$E$11)-LN(MIN(D51,$F$11)), E50+LN($D$11)+LN(1-$H$11)-LN(60/$E$11)-LN(MIN(D51,$F$11))))</f>
        <v>-1.0403905652389274</v>
      </c>
      <c r="F51" s="1">
        <f t="shared" si="5"/>
        <v>-3.0424233744379858</v>
      </c>
      <c r="G51" s="1">
        <f t="shared" si="3"/>
        <v>4.7719107993381908E-2</v>
      </c>
      <c r="H51" s="1">
        <f t="shared" si="0"/>
        <v>4.683977964365431E-3</v>
      </c>
      <c r="I51">
        <f>IF($F$11&lt;=D51, IF(D51&lt;=$A$15,D51-$F$11,$C$11),0)</f>
        <v>24</v>
      </c>
      <c r="J51">
        <f t="shared" si="1"/>
        <v>0</v>
      </c>
      <c r="K51" s="5">
        <f>IF(D51&lt;$F$11,H51,0)</f>
        <v>0</v>
      </c>
      <c r="L51">
        <f>IF(D51&lt;$A$15,$D$11,$D$11*(1-$H$11))</f>
        <v>85</v>
      </c>
      <c r="M51">
        <f t="shared" si="2"/>
        <v>0</v>
      </c>
      <c r="N51">
        <f>IF(SUM(I51:J51)&lt;=($G$11/60*$F$11/($E$11/60)),1,0)</f>
        <v>1</v>
      </c>
    </row>
    <row r="52" spans="4:14" x14ac:dyDescent="0.2">
      <c r="D52">
        <f t="shared" si="4"/>
        <v>29</v>
      </c>
      <c r="E52" s="1">
        <f>IF($H$11=1,IF(D52&lt;=$A$15, E51+LN($D$11)-LN(60/$E$11)-LN(MIN(D52,$F$11)), E51-LN(60/$E$11)-LN(MIN(D52,$F$11))), IF(D52&lt;=$A$15, E51+LN($D$11)-LN(60/$E$11)-LN(MIN(D52,$F$11)), E51+LN($D$11)+LN(1-$H$11)-LN(60/$E$11)-LN(MIN(D52,$F$11))))</f>
        <v>-1.1620875002164468</v>
      </c>
      <c r="F52" s="1">
        <f t="shared" si="5"/>
        <v>-3.1641203094155053</v>
      </c>
      <c r="G52" s="1">
        <f t="shared" si="3"/>
        <v>4.2251293535806908E-2</v>
      </c>
      <c r="H52" s="1">
        <f t="shared" si="0"/>
        <v>4.1472721559485601E-3</v>
      </c>
      <c r="I52">
        <f>IF($F$11&lt;=D52, IF(D52&lt;=$A$15,D52-$F$11,$C$11),0)</f>
        <v>25</v>
      </c>
      <c r="J52">
        <f t="shared" si="1"/>
        <v>0</v>
      </c>
      <c r="K52" s="5">
        <f>IF(D52&lt;$F$11,H52,0)</f>
        <v>0</v>
      </c>
      <c r="L52">
        <f>IF(D52&lt;$A$15,$D$11,$D$11*(1-$H$11))</f>
        <v>85</v>
      </c>
      <c r="M52">
        <f t="shared" si="2"/>
        <v>0</v>
      </c>
      <c r="N52">
        <f>IF(SUM(I52:J52)&lt;=($G$11/60*$F$11/($E$11/60)),1,0)</f>
        <v>1</v>
      </c>
    </row>
    <row r="53" spans="4:14" x14ac:dyDescent="0.2">
      <c r="D53">
        <f t="shared" si="4"/>
        <v>30</v>
      </c>
      <c r="E53" s="1">
        <f>IF($H$11=1,IF(D53&lt;=$A$15, E52+LN($D$11)-LN(60/$E$11)-LN(MIN(D53,$F$11)), E52-LN(60/$E$11)-LN(MIN(D53,$F$11))), IF(D53&lt;=$A$15, E52+LN($D$11)-LN(60/$E$11)-LN(MIN(D53,$F$11)), E52+LN($D$11)+LN(1-$H$11)-LN(60/$E$11)-LN(MIN(D53,$F$11))))</f>
        <v>-1.2837844351939662</v>
      </c>
      <c r="F53" s="1">
        <f t="shared" si="5"/>
        <v>-3.2858172443930247</v>
      </c>
      <c r="G53" s="1">
        <f t="shared" si="3"/>
        <v>3.7409999484829044E-2</v>
      </c>
      <c r="H53" s="1">
        <f t="shared" si="0"/>
        <v>3.6720638880794552E-3</v>
      </c>
      <c r="I53">
        <f>IF($F$11&lt;=D53, IF(D53&lt;=$A$15,D53-$F$11,$C$11),0)</f>
        <v>26</v>
      </c>
      <c r="J53">
        <f t="shared" si="1"/>
        <v>0</v>
      </c>
      <c r="K53" s="5">
        <f>IF(D53&lt;$F$11,H53,0)</f>
        <v>0</v>
      </c>
      <c r="L53">
        <f>IF(D53&lt;$A$15,$D$11,$D$11*(1-$H$11))</f>
        <v>85</v>
      </c>
      <c r="M53">
        <f t="shared" si="2"/>
        <v>0</v>
      </c>
      <c r="N53">
        <f>IF(SUM(I53:J53)&lt;=($G$11/60*$F$11/($E$11/60)),1,0)</f>
        <v>1</v>
      </c>
    </row>
    <row r="54" spans="4:14" x14ac:dyDescent="0.2">
      <c r="D54">
        <f t="shared" si="4"/>
        <v>31</v>
      </c>
      <c r="E54" s="1">
        <f>IF($H$11=1,IF(D54&lt;=$A$15, E53+LN($D$11)-LN(60/$E$11)-LN(MIN(D54,$F$11)), E53-LN(60/$E$11)-LN(MIN(D54,$F$11))), IF(D54&lt;=$A$15, E53+LN($D$11)-LN(60/$E$11)-LN(MIN(D54,$F$11)), E53+LN($D$11)+LN(1-$H$11)-LN(60/$E$11)-LN(MIN(D54,$F$11))))</f>
        <v>-1.4054813701714857</v>
      </c>
      <c r="F54" s="1">
        <f t="shared" si="5"/>
        <v>-3.4075141793705441</v>
      </c>
      <c r="G54" s="1">
        <f t="shared" si="3"/>
        <v>3.3123437043859061E-2</v>
      </c>
      <c r="H54" s="1">
        <f t="shared" si="0"/>
        <v>3.2513065675703521E-3</v>
      </c>
      <c r="I54">
        <f>IF($F$11&lt;=D54, IF(D54&lt;=$A$15,D54-$F$11,$C$11),0)</f>
        <v>27</v>
      </c>
      <c r="J54">
        <f t="shared" si="1"/>
        <v>0</v>
      </c>
      <c r="K54" s="5">
        <f>IF(D54&lt;$F$11,H54,0)</f>
        <v>0</v>
      </c>
      <c r="L54">
        <f>IF(D54&lt;$A$15,$D$11,$D$11*(1-$H$11))</f>
        <v>85</v>
      </c>
      <c r="M54">
        <f t="shared" si="2"/>
        <v>0</v>
      </c>
      <c r="N54">
        <f>IF(SUM(I54:J54)&lt;=($G$11/60*$F$11/($E$11/60)),1,0)</f>
        <v>1</v>
      </c>
    </row>
    <row r="55" spans="4:14" x14ac:dyDescent="0.2">
      <c r="D55">
        <f t="shared" si="4"/>
        <v>32</v>
      </c>
      <c r="E55" s="1">
        <f>IF($H$11=1,IF(D55&lt;=$A$15, E54+LN($D$11)-LN(60/$E$11)-LN(MIN(D55,$F$11)), E54-LN(60/$E$11)-LN(MIN(D55,$F$11))), IF(D55&lt;=$A$15, E54+LN($D$11)-LN(60/$E$11)-LN(MIN(D55,$F$11)), E54+LN($D$11)+LN(1-$H$11)-LN(60/$E$11)-LN(MIN(D55,$F$11))))</f>
        <v>-1.5271783051490051</v>
      </c>
      <c r="F55" s="1">
        <f t="shared" si="5"/>
        <v>-3.5292111143480636</v>
      </c>
      <c r="G55" s="1">
        <f t="shared" si="3"/>
        <v>2.932804321591689E-2</v>
      </c>
      <c r="H55" s="1">
        <f t="shared" si="0"/>
        <v>2.8787610233695841E-3</v>
      </c>
      <c r="I55">
        <f>IF($F$11&lt;=D55, IF(D55&lt;=$A$15,D55-$F$11,$C$11),0)</f>
        <v>28</v>
      </c>
      <c r="J55">
        <f t="shared" si="1"/>
        <v>0</v>
      </c>
      <c r="K55" s="5">
        <f>IF(D55&lt;$F$11,H55,0)</f>
        <v>0</v>
      </c>
      <c r="L55">
        <f>IF(D55&lt;$A$15,$D$11,$D$11*(1-$H$11))</f>
        <v>85</v>
      </c>
      <c r="M55">
        <f t="shared" si="2"/>
        <v>0</v>
      </c>
      <c r="N55">
        <f>IF(SUM(I55:J55)&lt;=($G$11/60*$F$11/($E$11/60)),1,0)</f>
        <v>1</v>
      </c>
    </row>
    <row r="56" spans="4:14" x14ac:dyDescent="0.2">
      <c r="D56">
        <f t="shared" si="4"/>
        <v>33</v>
      </c>
      <c r="E56" s="1">
        <f>IF($H$11=1,IF(D56&lt;=$A$15, E55+LN($D$11)-LN(60/$E$11)-LN(MIN(D56,$F$11)), E55-LN(60/$E$11)-LN(MIN(D56,$F$11))), IF(D56&lt;=$A$15, E55+LN($D$11)-LN(60/$E$11)-LN(MIN(D56,$F$11)), E55+LN($D$11)+LN(1-$H$11)-LN(60/$E$11)-LN(MIN(D56,$F$11))))</f>
        <v>-1.6488752401265245</v>
      </c>
      <c r="F56" s="1">
        <f t="shared" si="5"/>
        <v>-3.650908049325583</v>
      </c>
      <c r="G56" s="1">
        <f t="shared" si="3"/>
        <v>2.5967538264093089E-2</v>
      </c>
      <c r="H56" s="1">
        <f t="shared" si="0"/>
        <v>2.5489029894418202E-3</v>
      </c>
      <c r="I56">
        <f>IF($F$11&lt;=D56, IF(D56&lt;=$A$15,D56-$F$11,$C$11),0)</f>
        <v>29</v>
      </c>
      <c r="J56">
        <f t="shared" si="1"/>
        <v>0</v>
      </c>
      <c r="K56" s="5">
        <f>IF(D56&lt;$F$11,H56,0)</f>
        <v>0</v>
      </c>
      <c r="L56">
        <f>IF(D56&lt;$A$15,$D$11,$D$11*(1-$H$11))</f>
        <v>85</v>
      </c>
      <c r="M56">
        <f t="shared" si="2"/>
        <v>0</v>
      </c>
      <c r="N56">
        <f>IF(SUM(I56:J56)&lt;=($G$11/60*$F$11/($E$11/60)),1,0)</f>
        <v>1</v>
      </c>
    </row>
    <row r="57" spans="4:14" x14ac:dyDescent="0.2">
      <c r="D57">
        <f t="shared" si="4"/>
        <v>34</v>
      </c>
      <c r="E57" s="1">
        <f>IF($H$11=1,IF(D57&lt;=$A$15, E56+LN($D$11)-LN(60/$E$11)-LN(MIN(D57,$F$11)), E56-LN(60/$E$11)-LN(MIN(D57,$F$11))), IF(D57&lt;=$A$15, E56+LN($D$11)-LN(60/$E$11)-LN(MIN(D57,$F$11)), E56+LN($D$11)+LN(1-$H$11)-LN(60/$E$11)-LN(MIN(D57,$F$11))))</f>
        <v>-1.770572175104044</v>
      </c>
      <c r="F57" s="1">
        <f t="shared" si="5"/>
        <v>-3.7726049843031024</v>
      </c>
      <c r="G57" s="1">
        <f t="shared" si="3"/>
        <v>2.299209117133243E-2</v>
      </c>
      <c r="H57" s="1">
        <f t="shared" si="0"/>
        <v>2.2568411885682789E-3</v>
      </c>
      <c r="I57">
        <f>IF($F$11&lt;=D57, IF(D57&lt;=$A$15,D57-$F$11,$C$11),0)</f>
        <v>30</v>
      </c>
      <c r="J57">
        <f t="shared" si="1"/>
        <v>0</v>
      </c>
      <c r="K57" s="5">
        <f>IF(D57&lt;$F$11,H57,0)</f>
        <v>0</v>
      </c>
      <c r="L57">
        <f>IF(D57&lt;$A$15,$D$11,$D$11*(1-$H$11))</f>
        <v>85</v>
      </c>
      <c r="M57">
        <f t="shared" si="2"/>
        <v>0</v>
      </c>
      <c r="N57">
        <f>IF(SUM(I57:J57)&lt;=($G$11/60*$F$11/($E$11/60)),1,0)</f>
        <v>1</v>
      </c>
    </row>
    <row r="58" spans="4:14" x14ac:dyDescent="0.2">
      <c r="D58">
        <f t="shared" si="4"/>
        <v>35</v>
      </c>
      <c r="E58" s="1">
        <f>IF($H$11=1,IF(D58&lt;=$A$15, E57+LN($D$11)-LN(60/$E$11)-LN(MIN(D58,$F$11)), E57-LN(60/$E$11)-LN(MIN(D58,$F$11))), IF(D58&lt;=$A$15, E57+LN($D$11)-LN(60/$E$11)-LN(MIN(D58,$F$11)), E57+LN($D$11)+LN(1-$H$11)-LN(60/$E$11)-LN(MIN(D58,$F$11))))</f>
        <v>-1.8922691100815634</v>
      </c>
      <c r="F58" s="1">
        <f t="shared" si="5"/>
        <v>-3.8943019192806219</v>
      </c>
      <c r="G58" s="1">
        <f t="shared" si="3"/>
        <v>2.0357580724617262E-2</v>
      </c>
      <c r="H58" s="1">
        <f t="shared" si="0"/>
        <v>1.9982448023781641E-3</v>
      </c>
      <c r="I58">
        <f>IF($F$11&lt;=D58, IF(D58&lt;=$A$15,D58-$F$11,$C$11),0)</f>
        <v>31</v>
      </c>
      <c r="J58">
        <f t="shared" si="1"/>
        <v>0</v>
      </c>
      <c r="K58" s="5">
        <f>IF(D58&lt;$F$11,H58,0)</f>
        <v>0</v>
      </c>
      <c r="L58">
        <f>IF(D58&lt;$A$15,$D$11,$D$11*(1-$H$11))</f>
        <v>85</v>
      </c>
      <c r="M58">
        <f t="shared" si="2"/>
        <v>0</v>
      </c>
      <c r="N58">
        <f>IF(SUM(I58:J58)&lt;=($G$11/60*$F$11/($E$11/60)),1,0)</f>
        <v>1</v>
      </c>
    </row>
    <row r="59" spans="4:14" x14ac:dyDescent="0.2">
      <c r="D59">
        <f t="shared" si="4"/>
        <v>36</v>
      </c>
      <c r="E59" s="1">
        <f>IF($H$11=1,IF(D59&lt;=$A$15, E58+LN($D$11)-LN(60/$E$11)-LN(MIN(D59,$F$11)), E58-LN(60/$E$11)-LN(MIN(D59,$F$11))), IF(D59&lt;=$A$15, E58+LN($D$11)-LN(60/$E$11)-LN(MIN(D59,$F$11)), E58+LN($D$11)+LN(1-$H$11)-LN(60/$E$11)-LN(MIN(D59,$F$11))))</f>
        <v>-2.0139660450590826</v>
      </c>
      <c r="F59" s="1">
        <f t="shared" si="5"/>
        <v>-4.0159988542581413</v>
      </c>
      <c r="G59" s="1">
        <f t="shared" si="3"/>
        <v>1.8024941266588209E-2</v>
      </c>
      <c r="H59" s="1">
        <f t="shared" si="0"/>
        <v>1.769279252105667E-3</v>
      </c>
      <c r="I59">
        <f>IF($F$11&lt;=D59, IF(D59&lt;=$A$15,D59-$F$11,$C$11),0)</f>
        <v>32</v>
      </c>
      <c r="J59">
        <f t="shared" si="1"/>
        <v>0</v>
      </c>
      <c r="K59" s="5">
        <f>IF(D59&lt;$F$11,H59,0)</f>
        <v>0</v>
      </c>
      <c r="L59">
        <f>IF(D59&lt;$A$15,$D$11,$D$11*(1-$H$11))</f>
        <v>85</v>
      </c>
      <c r="M59">
        <f t="shared" si="2"/>
        <v>0</v>
      </c>
      <c r="N59">
        <f>IF(SUM(I59:J59)&lt;=($G$11/60*$F$11/($E$11/60)),1,0)</f>
        <v>1</v>
      </c>
    </row>
    <row r="60" spans="4:14" x14ac:dyDescent="0.2">
      <c r="D60">
        <f t="shared" si="4"/>
        <v>37</v>
      </c>
      <c r="E60" s="1">
        <f>IF($H$11=1,IF(D60&lt;=$A$15, E59+LN($D$11)-LN(60/$E$11)-LN(MIN(D60,$F$11)), E59-LN(60/$E$11)-LN(MIN(D60,$F$11))), IF(D60&lt;=$A$15, E59+LN($D$11)-LN(60/$E$11)-LN(MIN(D60,$F$11)), E59+LN($D$11)+LN(1-$H$11)-LN(60/$E$11)-LN(MIN(D60,$F$11))))</f>
        <v>-2.135662980036602</v>
      </c>
      <c r="F60" s="1">
        <f t="shared" si="5"/>
        <v>-4.1376957892356607</v>
      </c>
      <c r="G60" s="1">
        <f t="shared" si="3"/>
        <v>1.5959583413124982E-2</v>
      </c>
      <c r="H60" s="1">
        <f t="shared" si="0"/>
        <v>1.5665493378018932E-3</v>
      </c>
      <c r="I60">
        <f>IF($F$11&lt;=D60, IF(D60&lt;=$A$15,D60-$F$11,$C$11),0)</f>
        <v>33</v>
      </c>
      <c r="J60">
        <f t="shared" si="1"/>
        <v>0</v>
      </c>
      <c r="K60" s="5">
        <f>IF(D60&lt;$F$11,H60,0)</f>
        <v>0</v>
      </c>
      <c r="L60">
        <f>IF(D60&lt;$A$15,$D$11,$D$11*(1-$H$11))</f>
        <v>85</v>
      </c>
      <c r="M60">
        <f t="shared" si="2"/>
        <v>0</v>
      </c>
      <c r="N60">
        <f>IF(SUM(I60:J60)&lt;=($G$11/60*$F$11/($E$11/60)),1,0)</f>
        <v>1</v>
      </c>
    </row>
    <row r="61" spans="4:14" x14ac:dyDescent="0.2">
      <c r="D61">
        <f t="shared" si="4"/>
        <v>38</v>
      </c>
      <c r="E61" s="1">
        <f>IF($H$11=1,IF(D61&lt;=$A$15, E60+LN($D$11)-LN(60/$E$11)-LN(MIN(D61,$F$11)), E60-LN(60/$E$11)-LN(MIN(D61,$F$11))), IF(D61&lt;=$A$15, E60+LN($D$11)-LN(60/$E$11)-LN(MIN(D61,$F$11)), E60+LN($D$11)+LN(1-$H$11)-LN(60/$E$11)-LN(MIN(D61,$F$11))))</f>
        <v>-2.2573599150141215</v>
      </c>
      <c r="F61" s="1">
        <f t="shared" si="5"/>
        <v>-4.2593927242131802</v>
      </c>
      <c r="G61" s="1">
        <f t="shared" si="3"/>
        <v>1.413088114703775E-2</v>
      </c>
      <c r="H61" s="1">
        <f t="shared" si="0"/>
        <v>1.3870488928454268E-3</v>
      </c>
      <c r="I61">
        <f>IF($F$11&lt;=D61, IF(D61&lt;=$A$15,D61-$F$11,$C$11),0)</f>
        <v>34</v>
      </c>
      <c r="J61">
        <f t="shared" si="1"/>
        <v>0</v>
      </c>
      <c r="K61" s="5">
        <f>IF(D61&lt;$F$11,H61,0)</f>
        <v>0</v>
      </c>
      <c r="L61">
        <f>IF(D61&lt;$A$15,$D$11,$D$11*(1-$H$11))</f>
        <v>85</v>
      </c>
      <c r="M61">
        <f t="shared" si="2"/>
        <v>0</v>
      </c>
      <c r="N61">
        <f>IF(SUM(I61:J61)&lt;=($G$11/60*$F$11/($E$11/60)),1,0)</f>
        <v>1</v>
      </c>
    </row>
    <row r="62" spans="4:14" x14ac:dyDescent="0.2">
      <c r="D62">
        <f t="shared" si="4"/>
        <v>39</v>
      </c>
      <c r="E62" s="1">
        <f>IF($H$11=1,IF(D62&lt;=$A$15, E61+LN($D$11)-LN(60/$E$11)-LN(MIN(D62,$F$11)), E61-LN(60/$E$11)-LN(MIN(D62,$F$11))), IF(D62&lt;=$A$15, E61+LN($D$11)-LN(60/$E$11)-LN(MIN(D62,$F$11)), E61+LN($D$11)+LN(1-$H$11)-LN(60/$E$11)-LN(MIN(D62,$F$11))))</f>
        <v>-2.3790568499916409</v>
      </c>
      <c r="F62" s="1">
        <f t="shared" si="5"/>
        <v>-4.3810896591906996</v>
      </c>
      <c r="G62" s="1">
        <f t="shared" si="3"/>
        <v>1.2511717682273011E-2</v>
      </c>
      <c r="H62" s="1">
        <f t="shared" si="0"/>
        <v>1.2281162072068886E-3</v>
      </c>
      <c r="I62">
        <f>IF($F$11&lt;=D62, IF(D62&lt;=$A$15,D62-$F$11,$C$11),0)</f>
        <v>35</v>
      </c>
      <c r="J62">
        <f t="shared" si="1"/>
        <v>0</v>
      </c>
      <c r="K62" s="5">
        <f>IF(D62&lt;$F$11,H62,0)</f>
        <v>0</v>
      </c>
      <c r="L62">
        <f>IF(D62&lt;$A$15,$D$11,$D$11*(1-$H$11))</f>
        <v>85</v>
      </c>
      <c r="M62">
        <f t="shared" si="2"/>
        <v>0</v>
      </c>
      <c r="N62">
        <f>IF(SUM(I62:J62)&lt;=($G$11/60*$F$11/($E$11/60)),1,0)</f>
        <v>1</v>
      </c>
    </row>
    <row r="63" spans="4:14" x14ac:dyDescent="0.2">
      <c r="D63">
        <f t="shared" si="4"/>
        <v>40</v>
      </c>
      <c r="E63" s="1">
        <f>IF($H$11=1,IF(D63&lt;=$A$15, E62+LN($D$11)-LN(60/$E$11)-LN(MIN(D63,$F$11)), E62-LN(60/$E$11)-LN(MIN(D63,$F$11))), IF(D63&lt;=$A$15, E62+LN($D$11)-LN(60/$E$11)-LN(MIN(D63,$F$11)), E62+LN($D$11)+LN(1-$H$11)-LN(60/$E$11)-LN(MIN(D63,$F$11))))</f>
        <v>-2.5007537849691603</v>
      </c>
      <c r="F63" s="1">
        <f t="shared" si="5"/>
        <v>-4.502786594168219</v>
      </c>
      <c r="G63" s="1">
        <f t="shared" si="3"/>
        <v>1.1078083364512567E-2</v>
      </c>
      <c r="H63" s="1">
        <f t="shared" si="0"/>
        <v>1.0873945584644331E-3</v>
      </c>
      <c r="I63">
        <f>IF($F$11&lt;=D63, IF(D63&lt;=$A$15,D63-$F$11,$C$11),0)</f>
        <v>36</v>
      </c>
      <c r="J63">
        <f t="shared" si="1"/>
        <v>0</v>
      </c>
      <c r="K63" s="5">
        <f>IF(D63&lt;$F$11,H63,0)</f>
        <v>0</v>
      </c>
      <c r="L63">
        <f>IF(D63&lt;$A$15,$D$11,$D$11*(1-$H$11))</f>
        <v>85</v>
      </c>
      <c r="M63">
        <f t="shared" si="2"/>
        <v>0</v>
      </c>
      <c r="N63">
        <f>IF(SUM(I63:J63)&lt;=($G$11/60*$F$11/($E$11/60)),1,0)</f>
        <v>1</v>
      </c>
    </row>
    <row r="64" spans="4:14" x14ac:dyDescent="0.2">
      <c r="D64">
        <f t="shared" si="4"/>
        <v>41</v>
      </c>
      <c r="E64" s="1">
        <f>IF($H$11=1,IF(D64&lt;=$A$15, E63+LN($D$11)-LN(60/$E$11)-LN(MIN(D64,$F$11)), E63-LN(60/$E$11)-LN(MIN(D64,$F$11))), IF(D64&lt;=$A$15, E63+LN($D$11)-LN(60/$E$11)-LN(MIN(D64,$F$11)), E63+LN($D$11)+LN(1-$H$11)-LN(60/$E$11)-LN(MIN(D64,$F$11))))</f>
        <v>-2.6224507199466798</v>
      </c>
      <c r="F64" s="1">
        <f t="shared" si="5"/>
        <v>-4.6244835291457385</v>
      </c>
      <c r="G64" s="1">
        <f t="shared" si="3"/>
        <v>9.8087196456621718E-3</v>
      </c>
      <c r="H64" s="1">
        <f t="shared" si="0"/>
        <v>9.6279726530705046E-4</v>
      </c>
      <c r="I64">
        <f>IF($F$11&lt;=D64, IF(D64&lt;=$A$15,D64-$F$11,$C$11),0)</f>
        <v>37</v>
      </c>
      <c r="J64">
        <f t="shared" si="1"/>
        <v>0</v>
      </c>
      <c r="K64" s="5">
        <f>IF(D64&lt;$F$11,H64,0)</f>
        <v>0</v>
      </c>
      <c r="L64">
        <f>IF(D64&lt;$A$15,$D$11,$D$11*(1-$H$11))</f>
        <v>85</v>
      </c>
      <c r="M64">
        <f t="shared" si="2"/>
        <v>0</v>
      </c>
      <c r="N64">
        <f>IF(SUM(I64:J64)&lt;=($G$11/60*$F$11/($E$11/60)),1,0)</f>
        <v>1</v>
      </c>
    </row>
    <row r="65" spans="4:14" x14ac:dyDescent="0.2">
      <c r="D65">
        <f t="shared" si="4"/>
        <v>42</v>
      </c>
      <c r="E65" s="1">
        <f>IF($H$11=1,IF(D65&lt;=$A$15, E64+LN($D$11)-LN(60/$E$11)-LN(MIN(D65,$F$11)), E64-LN(60/$E$11)-LN(MIN(D65,$F$11))), IF(D65&lt;=$A$15, E64+LN($D$11)-LN(60/$E$11)-LN(MIN(D65,$F$11)), E64+LN($D$11)+LN(1-$H$11)-LN(60/$E$11)-LN(MIN(D65,$F$11))))</f>
        <v>-2.7441476549241992</v>
      </c>
      <c r="F65" s="1">
        <f t="shared" si="5"/>
        <v>-4.7461804641232579</v>
      </c>
      <c r="G65" s="1">
        <f t="shared" si="3"/>
        <v>8.6848038529300509E-3</v>
      </c>
      <c r="H65" s="1">
        <f t="shared" si="0"/>
        <v>8.5247674532395123E-4</v>
      </c>
      <c r="I65">
        <f>IF($F$11&lt;=D65, IF(D65&lt;=$A$15,D65-$F$11,$C$11),0)</f>
        <v>38</v>
      </c>
      <c r="J65">
        <f t="shared" si="1"/>
        <v>0</v>
      </c>
      <c r="K65" s="5">
        <f>IF(D65&lt;$F$11,H65,0)</f>
        <v>0</v>
      </c>
      <c r="L65">
        <f>IF(D65&lt;$A$15,$D$11,$D$11*(1-$H$11))</f>
        <v>85</v>
      </c>
      <c r="M65">
        <f t="shared" si="2"/>
        <v>0</v>
      </c>
      <c r="N65">
        <f>IF(SUM(I65:J65)&lt;=($G$11/60*$F$11/($E$11/60)),1,0)</f>
        <v>1</v>
      </c>
    </row>
    <row r="66" spans="4:14" x14ac:dyDescent="0.2">
      <c r="D66">
        <f t="shared" si="4"/>
        <v>43</v>
      </c>
      <c r="E66" s="1">
        <f>IF($H$11=1,IF(D66&lt;=$A$15, E65+LN($D$11)-LN(60/$E$11)-LN(MIN(D66,$F$11)), E65-LN(60/$E$11)-LN(MIN(D66,$F$11))), IF(D66&lt;=$A$15, E65+LN($D$11)-LN(60/$E$11)-LN(MIN(D66,$F$11)), E65+LN($D$11)+LN(1-$H$11)-LN(60/$E$11)-LN(MIN(D66,$F$11))))</f>
        <v>-2.8658445899017186</v>
      </c>
      <c r="F66" s="1">
        <f t="shared" si="5"/>
        <v>-4.8678773991007773</v>
      </c>
      <c r="G66" s="1">
        <f t="shared" si="3"/>
        <v>7.6896700781151515E-3</v>
      </c>
      <c r="H66" s="1">
        <f t="shared" si="0"/>
        <v>7.5479711825558206E-4</v>
      </c>
      <c r="I66">
        <f>IF($F$11&lt;=D66, IF(D66&lt;=$A$15,D66-$F$11,$C$11),0)</f>
        <v>39</v>
      </c>
      <c r="J66">
        <f t="shared" si="1"/>
        <v>0</v>
      </c>
      <c r="K66" s="5">
        <f>IF(D66&lt;$F$11,H66,0)</f>
        <v>0</v>
      </c>
      <c r="L66">
        <f>IF(D66&lt;$A$15,$D$11,$D$11*(1-$H$11))</f>
        <v>85</v>
      </c>
      <c r="M66">
        <f t="shared" si="2"/>
        <v>0</v>
      </c>
      <c r="N66">
        <f>IF(SUM(I66:J66)&lt;=($G$11/60*$F$11/($E$11/60)),1,0)</f>
        <v>1</v>
      </c>
    </row>
    <row r="67" spans="4:14" x14ac:dyDescent="0.2">
      <c r="D67">
        <f t="shared" si="4"/>
        <v>44</v>
      </c>
      <c r="E67" s="1">
        <f>IF($H$11=1,IF(D67&lt;=$A$15, E66+LN($D$11)-LN(60/$E$11)-LN(MIN(D67,$F$11)), E66-LN(60/$E$11)-LN(MIN(D67,$F$11))), IF(D67&lt;=$A$15, E66+LN($D$11)-LN(60/$E$11)-LN(MIN(D67,$F$11)), E66+LN($D$11)+LN(1-$H$11)-LN(60/$E$11)-LN(MIN(D67,$F$11))))</f>
        <v>-2.9875415248792381</v>
      </c>
      <c r="F67" s="1">
        <f t="shared" si="5"/>
        <v>-4.9895743340782968</v>
      </c>
      <c r="G67" s="1">
        <f t="shared" si="3"/>
        <v>6.8085620483311262E-3</v>
      </c>
      <c r="H67" s="1">
        <f t="shared" si="0"/>
        <v>6.6830994845546354E-4</v>
      </c>
      <c r="I67">
        <f>IF($F$11&lt;=D67, IF(D67&lt;=$A$15,D67-$F$11,$C$11),0)</f>
        <v>40</v>
      </c>
      <c r="J67">
        <f t="shared" si="1"/>
        <v>0</v>
      </c>
      <c r="K67" s="5">
        <f>IF(D67&lt;$F$11,H67,0)</f>
        <v>0</v>
      </c>
      <c r="L67">
        <f>IF(D67&lt;$A$15,$D$11,$D$11*(1-$H$11))</f>
        <v>85</v>
      </c>
      <c r="M67">
        <f t="shared" si="2"/>
        <v>0</v>
      </c>
      <c r="N67">
        <f>IF(SUM(I67:J67)&lt;=($G$11/60*$F$11/($E$11/60)),1,0)</f>
        <v>1</v>
      </c>
    </row>
    <row r="68" spans="4:14" x14ac:dyDescent="0.2">
      <c r="D68">
        <f t="shared" si="4"/>
        <v>45</v>
      </c>
      <c r="E68" s="1">
        <f>IF($H$11=1,IF(D68&lt;=$A$15, E67+LN($D$11)-LN(60/$E$11)-LN(MIN(D68,$F$11)), E67-LN(60/$E$11)-LN(MIN(D68,$F$11))), IF(D68&lt;=$A$15, E67+LN($D$11)-LN(60/$E$11)-LN(MIN(D68,$F$11)), E67+LN($D$11)+LN(1-$H$11)-LN(60/$E$11)-LN(MIN(D68,$F$11))))</f>
        <v>-3.1092384598567575</v>
      </c>
      <c r="F68" s="1">
        <f t="shared" si="5"/>
        <v>-5.1112712690558162</v>
      </c>
      <c r="G68" s="1">
        <f t="shared" si="3"/>
        <v>6.0284143136265199E-3</v>
      </c>
      <c r="H68" s="1">
        <f t="shared" si="0"/>
        <v>5.9173276686160848E-4</v>
      </c>
      <c r="I68">
        <f>IF($F$11&lt;=D68, IF(D68&lt;=$A$15,D68-$F$11,$C$11),0)</f>
        <v>41</v>
      </c>
      <c r="J68">
        <f t="shared" si="1"/>
        <v>0</v>
      </c>
      <c r="K68" s="5">
        <f>IF(D68&lt;$F$11,H68,0)</f>
        <v>0</v>
      </c>
      <c r="L68">
        <f>IF(D68&lt;$A$15,$D$11,$D$11*(1-$H$11))</f>
        <v>85</v>
      </c>
      <c r="M68">
        <f t="shared" si="2"/>
        <v>0</v>
      </c>
      <c r="N68">
        <f>IF(SUM(I68:J68)&lt;=($G$11/60*$F$11/($E$11/60)),1,0)</f>
        <v>1</v>
      </c>
    </row>
    <row r="69" spans="4:14" x14ac:dyDescent="0.2">
      <c r="D69">
        <f t="shared" si="4"/>
        <v>46</v>
      </c>
      <c r="E69" s="1">
        <f>IF($H$11=1,IF(D69&lt;=$A$15, E68+LN($D$11)-LN(60/$E$11)-LN(MIN(D69,$F$11)), E68-LN(60/$E$11)-LN(MIN(D69,$F$11))), IF(D69&lt;=$A$15, E68+LN($D$11)-LN(60/$E$11)-LN(MIN(D69,$F$11)), E68+LN($D$11)+LN(1-$H$11)-LN(60/$E$11)-LN(MIN(D69,$F$11))))</f>
        <v>-3.2309353948342769</v>
      </c>
      <c r="F69" s="1">
        <f t="shared" si="5"/>
        <v>-5.2329682040333356</v>
      </c>
      <c r="G69" s="1">
        <f t="shared" si="3"/>
        <v>5.3376585068568164E-3</v>
      </c>
      <c r="H69" s="1">
        <f t="shared" si="0"/>
        <v>5.2393005399204936E-4</v>
      </c>
      <c r="I69">
        <f>IF($F$11&lt;=D69, IF(D69&lt;=$A$15,D69-$F$11,$C$11),0)</f>
        <v>42</v>
      </c>
      <c r="J69">
        <f t="shared" si="1"/>
        <v>0</v>
      </c>
      <c r="K69" s="5">
        <f>IF(D69&lt;$F$11,H69,0)</f>
        <v>0</v>
      </c>
      <c r="L69">
        <f>IF(D69&lt;$A$15,$D$11,$D$11*(1-$H$11))</f>
        <v>85</v>
      </c>
      <c r="M69">
        <f t="shared" si="2"/>
        <v>0</v>
      </c>
      <c r="N69">
        <f>IF(SUM(I69:J69)&lt;=($G$11/60*$F$11/($E$11/60)),1,0)</f>
        <v>1</v>
      </c>
    </row>
    <row r="70" spans="4:14" x14ac:dyDescent="0.2">
      <c r="D70">
        <f t="shared" si="4"/>
        <v>47</v>
      </c>
      <c r="E70" s="1">
        <f>IF($H$11=1,IF(D70&lt;=$A$15, E69+LN($D$11)-LN(60/$E$11)-LN(MIN(D70,$F$11)), E69-LN(60/$E$11)-LN(MIN(D70,$F$11))), IF(D70&lt;=$A$15, E69+LN($D$11)-LN(60/$E$11)-LN(MIN(D70,$F$11)), E69+LN($D$11)+LN(1-$H$11)-LN(60/$E$11)-LN(MIN(D70,$F$11))))</f>
        <v>-3.3526323298117964</v>
      </c>
      <c r="F70" s="1">
        <f t="shared" si="5"/>
        <v>-5.3546651390108551</v>
      </c>
      <c r="G70" s="1">
        <f t="shared" si="3"/>
        <v>4.7260518029461412E-3</v>
      </c>
      <c r="H70" s="1">
        <f t="shared" si="0"/>
        <v>4.6389640197212723E-4</v>
      </c>
      <c r="I70">
        <f>IF($F$11&lt;=D70, IF(D70&lt;=$A$15,D70-$F$11,$C$11),0)</f>
        <v>43</v>
      </c>
      <c r="J70">
        <f t="shared" si="1"/>
        <v>0</v>
      </c>
      <c r="K70" s="5">
        <f>IF(D70&lt;$F$11,H70,0)</f>
        <v>0</v>
      </c>
      <c r="L70">
        <f>IF(D70&lt;$A$15,$D$11,$D$11*(1-$H$11))</f>
        <v>85</v>
      </c>
      <c r="M70">
        <f t="shared" si="2"/>
        <v>0</v>
      </c>
      <c r="N70">
        <f>IF(SUM(I70:J70)&lt;=($G$11/60*$F$11/($E$11/60)),1,0)</f>
        <v>1</v>
      </c>
    </row>
    <row r="71" spans="4:14" x14ac:dyDescent="0.2">
      <c r="D71">
        <f t="shared" si="4"/>
        <v>48</v>
      </c>
      <c r="E71" s="1">
        <f>IF($H$11=1,IF(D71&lt;=$A$15, E70+LN($D$11)-LN(60/$E$11)-LN(MIN(D71,$F$11)), E70-LN(60/$E$11)-LN(MIN(D71,$F$11))), IF(D71&lt;=$A$15, E70+LN($D$11)-LN(60/$E$11)-LN(MIN(D71,$F$11)), E70+LN($D$11)+LN(1-$H$11)-LN(60/$E$11)-LN(MIN(D71,$F$11))))</f>
        <v>-3.4743292647893158</v>
      </c>
      <c r="F71" s="1">
        <f t="shared" si="5"/>
        <v>-5.4763620739883745</v>
      </c>
      <c r="G71" s="1">
        <f t="shared" si="3"/>
        <v>4.1845250338585641E-3</v>
      </c>
      <c r="H71" s="1">
        <f t="shared" si="0"/>
        <v>4.1074160591282117E-4</v>
      </c>
      <c r="I71">
        <f>IF($F$11&lt;=D71, IF(D71&lt;=$A$15,D71-$F$11,$C$11),0)</f>
        <v>44</v>
      </c>
      <c r="J71">
        <f t="shared" si="1"/>
        <v>0</v>
      </c>
      <c r="K71" s="5">
        <f>IF(D71&lt;$F$11,H71,0)</f>
        <v>0</v>
      </c>
      <c r="L71">
        <f>IF(D71&lt;$A$15,$D$11,$D$11*(1-$H$11))</f>
        <v>85</v>
      </c>
      <c r="M71">
        <f t="shared" si="2"/>
        <v>0</v>
      </c>
      <c r="N71">
        <f>IF(SUM(I71:J71)&lt;=($G$11/60*$F$11/($E$11/60)),1,0)</f>
        <v>1</v>
      </c>
    </row>
    <row r="72" spans="4:14" x14ac:dyDescent="0.2">
      <c r="D72">
        <f t="shared" si="4"/>
        <v>49</v>
      </c>
      <c r="E72" s="1">
        <f>IF($H$11=1,IF(D72&lt;=$A$15, E71+LN($D$11)-LN(60/$E$11)-LN(MIN(D72,$F$11)), E71-LN(60/$E$11)-LN(MIN(D72,$F$11))), IF(D72&lt;=$A$15, E71+LN($D$11)-LN(60/$E$11)-LN(MIN(D72,$F$11)), E71+LN($D$11)+LN(1-$H$11)-LN(60/$E$11)-LN(MIN(D72,$F$11))))</f>
        <v>-3.5960261997668352</v>
      </c>
      <c r="F72" s="1">
        <f t="shared" si="5"/>
        <v>-5.5980590089658939</v>
      </c>
      <c r="G72" s="1">
        <f t="shared" si="3"/>
        <v>3.7050482070622717E-3</v>
      </c>
      <c r="H72" s="1">
        <f t="shared" si="0"/>
        <v>3.6367746356864383E-4</v>
      </c>
      <c r="I72">
        <f>IF($F$11&lt;=D72, IF(D72&lt;=$A$15,D72-$F$11,$C$11),0)</f>
        <v>45</v>
      </c>
      <c r="J72">
        <f t="shared" si="1"/>
        <v>0</v>
      </c>
      <c r="K72" s="5">
        <f>IF(D72&lt;$F$11,H72,0)</f>
        <v>0</v>
      </c>
      <c r="L72">
        <f>IF(D72&lt;$A$15,$D$11,$D$11*(1-$H$11))</f>
        <v>85</v>
      </c>
      <c r="M72">
        <f t="shared" si="2"/>
        <v>0</v>
      </c>
      <c r="N72">
        <f>IF(SUM(I72:J72)&lt;=($G$11/60*$F$11/($E$11/60)),1,0)</f>
        <v>1</v>
      </c>
    </row>
    <row r="73" spans="4:14" x14ac:dyDescent="0.2">
      <c r="D73">
        <f t="shared" si="4"/>
        <v>50</v>
      </c>
      <c r="E73" s="1">
        <f>IF($H$11=1,IF(D73&lt;=$A$15, E72+LN($D$11)-LN(60/$E$11)-LN(MIN(D73,$F$11)), E72-LN(60/$E$11)-LN(MIN(D73,$F$11))), IF(D73&lt;=$A$15, E72+LN($D$11)-LN(60/$E$11)-LN(MIN(D73,$F$11)), E72+LN($D$11)+LN(1-$H$11)-LN(60/$E$11)-LN(MIN(D73,$F$11))))</f>
        <v>-3.7177231347443547</v>
      </c>
      <c r="F73" s="1">
        <f t="shared" si="5"/>
        <v>-5.7197559439434134</v>
      </c>
      <c r="G73" s="1">
        <f t="shared" si="3"/>
        <v>3.2805114333363875E-3</v>
      </c>
      <c r="H73" s="1">
        <f t="shared" si="0"/>
        <v>3.2200608753473684E-4</v>
      </c>
      <c r="I73">
        <f>IF($F$11&lt;=D73, IF(D73&lt;=$A$15,D73-$F$11,$C$11),0)</f>
        <v>46</v>
      </c>
      <c r="J73">
        <f t="shared" si="1"/>
        <v>0</v>
      </c>
      <c r="K73" s="5">
        <f>IF(D73&lt;$F$11,H73,0)</f>
        <v>0</v>
      </c>
      <c r="L73">
        <f>IF(D73&lt;$A$15,$D$11,$D$11*(1-$H$11))</f>
        <v>85</v>
      </c>
      <c r="M73">
        <f t="shared" si="2"/>
        <v>0</v>
      </c>
      <c r="N73">
        <f>IF(SUM(I73:J73)&lt;=($G$11/60*$F$11/($E$11/60)),1,0)</f>
        <v>1</v>
      </c>
    </row>
    <row r="74" spans="4:14" x14ac:dyDescent="0.2">
      <c r="D74">
        <f t="shared" si="4"/>
        <v>51</v>
      </c>
      <c r="E74" s="1">
        <f>IF($H$11=1,IF(D74&lt;=$A$15, E73+LN($D$11)-LN(60/$E$11)-LN(MIN(D74,$F$11)), E73-LN(60/$E$11)-LN(MIN(D74,$F$11))), IF(D74&lt;=$A$15, E73+LN($D$11)-LN(60/$E$11)-LN(MIN(D74,$F$11)), E73+LN($D$11)+LN(1-$H$11)-LN(60/$E$11)-LN(MIN(D74,$F$11))))</f>
        <v>-3.8394200697218741</v>
      </c>
      <c r="F74" s="1">
        <f t="shared" si="5"/>
        <v>-5.8414528789209328</v>
      </c>
      <c r="G74" s="1">
        <f t="shared" si="3"/>
        <v>2.904619498266594E-3</v>
      </c>
      <c r="H74" s="1">
        <f t="shared" si="0"/>
        <v>2.851095566713817E-4</v>
      </c>
      <c r="I74">
        <f>IF($F$11&lt;=D74, IF(D74&lt;=$A$15,D74-$F$11,$C$11),0)</f>
        <v>47</v>
      </c>
      <c r="J74">
        <f t="shared" si="1"/>
        <v>0</v>
      </c>
      <c r="K74" s="5">
        <f>IF(D74&lt;$F$11,H74,0)</f>
        <v>0</v>
      </c>
      <c r="L74">
        <f>IF(D74&lt;$A$15,$D$11,$D$11*(1-$H$11))</f>
        <v>85</v>
      </c>
      <c r="M74">
        <f t="shared" si="2"/>
        <v>0</v>
      </c>
      <c r="N74">
        <f>IF(SUM(I74:J74)&lt;=($G$11/60*$F$11/($E$11/60)),1,0)</f>
        <v>1</v>
      </c>
    </row>
    <row r="75" spans="4:14" x14ac:dyDescent="0.2">
      <c r="D75">
        <f t="shared" si="4"/>
        <v>52</v>
      </c>
      <c r="E75" s="1">
        <f>IF($H$11=1,IF(D75&lt;=$A$15, E74+LN($D$11)-LN(60/$E$11)-LN(MIN(D75,$F$11)), E74-LN(60/$E$11)-LN(MIN(D75,$F$11))), IF(D75&lt;=$A$15, E74+LN($D$11)-LN(60/$E$11)-LN(MIN(D75,$F$11)), E74+LN($D$11)+LN(1-$H$11)-LN(60/$E$11)-LN(MIN(D75,$F$11))))</f>
        <v>-3.9611170046993935</v>
      </c>
      <c r="F75" s="1">
        <f t="shared" si="5"/>
        <v>-5.9631498138984522</v>
      </c>
      <c r="G75" s="1">
        <f t="shared" si="3"/>
        <v>2.5717985140902145E-3</v>
      </c>
      <c r="H75" s="1">
        <f t="shared" si="0"/>
        <v>2.5244075330278597E-4</v>
      </c>
      <c r="I75">
        <f>IF($F$11&lt;=D75, IF(D75&lt;=$A$15,D75-$F$11,$C$11),0)</f>
        <v>48</v>
      </c>
      <c r="J75">
        <f t="shared" si="1"/>
        <v>0</v>
      </c>
      <c r="K75" s="5">
        <f>IF(D75&lt;$F$11,H75,0)</f>
        <v>0</v>
      </c>
      <c r="L75">
        <f>IF(D75&lt;$A$15,$D$11,$D$11*(1-$H$11))</f>
        <v>85</v>
      </c>
      <c r="M75">
        <f t="shared" si="2"/>
        <v>0</v>
      </c>
      <c r="N75">
        <f>IF(SUM(I75:J75)&lt;=($G$11/60*$F$11/($E$11/60)),1,0)</f>
        <v>1</v>
      </c>
    </row>
    <row r="76" spans="4:14" x14ac:dyDescent="0.2">
      <c r="D76">
        <f t="shared" si="4"/>
        <v>53</v>
      </c>
      <c r="E76" s="1">
        <f>IF($H$11=1,IF(D76&lt;=$A$15, E75+LN($D$11)-LN(60/$E$11)-LN(MIN(D76,$F$11)), E75-LN(60/$E$11)-LN(MIN(D76,$F$11))), IF(D76&lt;=$A$15, E75+LN($D$11)-LN(60/$E$11)-LN(MIN(D76,$F$11)), E75+LN($D$11)+LN(1-$H$11)-LN(60/$E$11)-LN(MIN(D76,$F$11))))</f>
        <v>-4.082813939676913</v>
      </c>
      <c r="F76" s="1">
        <f t="shared" si="5"/>
        <v>-6.0848467488759717</v>
      </c>
      <c r="G76" s="1">
        <f t="shared" si="3"/>
        <v>2.2771132676840449E-3</v>
      </c>
      <c r="H76" s="1">
        <f t="shared" si="0"/>
        <v>2.2351525032017516E-4</v>
      </c>
      <c r="I76">
        <f>IF($F$11&lt;=D76, IF(D76&lt;=$A$15,D76-$F$11,$C$11),0)</f>
        <v>49</v>
      </c>
      <c r="J76">
        <f t="shared" si="1"/>
        <v>0</v>
      </c>
      <c r="K76" s="5">
        <f>IF(D76&lt;$F$11,H76,0)</f>
        <v>0</v>
      </c>
      <c r="L76">
        <f>IF(D76&lt;$A$15,$D$11,$D$11*(1-$H$11))</f>
        <v>85</v>
      </c>
      <c r="M76">
        <f t="shared" si="2"/>
        <v>0</v>
      </c>
      <c r="N76">
        <f>IF(SUM(I76:J76)&lt;=($G$11/60*$F$11/($E$11/60)),1,0)</f>
        <v>0</v>
      </c>
    </row>
    <row r="77" spans="4:14" x14ac:dyDescent="0.2">
      <c r="D77">
        <f t="shared" si="4"/>
        <v>54</v>
      </c>
      <c r="E77" s="1">
        <f>IF($H$11=1,IF(D77&lt;=$A$15, E76+LN($D$11)-LN(60/$E$11)-LN(MIN(D77,$F$11)), E76-LN(60/$E$11)-LN(MIN(D77,$F$11))), IF(D77&lt;=$A$15, E76+LN($D$11)-LN(60/$E$11)-LN(MIN(D77,$F$11)), E76+LN($D$11)+LN(1-$H$11)-LN(60/$E$11)-LN(MIN(D77,$F$11))))</f>
        <v>-4.2045108746544324</v>
      </c>
      <c r="F77" s="1">
        <f t="shared" si="5"/>
        <v>-6.2065436838534911</v>
      </c>
      <c r="G77" s="1">
        <f t="shared" si="3"/>
        <v>2.0161940390952485E-3</v>
      </c>
      <c r="H77" s="1">
        <f t="shared" si="0"/>
        <v>1.9790412788765513E-4</v>
      </c>
      <c r="I77">
        <f>IF($F$11&lt;=D77, IF(D77&lt;=$A$15,D77-$F$11,$C$11),0)</f>
        <v>50</v>
      </c>
      <c r="J77">
        <f t="shared" si="1"/>
        <v>0</v>
      </c>
      <c r="K77" s="5">
        <f>IF(D77&lt;$F$11,H77,0)</f>
        <v>0</v>
      </c>
      <c r="L77">
        <f>IF(D77&lt;$A$15,$D$11,$D$11*(1-$H$11))</f>
        <v>85</v>
      </c>
      <c r="M77">
        <f t="shared" si="2"/>
        <v>0</v>
      </c>
      <c r="N77">
        <f>IF(SUM(I77:J77)&lt;=($G$11/60*$F$11/($E$11/60)),1,0)</f>
        <v>0</v>
      </c>
    </row>
    <row r="78" spans="4:14" x14ac:dyDescent="0.2">
      <c r="D78">
        <f t="shared" si="4"/>
        <v>55</v>
      </c>
      <c r="E78" s="1">
        <f>IF($H$11=1,IF(D78&lt;=$A$15, E77+LN($D$11)-LN(60/$E$11)-LN(MIN(D78,$F$11)), E77-LN(60/$E$11)-LN(MIN(D78,$F$11))), IF(D78&lt;=$A$15, E77+LN($D$11)-LN(60/$E$11)-LN(MIN(D78,$F$11)), E77+LN($D$11)+LN(1-$H$11)-LN(60/$E$11)-LN(MIN(D78,$F$11))))</f>
        <v>-4.3262078096319518</v>
      </c>
      <c r="F78" s="1">
        <f t="shared" si="5"/>
        <v>-6.3282406188310105</v>
      </c>
      <c r="G78" s="1">
        <f t="shared" si="3"/>
        <v>1.7851718054489188E-3</v>
      </c>
      <c r="H78" s="1">
        <f t="shared" si="0"/>
        <v>1.7522761323386139E-4</v>
      </c>
      <c r="I78">
        <f>IF($F$11&lt;=D78, IF(D78&lt;=$A$15,D78-$F$11,$C$11),0)</f>
        <v>51</v>
      </c>
      <c r="J78">
        <f t="shared" si="1"/>
        <v>0</v>
      </c>
      <c r="K78" s="5">
        <f>IF(D78&lt;$F$11,H78,0)</f>
        <v>0</v>
      </c>
      <c r="L78">
        <f>IF(D78&lt;$A$15,$D$11,$D$11*(1-$H$11))</f>
        <v>85</v>
      </c>
      <c r="M78">
        <f t="shared" si="2"/>
        <v>0</v>
      </c>
      <c r="N78">
        <f>IF(SUM(I78:J78)&lt;=($G$11/60*$F$11/($E$11/60)),1,0)</f>
        <v>0</v>
      </c>
    </row>
    <row r="79" spans="4:14" x14ac:dyDescent="0.2">
      <c r="D79">
        <f t="shared" si="4"/>
        <v>56</v>
      </c>
      <c r="E79" s="1">
        <f>IF($H$11=1,IF(D79&lt;=$A$15, E78+LN($D$11)-LN(60/$E$11)-LN(MIN(D79,$F$11)), E78-LN(60/$E$11)-LN(MIN(D79,$F$11))), IF(D79&lt;=$A$15, E78+LN($D$11)-LN(60/$E$11)-LN(MIN(D79,$F$11)), E78+LN($D$11)+LN(1-$H$11)-LN(60/$E$11)-LN(MIN(D79,$F$11))))</f>
        <v>-4.4479047446094713</v>
      </c>
      <c r="F79" s="1">
        <f t="shared" si="5"/>
        <v>-6.44993755380853</v>
      </c>
      <c r="G79" s="1">
        <f t="shared" si="3"/>
        <v>1.5806208694078973E-3</v>
      </c>
      <c r="H79" s="1">
        <f t="shared" si="0"/>
        <v>1.5514944921748148E-4</v>
      </c>
      <c r="I79">
        <f>IF($F$11&lt;=D79, IF(D79&lt;=$A$15,D79-$F$11,$C$11),0)</f>
        <v>52</v>
      </c>
      <c r="J79">
        <f t="shared" si="1"/>
        <v>0</v>
      </c>
      <c r="K79" s="5">
        <f>IF(D79&lt;$F$11,H79,0)</f>
        <v>0</v>
      </c>
      <c r="L79">
        <f>IF(D79&lt;$A$15,$D$11,$D$11*(1-$H$11))</f>
        <v>85</v>
      </c>
      <c r="M79">
        <f t="shared" si="2"/>
        <v>0</v>
      </c>
      <c r="N79">
        <f>IF(SUM(I79:J79)&lt;=($G$11/60*$F$11/($E$11/60)),1,0)</f>
        <v>0</v>
      </c>
    </row>
    <row r="80" spans="4:14" x14ac:dyDescent="0.2">
      <c r="D80">
        <f t="shared" si="4"/>
        <v>57</v>
      </c>
      <c r="E80" s="1">
        <f>IF($H$11=1,IF(D80&lt;=$A$15, E79+LN($D$11)-LN(60/$E$11)-LN(MIN(D80,$F$11)), E79-LN(60/$E$11)-LN(MIN(D80,$F$11))), IF(D80&lt;=$A$15, E79+LN($D$11)-LN(60/$E$11)-LN(MIN(D80,$F$11)), E79+LN($D$11)+LN(1-$H$11)-LN(60/$E$11)-LN(MIN(D80,$F$11))))</f>
        <v>-4.5696016795869907</v>
      </c>
      <c r="F80" s="1">
        <f t="shared" si="5"/>
        <v>-6.5716344887860494</v>
      </c>
      <c r="G80" s="1">
        <f t="shared" si="3"/>
        <v>1.3995080614549096E-3</v>
      </c>
      <c r="H80" s="1">
        <f t="shared" si="0"/>
        <v>1.3737190816131179E-4</v>
      </c>
      <c r="I80">
        <f>IF($F$11&lt;=D80, IF(D80&lt;=$A$15,D80-$F$11,$C$11),0)</f>
        <v>53</v>
      </c>
      <c r="J80">
        <f t="shared" si="1"/>
        <v>0</v>
      </c>
      <c r="K80" s="5">
        <f>IF(D80&lt;$F$11,H80,0)</f>
        <v>0</v>
      </c>
      <c r="L80">
        <f>IF(D80&lt;$A$15,$D$11,$D$11*(1-$H$11))</f>
        <v>85</v>
      </c>
      <c r="M80">
        <f t="shared" si="2"/>
        <v>0</v>
      </c>
      <c r="N80">
        <f>IF(SUM(I80:J80)&lt;=($G$11/60*$F$11/($E$11/60)),1,0)</f>
        <v>0</v>
      </c>
    </row>
    <row r="81" spans="4:14" x14ac:dyDescent="0.2">
      <c r="D81">
        <f t="shared" si="4"/>
        <v>58</v>
      </c>
      <c r="E81" s="1">
        <f>IF($H$11=1,IF(D81&lt;=$A$15, E80+LN($D$11)-LN(60/$E$11)-LN(MIN(D81,$F$11)), E80-LN(60/$E$11)-LN(MIN(D81,$F$11))), IF(D81&lt;=$A$15, E80+LN($D$11)-LN(60/$E$11)-LN(MIN(D81,$F$11)), E80+LN($D$11)+LN(1-$H$11)-LN(60/$E$11)-LN(MIN(D81,$F$11))))</f>
        <v>-4.6912986145645101</v>
      </c>
      <c r="F81" s="1">
        <f t="shared" si="5"/>
        <v>-6.6933314237635688</v>
      </c>
      <c r="G81" s="1">
        <f t="shared" si="3"/>
        <v>1.2391477627465349E-3</v>
      </c>
      <c r="H81" s="1">
        <f t="shared" si="0"/>
        <v>1.2163137701782817E-4</v>
      </c>
      <c r="I81">
        <f>IF($F$11&lt;=D81, IF(D81&lt;=$A$15,D81-$F$11,$C$11),0)</f>
        <v>54</v>
      </c>
      <c r="J81">
        <f t="shared" si="1"/>
        <v>0</v>
      </c>
      <c r="K81" s="5">
        <f>IF(D81&lt;$F$11,H81,0)</f>
        <v>0</v>
      </c>
      <c r="L81">
        <f>IF(D81&lt;$A$15,$D$11,$D$11*(1-$H$11))</f>
        <v>85</v>
      </c>
      <c r="M81">
        <f t="shared" si="2"/>
        <v>0</v>
      </c>
      <c r="N81">
        <f>IF(SUM(I81:J81)&lt;=($G$11/60*$F$11/($E$11/60)),1,0)</f>
        <v>0</v>
      </c>
    </row>
    <row r="82" spans="4:14" x14ac:dyDescent="0.2">
      <c r="D82">
        <f t="shared" si="4"/>
        <v>59</v>
      </c>
      <c r="E82" s="1">
        <f>IF($H$11=1,IF(D82&lt;=$A$15, E81+LN($D$11)-LN(60/$E$11)-LN(MIN(D82,$F$11)), E81-LN(60/$E$11)-LN(MIN(D82,$F$11))), IF(D82&lt;=$A$15, E81+LN($D$11)-LN(60/$E$11)-LN(MIN(D82,$F$11)), E81+LN($D$11)+LN(1-$H$11)-LN(60/$E$11)-LN(MIN(D82,$F$11))))</f>
        <v>-4.8129955495420296</v>
      </c>
      <c r="F82" s="1">
        <f t="shared" si="5"/>
        <v>-6.8150283587410883</v>
      </c>
      <c r="G82" s="1">
        <f t="shared" si="3"/>
        <v>1.0971620815984949E-3</v>
      </c>
      <c r="H82" s="1">
        <f t="shared" si="0"/>
        <v>1.0769444840120208E-4</v>
      </c>
      <c r="I82">
        <f>IF($F$11&lt;=D82, IF(D82&lt;=$A$15,D82-$F$11,$C$11),0)</f>
        <v>55</v>
      </c>
      <c r="J82">
        <f t="shared" si="1"/>
        <v>0</v>
      </c>
      <c r="K82" s="5">
        <f>IF(D82&lt;$F$11,H82,0)</f>
        <v>0</v>
      </c>
      <c r="L82">
        <f>IF(D82&lt;$A$15,$D$11,$D$11*(1-$H$11))</f>
        <v>85</v>
      </c>
      <c r="M82">
        <f t="shared" si="2"/>
        <v>0</v>
      </c>
      <c r="N82">
        <f>IF(SUM(I82:J82)&lt;=($G$11/60*$F$11/($E$11/60)),1,0)</f>
        <v>0</v>
      </c>
    </row>
    <row r="83" spans="4:14" x14ac:dyDescent="0.2">
      <c r="D83">
        <f t="shared" si="4"/>
        <v>60</v>
      </c>
      <c r="E83" s="1">
        <f>IF($H$11=1,IF(D83&lt;=$A$15, E82+LN($D$11)-LN(60/$E$11)-LN(MIN(D83,$F$11)), E82-LN(60/$E$11)-LN(MIN(D83,$F$11))), IF(D83&lt;=$A$15, E82+LN($D$11)-LN(60/$E$11)-LN(MIN(D83,$F$11)), E82+LN($D$11)+LN(1-$H$11)-LN(60/$E$11)-LN(MIN(D83,$F$11))))</f>
        <v>-4.934692484519549</v>
      </c>
      <c r="F83" s="1">
        <f t="shared" si="5"/>
        <v>-6.9367252937186077</v>
      </c>
      <c r="G83" s="1">
        <f t="shared" si="3"/>
        <v>9.7144559308200108E-4</v>
      </c>
      <c r="H83" s="1">
        <f t="shared" si="0"/>
        <v>9.5354459521897715E-5</v>
      </c>
      <c r="I83">
        <f>IF($F$11&lt;=D83, IF(D83&lt;=$A$15,D83-$F$11,$C$11),0)</f>
        <v>56</v>
      </c>
      <c r="J83">
        <f t="shared" si="1"/>
        <v>0</v>
      </c>
      <c r="K83" s="5">
        <f>IF(D83&lt;$F$11,H83,0)</f>
        <v>0</v>
      </c>
      <c r="L83">
        <f>IF(D83&lt;$A$15,$D$11,$D$11*(1-$H$11))</f>
        <v>85</v>
      </c>
      <c r="M83">
        <f t="shared" si="2"/>
        <v>0</v>
      </c>
      <c r="N83">
        <f>IF(SUM(I83:J83)&lt;=($G$11/60*$F$11/($E$11/60)),1,0)</f>
        <v>0</v>
      </c>
    </row>
    <row r="84" spans="4:14" x14ac:dyDescent="0.2">
      <c r="D84">
        <f t="shared" si="4"/>
        <v>61</v>
      </c>
      <c r="E84" s="1">
        <f>IF($H$11=1,IF(D84&lt;=$A$15, E83+LN($D$11)-LN(60/$E$11)-LN(MIN(D84,$F$11)), E83-LN(60/$E$11)-LN(MIN(D84,$F$11))), IF(D84&lt;=$A$15, E83+LN($D$11)-LN(60/$E$11)-LN(MIN(D84,$F$11)), E83+LN($D$11)+LN(1-$H$11)-LN(60/$E$11)-LN(MIN(D84,$F$11))))</f>
        <v>-5.0563894194970684</v>
      </c>
      <c r="F84" s="1">
        <f t="shared" si="5"/>
        <v>-7.0584222286961271</v>
      </c>
      <c r="G84" s="1">
        <f t="shared" si="3"/>
        <v>8.6013411887468877E-4</v>
      </c>
      <c r="H84" s="1">
        <f t="shared" si="0"/>
        <v>8.4428427701680291E-5</v>
      </c>
      <c r="I84">
        <f>IF($F$11&lt;=D84, IF(D84&lt;=$A$15,D84-$F$11,$C$11),0)</f>
        <v>57</v>
      </c>
      <c r="J84">
        <f t="shared" si="1"/>
        <v>0</v>
      </c>
      <c r="K84" s="5">
        <f>IF(D84&lt;$F$11,H84,0)</f>
        <v>0</v>
      </c>
      <c r="L84">
        <f>IF(D84&lt;$A$15,$D$11,$D$11*(1-$H$11))</f>
        <v>85</v>
      </c>
      <c r="M84">
        <f t="shared" si="2"/>
        <v>0</v>
      </c>
      <c r="N84">
        <f>IF(SUM(I84:J84)&lt;=($G$11/60*$F$11/($E$11/60)),1,0)</f>
        <v>0</v>
      </c>
    </row>
    <row r="85" spans="4:14" x14ac:dyDescent="0.2">
      <c r="D85">
        <f t="shared" si="4"/>
        <v>62</v>
      </c>
      <c r="E85" s="1">
        <f>IF($H$11=1,IF(D85&lt;=$A$15, E84+LN($D$11)-LN(60/$E$11)-LN(MIN(D85,$F$11)), E84-LN(60/$E$11)-LN(MIN(D85,$F$11))), IF(D85&lt;=$A$15, E84+LN($D$11)-LN(60/$E$11)-LN(MIN(D85,$F$11)), E84+LN($D$11)+LN(1-$H$11)-LN(60/$E$11)-LN(MIN(D85,$F$11))))</f>
        <v>-5.1780863544745879</v>
      </c>
      <c r="F85" s="1">
        <f t="shared" si="5"/>
        <v>-7.1801191636736466</v>
      </c>
      <c r="G85" s="1">
        <f t="shared" si="3"/>
        <v>7.6157708442029762E-4</v>
      </c>
      <c r="H85" s="1">
        <f t="shared" si="0"/>
        <v>7.4754337027529456E-5</v>
      </c>
      <c r="I85">
        <f>IF($F$11&lt;=D85, IF(D85&lt;=$A$15,D85-$F$11,$C$11),0)</f>
        <v>58</v>
      </c>
      <c r="J85">
        <f t="shared" si="1"/>
        <v>0</v>
      </c>
      <c r="K85" s="5">
        <f>IF(D85&lt;$F$11,H85,0)</f>
        <v>0</v>
      </c>
      <c r="L85">
        <f>IF(D85&lt;$A$15,$D$11,$D$11*(1-$H$11))</f>
        <v>85</v>
      </c>
      <c r="M85">
        <f t="shared" si="2"/>
        <v>0</v>
      </c>
      <c r="N85">
        <f>IF(SUM(I85:J85)&lt;=($G$11/60*$F$11/($E$11/60)),1,0)</f>
        <v>0</v>
      </c>
    </row>
    <row r="86" spans="4:14" x14ac:dyDescent="0.2">
      <c r="D86">
        <f t="shared" si="4"/>
        <v>63</v>
      </c>
      <c r="E86" s="1">
        <f>IF($H$11=1,IF(D86&lt;=$A$15, E85+LN($D$11)-LN(60/$E$11)-LN(MIN(D86,$F$11)), E85-LN(60/$E$11)-LN(MIN(D86,$F$11))), IF(D86&lt;=$A$15, E85+LN($D$11)-LN(60/$E$11)-LN(MIN(D86,$F$11)), E85+LN($D$11)+LN(1-$H$11)-LN(60/$E$11)-LN(MIN(D86,$F$11))))</f>
        <v>-5.2997832894521073</v>
      </c>
      <c r="F86" s="1">
        <f t="shared" si="5"/>
        <v>-7.301816098651166</v>
      </c>
      <c r="G86" s="1">
        <f t="shared" si="3"/>
        <v>6.7431304349713868E-4</v>
      </c>
      <c r="H86" s="1">
        <f t="shared" si="0"/>
        <v>6.618873590979172E-5</v>
      </c>
      <c r="I86">
        <f>IF($F$11&lt;=D86, IF(D86&lt;=$A$15,D86-$F$11,$C$11),0)</f>
        <v>59</v>
      </c>
      <c r="J86">
        <f t="shared" si="1"/>
        <v>0</v>
      </c>
      <c r="K86" s="5">
        <f>IF(D86&lt;$F$11,H86,0)</f>
        <v>0</v>
      </c>
      <c r="L86">
        <f>IF(D86&lt;$A$15,$D$11,$D$11*(1-$H$11))</f>
        <v>85</v>
      </c>
      <c r="M86">
        <f t="shared" si="2"/>
        <v>0</v>
      </c>
      <c r="N86">
        <f>IF(SUM(I86:J86)&lt;=($G$11/60*$F$11/($E$11/60)),1,0)</f>
        <v>0</v>
      </c>
    </row>
    <row r="87" spans="4:14" x14ac:dyDescent="0.2">
      <c r="D87">
        <f t="shared" si="4"/>
        <v>64</v>
      </c>
      <c r="E87" s="1">
        <f>IF($H$11=1,IF(D87&lt;=$A$15, E86+LN($D$11)-LN(60/$E$11)-LN(MIN(D87,$F$11)), E86-LN(60/$E$11)-LN(MIN(D87,$F$11))), IF(D87&lt;=$A$15, E86+LN($D$11)-LN(60/$E$11)-LN(MIN(D87,$F$11)), E86+LN($D$11)+LN(1-$H$11)-LN(60/$E$11)-LN(MIN(D87,$F$11))))</f>
        <v>-5.4214802244296276</v>
      </c>
      <c r="F87" s="1">
        <f t="shared" si="5"/>
        <v>-7.4235130336286863</v>
      </c>
      <c r="G87" s="1">
        <f t="shared" si="3"/>
        <v>5.9704800726309126E-4</v>
      </c>
      <c r="H87" s="1">
        <f t="shared" ref="H87:H150" si="6">G87/$G$21</f>
        <v>5.8604609920128058E-5</v>
      </c>
      <c r="I87">
        <f>IF($F$11&lt;=D87, IF(D87&lt;=$A$15,D87-$F$11,$C$11),0)</f>
        <v>60</v>
      </c>
      <c r="J87">
        <f t="shared" ref="J87:J150" si="7">IF(D87&lt;=$A$15,0,D87-$A$15)</f>
        <v>0</v>
      </c>
      <c r="K87" s="5">
        <f>IF(D87&lt;$F$11,H87,0)</f>
        <v>0</v>
      </c>
      <c r="L87">
        <f>IF(D87&lt;$A$15,$D$11,$D$11*(1-$H$11))</f>
        <v>85</v>
      </c>
      <c r="M87">
        <f t="shared" ref="M87:M150" si="8">IF(D87&lt;$A$15,0,1)</f>
        <v>1</v>
      </c>
      <c r="N87">
        <f>IF(SUM(I87:J87)&lt;=($G$11/60*$F$11/($E$11/60)),1,0)</f>
        <v>0</v>
      </c>
    </row>
    <row r="88" spans="4:14" x14ac:dyDescent="0.2">
      <c r="D88">
        <f t="shared" si="4"/>
        <v>65</v>
      </c>
      <c r="E88" s="1">
        <f>IF($H$11=1,IF(D88&lt;=$A$15, E87+LN($D$11)-LN(60/$E$11)-LN(MIN(D88,$F$11)), E87-LN(60/$E$11)-LN(MIN(D88,$F$11))), IF(D88&lt;=$A$15, E87+LN($D$11)-LN(60/$E$11)-LN(MIN(D88,$F$11)), E87+LN($D$11)+LN(1-$H$11)-LN(60/$E$11)-LN(MIN(D88,$F$11))))</f>
        <v>-5.5431771594071471</v>
      </c>
      <c r="F88" s="1">
        <f t="shared" si="5"/>
        <v>-7.5452099686062057</v>
      </c>
      <c r="G88" s="1">
        <f t="shared" ref="G88:G151" si="9">EXP(F88)</f>
        <v>5.2863625643086219E-4</v>
      </c>
      <c r="H88" s="1">
        <f t="shared" si="6"/>
        <v>5.1889498366780065E-5</v>
      </c>
      <c r="I88">
        <f>IF($F$11&lt;=D88, IF(D88&lt;=$A$15,D88-$F$11,$C$11),0)</f>
        <v>60</v>
      </c>
      <c r="J88">
        <f t="shared" si="7"/>
        <v>1</v>
      </c>
      <c r="K88" s="5">
        <f>IF(D88&lt;$F$11,H88,0)</f>
        <v>0</v>
      </c>
      <c r="L88">
        <f>IF(D88&lt;$A$15,$D$11,$D$11*(1-$H$11))</f>
        <v>85</v>
      </c>
      <c r="M88">
        <f t="shared" si="8"/>
        <v>1</v>
      </c>
      <c r="N88">
        <f>IF(SUM(I88:J88)&lt;=($G$11/60*$F$11/($E$11/60)),1,0)</f>
        <v>0</v>
      </c>
    </row>
    <row r="89" spans="4:14" x14ac:dyDescent="0.2">
      <c r="D89">
        <f t="shared" ref="D89:D152" si="10">1+D88</f>
        <v>66</v>
      </c>
      <c r="E89" s="1">
        <f>IF($H$11=1,IF(D89&lt;=$A$15, E88+LN($D$11)-LN(60/$E$11)-LN(MIN(D89,$F$11)), E88-LN(60/$E$11)-LN(MIN(D89,$F$11))), IF(D89&lt;=$A$15, E88+LN($D$11)-LN(60/$E$11)-LN(MIN(D89,$F$11)), E88+LN($D$11)+LN(1-$H$11)-LN(60/$E$11)-LN(MIN(D89,$F$11))))</f>
        <v>-5.6648740943846665</v>
      </c>
      <c r="F89" s="1">
        <f t="shared" ref="F89:F152" si="11">E89-$E$21</f>
        <v>-7.6669069035837252</v>
      </c>
      <c r="G89" s="1">
        <f t="shared" si="9"/>
        <v>4.680633520481594E-4</v>
      </c>
      <c r="H89" s="1">
        <f t="shared" si="6"/>
        <v>4.5943826678919869E-5</v>
      </c>
      <c r="I89">
        <f>IF($F$11&lt;=D89, IF(D89&lt;=$A$15,D89-$F$11,$C$11),0)</f>
        <v>60</v>
      </c>
      <c r="J89">
        <f t="shared" si="7"/>
        <v>2</v>
      </c>
      <c r="K89" s="5">
        <f>IF(D89&lt;$F$11,H89,0)</f>
        <v>0</v>
      </c>
      <c r="L89">
        <f>IF(D89&lt;$A$15,$D$11,$D$11*(1-$H$11))</f>
        <v>85</v>
      </c>
      <c r="M89">
        <f t="shared" si="8"/>
        <v>1</v>
      </c>
      <c r="N89">
        <f>IF(SUM(I89:J89)&lt;=($G$11/60*$F$11/($E$11/60)),1,0)</f>
        <v>0</v>
      </c>
    </row>
    <row r="90" spans="4:14" x14ac:dyDescent="0.2">
      <c r="D90">
        <f t="shared" si="10"/>
        <v>67</v>
      </c>
      <c r="E90" s="1">
        <f>IF($H$11=1,IF(D90&lt;=$A$15, E89+LN($D$11)-LN(60/$E$11)-LN(MIN(D90,$F$11)), E89-LN(60/$E$11)-LN(MIN(D90,$F$11))), IF(D90&lt;=$A$15, E89+LN($D$11)-LN(60/$E$11)-LN(MIN(D90,$F$11)), E89+LN($D$11)+LN(1-$H$11)-LN(60/$E$11)-LN(MIN(D90,$F$11))))</f>
        <v>-5.7865710293621859</v>
      </c>
      <c r="F90" s="1">
        <f t="shared" si="11"/>
        <v>-7.7886038385612446</v>
      </c>
      <c r="G90" s="1">
        <f t="shared" si="9"/>
        <v>4.1443109295930799E-4</v>
      </c>
      <c r="H90" s="1">
        <f t="shared" si="6"/>
        <v>4.0679429871960315E-5</v>
      </c>
      <c r="I90">
        <f>IF($F$11&lt;=D90, IF(D90&lt;=$A$15,D90-$F$11,$C$11),0)</f>
        <v>60</v>
      </c>
      <c r="J90">
        <f t="shared" si="7"/>
        <v>3</v>
      </c>
      <c r="K90" s="5">
        <f>IF(D90&lt;$F$11,H90,0)</f>
        <v>0</v>
      </c>
      <c r="L90">
        <f>IF(D90&lt;$A$15,$D$11,$D$11*(1-$H$11))</f>
        <v>85</v>
      </c>
      <c r="M90">
        <f t="shared" si="8"/>
        <v>1</v>
      </c>
      <c r="N90">
        <f>IF(SUM(I90:J90)&lt;=($G$11/60*$F$11/($E$11/60)),1,0)</f>
        <v>0</v>
      </c>
    </row>
    <row r="91" spans="4:14" x14ac:dyDescent="0.2">
      <c r="D91">
        <f t="shared" si="10"/>
        <v>68</v>
      </c>
      <c r="E91" s="1">
        <f>IF($H$11=1,IF(D91&lt;=$A$15, E90+LN($D$11)-LN(60/$E$11)-LN(MIN(D91,$F$11)), E90-LN(60/$E$11)-LN(MIN(D91,$F$11))), IF(D91&lt;=$A$15, E90+LN($D$11)-LN(60/$E$11)-LN(MIN(D91,$F$11)), E90+LN($D$11)+LN(1-$H$11)-LN(60/$E$11)-LN(MIN(D91,$F$11))))</f>
        <v>-5.9082679643397054</v>
      </c>
      <c r="F91" s="1">
        <f t="shared" si="11"/>
        <v>-7.910300773538764</v>
      </c>
      <c r="G91" s="1">
        <f t="shared" si="9"/>
        <v>3.6694419689105404E-4</v>
      </c>
      <c r="H91" s="1">
        <f t="shared" si="6"/>
        <v>3.601824519913154E-5</v>
      </c>
      <c r="I91">
        <f>IF($F$11&lt;=D91, IF(D91&lt;=$A$15,D91-$F$11,$C$11),0)</f>
        <v>60</v>
      </c>
      <c r="J91">
        <f t="shared" si="7"/>
        <v>4</v>
      </c>
      <c r="K91" s="5">
        <f>IF(D91&lt;$F$11,H91,0)</f>
        <v>0</v>
      </c>
      <c r="L91">
        <f>IF(D91&lt;$A$15,$D$11,$D$11*(1-$H$11))</f>
        <v>85</v>
      </c>
      <c r="M91">
        <f t="shared" si="8"/>
        <v>1</v>
      </c>
      <c r="N91">
        <f>IF(SUM(I91:J91)&lt;=($G$11/60*$F$11/($E$11/60)),1,0)</f>
        <v>0</v>
      </c>
    </row>
    <row r="92" spans="4:14" x14ac:dyDescent="0.2">
      <c r="D92">
        <f t="shared" si="10"/>
        <v>69</v>
      </c>
      <c r="E92" s="1">
        <f>IF($H$11=1,IF(D92&lt;=$A$15, E91+LN($D$11)-LN(60/$E$11)-LN(MIN(D92,$F$11)), E91-LN(60/$E$11)-LN(MIN(D92,$F$11))), IF(D92&lt;=$A$15, E91+LN($D$11)-LN(60/$E$11)-LN(MIN(D92,$F$11)), E91+LN($D$11)+LN(1-$H$11)-LN(60/$E$11)-LN(MIN(D92,$F$11))))</f>
        <v>-6.0299648993172248</v>
      </c>
      <c r="F92" s="1">
        <f t="shared" si="11"/>
        <v>-8.0319977085162826</v>
      </c>
      <c r="G92" s="1">
        <f t="shared" si="9"/>
        <v>3.248985076639545E-4</v>
      </c>
      <c r="H92" s="1">
        <f t="shared" si="6"/>
        <v>3.1891154603397755E-5</v>
      </c>
      <c r="I92">
        <f>IF($F$11&lt;=D92, IF(D92&lt;=$A$15,D92-$F$11,$C$11),0)</f>
        <v>60</v>
      </c>
      <c r="J92">
        <f t="shared" si="7"/>
        <v>5</v>
      </c>
      <c r="K92" s="5">
        <f>IF(D92&lt;$F$11,H92,0)</f>
        <v>0</v>
      </c>
      <c r="L92">
        <f>IF(D92&lt;$A$15,$D$11,$D$11*(1-$H$11))</f>
        <v>85</v>
      </c>
      <c r="M92">
        <f t="shared" si="8"/>
        <v>1</v>
      </c>
      <c r="N92">
        <f>IF(SUM(I92:J92)&lt;=($G$11/60*$F$11/($E$11/60)),1,0)</f>
        <v>0</v>
      </c>
    </row>
    <row r="93" spans="4:14" x14ac:dyDescent="0.2">
      <c r="D93">
        <f t="shared" si="10"/>
        <v>70</v>
      </c>
      <c r="E93" s="1">
        <f>IF($H$11=1,IF(D93&lt;=$A$15, E92+LN($D$11)-LN(60/$E$11)-LN(MIN(D93,$F$11)), E92-LN(60/$E$11)-LN(MIN(D93,$F$11))), IF(D93&lt;=$A$15, E92+LN($D$11)-LN(60/$E$11)-LN(MIN(D93,$F$11)), E92+LN($D$11)+LN(1-$H$11)-LN(60/$E$11)-LN(MIN(D93,$F$11))))</f>
        <v>-6.1516618342947442</v>
      </c>
      <c r="F93" s="1">
        <f t="shared" si="11"/>
        <v>-8.1536946434938038</v>
      </c>
      <c r="G93" s="1">
        <f t="shared" si="9"/>
        <v>2.8767055366079263E-4</v>
      </c>
      <c r="H93" s="1">
        <f t="shared" si="6"/>
        <v>2.8236959805091723E-5</v>
      </c>
      <c r="I93">
        <f>IF($F$11&lt;=D93, IF(D93&lt;=$A$15,D93-$F$11,$C$11),0)</f>
        <v>60</v>
      </c>
      <c r="J93">
        <f t="shared" si="7"/>
        <v>6</v>
      </c>
      <c r="K93" s="5">
        <f>IF(D93&lt;$F$11,H93,0)</f>
        <v>0</v>
      </c>
      <c r="L93">
        <f>IF(D93&lt;$A$15,$D$11,$D$11*(1-$H$11))</f>
        <v>85</v>
      </c>
      <c r="M93">
        <f t="shared" si="8"/>
        <v>1</v>
      </c>
      <c r="N93">
        <f>IF(SUM(I93:J93)&lt;=($G$11/60*$F$11/($E$11/60)),1,0)</f>
        <v>0</v>
      </c>
    </row>
    <row r="94" spans="4:14" x14ac:dyDescent="0.2">
      <c r="D94">
        <f t="shared" si="10"/>
        <v>71</v>
      </c>
      <c r="E94" s="1">
        <f>IF($H$11=1,IF(D94&lt;=$A$15, E93+LN($D$11)-LN(60/$E$11)-LN(MIN(D94,$F$11)), E93-LN(60/$E$11)-LN(MIN(D94,$F$11))), IF(D94&lt;=$A$15, E93+LN($D$11)-LN(60/$E$11)-LN(MIN(D94,$F$11)), E93+LN($D$11)+LN(1-$H$11)-LN(60/$E$11)-LN(MIN(D94,$F$11))))</f>
        <v>-6.2733587692722637</v>
      </c>
      <c r="F94" s="1">
        <f t="shared" si="11"/>
        <v>-8.2753915784713215</v>
      </c>
      <c r="G94" s="1">
        <f t="shared" si="9"/>
        <v>2.5470830272049405E-4</v>
      </c>
      <c r="H94" s="1">
        <f t="shared" si="6"/>
        <v>2.5001474827425019E-5</v>
      </c>
      <c r="I94">
        <f>IF($F$11&lt;=D94, IF(D94&lt;=$A$15,D94-$F$11,$C$11),0)</f>
        <v>60</v>
      </c>
      <c r="J94">
        <f t="shared" si="7"/>
        <v>7</v>
      </c>
      <c r="K94" s="5">
        <f>IF(D94&lt;$F$11,H94,0)</f>
        <v>0</v>
      </c>
      <c r="L94">
        <f>IF(D94&lt;$A$15,$D$11,$D$11*(1-$H$11))</f>
        <v>85</v>
      </c>
      <c r="M94">
        <f t="shared" si="8"/>
        <v>1</v>
      </c>
      <c r="N94">
        <f>IF(SUM(I94:J94)&lt;=($G$11/60*$F$11/($E$11/60)),1,0)</f>
        <v>0</v>
      </c>
    </row>
    <row r="95" spans="4:14" x14ac:dyDescent="0.2">
      <c r="D95">
        <f t="shared" si="10"/>
        <v>72</v>
      </c>
      <c r="E95" s="1">
        <f>IF($H$11=1,IF(D95&lt;=$A$15, E94+LN($D$11)-LN(60/$E$11)-LN(MIN(D95,$F$11)), E94-LN(60/$E$11)-LN(MIN(D95,$F$11))), IF(D95&lt;=$A$15, E94+LN($D$11)-LN(60/$E$11)-LN(MIN(D95,$F$11)), E94+LN($D$11)+LN(1-$H$11)-LN(60/$E$11)-LN(MIN(D95,$F$11))))</f>
        <v>-6.3950557042497831</v>
      </c>
      <c r="F95" s="1">
        <f t="shared" si="11"/>
        <v>-8.3970885134488427</v>
      </c>
      <c r="G95" s="1">
        <f t="shared" si="9"/>
        <v>2.2552297636710378E-4</v>
      </c>
      <c r="H95" s="1">
        <f t="shared" si="6"/>
        <v>2.2136722503449205E-5</v>
      </c>
      <c r="I95">
        <f>IF($F$11&lt;=D95, IF(D95&lt;=$A$15,D95-$F$11,$C$11),0)</f>
        <v>60</v>
      </c>
      <c r="J95">
        <f t="shared" si="7"/>
        <v>8</v>
      </c>
      <c r="K95" s="5">
        <f>IF(D95&lt;$F$11,H95,0)</f>
        <v>0</v>
      </c>
      <c r="L95">
        <f>IF(D95&lt;$A$15,$D$11,$D$11*(1-$H$11))</f>
        <v>85</v>
      </c>
      <c r="M95">
        <f t="shared" si="8"/>
        <v>1</v>
      </c>
      <c r="N95">
        <f>IF(SUM(I95:J95)&lt;=($G$11/60*$F$11/($E$11/60)),1,0)</f>
        <v>0</v>
      </c>
    </row>
    <row r="96" spans="4:14" x14ac:dyDescent="0.2">
      <c r="D96">
        <f t="shared" si="10"/>
        <v>73</v>
      </c>
      <c r="E96" s="1">
        <f>IF($H$11=1,IF(D96&lt;=$A$15, E95+LN($D$11)-LN(60/$E$11)-LN(MIN(D96,$F$11)), E95-LN(60/$E$11)-LN(MIN(D96,$F$11))), IF(D96&lt;=$A$15, E95+LN($D$11)-LN(60/$E$11)-LN(MIN(D96,$F$11)), E95+LN($D$11)+LN(1-$H$11)-LN(60/$E$11)-LN(MIN(D96,$F$11))))</f>
        <v>-6.5167526392273025</v>
      </c>
      <c r="F96" s="1">
        <f t="shared" si="11"/>
        <v>-8.5187854484263603</v>
      </c>
      <c r="G96" s="1">
        <f t="shared" si="9"/>
        <v>1.9968180199170688E-4</v>
      </c>
      <c r="H96" s="1">
        <f t="shared" si="6"/>
        <v>1.9600223049929023E-5</v>
      </c>
      <c r="I96">
        <f>IF($F$11&lt;=D96, IF(D96&lt;=$A$15,D96-$F$11,$C$11),0)</f>
        <v>60</v>
      </c>
      <c r="J96">
        <f t="shared" si="7"/>
        <v>9</v>
      </c>
      <c r="K96" s="5">
        <f>IF(D96&lt;$F$11,H96,0)</f>
        <v>0</v>
      </c>
      <c r="L96">
        <f>IF(D96&lt;$A$15,$D$11,$D$11*(1-$H$11))</f>
        <v>85</v>
      </c>
      <c r="M96">
        <f t="shared" si="8"/>
        <v>1</v>
      </c>
      <c r="N96">
        <f>IF(SUM(I96:J96)&lt;=($G$11/60*$F$11/($E$11/60)),1,0)</f>
        <v>0</v>
      </c>
    </row>
    <row r="97" spans="4:14" x14ac:dyDescent="0.2">
      <c r="D97">
        <f t="shared" si="10"/>
        <v>74</v>
      </c>
      <c r="E97" s="1">
        <f>IF($H$11=1,IF(D97&lt;=$A$15, E96+LN($D$11)-LN(60/$E$11)-LN(MIN(D97,$F$11)), E96-LN(60/$E$11)-LN(MIN(D97,$F$11))), IF(D97&lt;=$A$15, E96+LN($D$11)-LN(60/$E$11)-LN(MIN(D97,$F$11)), E96+LN($D$11)+LN(1-$H$11)-LN(60/$E$11)-LN(MIN(D97,$F$11))))</f>
        <v>-6.638449574204822</v>
      </c>
      <c r="F97" s="1">
        <f t="shared" si="11"/>
        <v>-8.6404823834038815</v>
      </c>
      <c r="G97" s="1">
        <f t="shared" si="9"/>
        <v>1.7680159551349022E-4</v>
      </c>
      <c r="H97" s="1">
        <f t="shared" si="6"/>
        <v>1.7354364158791297E-5</v>
      </c>
      <c r="I97">
        <f>IF($F$11&lt;=D97, IF(D97&lt;=$A$15,D97-$F$11,$C$11),0)</f>
        <v>60</v>
      </c>
      <c r="J97">
        <f t="shared" si="7"/>
        <v>10</v>
      </c>
      <c r="K97" s="5">
        <f>IF(D97&lt;$F$11,H97,0)</f>
        <v>0</v>
      </c>
      <c r="L97">
        <f>IF(D97&lt;$A$15,$D$11,$D$11*(1-$H$11))</f>
        <v>85</v>
      </c>
      <c r="M97">
        <f t="shared" si="8"/>
        <v>1</v>
      </c>
      <c r="N97">
        <f>IF(SUM(I97:J97)&lt;=($G$11/60*$F$11/($E$11/60)),1,0)</f>
        <v>0</v>
      </c>
    </row>
    <row r="98" spans="4:14" x14ac:dyDescent="0.2">
      <c r="D98">
        <f t="shared" si="10"/>
        <v>75</v>
      </c>
      <c r="E98" s="1">
        <f>IF($H$11=1,IF(D98&lt;=$A$15, E97+LN($D$11)-LN(60/$E$11)-LN(MIN(D98,$F$11)), E97-LN(60/$E$11)-LN(MIN(D98,$F$11))), IF(D98&lt;=$A$15, E97+LN($D$11)-LN(60/$E$11)-LN(MIN(D98,$F$11)), E97+LN($D$11)+LN(1-$H$11)-LN(60/$E$11)-LN(MIN(D98,$F$11))))</f>
        <v>-6.7601465091823414</v>
      </c>
      <c r="F98" s="1">
        <f t="shared" si="11"/>
        <v>-8.7621793183813992</v>
      </c>
      <c r="G98" s="1">
        <f t="shared" si="9"/>
        <v>1.5654307936090314E-4</v>
      </c>
      <c r="H98" s="1">
        <f t="shared" si="6"/>
        <v>1.5365843265596493E-5</v>
      </c>
      <c r="I98">
        <f>IF($F$11&lt;=D98, IF(D98&lt;=$A$15,D98-$F$11,$C$11),0)</f>
        <v>60</v>
      </c>
      <c r="J98">
        <f t="shared" si="7"/>
        <v>11</v>
      </c>
      <c r="K98" s="5">
        <f>IF(D98&lt;$F$11,H98,0)</f>
        <v>0</v>
      </c>
      <c r="L98">
        <f>IF(D98&lt;$A$15,$D$11,$D$11*(1-$H$11))</f>
        <v>85</v>
      </c>
      <c r="M98">
        <f t="shared" si="8"/>
        <v>1</v>
      </c>
      <c r="N98">
        <f>IF(SUM(I98:J98)&lt;=($G$11/60*$F$11/($E$11/60)),1,0)</f>
        <v>0</v>
      </c>
    </row>
    <row r="99" spans="4:14" x14ac:dyDescent="0.2">
      <c r="D99">
        <f t="shared" si="10"/>
        <v>76</v>
      </c>
      <c r="E99" s="1">
        <f>IF($H$11=1,IF(D99&lt;=$A$15, E98+LN($D$11)-LN(60/$E$11)-LN(MIN(D99,$F$11)), E98-LN(60/$E$11)-LN(MIN(D99,$F$11))), IF(D99&lt;=$A$15, E98+LN($D$11)-LN(60/$E$11)-LN(MIN(D99,$F$11)), E98+LN($D$11)+LN(1-$H$11)-LN(60/$E$11)-LN(MIN(D99,$F$11))))</f>
        <v>-6.8818434441598608</v>
      </c>
      <c r="F99" s="1">
        <f t="shared" si="11"/>
        <v>-8.8838762533589204</v>
      </c>
      <c r="G99" s="1">
        <f t="shared" si="9"/>
        <v>1.3860585151746611E-4</v>
      </c>
      <c r="H99" s="1">
        <f t="shared" si="6"/>
        <v>1.3605173724746876E-5</v>
      </c>
      <c r="I99">
        <f>IF($F$11&lt;=D99, IF(D99&lt;=$A$15,D99-$F$11,$C$11),0)</f>
        <v>60</v>
      </c>
      <c r="J99">
        <f t="shared" si="7"/>
        <v>12</v>
      </c>
      <c r="K99" s="5">
        <f>IF(D99&lt;$F$11,H99,0)</f>
        <v>0</v>
      </c>
      <c r="L99">
        <f>IF(D99&lt;$A$15,$D$11,$D$11*(1-$H$11))</f>
        <v>85</v>
      </c>
      <c r="M99">
        <f t="shared" si="8"/>
        <v>1</v>
      </c>
      <c r="N99">
        <f>IF(SUM(I99:J99)&lt;=($G$11/60*$F$11/($E$11/60)),1,0)</f>
        <v>0</v>
      </c>
    </row>
    <row r="100" spans="4:14" x14ac:dyDescent="0.2">
      <c r="D100">
        <f t="shared" si="10"/>
        <v>77</v>
      </c>
      <c r="E100" s="1">
        <f>IF($H$11=1,IF(D100&lt;=$A$15, E99+LN($D$11)-LN(60/$E$11)-LN(MIN(D100,$F$11)), E99-LN(60/$E$11)-LN(MIN(D100,$F$11))), IF(D100&lt;=$A$15, E99+LN($D$11)-LN(60/$E$11)-LN(MIN(D100,$F$11)), E99+LN($D$11)+LN(1-$H$11)-LN(60/$E$11)-LN(MIN(D100,$F$11))))</f>
        <v>-7.0035403791373803</v>
      </c>
      <c r="F100" s="1">
        <f t="shared" si="11"/>
        <v>-9.0055731883364381</v>
      </c>
      <c r="G100" s="1">
        <f t="shared" si="9"/>
        <v>1.2272393103109004E-4</v>
      </c>
      <c r="H100" s="1">
        <f t="shared" si="6"/>
        <v>1.2046247568786322E-5</v>
      </c>
      <c r="I100">
        <f>IF($F$11&lt;=D100, IF(D100&lt;=$A$15,D100-$F$11,$C$11),0)</f>
        <v>60</v>
      </c>
      <c r="J100">
        <f t="shared" si="7"/>
        <v>13</v>
      </c>
      <c r="K100" s="5">
        <f>IF(D100&lt;$F$11,H100,0)</f>
        <v>0</v>
      </c>
      <c r="L100">
        <f>IF(D100&lt;$A$15,$D$11,$D$11*(1-$H$11))</f>
        <v>85</v>
      </c>
      <c r="M100">
        <f t="shared" si="8"/>
        <v>1</v>
      </c>
      <c r="N100">
        <f>IF(SUM(I100:J100)&lt;=($G$11/60*$F$11/($E$11/60)),1,0)</f>
        <v>0</v>
      </c>
    </row>
    <row r="101" spans="4:14" x14ac:dyDescent="0.2">
      <c r="D101">
        <f t="shared" si="10"/>
        <v>78</v>
      </c>
      <c r="E101" s="1">
        <f>IF($H$11=1,IF(D101&lt;=$A$15, E100+LN($D$11)-LN(60/$E$11)-LN(MIN(D101,$F$11)), E100-LN(60/$E$11)-LN(MIN(D101,$F$11))), IF(D101&lt;=$A$15, E100+LN($D$11)-LN(60/$E$11)-LN(MIN(D101,$F$11)), E100+LN($D$11)+LN(1-$H$11)-LN(60/$E$11)-LN(MIN(D101,$F$11))))</f>
        <v>-7.1252373141148997</v>
      </c>
      <c r="F101" s="1">
        <f t="shared" si="11"/>
        <v>-9.1272701233139593</v>
      </c>
      <c r="G101" s="1">
        <f t="shared" si="9"/>
        <v>1.086618139337775E-4</v>
      </c>
      <c r="H101" s="1">
        <f t="shared" si="6"/>
        <v>1.0665948368196208E-5</v>
      </c>
      <c r="I101">
        <f>IF($F$11&lt;=D101, IF(D101&lt;=$A$15,D101-$F$11,$C$11),0)</f>
        <v>60</v>
      </c>
      <c r="J101">
        <f t="shared" si="7"/>
        <v>14</v>
      </c>
      <c r="K101" s="5">
        <f>IF(D101&lt;$F$11,H101,0)</f>
        <v>0</v>
      </c>
      <c r="L101">
        <f>IF(D101&lt;$A$15,$D$11,$D$11*(1-$H$11))</f>
        <v>85</v>
      </c>
      <c r="M101">
        <f t="shared" si="8"/>
        <v>1</v>
      </c>
      <c r="N101">
        <f>IF(SUM(I101:J101)&lt;=($G$11/60*$F$11/($E$11/60)),1,0)</f>
        <v>0</v>
      </c>
    </row>
    <row r="102" spans="4:14" x14ac:dyDescent="0.2">
      <c r="D102">
        <f t="shared" si="10"/>
        <v>79</v>
      </c>
      <c r="E102" s="1">
        <f>IF($H$11=1,IF(D102&lt;=$A$15, E101+LN($D$11)-LN(60/$E$11)-LN(MIN(D102,$F$11)), E101-LN(60/$E$11)-LN(MIN(D102,$F$11))), IF(D102&lt;=$A$15, E101+LN($D$11)-LN(60/$E$11)-LN(MIN(D102,$F$11)), E101+LN($D$11)+LN(1-$H$11)-LN(60/$E$11)-LN(MIN(D102,$F$11))))</f>
        <v>-7.2469342490924191</v>
      </c>
      <c r="F102" s="1">
        <f t="shared" si="11"/>
        <v>-9.2489670582914769</v>
      </c>
      <c r="G102" s="1">
        <f t="shared" si="9"/>
        <v>9.6210981087199032E-5</v>
      </c>
      <c r="H102" s="1">
        <f t="shared" si="6"/>
        <v>9.4438084510070799E-6</v>
      </c>
      <c r="I102">
        <f>IF($F$11&lt;=D102, IF(D102&lt;=$A$15,D102-$F$11,$C$11),0)</f>
        <v>60</v>
      </c>
      <c r="J102">
        <f t="shared" si="7"/>
        <v>15</v>
      </c>
      <c r="K102" s="5">
        <f>IF(D102&lt;$F$11,H102,0)</f>
        <v>0</v>
      </c>
      <c r="L102">
        <f>IF(D102&lt;$A$15,$D$11,$D$11*(1-$H$11))</f>
        <v>85</v>
      </c>
      <c r="M102">
        <f t="shared" si="8"/>
        <v>1</v>
      </c>
      <c r="N102">
        <f>IF(SUM(I102:J102)&lt;=($G$11/60*$F$11/($E$11/60)),1,0)</f>
        <v>0</v>
      </c>
    </row>
    <row r="103" spans="4:14" x14ac:dyDescent="0.2">
      <c r="D103">
        <f t="shared" si="10"/>
        <v>80</v>
      </c>
      <c r="E103" s="1">
        <f>IF($H$11=1,IF(D103&lt;=$A$15, E102+LN($D$11)-LN(60/$E$11)-LN(MIN(D103,$F$11)), E102-LN(60/$E$11)-LN(MIN(D103,$F$11))), IF(D103&lt;=$A$15, E102+LN($D$11)-LN(60/$E$11)-LN(MIN(D103,$F$11)), E102+LN($D$11)+LN(1-$H$11)-LN(60/$E$11)-LN(MIN(D103,$F$11))))</f>
        <v>-7.3686311840699386</v>
      </c>
      <c r="F103" s="1">
        <f t="shared" si="11"/>
        <v>-9.3706639932689981</v>
      </c>
      <c r="G103" s="1">
        <f t="shared" si="9"/>
        <v>8.518680617095735E-5</v>
      </c>
      <c r="H103" s="1">
        <f t="shared" si="6"/>
        <v>8.361705399329172E-6</v>
      </c>
      <c r="I103">
        <f>IF($F$11&lt;=D103, IF(D103&lt;=$A$15,D103-$F$11,$C$11),0)</f>
        <v>60</v>
      </c>
      <c r="J103">
        <f t="shared" si="7"/>
        <v>16</v>
      </c>
      <c r="K103" s="5">
        <f>IF(D103&lt;$F$11,H103,0)</f>
        <v>0</v>
      </c>
      <c r="L103">
        <f>IF(D103&lt;$A$15,$D$11,$D$11*(1-$H$11))</f>
        <v>85</v>
      </c>
      <c r="M103">
        <f t="shared" si="8"/>
        <v>1</v>
      </c>
      <c r="N103">
        <f>IF(SUM(I103:J103)&lt;=($G$11/60*$F$11/($E$11/60)),1,0)</f>
        <v>0</v>
      </c>
    </row>
    <row r="104" spans="4:14" x14ac:dyDescent="0.2">
      <c r="D104">
        <f t="shared" si="10"/>
        <v>81</v>
      </c>
      <c r="E104" s="1">
        <f>IF($H$11=1,IF(D104&lt;=$A$15, E103+LN($D$11)-LN(60/$E$11)-LN(MIN(D104,$F$11)), E103-LN(60/$E$11)-LN(MIN(D104,$F$11))), IF(D104&lt;=$A$15, E103+LN($D$11)-LN(60/$E$11)-LN(MIN(D104,$F$11)), E103+LN($D$11)+LN(1-$H$11)-LN(60/$E$11)-LN(MIN(D104,$F$11))))</f>
        <v>-7.490328119047458</v>
      </c>
      <c r="F104" s="1">
        <f t="shared" si="11"/>
        <v>-9.4923609282465158</v>
      </c>
      <c r="G104" s="1">
        <f t="shared" si="9"/>
        <v>7.5425817963868652E-5</v>
      </c>
      <c r="H104" s="1">
        <f t="shared" si="6"/>
        <v>7.4035933223227211E-6</v>
      </c>
      <c r="I104">
        <f>IF($F$11&lt;=D104, IF(D104&lt;=$A$15,D104-$F$11,$C$11),0)</f>
        <v>60</v>
      </c>
      <c r="J104">
        <f t="shared" si="7"/>
        <v>17</v>
      </c>
      <c r="K104" s="5">
        <f>IF(D104&lt;$F$11,H104,0)</f>
        <v>0</v>
      </c>
      <c r="L104">
        <f>IF(D104&lt;$A$15,$D$11,$D$11*(1-$H$11))</f>
        <v>85</v>
      </c>
      <c r="M104">
        <f t="shared" si="8"/>
        <v>1</v>
      </c>
      <c r="N104">
        <f>IF(SUM(I104:J104)&lt;=($G$11/60*$F$11/($E$11/60)),1,0)</f>
        <v>0</v>
      </c>
    </row>
    <row r="105" spans="4:14" x14ac:dyDescent="0.2">
      <c r="D105">
        <f t="shared" si="10"/>
        <v>82</v>
      </c>
      <c r="E105" s="1">
        <f>IF($H$11=1,IF(D105&lt;=$A$15, E104+LN($D$11)-LN(60/$E$11)-LN(MIN(D105,$F$11)), E104-LN(60/$E$11)-LN(MIN(D105,$F$11))), IF(D105&lt;=$A$15, E104+LN($D$11)-LN(60/$E$11)-LN(MIN(D105,$F$11)), E104+LN($D$11)+LN(1-$H$11)-LN(60/$E$11)-LN(MIN(D105,$F$11))))</f>
        <v>-7.6120250540249774</v>
      </c>
      <c r="F105" s="1">
        <f t="shared" si="11"/>
        <v>-9.614057863224037</v>
      </c>
      <c r="G105" s="1">
        <f t="shared" si="9"/>
        <v>6.6783276322175279E-5</v>
      </c>
      <c r="H105" s="1">
        <f t="shared" si="6"/>
        <v>6.5552649208065672E-6</v>
      </c>
      <c r="I105">
        <f>IF($F$11&lt;=D105, IF(D105&lt;=$A$15,D105-$F$11,$C$11),0)</f>
        <v>60</v>
      </c>
      <c r="J105">
        <f t="shared" si="7"/>
        <v>18</v>
      </c>
      <c r="K105" s="5">
        <f>IF(D105&lt;$F$11,H105,0)</f>
        <v>0</v>
      </c>
      <c r="L105">
        <f>IF(D105&lt;$A$15,$D$11,$D$11*(1-$H$11))</f>
        <v>85</v>
      </c>
      <c r="M105">
        <f t="shared" si="8"/>
        <v>1</v>
      </c>
      <c r="N105">
        <f>IF(SUM(I105:J105)&lt;=($G$11/60*$F$11/($E$11/60)),1,0)</f>
        <v>0</v>
      </c>
    </row>
    <row r="106" spans="4:14" x14ac:dyDescent="0.2">
      <c r="D106">
        <f t="shared" si="10"/>
        <v>83</v>
      </c>
      <c r="E106" s="1">
        <f>IF($H$11=1,IF(D106&lt;=$A$15, E105+LN($D$11)-LN(60/$E$11)-LN(MIN(D106,$F$11)), E105-LN(60/$E$11)-LN(MIN(D106,$F$11))), IF(D106&lt;=$A$15, E105+LN($D$11)-LN(60/$E$11)-LN(MIN(D106,$F$11)), E105+LN($D$11)+LN(1-$H$11)-LN(60/$E$11)-LN(MIN(D106,$F$11))))</f>
        <v>-7.7337219890024969</v>
      </c>
      <c r="F106" s="1">
        <f t="shared" si="11"/>
        <v>-9.7357547982015546</v>
      </c>
      <c r="G106" s="1">
        <f t="shared" si="9"/>
        <v>5.913102591025948E-5</v>
      </c>
      <c r="H106" s="1">
        <f t="shared" si="6"/>
        <v>5.8041408152974928E-6</v>
      </c>
      <c r="I106">
        <f>IF($F$11&lt;=D106, IF(D106&lt;=$A$15,D106-$F$11,$C$11),0)</f>
        <v>60</v>
      </c>
      <c r="J106">
        <f t="shared" si="7"/>
        <v>19</v>
      </c>
      <c r="K106" s="5">
        <f>IF(D106&lt;$F$11,H106,0)</f>
        <v>0</v>
      </c>
      <c r="L106">
        <f>IF(D106&lt;$A$15,$D$11,$D$11*(1-$H$11))</f>
        <v>85</v>
      </c>
      <c r="M106">
        <f t="shared" si="8"/>
        <v>1</v>
      </c>
      <c r="N106">
        <f>IF(SUM(I106:J106)&lt;=($G$11/60*$F$11/($E$11/60)),1,0)</f>
        <v>0</v>
      </c>
    </row>
    <row r="107" spans="4:14" x14ac:dyDescent="0.2">
      <c r="D107">
        <f t="shared" si="10"/>
        <v>84</v>
      </c>
      <c r="E107" s="1">
        <f>IF($H$11=1,IF(D107&lt;=$A$15, E106+LN($D$11)-LN(60/$E$11)-LN(MIN(D107,$F$11)), E106-LN(60/$E$11)-LN(MIN(D107,$F$11))), IF(D107&lt;=$A$15, E106+LN($D$11)-LN(60/$E$11)-LN(MIN(D107,$F$11)), E106+LN($D$11)+LN(1-$H$11)-LN(60/$E$11)-LN(MIN(D107,$F$11))))</f>
        <v>-7.8554189239800163</v>
      </c>
      <c r="F107" s="1">
        <f t="shared" si="11"/>
        <v>-9.8574517331790759</v>
      </c>
      <c r="G107" s="1">
        <f t="shared" si="9"/>
        <v>5.2355595858042177E-5</v>
      </c>
      <c r="H107" s="1">
        <f t="shared" si="6"/>
        <v>5.1390830135446479E-6</v>
      </c>
      <c r="I107">
        <f>IF($F$11&lt;=D107, IF(D107&lt;=$A$15,D107-$F$11,$C$11),0)</f>
        <v>60</v>
      </c>
      <c r="J107">
        <f t="shared" si="7"/>
        <v>20</v>
      </c>
      <c r="K107" s="5">
        <f>IF(D107&lt;$F$11,H107,0)</f>
        <v>0</v>
      </c>
      <c r="L107">
        <f>IF(D107&lt;$A$15,$D$11,$D$11*(1-$H$11))</f>
        <v>85</v>
      </c>
      <c r="M107">
        <f t="shared" si="8"/>
        <v>1</v>
      </c>
      <c r="N107">
        <f>IF(SUM(I107:J107)&lt;=($G$11/60*$F$11/($E$11/60)),1,0)</f>
        <v>0</v>
      </c>
    </row>
    <row r="108" spans="4:14" x14ac:dyDescent="0.2">
      <c r="D108">
        <f t="shared" si="10"/>
        <v>85</v>
      </c>
      <c r="E108" s="1">
        <f>IF($H$11=1,IF(D108&lt;=$A$15, E107+LN($D$11)-LN(60/$E$11)-LN(MIN(D108,$F$11)), E107-LN(60/$E$11)-LN(MIN(D108,$F$11))), IF(D108&lt;=$A$15, E107+LN($D$11)-LN(60/$E$11)-LN(MIN(D108,$F$11)), E107+LN($D$11)+LN(1-$H$11)-LN(60/$E$11)-LN(MIN(D108,$F$11))))</f>
        <v>-7.9771158589575357</v>
      </c>
      <c r="F108" s="1">
        <f t="shared" si="11"/>
        <v>-9.9791486681565935</v>
      </c>
      <c r="G108" s="1">
        <f t="shared" si="9"/>
        <v>4.6356517165974943E-5</v>
      </c>
      <c r="H108" s="1">
        <f t="shared" si="6"/>
        <v>4.5502297515760003E-6</v>
      </c>
      <c r="I108">
        <f>IF($F$11&lt;=D108, IF(D108&lt;=$A$15,D108-$F$11,$C$11),0)</f>
        <v>60</v>
      </c>
      <c r="J108">
        <f t="shared" si="7"/>
        <v>21</v>
      </c>
      <c r="K108" s="5">
        <f>IF(D108&lt;$F$11,H108,0)</f>
        <v>0</v>
      </c>
      <c r="L108">
        <f>IF(D108&lt;$A$15,$D$11,$D$11*(1-$H$11))</f>
        <v>85</v>
      </c>
      <c r="M108">
        <f t="shared" si="8"/>
        <v>1</v>
      </c>
      <c r="N108">
        <f>IF(SUM(I108:J108)&lt;=($G$11/60*$F$11/($E$11/60)),1,0)</f>
        <v>0</v>
      </c>
    </row>
    <row r="109" spans="4:14" x14ac:dyDescent="0.2">
      <c r="D109">
        <f t="shared" si="10"/>
        <v>86</v>
      </c>
      <c r="E109" s="1">
        <f>IF($H$11=1,IF(D109&lt;=$A$15, E108+LN($D$11)-LN(60/$E$11)-LN(MIN(D109,$F$11)), E108-LN(60/$E$11)-LN(MIN(D109,$F$11))), IF(D109&lt;=$A$15, E108+LN($D$11)-LN(60/$E$11)-LN(MIN(D109,$F$11)), E108+LN($D$11)+LN(1-$H$11)-LN(60/$E$11)-LN(MIN(D109,$F$11))))</f>
        <v>-8.0988127939350552</v>
      </c>
      <c r="F109" s="1">
        <f t="shared" si="11"/>
        <v>-10.100845603134115</v>
      </c>
      <c r="G109" s="1">
        <f t="shared" si="9"/>
        <v>4.1044832907373587E-5</v>
      </c>
      <c r="H109" s="1">
        <f t="shared" si="6"/>
        <v>4.0288492592079114E-6</v>
      </c>
      <c r="I109">
        <f>IF($F$11&lt;=D109, IF(D109&lt;=$A$15,D109-$F$11,$C$11),0)</f>
        <v>60</v>
      </c>
      <c r="J109">
        <f t="shared" si="7"/>
        <v>22</v>
      </c>
      <c r="K109" s="5">
        <f>IF(D109&lt;$F$11,H109,0)</f>
        <v>0</v>
      </c>
      <c r="L109">
        <f>IF(D109&lt;$A$15,$D$11,$D$11*(1-$H$11))</f>
        <v>85</v>
      </c>
      <c r="M109">
        <f t="shared" si="8"/>
        <v>1</v>
      </c>
      <c r="N109">
        <f>IF(SUM(I109:J109)&lt;=($G$11/60*$F$11/($E$11/60)),1,0)</f>
        <v>0</v>
      </c>
    </row>
    <row r="110" spans="4:14" x14ac:dyDescent="0.2">
      <c r="D110">
        <f t="shared" si="10"/>
        <v>87</v>
      </c>
      <c r="E110" s="1">
        <f>IF($H$11=1,IF(D110&lt;=$A$15, E109+LN($D$11)-LN(60/$E$11)-LN(MIN(D110,$F$11)), E109-LN(60/$E$11)-LN(MIN(D110,$F$11))), IF(D110&lt;=$A$15, E109+LN($D$11)-LN(60/$E$11)-LN(MIN(D110,$F$11)), E109+LN($D$11)+LN(1-$H$11)-LN(60/$E$11)-LN(MIN(D110,$F$11))))</f>
        <v>-8.2205097289125746</v>
      </c>
      <c r="F110" s="1">
        <f t="shared" si="11"/>
        <v>-10.222542538111632</v>
      </c>
      <c r="G110" s="1">
        <f t="shared" si="9"/>
        <v>3.6341779136737105E-5</v>
      </c>
      <c r="H110" s="1">
        <f t="shared" si="6"/>
        <v>3.5672102815903454E-6</v>
      </c>
      <c r="I110">
        <f>IF($F$11&lt;=D110, IF(D110&lt;=$A$15,D110-$F$11,$C$11),0)</f>
        <v>60</v>
      </c>
      <c r="J110">
        <f t="shared" si="7"/>
        <v>23</v>
      </c>
      <c r="K110" s="5">
        <f>IF(D110&lt;$F$11,H110,0)</f>
        <v>0</v>
      </c>
      <c r="L110">
        <f>IF(D110&lt;$A$15,$D$11,$D$11*(1-$H$11))</f>
        <v>85</v>
      </c>
      <c r="M110">
        <f t="shared" si="8"/>
        <v>1</v>
      </c>
      <c r="N110">
        <f>IF(SUM(I110:J110)&lt;=($G$11/60*$F$11/($E$11/60)),1,0)</f>
        <v>0</v>
      </c>
    </row>
    <row r="111" spans="4:14" x14ac:dyDescent="0.2">
      <c r="D111">
        <f t="shared" si="10"/>
        <v>88</v>
      </c>
      <c r="E111" s="1">
        <f>IF($H$11=1,IF(D111&lt;=$A$15, E110+LN($D$11)-LN(60/$E$11)-LN(MIN(D111,$F$11)), E110-LN(60/$E$11)-LN(MIN(D111,$F$11))), IF(D111&lt;=$A$15, E110+LN($D$11)-LN(60/$E$11)-LN(MIN(D111,$F$11)), E110+LN($D$11)+LN(1-$H$11)-LN(60/$E$11)-LN(MIN(D111,$F$11))))</f>
        <v>-8.342206663890094</v>
      </c>
      <c r="F111" s="1">
        <f t="shared" si="11"/>
        <v>-10.344239473089154</v>
      </c>
      <c r="G111" s="1">
        <f t="shared" si="9"/>
        <v>3.2177616943985936E-5</v>
      </c>
      <c r="H111" s="1">
        <f t="shared" si="6"/>
        <v>3.1584674368247809E-6</v>
      </c>
      <c r="I111">
        <f>IF($F$11&lt;=D111, IF(D111&lt;=$A$15,D111-$F$11,$C$11),0)</f>
        <v>60</v>
      </c>
      <c r="J111">
        <f t="shared" si="7"/>
        <v>24</v>
      </c>
      <c r="K111" s="5">
        <f>IF(D111&lt;$F$11,H111,0)</f>
        <v>0</v>
      </c>
      <c r="L111">
        <f>IF(D111&lt;$A$15,$D$11,$D$11*(1-$H$11))</f>
        <v>85</v>
      </c>
      <c r="M111">
        <f t="shared" si="8"/>
        <v>1</v>
      </c>
      <c r="N111">
        <f>IF(SUM(I111:J111)&lt;=($G$11/60*$F$11/($E$11/60)),1,0)</f>
        <v>0</v>
      </c>
    </row>
    <row r="112" spans="4:14" x14ac:dyDescent="0.2">
      <c r="D112">
        <f t="shared" si="10"/>
        <v>89</v>
      </c>
      <c r="E112" s="1">
        <f>IF($H$11=1,IF(D112&lt;=$A$15, E111+LN($D$11)-LN(60/$E$11)-LN(MIN(D112,$F$11)), E111-LN(60/$E$11)-LN(MIN(D112,$F$11))), IF(D112&lt;=$A$15, E111+LN($D$11)-LN(60/$E$11)-LN(MIN(D112,$F$11)), E111+LN($D$11)+LN(1-$H$11)-LN(60/$E$11)-LN(MIN(D112,$F$11))))</f>
        <v>-8.4639035988676135</v>
      </c>
      <c r="F112" s="1">
        <f t="shared" si="11"/>
        <v>-10.465936408066671</v>
      </c>
      <c r="G112" s="1">
        <f t="shared" si="9"/>
        <v>2.8490598335820939E-5</v>
      </c>
      <c r="H112" s="1">
        <f t="shared" si="6"/>
        <v>2.7965597096886135E-6</v>
      </c>
      <c r="I112">
        <f>IF($F$11&lt;=D112, IF(D112&lt;=$A$15,D112-$F$11,$C$11),0)</f>
        <v>60</v>
      </c>
      <c r="J112">
        <f t="shared" si="7"/>
        <v>25</v>
      </c>
      <c r="K112" s="5">
        <f>IF(D112&lt;$F$11,H112,0)</f>
        <v>0</v>
      </c>
      <c r="L112">
        <f>IF(D112&lt;$A$15,$D$11,$D$11*(1-$H$11))</f>
        <v>85</v>
      </c>
      <c r="M112">
        <f t="shared" si="8"/>
        <v>1</v>
      </c>
      <c r="N112">
        <f>IF(SUM(I112:J112)&lt;=($G$11/60*$F$11/($E$11/60)),1,0)</f>
        <v>0</v>
      </c>
    </row>
    <row r="113" spans="4:14" x14ac:dyDescent="0.2">
      <c r="D113">
        <f t="shared" si="10"/>
        <v>90</v>
      </c>
      <c r="E113" s="1">
        <f>IF($H$11=1,IF(D113&lt;=$A$15, E112+LN($D$11)-LN(60/$E$11)-LN(MIN(D113,$F$11)), E112-LN(60/$E$11)-LN(MIN(D113,$F$11))), IF(D113&lt;=$A$15, E112+LN($D$11)-LN(60/$E$11)-LN(MIN(D113,$F$11)), E112+LN($D$11)+LN(1-$H$11)-LN(60/$E$11)-LN(MIN(D113,$F$11))))</f>
        <v>-8.5856005338451329</v>
      </c>
      <c r="F113" s="1">
        <f t="shared" si="11"/>
        <v>-10.587633343044192</v>
      </c>
      <c r="G113" s="1">
        <f t="shared" si="9"/>
        <v>2.522605060984142E-5</v>
      </c>
      <c r="H113" s="1">
        <f t="shared" si="6"/>
        <v>2.4761205762867897E-6</v>
      </c>
      <c r="I113">
        <f>IF($F$11&lt;=D113, IF(D113&lt;=$A$15,D113-$F$11,$C$11),0)</f>
        <v>60</v>
      </c>
      <c r="J113">
        <f t="shared" si="7"/>
        <v>26</v>
      </c>
      <c r="K113" s="5">
        <f>IF(D113&lt;$F$11,H113,0)</f>
        <v>0</v>
      </c>
      <c r="L113">
        <f>IF(D113&lt;$A$15,$D$11,$D$11*(1-$H$11))</f>
        <v>85</v>
      </c>
      <c r="M113">
        <f t="shared" si="8"/>
        <v>1</v>
      </c>
      <c r="N113">
        <f>IF(SUM(I113:J113)&lt;=($G$11/60*$F$11/($E$11/60)),1,0)</f>
        <v>0</v>
      </c>
    </row>
    <row r="114" spans="4:14" x14ac:dyDescent="0.2">
      <c r="D114">
        <f t="shared" si="10"/>
        <v>91</v>
      </c>
      <c r="E114" s="1">
        <f>IF($H$11=1,IF(D114&lt;=$A$15, E113+LN($D$11)-LN(60/$E$11)-LN(MIN(D114,$F$11)), E113-LN(60/$E$11)-LN(MIN(D114,$F$11))), IF(D114&lt;=$A$15, E113+LN($D$11)-LN(60/$E$11)-LN(MIN(D114,$F$11)), E113+LN($D$11)+LN(1-$H$11)-LN(60/$E$11)-LN(MIN(D114,$F$11))))</f>
        <v>-8.7072974688226523</v>
      </c>
      <c r="F114" s="1">
        <f t="shared" si="11"/>
        <v>-10.70933027802171</v>
      </c>
      <c r="G114" s="1">
        <f t="shared" si="9"/>
        <v>2.2335565644130471E-5</v>
      </c>
      <c r="H114" s="1">
        <f t="shared" si="6"/>
        <v>2.1923984269205998E-6</v>
      </c>
      <c r="I114">
        <f>IF($F$11&lt;=D114, IF(D114&lt;=$A$15,D114-$F$11,$C$11),0)</f>
        <v>60</v>
      </c>
      <c r="J114">
        <f t="shared" si="7"/>
        <v>27</v>
      </c>
      <c r="K114" s="5">
        <f>IF(D114&lt;$F$11,H114,0)</f>
        <v>0</v>
      </c>
      <c r="L114">
        <f>IF(D114&lt;$A$15,$D$11,$D$11*(1-$H$11))</f>
        <v>85</v>
      </c>
      <c r="M114">
        <f t="shared" si="8"/>
        <v>1</v>
      </c>
      <c r="N114">
        <f>IF(SUM(I114:J114)&lt;=($G$11/60*$F$11/($E$11/60)),1,0)</f>
        <v>0</v>
      </c>
    </row>
    <row r="115" spans="4:14" x14ac:dyDescent="0.2">
      <c r="D115">
        <f t="shared" si="10"/>
        <v>92</v>
      </c>
      <c r="E115" s="1">
        <f>IF($H$11=1,IF(D115&lt;=$A$15, E114+LN($D$11)-LN(60/$E$11)-LN(MIN(D115,$F$11)), E114-LN(60/$E$11)-LN(MIN(D115,$F$11))), IF(D115&lt;=$A$15, E114+LN($D$11)-LN(60/$E$11)-LN(MIN(D115,$F$11)), E114+LN($D$11)+LN(1-$H$11)-LN(60/$E$11)-LN(MIN(D115,$F$11))))</f>
        <v>-8.8289944038001718</v>
      </c>
      <c r="F115" s="1">
        <f t="shared" si="11"/>
        <v>-10.831027212999231</v>
      </c>
      <c r="G115" s="1">
        <f t="shared" si="9"/>
        <v>1.9776282080740495E-5</v>
      </c>
      <c r="H115" s="1">
        <f t="shared" si="6"/>
        <v>1.9411861071692785E-6</v>
      </c>
      <c r="I115">
        <f>IF($F$11&lt;=D115, IF(D115&lt;=$A$15,D115-$F$11,$C$11),0)</f>
        <v>60</v>
      </c>
      <c r="J115">
        <f t="shared" si="7"/>
        <v>28</v>
      </c>
      <c r="K115" s="5">
        <f>IF(D115&lt;$F$11,H115,0)</f>
        <v>0</v>
      </c>
      <c r="L115">
        <f>IF(D115&lt;$A$15,$D$11,$D$11*(1-$H$11))</f>
        <v>85</v>
      </c>
      <c r="M115">
        <f t="shared" si="8"/>
        <v>1</v>
      </c>
      <c r="N115">
        <f>IF(SUM(I115:J115)&lt;=($G$11/60*$F$11/($E$11/60)),1,0)</f>
        <v>0</v>
      </c>
    </row>
    <row r="116" spans="4:14" x14ac:dyDescent="0.2">
      <c r="D116">
        <f t="shared" si="10"/>
        <v>93</v>
      </c>
      <c r="E116" s="1">
        <f>IF($H$11=1,IF(D116&lt;=$A$15, E115+LN($D$11)-LN(60/$E$11)-LN(MIN(D116,$F$11)), E115-LN(60/$E$11)-LN(MIN(D116,$F$11))), IF(D116&lt;=$A$15, E115+LN($D$11)-LN(60/$E$11)-LN(MIN(D116,$F$11)), E115+LN($D$11)+LN(1-$H$11)-LN(60/$E$11)-LN(MIN(D116,$F$11))))</f>
        <v>-8.9506913387776912</v>
      </c>
      <c r="F116" s="1">
        <f t="shared" si="11"/>
        <v>-10.952724147976749</v>
      </c>
      <c r="G116" s="1">
        <f t="shared" si="9"/>
        <v>1.7510249758989017E-5</v>
      </c>
      <c r="H116" s="1">
        <f t="shared" si="6"/>
        <v>1.7187585323894688E-6</v>
      </c>
      <c r="I116">
        <f>IF($F$11&lt;=D116, IF(D116&lt;=$A$15,D116-$F$11,$C$11),0)</f>
        <v>60</v>
      </c>
      <c r="J116">
        <f t="shared" si="7"/>
        <v>29</v>
      </c>
      <c r="K116" s="5">
        <f>IF(D116&lt;$F$11,H116,0)</f>
        <v>0</v>
      </c>
      <c r="L116">
        <f>IF(D116&lt;$A$15,$D$11,$D$11*(1-$H$11))</f>
        <v>85</v>
      </c>
      <c r="M116">
        <f t="shared" si="8"/>
        <v>1</v>
      </c>
      <c r="N116">
        <f>IF(SUM(I116:J116)&lt;=($G$11/60*$F$11/($E$11/60)),1,0)</f>
        <v>0</v>
      </c>
    </row>
    <row r="117" spans="4:14" x14ac:dyDescent="0.2">
      <c r="D117">
        <f t="shared" si="10"/>
        <v>94</v>
      </c>
      <c r="E117" s="1">
        <f>IF($H$11=1,IF(D117&lt;=$A$15, E116+LN($D$11)-LN(60/$E$11)-LN(MIN(D117,$F$11)), E116-LN(60/$E$11)-LN(MIN(D117,$F$11))), IF(D117&lt;=$A$15, E116+LN($D$11)-LN(60/$E$11)-LN(MIN(D117,$F$11)), E116+LN($D$11)+LN(1-$H$11)-LN(60/$E$11)-LN(MIN(D117,$F$11))))</f>
        <v>-9.0723882737552106</v>
      </c>
      <c r="F117" s="1">
        <f t="shared" si="11"/>
        <v>-11.07442108295427</v>
      </c>
      <c r="G117" s="1">
        <f t="shared" si="9"/>
        <v>1.5503866974104836E-5</v>
      </c>
      <c r="H117" s="1">
        <f t="shared" si="6"/>
        <v>1.5218174505531733E-6</v>
      </c>
      <c r="I117">
        <f>IF($F$11&lt;=D117, IF(D117&lt;=$A$15,D117-$F$11,$C$11),0)</f>
        <v>60</v>
      </c>
      <c r="J117">
        <f t="shared" si="7"/>
        <v>30</v>
      </c>
      <c r="K117" s="5">
        <f>IF(D117&lt;$F$11,H117,0)</f>
        <v>0</v>
      </c>
      <c r="L117">
        <f>IF(D117&lt;$A$15,$D$11,$D$11*(1-$H$11))</f>
        <v>85</v>
      </c>
      <c r="M117">
        <f t="shared" si="8"/>
        <v>1</v>
      </c>
      <c r="N117">
        <f>IF(SUM(I117:J117)&lt;=($G$11/60*$F$11/($E$11/60)),1,0)</f>
        <v>0</v>
      </c>
    </row>
    <row r="118" spans="4:14" x14ac:dyDescent="0.2">
      <c r="D118">
        <f t="shared" si="10"/>
        <v>95</v>
      </c>
      <c r="E118" s="1">
        <f>IF($H$11=1,IF(D118&lt;=$A$15, E117+LN($D$11)-LN(60/$E$11)-LN(MIN(D118,$F$11)), E117-LN(60/$E$11)-LN(MIN(D118,$F$11))), IF(D118&lt;=$A$15, E117+LN($D$11)-LN(60/$E$11)-LN(MIN(D118,$F$11)), E117+LN($D$11)+LN(1-$H$11)-LN(60/$E$11)-LN(MIN(D118,$F$11))))</f>
        <v>-9.1940852087327301</v>
      </c>
      <c r="F118" s="1">
        <f t="shared" si="11"/>
        <v>-11.196118017931788</v>
      </c>
      <c r="G118" s="1">
        <f t="shared" si="9"/>
        <v>1.3727382216655354E-5</v>
      </c>
      <c r="H118" s="1">
        <f t="shared" si="6"/>
        <v>1.3474425343439584E-6</v>
      </c>
      <c r="I118">
        <f>IF($F$11&lt;=D118, IF(D118&lt;=$A$15,D118-$F$11,$C$11),0)</f>
        <v>60</v>
      </c>
      <c r="J118">
        <f t="shared" si="7"/>
        <v>31</v>
      </c>
      <c r="K118" s="5">
        <f>IF(D118&lt;$F$11,H118,0)</f>
        <v>0</v>
      </c>
      <c r="L118">
        <f>IF(D118&lt;$A$15,$D$11,$D$11*(1-$H$11))</f>
        <v>85</v>
      </c>
      <c r="M118">
        <f t="shared" si="8"/>
        <v>1</v>
      </c>
      <c r="N118">
        <f>IF(SUM(I118:J118)&lt;=($G$11/60*$F$11/($E$11/60)),1,0)</f>
        <v>0</v>
      </c>
    </row>
    <row r="119" spans="4:14" x14ac:dyDescent="0.2">
      <c r="D119">
        <f t="shared" si="10"/>
        <v>96</v>
      </c>
      <c r="E119" s="1">
        <f>IF($H$11=1,IF(D119&lt;=$A$15, E118+LN($D$11)-LN(60/$E$11)-LN(MIN(D119,$F$11)), E118-LN(60/$E$11)-LN(MIN(D119,$F$11))), IF(D119&lt;=$A$15, E118+LN($D$11)-LN(60/$E$11)-LN(MIN(D119,$F$11)), E118+LN($D$11)+LN(1-$H$11)-LN(60/$E$11)-LN(MIN(D119,$F$11))))</f>
        <v>-9.3157821437102495</v>
      </c>
      <c r="F119" s="1">
        <f t="shared" si="11"/>
        <v>-11.317814952909309</v>
      </c>
      <c r="G119" s="1">
        <f t="shared" si="9"/>
        <v>1.2154453004330244E-5</v>
      </c>
      <c r="H119" s="1">
        <f t="shared" si="6"/>
        <v>1.1930480772837116E-6</v>
      </c>
      <c r="I119">
        <f>IF($F$11&lt;=D119, IF(D119&lt;=$A$15,D119-$F$11,$C$11),0)</f>
        <v>60</v>
      </c>
      <c r="J119">
        <f t="shared" si="7"/>
        <v>32</v>
      </c>
      <c r="K119" s="5">
        <f>IF(D119&lt;$F$11,H119,0)</f>
        <v>0</v>
      </c>
      <c r="L119">
        <f>IF(D119&lt;$A$15,$D$11,$D$11*(1-$H$11))</f>
        <v>85</v>
      </c>
      <c r="M119">
        <f t="shared" si="8"/>
        <v>1</v>
      </c>
      <c r="N119">
        <f>IF(SUM(I119:J119)&lt;=($G$11/60*$F$11/($E$11/60)),1,0)</f>
        <v>0</v>
      </c>
    </row>
    <row r="120" spans="4:14" x14ac:dyDescent="0.2">
      <c r="D120">
        <f t="shared" si="10"/>
        <v>97</v>
      </c>
      <c r="E120" s="1">
        <f>IF($H$11=1,IF(D120&lt;=$A$15, E119+LN($D$11)-LN(60/$E$11)-LN(MIN(D120,$F$11)), E119-LN(60/$E$11)-LN(MIN(D120,$F$11))), IF(D120&lt;=$A$15, E119+LN($D$11)-LN(60/$E$11)-LN(MIN(D120,$F$11)), E119+LN($D$11)+LN(1-$H$11)-LN(60/$E$11)-LN(MIN(D120,$F$11))))</f>
        <v>-9.4374790786877689</v>
      </c>
      <c r="F120" s="1">
        <f t="shared" si="11"/>
        <v>-11.439511887886827</v>
      </c>
      <c r="G120" s="1">
        <f t="shared" si="9"/>
        <v>1.0761755264250759E-5</v>
      </c>
      <c r="H120" s="1">
        <f t="shared" si="6"/>
        <v>1.0563446517616218E-6</v>
      </c>
      <c r="I120">
        <f>IF($F$11&lt;=D120, IF(D120&lt;=$A$15,D120-$F$11,$C$11),0)</f>
        <v>60</v>
      </c>
      <c r="J120">
        <f t="shared" si="7"/>
        <v>33</v>
      </c>
      <c r="K120" s="5">
        <f>IF(D120&lt;$F$11,H120,0)</f>
        <v>0</v>
      </c>
      <c r="L120">
        <f>IF(D120&lt;$A$15,$D$11,$D$11*(1-$H$11))</f>
        <v>85</v>
      </c>
      <c r="M120">
        <f t="shared" si="8"/>
        <v>1</v>
      </c>
      <c r="N120">
        <f>IF(SUM(I120:J120)&lt;=($G$11/60*$F$11/($E$11/60)),1,0)</f>
        <v>0</v>
      </c>
    </row>
    <row r="121" spans="4:14" x14ac:dyDescent="0.2">
      <c r="D121">
        <f t="shared" si="10"/>
        <v>98</v>
      </c>
      <c r="E121" s="1">
        <f>IF($H$11=1,IF(D121&lt;=$A$15, E120+LN($D$11)-LN(60/$E$11)-LN(MIN(D121,$F$11)), E120-LN(60/$E$11)-LN(MIN(D121,$F$11))), IF(D121&lt;=$A$15, E120+LN($D$11)-LN(60/$E$11)-LN(MIN(D121,$F$11)), E120+LN($D$11)+LN(1-$H$11)-LN(60/$E$11)-LN(MIN(D121,$F$11))))</f>
        <v>-9.5591760136652884</v>
      </c>
      <c r="F121" s="1">
        <f t="shared" si="11"/>
        <v>-11.561208822864348</v>
      </c>
      <c r="G121" s="1">
        <f t="shared" si="9"/>
        <v>9.5286374735553466E-6</v>
      </c>
      <c r="H121" s="1">
        <f t="shared" si="6"/>
        <v>9.3530516041393467E-7</v>
      </c>
      <c r="I121">
        <f>IF($F$11&lt;=D121, IF(D121&lt;=$A$15,D121-$F$11,$C$11),0)</f>
        <v>60</v>
      </c>
      <c r="J121">
        <f t="shared" si="7"/>
        <v>34</v>
      </c>
      <c r="K121" s="5">
        <f>IF(D121&lt;$F$11,H121,0)</f>
        <v>0</v>
      </c>
      <c r="L121">
        <f>IF(D121&lt;$A$15,$D$11,$D$11*(1-$H$11))</f>
        <v>85</v>
      </c>
      <c r="M121">
        <f t="shared" si="8"/>
        <v>1</v>
      </c>
      <c r="N121">
        <f>IF(SUM(I121:J121)&lt;=($G$11/60*$F$11/($E$11/60)),1,0)</f>
        <v>0</v>
      </c>
    </row>
    <row r="122" spans="4:14" x14ac:dyDescent="0.2">
      <c r="D122">
        <f t="shared" si="10"/>
        <v>99</v>
      </c>
      <c r="E122" s="1">
        <f>IF($H$11=1,IF(D122&lt;=$A$15, E121+LN($D$11)-LN(60/$E$11)-LN(MIN(D122,$F$11)), E121-LN(60/$E$11)-LN(MIN(D122,$F$11))), IF(D122&lt;=$A$15, E121+LN($D$11)-LN(60/$E$11)-LN(MIN(D122,$F$11)), E121+LN($D$11)+LN(1-$H$11)-LN(60/$E$11)-LN(MIN(D122,$F$11))))</f>
        <v>-9.6808729486428078</v>
      </c>
      <c r="F122" s="1">
        <f t="shared" si="11"/>
        <v>-11.682905757841866</v>
      </c>
      <c r="G122" s="1">
        <f t="shared" si="9"/>
        <v>8.4368144297104802E-6</v>
      </c>
      <c r="H122" s="1">
        <f t="shared" si="6"/>
        <v>8.2813477744983973E-7</v>
      </c>
      <c r="I122">
        <f>IF($F$11&lt;=D122, IF(D122&lt;=$A$15,D122-$F$11,$C$11),0)</f>
        <v>60</v>
      </c>
      <c r="J122">
        <f t="shared" si="7"/>
        <v>35</v>
      </c>
      <c r="K122" s="5">
        <f>IF(D122&lt;$F$11,H122,0)</f>
        <v>0</v>
      </c>
      <c r="L122">
        <f>IF(D122&lt;$A$15,$D$11,$D$11*(1-$H$11))</f>
        <v>85</v>
      </c>
      <c r="M122">
        <f t="shared" si="8"/>
        <v>1</v>
      </c>
      <c r="N122">
        <f>IF(SUM(I122:J122)&lt;=($G$11/60*$F$11/($E$11/60)),1,0)</f>
        <v>0</v>
      </c>
    </row>
    <row r="123" spans="4:14" x14ac:dyDescent="0.2">
      <c r="D123">
        <f t="shared" si="10"/>
        <v>100</v>
      </c>
      <c r="E123" s="1">
        <f>IF($H$11=1,IF(D123&lt;=$A$15, E122+LN($D$11)-LN(60/$E$11)-LN(MIN(D123,$F$11)), E122-LN(60/$E$11)-LN(MIN(D123,$F$11))), IF(D123&lt;=$A$15, E122+LN($D$11)-LN(60/$E$11)-LN(MIN(D123,$F$11)), E122+LN($D$11)+LN(1-$H$11)-LN(60/$E$11)-LN(MIN(D123,$F$11))))</f>
        <v>-9.8025698836203272</v>
      </c>
      <c r="F123" s="1">
        <f t="shared" si="11"/>
        <v>-11.804602692819387</v>
      </c>
      <c r="G123" s="1">
        <f t="shared" si="9"/>
        <v>7.4700961096394777E-6</v>
      </c>
      <c r="H123" s="1">
        <f t="shared" si="6"/>
        <v>7.3324433420037794E-7</v>
      </c>
      <c r="I123">
        <f>IF($F$11&lt;=D123, IF(D123&lt;=$A$15,D123-$F$11,$C$11),0)</f>
        <v>60</v>
      </c>
      <c r="J123">
        <f t="shared" si="7"/>
        <v>36</v>
      </c>
      <c r="K123" s="5">
        <f>IF(D123&lt;$F$11,H123,0)</f>
        <v>0</v>
      </c>
      <c r="L123">
        <f>IF(D123&lt;$A$15,$D$11,$D$11*(1-$H$11))</f>
        <v>85</v>
      </c>
      <c r="M123">
        <f t="shared" si="8"/>
        <v>1</v>
      </c>
      <c r="N123">
        <f>IF(SUM(I123:J123)&lt;=($G$11/60*$F$11/($E$11/60)),1,0)</f>
        <v>0</v>
      </c>
    </row>
    <row r="124" spans="4:14" x14ac:dyDescent="0.2">
      <c r="D124">
        <f t="shared" si="10"/>
        <v>101</v>
      </c>
      <c r="E124" s="1">
        <f>IF($H$11=1,IF(D124&lt;=$A$15, E123+LN($D$11)-LN(60/$E$11)-LN(MIN(D124,$F$11)), E123-LN(60/$E$11)-LN(MIN(D124,$F$11))), IF(D124&lt;=$A$15, E123+LN($D$11)-LN(60/$E$11)-LN(MIN(D124,$F$11)), E123+LN($D$11)+LN(1-$H$11)-LN(60/$E$11)-LN(MIN(D124,$F$11))))</f>
        <v>-9.9242668185978467</v>
      </c>
      <c r="F124" s="1">
        <f t="shared" si="11"/>
        <v>-11.926299627796904</v>
      </c>
      <c r="G124" s="1">
        <f t="shared" si="9"/>
        <v>6.614147597076635E-6</v>
      </c>
      <c r="H124" s="1">
        <f t="shared" si="6"/>
        <v>6.4922675423991936E-7</v>
      </c>
      <c r="I124">
        <f>IF($F$11&lt;=D124, IF(D124&lt;=$A$15,D124-$F$11,$C$11),0)</f>
        <v>60</v>
      </c>
      <c r="J124">
        <f t="shared" si="7"/>
        <v>37</v>
      </c>
      <c r="K124" s="5">
        <f>IF(D124&lt;$F$11,H124,0)</f>
        <v>0</v>
      </c>
      <c r="L124">
        <f>IF(D124&lt;$A$15,$D$11,$D$11*(1-$H$11))</f>
        <v>85</v>
      </c>
      <c r="M124">
        <f t="shared" si="8"/>
        <v>1</v>
      </c>
      <c r="N124">
        <f>IF(SUM(I124:J124)&lt;=($G$11/60*$F$11/($E$11/60)),1,0)</f>
        <v>0</v>
      </c>
    </row>
    <row r="125" spans="4:14" x14ac:dyDescent="0.2">
      <c r="D125">
        <f t="shared" si="10"/>
        <v>102</v>
      </c>
      <c r="E125" s="1">
        <f>IF($H$11=1,IF(D125&lt;=$A$15, E124+LN($D$11)-LN(60/$E$11)-LN(MIN(D125,$F$11)), E124-LN(60/$E$11)-LN(MIN(D125,$F$11))), IF(D125&lt;=$A$15, E124+LN($D$11)-LN(60/$E$11)-LN(MIN(D125,$F$11)), E124+LN($D$11)+LN(1-$H$11)-LN(60/$E$11)-LN(MIN(D125,$F$11))))</f>
        <v>-10.045963753575366</v>
      </c>
      <c r="F125" s="1">
        <f t="shared" si="11"/>
        <v>-12.047996562774426</v>
      </c>
      <c r="G125" s="1">
        <f t="shared" si="9"/>
        <v>5.8562765182449288E-6</v>
      </c>
      <c r="H125" s="1">
        <f t="shared" si="6"/>
        <v>5.7483618864992771E-7</v>
      </c>
      <c r="I125">
        <f>IF($F$11&lt;=D125, IF(D125&lt;=$A$15,D125-$F$11,$C$11),0)</f>
        <v>60</v>
      </c>
      <c r="J125">
        <f t="shared" si="7"/>
        <v>38</v>
      </c>
      <c r="K125" s="5">
        <f>IF(D125&lt;$F$11,H125,0)</f>
        <v>0</v>
      </c>
      <c r="L125">
        <f>IF(D125&lt;$A$15,$D$11,$D$11*(1-$H$11))</f>
        <v>85</v>
      </c>
      <c r="M125">
        <f t="shared" si="8"/>
        <v>1</v>
      </c>
      <c r="N125">
        <f>IF(SUM(I125:J125)&lt;=($G$11/60*$F$11/($E$11/60)),1,0)</f>
        <v>0</v>
      </c>
    </row>
    <row r="126" spans="4:14" x14ac:dyDescent="0.2">
      <c r="D126">
        <f t="shared" si="10"/>
        <v>103</v>
      </c>
      <c r="E126" s="1">
        <f>IF($H$11=1,IF(D126&lt;=$A$15, E125+LN($D$11)-LN(60/$E$11)-LN(MIN(D126,$F$11)), E125-LN(60/$E$11)-LN(MIN(D126,$F$11))), IF(D126&lt;=$A$15, E125+LN($D$11)-LN(60/$E$11)-LN(MIN(D126,$F$11)), E125+LN($D$11)+LN(1-$H$11)-LN(60/$E$11)-LN(MIN(D126,$F$11))))</f>
        <v>-10.167660688552886</v>
      </c>
      <c r="F126" s="1">
        <f t="shared" si="11"/>
        <v>-12.169693497751943</v>
      </c>
      <c r="G126" s="1">
        <f t="shared" si="9"/>
        <v>5.1852448338627084E-6</v>
      </c>
      <c r="H126" s="1">
        <f t="shared" si="6"/>
        <v>5.0896954203379128E-7</v>
      </c>
      <c r="I126">
        <f>IF($F$11&lt;=D126, IF(D126&lt;=$A$15,D126-$F$11,$C$11),0)</f>
        <v>60</v>
      </c>
      <c r="J126">
        <f t="shared" si="7"/>
        <v>39</v>
      </c>
      <c r="K126" s="5">
        <f>IF(D126&lt;$F$11,H126,0)</f>
        <v>0</v>
      </c>
      <c r="L126">
        <f>IF(D126&lt;$A$15,$D$11,$D$11*(1-$H$11))</f>
        <v>85</v>
      </c>
      <c r="M126">
        <f t="shared" si="8"/>
        <v>1</v>
      </c>
      <c r="N126">
        <f>IF(SUM(I126:J126)&lt;=($G$11/60*$F$11/($E$11/60)),1,0)</f>
        <v>0</v>
      </c>
    </row>
    <row r="127" spans="4:14" x14ac:dyDescent="0.2">
      <c r="D127">
        <f t="shared" si="10"/>
        <v>104</v>
      </c>
      <c r="E127" s="1">
        <f>IF($H$11=1,IF(D127&lt;=$A$15, E126+LN($D$11)-LN(60/$E$11)-LN(MIN(D127,$F$11)), E126-LN(60/$E$11)-LN(MIN(D127,$F$11))), IF(D127&lt;=$A$15, E126+LN($D$11)-LN(60/$E$11)-LN(MIN(D127,$F$11)), E126+LN($D$11)+LN(1-$H$11)-LN(60/$E$11)-LN(MIN(D127,$F$11))))</f>
        <v>-10.289357623530405</v>
      </c>
      <c r="F127" s="1">
        <f t="shared" si="11"/>
        <v>-12.291390432729465</v>
      </c>
      <c r="G127" s="1">
        <f t="shared" si="9"/>
        <v>4.5911021966492667E-6</v>
      </c>
      <c r="H127" s="1">
        <f t="shared" si="6"/>
        <v>4.5065011534241876E-7</v>
      </c>
      <c r="I127">
        <f>IF($F$11&lt;=D127, IF(D127&lt;=$A$15,D127-$F$11,$C$11),0)</f>
        <v>60</v>
      </c>
      <c r="J127">
        <f t="shared" si="7"/>
        <v>40</v>
      </c>
      <c r="K127" s="5">
        <f>IF(D127&lt;$F$11,H127,0)</f>
        <v>0</v>
      </c>
      <c r="L127">
        <f>IF(D127&lt;$A$15,$D$11,$D$11*(1-$H$11))</f>
        <v>85</v>
      </c>
      <c r="M127">
        <f t="shared" si="8"/>
        <v>1</v>
      </c>
      <c r="N127">
        <f>IF(SUM(I127:J127)&lt;=($G$11/60*$F$11/($E$11/60)),1,0)</f>
        <v>0</v>
      </c>
    </row>
    <row r="128" spans="4:14" x14ac:dyDescent="0.2">
      <c r="D128">
        <f t="shared" si="10"/>
        <v>105</v>
      </c>
      <c r="E128" s="1">
        <f>IF($H$11=1,IF(D128&lt;=$A$15, E127+LN($D$11)-LN(60/$E$11)-LN(MIN(D128,$F$11)), E127-LN(60/$E$11)-LN(MIN(D128,$F$11))), IF(D128&lt;=$A$15, E127+LN($D$11)-LN(60/$E$11)-LN(MIN(D128,$F$11)), E127+LN($D$11)+LN(1-$H$11)-LN(60/$E$11)-LN(MIN(D128,$F$11))))</f>
        <v>-10.411054558507924</v>
      </c>
      <c r="F128" s="1">
        <f t="shared" si="11"/>
        <v>-12.413087367706982</v>
      </c>
      <c r="G128" s="1">
        <f t="shared" si="9"/>
        <v>4.0650384032832136E-6</v>
      </c>
      <c r="H128" s="1">
        <f t="shared" si="6"/>
        <v>3.9901312295943413E-7</v>
      </c>
      <c r="I128">
        <f>IF($F$11&lt;=D128, IF(D128&lt;=$A$15,D128-$F$11,$C$11),0)</f>
        <v>60</v>
      </c>
      <c r="J128">
        <f t="shared" si="7"/>
        <v>41</v>
      </c>
      <c r="K128" s="5">
        <f>IF(D128&lt;$F$11,H128,0)</f>
        <v>0</v>
      </c>
      <c r="L128">
        <f>IF(D128&lt;$A$15,$D$11,$D$11*(1-$H$11))</f>
        <v>85</v>
      </c>
      <c r="M128">
        <f t="shared" si="8"/>
        <v>1</v>
      </c>
      <c r="N128">
        <f>IF(SUM(I128:J128)&lt;=($G$11/60*$F$11/($E$11/60)),1,0)</f>
        <v>0</v>
      </c>
    </row>
    <row r="129" spans="4:14" x14ac:dyDescent="0.2">
      <c r="D129">
        <f t="shared" si="10"/>
        <v>106</v>
      </c>
      <c r="E129" s="1">
        <f>IF($H$11=1,IF(D129&lt;=$A$15, E128+LN($D$11)-LN(60/$E$11)-LN(MIN(D129,$F$11)), E128-LN(60/$E$11)-LN(MIN(D129,$F$11))), IF(D129&lt;=$A$15, E128+LN($D$11)-LN(60/$E$11)-LN(MIN(D129,$F$11)), E128+LN($D$11)+LN(1-$H$11)-LN(60/$E$11)-LN(MIN(D129,$F$11))))</f>
        <v>-10.532751493485444</v>
      </c>
      <c r="F129" s="1">
        <f t="shared" si="11"/>
        <v>-12.534784302684503</v>
      </c>
      <c r="G129" s="1">
        <f t="shared" si="9"/>
        <v>3.5992527529070068E-6</v>
      </c>
      <c r="H129" s="1">
        <f t="shared" si="6"/>
        <v>3.5329286928699841E-7</v>
      </c>
      <c r="I129">
        <f>IF($F$11&lt;=D129, IF(D129&lt;=$A$15,D129-$F$11,$C$11),0)</f>
        <v>60</v>
      </c>
      <c r="J129">
        <f t="shared" si="7"/>
        <v>42</v>
      </c>
      <c r="K129" s="5">
        <f>IF(D129&lt;$F$11,H129,0)</f>
        <v>0</v>
      </c>
      <c r="L129">
        <f>IF(D129&lt;$A$15,$D$11,$D$11*(1-$H$11))</f>
        <v>85</v>
      </c>
      <c r="M129">
        <f t="shared" si="8"/>
        <v>1</v>
      </c>
      <c r="N129">
        <f>IF(SUM(I129:J129)&lt;=($G$11/60*$F$11/($E$11/60)),1,0)</f>
        <v>0</v>
      </c>
    </row>
    <row r="130" spans="4:14" x14ac:dyDescent="0.2">
      <c r="D130">
        <f t="shared" si="10"/>
        <v>107</v>
      </c>
      <c r="E130" s="1">
        <f>IF($H$11=1,IF(D130&lt;=$A$15, E129+LN($D$11)-LN(60/$E$11)-LN(MIN(D130,$F$11)), E129-LN(60/$E$11)-LN(MIN(D130,$F$11))), IF(D130&lt;=$A$15, E129+LN($D$11)-LN(60/$E$11)-LN(MIN(D130,$F$11)), E129+LN($D$11)+LN(1-$H$11)-LN(60/$E$11)-LN(MIN(D130,$F$11))))</f>
        <v>-10.654448428462963</v>
      </c>
      <c r="F130" s="1">
        <f t="shared" si="11"/>
        <v>-12.656481237662021</v>
      </c>
      <c r="G130" s="1">
        <f t="shared" si="9"/>
        <v>3.1868383749697521E-6</v>
      </c>
      <c r="H130" s="1">
        <f t="shared" si="6"/>
        <v>3.1281139468119717E-7</v>
      </c>
      <c r="I130">
        <f>IF($F$11&lt;=D130, IF(D130&lt;=$A$15,D130-$F$11,$C$11),0)</f>
        <v>60</v>
      </c>
      <c r="J130">
        <f t="shared" si="7"/>
        <v>43</v>
      </c>
      <c r="K130" s="5">
        <f>IF(D130&lt;$F$11,H130,0)</f>
        <v>0</v>
      </c>
      <c r="L130">
        <f>IF(D130&lt;$A$15,$D$11,$D$11*(1-$H$11))</f>
        <v>85</v>
      </c>
      <c r="M130">
        <f t="shared" si="8"/>
        <v>1</v>
      </c>
      <c r="N130">
        <f>IF(SUM(I130:J130)&lt;=($G$11/60*$F$11/($E$11/60)),1,0)</f>
        <v>0</v>
      </c>
    </row>
    <row r="131" spans="4:14" x14ac:dyDescent="0.2">
      <c r="D131">
        <f t="shared" si="10"/>
        <v>108</v>
      </c>
      <c r="E131" s="1">
        <f>IF($H$11=1,IF(D131&lt;=$A$15, E130+LN($D$11)-LN(60/$E$11)-LN(MIN(D131,$F$11)), E130-LN(60/$E$11)-LN(MIN(D131,$F$11))), IF(D131&lt;=$A$15, E130+LN($D$11)-LN(60/$E$11)-LN(MIN(D131,$F$11)), E130+LN($D$11)+LN(1-$H$11)-LN(60/$E$11)-LN(MIN(D131,$F$11))))</f>
        <v>-10.776145363440483</v>
      </c>
      <c r="F131" s="1">
        <f t="shared" si="11"/>
        <v>-12.778178172639542</v>
      </c>
      <c r="G131" s="1">
        <f t="shared" si="9"/>
        <v>2.8216798111711309E-6</v>
      </c>
      <c r="H131" s="1">
        <f t="shared" si="6"/>
        <v>2.7696842237397629E-7</v>
      </c>
      <c r="I131">
        <f>IF($F$11&lt;=D131, IF(D131&lt;=$A$15,D131-$F$11,$C$11),0)</f>
        <v>60</v>
      </c>
      <c r="J131">
        <f t="shared" si="7"/>
        <v>44</v>
      </c>
      <c r="K131" s="5">
        <f>IF(D131&lt;$F$11,H131,0)</f>
        <v>0</v>
      </c>
      <c r="L131">
        <f>IF(D131&lt;$A$15,$D$11,$D$11*(1-$H$11))</f>
        <v>85</v>
      </c>
      <c r="M131">
        <f t="shared" si="8"/>
        <v>1</v>
      </c>
      <c r="N131">
        <f>IF(SUM(I131:J131)&lt;=($G$11/60*$F$11/($E$11/60)),1,0)</f>
        <v>0</v>
      </c>
    </row>
    <row r="132" spans="4:14" x14ac:dyDescent="0.2">
      <c r="D132">
        <f t="shared" si="10"/>
        <v>109</v>
      </c>
      <c r="E132" s="1">
        <f>IF($H$11=1,IF(D132&lt;=$A$15, E131+LN($D$11)-LN(60/$E$11)-LN(MIN(D132,$F$11)), E131-LN(60/$E$11)-LN(MIN(D132,$F$11))), IF(D132&lt;=$A$15, E131+LN($D$11)-LN(60/$E$11)-LN(MIN(D132,$F$11)), E131+LN($D$11)+LN(1-$H$11)-LN(60/$E$11)-LN(MIN(D132,$F$11))))</f>
        <v>-10.897842298418002</v>
      </c>
      <c r="F132" s="1">
        <f t="shared" si="11"/>
        <v>-12.89987510761706</v>
      </c>
      <c r="G132" s="1">
        <f t="shared" si="9"/>
        <v>2.4983623328077774E-6</v>
      </c>
      <c r="H132" s="1">
        <f t="shared" si="6"/>
        <v>2.4523245731029204E-7</v>
      </c>
      <c r="I132">
        <f>IF($F$11&lt;=D132, IF(D132&lt;=$A$15,D132-$F$11,$C$11),0)</f>
        <v>60</v>
      </c>
      <c r="J132">
        <f t="shared" si="7"/>
        <v>45</v>
      </c>
      <c r="K132" s="5">
        <f>IF(D132&lt;$F$11,H132,0)</f>
        <v>0</v>
      </c>
      <c r="L132">
        <f>IF(D132&lt;$A$15,$D$11,$D$11*(1-$H$11))</f>
        <v>85</v>
      </c>
      <c r="M132">
        <f t="shared" si="8"/>
        <v>1</v>
      </c>
      <c r="N132">
        <f>IF(SUM(I132:J132)&lt;=($G$11/60*$F$11/($E$11/60)),1,0)</f>
        <v>0</v>
      </c>
    </row>
    <row r="133" spans="4:14" x14ac:dyDescent="0.2">
      <c r="D133">
        <f t="shared" si="10"/>
        <v>110</v>
      </c>
      <c r="E133" s="1">
        <f>IF($H$11=1,IF(D133&lt;=$A$15, E132+LN($D$11)-LN(60/$E$11)-LN(MIN(D133,$F$11)), E132-LN(60/$E$11)-LN(MIN(D133,$F$11))), IF(D133&lt;=$A$15, E132+LN($D$11)-LN(60/$E$11)-LN(MIN(D133,$F$11)), E132+LN($D$11)+LN(1-$H$11)-LN(60/$E$11)-LN(MIN(D133,$F$11))))</f>
        <v>-11.019539233395522</v>
      </c>
      <c r="F133" s="1">
        <f t="shared" si="11"/>
        <v>-13.021572042594581</v>
      </c>
      <c r="G133" s="1">
        <f t="shared" si="9"/>
        <v>2.2120916488402162E-6</v>
      </c>
      <c r="H133" s="1">
        <f t="shared" si="6"/>
        <v>2.1713290491015407E-7</v>
      </c>
      <c r="I133">
        <f>IF($F$11&lt;=D133, IF(D133&lt;=$A$15,D133-$F$11,$C$11),0)</f>
        <v>60</v>
      </c>
      <c r="J133">
        <f t="shared" si="7"/>
        <v>46</v>
      </c>
      <c r="K133" s="5">
        <f>IF(D133&lt;$F$11,H133,0)</f>
        <v>0</v>
      </c>
      <c r="L133">
        <f>IF(D133&lt;$A$15,$D$11,$D$11*(1-$H$11))</f>
        <v>85</v>
      </c>
      <c r="M133">
        <f t="shared" si="8"/>
        <v>1</v>
      </c>
      <c r="N133">
        <f>IF(SUM(I133:J133)&lt;=($G$11/60*$F$11/($E$11/60)),1,0)</f>
        <v>0</v>
      </c>
    </row>
    <row r="134" spans="4:14" x14ac:dyDescent="0.2">
      <c r="D134">
        <f t="shared" si="10"/>
        <v>111</v>
      </c>
      <c r="E134" s="1">
        <f>IF($H$11=1,IF(D134&lt;=$A$15, E133+LN($D$11)-LN(60/$E$11)-LN(MIN(D134,$F$11)), E133-LN(60/$E$11)-LN(MIN(D134,$F$11))), IF(D134&lt;=$A$15, E133+LN($D$11)-LN(60/$E$11)-LN(MIN(D134,$F$11)), E133+LN($D$11)+LN(1-$H$11)-LN(60/$E$11)-LN(MIN(D134,$F$11))))</f>
        <v>-11.141236168373041</v>
      </c>
      <c r="F134" s="1">
        <f t="shared" si="11"/>
        <v>-13.143268977572099</v>
      </c>
      <c r="G134" s="1">
        <f t="shared" si="9"/>
        <v>1.9586228140772792E-6</v>
      </c>
      <c r="H134" s="1">
        <f t="shared" si="6"/>
        <v>1.9225309288919934E-7</v>
      </c>
      <c r="I134">
        <f>IF($F$11&lt;=D134, IF(D134&lt;=$A$15,D134-$F$11,$C$11),0)</f>
        <v>60</v>
      </c>
      <c r="J134">
        <f t="shared" si="7"/>
        <v>47</v>
      </c>
      <c r="K134" s="5">
        <f>IF(D134&lt;$F$11,H134,0)</f>
        <v>0</v>
      </c>
      <c r="L134">
        <f>IF(D134&lt;$A$15,$D$11,$D$11*(1-$H$11))</f>
        <v>85</v>
      </c>
      <c r="M134">
        <f t="shared" si="8"/>
        <v>1</v>
      </c>
      <c r="N134">
        <f>IF(SUM(I134:J134)&lt;=($G$11/60*$F$11/($E$11/60)),1,0)</f>
        <v>0</v>
      </c>
    </row>
    <row r="135" spans="4:14" x14ac:dyDescent="0.2">
      <c r="D135">
        <f t="shared" si="10"/>
        <v>112</v>
      </c>
      <c r="E135" s="1">
        <f>IF($H$11=1,IF(D135&lt;=$A$15, E134+LN($D$11)-LN(60/$E$11)-LN(MIN(D135,$F$11)), E134-LN(60/$E$11)-LN(MIN(D135,$F$11))), IF(D135&lt;=$A$15, E134+LN($D$11)-LN(60/$E$11)-LN(MIN(D135,$F$11)), E134+LN($D$11)+LN(1-$H$11)-LN(60/$E$11)-LN(MIN(D135,$F$11))))</f>
        <v>-11.26293310335056</v>
      </c>
      <c r="F135" s="1">
        <f t="shared" si="11"/>
        <v>-13.26496591254962</v>
      </c>
      <c r="G135" s="1">
        <f t="shared" si="9"/>
        <v>1.7341972832975883E-6</v>
      </c>
      <c r="H135" s="1">
        <f t="shared" si="6"/>
        <v>1.7022409266231168E-7</v>
      </c>
      <c r="I135">
        <f>IF($F$11&lt;=D135, IF(D135&lt;=$A$15,D135-$F$11,$C$11),0)</f>
        <v>60</v>
      </c>
      <c r="J135">
        <f t="shared" si="7"/>
        <v>48</v>
      </c>
      <c r="K135" s="5">
        <f>IF(D135&lt;$F$11,H135,0)</f>
        <v>0</v>
      </c>
      <c r="L135">
        <f>IF(D135&lt;$A$15,$D$11,$D$11*(1-$H$11))</f>
        <v>85</v>
      </c>
      <c r="M135">
        <f t="shared" si="8"/>
        <v>1</v>
      </c>
      <c r="N135">
        <f>IF(SUM(I135:J135)&lt;=($G$11/60*$F$11/($E$11/60)),1,0)</f>
        <v>0</v>
      </c>
    </row>
    <row r="136" spans="4:14" x14ac:dyDescent="0.2">
      <c r="D136">
        <f t="shared" si="10"/>
        <v>113</v>
      </c>
      <c r="E136" s="1">
        <f>IF($H$11=1,IF(D136&lt;=$A$15, E135+LN($D$11)-LN(60/$E$11)-LN(MIN(D136,$F$11)), E135-LN(60/$E$11)-LN(MIN(D136,$F$11))), IF(D136&lt;=$A$15, E135+LN($D$11)-LN(60/$E$11)-LN(MIN(D136,$F$11)), E135+LN($D$11)+LN(1-$H$11)-LN(60/$E$11)-LN(MIN(D136,$F$11))))</f>
        <v>-11.38463003832808</v>
      </c>
      <c r="F136" s="1">
        <f t="shared" si="11"/>
        <v>-13.386662847527138</v>
      </c>
      <c r="G136" s="1">
        <f t="shared" si="9"/>
        <v>1.535487177919743E-6</v>
      </c>
      <c r="H136" s="1">
        <f t="shared" si="6"/>
        <v>1.5071924871142211E-7</v>
      </c>
      <c r="I136">
        <f>IF($F$11&lt;=D136, IF(D136&lt;=$A$15,D136-$F$11,$C$11),0)</f>
        <v>60</v>
      </c>
      <c r="J136">
        <f t="shared" si="7"/>
        <v>49</v>
      </c>
      <c r="K136" s="5">
        <f>IF(D136&lt;$F$11,H136,0)</f>
        <v>0</v>
      </c>
      <c r="L136">
        <f>IF(D136&lt;$A$15,$D$11,$D$11*(1-$H$11))</f>
        <v>85</v>
      </c>
      <c r="M136">
        <f t="shared" si="8"/>
        <v>1</v>
      </c>
      <c r="N136">
        <f>IF(SUM(I136:J136)&lt;=($G$11/60*$F$11/($E$11/60)),1,0)</f>
        <v>0</v>
      </c>
    </row>
    <row r="137" spans="4:14" x14ac:dyDescent="0.2">
      <c r="D137">
        <f t="shared" si="10"/>
        <v>114</v>
      </c>
      <c r="E137" s="1">
        <f>IF($H$11=1,IF(D137&lt;=$A$15, E136+LN($D$11)-LN(60/$E$11)-LN(MIN(D137,$F$11)), E136-LN(60/$E$11)-LN(MIN(D137,$F$11))), IF(D137&lt;=$A$15, E136+LN($D$11)-LN(60/$E$11)-LN(MIN(D137,$F$11)), E136+LN($D$11)+LN(1-$H$11)-LN(60/$E$11)-LN(MIN(D137,$F$11))))</f>
        <v>-11.506326973305599</v>
      </c>
      <c r="F137" s="1">
        <f t="shared" si="11"/>
        <v>-13.508359782504659</v>
      </c>
      <c r="G137" s="1">
        <f t="shared" si="9"/>
        <v>1.3595459387831038E-6</v>
      </c>
      <c r="H137" s="1">
        <f t="shared" si="6"/>
        <v>1.3344933479657148E-7</v>
      </c>
      <c r="I137">
        <f>IF($F$11&lt;=D137, IF(D137&lt;=$A$15,D137-$F$11,$C$11),0)</f>
        <v>60</v>
      </c>
      <c r="J137">
        <f t="shared" si="7"/>
        <v>50</v>
      </c>
      <c r="K137" s="5">
        <f>IF(D137&lt;$F$11,H137,0)</f>
        <v>0</v>
      </c>
      <c r="L137">
        <f>IF(D137&lt;$A$15,$D$11,$D$11*(1-$H$11))</f>
        <v>85</v>
      </c>
      <c r="M137">
        <f t="shared" si="8"/>
        <v>1</v>
      </c>
      <c r="N137">
        <f>IF(SUM(I137:J137)&lt;=($G$11/60*$F$11/($E$11/60)),1,0)</f>
        <v>0</v>
      </c>
    </row>
    <row r="138" spans="4:14" x14ac:dyDescent="0.2">
      <c r="D138">
        <f t="shared" si="10"/>
        <v>115</v>
      </c>
      <c r="E138" s="1">
        <f>IF($H$11=1,IF(D138&lt;=$A$15, E137+LN($D$11)-LN(60/$E$11)-LN(MIN(D138,$F$11)), E137-LN(60/$E$11)-LN(MIN(D138,$F$11))), IF(D138&lt;=$A$15, E137+LN($D$11)-LN(60/$E$11)-LN(MIN(D138,$F$11)), E137+LN($D$11)+LN(1-$H$11)-LN(60/$E$11)-LN(MIN(D138,$F$11))))</f>
        <v>-11.628023908283119</v>
      </c>
      <c r="F138" s="1">
        <f t="shared" si="11"/>
        <v>-13.630056717482177</v>
      </c>
      <c r="G138" s="1">
        <f t="shared" si="9"/>
        <v>1.2037646332975425E-6</v>
      </c>
      <c r="H138" s="1">
        <f t="shared" si="6"/>
        <v>1.1815826518446459E-7</v>
      </c>
      <c r="I138">
        <f>IF($F$11&lt;=D138, IF(D138&lt;=$A$15,D138-$F$11,$C$11),0)</f>
        <v>60</v>
      </c>
      <c r="J138">
        <f t="shared" si="7"/>
        <v>51</v>
      </c>
      <c r="K138" s="5">
        <f>IF(D138&lt;$F$11,H138,0)</f>
        <v>0</v>
      </c>
      <c r="L138">
        <f>IF(D138&lt;$A$15,$D$11,$D$11*(1-$H$11))</f>
        <v>85</v>
      </c>
      <c r="M138">
        <f t="shared" si="8"/>
        <v>1</v>
      </c>
      <c r="N138">
        <f>IF(SUM(I138:J138)&lt;=($G$11/60*$F$11/($E$11/60)),1,0)</f>
        <v>0</v>
      </c>
    </row>
    <row r="139" spans="4:14" x14ac:dyDescent="0.2">
      <c r="D139">
        <f t="shared" si="10"/>
        <v>116</v>
      </c>
      <c r="E139" s="1">
        <f>IF($H$11=1,IF(D139&lt;=$A$15, E138+LN($D$11)-LN(60/$E$11)-LN(MIN(D139,$F$11)), E138-LN(60/$E$11)-LN(MIN(D139,$F$11))), IF(D139&lt;=$A$15, E138+LN($D$11)-LN(60/$E$11)-LN(MIN(D139,$F$11)), E138+LN($D$11)+LN(1-$H$11)-LN(60/$E$11)-LN(MIN(D139,$F$11))))</f>
        <v>-11.749720843260638</v>
      </c>
      <c r="F139" s="1">
        <f t="shared" si="11"/>
        <v>-13.751753652459698</v>
      </c>
      <c r="G139" s="1">
        <f t="shared" si="9"/>
        <v>1.0658332690655308E-6</v>
      </c>
      <c r="H139" s="1">
        <f t="shared" si="6"/>
        <v>1.0461929729874452E-7</v>
      </c>
      <c r="I139">
        <f>IF($F$11&lt;=D139, IF(D139&lt;=$A$15,D139-$F$11,$C$11),0)</f>
        <v>60</v>
      </c>
      <c r="J139">
        <f t="shared" si="7"/>
        <v>52</v>
      </c>
      <c r="K139" s="5">
        <f>IF(D139&lt;$F$11,H139,0)</f>
        <v>0</v>
      </c>
      <c r="L139">
        <f>IF(D139&lt;$A$15,$D$11,$D$11*(1-$H$11))</f>
        <v>85</v>
      </c>
      <c r="M139">
        <f t="shared" si="8"/>
        <v>1</v>
      </c>
      <c r="N139">
        <f>IF(SUM(I139:J139)&lt;=($G$11/60*$F$11/($E$11/60)),1,0)</f>
        <v>0</v>
      </c>
    </row>
    <row r="140" spans="4:14" x14ac:dyDescent="0.2">
      <c r="D140">
        <f t="shared" si="10"/>
        <v>117</v>
      </c>
      <c r="E140" s="1">
        <f>IF($H$11=1,IF(D140&lt;=$A$15, E139+LN($D$11)-LN(60/$E$11)-LN(MIN(D140,$F$11)), E139-LN(60/$E$11)-LN(MIN(D140,$F$11))), IF(D140&lt;=$A$15, E139+LN($D$11)-LN(60/$E$11)-LN(MIN(D140,$F$11)), E139+LN($D$11)+LN(1-$H$11)-LN(60/$E$11)-LN(MIN(D140,$F$11))))</f>
        <v>-11.871417778238158</v>
      </c>
      <c r="F140" s="1">
        <f t="shared" si="11"/>
        <v>-13.873450587437215</v>
      </c>
      <c r="G140" s="1">
        <f t="shared" si="9"/>
        <v>9.4370654031844073E-7</v>
      </c>
      <c r="H140" s="1">
        <f t="shared" si="6"/>
        <v>9.2631669483263579E-8</v>
      </c>
      <c r="I140">
        <f>IF($F$11&lt;=D140, IF(D140&lt;=$A$15,D140-$F$11,$C$11),0)</f>
        <v>60</v>
      </c>
      <c r="J140">
        <f t="shared" si="7"/>
        <v>53</v>
      </c>
      <c r="K140" s="5">
        <f>IF(D140&lt;$F$11,H140,0)</f>
        <v>0</v>
      </c>
      <c r="L140">
        <f>IF(D140&lt;$A$15,$D$11,$D$11*(1-$H$11))</f>
        <v>85</v>
      </c>
      <c r="M140">
        <f t="shared" si="8"/>
        <v>1</v>
      </c>
      <c r="N140">
        <f>IF(SUM(I140:J140)&lt;=($G$11/60*$F$11/($E$11/60)),1,0)</f>
        <v>0</v>
      </c>
    </row>
    <row r="141" spans="4:14" x14ac:dyDescent="0.2">
      <c r="D141">
        <f t="shared" si="10"/>
        <v>118</v>
      </c>
      <c r="E141" s="1">
        <f>IF($H$11=1,IF(D141&lt;=$A$15, E140+LN($D$11)-LN(60/$E$11)-LN(MIN(D141,$F$11)), E140-LN(60/$E$11)-LN(MIN(D141,$F$11))), IF(D141&lt;=$A$15, E140+LN($D$11)-LN(60/$E$11)-LN(MIN(D141,$F$11)), E140+LN($D$11)+LN(1-$H$11)-LN(60/$E$11)-LN(MIN(D141,$F$11))))</f>
        <v>-11.993114713215677</v>
      </c>
      <c r="F141" s="1">
        <f t="shared" si="11"/>
        <v>-13.995147522414737</v>
      </c>
      <c r="G141" s="1">
        <f t="shared" si="9"/>
        <v>8.3557349924028493E-7</v>
      </c>
      <c r="H141" s="1">
        <f t="shared" si="6"/>
        <v>8.2017624021639508E-8</v>
      </c>
      <c r="I141">
        <f>IF($F$11&lt;=D141, IF(D141&lt;=$A$15,D141-$F$11,$C$11),0)</f>
        <v>60</v>
      </c>
      <c r="J141">
        <f t="shared" si="7"/>
        <v>54</v>
      </c>
      <c r="K141" s="5">
        <f>IF(D141&lt;$F$11,H141,0)</f>
        <v>0</v>
      </c>
      <c r="L141">
        <f>IF(D141&lt;$A$15,$D$11,$D$11*(1-$H$11))</f>
        <v>85</v>
      </c>
      <c r="M141">
        <f t="shared" si="8"/>
        <v>1</v>
      </c>
      <c r="N141">
        <f>IF(SUM(I141:J141)&lt;=($G$11/60*$F$11/($E$11/60)),1,0)</f>
        <v>0</v>
      </c>
    </row>
    <row r="142" spans="4:14" x14ac:dyDescent="0.2">
      <c r="D142">
        <f t="shared" si="10"/>
        <v>119</v>
      </c>
      <c r="E142" s="1">
        <f>IF($H$11=1,IF(D142&lt;=$A$15, E141+LN($D$11)-LN(60/$E$11)-LN(MIN(D142,$F$11)), E141-LN(60/$E$11)-LN(MIN(D142,$F$11))), IF(D142&lt;=$A$15, E141+LN($D$11)-LN(60/$E$11)-LN(MIN(D142,$F$11)), E141+LN($D$11)+LN(1-$H$11)-LN(60/$E$11)-LN(MIN(D142,$F$11))))</f>
        <v>-12.114811648193196</v>
      </c>
      <c r="F142" s="1">
        <f t="shared" si="11"/>
        <v>-14.116844457392254</v>
      </c>
      <c r="G142" s="1">
        <f t="shared" si="9"/>
        <v>7.3983070245233717E-7</v>
      </c>
      <c r="H142" s="1">
        <f t="shared" si="6"/>
        <v>7.2619771269160139E-8</v>
      </c>
      <c r="I142">
        <f>IF($F$11&lt;=D142, IF(D142&lt;=$A$15,D142-$F$11,$C$11),0)</f>
        <v>60</v>
      </c>
      <c r="J142">
        <f t="shared" si="7"/>
        <v>55</v>
      </c>
      <c r="K142" s="5">
        <f>IF(D142&lt;$F$11,H142,0)</f>
        <v>0</v>
      </c>
      <c r="L142">
        <f>IF(D142&lt;$A$15,$D$11,$D$11*(1-$H$11))</f>
        <v>85</v>
      </c>
      <c r="M142">
        <f t="shared" si="8"/>
        <v>1</v>
      </c>
      <c r="N142">
        <f>IF(SUM(I142:J142)&lt;=($G$11/60*$F$11/($E$11/60)),1,0)</f>
        <v>0</v>
      </c>
    </row>
    <row r="143" spans="4:14" x14ac:dyDescent="0.2">
      <c r="D143">
        <f t="shared" si="10"/>
        <v>120</v>
      </c>
      <c r="E143" s="1">
        <f>IF($H$11=1,IF(D143&lt;=$A$15, E142+LN($D$11)-LN(60/$E$11)-LN(MIN(D143,$F$11)), E142-LN(60/$E$11)-LN(MIN(D143,$F$11))), IF(D143&lt;=$A$15, E142+LN($D$11)-LN(60/$E$11)-LN(MIN(D143,$F$11)), E142+LN($D$11)+LN(1-$H$11)-LN(60/$E$11)-LN(MIN(D143,$F$11))))</f>
        <v>-12.236508583170716</v>
      </c>
      <c r="F143" s="1">
        <f t="shared" si="11"/>
        <v>-14.238541392369775</v>
      </c>
      <c r="G143" s="1">
        <f t="shared" si="9"/>
        <v>6.5505843446300597E-7</v>
      </c>
      <c r="H143" s="1">
        <f t="shared" si="6"/>
        <v>6.4298755811235452E-8</v>
      </c>
      <c r="I143">
        <f>IF($F$11&lt;=D143, IF(D143&lt;=$A$15,D143-$F$11,$C$11),0)</f>
        <v>60</v>
      </c>
      <c r="J143">
        <f t="shared" si="7"/>
        <v>56</v>
      </c>
      <c r="K143" s="5">
        <f>IF(D143&lt;$F$11,H143,0)</f>
        <v>0</v>
      </c>
      <c r="L143">
        <f>IF(D143&lt;$A$15,$D$11,$D$11*(1-$H$11))</f>
        <v>85</v>
      </c>
      <c r="M143">
        <f t="shared" si="8"/>
        <v>1</v>
      </c>
      <c r="N143">
        <f>IF(SUM(I143:J143)&lt;=($G$11/60*$F$11/($E$11/60)),1,0)</f>
        <v>0</v>
      </c>
    </row>
    <row r="144" spans="4:14" x14ac:dyDescent="0.2">
      <c r="D144">
        <f t="shared" si="10"/>
        <v>121</v>
      </c>
      <c r="E144" s="1">
        <f>IF($H$11=1,IF(D144&lt;=$A$15, E143+LN($D$11)-LN(60/$E$11)-LN(MIN(D144,$F$11)), E143-LN(60/$E$11)-LN(MIN(D144,$F$11))), IF(D144&lt;=$A$15, E143+LN($D$11)-LN(60/$E$11)-LN(MIN(D144,$F$11)), E143+LN($D$11)+LN(1-$H$11)-LN(60/$E$11)-LN(MIN(D144,$F$11))))</f>
        <v>-12.358205518148235</v>
      </c>
      <c r="F144" s="1">
        <f t="shared" si="11"/>
        <v>-14.360238327347293</v>
      </c>
      <c r="G144" s="1">
        <f t="shared" si="9"/>
        <v>5.7999965551412102E-7</v>
      </c>
      <c r="H144" s="1">
        <f t="shared" si="6"/>
        <v>5.693119004119817E-8</v>
      </c>
      <c r="I144">
        <f>IF($F$11&lt;=D144, IF(D144&lt;=$A$15,D144-$F$11,$C$11),0)</f>
        <v>60</v>
      </c>
      <c r="J144">
        <f t="shared" si="7"/>
        <v>57</v>
      </c>
      <c r="K144" s="5">
        <f>IF(D144&lt;$F$11,H144,0)</f>
        <v>0</v>
      </c>
      <c r="L144">
        <f>IF(D144&lt;$A$15,$D$11,$D$11*(1-$H$11))</f>
        <v>85</v>
      </c>
      <c r="M144">
        <f t="shared" si="8"/>
        <v>1</v>
      </c>
      <c r="N144">
        <f>IF(SUM(I144:J144)&lt;=($G$11/60*$F$11/($E$11/60)),1,0)</f>
        <v>0</v>
      </c>
    </row>
    <row r="145" spans="4:14" x14ac:dyDescent="0.2">
      <c r="D145">
        <f t="shared" si="10"/>
        <v>122</v>
      </c>
      <c r="E145" s="1">
        <f>IF($H$11=1,IF(D145&lt;=$A$15, E144+LN($D$11)-LN(60/$E$11)-LN(MIN(D145,$F$11)), E144-LN(60/$E$11)-LN(MIN(D145,$F$11))), IF(D145&lt;=$A$15, E144+LN($D$11)-LN(60/$E$11)-LN(MIN(D145,$F$11)), E144+LN($D$11)+LN(1-$H$11)-LN(60/$E$11)-LN(MIN(D145,$F$11))))</f>
        <v>-12.479902453125755</v>
      </c>
      <c r="F145" s="1">
        <f t="shared" si="11"/>
        <v>-14.481935262324814</v>
      </c>
      <c r="G145" s="1">
        <f t="shared" si="9"/>
        <v>5.1354136165312725E-7</v>
      </c>
      <c r="H145" s="1">
        <f t="shared" si="6"/>
        <v>5.0407824515644138E-8</v>
      </c>
      <c r="I145">
        <f>IF($F$11&lt;=D145, IF(D145&lt;=$A$15,D145-$F$11,$C$11),0)</f>
        <v>60</v>
      </c>
      <c r="J145">
        <f t="shared" si="7"/>
        <v>58</v>
      </c>
      <c r="K145" s="5">
        <f>IF(D145&lt;$F$11,H145,0)</f>
        <v>0</v>
      </c>
      <c r="L145">
        <f>IF(D145&lt;$A$15,$D$11,$D$11*(1-$H$11))</f>
        <v>85</v>
      </c>
      <c r="M145">
        <f t="shared" si="8"/>
        <v>1</v>
      </c>
      <c r="N145">
        <f>IF(SUM(I145:J145)&lt;=($G$11/60*$F$11/($E$11/60)),1,0)</f>
        <v>0</v>
      </c>
    </row>
    <row r="146" spans="4:14" x14ac:dyDescent="0.2">
      <c r="D146">
        <f t="shared" si="10"/>
        <v>123</v>
      </c>
      <c r="E146" s="1">
        <f>IF($H$11=1,IF(D146&lt;=$A$15, E145+LN($D$11)-LN(60/$E$11)-LN(MIN(D146,$F$11)), E145-LN(60/$E$11)-LN(MIN(D146,$F$11))), IF(D146&lt;=$A$15, E145+LN($D$11)-LN(60/$E$11)-LN(MIN(D146,$F$11)), E145+LN($D$11)+LN(1-$H$11)-LN(60/$E$11)-LN(MIN(D146,$F$11))))</f>
        <v>-12.601599388103274</v>
      </c>
      <c r="F146" s="1">
        <f t="shared" si="11"/>
        <v>-14.603632197302332</v>
      </c>
      <c r="G146" s="1">
        <f t="shared" si="9"/>
        <v>4.5469808063037408E-7</v>
      </c>
      <c r="H146" s="1">
        <f t="shared" si="6"/>
        <v>4.463192795656001E-8</v>
      </c>
      <c r="I146">
        <f>IF($F$11&lt;=D146, IF(D146&lt;=$A$15,D146-$F$11,$C$11),0)</f>
        <v>60</v>
      </c>
      <c r="J146">
        <f t="shared" si="7"/>
        <v>59</v>
      </c>
      <c r="K146" s="5">
        <f>IF(D146&lt;$F$11,H146,0)</f>
        <v>0</v>
      </c>
      <c r="L146">
        <f>IF(D146&lt;$A$15,$D$11,$D$11*(1-$H$11))</f>
        <v>85</v>
      </c>
      <c r="M146">
        <f t="shared" si="8"/>
        <v>1</v>
      </c>
      <c r="N146">
        <f>IF(SUM(I146:J146)&lt;=($G$11/60*$F$11/($E$11/60)),1,0)</f>
        <v>0</v>
      </c>
    </row>
    <row r="147" spans="4:14" x14ac:dyDescent="0.2">
      <c r="D147">
        <f t="shared" si="10"/>
        <v>124</v>
      </c>
      <c r="E147" s="1">
        <f>IF($H$11=1,IF(D147&lt;=$A$15, E146+LN($D$11)-LN(60/$E$11)-LN(MIN(D147,$F$11)), E146-LN(60/$E$11)-LN(MIN(D147,$F$11))), IF(D147&lt;=$A$15, E146+LN($D$11)-LN(60/$E$11)-LN(MIN(D147,$F$11)), E146+LN($D$11)+LN(1-$H$11)-LN(60/$E$11)-LN(MIN(D147,$F$11))))</f>
        <v>-12.723296323080794</v>
      </c>
      <c r="F147" s="1">
        <f t="shared" si="11"/>
        <v>-14.725329132279853</v>
      </c>
      <c r="G147" s="1">
        <f t="shared" si="9"/>
        <v>4.0259725889147647E-7</v>
      </c>
      <c r="H147" s="1">
        <f t="shared" si="6"/>
        <v>3.951785287820412E-8</v>
      </c>
      <c r="I147">
        <f>IF($F$11&lt;=D147, IF(D147&lt;=$A$15,D147-$F$11,$C$11),0)</f>
        <v>60</v>
      </c>
      <c r="J147">
        <f t="shared" si="7"/>
        <v>60</v>
      </c>
      <c r="K147" s="5">
        <f>IF(D147&lt;$F$11,H147,0)</f>
        <v>0</v>
      </c>
      <c r="L147">
        <f>IF(D147&lt;$A$15,$D$11,$D$11*(1-$H$11))</f>
        <v>85</v>
      </c>
      <c r="M147">
        <f t="shared" si="8"/>
        <v>1</v>
      </c>
      <c r="N147">
        <f>IF(SUM(I147:J147)&lt;=($G$11/60*$F$11/($E$11/60)),1,0)</f>
        <v>0</v>
      </c>
    </row>
    <row r="148" spans="4:14" x14ac:dyDescent="0.2">
      <c r="D148">
        <f t="shared" si="10"/>
        <v>125</v>
      </c>
      <c r="E148" s="1">
        <f>IF($H$11=1,IF(D148&lt;=$A$15, E147+LN($D$11)-LN(60/$E$11)-LN(MIN(D148,$F$11)), E147-LN(60/$E$11)-LN(MIN(D148,$F$11))), IF(D148&lt;=$A$15, E147+LN($D$11)-LN(60/$E$11)-LN(MIN(D148,$F$11)), E147+LN($D$11)+LN(1-$H$11)-LN(60/$E$11)-LN(MIN(D148,$F$11))))</f>
        <v>-12.844993258058313</v>
      </c>
      <c r="F148" s="1">
        <f t="shared" si="11"/>
        <v>-14.847026067257371</v>
      </c>
      <c r="G148" s="1">
        <f t="shared" si="9"/>
        <v>3.564663229768289E-7</v>
      </c>
      <c r="H148" s="1">
        <f t="shared" si="6"/>
        <v>3.498976556924331E-8</v>
      </c>
      <c r="I148">
        <f>IF($F$11&lt;=D148, IF(D148&lt;=$A$15,D148-$F$11,$C$11),0)</f>
        <v>60</v>
      </c>
      <c r="J148">
        <f t="shared" si="7"/>
        <v>61</v>
      </c>
      <c r="K148" s="5">
        <f>IF(D148&lt;$F$11,H148,0)</f>
        <v>0</v>
      </c>
      <c r="L148">
        <f>IF(D148&lt;$A$15,$D$11,$D$11*(1-$H$11))</f>
        <v>85</v>
      </c>
      <c r="M148">
        <f t="shared" si="8"/>
        <v>1</v>
      </c>
      <c r="N148">
        <f>IF(SUM(I148:J148)&lt;=($G$11/60*$F$11/($E$11/60)),1,0)</f>
        <v>0</v>
      </c>
    </row>
    <row r="149" spans="4:14" x14ac:dyDescent="0.2">
      <c r="D149">
        <f t="shared" si="10"/>
        <v>126</v>
      </c>
      <c r="E149" s="1">
        <f>IF($H$11=1,IF(D149&lt;=$A$15, E148+LN($D$11)-LN(60/$E$11)-LN(MIN(D149,$F$11)), E148-LN(60/$E$11)-LN(MIN(D149,$F$11))), IF(D149&lt;=$A$15, E148+LN($D$11)-LN(60/$E$11)-LN(MIN(D149,$F$11)), E148+LN($D$11)+LN(1-$H$11)-LN(60/$E$11)-LN(MIN(D149,$F$11))))</f>
        <v>-12.966690193035832</v>
      </c>
      <c r="F149" s="1">
        <f t="shared" si="11"/>
        <v>-14.968723002234892</v>
      </c>
      <c r="G149" s="1">
        <f t="shared" si="9"/>
        <v>3.1562122346906679E-7</v>
      </c>
      <c r="H149" s="1">
        <f t="shared" si="6"/>
        <v>3.0980521597767464E-8</v>
      </c>
      <c r="I149">
        <f>IF($F$11&lt;=D149, IF(D149&lt;=$A$15,D149-$F$11,$C$11),0)</f>
        <v>60</v>
      </c>
      <c r="J149">
        <f t="shared" si="7"/>
        <v>62</v>
      </c>
      <c r="K149" s="5">
        <f>IF(D149&lt;$F$11,H149,0)</f>
        <v>0</v>
      </c>
      <c r="L149">
        <f>IF(D149&lt;$A$15,$D$11,$D$11*(1-$H$11))</f>
        <v>85</v>
      </c>
      <c r="M149">
        <f t="shared" si="8"/>
        <v>1</v>
      </c>
      <c r="N149">
        <f>IF(SUM(I149:J149)&lt;=($G$11/60*$F$11/($E$11/60)),1,0)</f>
        <v>0</v>
      </c>
    </row>
    <row r="150" spans="4:14" x14ac:dyDescent="0.2">
      <c r="D150">
        <f t="shared" si="10"/>
        <v>127</v>
      </c>
      <c r="E150" s="1">
        <f>IF($H$11=1,IF(D150&lt;=$A$15, E149+LN($D$11)-LN(60/$E$11)-LN(MIN(D150,$F$11)), E149-LN(60/$E$11)-LN(MIN(D150,$F$11))), IF(D150&lt;=$A$15, E149+LN($D$11)-LN(60/$E$11)-LN(MIN(D150,$F$11)), E149+LN($D$11)+LN(1-$H$11)-LN(60/$E$11)-LN(MIN(D150,$F$11))))</f>
        <v>-13.088387128013352</v>
      </c>
      <c r="F150" s="1">
        <f t="shared" si="11"/>
        <v>-15.09041993721241</v>
      </c>
      <c r="G150" s="1">
        <f t="shared" si="9"/>
        <v>2.794562916132368E-7</v>
      </c>
      <c r="H150" s="1">
        <f t="shared" si="6"/>
        <v>2.7430670164690002E-8</v>
      </c>
      <c r="I150">
        <f>IF($F$11&lt;=D150, IF(D150&lt;=$A$15,D150-$F$11,$C$11),0)</f>
        <v>60</v>
      </c>
      <c r="J150">
        <f t="shared" si="7"/>
        <v>63</v>
      </c>
      <c r="K150" s="5">
        <f>IF(D150&lt;$F$11,H150,0)</f>
        <v>0</v>
      </c>
      <c r="L150">
        <f>IF(D150&lt;$A$15,$D$11,$D$11*(1-$H$11))</f>
        <v>85</v>
      </c>
      <c r="M150">
        <f t="shared" si="8"/>
        <v>1</v>
      </c>
      <c r="N150">
        <f>IF(SUM(I150:J150)&lt;=($G$11/60*$F$11/($E$11/60)),1,0)</f>
        <v>0</v>
      </c>
    </row>
    <row r="151" spans="4:14" x14ac:dyDescent="0.2">
      <c r="D151">
        <f t="shared" si="10"/>
        <v>128</v>
      </c>
      <c r="E151" s="1">
        <f>IF($H$11=1,IF(D151&lt;=$A$15, E150+LN($D$11)-LN(60/$E$11)-LN(MIN(D151,$F$11)), E150-LN(60/$E$11)-LN(MIN(D151,$F$11))), IF(D151&lt;=$A$15, E150+LN($D$11)-LN(60/$E$11)-LN(MIN(D151,$F$11)), E150+LN($D$11)+LN(1-$H$11)-LN(60/$E$11)-LN(MIN(D151,$F$11))))</f>
        <v>-13.210084062990871</v>
      </c>
      <c r="F151" s="1">
        <f t="shared" si="11"/>
        <v>-15.212116872189931</v>
      </c>
      <c r="G151" s="1">
        <f t="shared" si="9"/>
        <v>2.4743525819921977E-7</v>
      </c>
      <c r="H151" s="1">
        <f t="shared" ref="H151:H214" si="12">G151/$G$21</f>
        <v>2.4287572541652574E-8</v>
      </c>
      <c r="I151">
        <f>IF($F$11&lt;=D151, IF(D151&lt;=$A$15,D151-$F$11,$C$11),0)</f>
        <v>60</v>
      </c>
      <c r="J151">
        <f t="shared" ref="J151:J214" si="13">IF(D151&lt;=$A$15,0,D151-$A$15)</f>
        <v>64</v>
      </c>
      <c r="K151" s="5">
        <f>IF(D151&lt;$F$11,H151,0)</f>
        <v>0</v>
      </c>
      <c r="L151">
        <f>IF(D151&lt;$A$15,$D$11,$D$11*(1-$H$11))</f>
        <v>85</v>
      </c>
      <c r="M151">
        <f t="shared" ref="M151:M214" si="14">IF(D151&lt;$A$15,0,1)</f>
        <v>1</v>
      </c>
      <c r="N151">
        <f>IF(SUM(I151:J151)&lt;=($G$11/60*$F$11/($E$11/60)),1,0)</f>
        <v>0</v>
      </c>
    </row>
    <row r="152" spans="4:14" x14ac:dyDescent="0.2">
      <c r="D152">
        <f t="shared" si="10"/>
        <v>129</v>
      </c>
      <c r="E152" s="1">
        <f>IF($H$11=1,IF(D152&lt;=$A$15, E151+LN($D$11)-LN(60/$E$11)-LN(MIN(D152,$F$11)), E151-LN(60/$E$11)-LN(MIN(D152,$F$11))), IF(D152&lt;=$A$15, E151+LN($D$11)-LN(60/$E$11)-LN(MIN(D152,$F$11)), E151+LN($D$11)+LN(1-$H$11)-LN(60/$E$11)-LN(MIN(D152,$F$11))))</f>
        <v>-13.331780997968391</v>
      </c>
      <c r="F152" s="1">
        <f t="shared" si="11"/>
        <v>-15.333813807167449</v>
      </c>
      <c r="G152" s="1">
        <f t="shared" ref="G152:G215" si="15">EXP(F152)</f>
        <v>2.1908330153055961E-7</v>
      </c>
      <c r="H152" s="1">
        <f t="shared" si="12"/>
        <v>2.1504621521254928E-8</v>
      </c>
      <c r="I152">
        <f>IF($F$11&lt;=D152, IF(D152&lt;=$A$15,D152-$F$11,$C$11),0)</f>
        <v>60</v>
      </c>
      <c r="J152">
        <f t="shared" si="13"/>
        <v>65</v>
      </c>
      <c r="K152" s="5">
        <f>IF(D152&lt;$F$11,H152,0)</f>
        <v>0</v>
      </c>
      <c r="L152">
        <f>IF(D152&lt;$A$15,$D$11,$D$11*(1-$H$11))</f>
        <v>85</v>
      </c>
      <c r="M152">
        <f t="shared" si="14"/>
        <v>1</v>
      </c>
      <c r="N152">
        <f>IF(SUM(I152:J152)&lt;=($G$11/60*$F$11/($E$11/60)),1,0)</f>
        <v>0</v>
      </c>
    </row>
    <row r="153" spans="4:14" x14ac:dyDescent="0.2">
      <c r="D153">
        <f t="shared" ref="D153:D216" si="16">1+D152</f>
        <v>130</v>
      </c>
      <c r="E153" s="1">
        <f>IF($H$11=1,IF(D153&lt;=$A$15, E152+LN($D$11)-LN(60/$E$11)-LN(MIN(D153,$F$11)), E152-LN(60/$E$11)-LN(MIN(D153,$F$11))), IF(D153&lt;=$A$15, E152+LN($D$11)-LN(60/$E$11)-LN(MIN(D153,$F$11)), E152+LN($D$11)+LN(1-$H$11)-LN(60/$E$11)-LN(MIN(D153,$F$11))))</f>
        <v>-13.45347793294591</v>
      </c>
      <c r="F153" s="1">
        <f t="shared" ref="F153:F216" si="17">E153-$E$21</f>
        <v>-15.45551074214497</v>
      </c>
      <c r="G153" s="1">
        <f t="shared" si="15"/>
        <v>1.9398000656351605E-7</v>
      </c>
      <c r="H153" s="1">
        <f t="shared" si="12"/>
        <v>1.9040550305277775E-8</v>
      </c>
      <c r="I153">
        <f>IF($F$11&lt;=D153, IF(D153&lt;=$A$15,D153-$F$11,$C$11),0)</f>
        <v>60</v>
      </c>
      <c r="J153">
        <f t="shared" si="13"/>
        <v>66</v>
      </c>
      <c r="K153" s="5">
        <f>IF(D153&lt;$F$11,H153,0)</f>
        <v>0</v>
      </c>
      <c r="L153">
        <f>IF(D153&lt;$A$15,$D$11,$D$11*(1-$H$11))</f>
        <v>85</v>
      </c>
      <c r="M153">
        <f t="shared" si="14"/>
        <v>1</v>
      </c>
      <c r="N153">
        <f>IF(SUM(I153:J153)&lt;=($G$11/60*$F$11/($E$11/60)),1,0)</f>
        <v>0</v>
      </c>
    </row>
    <row r="154" spans="4:14" x14ac:dyDescent="0.2">
      <c r="D154">
        <f t="shared" si="16"/>
        <v>131</v>
      </c>
      <c r="E154" s="1">
        <f>IF($H$11=1,IF(D154&lt;=$A$15, E153+LN($D$11)-LN(60/$E$11)-LN(MIN(D154,$F$11)), E153-LN(60/$E$11)-LN(MIN(D154,$F$11))), IF(D154&lt;=$A$15, E153+LN($D$11)-LN(60/$E$11)-LN(MIN(D154,$F$11)), E153+LN($D$11)+LN(1-$H$11)-LN(60/$E$11)-LN(MIN(D154,$F$11))))</f>
        <v>-13.57517486792343</v>
      </c>
      <c r="F154" s="1">
        <f t="shared" si="17"/>
        <v>-15.577207677122487</v>
      </c>
      <c r="G154" s="1">
        <f t="shared" si="15"/>
        <v>1.7175313081144688E-7</v>
      </c>
      <c r="H154" s="1">
        <f t="shared" si="12"/>
        <v>1.6858820582798066E-8</v>
      </c>
      <c r="I154">
        <f>IF($F$11&lt;=D154, IF(D154&lt;=$A$15,D154-$F$11,$C$11),0)</f>
        <v>60</v>
      </c>
      <c r="J154">
        <f t="shared" si="13"/>
        <v>67</v>
      </c>
      <c r="K154" s="5">
        <f>IF(D154&lt;$F$11,H154,0)</f>
        <v>0</v>
      </c>
      <c r="L154">
        <f>IF(D154&lt;$A$15,$D$11,$D$11*(1-$H$11))</f>
        <v>85</v>
      </c>
      <c r="M154">
        <f t="shared" si="14"/>
        <v>1</v>
      </c>
      <c r="N154">
        <f>IF(SUM(I154:J154)&lt;=($G$11/60*$F$11/($E$11/60)),1,0)</f>
        <v>0</v>
      </c>
    </row>
    <row r="155" spans="4:14" x14ac:dyDescent="0.2">
      <c r="D155">
        <f t="shared" si="16"/>
        <v>132</v>
      </c>
      <c r="E155" s="1">
        <f>IF($H$11=1,IF(D155&lt;=$A$15, E154+LN($D$11)-LN(60/$E$11)-LN(MIN(D155,$F$11)), E154-LN(60/$E$11)-LN(MIN(D155,$F$11))), IF(D155&lt;=$A$15, E154+LN($D$11)-LN(60/$E$11)-LN(MIN(D155,$F$11)), E154+LN($D$11)+LN(1-$H$11)-LN(60/$E$11)-LN(MIN(D155,$F$11))))</f>
        <v>-13.696871802900949</v>
      </c>
      <c r="F155" s="1">
        <f t="shared" si="17"/>
        <v>-15.698904612100009</v>
      </c>
      <c r="G155" s="1">
        <f t="shared" si="15"/>
        <v>1.5207308457263504E-7</v>
      </c>
      <c r="H155" s="1">
        <f t="shared" si="12"/>
        <v>1.4927080724352432E-8</v>
      </c>
      <c r="I155">
        <f>IF($F$11&lt;=D155, IF(D155&lt;=$A$15,D155-$F$11,$C$11),0)</f>
        <v>60</v>
      </c>
      <c r="J155">
        <f t="shared" si="13"/>
        <v>68</v>
      </c>
      <c r="K155" s="5">
        <f>IF(D155&lt;$F$11,H155,0)</f>
        <v>0</v>
      </c>
      <c r="L155">
        <f>IF(D155&lt;$A$15,$D$11,$D$11*(1-$H$11))</f>
        <v>85</v>
      </c>
      <c r="M155">
        <f t="shared" si="14"/>
        <v>1</v>
      </c>
      <c r="N155">
        <f>IF(SUM(I155:J155)&lt;=($G$11/60*$F$11/($E$11/60)),1,0)</f>
        <v>0</v>
      </c>
    </row>
    <row r="156" spans="4:14" x14ac:dyDescent="0.2">
      <c r="D156">
        <f t="shared" si="16"/>
        <v>133</v>
      </c>
      <c r="E156" s="1">
        <f>IF($H$11=1,IF(D156&lt;=$A$15, E155+LN($D$11)-LN(60/$E$11)-LN(MIN(D156,$F$11)), E155-LN(60/$E$11)-LN(MIN(D156,$F$11))), IF(D156&lt;=$A$15, E155+LN($D$11)-LN(60/$E$11)-LN(MIN(D156,$F$11)), E155+LN($D$11)+LN(1-$H$11)-LN(60/$E$11)-LN(MIN(D156,$F$11))))</f>
        <v>-13.818568737878469</v>
      </c>
      <c r="F156" s="1">
        <f t="shared" si="17"/>
        <v>-15.820601547077526</v>
      </c>
      <c r="G156" s="1">
        <f t="shared" si="15"/>
        <v>1.3464804363202089E-7</v>
      </c>
      <c r="H156" s="1">
        <f t="shared" si="12"/>
        <v>1.321668605802041E-8</v>
      </c>
      <c r="I156">
        <f>IF($F$11&lt;=D156, IF(D156&lt;=$A$15,D156-$F$11,$C$11),0)</f>
        <v>60</v>
      </c>
      <c r="J156">
        <f t="shared" si="13"/>
        <v>69</v>
      </c>
      <c r="K156" s="5">
        <f>IF(D156&lt;$F$11,H156,0)</f>
        <v>0</v>
      </c>
      <c r="L156">
        <f>IF(D156&lt;$A$15,$D$11,$D$11*(1-$H$11))</f>
        <v>85</v>
      </c>
      <c r="M156">
        <f t="shared" si="14"/>
        <v>1</v>
      </c>
      <c r="N156">
        <f>IF(SUM(I156:J156)&lt;=($G$11/60*$F$11/($E$11/60)),1,0)</f>
        <v>0</v>
      </c>
    </row>
    <row r="157" spans="4:14" x14ac:dyDescent="0.2">
      <c r="D157">
        <f t="shared" si="16"/>
        <v>134</v>
      </c>
      <c r="E157" s="1">
        <f>IF($H$11=1,IF(D157&lt;=$A$15, E156+LN($D$11)-LN(60/$E$11)-LN(MIN(D157,$F$11)), E156-LN(60/$E$11)-LN(MIN(D157,$F$11))), IF(D157&lt;=$A$15, E156+LN($D$11)-LN(60/$E$11)-LN(MIN(D157,$F$11)), E156+LN($D$11)+LN(1-$H$11)-LN(60/$E$11)-LN(MIN(D157,$F$11))))</f>
        <v>-13.940265672855988</v>
      </c>
      <c r="F157" s="1">
        <f t="shared" si="17"/>
        <v>-15.942298482055048</v>
      </c>
      <c r="G157" s="1">
        <f t="shared" si="15"/>
        <v>1.1921962196585166E-7</v>
      </c>
      <c r="H157" s="1">
        <f t="shared" si="12"/>
        <v>1.1702274113872222E-8</v>
      </c>
      <c r="I157">
        <f>IF($F$11&lt;=D157, IF(D157&lt;=$A$15,D157-$F$11,$C$11),0)</f>
        <v>60</v>
      </c>
      <c r="J157">
        <f t="shared" si="13"/>
        <v>70</v>
      </c>
      <c r="K157" s="5">
        <f>IF(D157&lt;$F$11,H157,0)</f>
        <v>0</v>
      </c>
      <c r="L157">
        <f>IF(D157&lt;$A$15,$D$11,$D$11*(1-$H$11))</f>
        <v>85</v>
      </c>
      <c r="M157">
        <f t="shared" si="14"/>
        <v>1</v>
      </c>
      <c r="N157">
        <f>IF(SUM(I157:J157)&lt;=($G$11/60*$F$11/($E$11/60)),1,0)</f>
        <v>0</v>
      </c>
    </row>
    <row r="158" spans="4:14" x14ac:dyDescent="0.2">
      <c r="D158">
        <f t="shared" si="16"/>
        <v>135</v>
      </c>
      <c r="E158" s="1">
        <f>IF($H$11=1,IF(D158&lt;=$A$15, E157+LN($D$11)-LN(60/$E$11)-LN(MIN(D158,$F$11)), E157-LN(60/$E$11)-LN(MIN(D158,$F$11))), IF(D158&lt;=$A$15, E157+LN($D$11)-LN(60/$E$11)-LN(MIN(D158,$F$11)), E157+LN($D$11)+LN(1-$H$11)-LN(60/$E$11)-LN(MIN(D158,$F$11))))</f>
        <v>-14.061962607833507</v>
      </c>
      <c r="F158" s="1">
        <f t="shared" si="17"/>
        <v>-16.063995417032565</v>
      </c>
      <c r="G158" s="1">
        <f t="shared" si="15"/>
        <v>1.0555904028226472E-7</v>
      </c>
      <c r="H158" s="1">
        <f t="shared" si="12"/>
        <v>1.0361388538324385E-8</v>
      </c>
      <c r="I158">
        <f>IF($F$11&lt;=D158, IF(D158&lt;=$A$15,D158-$F$11,$C$11),0)</f>
        <v>60</v>
      </c>
      <c r="J158">
        <f t="shared" si="13"/>
        <v>71</v>
      </c>
      <c r="K158" s="5">
        <f>IF(D158&lt;$F$11,H158,0)</f>
        <v>0</v>
      </c>
      <c r="L158">
        <f>IF(D158&lt;$A$15,$D$11,$D$11*(1-$H$11))</f>
        <v>85</v>
      </c>
      <c r="M158">
        <f t="shared" si="14"/>
        <v>1</v>
      </c>
      <c r="N158">
        <f>IF(SUM(I158:J158)&lt;=($G$11/60*$F$11/($E$11/60)),1,0)</f>
        <v>0</v>
      </c>
    </row>
    <row r="159" spans="4:14" x14ac:dyDescent="0.2">
      <c r="D159">
        <f t="shared" si="16"/>
        <v>136</v>
      </c>
      <c r="E159" s="1">
        <f>IF($H$11=1,IF(D159&lt;=$A$15, E158+LN($D$11)-LN(60/$E$11)-LN(MIN(D159,$F$11)), E158-LN(60/$E$11)-LN(MIN(D159,$F$11))), IF(D159&lt;=$A$15, E158+LN($D$11)-LN(60/$E$11)-LN(MIN(D159,$F$11)), E158+LN($D$11)+LN(1-$H$11)-LN(60/$E$11)-LN(MIN(D159,$F$11))))</f>
        <v>-14.183659542811027</v>
      </c>
      <c r="F159" s="1">
        <f t="shared" si="17"/>
        <v>-16.185692352010086</v>
      </c>
      <c r="G159" s="1">
        <f t="shared" si="15"/>
        <v>9.3463733583255089E-8</v>
      </c>
      <c r="H159" s="1">
        <f t="shared" si="12"/>
        <v>9.1741461016413697E-9</v>
      </c>
      <c r="I159">
        <f>IF($F$11&lt;=D159, IF(D159&lt;=$A$15,D159-$F$11,$C$11),0)</f>
        <v>60</v>
      </c>
      <c r="J159">
        <f t="shared" si="13"/>
        <v>72</v>
      </c>
      <c r="K159" s="5">
        <f>IF(D159&lt;$F$11,H159,0)</f>
        <v>0</v>
      </c>
      <c r="L159">
        <f>IF(D159&lt;$A$15,$D$11,$D$11*(1-$H$11))</f>
        <v>85</v>
      </c>
      <c r="M159">
        <f t="shared" si="14"/>
        <v>1</v>
      </c>
      <c r="N159">
        <f>IF(SUM(I159:J159)&lt;=($G$11/60*$F$11/($E$11/60)),1,0)</f>
        <v>0</v>
      </c>
    </row>
    <row r="160" spans="4:14" x14ac:dyDescent="0.2">
      <c r="D160">
        <f t="shared" si="16"/>
        <v>137</v>
      </c>
      <c r="E160" s="1">
        <f>IF($H$11=1,IF(D160&lt;=$A$15, E159+LN($D$11)-LN(60/$E$11)-LN(MIN(D160,$F$11)), E159-LN(60/$E$11)-LN(MIN(D160,$F$11))), IF(D160&lt;=$A$15, E159+LN($D$11)-LN(60/$E$11)-LN(MIN(D160,$F$11)), E159+LN($D$11)+LN(1-$H$11)-LN(60/$E$11)-LN(MIN(D160,$F$11))))</f>
        <v>-14.305356477788546</v>
      </c>
      <c r="F160" s="1">
        <f t="shared" si="17"/>
        <v>-16.307389286987604</v>
      </c>
      <c r="G160" s="1">
        <f t="shared" si="15"/>
        <v>8.2754347443507274E-8</v>
      </c>
      <c r="H160" s="1">
        <f t="shared" si="12"/>
        <v>8.1229418608283119E-9</v>
      </c>
      <c r="I160">
        <f>IF($F$11&lt;=D160, IF(D160&lt;=$A$15,D160-$F$11,$C$11),0)</f>
        <v>60</v>
      </c>
      <c r="J160">
        <f t="shared" si="13"/>
        <v>73</v>
      </c>
      <c r="K160" s="5">
        <f>IF(D160&lt;$F$11,H160,0)</f>
        <v>0</v>
      </c>
      <c r="L160">
        <f>IF(D160&lt;$A$15,$D$11,$D$11*(1-$H$11))</f>
        <v>85</v>
      </c>
      <c r="M160">
        <f t="shared" si="14"/>
        <v>1</v>
      </c>
      <c r="N160">
        <f>IF(SUM(I160:J160)&lt;=($G$11/60*$F$11/($E$11/60)),1,0)</f>
        <v>0</v>
      </c>
    </row>
    <row r="161" spans="4:14" x14ac:dyDescent="0.2">
      <c r="D161">
        <f t="shared" si="16"/>
        <v>138</v>
      </c>
      <c r="E161" s="1">
        <f>IF($H$11=1,IF(D161&lt;=$A$15, E160+LN($D$11)-LN(60/$E$11)-LN(MIN(D161,$F$11)), E160-LN(60/$E$11)-LN(MIN(D161,$F$11))), IF(D161&lt;=$A$15, E160+LN($D$11)-LN(60/$E$11)-LN(MIN(D161,$F$11)), E160+LN($D$11)+LN(1-$H$11)-LN(60/$E$11)-LN(MIN(D161,$F$11))))</f>
        <v>-14.427053412766066</v>
      </c>
      <c r="F161" s="1">
        <f t="shared" si="17"/>
        <v>-16.429086221965125</v>
      </c>
      <c r="G161" s="1">
        <f t="shared" si="15"/>
        <v>7.3272078465605304E-8</v>
      </c>
      <c r="H161" s="1">
        <f t="shared" si="12"/>
        <v>7.1921881059417256E-9</v>
      </c>
      <c r="I161">
        <f>IF($F$11&lt;=D161, IF(D161&lt;=$A$15,D161-$F$11,$C$11),0)</f>
        <v>60</v>
      </c>
      <c r="J161">
        <f t="shared" si="13"/>
        <v>74</v>
      </c>
      <c r="K161" s="5">
        <f>IF(D161&lt;$F$11,H161,0)</f>
        <v>0</v>
      </c>
      <c r="L161">
        <f>IF(D161&lt;$A$15,$D$11,$D$11*(1-$H$11))</f>
        <v>85</v>
      </c>
      <c r="M161">
        <f t="shared" si="14"/>
        <v>1</v>
      </c>
      <c r="N161">
        <f>IF(SUM(I161:J161)&lt;=($G$11/60*$F$11/($E$11/60)),1,0)</f>
        <v>0</v>
      </c>
    </row>
    <row r="162" spans="4:14" x14ac:dyDescent="0.2">
      <c r="D162">
        <f t="shared" si="16"/>
        <v>139</v>
      </c>
      <c r="E162" s="1">
        <f>IF($H$11=1,IF(D162&lt;=$A$15, E161+LN($D$11)-LN(60/$E$11)-LN(MIN(D162,$F$11)), E161-LN(60/$E$11)-LN(MIN(D162,$F$11))), IF(D162&lt;=$A$15, E161+LN($D$11)-LN(60/$E$11)-LN(MIN(D162,$F$11)), E161+LN($D$11)+LN(1-$H$11)-LN(60/$E$11)-LN(MIN(D162,$F$11))))</f>
        <v>-14.548750347743585</v>
      </c>
      <c r="F162" s="1">
        <f t="shared" si="17"/>
        <v>-16.550783156942643</v>
      </c>
      <c r="G162" s="1">
        <f t="shared" si="15"/>
        <v>6.4876319474754831E-8</v>
      </c>
      <c r="H162" s="1">
        <f t="shared" si="12"/>
        <v>6.3680832188025825E-9</v>
      </c>
      <c r="I162">
        <f>IF($F$11&lt;=D162, IF(D162&lt;=$A$15,D162-$F$11,$C$11),0)</f>
        <v>60</v>
      </c>
      <c r="J162">
        <f t="shared" si="13"/>
        <v>75</v>
      </c>
      <c r="K162" s="5">
        <f>IF(D162&lt;$F$11,H162,0)</f>
        <v>0</v>
      </c>
      <c r="L162">
        <f>IF(D162&lt;$A$15,$D$11,$D$11*(1-$H$11))</f>
        <v>85</v>
      </c>
      <c r="M162">
        <f t="shared" si="14"/>
        <v>1</v>
      </c>
      <c r="N162">
        <f>IF(SUM(I162:J162)&lt;=($G$11/60*$F$11/($E$11/60)),1,0)</f>
        <v>0</v>
      </c>
    </row>
    <row r="163" spans="4:14" x14ac:dyDescent="0.2">
      <c r="D163">
        <f t="shared" si="16"/>
        <v>140</v>
      </c>
      <c r="E163" s="1">
        <f>IF($H$11=1,IF(D163&lt;=$A$15, E162+LN($D$11)-LN(60/$E$11)-LN(MIN(D163,$F$11)), E162-LN(60/$E$11)-LN(MIN(D163,$F$11))), IF(D163&lt;=$A$15, E162+LN($D$11)-LN(60/$E$11)-LN(MIN(D163,$F$11)), E162+LN($D$11)+LN(1-$H$11)-LN(60/$E$11)-LN(MIN(D163,$F$11))))</f>
        <v>-14.670447282721105</v>
      </c>
      <c r="F163" s="1">
        <f t="shared" si="17"/>
        <v>-16.672480091920164</v>
      </c>
      <c r="G163" s="1">
        <f t="shared" si="15"/>
        <v>5.7442574534939089E-8</v>
      </c>
      <c r="H163" s="1">
        <f t="shared" si="12"/>
        <v>5.6384070166481121E-9</v>
      </c>
      <c r="I163">
        <f>IF($F$11&lt;=D163, IF(D163&lt;=$A$15,D163-$F$11,$C$11),0)</f>
        <v>60</v>
      </c>
      <c r="J163">
        <f t="shared" si="13"/>
        <v>76</v>
      </c>
      <c r="K163" s="5">
        <f>IF(D163&lt;$F$11,H163,0)</f>
        <v>0</v>
      </c>
      <c r="L163">
        <f>IF(D163&lt;$A$15,$D$11,$D$11*(1-$H$11))</f>
        <v>85</v>
      </c>
      <c r="M163">
        <f t="shared" si="14"/>
        <v>1</v>
      </c>
      <c r="N163">
        <f>IF(SUM(I163:J163)&lt;=($G$11/60*$F$11/($E$11/60)),1,0)</f>
        <v>0</v>
      </c>
    </row>
    <row r="164" spans="4:14" x14ac:dyDescent="0.2">
      <c r="D164">
        <f t="shared" si="16"/>
        <v>141</v>
      </c>
      <c r="E164" s="1">
        <f>IF($H$11=1,IF(D164&lt;=$A$15, E163+LN($D$11)-LN(60/$E$11)-LN(MIN(D164,$F$11)), E163-LN(60/$E$11)-LN(MIN(D164,$F$11))), IF(D164&lt;=$A$15, E163+LN($D$11)-LN(60/$E$11)-LN(MIN(D164,$F$11)), E163+LN($D$11)+LN(1-$H$11)-LN(60/$E$11)-LN(MIN(D164,$F$11))))</f>
        <v>-14.792144217698624</v>
      </c>
      <c r="F164" s="1">
        <f t="shared" si="17"/>
        <v>-16.794177026897682</v>
      </c>
      <c r="G164" s="1">
        <f t="shared" si="15"/>
        <v>5.0860612869477431E-8</v>
      </c>
      <c r="H164" s="1">
        <f t="shared" si="12"/>
        <v>4.9923395459905265E-9</v>
      </c>
      <c r="I164">
        <f>IF($F$11&lt;=D164, IF(D164&lt;=$A$15,D164-$F$11,$C$11),0)</f>
        <v>60</v>
      </c>
      <c r="J164">
        <f t="shared" si="13"/>
        <v>77</v>
      </c>
      <c r="K164" s="5">
        <f>IF(D164&lt;$F$11,H164,0)</f>
        <v>0</v>
      </c>
      <c r="L164">
        <f>IF(D164&lt;$A$15,$D$11,$D$11*(1-$H$11))</f>
        <v>85</v>
      </c>
      <c r="M164">
        <f t="shared" si="14"/>
        <v>1</v>
      </c>
      <c r="N164">
        <f>IF(SUM(I164:J164)&lt;=($G$11/60*$F$11/($E$11/60)),1,0)</f>
        <v>0</v>
      </c>
    </row>
    <row r="165" spans="4:14" x14ac:dyDescent="0.2">
      <c r="D165">
        <f t="shared" si="16"/>
        <v>142</v>
      </c>
      <c r="E165" s="1">
        <f>IF($H$11=1,IF(D165&lt;=$A$15, E164+LN($D$11)-LN(60/$E$11)-LN(MIN(D165,$F$11)), E164-LN(60/$E$11)-LN(MIN(D165,$F$11))), IF(D165&lt;=$A$15, E164+LN($D$11)-LN(60/$E$11)-LN(MIN(D165,$F$11)), E164+LN($D$11)+LN(1-$H$11)-LN(60/$E$11)-LN(MIN(D165,$F$11))))</f>
        <v>-14.913841152676143</v>
      </c>
      <c r="F165" s="1">
        <f t="shared" si="17"/>
        <v>-16.915873961875203</v>
      </c>
      <c r="G165" s="1">
        <f t="shared" si="15"/>
        <v>4.5032834311516408E-8</v>
      </c>
      <c r="H165" s="1">
        <f t="shared" si="12"/>
        <v>4.4203006396791061E-9</v>
      </c>
      <c r="I165">
        <f>IF($F$11&lt;=D165, IF(D165&lt;=$A$15,D165-$F$11,$C$11),0)</f>
        <v>60</v>
      </c>
      <c r="J165">
        <f t="shared" si="13"/>
        <v>78</v>
      </c>
      <c r="K165" s="5">
        <f>IF(D165&lt;$F$11,H165,0)</f>
        <v>0</v>
      </c>
      <c r="L165">
        <f>IF(D165&lt;$A$15,$D$11,$D$11*(1-$H$11))</f>
        <v>85</v>
      </c>
      <c r="M165">
        <f t="shared" si="14"/>
        <v>1</v>
      </c>
      <c r="N165">
        <f>IF(SUM(I165:J165)&lt;=($G$11/60*$F$11/($E$11/60)),1,0)</f>
        <v>0</v>
      </c>
    </row>
    <row r="166" spans="4:14" x14ac:dyDescent="0.2">
      <c r="D166">
        <f t="shared" si="16"/>
        <v>143</v>
      </c>
      <c r="E166" s="1">
        <f>IF($H$11=1,IF(D166&lt;=$A$15, E165+LN($D$11)-LN(60/$E$11)-LN(MIN(D166,$F$11)), E165-LN(60/$E$11)-LN(MIN(D166,$F$11))), IF(D166&lt;=$A$15, E165+LN($D$11)-LN(60/$E$11)-LN(MIN(D166,$F$11)), E165+LN($D$11)+LN(1-$H$11)-LN(60/$E$11)-LN(MIN(D166,$F$11))))</f>
        <v>-15.035538087653663</v>
      </c>
      <c r="F166" s="1">
        <f t="shared" si="17"/>
        <v>-17.037570896852721</v>
      </c>
      <c r="G166" s="1">
        <f t="shared" si="15"/>
        <v>3.9872822046655242E-8</v>
      </c>
      <c r="H166" s="1">
        <f t="shared" si="12"/>
        <v>3.9138078580492171E-9</v>
      </c>
      <c r="I166">
        <f>IF($F$11&lt;=D166, IF(D166&lt;=$A$15,D166-$F$11,$C$11),0)</f>
        <v>60</v>
      </c>
      <c r="J166">
        <f t="shared" si="13"/>
        <v>79</v>
      </c>
      <c r="K166" s="5">
        <f>IF(D166&lt;$F$11,H166,0)</f>
        <v>0</v>
      </c>
      <c r="L166">
        <f>IF(D166&lt;$A$15,$D$11,$D$11*(1-$H$11))</f>
        <v>85</v>
      </c>
      <c r="M166">
        <f t="shared" si="14"/>
        <v>1</v>
      </c>
      <c r="N166">
        <f>IF(SUM(I166:J166)&lt;=($G$11/60*$F$11/($E$11/60)),1,0)</f>
        <v>0</v>
      </c>
    </row>
    <row r="167" spans="4:14" x14ac:dyDescent="0.2">
      <c r="D167">
        <f t="shared" si="16"/>
        <v>144</v>
      </c>
      <c r="E167" s="1">
        <f>IF($H$11=1,IF(D167&lt;=$A$15, E166+LN($D$11)-LN(60/$E$11)-LN(MIN(D167,$F$11)), E166-LN(60/$E$11)-LN(MIN(D167,$F$11))), IF(D167&lt;=$A$15, E166+LN($D$11)-LN(60/$E$11)-LN(MIN(D167,$F$11)), E166+LN($D$11)+LN(1-$H$11)-LN(60/$E$11)-LN(MIN(D167,$F$11))))</f>
        <v>-15.157235022631182</v>
      </c>
      <c r="F167" s="1">
        <f t="shared" si="17"/>
        <v>-17.159267831830242</v>
      </c>
      <c r="G167" s="1">
        <f t="shared" si="15"/>
        <v>3.5304061187142612E-8</v>
      </c>
      <c r="H167" s="1">
        <f t="shared" si="12"/>
        <v>3.4653507076477393E-9</v>
      </c>
      <c r="I167">
        <f>IF($F$11&lt;=D167, IF(D167&lt;=$A$15,D167-$F$11,$C$11),0)</f>
        <v>60</v>
      </c>
      <c r="J167">
        <f t="shared" si="13"/>
        <v>80</v>
      </c>
      <c r="K167" s="5">
        <f>IF(D167&lt;$F$11,H167,0)</f>
        <v>0</v>
      </c>
      <c r="L167">
        <f>IF(D167&lt;$A$15,$D$11,$D$11*(1-$H$11))</f>
        <v>85</v>
      </c>
      <c r="M167">
        <f t="shared" si="14"/>
        <v>1</v>
      </c>
      <c r="N167">
        <f>IF(SUM(I167:J167)&lt;=($G$11/60*$F$11/($E$11/60)),1,0)</f>
        <v>0</v>
      </c>
    </row>
    <row r="168" spans="4:14" x14ac:dyDescent="0.2">
      <c r="D168">
        <f t="shared" si="16"/>
        <v>145</v>
      </c>
      <c r="E168" s="1">
        <f>IF($H$11=1,IF(D168&lt;=$A$15, E167+LN($D$11)-LN(60/$E$11)-LN(MIN(D168,$F$11)), E167-LN(60/$E$11)-LN(MIN(D168,$F$11))), IF(D168&lt;=$A$15, E167+LN($D$11)-LN(60/$E$11)-LN(MIN(D168,$F$11)), E167+LN($D$11)+LN(1-$H$11)-LN(60/$E$11)-LN(MIN(D168,$F$11))))</f>
        <v>-15.278931957608702</v>
      </c>
      <c r="F168" s="1">
        <f t="shared" si="17"/>
        <v>-17.28096476680776</v>
      </c>
      <c r="G168" s="1">
        <f t="shared" si="15"/>
        <v>3.1258804176115917E-8</v>
      </c>
      <c r="H168" s="1">
        <f t="shared" si="12"/>
        <v>3.0682792723964418E-9</v>
      </c>
      <c r="I168">
        <f>IF($F$11&lt;=D168, IF(D168&lt;=$A$15,D168-$F$11,$C$11),0)</f>
        <v>60</v>
      </c>
      <c r="J168">
        <f t="shared" si="13"/>
        <v>81</v>
      </c>
      <c r="K168" s="5">
        <f>IF(D168&lt;$F$11,H168,0)</f>
        <v>0</v>
      </c>
      <c r="L168">
        <f>IF(D168&lt;$A$15,$D$11,$D$11*(1-$H$11))</f>
        <v>85</v>
      </c>
      <c r="M168">
        <f t="shared" si="14"/>
        <v>1</v>
      </c>
      <c r="N168">
        <f>IF(SUM(I168:J168)&lt;=($G$11/60*$F$11/($E$11/60)),1,0)</f>
        <v>0</v>
      </c>
    </row>
    <row r="169" spans="4:14" x14ac:dyDescent="0.2">
      <c r="D169">
        <f t="shared" si="16"/>
        <v>146</v>
      </c>
      <c r="E169" s="1">
        <f>IF($H$11=1,IF(D169&lt;=$A$15, E168+LN($D$11)-LN(60/$E$11)-LN(MIN(D169,$F$11)), E168-LN(60/$E$11)-LN(MIN(D169,$F$11))), IF(D169&lt;=$A$15, E168+LN($D$11)-LN(60/$E$11)-LN(MIN(D169,$F$11)), E168+LN($D$11)+LN(1-$H$11)-LN(60/$E$11)-LN(MIN(D169,$F$11))))</f>
        <v>-15.400628892586221</v>
      </c>
      <c r="F169" s="1">
        <f t="shared" si="17"/>
        <v>-17.402661701785281</v>
      </c>
      <c r="G169" s="1">
        <f t="shared" si="15"/>
        <v>2.7677066197602597E-8</v>
      </c>
      <c r="H169" s="1">
        <f t="shared" si="12"/>
        <v>2.7167056057676794E-9</v>
      </c>
      <c r="I169">
        <f>IF($F$11&lt;=D169, IF(D169&lt;=$A$15,D169-$F$11,$C$11),0)</f>
        <v>60</v>
      </c>
      <c r="J169">
        <f t="shared" si="13"/>
        <v>82</v>
      </c>
      <c r="K169" s="5">
        <f>IF(D169&lt;$F$11,H169,0)</f>
        <v>0</v>
      </c>
      <c r="L169">
        <f>IF(D169&lt;$A$15,$D$11,$D$11*(1-$H$11))</f>
        <v>85</v>
      </c>
      <c r="M169">
        <f t="shared" si="14"/>
        <v>1</v>
      </c>
      <c r="N169">
        <f>IF(SUM(I169:J169)&lt;=($G$11/60*$F$11/($E$11/60)),1,0)</f>
        <v>0</v>
      </c>
    </row>
    <row r="170" spans="4:14" x14ac:dyDescent="0.2">
      <c r="D170">
        <f t="shared" si="16"/>
        <v>147</v>
      </c>
      <c r="E170" s="1">
        <f>IF($H$11=1,IF(D170&lt;=$A$15, E169+LN($D$11)-LN(60/$E$11)-LN(MIN(D170,$F$11)), E169-LN(60/$E$11)-LN(MIN(D170,$F$11))), IF(D170&lt;=$A$15, E169+LN($D$11)-LN(60/$E$11)-LN(MIN(D170,$F$11)), E169+LN($D$11)+LN(1-$H$11)-LN(60/$E$11)-LN(MIN(D170,$F$11))))</f>
        <v>-15.522325827563741</v>
      </c>
      <c r="F170" s="1">
        <f t="shared" si="17"/>
        <v>-17.524358636762798</v>
      </c>
      <c r="G170" s="1">
        <f t="shared" si="15"/>
        <v>2.4505735695794016E-8</v>
      </c>
      <c r="H170" s="1">
        <f t="shared" si="12"/>
        <v>2.405416421773471E-9</v>
      </c>
      <c r="I170">
        <f>IF($F$11&lt;=D170, IF(D170&lt;=$A$15,D170-$F$11,$C$11),0)</f>
        <v>60</v>
      </c>
      <c r="J170">
        <f t="shared" si="13"/>
        <v>83</v>
      </c>
      <c r="K170" s="5">
        <f>IF(D170&lt;$F$11,H170,0)</f>
        <v>0</v>
      </c>
      <c r="L170">
        <f>IF(D170&lt;$A$15,$D$11,$D$11*(1-$H$11))</f>
        <v>85</v>
      </c>
      <c r="M170">
        <f t="shared" si="14"/>
        <v>1</v>
      </c>
      <c r="N170">
        <f>IF(SUM(I170:J170)&lt;=($G$11/60*$F$11/($E$11/60)),1,0)</f>
        <v>0</v>
      </c>
    </row>
    <row r="171" spans="4:14" x14ac:dyDescent="0.2">
      <c r="D171">
        <f t="shared" si="16"/>
        <v>148</v>
      </c>
      <c r="E171" s="1">
        <f>IF($H$11=1,IF(D171&lt;=$A$15, E170+LN($D$11)-LN(60/$E$11)-LN(MIN(D171,$F$11)), E170-LN(60/$E$11)-LN(MIN(D171,$F$11))), IF(D171&lt;=$A$15, E170+LN($D$11)-LN(60/$E$11)-LN(MIN(D171,$F$11)), E170+LN($D$11)+LN(1-$H$11)-LN(60/$E$11)-LN(MIN(D171,$F$11))))</f>
        <v>-15.64402276254126</v>
      </c>
      <c r="F171" s="1">
        <f t="shared" si="17"/>
        <v>-17.64605557174032</v>
      </c>
      <c r="G171" s="1">
        <f t="shared" si="15"/>
        <v>2.1697786813984254E-8</v>
      </c>
      <c r="H171" s="1">
        <f t="shared" si="12"/>
        <v>2.1297957901119245E-9</v>
      </c>
      <c r="I171">
        <f>IF($F$11&lt;=D171, IF(D171&lt;=$A$15,D171-$F$11,$C$11),0)</f>
        <v>60</v>
      </c>
      <c r="J171">
        <f t="shared" si="13"/>
        <v>84</v>
      </c>
      <c r="K171" s="5">
        <f>IF(D171&lt;$F$11,H171,0)</f>
        <v>0</v>
      </c>
      <c r="L171">
        <f>IF(D171&lt;$A$15,$D$11,$D$11*(1-$H$11))</f>
        <v>85</v>
      </c>
      <c r="M171">
        <f t="shared" si="14"/>
        <v>1</v>
      </c>
      <c r="N171">
        <f>IF(SUM(I171:J171)&lt;=($G$11/60*$F$11/($E$11/60)),1,0)</f>
        <v>0</v>
      </c>
    </row>
    <row r="172" spans="4:14" x14ac:dyDescent="0.2">
      <c r="D172">
        <f t="shared" si="16"/>
        <v>149</v>
      </c>
      <c r="E172" s="1">
        <f>IF($H$11=1,IF(D172&lt;=$A$15, E171+LN($D$11)-LN(60/$E$11)-LN(MIN(D172,$F$11)), E171-LN(60/$E$11)-LN(MIN(D172,$F$11))), IF(D172&lt;=$A$15, E171+LN($D$11)-LN(60/$E$11)-LN(MIN(D172,$F$11)), E171+LN($D$11)+LN(1-$H$11)-LN(60/$E$11)-LN(MIN(D172,$F$11))))</f>
        <v>-15.765719697518779</v>
      </c>
      <c r="F172" s="1">
        <f t="shared" si="17"/>
        <v>-17.767752506717837</v>
      </c>
      <c r="G172" s="1">
        <f t="shared" si="15"/>
        <v>1.9211582074881934E-8</v>
      </c>
      <c r="H172" s="1">
        <f t="shared" si="12"/>
        <v>1.8857566891616039E-9</v>
      </c>
      <c r="I172">
        <f>IF($F$11&lt;=D172, IF(D172&lt;=$A$15,D172-$F$11,$C$11),0)</f>
        <v>60</v>
      </c>
      <c r="J172">
        <f t="shared" si="13"/>
        <v>85</v>
      </c>
      <c r="K172" s="5">
        <f>IF(D172&lt;$F$11,H172,0)</f>
        <v>0</v>
      </c>
      <c r="L172">
        <f>IF(D172&lt;$A$15,$D$11,$D$11*(1-$H$11))</f>
        <v>85</v>
      </c>
      <c r="M172">
        <f t="shared" si="14"/>
        <v>1</v>
      </c>
      <c r="N172">
        <f>IF(SUM(I172:J172)&lt;=($G$11/60*$F$11/($E$11/60)),1,0)</f>
        <v>0</v>
      </c>
    </row>
    <row r="173" spans="4:14" x14ac:dyDescent="0.2">
      <c r="D173">
        <f t="shared" si="16"/>
        <v>150</v>
      </c>
      <c r="E173" s="1">
        <f>IF($H$11=1,IF(D173&lt;=$A$15, E172+LN($D$11)-LN(60/$E$11)-LN(MIN(D173,$F$11)), E172-LN(60/$E$11)-LN(MIN(D173,$F$11))), IF(D173&lt;=$A$15, E172+LN($D$11)-LN(60/$E$11)-LN(MIN(D173,$F$11)), E172+LN($D$11)+LN(1-$H$11)-LN(60/$E$11)-LN(MIN(D173,$F$11))))</f>
        <v>-15.887416632496299</v>
      </c>
      <c r="F173" s="1">
        <f t="shared" si="17"/>
        <v>-17.889449441695358</v>
      </c>
      <c r="G173" s="1">
        <f t="shared" si="15"/>
        <v>1.701025496213502E-8</v>
      </c>
      <c r="H173" s="1">
        <f t="shared" si="12"/>
        <v>1.6696804018618341E-9</v>
      </c>
      <c r="I173">
        <f>IF($F$11&lt;=D173, IF(D173&lt;=$A$15,D173-$F$11,$C$11),0)</f>
        <v>60</v>
      </c>
      <c r="J173">
        <f t="shared" si="13"/>
        <v>86</v>
      </c>
      <c r="K173" s="5">
        <f>IF(D173&lt;$F$11,H173,0)</f>
        <v>0</v>
      </c>
      <c r="L173">
        <f>IF(D173&lt;$A$15,$D$11,$D$11*(1-$H$11))</f>
        <v>85</v>
      </c>
      <c r="M173">
        <f t="shared" si="14"/>
        <v>1</v>
      </c>
      <c r="N173">
        <f>IF(SUM(I173:J173)&lt;=($G$11/60*$F$11/($E$11/60)),1,0)</f>
        <v>0</v>
      </c>
    </row>
    <row r="174" spans="4:14" x14ac:dyDescent="0.2">
      <c r="D174">
        <f t="shared" si="16"/>
        <v>151</v>
      </c>
      <c r="E174" s="1">
        <f>IF($H$11=1,IF(D174&lt;=$A$15, E173+LN($D$11)-LN(60/$E$11)-LN(MIN(D174,$F$11)), E173-LN(60/$E$11)-LN(MIN(D174,$F$11))), IF(D174&lt;=$A$15, E173+LN($D$11)-LN(60/$E$11)-LN(MIN(D174,$F$11)), E173+LN($D$11)+LN(1-$H$11)-LN(60/$E$11)-LN(MIN(D174,$F$11))))</f>
        <v>-16.009113567473818</v>
      </c>
      <c r="F174" s="1">
        <f t="shared" si="17"/>
        <v>-18.011146376672876</v>
      </c>
      <c r="G174" s="1">
        <f t="shared" si="15"/>
        <v>1.5061163247723749E-8</v>
      </c>
      <c r="H174" s="1">
        <f t="shared" si="12"/>
        <v>1.478362855815169E-9</v>
      </c>
      <c r="I174">
        <f>IF($F$11&lt;=D174, IF(D174&lt;=$A$15,D174-$F$11,$C$11),0)</f>
        <v>60</v>
      </c>
      <c r="J174">
        <f t="shared" si="13"/>
        <v>87</v>
      </c>
      <c r="K174" s="5">
        <f>IF(D174&lt;$F$11,H174,0)</f>
        <v>0</v>
      </c>
      <c r="L174">
        <f>IF(D174&lt;$A$15,$D$11,$D$11*(1-$H$11))</f>
        <v>85</v>
      </c>
      <c r="M174">
        <f t="shared" si="14"/>
        <v>1</v>
      </c>
      <c r="N174">
        <f>IF(SUM(I174:J174)&lt;=($G$11/60*$F$11/($E$11/60)),1,0)</f>
        <v>0</v>
      </c>
    </row>
    <row r="175" spans="4:14" x14ac:dyDescent="0.2">
      <c r="D175">
        <f t="shared" si="16"/>
        <v>152</v>
      </c>
      <c r="E175" s="1">
        <f>IF($H$11=1,IF(D175&lt;=$A$15, E174+LN($D$11)-LN(60/$E$11)-LN(MIN(D175,$F$11)), E174-LN(60/$E$11)-LN(MIN(D175,$F$11))), IF(D175&lt;=$A$15, E174+LN($D$11)-LN(60/$E$11)-LN(MIN(D175,$F$11)), E174+LN($D$11)+LN(1-$H$11)-LN(60/$E$11)-LN(MIN(D175,$F$11))))</f>
        <v>-16.130810502451336</v>
      </c>
      <c r="F175" s="1">
        <f t="shared" si="17"/>
        <v>-18.132843311650394</v>
      </c>
      <c r="G175" s="1">
        <f t="shared" si="15"/>
        <v>1.3335404958922098E-8</v>
      </c>
      <c r="H175" s="1">
        <f t="shared" si="12"/>
        <v>1.3089671119196838E-9</v>
      </c>
      <c r="I175">
        <f>IF($F$11&lt;=D175, IF(D175&lt;=$A$15,D175-$F$11,$C$11),0)</f>
        <v>60</v>
      </c>
      <c r="J175">
        <f t="shared" si="13"/>
        <v>88</v>
      </c>
      <c r="K175" s="5">
        <f>IF(D175&lt;$F$11,H175,0)</f>
        <v>0</v>
      </c>
      <c r="L175">
        <f>IF(D175&lt;$A$15,$D$11,$D$11*(1-$H$11))</f>
        <v>85</v>
      </c>
      <c r="M175">
        <f t="shared" si="14"/>
        <v>1</v>
      </c>
      <c r="N175">
        <f>IF(SUM(I175:J175)&lt;=($G$11/60*$F$11/($E$11/60)),1,0)</f>
        <v>0</v>
      </c>
    </row>
    <row r="176" spans="4:14" x14ac:dyDescent="0.2">
      <c r="D176">
        <f t="shared" si="16"/>
        <v>153</v>
      </c>
      <c r="E176" s="1">
        <f>IF($H$11=1,IF(D176&lt;=$A$15, E175+LN($D$11)-LN(60/$E$11)-LN(MIN(D176,$F$11)), E175-LN(60/$E$11)-LN(MIN(D176,$F$11))), IF(D176&lt;=$A$15, E175+LN($D$11)-LN(60/$E$11)-LN(MIN(D176,$F$11)), E175+LN($D$11)+LN(1-$H$11)-LN(60/$E$11)-LN(MIN(D176,$F$11))))</f>
        <v>-16.252507437428854</v>
      </c>
      <c r="F176" s="1">
        <f t="shared" si="17"/>
        <v>-18.254540246627911</v>
      </c>
      <c r="G176" s="1">
        <f t="shared" si="15"/>
        <v>1.1807389807378965E-8</v>
      </c>
      <c r="H176" s="1">
        <f t="shared" si="12"/>
        <v>1.1589812970122222E-9</v>
      </c>
      <c r="I176">
        <f>IF($F$11&lt;=D176, IF(D176&lt;=$A$15,D176-$F$11,$C$11),0)</f>
        <v>60</v>
      </c>
      <c r="J176">
        <f t="shared" si="13"/>
        <v>89</v>
      </c>
      <c r="K176" s="5">
        <f>IF(D176&lt;$F$11,H176,0)</f>
        <v>0</v>
      </c>
      <c r="L176">
        <f>IF(D176&lt;$A$15,$D$11,$D$11*(1-$H$11))</f>
        <v>85</v>
      </c>
      <c r="M176">
        <f t="shared" si="14"/>
        <v>1</v>
      </c>
      <c r="N176">
        <f>IF(SUM(I176:J176)&lt;=($G$11/60*$F$11/($E$11/60)),1,0)</f>
        <v>0</v>
      </c>
    </row>
    <row r="177" spans="4:14" x14ac:dyDescent="0.2">
      <c r="D177">
        <f t="shared" si="16"/>
        <v>154</v>
      </c>
      <c r="E177" s="1">
        <f>IF($H$11=1,IF(D177&lt;=$A$15, E176+LN($D$11)-LN(60/$E$11)-LN(MIN(D177,$F$11)), E176-LN(60/$E$11)-LN(MIN(D177,$F$11))), IF(D177&lt;=$A$15, E176+LN($D$11)-LN(60/$E$11)-LN(MIN(D177,$F$11)), E176+LN($D$11)+LN(1-$H$11)-LN(60/$E$11)-LN(MIN(D177,$F$11))))</f>
        <v>-16.374204372406371</v>
      </c>
      <c r="F177" s="1">
        <f t="shared" si="17"/>
        <v>-18.376237181605429</v>
      </c>
      <c r="G177" s="1">
        <f t="shared" si="15"/>
        <v>1.0454459725283482E-8</v>
      </c>
      <c r="H177" s="1">
        <f t="shared" si="12"/>
        <v>1.0261813567295741E-9</v>
      </c>
      <c r="I177">
        <f>IF($F$11&lt;=D177, IF(D177&lt;=$A$15,D177-$F$11,$C$11),0)</f>
        <v>60</v>
      </c>
      <c r="J177">
        <f t="shared" si="13"/>
        <v>90</v>
      </c>
      <c r="K177" s="5">
        <f>IF(D177&lt;$F$11,H177,0)</f>
        <v>0</v>
      </c>
      <c r="L177">
        <f>IF(D177&lt;$A$15,$D$11,$D$11*(1-$H$11))</f>
        <v>85</v>
      </c>
      <c r="M177">
        <f t="shared" si="14"/>
        <v>1</v>
      </c>
      <c r="N177">
        <f>IF(SUM(I177:J177)&lt;=($G$11/60*$F$11/($E$11/60)),1,0)</f>
        <v>0</v>
      </c>
    </row>
    <row r="178" spans="4:14" x14ac:dyDescent="0.2">
      <c r="D178">
        <f t="shared" si="16"/>
        <v>155</v>
      </c>
      <c r="E178" s="1">
        <f>IF($H$11=1,IF(D178&lt;=$A$15, E177+LN($D$11)-LN(60/$E$11)-LN(MIN(D178,$F$11)), E177-LN(60/$E$11)-LN(MIN(D178,$F$11))), IF(D178&lt;=$A$15, E177+LN($D$11)-LN(60/$E$11)-LN(MIN(D178,$F$11)), E177+LN($D$11)+LN(1-$H$11)-LN(60/$E$11)-LN(MIN(D178,$F$11))))</f>
        <v>-16.495901307383889</v>
      </c>
      <c r="F178" s="1">
        <f t="shared" si="17"/>
        <v>-18.497934116582947</v>
      </c>
      <c r="G178" s="1">
        <f t="shared" si="15"/>
        <v>9.2565528817614363E-9</v>
      </c>
      <c r="H178" s="1">
        <f t="shared" si="12"/>
        <v>9.0859807627097899E-10</v>
      </c>
      <c r="I178">
        <f>IF($F$11&lt;=D178, IF(D178&lt;=$A$15,D178-$F$11,$C$11),0)</f>
        <v>60</v>
      </c>
      <c r="J178">
        <f t="shared" si="13"/>
        <v>91</v>
      </c>
      <c r="K178" s="5">
        <f>IF(D178&lt;$F$11,H178,0)</f>
        <v>0</v>
      </c>
      <c r="L178">
        <f>IF(D178&lt;$A$15,$D$11,$D$11*(1-$H$11))</f>
        <v>85</v>
      </c>
      <c r="M178">
        <f t="shared" si="14"/>
        <v>1</v>
      </c>
      <c r="N178">
        <f>IF(SUM(I178:J178)&lt;=($G$11/60*$F$11/($E$11/60)),1,0)</f>
        <v>0</v>
      </c>
    </row>
    <row r="179" spans="4:14" x14ac:dyDescent="0.2">
      <c r="D179">
        <f t="shared" si="16"/>
        <v>156</v>
      </c>
      <c r="E179" s="1">
        <f>IF($H$11=1,IF(D179&lt;=$A$15, E178+LN($D$11)-LN(60/$E$11)-LN(MIN(D179,$F$11)), E178-LN(60/$E$11)-LN(MIN(D179,$F$11))), IF(D179&lt;=$A$15, E178+LN($D$11)-LN(60/$E$11)-LN(MIN(D179,$F$11)), E178+LN($D$11)+LN(1-$H$11)-LN(60/$E$11)-LN(MIN(D179,$F$11))))</f>
        <v>-16.617598242361407</v>
      </c>
      <c r="F179" s="1">
        <f t="shared" si="17"/>
        <v>-18.619631051560464</v>
      </c>
      <c r="G179" s="1">
        <f t="shared" si="15"/>
        <v>8.1959061973929543E-9</v>
      </c>
      <c r="H179" s="1">
        <f t="shared" si="12"/>
        <v>8.0448788003159762E-10</v>
      </c>
      <c r="I179">
        <f>IF($F$11&lt;=D179, IF(D179&lt;=$A$15,D179-$F$11,$C$11),0)</f>
        <v>60</v>
      </c>
      <c r="J179">
        <f t="shared" si="13"/>
        <v>92</v>
      </c>
      <c r="K179" s="5">
        <f>IF(D179&lt;$F$11,H179,0)</f>
        <v>0</v>
      </c>
      <c r="L179">
        <f>IF(D179&lt;$A$15,$D$11,$D$11*(1-$H$11))</f>
        <v>85</v>
      </c>
      <c r="M179">
        <f t="shared" si="14"/>
        <v>1</v>
      </c>
      <c r="N179">
        <f>IF(SUM(I179:J179)&lt;=($G$11/60*$F$11/($E$11/60)),1,0)</f>
        <v>0</v>
      </c>
    </row>
    <row r="180" spans="4:14" x14ac:dyDescent="0.2">
      <c r="D180">
        <f t="shared" si="16"/>
        <v>157</v>
      </c>
      <c r="E180" s="1">
        <f>IF($H$11=1,IF(D180&lt;=$A$15, E179+LN($D$11)-LN(60/$E$11)-LN(MIN(D180,$F$11)), E179-LN(60/$E$11)-LN(MIN(D180,$F$11))), IF(D180&lt;=$A$15, E179+LN($D$11)-LN(60/$E$11)-LN(MIN(D180,$F$11)), E179+LN($D$11)+LN(1-$H$11)-LN(60/$E$11)-LN(MIN(D180,$F$11))))</f>
        <v>-16.739295177338924</v>
      </c>
      <c r="F180" s="1">
        <f t="shared" si="17"/>
        <v>-18.741327986537982</v>
      </c>
      <c r="G180" s="1">
        <f t="shared" si="15"/>
        <v>7.2567919456083607E-9</v>
      </c>
      <c r="H180" s="1">
        <f t="shared" si="12"/>
        <v>7.1230697711131189E-10</v>
      </c>
      <c r="I180">
        <f>IF($F$11&lt;=D180, IF(D180&lt;=$A$15,D180-$F$11,$C$11),0)</f>
        <v>60</v>
      </c>
      <c r="J180">
        <f t="shared" si="13"/>
        <v>93</v>
      </c>
      <c r="K180" s="5">
        <f>IF(D180&lt;$F$11,H180,0)</f>
        <v>0</v>
      </c>
      <c r="L180">
        <f>IF(D180&lt;$A$15,$D$11,$D$11*(1-$H$11))</f>
        <v>85</v>
      </c>
      <c r="M180">
        <f t="shared" si="14"/>
        <v>1</v>
      </c>
      <c r="N180">
        <f>IF(SUM(I180:J180)&lt;=($G$11/60*$F$11/($E$11/60)),1,0)</f>
        <v>0</v>
      </c>
    </row>
    <row r="181" spans="4:14" x14ac:dyDescent="0.2">
      <c r="D181">
        <f t="shared" si="16"/>
        <v>158</v>
      </c>
      <c r="E181" s="1">
        <f>IF($H$11=1,IF(D181&lt;=$A$15, E180+LN($D$11)-LN(60/$E$11)-LN(MIN(D181,$F$11)), E180-LN(60/$E$11)-LN(MIN(D181,$F$11))), IF(D181&lt;=$A$15, E180+LN($D$11)-LN(60/$E$11)-LN(MIN(D181,$F$11)), E180+LN($D$11)+LN(1-$H$11)-LN(60/$E$11)-LN(MIN(D181,$F$11))))</f>
        <v>-16.860992112316442</v>
      </c>
      <c r="F181" s="1">
        <f t="shared" si="17"/>
        <v>-18.8630249215155</v>
      </c>
      <c r="G181" s="1">
        <f t="shared" si="15"/>
        <v>6.4252845351740831E-9</v>
      </c>
      <c r="H181" s="1">
        <f t="shared" si="12"/>
        <v>6.3068846931730874E-10</v>
      </c>
      <c r="I181">
        <f>IF($F$11&lt;=D181, IF(D181&lt;=$A$15,D181-$F$11,$C$11),0)</f>
        <v>60</v>
      </c>
      <c r="J181">
        <f t="shared" si="13"/>
        <v>94</v>
      </c>
      <c r="K181" s="5">
        <f>IF(D181&lt;$F$11,H181,0)</f>
        <v>0</v>
      </c>
      <c r="L181">
        <f>IF(D181&lt;$A$15,$D$11,$D$11*(1-$H$11))</f>
        <v>85</v>
      </c>
      <c r="M181">
        <f t="shared" si="14"/>
        <v>1</v>
      </c>
      <c r="N181">
        <f>IF(SUM(I181:J181)&lt;=($G$11/60*$F$11/($E$11/60)),1,0)</f>
        <v>0</v>
      </c>
    </row>
    <row r="182" spans="4:14" x14ac:dyDescent="0.2">
      <c r="D182">
        <f t="shared" si="16"/>
        <v>159</v>
      </c>
      <c r="E182" s="1">
        <f>IF($H$11=1,IF(D182&lt;=$A$15, E181+LN($D$11)-LN(60/$E$11)-LN(MIN(D182,$F$11)), E181-LN(60/$E$11)-LN(MIN(D182,$F$11))), IF(D182&lt;=$A$15, E181+LN($D$11)-LN(60/$E$11)-LN(MIN(D182,$F$11)), E181+LN($D$11)+LN(1-$H$11)-LN(60/$E$11)-LN(MIN(D182,$F$11))))</f>
        <v>-16.98268904729396</v>
      </c>
      <c r="F182" s="1">
        <f t="shared" si="17"/>
        <v>-18.984721856493017</v>
      </c>
      <c r="G182" s="1">
        <f t="shared" si="15"/>
        <v>5.6890540155187317E-9</v>
      </c>
      <c r="H182" s="1">
        <f t="shared" si="12"/>
        <v>5.5842208220803496E-10</v>
      </c>
      <c r="I182">
        <f>IF($F$11&lt;=D182, IF(D182&lt;=$A$15,D182-$F$11,$C$11),0)</f>
        <v>60</v>
      </c>
      <c r="J182">
        <f t="shared" si="13"/>
        <v>95</v>
      </c>
      <c r="K182" s="5">
        <f>IF(D182&lt;$F$11,H182,0)</f>
        <v>0</v>
      </c>
      <c r="L182">
        <f>IF(D182&lt;$A$15,$D$11,$D$11*(1-$H$11))</f>
        <v>85</v>
      </c>
      <c r="M182">
        <f t="shared" si="14"/>
        <v>1</v>
      </c>
      <c r="N182">
        <f>IF(SUM(I182:J182)&lt;=($G$11/60*$F$11/($E$11/60)),1,0)</f>
        <v>0</v>
      </c>
    </row>
    <row r="183" spans="4:14" x14ac:dyDescent="0.2">
      <c r="D183">
        <f t="shared" si="16"/>
        <v>160</v>
      </c>
      <c r="E183" s="1">
        <f>IF($H$11=1,IF(D183&lt;=$A$15, E182+LN($D$11)-LN(60/$E$11)-LN(MIN(D183,$F$11)), E182-LN(60/$E$11)-LN(MIN(D183,$F$11))), IF(D183&lt;=$A$15, E182+LN($D$11)-LN(60/$E$11)-LN(MIN(D183,$F$11)), E182+LN($D$11)+LN(1-$H$11)-LN(60/$E$11)-LN(MIN(D183,$F$11))))</f>
        <v>-17.104385982271477</v>
      </c>
      <c r="F183" s="1">
        <f t="shared" si="17"/>
        <v>-19.106418791470535</v>
      </c>
      <c r="G183" s="1">
        <f t="shared" si="15"/>
        <v>5.0371832429072211E-9</v>
      </c>
      <c r="H183" s="1">
        <f t="shared" si="12"/>
        <v>4.9443621862169874E-10</v>
      </c>
      <c r="I183">
        <f>IF($F$11&lt;=D183, IF(D183&lt;=$A$15,D183-$F$11,$C$11),0)</f>
        <v>60</v>
      </c>
      <c r="J183">
        <f t="shared" si="13"/>
        <v>96</v>
      </c>
      <c r="K183" s="5">
        <f>IF(D183&lt;$F$11,H183,0)</f>
        <v>0</v>
      </c>
      <c r="L183">
        <f>IF(D183&lt;$A$15,$D$11,$D$11*(1-$H$11))</f>
        <v>85</v>
      </c>
      <c r="M183">
        <f t="shared" si="14"/>
        <v>1</v>
      </c>
      <c r="N183">
        <f>IF(SUM(I183:J183)&lt;=($G$11/60*$F$11/($E$11/60)),1,0)</f>
        <v>0</v>
      </c>
    </row>
    <row r="184" spans="4:14" x14ac:dyDescent="0.2">
      <c r="D184">
        <f t="shared" si="16"/>
        <v>161</v>
      </c>
      <c r="E184" s="1">
        <f>IF($H$11=1,IF(D184&lt;=$A$15, E183+LN($D$11)-LN(60/$E$11)-LN(MIN(D184,$F$11)), E183-LN(60/$E$11)-LN(MIN(D184,$F$11))), IF(D184&lt;=$A$15, E183+LN($D$11)-LN(60/$E$11)-LN(MIN(D184,$F$11)), E183+LN($D$11)+LN(1-$H$11)-LN(60/$E$11)-LN(MIN(D184,$F$11))))</f>
        <v>-17.226082917248995</v>
      </c>
      <c r="F184" s="1">
        <f t="shared" si="17"/>
        <v>-19.228115726448053</v>
      </c>
      <c r="G184" s="1">
        <f t="shared" si="15"/>
        <v>4.4600059963241113E-9</v>
      </c>
      <c r="H184" s="1">
        <f t="shared" si="12"/>
        <v>4.3778206857129662E-10</v>
      </c>
      <c r="I184">
        <f>IF($F$11&lt;=D184, IF(D184&lt;=$A$15,D184-$F$11,$C$11),0)</f>
        <v>60</v>
      </c>
      <c r="J184">
        <f t="shared" si="13"/>
        <v>97</v>
      </c>
      <c r="K184" s="5">
        <f>IF(D184&lt;$F$11,H184,0)</f>
        <v>0</v>
      </c>
      <c r="L184">
        <f>IF(D184&lt;$A$15,$D$11,$D$11*(1-$H$11))</f>
        <v>85</v>
      </c>
      <c r="M184">
        <f t="shared" si="14"/>
        <v>1</v>
      </c>
      <c r="N184">
        <f>IF(SUM(I184:J184)&lt;=($G$11/60*$F$11/($E$11/60)),1,0)</f>
        <v>0</v>
      </c>
    </row>
    <row r="185" spans="4:14" x14ac:dyDescent="0.2">
      <c r="D185">
        <f t="shared" si="16"/>
        <v>162</v>
      </c>
      <c r="E185" s="1">
        <f>IF($H$11=1,IF(D185&lt;=$A$15, E184+LN($D$11)-LN(60/$E$11)-LN(MIN(D185,$F$11)), E184-LN(60/$E$11)-LN(MIN(D185,$F$11))), IF(D185&lt;=$A$15, E184+LN($D$11)-LN(60/$E$11)-LN(MIN(D185,$F$11)), E184+LN($D$11)+LN(1-$H$11)-LN(60/$E$11)-LN(MIN(D185,$F$11))))</f>
        <v>-17.347779852226513</v>
      </c>
      <c r="F185" s="1">
        <f t="shared" si="17"/>
        <v>-19.34981266142557</v>
      </c>
      <c r="G185" s="1">
        <f t="shared" si="15"/>
        <v>3.9489636425786492E-9</v>
      </c>
      <c r="H185" s="1">
        <f t="shared" si="12"/>
        <v>3.8761953988083643E-10</v>
      </c>
      <c r="I185">
        <f>IF($F$11&lt;=D185, IF(D185&lt;=$A$15,D185-$F$11,$C$11),0)</f>
        <v>60</v>
      </c>
      <c r="J185">
        <f t="shared" si="13"/>
        <v>98</v>
      </c>
      <c r="K185" s="5">
        <f>IF(D185&lt;$F$11,H185,0)</f>
        <v>0</v>
      </c>
      <c r="L185">
        <f>IF(D185&lt;$A$15,$D$11,$D$11*(1-$H$11))</f>
        <v>85</v>
      </c>
      <c r="M185">
        <f t="shared" si="14"/>
        <v>1</v>
      </c>
      <c r="N185">
        <f>IF(SUM(I185:J185)&lt;=($G$11/60*$F$11/($E$11/60)),1,0)</f>
        <v>0</v>
      </c>
    </row>
    <row r="186" spans="4:14" x14ac:dyDescent="0.2">
      <c r="D186">
        <f t="shared" si="16"/>
        <v>163</v>
      </c>
      <c r="E186" s="1">
        <f>IF($H$11=1,IF(D186&lt;=$A$15, E185+LN($D$11)-LN(60/$E$11)-LN(MIN(D186,$F$11)), E185-LN(60/$E$11)-LN(MIN(D186,$F$11))), IF(D186&lt;=$A$15, E185+LN($D$11)-LN(60/$E$11)-LN(MIN(D186,$F$11)), E185+LN($D$11)+LN(1-$H$11)-LN(60/$E$11)-LN(MIN(D186,$F$11))))</f>
        <v>-17.469476787204034</v>
      </c>
      <c r="F186" s="1">
        <f t="shared" si="17"/>
        <v>-19.471509596403092</v>
      </c>
      <c r="G186" s="1">
        <f t="shared" si="15"/>
        <v>3.4964782251998404E-9</v>
      </c>
      <c r="H186" s="1">
        <f t="shared" si="12"/>
        <v>3.4320480093615674E-10</v>
      </c>
      <c r="I186">
        <f>IF($F$11&lt;=D186, IF(D186&lt;=$A$15,D186-$F$11,$C$11),0)</f>
        <v>60</v>
      </c>
      <c r="J186">
        <f t="shared" si="13"/>
        <v>99</v>
      </c>
      <c r="K186" s="5">
        <f>IF(D186&lt;$F$11,H186,0)</f>
        <v>0</v>
      </c>
      <c r="L186">
        <f>IF(D186&lt;$A$15,$D$11,$D$11*(1-$H$11))</f>
        <v>85</v>
      </c>
      <c r="M186">
        <f t="shared" si="14"/>
        <v>1</v>
      </c>
      <c r="N186">
        <f>IF(SUM(I186:J186)&lt;=($G$11/60*$F$11/($E$11/60)),1,0)</f>
        <v>0</v>
      </c>
    </row>
    <row r="187" spans="4:14" x14ac:dyDescent="0.2">
      <c r="D187">
        <f t="shared" si="16"/>
        <v>164</v>
      </c>
      <c r="E187" s="1">
        <f>IF($H$11=1,IF(D187&lt;=$A$15, E186+LN($D$11)-LN(60/$E$11)-LN(MIN(D187,$F$11)), E186-LN(60/$E$11)-LN(MIN(D187,$F$11))), IF(D187&lt;=$A$15, E186+LN($D$11)-LN(60/$E$11)-LN(MIN(D187,$F$11)), E186+LN($D$11)+LN(1-$H$11)-LN(60/$E$11)-LN(MIN(D187,$F$11))))</f>
        <v>-17.591173722181555</v>
      </c>
      <c r="F187" s="1">
        <f t="shared" si="17"/>
        <v>-19.593206531380613</v>
      </c>
      <c r="G187" s="1">
        <f t="shared" si="15"/>
        <v>3.0958400952290207E-9</v>
      </c>
      <c r="H187" s="1">
        <f t="shared" si="12"/>
        <v>3.0387925082888834E-10</v>
      </c>
      <c r="I187">
        <f>IF($F$11&lt;=D187, IF(D187&lt;=$A$15,D187-$F$11,$C$11),0)</f>
        <v>60</v>
      </c>
      <c r="J187">
        <f t="shared" si="13"/>
        <v>100</v>
      </c>
      <c r="K187" s="5">
        <f>IF(D187&lt;$F$11,H187,0)</f>
        <v>0</v>
      </c>
      <c r="L187">
        <f>IF(D187&lt;$A$15,$D$11,$D$11*(1-$H$11))</f>
        <v>85</v>
      </c>
      <c r="M187">
        <f t="shared" si="14"/>
        <v>1</v>
      </c>
      <c r="N187">
        <f>IF(SUM(I187:J187)&lt;=($G$11/60*$F$11/($E$11/60)),1,0)</f>
        <v>0</v>
      </c>
    </row>
    <row r="188" spans="4:14" x14ac:dyDescent="0.2">
      <c r="D188">
        <f t="shared" si="16"/>
        <v>165</v>
      </c>
      <c r="E188" s="1">
        <f>IF($H$11=1,IF(D188&lt;=$A$15, E187+LN($D$11)-LN(60/$E$11)-LN(MIN(D188,$F$11)), E187-LN(60/$E$11)-LN(MIN(D188,$F$11))), IF(D188&lt;=$A$15, E187+LN($D$11)-LN(60/$E$11)-LN(MIN(D188,$F$11)), E187+LN($D$11)+LN(1-$H$11)-LN(60/$E$11)-LN(MIN(D188,$F$11))))</f>
        <v>-17.712870657159076</v>
      </c>
      <c r="F188" s="1">
        <f t="shared" si="17"/>
        <v>-19.714903466358134</v>
      </c>
      <c r="G188" s="1">
        <f t="shared" si="15"/>
        <v>2.7411084176506915E-9</v>
      </c>
      <c r="H188" s="1">
        <f t="shared" si="12"/>
        <v>2.6905975333807782E-10</v>
      </c>
      <c r="I188">
        <f>IF($F$11&lt;=D188, IF(D188&lt;=$A$15,D188-$F$11,$C$11),0)</f>
        <v>60</v>
      </c>
      <c r="J188">
        <f t="shared" si="13"/>
        <v>101</v>
      </c>
      <c r="K188" s="5">
        <f>IF(D188&lt;$F$11,H188,0)</f>
        <v>0</v>
      </c>
      <c r="L188">
        <f>IF(D188&lt;$A$15,$D$11,$D$11*(1-$H$11))</f>
        <v>85</v>
      </c>
      <c r="M188">
        <f t="shared" si="14"/>
        <v>1</v>
      </c>
      <c r="N188">
        <f>IF(SUM(I188:J188)&lt;=($G$11/60*$F$11/($E$11/60)),1,0)</f>
        <v>0</v>
      </c>
    </row>
    <row r="189" spans="4:14" x14ac:dyDescent="0.2">
      <c r="D189">
        <f t="shared" si="16"/>
        <v>166</v>
      </c>
      <c r="E189" s="1">
        <f>IF($H$11=1,IF(D189&lt;=$A$15, E188+LN($D$11)-LN(60/$E$11)-LN(MIN(D189,$F$11)), E188-LN(60/$E$11)-LN(MIN(D189,$F$11))), IF(D189&lt;=$A$15, E188+LN($D$11)-LN(60/$E$11)-LN(MIN(D189,$F$11)), E188+LN($D$11)+LN(1-$H$11)-LN(60/$E$11)-LN(MIN(D189,$F$11))))</f>
        <v>-17.834567592136597</v>
      </c>
      <c r="F189" s="1">
        <f t="shared" si="17"/>
        <v>-19.836600401335655</v>
      </c>
      <c r="G189" s="1">
        <f t="shared" si="15"/>
        <v>2.4270230781282129E-9</v>
      </c>
      <c r="H189" s="1">
        <f t="shared" si="12"/>
        <v>2.382299899347561E-10</v>
      </c>
      <c r="I189">
        <f>IF($F$11&lt;=D189, IF(D189&lt;=$A$15,D189-$F$11,$C$11),0)</f>
        <v>60</v>
      </c>
      <c r="J189">
        <f t="shared" si="13"/>
        <v>102</v>
      </c>
      <c r="K189" s="5">
        <f>IF(D189&lt;$F$11,H189,0)</f>
        <v>0</v>
      </c>
      <c r="L189">
        <f>IF(D189&lt;$A$15,$D$11,$D$11*(1-$H$11))</f>
        <v>85</v>
      </c>
      <c r="M189">
        <f t="shared" si="14"/>
        <v>1</v>
      </c>
      <c r="N189">
        <f>IF(SUM(I189:J189)&lt;=($G$11/60*$F$11/($E$11/60)),1,0)</f>
        <v>0</v>
      </c>
    </row>
    <row r="190" spans="4:14" x14ac:dyDescent="0.2">
      <c r="D190">
        <f t="shared" si="16"/>
        <v>167</v>
      </c>
      <c r="E190" s="1">
        <f>IF($H$11=1,IF(D190&lt;=$A$15, E189+LN($D$11)-LN(60/$E$11)-LN(MIN(D190,$F$11)), E189-LN(60/$E$11)-LN(MIN(D190,$F$11))), IF(D190&lt;=$A$15, E189+LN($D$11)-LN(60/$E$11)-LN(MIN(D190,$F$11)), E189+LN($D$11)+LN(1-$H$11)-LN(60/$E$11)-LN(MIN(D190,$F$11))))</f>
        <v>-17.956264527114119</v>
      </c>
      <c r="F190" s="1">
        <f t="shared" si="17"/>
        <v>-19.958297336313176</v>
      </c>
      <c r="G190" s="1">
        <f t="shared" si="15"/>
        <v>2.1489266837593523E-9</v>
      </c>
      <c r="H190" s="1">
        <f t="shared" si="12"/>
        <v>2.1093280358806499E-10</v>
      </c>
      <c r="I190">
        <f>IF($F$11&lt;=D190, IF(D190&lt;=$A$15,D190-$F$11,$C$11),0)</f>
        <v>60</v>
      </c>
      <c r="J190">
        <f t="shared" si="13"/>
        <v>103</v>
      </c>
      <c r="K190" s="5">
        <f>IF(D190&lt;$F$11,H190,0)</f>
        <v>0</v>
      </c>
      <c r="L190">
        <f>IF(D190&lt;$A$15,$D$11,$D$11*(1-$H$11))</f>
        <v>85</v>
      </c>
      <c r="M190">
        <f t="shared" si="14"/>
        <v>1</v>
      </c>
      <c r="N190">
        <f>IF(SUM(I190:J190)&lt;=($G$11/60*$F$11/($E$11/60)),1,0)</f>
        <v>0</v>
      </c>
    </row>
    <row r="191" spans="4:14" x14ac:dyDescent="0.2">
      <c r="D191">
        <f t="shared" si="16"/>
        <v>168</v>
      </c>
      <c r="E191" s="1">
        <f>IF($H$11=1,IF(D191&lt;=$A$15, E190+LN($D$11)-LN(60/$E$11)-LN(MIN(D191,$F$11)), E190-LN(60/$E$11)-LN(MIN(D191,$F$11))), IF(D191&lt;=$A$15, E190+LN($D$11)-LN(60/$E$11)-LN(MIN(D191,$F$11)), E190+LN($D$11)+LN(1-$H$11)-LN(60/$E$11)-LN(MIN(D191,$F$11))))</f>
        <v>-18.07796146209164</v>
      </c>
      <c r="F191" s="1">
        <f t="shared" si="17"/>
        <v>-20.079994271290698</v>
      </c>
      <c r="G191" s="1">
        <f t="shared" si="15"/>
        <v>1.902695501245257E-9</v>
      </c>
      <c r="H191" s="1">
        <f t="shared" si="12"/>
        <v>1.8676341984359893E-10</v>
      </c>
      <c r="I191">
        <f>IF($F$11&lt;=D191, IF(D191&lt;=$A$15,D191-$F$11,$C$11),0)</f>
        <v>60</v>
      </c>
      <c r="J191">
        <f t="shared" si="13"/>
        <v>104</v>
      </c>
      <c r="K191" s="5">
        <f>IF(D191&lt;$F$11,H191,0)</f>
        <v>0</v>
      </c>
      <c r="L191">
        <f>IF(D191&lt;$A$15,$D$11,$D$11*(1-$H$11))</f>
        <v>85</v>
      </c>
      <c r="M191">
        <f t="shared" si="14"/>
        <v>1</v>
      </c>
      <c r="N191">
        <f>IF(SUM(I191:J191)&lt;=($G$11/60*$F$11/($E$11/60)),1,0)</f>
        <v>0</v>
      </c>
    </row>
    <row r="192" spans="4:14" x14ac:dyDescent="0.2">
      <c r="D192">
        <f t="shared" si="16"/>
        <v>169</v>
      </c>
      <c r="E192" s="1">
        <f>IF($H$11=1,IF(D192&lt;=$A$15, E191+LN($D$11)-LN(60/$E$11)-LN(MIN(D192,$F$11)), E191-LN(60/$E$11)-LN(MIN(D192,$F$11))), IF(D192&lt;=$A$15, E191+LN($D$11)-LN(60/$E$11)-LN(MIN(D192,$F$11)), E191+LN($D$11)+LN(1-$H$11)-LN(60/$E$11)-LN(MIN(D192,$F$11))))</f>
        <v>-18.199658397069161</v>
      </c>
      <c r="F192" s="1">
        <f t="shared" si="17"/>
        <v>-20.201691206268219</v>
      </c>
      <c r="G192" s="1">
        <f t="shared" si="15"/>
        <v>1.6846783083942358E-9</v>
      </c>
      <c r="H192" s="1">
        <f t="shared" si="12"/>
        <v>1.6536344465318633E-10</v>
      </c>
      <c r="I192">
        <f>IF($F$11&lt;=D192, IF(D192&lt;=$A$15,D192-$F$11,$C$11),0)</f>
        <v>60</v>
      </c>
      <c r="J192">
        <f t="shared" si="13"/>
        <v>105</v>
      </c>
      <c r="K192" s="5">
        <f>IF(D192&lt;$F$11,H192,0)</f>
        <v>0</v>
      </c>
      <c r="L192">
        <f>IF(D192&lt;$A$15,$D$11,$D$11*(1-$H$11))</f>
        <v>85</v>
      </c>
      <c r="M192">
        <f t="shared" si="14"/>
        <v>1</v>
      </c>
      <c r="N192">
        <f>IF(SUM(I192:J192)&lt;=($G$11/60*$F$11/($E$11/60)),1,0)</f>
        <v>0</v>
      </c>
    </row>
    <row r="193" spans="4:14" x14ac:dyDescent="0.2">
      <c r="D193">
        <f t="shared" si="16"/>
        <v>170</v>
      </c>
      <c r="E193" s="1">
        <f>IF($H$11=1,IF(D193&lt;=$A$15, E192+LN($D$11)-LN(60/$E$11)-LN(MIN(D193,$F$11)), E192-LN(60/$E$11)-LN(MIN(D193,$F$11))), IF(D193&lt;=$A$15, E192+LN($D$11)-LN(60/$E$11)-LN(MIN(D193,$F$11)), E192+LN($D$11)+LN(1-$H$11)-LN(60/$E$11)-LN(MIN(D193,$F$11))))</f>
        <v>-18.321355332046682</v>
      </c>
      <c r="F193" s="1">
        <f t="shared" si="17"/>
        <v>-20.32338814124574</v>
      </c>
      <c r="G193" s="1">
        <f t="shared" si="15"/>
        <v>1.4916422522240607E-9</v>
      </c>
      <c r="H193" s="1">
        <f t="shared" si="12"/>
        <v>1.4641554995334184E-10</v>
      </c>
      <c r="I193">
        <f>IF($F$11&lt;=D193, IF(D193&lt;=$A$15,D193-$F$11,$C$11),0)</f>
        <v>60</v>
      </c>
      <c r="J193">
        <f t="shared" si="13"/>
        <v>106</v>
      </c>
      <c r="K193" s="5">
        <f>IF(D193&lt;$F$11,H193,0)</f>
        <v>0</v>
      </c>
      <c r="L193">
        <f>IF(D193&lt;$A$15,$D$11,$D$11*(1-$H$11))</f>
        <v>85</v>
      </c>
      <c r="M193">
        <f t="shared" si="14"/>
        <v>1</v>
      </c>
      <c r="N193">
        <f>IF(SUM(I193:J193)&lt;=($G$11/60*$F$11/($E$11/60)),1,0)</f>
        <v>0</v>
      </c>
    </row>
    <row r="194" spans="4:14" x14ac:dyDescent="0.2">
      <c r="D194">
        <f t="shared" si="16"/>
        <v>171</v>
      </c>
      <c r="E194" s="1">
        <f>IF($H$11=1,IF(D194&lt;=$A$15, E193+LN($D$11)-LN(60/$E$11)-LN(MIN(D194,$F$11)), E193-LN(60/$E$11)-LN(MIN(D194,$F$11))), IF(D194&lt;=$A$15, E193+LN($D$11)-LN(60/$E$11)-LN(MIN(D194,$F$11)), E193+LN($D$11)+LN(1-$H$11)-LN(60/$E$11)-LN(MIN(D194,$F$11))))</f>
        <v>-18.443052267024203</v>
      </c>
      <c r="F194" s="1">
        <f t="shared" si="17"/>
        <v>-20.445085076223261</v>
      </c>
      <c r="G194" s="1">
        <f t="shared" si="15"/>
        <v>1.3207249108233852E-9</v>
      </c>
      <c r="H194" s="1">
        <f t="shared" si="12"/>
        <v>1.2963876818785457E-10</v>
      </c>
      <c r="I194">
        <f>IF($F$11&lt;=D194, IF(D194&lt;=$A$15,D194-$F$11,$C$11),0)</f>
        <v>60</v>
      </c>
      <c r="J194">
        <f t="shared" si="13"/>
        <v>107</v>
      </c>
      <c r="K194" s="5">
        <f>IF(D194&lt;$F$11,H194,0)</f>
        <v>0</v>
      </c>
      <c r="L194">
        <f>IF(D194&lt;$A$15,$D$11,$D$11*(1-$H$11))</f>
        <v>85</v>
      </c>
      <c r="M194">
        <f t="shared" si="14"/>
        <v>1</v>
      </c>
      <c r="N194">
        <f>IF(SUM(I194:J194)&lt;=($G$11/60*$F$11/($E$11/60)),1,0)</f>
        <v>0</v>
      </c>
    </row>
    <row r="195" spans="4:14" x14ac:dyDescent="0.2">
      <c r="D195">
        <f t="shared" si="16"/>
        <v>172</v>
      </c>
      <c r="E195" s="1">
        <f>IF($H$11=1,IF(D195&lt;=$A$15, E194+LN($D$11)-LN(60/$E$11)-LN(MIN(D195,$F$11)), E194-LN(60/$E$11)-LN(MIN(D195,$F$11))), IF(D195&lt;=$A$15, E194+LN($D$11)-LN(60/$E$11)-LN(MIN(D195,$F$11)), E194+LN($D$11)+LN(1-$H$11)-LN(60/$E$11)-LN(MIN(D195,$F$11))))</f>
        <v>-18.564749202001725</v>
      </c>
      <c r="F195" s="1">
        <f t="shared" si="17"/>
        <v>-20.566782011200782</v>
      </c>
      <c r="G195" s="1">
        <f t="shared" si="15"/>
        <v>1.1693918481248707E-9</v>
      </c>
      <c r="H195" s="1">
        <f t="shared" si="12"/>
        <v>1.1478432599966275E-10</v>
      </c>
      <c r="I195">
        <f>IF($F$11&lt;=D195, IF(D195&lt;=$A$15,D195-$F$11,$C$11),0)</f>
        <v>60</v>
      </c>
      <c r="J195">
        <f t="shared" si="13"/>
        <v>108</v>
      </c>
      <c r="K195" s="5">
        <f>IF(D195&lt;$F$11,H195,0)</f>
        <v>0</v>
      </c>
      <c r="L195">
        <f>IF(D195&lt;$A$15,$D$11,$D$11*(1-$H$11))</f>
        <v>85</v>
      </c>
      <c r="M195">
        <f t="shared" si="14"/>
        <v>1</v>
      </c>
      <c r="N195">
        <f>IF(SUM(I195:J195)&lt;=($G$11/60*$F$11/($E$11/60)),1,0)</f>
        <v>0</v>
      </c>
    </row>
    <row r="196" spans="4:14" x14ac:dyDescent="0.2">
      <c r="D196">
        <f t="shared" si="16"/>
        <v>173</v>
      </c>
      <c r="E196" s="1">
        <f>IF($H$11=1,IF(D196&lt;=$A$15, E195+LN($D$11)-LN(60/$E$11)-LN(MIN(D196,$F$11)), E195-LN(60/$E$11)-LN(MIN(D196,$F$11))), IF(D196&lt;=$A$15, E195+LN($D$11)-LN(60/$E$11)-LN(MIN(D196,$F$11)), E195+LN($D$11)+LN(1-$H$11)-LN(60/$E$11)-LN(MIN(D196,$F$11))))</f>
        <v>-18.686446136979246</v>
      </c>
      <c r="F196" s="1">
        <f t="shared" si="17"/>
        <v>-20.688478946178304</v>
      </c>
      <c r="G196" s="1">
        <f t="shared" si="15"/>
        <v>1.0353990321938943E-9</v>
      </c>
      <c r="H196" s="1">
        <f t="shared" si="12"/>
        <v>1.0163195531220124E-10</v>
      </c>
      <c r="I196">
        <f>IF($F$11&lt;=D196, IF(D196&lt;=$A$15,D196-$F$11,$C$11),0)</f>
        <v>60</v>
      </c>
      <c r="J196">
        <f t="shared" si="13"/>
        <v>109</v>
      </c>
      <c r="K196" s="5">
        <f>IF(D196&lt;$F$11,H196,0)</f>
        <v>0</v>
      </c>
      <c r="L196">
        <f>IF(D196&lt;$A$15,$D$11,$D$11*(1-$H$11))</f>
        <v>85</v>
      </c>
      <c r="M196">
        <f t="shared" si="14"/>
        <v>1</v>
      </c>
      <c r="N196">
        <f>IF(SUM(I196:J196)&lt;=($G$11/60*$F$11/($E$11/60)),1,0)</f>
        <v>0</v>
      </c>
    </row>
    <row r="197" spans="4:14" x14ac:dyDescent="0.2">
      <c r="D197">
        <f t="shared" si="16"/>
        <v>174</v>
      </c>
      <c r="E197" s="1">
        <f>IF($H$11=1,IF(D197&lt;=$A$15, E196+LN($D$11)-LN(60/$E$11)-LN(MIN(D197,$F$11)), E196-LN(60/$E$11)-LN(MIN(D197,$F$11))), IF(D197&lt;=$A$15, E196+LN($D$11)-LN(60/$E$11)-LN(MIN(D197,$F$11)), E196+LN($D$11)+LN(1-$H$11)-LN(60/$E$11)-LN(MIN(D197,$F$11))))</f>
        <v>-18.808143071956767</v>
      </c>
      <c r="F197" s="1">
        <f t="shared" si="17"/>
        <v>-20.810175881155825</v>
      </c>
      <c r="G197" s="1">
        <f t="shared" si="15"/>
        <v>9.1675955975500942E-10</v>
      </c>
      <c r="H197" s="1">
        <f t="shared" si="12"/>
        <v>8.998662709934473E-11</v>
      </c>
      <c r="I197">
        <f>IF($F$11&lt;=D197, IF(D197&lt;=$A$15,D197-$F$11,$C$11),0)</f>
        <v>60</v>
      </c>
      <c r="J197">
        <f t="shared" si="13"/>
        <v>110</v>
      </c>
      <c r="K197" s="5">
        <f>IF(D197&lt;$F$11,H197,0)</f>
        <v>0</v>
      </c>
      <c r="L197">
        <f>IF(D197&lt;$A$15,$D$11,$D$11*(1-$H$11))</f>
        <v>85</v>
      </c>
      <c r="M197">
        <f t="shared" si="14"/>
        <v>1</v>
      </c>
      <c r="N197">
        <f>IF(SUM(I197:J197)&lt;=($G$11/60*$F$11/($E$11/60)),1,0)</f>
        <v>0</v>
      </c>
    </row>
    <row r="198" spans="4:14" x14ac:dyDescent="0.2">
      <c r="D198">
        <f t="shared" si="16"/>
        <v>175</v>
      </c>
      <c r="E198" s="1">
        <f>IF($H$11=1,IF(D198&lt;=$A$15, E197+LN($D$11)-LN(60/$E$11)-LN(MIN(D198,$F$11)), E197-LN(60/$E$11)-LN(MIN(D198,$F$11))), IF(D198&lt;=$A$15, E197+LN($D$11)-LN(60/$E$11)-LN(MIN(D198,$F$11)), E197+LN($D$11)+LN(1-$H$11)-LN(60/$E$11)-LN(MIN(D198,$F$11))))</f>
        <v>-18.929840006934288</v>
      </c>
      <c r="F198" s="1">
        <f t="shared" si="17"/>
        <v>-20.931872816133346</v>
      </c>
      <c r="G198" s="1">
        <f t="shared" si="15"/>
        <v>8.1171419353308003E-10</v>
      </c>
      <c r="H198" s="1">
        <f t="shared" si="12"/>
        <v>7.9675659410878031E-11</v>
      </c>
      <c r="I198">
        <f>IF($F$11&lt;=D198, IF(D198&lt;=$A$15,D198-$F$11,$C$11),0)</f>
        <v>60</v>
      </c>
      <c r="J198">
        <f t="shared" si="13"/>
        <v>111</v>
      </c>
      <c r="K198" s="5">
        <f>IF(D198&lt;$F$11,H198,0)</f>
        <v>0</v>
      </c>
      <c r="L198">
        <f>IF(D198&lt;$A$15,$D$11,$D$11*(1-$H$11))</f>
        <v>85</v>
      </c>
      <c r="M198">
        <f t="shared" si="14"/>
        <v>1</v>
      </c>
      <c r="N198">
        <f>IF(SUM(I198:J198)&lt;=($G$11/60*$F$11/($E$11/60)),1,0)</f>
        <v>0</v>
      </c>
    </row>
    <row r="199" spans="4:14" x14ac:dyDescent="0.2">
      <c r="D199">
        <f t="shared" si="16"/>
        <v>176</v>
      </c>
      <c r="E199" s="1">
        <f>IF($H$11=1,IF(D199&lt;=$A$15, E198+LN($D$11)-LN(60/$E$11)-LN(MIN(D199,$F$11)), E198-LN(60/$E$11)-LN(MIN(D199,$F$11))), IF(D199&lt;=$A$15, E198+LN($D$11)-LN(60/$E$11)-LN(MIN(D199,$F$11)), E198+LN($D$11)+LN(1-$H$11)-LN(60/$E$11)-LN(MIN(D199,$F$11))))</f>
        <v>-19.051536941911809</v>
      </c>
      <c r="F199" s="1">
        <f t="shared" si="17"/>
        <v>-21.053569751110867</v>
      </c>
      <c r="G199" s="1">
        <f t="shared" si="15"/>
        <v>7.1870527552408027E-10</v>
      </c>
      <c r="H199" s="1">
        <f t="shared" si="12"/>
        <v>7.0546156770048148E-11</v>
      </c>
      <c r="I199">
        <f>IF($F$11&lt;=D199, IF(D199&lt;=$A$15,D199-$F$11,$C$11),0)</f>
        <v>60</v>
      </c>
      <c r="J199">
        <f t="shared" si="13"/>
        <v>112</v>
      </c>
      <c r="K199" s="5">
        <f>IF(D199&lt;$F$11,H199,0)</f>
        <v>0</v>
      </c>
      <c r="L199">
        <f>IF(D199&lt;$A$15,$D$11,$D$11*(1-$H$11))</f>
        <v>85</v>
      </c>
      <c r="M199">
        <f t="shared" si="14"/>
        <v>1</v>
      </c>
      <c r="N199">
        <f>IF(SUM(I199:J199)&lt;=($G$11/60*$F$11/($E$11/60)),1,0)</f>
        <v>0</v>
      </c>
    </row>
    <row r="200" spans="4:14" x14ac:dyDescent="0.2">
      <c r="D200">
        <f t="shared" si="16"/>
        <v>177</v>
      </c>
      <c r="E200" s="1">
        <f>IF($H$11=1,IF(D200&lt;=$A$15, E199+LN($D$11)-LN(60/$E$11)-LN(MIN(D200,$F$11)), E199-LN(60/$E$11)-LN(MIN(D200,$F$11))), IF(D200&lt;=$A$15, E199+LN($D$11)-LN(60/$E$11)-LN(MIN(D200,$F$11)), E199+LN($D$11)+LN(1-$H$11)-LN(60/$E$11)-LN(MIN(D200,$F$11))))</f>
        <v>-19.173233876889331</v>
      </c>
      <c r="F200" s="1">
        <f t="shared" si="17"/>
        <v>-21.175266686088388</v>
      </c>
      <c r="G200" s="1">
        <f t="shared" si="15"/>
        <v>6.3635362937027848E-10</v>
      </c>
      <c r="H200" s="1">
        <f t="shared" si="12"/>
        <v>6.2462742973480044E-11</v>
      </c>
      <c r="I200">
        <f>IF($F$11&lt;=D200, IF(D200&lt;=$A$15,D200-$F$11,$C$11),0)</f>
        <v>60</v>
      </c>
      <c r="J200">
        <f t="shared" si="13"/>
        <v>113</v>
      </c>
      <c r="K200" s="5">
        <f>IF(D200&lt;$F$11,H200,0)</f>
        <v>0</v>
      </c>
      <c r="L200">
        <f>IF(D200&lt;$A$15,$D$11,$D$11*(1-$H$11))</f>
        <v>85</v>
      </c>
      <c r="M200">
        <f t="shared" si="14"/>
        <v>1</v>
      </c>
      <c r="N200">
        <f>IF(SUM(I200:J200)&lt;=($G$11/60*$F$11/($E$11/60)),1,0)</f>
        <v>0</v>
      </c>
    </row>
    <row r="201" spans="4:14" x14ac:dyDescent="0.2">
      <c r="D201">
        <f t="shared" si="16"/>
        <v>178</v>
      </c>
      <c r="E201" s="1">
        <f>IF($H$11=1,IF(D201&lt;=$A$15, E200+LN($D$11)-LN(60/$E$11)-LN(MIN(D201,$F$11)), E200-LN(60/$E$11)-LN(MIN(D201,$F$11))), IF(D201&lt;=$A$15, E200+LN($D$11)-LN(60/$E$11)-LN(MIN(D201,$F$11)), E200+LN($D$11)+LN(1-$H$11)-LN(60/$E$11)-LN(MIN(D201,$F$11))))</f>
        <v>-19.294930811866852</v>
      </c>
      <c r="F201" s="1">
        <f t="shared" si="17"/>
        <v>-21.29696362106591</v>
      </c>
      <c r="G201" s="1">
        <f t="shared" si="15"/>
        <v>5.634381093382666E-10</v>
      </c>
      <c r="H201" s="1">
        <f t="shared" si="12"/>
        <v>5.5305553674435379E-11</v>
      </c>
      <c r="I201">
        <f>IF($F$11&lt;=D201, IF(D201&lt;=$A$15,D201-$F$11,$C$11),0)</f>
        <v>60</v>
      </c>
      <c r="J201">
        <f t="shared" si="13"/>
        <v>114</v>
      </c>
      <c r="K201" s="5">
        <f>IF(D201&lt;$F$11,H201,0)</f>
        <v>0</v>
      </c>
      <c r="L201">
        <f>IF(D201&lt;$A$15,$D$11,$D$11*(1-$H$11))</f>
        <v>85</v>
      </c>
      <c r="M201">
        <f t="shared" si="14"/>
        <v>1</v>
      </c>
      <c r="N201">
        <f>IF(SUM(I201:J201)&lt;=($G$11/60*$F$11/($E$11/60)),1,0)</f>
        <v>0</v>
      </c>
    </row>
    <row r="202" spans="4:14" x14ac:dyDescent="0.2">
      <c r="D202">
        <f t="shared" si="16"/>
        <v>179</v>
      </c>
      <c r="E202" s="1">
        <f>IF($H$11=1,IF(D202&lt;=$A$15, E201+LN($D$11)-LN(60/$E$11)-LN(MIN(D202,$F$11)), E201-LN(60/$E$11)-LN(MIN(D202,$F$11))), IF(D202&lt;=$A$15, E201+LN($D$11)-LN(60/$E$11)-LN(MIN(D202,$F$11)), E201+LN($D$11)+LN(1-$H$11)-LN(60/$E$11)-LN(MIN(D202,$F$11))))</f>
        <v>-19.416627746844373</v>
      </c>
      <c r="F202" s="1">
        <f t="shared" si="17"/>
        <v>-21.418660556043431</v>
      </c>
      <c r="G202" s="1">
        <f t="shared" si="15"/>
        <v>4.9887749264325619E-10</v>
      </c>
      <c r="H202" s="1">
        <f t="shared" si="12"/>
        <v>4.8968458982572922E-11</v>
      </c>
      <c r="I202">
        <f>IF($F$11&lt;=D202, IF(D202&lt;=$A$15,D202-$F$11,$C$11),0)</f>
        <v>60</v>
      </c>
      <c r="J202">
        <f t="shared" si="13"/>
        <v>115</v>
      </c>
      <c r="K202" s="5">
        <f>IF(D202&lt;$F$11,H202,0)</f>
        <v>0</v>
      </c>
      <c r="L202">
        <f>IF(D202&lt;$A$15,$D$11,$D$11*(1-$H$11))</f>
        <v>85</v>
      </c>
      <c r="M202">
        <f t="shared" si="14"/>
        <v>1</v>
      </c>
      <c r="N202">
        <f>IF(SUM(I202:J202)&lt;=($G$11/60*$F$11/($E$11/60)),1,0)</f>
        <v>0</v>
      </c>
    </row>
    <row r="203" spans="4:14" x14ac:dyDescent="0.2">
      <c r="D203">
        <f t="shared" si="16"/>
        <v>180</v>
      </c>
      <c r="E203" s="1">
        <f>IF($H$11=1,IF(D203&lt;=$A$15, E202+LN($D$11)-LN(60/$E$11)-LN(MIN(D203,$F$11)), E202-LN(60/$E$11)-LN(MIN(D203,$F$11))), IF(D203&lt;=$A$15, E202+LN($D$11)-LN(60/$E$11)-LN(MIN(D203,$F$11)), E202+LN($D$11)+LN(1-$H$11)-LN(60/$E$11)-LN(MIN(D203,$F$11))))</f>
        <v>-19.538324681821894</v>
      </c>
      <c r="F203" s="1">
        <f t="shared" si="17"/>
        <v>-21.540357491020952</v>
      </c>
      <c r="G203" s="1">
        <f t="shared" si="15"/>
        <v>4.4171444661121581E-10</v>
      </c>
      <c r="H203" s="1">
        <f t="shared" si="12"/>
        <v>4.3357489724153048E-11</v>
      </c>
      <c r="I203">
        <f>IF($F$11&lt;=D203, IF(D203&lt;=$A$15,D203-$F$11,$C$11),0)</f>
        <v>60</v>
      </c>
      <c r="J203">
        <f t="shared" si="13"/>
        <v>116</v>
      </c>
      <c r="K203" s="5">
        <f>IF(D203&lt;$F$11,H203,0)</f>
        <v>0</v>
      </c>
      <c r="L203">
        <f>IF(D203&lt;$A$15,$D$11,$D$11*(1-$H$11))</f>
        <v>85</v>
      </c>
      <c r="M203">
        <f t="shared" si="14"/>
        <v>1</v>
      </c>
      <c r="N203">
        <f>IF(SUM(I203:J203)&lt;=($G$11/60*$F$11/($E$11/60)),1,0)</f>
        <v>0</v>
      </c>
    </row>
    <row r="204" spans="4:14" x14ac:dyDescent="0.2">
      <c r="D204">
        <f t="shared" si="16"/>
        <v>181</v>
      </c>
      <c r="E204" s="1">
        <f>IF($H$11=1,IF(D204&lt;=$A$15, E203+LN($D$11)-LN(60/$E$11)-LN(MIN(D204,$F$11)), E203-LN(60/$E$11)-LN(MIN(D204,$F$11))), IF(D204&lt;=$A$15, E203+LN($D$11)-LN(60/$E$11)-LN(MIN(D204,$F$11)), E203+LN($D$11)+LN(1-$H$11)-LN(60/$E$11)-LN(MIN(D204,$F$11))))</f>
        <v>-19.660021616799416</v>
      </c>
      <c r="F204" s="1">
        <f t="shared" si="17"/>
        <v>-21.662054425998473</v>
      </c>
      <c r="G204" s="1">
        <f t="shared" si="15"/>
        <v>3.9110133293701344E-10</v>
      </c>
      <c r="H204" s="1">
        <f t="shared" si="12"/>
        <v>3.838944402659379E-11</v>
      </c>
      <c r="I204">
        <f>IF($F$11&lt;=D204, IF(D204&lt;=$A$15,D204-$F$11,$C$11),0)</f>
        <v>60</v>
      </c>
      <c r="J204">
        <f t="shared" si="13"/>
        <v>117</v>
      </c>
      <c r="K204" s="5">
        <f>IF(D204&lt;$F$11,H204,0)</f>
        <v>0</v>
      </c>
      <c r="L204">
        <f>IF(D204&lt;$A$15,$D$11,$D$11*(1-$H$11))</f>
        <v>85</v>
      </c>
      <c r="M204">
        <f t="shared" si="14"/>
        <v>1</v>
      </c>
      <c r="N204">
        <f>IF(SUM(I204:J204)&lt;=($G$11/60*$F$11/($E$11/60)),1,0)</f>
        <v>0</v>
      </c>
    </row>
    <row r="205" spans="4:14" x14ac:dyDescent="0.2">
      <c r="D205">
        <f t="shared" si="16"/>
        <v>182</v>
      </c>
      <c r="E205" s="1">
        <f>IF($H$11=1,IF(D205&lt;=$A$15, E204+LN($D$11)-LN(60/$E$11)-LN(MIN(D205,$F$11)), E204-LN(60/$E$11)-LN(MIN(D205,$F$11))), IF(D205&lt;=$A$15, E204+LN($D$11)-LN(60/$E$11)-LN(MIN(D205,$F$11)), E204+LN($D$11)+LN(1-$H$11)-LN(60/$E$11)-LN(MIN(D205,$F$11))))</f>
        <v>-19.781718551776937</v>
      </c>
      <c r="F205" s="1">
        <f t="shared" si="17"/>
        <v>-21.783751360975995</v>
      </c>
      <c r="G205" s="1">
        <f t="shared" si="15"/>
        <v>3.4628763853798012E-10</v>
      </c>
      <c r="H205" s="1">
        <f t="shared" si="12"/>
        <v>3.3990653565213197E-11</v>
      </c>
      <c r="I205">
        <f>IF($F$11&lt;=D205, IF(D205&lt;=$A$15,D205-$F$11,$C$11),0)</f>
        <v>60</v>
      </c>
      <c r="J205">
        <f t="shared" si="13"/>
        <v>118</v>
      </c>
      <c r="K205" s="5">
        <f>IF(D205&lt;$F$11,H205,0)</f>
        <v>0</v>
      </c>
      <c r="L205">
        <f>IF(D205&lt;$A$15,$D$11,$D$11*(1-$H$11))</f>
        <v>85</v>
      </c>
      <c r="M205">
        <f t="shared" si="14"/>
        <v>1</v>
      </c>
      <c r="N205">
        <f>IF(SUM(I205:J205)&lt;=($G$11/60*$F$11/($E$11/60)),1,0)</f>
        <v>0</v>
      </c>
    </row>
    <row r="206" spans="4:14" x14ac:dyDescent="0.2">
      <c r="D206">
        <f t="shared" si="16"/>
        <v>183</v>
      </c>
      <c r="E206" s="1">
        <f>IF($H$11=1,IF(D206&lt;=$A$15, E205+LN($D$11)-LN(60/$E$11)-LN(MIN(D206,$F$11)), E205-LN(60/$E$11)-LN(MIN(D206,$F$11))), IF(D206&lt;=$A$15, E205+LN($D$11)-LN(60/$E$11)-LN(MIN(D206,$F$11)), E205+LN($D$11)+LN(1-$H$11)-LN(60/$E$11)-LN(MIN(D206,$F$11))))</f>
        <v>-19.903415486754458</v>
      </c>
      <c r="F206" s="1">
        <f t="shared" si="17"/>
        <v>-21.905448295953516</v>
      </c>
      <c r="G206" s="1">
        <f t="shared" si="15"/>
        <v>3.0660884662216949E-10</v>
      </c>
      <c r="H206" s="1">
        <f t="shared" si="12"/>
        <v>3.009589117753248E-11</v>
      </c>
      <c r="I206">
        <f>IF($F$11&lt;=D206, IF(D206&lt;=$A$15,D206-$F$11,$C$11),0)</f>
        <v>60</v>
      </c>
      <c r="J206">
        <f t="shared" si="13"/>
        <v>119</v>
      </c>
      <c r="K206" s="5">
        <f>IF(D206&lt;$F$11,H206,0)</f>
        <v>0</v>
      </c>
      <c r="L206">
        <f>IF(D206&lt;$A$15,$D$11,$D$11*(1-$H$11))</f>
        <v>85</v>
      </c>
      <c r="M206">
        <f t="shared" si="14"/>
        <v>1</v>
      </c>
      <c r="N206">
        <f>IF(SUM(I206:J206)&lt;=($G$11/60*$F$11/($E$11/60)),1,0)</f>
        <v>0</v>
      </c>
    </row>
    <row r="207" spans="4:14" x14ac:dyDescent="0.2">
      <c r="D207">
        <f t="shared" si="16"/>
        <v>184</v>
      </c>
      <c r="E207" s="1">
        <f>IF($H$11=1,IF(D207&lt;=$A$15, E206+LN($D$11)-LN(60/$E$11)-LN(MIN(D207,$F$11)), E206-LN(60/$E$11)-LN(MIN(D207,$F$11))), IF(D207&lt;=$A$15, E206+LN($D$11)-LN(60/$E$11)-LN(MIN(D207,$F$11)), E206+LN($D$11)+LN(1-$H$11)-LN(60/$E$11)-LN(MIN(D207,$F$11))))</f>
        <v>-20.025112421731979</v>
      </c>
      <c r="F207" s="1">
        <f t="shared" si="17"/>
        <v>-22.027145230931037</v>
      </c>
      <c r="G207" s="1">
        <f t="shared" si="15"/>
        <v>2.7147658294671217E-10</v>
      </c>
      <c r="H207" s="1">
        <f t="shared" si="12"/>
        <v>2.6647403646773513E-11</v>
      </c>
      <c r="I207">
        <f>IF($F$11&lt;=D207, IF(D207&lt;=$A$15,D207-$F$11,$C$11),0)</f>
        <v>60</v>
      </c>
      <c r="J207">
        <f t="shared" si="13"/>
        <v>120</v>
      </c>
      <c r="K207" s="5">
        <f>IF(D207&lt;$F$11,H207,0)</f>
        <v>0</v>
      </c>
      <c r="L207">
        <f>IF(D207&lt;$A$15,$D$11,$D$11*(1-$H$11))</f>
        <v>85</v>
      </c>
      <c r="M207">
        <f t="shared" si="14"/>
        <v>1</v>
      </c>
      <c r="N207">
        <f>IF(SUM(I207:J207)&lt;=($G$11/60*$F$11/($E$11/60)),1,0)</f>
        <v>0</v>
      </c>
    </row>
    <row r="208" spans="4:14" x14ac:dyDescent="0.2">
      <c r="D208">
        <f t="shared" si="16"/>
        <v>185</v>
      </c>
      <c r="E208" s="1">
        <f>IF($H$11=1,IF(D208&lt;=$A$15, E207+LN($D$11)-LN(60/$E$11)-LN(MIN(D208,$F$11)), E207-LN(60/$E$11)-LN(MIN(D208,$F$11))), IF(D208&lt;=$A$15, E207+LN($D$11)-LN(60/$E$11)-LN(MIN(D208,$F$11)), E207+LN($D$11)+LN(1-$H$11)-LN(60/$E$11)-LN(MIN(D208,$F$11))))</f>
        <v>-20.1468093567095</v>
      </c>
      <c r="F208" s="1">
        <f t="shared" si="17"/>
        <v>-22.148842165908558</v>
      </c>
      <c r="G208" s="1">
        <f t="shared" si="15"/>
        <v>2.4036989115073437E-10</v>
      </c>
      <c r="H208" s="1">
        <f t="shared" si="12"/>
        <v>2.3594055312247344E-11</v>
      </c>
      <c r="I208">
        <f>IF($F$11&lt;=D208, IF(D208&lt;=$A$15,D208-$F$11,$C$11),0)</f>
        <v>60</v>
      </c>
      <c r="J208">
        <f t="shared" si="13"/>
        <v>121</v>
      </c>
      <c r="K208" s="5">
        <f>IF(D208&lt;$F$11,H208,0)</f>
        <v>0</v>
      </c>
      <c r="L208">
        <f>IF(D208&lt;$A$15,$D$11,$D$11*(1-$H$11))</f>
        <v>85</v>
      </c>
      <c r="M208">
        <f t="shared" si="14"/>
        <v>1</v>
      </c>
      <c r="N208">
        <f>IF(SUM(I208:J208)&lt;=($G$11/60*$F$11/($E$11/60)),1,0)</f>
        <v>0</v>
      </c>
    </row>
    <row r="209" spans="4:14" x14ac:dyDescent="0.2">
      <c r="D209">
        <f t="shared" si="16"/>
        <v>186</v>
      </c>
      <c r="E209" s="1">
        <f>IF($H$11=1,IF(D209&lt;=$A$15, E208+LN($D$11)-LN(60/$E$11)-LN(MIN(D209,$F$11)), E208-LN(60/$E$11)-LN(MIN(D209,$F$11))), IF(D209&lt;=$A$15, E208+LN($D$11)-LN(60/$E$11)-LN(MIN(D209,$F$11)), E208+LN($D$11)+LN(1-$H$11)-LN(60/$E$11)-LN(MIN(D209,$F$11))))</f>
        <v>-20.268506291687022</v>
      </c>
      <c r="F209" s="1">
        <f t="shared" si="17"/>
        <v>-22.270539100886079</v>
      </c>
      <c r="G209" s="1">
        <f t="shared" si="15"/>
        <v>2.1282750778971245E-10</v>
      </c>
      <c r="H209" s="1">
        <f t="shared" si="12"/>
        <v>2.0890569807718976E-11</v>
      </c>
      <c r="I209">
        <f>IF($F$11&lt;=D209, IF(D209&lt;=$A$15,D209-$F$11,$C$11),0)</f>
        <v>60</v>
      </c>
      <c r="J209">
        <f t="shared" si="13"/>
        <v>122</v>
      </c>
      <c r="K209" s="5">
        <f>IF(D209&lt;$F$11,H209,0)</f>
        <v>0</v>
      </c>
      <c r="L209">
        <f>IF(D209&lt;$A$15,$D$11,$D$11*(1-$H$11))</f>
        <v>85</v>
      </c>
      <c r="M209">
        <f t="shared" si="14"/>
        <v>1</v>
      </c>
      <c r="N209">
        <f>IF(SUM(I209:J209)&lt;=($G$11/60*$F$11/($E$11/60)),1,0)</f>
        <v>0</v>
      </c>
    </row>
    <row r="210" spans="4:14" x14ac:dyDescent="0.2">
      <c r="D210">
        <f t="shared" si="16"/>
        <v>187</v>
      </c>
      <c r="E210" s="1">
        <f>IF($H$11=1,IF(D210&lt;=$A$15, E209+LN($D$11)-LN(60/$E$11)-LN(MIN(D210,$F$11)), E209-LN(60/$E$11)-LN(MIN(D210,$F$11))), IF(D210&lt;=$A$15, E209+LN($D$11)-LN(60/$E$11)-LN(MIN(D210,$F$11)), E209+LN($D$11)+LN(1-$H$11)-LN(60/$E$11)-LN(MIN(D210,$F$11))))</f>
        <v>-20.390203226664543</v>
      </c>
      <c r="F210" s="1">
        <f t="shared" si="17"/>
        <v>-22.392236035863601</v>
      </c>
      <c r="G210" s="1">
        <f t="shared" si="15"/>
        <v>1.8844102252214097E-10</v>
      </c>
      <c r="H210" s="1">
        <f t="shared" si="12"/>
        <v>1.8496858683917816E-11</v>
      </c>
      <c r="I210">
        <f>IF($F$11&lt;=D210, IF(D210&lt;=$A$15,D210-$F$11,$C$11),0)</f>
        <v>60</v>
      </c>
      <c r="J210">
        <f t="shared" si="13"/>
        <v>123</v>
      </c>
      <c r="K210" s="5">
        <f>IF(D210&lt;$F$11,H210,0)</f>
        <v>0</v>
      </c>
      <c r="L210">
        <f>IF(D210&lt;$A$15,$D$11,$D$11*(1-$H$11))</f>
        <v>85</v>
      </c>
      <c r="M210">
        <f t="shared" si="14"/>
        <v>1</v>
      </c>
      <c r="N210">
        <f>IF(SUM(I210:J210)&lt;=($G$11/60*$F$11/($E$11/60)),1,0)</f>
        <v>0</v>
      </c>
    </row>
    <row r="211" spans="4:14" x14ac:dyDescent="0.2">
      <c r="D211">
        <f t="shared" si="16"/>
        <v>188</v>
      </c>
      <c r="E211" s="1">
        <f>IF($H$11=1,IF(D211&lt;=$A$15, E210+LN($D$11)-LN(60/$E$11)-LN(MIN(D211,$F$11)), E210-LN(60/$E$11)-LN(MIN(D211,$F$11))), IF(D211&lt;=$A$15, E210+LN($D$11)-LN(60/$E$11)-LN(MIN(D211,$F$11)), E210+LN($D$11)+LN(1-$H$11)-LN(60/$E$11)-LN(MIN(D211,$F$11))))</f>
        <v>-20.511900161642064</v>
      </c>
      <c r="F211" s="1">
        <f t="shared" si="17"/>
        <v>-22.513932970841122</v>
      </c>
      <c r="G211" s="1">
        <f t="shared" si="15"/>
        <v>1.6684882202481206E-10</v>
      </c>
      <c r="H211" s="1">
        <f t="shared" si="12"/>
        <v>1.6377426959718876E-11</v>
      </c>
      <c r="I211">
        <f>IF($F$11&lt;=D211, IF(D211&lt;=$A$15,D211-$F$11,$C$11),0)</f>
        <v>60</v>
      </c>
      <c r="J211">
        <f t="shared" si="13"/>
        <v>124</v>
      </c>
      <c r="K211" s="5">
        <f>IF(D211&lt;$F$11,H211,0)</f>
        <v>0</v>
      </c>
      <c r="L211">
        <f>IF(D211&lt;$A$15,$D$11,$D$11*(1-$H$11))</f>
        <v>85</v>
      </c>
      <c r="M211">
        <f t="shared" si="14"/>
        <v>1</v>
      </c>
      <c r="N211">
        <f>IF(SUM(I211:J211)&lt;=($G$11/60*$F$11/($E$11/60)),1,0)</f>
        <v>0</v>
      </c>
    </row>
    <row r="212" spans="4:14" x14ac:dyDescent="0.2">
      <c r="D212">
        <f t="shared" si="16"/>
        <v>189</v>
      </c>
      <c r="E212" s="1">
        <f>IF($H$11=1,IF(D212&lt;=$A$15, E211+LN($D$11)-LN(60/$E$11)-LN(MIN(D212,$F$11)), E211-LN(60/$E$11)-LN(MIN(D212,$F$11))), IF(D212&lt;=$A$15, E211+LN($D$11)-LN(60/$E$11)-LN(MIN(D212,$F$11)), E211+LN($D$11)+LN(1-$H$11)-LN(60/$E$11)-LN(MIN(D212,$F$11))))</f>
        <v>-20.633597096619582</v>
      </c>
      <c r="F212" s="1">
        <f t="shared" si="17"/>
        <v>-22.635629905818639</v>
      </c>
      <c r="G212" s="1">
        <f t="shared" si="15"/>
        <v>1.4773072783446934E-10</v>
      </c>
      <c r="H212" s="1">
        <f t="shared" si="12"/>
        <v>1.450084678725112E-11</v>
      </c>
      <c r="I212">
        <f>IF($F$11&lt;=D212, IF(D212&lt;=$A$15,D212-$F$11,$C$11),0)</f>
        <v>60</v>
      </c>
      <c r="J212">
        <f t="shared" si="13"/>
        <v>125</v>
      </c>
      <c r="K212" s="5">
        <f>IF(D212&lt;$F$11,H212,0)</f>
        <v>0</v>
      </c>
      <c r="L212">
        <f>IF(D212&lt;$A$15,$D$11,$D$11*(1-$H$11))</f>
        <v>85</v>
      </c>
      <c r="M212">
        <f t="shared" si="14"/>
        <v>1</v>
      </c>
      <c r="N212">
        <f>IF(SUM(I212:J212)&lt;=($G$11/60*$F$11/($E$11/60)),1,0)</f>
        <v>0</v>
      </c>
    </row>
    <row r="213" spans="4:14" x14ac:dyDescent="0.2">
      <c r="D213">
        <f t="shared" si="16"/>
        <v>190</v>
      </c>
      <c r="E213" s="1">
        <f>IF($H$11=1,IF(D213&lt;=$A$15, E212+LN($D$11)-LN(60/$E$11)-LN(MIN(D213,$F$11)), E212-LN(60/$E$11)-LN(MIN(D213,$F$11))), IF(D213&lt;=$A$15, E212+LN($D$11)-LN(60/$E$11)-LN(MIN(D213,$F$11)), E212+LN($D$11)+LN(1-$H$11)-LN(60/$E$11)-LN(MIN(D213,$F$11))))</f>
        <v>-20.755294031597103</v>
      </c>
      <c r="F213" s="1">
        <f t="shared" si="17"/>
        <v>-22.757326840796161</v>
      </c>
      <c r="G213" s="1">
        <f t="shared" si="15"/>
        <v>1.3080324860343621E-10</v>
      </c>
      <c r="H213" s="1">
        <f t="shared" si="12"/>
        <v>1.2839291426211912E-11</v>
      </c>
      <c r="I213">
        <f>IF($F$11&lt;=D213, IF(D213&lt;=$A$15,D213-$F$11,$C$11),0)</f>
        <v>60</v>
      </c>
      <c r="J213">
        <f t="shared" si="13"/>
        <v>126</v>
      </c>
      <c r="K213" s="5">
        <f>IF(D213&lt;$F$11,H213,0)</f>
        <v>0</v>
      </c>
      <c r="L213">
        <f>IF(D213&lt;$A$15,$D$11,$D$11*(1-$H$11))</f>
        <v>85</v>
      </c>
      <c r="M213">
        <f t="shared" si="14"/>
        <v>1</v>
      </c>
      <c r="N213">
        <f>IF(SUM(I213:J213)&lt;=($G$11/60*$F$11/($E$11/60)),1,0)</f>
        <v>0</v>
      </c>
    </row>
    <row r="214" spans="4:14" x14ac:dyDescent="0.2">
      <c r="D214">
        <f t="shared" si="16"/>
        <v>191</v>
      </c>
      <c r="E214" s="1">
        <f>IF($H$11=1,IF(D214&lt;=$A$15, E213+LN($D$11)-LN(60/$E$11)-LN(MIN(D214,$F$11)), E213-LN(60/$E$11)-LN(MIN(D214,$F$11))), IF(D214&lt;=$A$15, E213+LN($D$11)-LN(60/$E$11)-LN(MIN(D214,$F$11)), E213+LN($D$11)+LN(1-$H$11)-LN(60/$E$11)-LN(MIN(D214,$F$11))))</f>
        <v>-20.876990966574624</v>
      </c>
      <c r="F214" s="1">
        <f t="shared" si="17"/>
        <v>-22.879023775773682</v>
      </c>
      <c r="G214" s="1">
        <f t="shared" si="15"/>
        <v>1.1581537636762564E-10</v>
      </c>
      <c r="H214" s="1">
        <f t="shared" si="12"/>
        <v>1.1368122616958445E-11</v>
      </c>
      <c r="I214">
        <f>IF($F$11&lt;=D214, IF(D214&lt;=$A$15,D214-$F$11,$C$11),0)</f>
        <v>60</v>
      </c>
      <c r="J214">
        <f t="shared" si="13"/>
        <v>127</v>
      </c>
      <c r="K214" s="5">
        <f>IF(D214&lt;$F$11,H214,0)</f>
        <v>0</v>
      </c>
      <c r="L214">
        <f>IF(D214&lt;$A$15,$D$11,$D$11*(1-$H$11))</f>
        <v>85</v>
      </c>
      <c r="M214">
        <f t="shared" si="14"/>
        <v>1</v>
      </c>
      <c r="N214">
        <f>IF(SUM(I214:J214)&lt;=($G$11/60*$F$11/($E$11/60)),1,0)</f>
        <v>0</v>
      </c>
    </row>
    <row r="215" spans="4:14" x14ac:dyDescent="0.2">
      <c r="D215">
        <f t="shared" si="16"/>
        <v>192</v>
      </c>
      <c r="E215" s="1">
        <f>IF($H$11=1,IF(D215&lt;=$A$15, E214+LN($D$11)-LN(60/$E$11)-LN(MIN(D215,$F$11)), E214-LN(60/$E$11)-LN(MIN(D215,$F$11))), IF(D215&lt;=$A$15, E214+LN($D$11)-LN(60/$E$11)-LN(MIN(D215,$F$11)), E214+LN($D$11)+LN(1-$H$11)-LN(60/$E$11)-LN(MIN(D215,$F$11))))</f>
        <v>-20.998687901552145</v>
      </c>
      <c r="F215" s="1">
        <f t="shared" si="17"/>
        <v>-23.000720710751203</v>
      </c>
      <c r="G215" s="1">
        <f t="shared" si="15"/>
        <v>1.0254486449216839E-10</v>
      </c>
      <c r="H215" s="1">
        <f t="shared" ref="H215:H278" si="18">G215/$G$21</f>
        <v>1.0065525233765276E-11</v>
      </c>
      <c r="I215">
        <f>IF($F$11&lt;=D215, IF(D215&lt;=$A$15,D215-$F$11,$C$11),0)</f>
        <v>60</v>
      </c>
      <c r="J215">
        <f t="shared" ref="J215:J278" si="19">IF(D215&lt;=$A$15,0,D215-$A$15)</f>
        <v>128</v>
      </c>
      <c r="K215" s="5">
        <f>IF(D215&lt;$F$11,H215,0)</f>
        <v>0</v>
      </c>
      <c r="L215">
        <f>IF(D215&lt;$A$15,$D$11,$D$11*(1-$H$11))</f>
        <v>85</v>
      </c>
      <c r="M215">
        <f t="shared" ref="M215:M278" si="20">IF(D215&lt;$A$15,0,1)</f>
        <v>1</v>
      </c>
      <c r="N215">
        <f>IF(SUM(I215:J215)&lt;=($G$11/60*$F$11/($E$11/60)),1,0)</f>
        <v>0</v>
      </c>
    </row>
    <row r="216" spans="4:14" x14ac:dyDescent="0.2">
      <c r="D216">
        <f t="shared" si="16"/>
        <v>193</v>
      </c>
      <c r="E216" s="1">
        <f>IF($H$11=1,IF(D216&lt;=$A$15, E215+LN($D$11)-LN(60/$E$11)-LN(MIN(D216,$F$11)), E215-LN(60/$E$11)-LN(MIN(D216,$F$11))), IF(D216&lt;=$A$15, E215+LN($D$11)-LN(60/$E$11)-LN(MIN(D216,$F$11)), E215+LN($D$11)+LN(1-$H$11)-LN(60/$E$11)-LN(MIN(D216,$F$11))))</f>
        <v>-21.120384836529666</v>
      </c>
      <c r="F216" s="1">
        <f t="shared" si="17"/>
        <v>-23.122417645728724</v>
      </c>
      <c r="G216" s="1">
        <f t="shared" ref="G216:G279" si="21">EXP(F216)</f>
        <v>9.0794932102440627E-11</v>
      </c>
      <c r="H216" s="1">
        <f t="shared" si="18"/>
        <v>8.9121838007296592E-12</v>
      </c>
      <c r="I216">
        <f>IF($F$11&lt;=D216, IF(D216&lt;=$A$15,D216-$F$11,$C$11),0)</f>
        <v>60</v>
      </c>
      <c r="J216">
        <f t="shared" si="19"/>
        <v>129</v>
      </c>
      <c r="K216" s="5">
        <f>IF(D216&lt;$F$11,H216,0)</f>
        <v>0</v>
      </c>
      <c r="L216">
        <f>IF(D216&lt;$A$15,$D$11,$D$11*(1-$H$11))</f>
        <v>85</v>
      </c>
      <c r="M216">
        <f t="shared" si="20"/>
        <v>1</v>
      </c>
      <c r="N216">
        <f>IF(SUM(I216:J216)&lt;=($G$11/60*$F$11/($E$11/60)),1,0)</f>
        <v>0</v>
      </c>
    </row>
    <row r="217" spans="4:14" x14ac:dyDescent="0.2">
      <c r="D217">
        <f t="shared" ref="D217:D280" si="22">1+D216</f>
        <v>194</v>
      </c>
      <c r="E217" s="1">
        <f>IF($H$11=1,IF(D217&lt;=$A$15, E216+LN($D$11)-LN(60/$E$11)-LN(MIN(D217,$F$11)), E216-LN(60/$E$11)-LN(MIN(D217,$F$11))), IF(D217&lt;=$A$15, E216+LN($D$11)-LN(60/$E$11)-LN(MIN(D217,$F$11)), E216+LN($D$11)+LN(1-$H$11)-LN(60/$E$11)-LN(MIN(D217,$F$11))))</f>
        <v>-21.242081771507188</v>
      </c>
      <c r="F217" s="1">
        <f t="shared" ref="F217:F280" si="23">E217-$E$21</f>
        <v>-23.244114580706245</v>
      </c>
      <c r="G217" s="1">
        <f t="shared" si="21"/>
        <v>8.0391346132369198E-11</v>
      </c>
      <c r="H217" s="1">
        <f t="shared" si="18"/>
        <v>7.8909960735627078E-12</v>
      </c>
      <c r="I217">
        <f>IF($F$11&lt;=D217, IF(D217&lt;=$A$15,D217-$F$11,$C$11),0)</f>
        <v>60</v>
      </c>
      <c r="J217">
        <f t="shared" si="19"/>
        <v>130</v>
      </c>
      <c r="K217" s="5">
        <f>IF(D217&lt;$F$11,H217,0)</f>
        <v>0</v>
      </c>
      <c r="L217">
        <f>IF(D217&lt;$A$15,$D$11,$D$11*(1-$H$11))</f>
        <v>85</v>
      </c>
      <c r="M217">
        <f t="shared" si="20"/>
        <v>1</v>
      </c>
      <c r="N217">
        <f>IF(SUM(I217:J217)&lt;=($G$11/60*$F$11/($E$11/60)),1,0)</f>
        <v>0</v>
      </c>
    </row>
    <row r="218" spans="4:14" x14ac:dyDescent="0.2">
      <c r="D218">
        <f t="shared" si="22"/>
        <v>195</v>
      </c>
      <c r="E218" s="1">
        <f>IF($H$11=1,IF(D218&lt;=$A$15, E217+LN($D$11)-LN(60/$E$11)-LN(MIN(D218,$F$11)), E217-LN(60/$E$11)-LN(MIN(D218,$F$11))), IF(D218&lt;=$A$15, E217+LN($D$11)-LN(60/$E$11)-LN(MIN(D218,$F$11)), E217+LN($D$11)+LN(1-$H$11)-LN(60/$E$11)-LN(MIN(D218,$F$11))))</f>
        <v>-21.363778706484709</v>
      </c>
      <c r="F218" s="1">
        <f t="shared" si="23"/>
        <v>-23.365811515683767</v>
      </c>
      <c r="G218" s="1">
        <f t="shared" si="21"/>
        <v>7.1179837721368453E-11</v>
      </c>
      <c r="H218" s="1">
        <f t="shared" si="18"/>
        <v>6.9868194401336368E-12</v>
      </c>
      <c r="I218">
        <f>IF($F$11&lt;=D218, IF(D218&lt;=$A$15,D218-$F$11,$C$11),0)</f>
        <v>60</v>
      </c>
      <c r="J218">
        <f t="shared" si="19"/>
        <v>131</v>
      </c>
      <c r="K218" s="5">
        <f>IF(D218&lt;$F$11,H218,0)</f>
        <v>0</v>
      </c>
      <c r="L218">
        <f>IF(D218&lt;$A$15,$D$11,$D$11*(1-$H$11))</f>
        <v>85</v>
      </c>
      <c r="M218">
        <f t="shared" si="20"/>
        <v>1</v>
      </c>
      <c r="N218">
        <f>IF(SUM(I218:J218)&lt;=($G$11/60*$F$11/($E$11/60)),1,0)</f>
        <v>0</v>
      </c>
    </row>
    <row r="219" spans="4:14" x14ac:dyDescent="0.2">
      <c r="D219">
        <f t="shared" si="22"/>
        <v>196</v>
      </c>
      <c r="E219" s="1">
        <f>IF($H$11=1,IF(D219&lt;=$A$15, E218+LN($D$11)-LN(60/$E$11)-LN(MIN(D219,$F$11)), E218-LN(60/$E$11)-LN(MIN(D219,$F$11))), IF(D219&lt;=$A$15, E218+LN($D$11)-LN(60/$E$11)-LN(MIN(D219,$F$11)), E218+LN($D$11)+LN(1-$H$11)-LN(60/$E$11)-LN(MIN(D219,$F$11))))</f>
        <v>-21.48547564146223</v>
      </c>
      <c r="F219" s="1">
        <f t="shared" si="23"/>
        <v>-23.487508450661288</v>
      </c>
      <c r="G219" s="1">
        <f t="shared" si="21"/>
        <v>6.3023814649128225E-11</v>
      </c>
      <c r="H219" s="1">
        <f t="shared" si="18"/>
        <v>6.1862463792849819E-12</v>
      </c>
      <c r="I219">
        <f>IF($F$11&lt;=D219, IF(D219&lt;=$A$15,D219-$F$11,$C$11),0)</f>
        <v>60</v>
      </c>
      <c r="J219">
        <f t="shared" si="19"/>
        <v>132</v>
      </c>
      <c r="K219" s="5">
        <f>IF(D219&lt;$F$11,H219,0)</f>
        <v>0</v>
      </c>
      <c r="L219">
        <f>IF(D219&lt;$A$15,$D$11,$D$11*(1-$H$11))</f>
        <v>85</v>
      </c>
      <c r="M219">
        <f t="shared" si="20"/>
        <v>1</v>
      </c>
      <c r="N219">
        <f>IF(SUM(I219:J219)&lt;=($G$11/60*$F$11/($E$11/60)),1,0)</f>
        <v>0</v>
      </c>
    </row>
    <row r="220" spans="4:14" x14ac:dyDescent="0.2">
      <c r="D220">
        <f t="shared" si="22"/>
        <v>197</v>
      </c>
      <c r="E220" s="1">
        <f>IF($H$11=1,IF(D220&lt;=$A$15, E219+LN($D$11)-LN(60/$E$11)-LN(MIN(D220,$F$11)), E219-LN(60/$E$11)-LN(MIN(D220,$F$11))), IF(D220&lt;=$A$15, E219+LN($D$11)-LN(60/$E$11)-LN(MIN(D220,$F$11)), E219+LN($D$11)+LN(1-$H$11)-LN(60/$E$11)-LN(MIN(D220,$F$11))))</f>
        <v>-21.607172576439751</v>
      </c>
      <c r="F220" s="1">
        <f t="shared" si="23"/>
        <v>-23.609205385638809</v>
      </c>
      <c r="G220" s="1">
        <f t="shared" si="21"/>
        <v>5.5802335887248873E-11</v>
      </c>
      <c r="H220" s="1">
        <f t="shared" si="18"/>
        <v>5.4774056483252372E-12</v>
      </c>
      <c r="I220">
        <f>IF($F$11&lt;=D220, IF(D220&lt;=$A$15,D220-$F$11,$C$11),0)</f>
        <v>60</v>
      </c>
      <c r="J220">
        <f t="shared" si="19"/>
        <v>133</v>
      </c>
      <c r="K220" s="5">
        <f>IF(D220&lt;$F$11,H220,0)</f>
        <v>0</v>
      </c>
      <c r="L220">
        <f>IF(D220&lt;$A$15,$D$11,$D$11*(1-$H$11))</f>
        <v>85</v>
      </c>
      <c r="M220">
        <f t="shared" si="20"/>
        <v>1</v>
      </c>
      <c r="N220">
        <f>IF(SUM(I220:J220)&lt;=($G$11/60*$F$11/($E$11/60)),1,0)</f>
        <v>0</v>
      </c>
    </row>
    <row r="221" spans="4:14" x14ac:dyDescent="0.2">
      <c r="D221">
        <f t="shared" si="22"/>
        <v>198</v>
      </c>
      <c r="E221" s="1">
        <f>IF($H$11=1,IF(D221&lt;=$A$15, E220+LN($D$11)-LN(60/$E$11)-LN(MIN(D221,$F$11)), E220-LN(60/$E$11)-LN(MIN(D221,$F$11))), IF(D221&lt;=$A$15, E220+LN($D$11)-LN(60/$E$11)-LN(MIN(D221,$F$11)), E220+LN($D$11)+LN(1-$H$11)-LN(60/$E$11)-LN(MIN(D221,$F$11))))</f>
        <v>-21.728869511417273</v>
      </c>
      <c r="F221" s="1">
        <f t="shared" si="23"/>
        <v>-23.73090232061633</v>
      </c>
      <c r="G221" s="1">
        <f t="shared" si="21"/>
        <v>4.9408318233501538E-11</v>
      </c>
      <c r="H221" s="1">
        <f t="shared" si="18"/>
        <v>4.8497862511212966E-12</v>
      </c>
      <c r="I221">
        <f>IF($F$11&lt;=D221, IF(D221&lt;=$A$15,D221-$F$11,$C$11),0)</f>
        <v>60</v>
      </c>
      <c r="J221">
        <f t="shared" si="19"/>
        <v>134</v>
      </c>
      <c r="K221" s="5">
        <f>IF(D221&lt;$F$11,H221,0)</f>
        <v>0</v>
      </c>
      <c r="L221">
        <f>IF(D221&lt;$A$15,$D$11,$D$11*(1-$H$11))</f>
        <v>85</v>
      </c>
      <c r="M221">
        <f t="shared" si="20"/>
        <v>1</v>
      </c>
      <c r="N221">
        <f>IF(SUM(I221:J221)&lt;=($G$11/60*$F$11/($E$11/60)),1,0)</f>
        <v>0</v>
      </c>
    </row>
    <row r="222" spans="4:14" x14ac:dyDescent="0.2">
      <c r="D222">
        <f t="shared" si="22"/>
        <v>199</v>
      </c>
      <c r="E222" s="1">
        <f>IF($H$11=1,IF(D222&lt;=$A$15, E221+LN($D$11)-LN(60/$E$11)-LN(MIN(D222,$F$11)), E221-LN(60/$E$11)-LN(MIN(D222,$F$11))), IF(D222&lt;=$A$15, E221+LN($D$11)-LN(60/$E$11)-LN(MIN(D222,$F$11)), E221+LN($D$11)+LN(1-$H$11)-LN(60/$E$11)-LN(MIN(D222,$F$11))))</f>
        <v>-21.850566446394794</v>
      </c>
      <c r="F222" s="1">
        <f t="shared" si="23"/>
        <v>-23.852599255593852</v>
      </c>
      <c r="G222" s="1">
        <f t="shared" si="21"/>
        <v>4.3746948435912757E-11</v>
      </c>
      <c r="H222" s="1">
        <f t="shared" si="18"/>
        <v>4.2940815765136423E-12</v>
      </c>
      <c r="I222">
        <f>IF($F$11&lt;=D222, IF(D222&lt;=$A$15,D222-$F$11,$C$11),0)</f>
        <v>60</v>
      </c>
      <c r="J222">
        <f t="shared" si="19"/>
        <v>135</v>
      </c>
      <c r="K222" s="5">
        <f>IF(D222&lt;$F$11,H222,0)</f>
        <v>0</v>
      </c>
      <c r="L222">
        <f>IF(D222&lt;$A$15,$D$11,$D$11*(1-$H$11))</f>
        <v>85</v>
      </c>
      <c r="M222">
        <f t="shared" si="20"/>
        <v>1</v>
      </c>
      <c r="N222">
        <f>IF(SUM(I222:J222)&lt;=($G$11/60*$F$11/($E$11/60)),1,0)</f>
        <v>0</v>
      </c>
    </row>
    <row r="223" spans="4:14" x14ac:dyDescent="0.2">
      <c r="D223">
        <f t="shared" si="22"/>
        <v>200</v>
      </c>
      <c r="E223" s="1">
        <f>IF($H$11=1,IF(D223&lt;=$A$15, E222+LN($D$11)-LN(60/$E$11)-LN(MIN(D223,$F$11)), E222-LN(60/$E$11)-LN(MIN(D223,$F$11))), IF(D223&lt;=$A$15, E222+LN($D$11)-LN(60/$E$11)-LN(MIN(D223,$F$11)), E222+LN($D$11)+LN(1-$H$11)-LN(60/$E$11)-LN(MIN(D223,$F$11))))</f>
        <v>-21.972263381372315</v>
      </c>
      <c r="F223" s="1">
        <f t="shared" si="23"/>
        <v>-23.974296190571373</v>
      </c>
      <c r="G223" s="1">
        <f t="shared" si="21"/>
        <v>3.8734277260964367E-11</v>
      </c>
      <c r="H223" s="1">
        <f t="shared" si="18"/>
        <v>3.8020513958714486E-12</v>
      </c>
      <c r="I223">
        <f>IF($F$11&lt;=D223, IF(D223&lt;=$A$15,D223-$F$11,$C$11),0)</f>
        <v>60</v>
      </c>
      <c r="J223">
        <f t="shared" si="19"/>
        <v>136</v>
      </c>
      <c r="K223" s="5">
        <f>IF(D223&lt;$F$11,H223,0)</f>
        <v>0</v>
      </c>
      <c r="L223">
        <f>IF(D223&lt;$A$15,$D$11,$D$11*(1-$H$11))</f>
        <v>85</v>
      </c>
      <c r="M223">
        <f t="shared" si="20"/>
        <v>1</v>
      </c>
      <c r="N223">
        <f>IF(SUM(I223:J223)&lt;=($G$11/60*$F$11/($E$11/60)),1,0)</f>
        <v>0</v>
      </c>
    </row>
    <row r="224" spans="4:14" x14ac:dyDescent="0.2">
      <c r="D224">
        <f t="shared" si="22"/>
        <v>201</v>
      </c>
      <c r="E224" s="1">
        <f>IF($H$11=1,IF(D224&lt;=$A$15, E223+LN($D$11)-LN(60/$E$11)-LN(MIN(D224,$F$11)), E223-LN(60/$E$11)-LN(MIN(D224,$F$11))), IF(D224&lt;=$A$15, E223+LN($D$11)-LN(60/$E$11)-LN(MIN(D224,$F$11)), E223+LN($D$11)+LN(1-$H$11)-LN(60/$E$11)-LN(MIN(D224,$F$11))))</f>
        <v>-22.093960316349836</v>
      </c>
      <c r="F224" s="1">
        <f t="shared" si="23"/>
        <v>-24.095993125548894</v>
      </c>
      <c r="G224" s="1">
        <f t="shared" si="21"/>
        <v>3.4295974658145482E-11</v>
      </c>
      <c r="H224" s="1">
        <f t="shared" si="18"/>
        <v>3.3663996734278403E-12</v>
      </c>
      <c r="I224">
        <f>IF($F$11&lt;=D224, IF(D224&lt;=$A$15,D224-$F$11,$C$11),0)</f>
        <v>60</v>
      </c>
      <c r="J224">
        <f t="shared" si="19"/>
        <v>137</v>
      </c>
      <c r="K224" s="5">
        <f>IF(D224&lt;$F$11,H224,0)</f>
        <v>0</v>
      </c>
      <c r="L224">
        <f>IF(D224&lt;$A$15,$D$11,$D$11*(1-$H$11))</f>
        <v>85</v>
      </c>
      <c r="M224">
        <f t="shared" si="20"/>
        <v>1</v>
      </c>
      <c r="N224">
        <f>IF(SUM(I224:J224)&lt;=($G$11/60*$F$11/($E$11/60)),1,0)</f>
        <v>0</v>
      </c>
    </row>
    <row r="225" spans="4:14" x14ac:dyDescent="0.2">
      <c r="D225">
        <f t="shared" si="22"/>
        <v>202</v>
      </c>
      <c r="E225" s="1">
        <f>IF($H$11=1,IF(D225&lt;=$A$15, E224+LN($D$11)-LN(60/$E$11)-LN(MIN(D225,$F$11)), E224-LN(60/$E$11)-LN(MIN(D225,$F$11))), IF(D225&lt;=$A$15, E224+LN($D$11)-LN(60/$E$11)-LN(MIN(D225,$F$11)), E224+LN($D$11)+LN(1-$H$11)-LN(60/$E$11)-LN(MIN(D225,$F$11))))</f>
        <v>-22.215657251327357</v>
      </c>
      <c r="F225" s="1">
        <f t="shared" si="23"/>
        <v>-24.217690060526415</v>
      </c>
      <c r="G225" s="1">
        <f t="shared" si="21"/>
        <v>3.0366227561899603E-11</v>
      </c>
      <c r="H225" s="1">
        <f t="shared" si="18"/>
        <v>2.9806663775142296E-12</v>
      </c>
      <c r="I225">
        <f>IF($F$11&lt;=D225, IF(D225&lt;=$A$15,D225-$F$11,$C$11),0)</f>
        <v>60</v>
      </c>
      <c r="J225">
        <f t="shared" si="19"/>
        <v>138</v>
      </c>
      <c r="K225" s="5">
        <f>IF(D225&lt;$F$11,H225,0)</f>
        <v>0</v>
      </c>
      <c r="L225">
        <f>IF(D225&lt;$A$15,$D$11,$D$11*(1-$H$11))</f>
        <v>85</v>
      </c>
      <c r="M225">
        <f t="shared" si="20"/>
        <v>1</v>
      </c>
      <c r="N225">
        <f>IF(SUM(I225:J225)&lt;=($G$11/60*$F$11/($E$11/60)),1,0)</f>
        <v>0</v>
      </c>
    </row>
    <row r="226" spans="4:14" x14ac:dyDescent="0.2">
      <c r="D226">
        <f t="shared" si="22"/>
        <v>203</v>
      </c>
      <c r="E226" s="1">
        <f>IF($H$11=1,IF(D226&lt;=$A$15, E225+LN($D$11)-LN(60/$E$11)-LN(MIN(D226,$F$11)), E225-LN(60/$E$11)-LN(MIN(D226,$F$11))), IF(D226&lt;=$A$15, E225+LN($D$11)-LN(60/$E$11)-LN(MIN(D226,$F$11)), E225+LN($D$11)+LN(1-$H$11)-LN(60/$E$11)-LN(MIN(D226,$F$11))))</f>
        <v>-22.337354186304879</v>
      </c>
      <c r="F226" s="1">
        <f t="shared" si="23"/>
        <v>-24.339386995503936</v>
      </c>
      <c r="G226" s="1">
        <f t="shared" si="21"/>
        <v>2.6886763987098567E-11</v>
      </c>
      <c r="H226" s="1">
        <f t="shared" si="18"/>
        <v>2.6391316884240533E-12</v>
      </c>
      <c r="I226">
        <f>IF($F$11&lt;=D226, IF(D226&lt;=$A$15,D226-$F$11,$C$11),0)</f>
        <v>60</v>
      </c>
      <c r="J226">
        <f t="shared" si="19"/>
        <v>139</v>
      </c>
      <c r="K226" s="5">
        <f>IF(D226&lt;$F$11,H226,0)</f>
        <v>0</v>
      </c>
      <c r="L226">
        <f>IF(D226&lt;$A$15,$D$11,$D$11*(1-$H$11))</f>
        <v>85</v>
      </c>
      <c r="M226">
        <f t="shared" si="20"/>
        <v>1</v>
      </c>
      <c r="N226">
        <f>IF(SUM(I226:J226)&lt;=($G$11/60*$F$11/($E$11/60)),1,0)</f>
        <v>0</v>
      </c>
    </row>
    <row r="227" spans="4:14" x14ac:dyDescent="0.2">
      <c r="D227">
        <f t="shared" si="22"/>
        <v>204</v>
      </c>
      <c r="E227" s="1">
        <f>IF($H$11=1,IF(D227&lt;=$A$15, E226+LN($D$11)-LN(60/$E$11)-LN(MIN(D227,$F$11)), E226-LN(60/$E$11)-LN(MIN(D227,$F$11))), IF(D227&lt;=$A$15, E226+LN($D$11)-LN(60/$E$11)-LN(MIN(D227,$F$11)), E226+LN($D$11)+LN(1-$H$11)-LN(60/$E$11)-LN(MIN(D227,$F$11))))</f>
        <v>-22.4590511212824</v>
      </c>
      <c r="F227" s="1">
        <f t="shared" si="23"/>
        <v>-24.461083930481458</v>
      </c>
      <c r="G227" s="1">
        <f t="shared" si="21"/>
        <v>2.3805988946910157E-11</v>
      </c>
      <c r="H227" s="1">
        <f t="shared" si="18"/>
        <v>2.336731182458794E-12</v>
      </c>
      <c r="I227">
        <f>IF($F$11&lt;=D227, IF(D227&lt;=$A$15,D227-$F$11,$C$11),0)</f>
        <v>60</v>
      </c>
      <c r="J227">
        <f t="shared" si="19"/>
        <v>140</v>
      </c>
      <c r="K227" s="5">
        <f>IF(D227&lt;$F$11,H227,0)</f>
        <v>0</v>
      </c>
      <c r="L227">
        <f>IF(D227&lt;$A$15,$D$11,$D$11*(1-$H$11))</f>
        <v>85</v>
      </c>
      <c r="M227">
        <f t="shared" si="20"/>
        <v>1</v>
      </c>
      <c r="N227">
        <f>IF(SUM(I227:J227)&lt;=($G$11/60*$F$11/($E$11/60)),1,0)</f>
        <v>0</v>
      </c>
    </row>
    <row r="228" spans="4:14" x14ac:dyDescent="0.2">
      <c r="D228">
        <f t="shared" si="22"/>
        <v>205</v>
      </c>
      <c r="E228" s="1">
        <f>IF($H$11=1,IF(D228&lt;=$A$15, E227+LN($D$11)-LN(60/$E$11)-LN(MIN(D228,$F$11)), E227-LN(60/$E$11)-LN(MIN(D228,$F$11))), IF(D228&lt;=$A$15, E227+LN($D$11)-LN(60/$E$11)-LN(MIN(D228,$F$11)), E227+LN($D$11)+LN(1-$H$11)-LN(60/$E$11)-LN(MIN(D228,$F$11))))</f>
        <v>-22.580748056259921</v>
      </c>
      <c r="F228" s="1">
        <f t="shared" si="23"/>
        <v>-24.582780865458979</v>
      </c>
      <c r="G228" s="1">
        <f t="shared" si="21"/>
        <v>2.1078219380076669E-11</v>
      </c>
      <c r="H228" s="1">
        <f t="shared" si="18"/>
        <v>2.0689807344687207E-12</v>
      </c>
      <c r="I228">
        <f>IF($F$11&lt;=D228, IF(D228&lt;=$A$15,D228-$F$11,$C$11),0)</f>
        <v>60</v>
      </c>
      <c r="J228">
        <f t="shared" si="19"/>
        <v>141</v>
      </c>
      <c r="K228" s="5">
        <f>IF(D228&lt;$F$11,H228,0)</f>
        <v>0</v>
      </c>
      <c r="L228">
        <f>IF(D228&lt;$A$15,$D$11,$D$11*(1-$H$11))</f>
        <v>85</v>
      </c>
      <c r="M228">
        <f t="shared" si="20"/>
        <v>1</v>
      </c>
      <c r="N228">
        <f>IF(SUM(I228:J228)&lt;=($G$11/60*$F$11/($E$11/60)),1,0)</f>
        <v>0</v>
      </c>
    </row>
    <row r="229" spans="4:14" x14ac:dyDescent="0.2">
      <c r="D229">
        <f t="shared" si="22"/>
        <v>206</v>
      </c>
      <c r="E229" s="1">
        <f>IF($H$11=1,IF(D229&lt;=$A$15, E228+LN($D$11)-LN(60/$E$11)-LN(MIN(D229,$F$11)), E228-LN(60/$E$11)-LN(MIN(D229,$F$11))), IF(D229&lt;=$A$15, E228+LN($D$11)-LN(60/$E$11)-LN(MIN(D229,$F$11)), E228+LN($D$11)+LN(1-$H$11)-LN(60/$E$11)-LN(MIN(D229,$F$11))))</f>
        <v>-22.702444991237442</v>
      </c>
      <c r="F229" s="1">
        <f t="shared" si="23"/>
        <v>-24.7044778004365</v>
      </c>
      <c r="G229" s="1">
        <f t="shared" si="21"/>
        <v>1.8663006742776192E-11</v>
      </c>
      <c r="H229" s="1">
        <f t="shared" si="18"/>
        <v>1.8319100253108438E-12</v>
      </c>
      <c r="I229">
        <f>IF($F$11&lt;=D229, IF(D229&lt;=$A$15,D229-$F$11,$C$11),0)</f>
        <v>60</v>
      </c>
      <c r="J229">
        <f t="shared" si="19"/>
        <v>142</v>
      </c>
      <c r="K229" s="5">
        <f>IF(D229&lt;$F$11,H229,0)</f>
        <v>0</v>
      </c>
      <c r="L229">
        <f>IF(D229&lt;$A$15,$D$11,$D$11*(1-$H$11))</f>
        <v>85</v>
      </c>
      <c r="M229">
        <f t="shared" si="20"/>
        <v>1</v>
      </c>
      <c r="N229">
        <f>IF(SUM(I229:J229)&lt;=($G$11/60*$F$11/($E$11/60)),1,0)</f>
        <v>0</v>
      </c>
    </row>
    <row r="230" spans="4:14" x14ac:dyDescent="0.2">
      <c r="D230">
        <f t="shared" si="22"/>
        <v>207</v>
      </c>
      <c r="E230" s="1">
        <f>IF($H$11=1,IF(D230&lt;=$A$15, E229+LN($D$11)-LN(60/$E$11)-LN(MIN(D230,$F$11)), E229-LN(60/$E$11)-LN(MIN(D230,$F$11))), IF(D230&lt;=$A$15, E229+LN($D$11)-LN(60/$E$11)-LN(MIN(D230,$F$11)), E229+LN($D$11)+LN(1-$H$11)-LN(60/$E$11)-LN(MIN(D230,$F$11))))</f>
        <v>-22.824141926214963</v>
      </c>
      <c r="F230" s="1">
        <f t="shared" si="23"/>
        <v>-24.826174735414021</v>
      </c>
      <c r="G230" s="1">
        <f t="shared" si="21"/>
        <v>1.6524537220166395E-11</v>
      </c>
      <c r="H230" s="1">
        <f t="shared" si="18"/>
        <v>1.6220036682439739E-12</v>
      </c>
      <c r="I230">
        <f>IF($F$11&lt;=D230, IF(D230&lt;=$A$15,D230-$F$11,$C$11),0)</f>
        <v>60</v>
      </c>
      <c r="J230">
        <f t="shared" si="19"/>
        <v>143</v>
      </c>
      <c r="K230" s="5">
        <f>IF(D230&lt;$F$11,H230,0)</f>
        <v>0</v>
      </c>
      <c r="L230">
        <f>IF(D230&lt;$A$15,$D$11,$D$11*(1-$H$11))</f>
        <v>85</v>
      </c>
      <c r="M230">
        <f t="shared" si="20"/>
        <v>1</v>
      </c>
      <c r="N230">
        <f>IF(SUM(I230:J230)&lt;=($G$11/60*$F$11/($E$11/60)),1,0)</f>
        <v>0</v>
      </c>
    </row>
    <row r="231" spans="4:14" x14ac:dyDescent="0.2">
      <c r="D231">
        <f t="shared" si="22"/>
        <v>208</v>
      </c>
      <c r="E231" s="1">
        <f>IF($H$11=1,IF(D231&lt;=$A$15, E230+LN($D$11)-LN(60/$E$11)-LN(MIN(D231,$F$11)), E230-LN(60/$E$11)-LN(MIN(D231,$F$11))), IF(D231&lt;=$A$15, E230+LN($D$11)-LN(60/$E$11)-LN(MIN(D231,$F$11)), E230+LN($D$11)+LN(1-$H$11)-LN(60/$E$11)-LN(MIN(D231,$F$11))))</f>
        <v>-22.945838861192485</v>
      </c>
      <c r="F231" s="1">
        <f t="shared" si="23"/>
        <v>-24.947871670391542</v>
      </c>
      <c r="G231" s="1">
        <f t="shared" si="21"/>
        <v>1.4631100663688976E-11</v>
      </c>
      <c r="H231" s="1">
        <f t="shared" si="18"/>
        <v>1.4361490812576833E-12</v>
      </c>
      <c r="I231">
        <f>IF($F$11&lt;=D231, IF(D231&lt;=$A$15,D231-$F$11,$C$11),0)</f>
        <v>60</v>
      </c>
      <c r="J231">
        <f t="shared" si="19"/>
        <v>144</v>
      </c>
      <c r="K231" s="5">
        <f>IF(D231&lt;$F$11,H231,0)</f>
        <v>0</v>
      </c>
      <c r="L231">
        <f>IF(D231&lt;$A$15,$D$11,$D$11*(1-$H$11))</f>
        <v>85</v>
      </c>
      <c r="M231">
        <f t="shared" si="20"/>
        <v>1</v>
      </c>
      <c r="N231">
        <f>IF(SUM(I231:J231)&lt;=($G$11/60*$F$11/($E$11/60)),1,0)</f>
        <v>0</v>
      </c>
    </row>
    <row r="232" spans="4:14" x14ac:dyDescent="0.2">
      <c r="D232">
        <f t="shared" si="22"/>
        <v>209</v>
      </c>
      <c r="E232" s="1">
        <f>IF($H$11=1,IF(D232&lt;=$A$15, E231+LN($D$11)-LN(60/$E$11)-LN(MIN(D232,$F$11)), E231-LN(60/$E$11)-LN(MIN(D232,$F$11))), IF(D232&lt;=$A$15, E231+LN($D$11)-LN(60/$E$11)-LN(MIN(D232,$F$11)), E231+LN($D$11)+LN(1-$H$11)-LN(60/$E$11)-LN(MIN(D232,$F$11))))</f>
        <v>-23.067535796170006</v>
      </c>
      <c r="F232" s="1">
        <f t="shared" si="23"/>
        <v>-25.069568605369064</v>
      </c>
      <c r="G232" s="1">
        <f t="shared" si="21"/>
        <v>1.2954620379307929E-11</v>
      </c>
      <c r="H232" s="1">
        <f t="shared" si="18"/>
        <v>1.2715903323635721E-12</v>
      </c>
      <c r="I232">
        <f>IF($F$11&lt;=D232, IF(D232&lt;=$A$15,D232-$F$11,$C$11),0)</f>
        <v>60</v>
      </c>
      <c r="J232">
        <f t="shared" si="19"/>
        <v>145</v>
      </c>
      <c r="K232" s="5">
        <f>IF(D232&lt;$F$11,H232,0)</f>
        <v>0</v>
      </c>
      <c r="L232">
        <f>IF(D232&lt;$A$15,$D$11,$D$11*(1-$H$11))</f>
        <v>85</v>
      </c>
      <c r="M232">
        <f t="shared" si="20"/>
        <v>1</v>
      </c>
      <c r="N232">
        <f>IF(SUM(I232:J232)&lt;=($G$11/60*$F$11/($E$11/60)),1,0)</f>
        <v>0</v>
      </c>
    </row>
    <row r="233" spans="4:14" x14ac:dyDescent="0.2">
      <c r="D233">
        <f t="shared" si="22"/>
        <v>210</v>
      </c>
      <c r="E233" s="1">
        <f>IF($H$11=1,IF(D233&lt;=$A$15, E232+LN($D$11)-LN(60/$E$11)-LN(MIN(D233,$F$11)), E232-LN(60/$E$11)-LN(MIN(D233,$F$11))), IF(D233&lt;=$A$15, E232+LN($D$11)-LN(60/$E$11)-LN(MIN(D233,$F$11)), E232+LN($D$11)+LN(1-$H$11)-LN(60/$E$11)-LN(MIN(D233,$F$11))))</f>
        <v>-23.189232731147527</v>
      </c>
      <c r="F233" s="1">
        <f t="shared" si="23"/>
        <v>-25.191265540346585</v>
      </c>
      <c r="G233" s="1">
        <f t="shared" si="21"/>
        <v>1.1470236794178879E-11</v>
      </c>
      <c r="H233" s="1">
        <f t="shared" si="18"/>
        <v>1.1258872734469111E-12</v>
      </c>
      <c r="I233">
        <f>IF($F$11&lt;=D233, IF(D233&lt;=$A$15,D233-$F$11,$C$11),0)</f>
        <v>60</v>
      </c>
      <c r="J233">
        <f t="shared" si="19"/>
        <v>146</v>
      </c>
      <c r="K233" s="5">
        <f>IF(D233&lt;$F$11,H233,0)</f>
        <v>0</v>
      </c>
      <c r="L233">
        <f>IF(D233&lt;$A$15,$D$11,$D$11*(1-$H$11))</f>
        <v>85</v>
      </c>
      <c r="M233">
        <f t="shared" si="20"/>
        <v>1</v>
      </c>
      <c r="N233">
        <f>IF(SUM(I233:J233)&lt;=($G$11/60*$F$11/($E$11/60)),1,0)</f>
        <v>0</v>
      </c>
    </row>
    <row r="234" spans="4:14" x14ac:dyDescent="0.2">
      <c r="D234">
        <f t="shared" si="22"/>
        <v>211</v>
      </c>
      <c r="E234" s="1">
        <f>IF($H$11=1,IF(D234&lt;=$A$15, E233+LN($D$11)-LN(60/$E$11)-LN(MIN(D234,$F$11)), E233-LN(60/$E$11)-LN(MIN(D234,$F$11))), IF(D234&lt;=$A$15, E233+LN($D$11)-LN(60/$E$11)-LN(MIN(D234,$F$11)), E233+LN($D$11)+LN(1-$H$11)-LN(60/$E$11)-LN(MIN(D234,$F$11))))</f>
        <v>-23.310929666125048</v>
      </c>
      <c r="F234" s="1">
        <f t="shared" si="23"/>
        <v>-25.312962475324106</v>
      </c>
      <c r="G234" s="1">
        <f t="shared" si="21"/>
        <v>1.0155938828179202E-11</v>
      </c>
      <c r="H234" s="1">
        <f t="shared" si="18"/>
        <v>9.9687935669778453E-13</v>
      </c>
      <c r="I234">
        <f>IF($F$11&lt;=D234, IF(D234&lt;=$A$15,D234-$F$11,$C$11),0)</f>
        <v>60</v>
      </c>
      <c r="J234">
        <f t="shared" si="19"/>
        <v>147</v>
      </c>
      <c r="K234" s="5">
        <f>IF(D234&lt;$F$11,H234,0)</f>
        <v>0</v>
      </c>
      <c r="L234">
        <f>IF(D234&lt;$A$15,$D$11,$D$11*(1-$H$11))</f>
        <v>85</v>
      </c>
      <c r="M234">
        <f t="shared" si="20"/>
        <v>1</v>
      </c>
      <c r="N234">
        <f>IF(SUM(I234:J234)&lt;=($G$11/60*$F$11/($E$11/60)),1,0)</f>
        <v>0</v>
      </c>
    </row>
    <row r="235" spans="4:14" x14ac:dyDescent="0.2">
      <c r="D235">
        <f t="shared" si="22"/>
        <v>212</v>
      </c>
      <c r="E235" s="1">
        <f>IF($H$11=1,IF(D235&lt;=$A$15, E234+LN($D$11)-LN(60/$E$11)-LN(MIN(D235,$F$11)), E234-LN(60/$E$11)-LN(MIN(D235,$F$11))), IF(D235&lt;=$A$15, E234+LN($D$11)-LN(60/$E$11)-LN(MIN(D235,$F$11)), E234+LN($D$11)+LN(1-$H$11)-LN(60/$E$11)-LN(MIN(D235,$F$11))))</f>
        <v>-23.432626601102569</v>
      </c>
      <c r="F235" s="1">
        <f t="shared" si="23"/>
        <v>-25.434659410301627</v>
      </c>
      <c r="G235" s="1">
        <f t="shared" si="21"/>
        <v>8.992237504116988E-12</v>
      </c>
      <c r="H235" s="1">
        <f t="shared" si="18"/>
        <v>8.8265359707616204E-13</v>
      </c>
      <c r="I235">
        <f>IF($F$11&lt;=D235, IF(D235&lt;=$A$15,D235-$F$11,$C$11),0)</f>
        <v>60</v>
      </c>
      <c r="J235">
        <f t="shared" si="19"/>
        <v>148</v>
      </c>
      <c r="K235" s="5">
        <f>IF(D235&lt;$F$11,H235,0)</f>
        <v>0</v>
      </c>
      <c r="L235">
        <f>IF(D235&lt;$A$15,$D$11,$D$11*(1-$H$11))</f>
        <v>85</v>
      </c>
      <c r="M235">
        <f t="shared" si="20"/>
        <v>1</v>
      </c>
      <c r="N235">
        <f>IF(SUM(I235:J235)&lt;=($G$11/60*$F$11/($E$11/60)),1,0)</f>
        <v>0</v>
      </c>
    </row>
    <row r="236" spans="4:14" x14ac:dyDescent="0.2">
      <c r="D236">
        <f t="shared" si="22"/>
        <v>213</v>
      </c>
      <c r="E236" s="1">
        <f>IF($H$11=1,IF(D236&lt;=$A$15, E235+LN($D$11)-LN(60/$E$11)-LN(MIN(D236,$F$11)), E235-LN(60/$E$11)-LN(MIN(D236,$F$11))), IF(D236&lt;=$A$15, E235+LN($D$11)-LN(60/$E$11)-LN(MIN(D236,$F$11)), E235+LN($D$11)+LN(1-$H$11)-LN(60/$E$11)-LN(MIN(D236,$F$11))))</f>
        <v>-23.554323536080091</v>
      </c>
      <c r="F236" s="1">
        <f t="shared" si="23"/>
        <v>-25.556356345279148</v>
      </c>
      <c r="G236" s="1">
        <f t="shared" si="21"/>
        <v>7.9618769567702393E-12</v>
      </c>
      <c r="H236" s="1">
        <f t="shared" si="18"/>
        <v>7.8151620574451744E-13</v>
      </c>
      <c r="I236">
        <f>IF($F$11&lt;=D236, IF(D236&lt;=$A$15,D236-$F$11,$C$11),0)</f>
        <v>60</v>
      </c>
      <c r="J236">
        <f t="shared" si="19"/>
        <v>149</v>
      </c>
      <c r="K236" s="5">
        <f>IF(D236&lt;$F$11,H236,0)</f>
        <v>0</v>
      </c>
      <c r="L236">
        <f>IF(D236&lt;$A$15,$D$11,$D$11*(1-$H$11))</f>
        <v>85</v>
      </c>
      <c r="M236">
        <f t="shared" si="20"/>
        <v>1</v>
      </c>
      <c r="N236">
        <f>IF(SUM(I236:J236)&lt;=($G$11/60*$F$11/($E$11/60)),1,0)</f>
        <v>0</v>
      </c>
    </row>
    <row r="237" spans="4:14" x14ac:dyDescent="0.2">
      <c r="D237">
        <f t="shared" si="22"/>
        <v>214</v>
      </c>
      <c r="E237" s="1">
        <f>IF($H$11=1,IF(D237&lt;=$A$15, E236+LN($D$11)-LN(60/$E$11)-LN(MIN(D237,$F$11)), E236-LN(60/$E$11)-LN(MIN(D237,$F$11))), IF(D237&lt;=$A$15, E236+LN($D$11)-LN(60/$E$11)-LN(MIN(D237,$F$11)), E236+LN($D$11)+LN(1-$H$11)-LN(60/$E$11)-LN(MIN(D237,$F$11))))</f>
        <v>-23.676020471057612</v>
      </c>
      <c r="F237" s="1">
        <f t="shared" si="23"/>
        <v>-25.67805328025667</v>
      </c>
      <c r="G237" s="1">
        <f t="shared" si="21"/>
        <v>7.049578555473639E-12</v>
      </c>
      <c r="H237" s="1">
        <f t="shared" si="18"/>
        <v>6.9196747383629045E-13</v>
      </c>
      <c r="I237">
        <f>IF($F$11&lt;=D237, IF(D237&lt;=$A$15,D237-$F$11,$C$11),0)</f>
        <v>60</v>
      </c>
      <c r="J237">
        <f t="shared" si="19"/>
        <v>150</v>
      </c>
      <c r="K237" s="5">
        <f>IF(D237&lt;$F$11,H237,0)</f>
        <v>0</v>
      </c>
      <c r="L237">
        <f>IF(D237&lt;$A$15,$D$11,$D$11*(1-$H$11))</f>
        <v>85</v>
      </c>
      <c r="M237">
        <f t="shared" si="20"/>
        <v>1</v>
      </c>
      <c r="N237">
        <f>IF(SUM(I237:J237)&lt;=($G$11/60*$F$11/($E$11/60)),1,0)</f>
        <v>0</v>
      </c>
    </row>
    <row r="238" spans="4:14" x14ac:dyDescent="0.2">
      <c r="D238">
        <f t="shared" si="22"/>
        <v>215</v>
      </c>
      <c r="E238" s="1">
        <f>IF($H$11=1,IF(D238&lt;=$A$15, E237+LN($D$11)-LN(60/$E$11)-LN(MIN(D238,$F$11)), E237-LN(60/$E$11)-LN(MIN(D238,$F$11))), IF(D238&lt;=$A$15, E237+LN($D$11)-LN(60/$E$11)-LN(MIN(D238,$F$11)), E237+LN($D$11)+LN(1-$H$11)-LN(60/$E$11)-LN(MIN(D238,$F$11))))</f>
        <v>-23.797717406035133</v>
      </c>
      <c r="F238" s="1">
        <f t="shared" si="23"/>
        <v>-25.799750215234191</v>
      </c>
      <c r="G238" s="1">
        <f t="shared" si="21"/>
        <v>6.2418143459922757E-12</v>
      </c>
      <c r="H238" s="1">
        <f t="shared" si="18"/>
        <v>6.1267953412588132E-13</v>
      </c>
      <c r="I238">
        <f>IF($F$11&lt;=D238, IF(D238&lt;=$A$15,D238-$F$11,$C$11),0)</f>
        <v>60</v>
      </c>
      <c r="J238">
        <f t="shared" si="19"/>
        <v>151</v>
      </c>
      <c r="K238" s="5">
        <f>IF(D238&lt;$F$11,H238,0)</f>
        <v>0</v>
      </c>
      <c r="L238">
        <f>IF(D238&lt;$A$15,$D$11,$D$11*(1-$H$11))</f>
        <v>85</v>
      </c>
      <c r="M238">
        <f t="shared" si="20"/>
        <v>1</v>
      </c>
      <c r="N238">
        <f>IF(SUM(I238:J238)&lt;=($G$11/60*$F$11/($E$11/60)),1,0)</f>
        <v>0</v>
      </c>
    </row>
    <row r="239" spans="4:14" x14ac:dyDescent="0.2">
      <c r="D239">
        <f t="shared" si="22"/>
        <v>216</v>
      </c>
      <c r="E239" s="1">
        <f>IF($H$11=1,IF(D239&lt;=$A$15, E238+LN($D$11)-LN(60/$E$11)-LN(MIN(D239,$F$11)), E238-LN(60/$E$11)-LN(MIN(D239,$F$11))), IF(D239&lt;=$A$15, E238+LN($D$11)-LN(60/$E$11)-LN(MIN(D239,$F$11)), E238+LN($D$11)+LN(1-$H$11)-LN(60/$E$11)-LN(MIN(D239,$F$11))))</f>
        <v>-23.919414341012654</v>
      </c>
      <c r="F239" s="1">
        <f t="shared" si="23"/>
        <v>-25.921447150211712</v>
      </c>
      <c r="G239" s="1">
        <f t="shared" si="21"/>
        <v>5.5266064521806533E-12</v>
      </c>
      <c r="H239" s="1">
        <f t="shared" si="18"/>
        <v>5.4247667084062329E-13</v>
      </c>
      <c r="I239">
        <f>IF($F$11&lt;=D239, IF(D239&lt;=$A$15,D239-$F$11,$C$11),0)</f>
        <v>60</v>
      </c>
      <c r="J239">
        <f t="shared" si="19"/>
        <v>152</v>
      </c>
      <c r="K239" s="5">
        <f>IF(D239&lt;$F$11,H239,0)</f>
        <v>0</v>
      </c>
      <c r="L239">
        <f>IF(D239&lt;$A$15,$D$11,$D$11*(1-$H$11))</f>
        <v>85</v>
      </c>
      <c r="M239">
        <f t="shared" si="20"/>
        <v>1</v>
      </c>
      <c r="N239">
        <f>IF(SUM(I239:J239)&lt;=($G$11/60*$F$11/($E$11/60)),1,0)</f>
        <v>0</v>
      </c>
    </row>
    <row r="240" spans="4:14" x14ac:dyDescent="0.2">
      <c r="D240">
        <f t="shared" si="22"/>
        <v>217</v>
      </c>
      <c r="E240" s="1">
        <f>IF($H$11=1,IF(D240&lt;=$A$15, E239+LN($D$11)-LN(60/$E$11)-LN(MIN(D240,$F$11)), E239-LN(60/$E$11)-LN(MIN(D240,$F$11))), IF(D240&lt;=$A$15, E239+LN($D$11)-LN(60/$E$11)-LN(MIN(D240,$F$11)), E239+LN($D$11)+LN(1-$H$11)-LN(60/$E$11)-LN(MIN(D240,$F$11))))</f>
        <v>-24.041111275990175</v>
      </c>
      <c r="F240" s="1">
        <f t="shared" si="23"/>
        <v>-26.043144085189233</v>
      </c>
      <c r="G240" s="1">
        <f t="shared" si="21"/>
        <v>4.8933494628682792E-12</v>
      </c>
      <c r="H240" s="1">
        <f t="shared" si="18"/>
        <v>4.8031788564013449E-13</v>
      </c>
      <c r="I240">
        <f>IF($F$11&lt;=D240, IF(D240&lt;=$A$15,D240-$F$11,$C$11),0)</f>
        <v>60</v>
      </c>
      <c r="J240">
        <f t="shared" si="19"/>
        <v>153</v>
      </c>
      <c r="K240" s="5">
        <f>IF(D240&lt;$F$11,H240,0)</f>
        <v>0</v>
      </c>
      <c r="L240">
        <f>IF(D240&lt;$A$15,$D$11,$D$11*(1-$H$11))</f>
        <v>85</v>
      </c>
      <c r="M240">
        <f t="shared" si="20"/>
        <v>1</v>
      </c>
      <c r="N240">
        <f>IF(SUM(I240:J240)&lt;=($G$11/60*$F$11/($E$11/60)),1,0)</f>
        <v>0</v>
      </c>
    </row>
    <row r="241" spans="4:14" x14ac:dyDescent="0.2">
      <c r="D241">
        <f t="shared" si="22"/>
        <v>218</v>
      </c>
      <c r="E241" s="1">
        <f>IF($H$11=1,IF(D241&lt;=$A$15, E240+LN($D$11)-LN(60/$E$11)-LN(MIN(D241,$F$11)), E240-LN(60/$E$11)-LN(MIN(D241,$F$11))), IF(D241&lt;=$A$15, E240+LN($D$11)-LN(60/$E$11)-LN(MIN(D241,$F$11)), E240+LN($D$11)+LN(1-$H$11)-LN(60/$E$11)-LN(MIN(D241,$F$11))))</f>
        <v>-24.162808210967697</v>
      </c>
      <c r="F241" s="1">
        <f t="shared" si="23"/>
        <v>-26.164841020166755</v>
      </c>
      <c r="G241" s="1">
        <f t="shared" si="21"/>
        <v>4.3326531702479495E-12</v>
      </c>
      <c r="H241" s="1">
        <f t="shared" si="18"/>
        <v>4.252814612438685E-13</v>
      </c>
      <c r="I241">
        <f>IF($F$11&lt;=D241, IF(D241&lt;=$A$15,D241-$F$11,$C$11),0)</f>
        <v>60</v>
      </c>
      <c r="J241">
        <f t="shared" si="19"/>
        <v>154</v>
      </c>
      <c r="K241" s="5">
        <f>IF(D241&lt;$F$11,H241,0)</f>
        <v>0</v>
      </c>
      <c r="L241">
        <f>IF(D241&lt;$A$15,$D$11,$D$11*(1-$H$11))</f>
        <v>85</v>
      </c>
      <c r="M241">
        <f t="shared" si="20"/>
        <v>1</v>
      </c>
      <c r="N241">
        <f>IF(SUM(I241:J241)&lt;=($G$11/60*$F$11/($E$11/60)),1,0)</f>
        <v>0</v>
      </c>
    </row>
    <row r="242" spans="4:14" x14ac:dyDescent="0.2">
      <c r="D242">
        <f t="shared" si="22"/>
        <v>219</v>
      </c>
      <c r="E242" s="1">
        <f>IF($H$11=1,IF(D242&lt;=$A$15, E241+LN($D$11)-LN(60/$E$11)-LN(MIN(D242,$F$11)), E241-LN(60/$E$11)-LN(MIN(D242,$F$11))), IF(D242&lt;=$A$15, E241+LN($D$11)-LN(60/$E$11)-LN(MIN(D242,$F$11)), E241+LN($D$11)+LN(1-$H$11)-LN(60/$E$11)-LN(MIN(D242,$F$11))))</f>
        <v>-24.284505145945218</v>
      </c>
      <c r="F242" s="1">
        <f t="shared" si="23"/>
        <v>-26.286537955144276</v>
      </c>
      <c r="G242" s="1">
        <f t="shared" si="21"/>
        <v>3.8362033278237002E-12</v>
      </c>
      <c r="H242" s="1">
        <f t="shared" si="18"/>
        <v>3.7655129380967473E-13</v>
      </c>
      <c r="I242">
        <f>IF($F$11&lt;=D242, IF(D242&lt;=$A$15,D242-$F$11,$C$11),0)</f>
        <v>60</v>
      </c>
      <c r="J242">
        <f t="shared" si="19"/>
        <v>155</v>
      </c>
      <c r="K242" s="5">
        <f>IF(D242&lt;$F$11,H242,0)</f>
        <v>0</v>
      </c>
      <c r="L242">
        <f>IF(D242&lt;$A$15,$D$11,$D$11*(1-$H$11))</f>
        <v>85</v>
      </c>
      <c r="M242">
        <f t="shared" si="20"/>
        <v>1</v>
      </c>
      <c r="N242">
        <f>IF(SUM(I242:J242)&lt;=($G$11/60*$F$11/($E$11/60)),1,0)</f>
        <v>0</v>
      </c>
    </row>
    <row r="243" spans="4:14" x14ac:dyDescent="0.2">
      <c r="D243">
        <f t="shared" si="22"/>
        <v>220</v>
      </c>
      <c r="E243" s="1">
        <f>IF($H$11=1,IF(D243&lt;=$A$15, E242+LN($D$11)-LN(60/$E$11)-LN(MIN(D243,$F$11)), E242-LN(60/$E$11)-LN(MIN(D243,$F$11))), IF(D243&lt;=$A$15, E242+LN($D$11)-LN(60/$E$11)-LN(MIN(D243,$F$11)), E242+LN($D$11)+LN(1-$H$11)-LN(60/$E$11)-LN(MIN(D243,$F$11))))</f>
        <v>-24.406202080922739</v>
      </c>
      <c r="F243" s="1">
        <f t="shared" si="23"/>
        <v>-26.408234890121797</v>
      </c>
      <c r="G243" s="1">
        <f t="shared" si="21"/>
        <v>3.3966383631772293E-12</v>
      </c>
      <c r="H243" s="1">
        <f t="shared" si="18"/>
        <v>3.3340479139398233E-13</v>
      </c>
      <c r="I243">
        <f>IF($F$11&lt;=D243, IF(D243&lt;=$A$15,D243-$F$11,$C$11),0)</f>
        <v>60</v>
      </c>
      <c r="J243">
        <f t="shared" si="19"/>
        <v>156</v>
      </c>
      <c r="K243" s="5">
        <f>IF(D243&lt;$F$11,H243,0)</f>
        <v>0</v>
      </c>
      <c r="L243">
        <f>IF(D243&lt;$A$15,$D$11,$D$11*(1-$H$11))</f>
        <v>85</v>
      </c>
      <c r="M243">
        <f t="shared" si="20"/>
        <v>1</v>
      </c>
      <c r="N243">
        <f>IF(SUM(I243:J243)&lt;=($G$11/60*$F$11/($E$11/60)),1,0)</f>
        <v>0</v>
      </c>
    </row>
    <row r="244" spans="4:14" x14ac:dyDescent="0.2">
      <c r="D244">
        <f t="shared" si="22"/>
        <v>221</v>
      </c>
      <c r="E244" s="1">
        <f>IF($H$11=1,IF(D244&lt;=$A$15, E243+LN($D$11)-LN(60/$E$11)-LN(MIN(D244,$F$11)), E243-LN(60/$E$11)-LN(MIN(D244,$F$11))), IF(D244&lt;=$A$15, E243+LN($D$11)-LN(60/$E$11)-LN(MIN(D244,$F$11)), E243+LN($D$11)+LN(1-$H$11)-LN(60/$E$11)-LN(MIN(D244,$F$11))))</f>
        <v>-24.52789901590026</v>
      </c>
      <c r="F244" s="1">
        <f t="shared" si="23"/>
        <v>-26.529931825099318</v>
      </c>
      <c r="G244" s="1">
        <f t="shared" si="21"/>
        <v>3.007440217396501E-12</v>
      </c>
      <c r="H244" s="1">
        <f t="shared" si="18"/>
        <v>2.9520215904675478E-13</v>
      </c>
      <c r="I244">
        <f>IF($F$11&lt;=D244, IF(D244&lt;=$A$15,D244-$F$11,$C$11),0)</f>
        <v>60</v>
      </c>
      <c r="J244">
        <f t="shared" si="19"/>
        <v>157</v>
      </c>
      <c r="K244" s="5">
        <f>IF(D244&lt;$F$11,H244,0)</f>
        <v>0</v>
      </c>
      <c r="L244">
        <f>IF(D244&lt;$A$15,$D$11,$D$11*(1-$H$11))</f>
        <v>85</v>
      </c>
      <c r="M244">
        <f t="shared" si="20"/>
        <v>1</v>
      </c>
      <c r="N244">
        <f>IF(SUM(I244:J244)&lt;=($G$11/60*$F$11/($E$11/60)),1,0)</f>
        <v>0</v>
      </c>
    </row>
    <row r="245" spans="4:14" x14ac:dyDescent="0.2">
      <c r="D245">
        <f t="shared" si="22"/>
        <v>222</v>
      </c>
      <c r="E245" s="1">
        <f>IF($H$11=1,IF(D245&lt;=$A$15, E244+LN($D$11)-LN(60/$E$11)-LN(MIN(D245,$F$11)), E244-LN(60/$E$11)-LN(MIN(D245,$F$11))), IF(D245&lt;=$A$15, E244+LN($D$11)-LN(60/$E$11)-LN(MIN(D245,$F$11)), E244+LN($D$11)+LN(1-$H$11)-LN(60/$E$11)-LN(MIN(D245,$F$11))))</f>
        <v>-24.649595950877782</v>
      </c>
      <c r="F245" s="1">
        <f t="shared" si="23"/>
        <v>-26.651628760076839</v>
      </c>
      <c r="G245" s="1">
        <f t="shared" si="21"/>
        <v>2.6628376924864813E-12</v>
      </c>
      <c r="H245" s="1">
        <f t="shared" si="18"/>
        <v>2.613769116559804E-13</v>
      </c>
      <c r="I245">
        <f>IF($F$11&lt;=D245, IF(D245&lt;=$A$15,D245-$F$11,$C$11),0)</f>
        <v>60</v>
      </c>
      <c r="J245">
        <f t="shared" si="19"/>
        <v>158</v>
      </c>
      <c r="K245" s="5">
        <f>IF(D245&lt;$F$11,H245,0)</f>
        <v>0</v>
      </c>
      <c r="L245">
        <f>IF(D245&lt;$A$15,$D$11,$D$11*(1-$H$11))</f>
        <v>85</v>
      </c>
      <c r="M245">
        <f t="shared" si="20"/>
        <v>1</v>
      </c>
      <c r="N245">
        <f>IF(SUM(I245:J245)&lt;=($G$11/60*$F$11/($E$11/60)),1,0)</f>
        <v>0</v>
      </c>
    </row>
    <row r="246" spans="4:14" x14ac:dyDescent="0.2">
      <c r="D246">
        <f t="shared" si="22"/>
        <v>223</v>
      </c>
      <c r="E246" s="1">
        <f>IF($H$11=1,IF(D246&lt;=$A$15, E245+LN($D$11)-LN(60/$E$11)-LN(MIN(D246,$F$11)), E245-LN(60/$E$11)-LN(MIN(D246,$F$11))), IF(D246&lt;=$A$15, E245+LN($D$11)-LN(60/$E$11)-LN(MIN(D246,$F$11)), E245+LN($D$11)+LN(1-$H$11)-LN(60/$E$11)-LN(MIN(D246,$F$11))))</f>
        <v>-24.771292885855303</v>
      </c>
      <c r="F246" s="1">
        <f t="shared" si="23"/>
        <v>-26.773325695054361</v>
      </c>
      <c r="G246" s="1">
        <f t="shared" si="21"/>
        <v>2.3577208735557353E-12</v>
      </c>
      <c r="H246" s="1">
        <f t="shared" si="18"/>
        <v>2.3142747386206566E-13</v>
      </c>
      <c r="I246">
        <f>IF($F$11&lt;=D246, IF(D246&lt;=$A$15,D246-$F$11,$C$11),0)</f>
        <v>60</v>
      </c>
      <c r="J246">
        <f t="shared" si="19"/>
        <v>159</v>
      </c>
      <c r="K246" s="5">
        <f>IF(D246&lt;$F$11,H246,0)</f>
        <v>0</v>
      </c>
      <c r="L246">
        <f>IF(D246&lt;$A$15,$D$11,$D$11*(1-$H$11))</f>
        <v>85</v>
      </c>
      <c r="M246">
        <f t="shared" si="20"/>
        <v>1</v>
      </c>
      <c r="N246">
        <f>IF(SUM(I246:J246)&lt;=($G$11/60*$F$11/($E$11/60)),1,0)</f>
        <v>0</v>
      </c>
    </row>
    <row r="247" spans="4:14" x14ac:dyDescent="0.2">
      <c r="D247">
        <f t="shared" si="22"/>
        <v>224</v>
      </c>
      <c r="E247" s="1">
        <f>IF($H$11=1,IF(D247&lt;=$A$15, E246+LN($D$11)-LN(60/$E$11)-LN(MIN(D247,$F$11)), E246-LN(60/$E$11)-LN(MIN(D247,$F$11))), IF(D247&lt;=$A$15, E246+LN($D$11)-LN(60/$E$11)-LN(MIN(D247,$F$11)), E246+LN($D$11)+LN(1-$H$11)-LN(60/$E$11)-LN(MIN(D247,$F$11))))</f>
        <v>-24.892989820832824</v>
      </c>
      <c r="F247" s="1">
        <f t="shared" si="23"/>
        <v>-26.895022630031882</v>
      </c>
      <c r="G247" s="1">
        <f t="shared" si="21"/>
        <v>2.0875653567941379E-12</v>
      </c>
      <c r="H247" s="1">
        <f t="shared" si="18"/>
        <v>2.0490974248203704E-13</v>
      </c>
      <c r="I247">
        <f>IF($F$11&lt;=D247, IF(D247&lt;=$A$15,D247-$F$11,$C$11),0)</f>
        <v>60</v>
      </c>
      <c r="J247">
        <f t="shared" si="19"/>
        <v>160</v>
      </c>
      <c r="K247" s="5">
        <f>IF(D247&lt;$F$11,H247,0)</f>
        <v>0</v>
      </c>
      <c r="L247">
        <f>IF(D247&lt;$A$15,$D$11,$D$11*(1-$H$11))</f>
        <v>85</v>
      </c>
      <c r="M247">
        <f t="shared" si="20"/>
        <v>1</v>
      </c>
      <c r="N247">
        <f>IF(SUM(I247:J247)&lt;=($G$11/60*$F$11/($E$11/60)),1,0)</f>
        <v>0</v>
      </c>
    </row>
    <row r="248" spans="4:14" x14ac:dyDescent="0.2">
      <c r="D248">
        <f t="shared" si="22"/>
        <v>225</v>
      </c>
      <c r="E248" s="1">
        <f>IF($H$11=1,IF(D248&lt;=$A$15, E247+LN($D$11)-LN(60/$E$11)-LN(MIN(D248,$F$11)), E247-LN(60/$E$11)-LN(MIN(D248,$F$11))), IF(D248&lt;=$A$15, E247+LN($D$11)-LN(60/$E$11)-LN(MIN(D248,$F$11)), E247+LN($D$11)+LN(1-$H$11)-LN(60/$E$11)-LN(MIN(D248,$F$11))))</f>
        <v>-25.014686755810345</v>
      </c>
      <c r="F248" s="1">
        <f t="shared" si="23"/>
        <v>-27.016719565009403</v>
      </c>
      <c r="G248" s="1">
        <f t="shared" si="21"/>
        <v>1.8483651596614733E-12</v>
      </c>
      <c r="H248" s="1">
        <f t="shared" si="18"/>
        <v>1.8143050115596999E-13</v>
      </c>
      <c r="I248">
        <f>IF($F$11&lt;=D248, IF(D248&lt;=$A$15,D248-$F$11,$C$11),0)</f>
        <v>60</v>
      </c>
      <c r="J248">
        <f t="shared" si="19"/>
        <v>161</v>
      </c>
      <c r="K248" s="5">
        <f>IF(D248&lt;$F$11,H248,0)</f>
        <v>0</v>
      </c>
      <c r="L248">
        <f>IF(D248&lt;$A$15,$D$11,$D$11*(1-$H$11))</f>
        <v>85</v>
      </c>
      <c r="M248">
        <f t="shared" si="20"/>
        <v>1</v>
      </c>
      <c r="N248">
        <f>IF(SUM(I248:J248)&lt;=($G$11/60*$F$11/($E$11/60)),1,0)</f>
        <v>0</v>
      </c>
    </row>
    <row r="249" spans="4:14" x14ac:dyDescent="0.2">
      <c r="D249">
        <f t="shared" si="22"/>
        <v>226</v>
      </c>
      <c r="E249" s="1">
        <f>IF($H$11=1,IF(D249&lt;=$A$15, E248+LN($D$11)-LN(60/$E$11)-LN(MIN(D249,$F$11)), E248-LN(60/$E$11)-LN(MIN(D249,$F$11))), IF(D249&lt;=$A$15, E248+LN($D$11)-LN(60/$E$11)-LN(MIN(D249,$F$11)), E248+LN($D$11)+LN(1-$H$11)-LN(60/$E$11)-LN(MIN(D249,$F$11))))</f>
        <v>-25.136383690787866</v>
      </c>
      <c r="F249" s="1">
        <f t="shared" si="23"/>
        <v>-27.138416499986924</v>
      </c>
      <c r="G249" s="1">
        <f t="shared" si="21"/>
        <v>1.6365733184502606E-12</v>
      </c>
      <c r="H249" s="1">
        <f t="shared" si="18"/>
        <v>1.6064158956518155E-13</v>
      </c>
      <c r="I249">
        <f>IF($F$11&lt;=D249, IF(D249&lt;=$A$15,D249-$F$11,$C$11),0)</f>
        <v>60</v>
      </c>
      <c r="J249">
        <f t="shared" si="19"/>
        <v>162</v>
      </c>
      <c r="K249" s="5">
        <f>IF(D249&lt;$F$11,H249,0)</f>
        <v>0</v>
      </c>
      <c r="L249">
        <f>IF(D249&lt;$A$15,$D$11,$D$11*(1-$H$11))</f>
        <v>85</v>
      </c>
      <c r="M249">
        <f t="shared" si="20"/>
        <v>1</v>
      </c>
      <c r="N249">
        <f>IF(SUM(I249:J249)&lt;=($G$11/60*$F$11/($E$11/60)),1,0)</f>
        <v>0</v>
      </c>
    </row>
    <row r="250" spans="4:14" x14ac:dyDescent="0.2">
      <c r="D250">
        <f t="shared" si="22"/>
        <v>227</v>
      </c>
      <c r="E250" s="1">
        <f>IF($H$11=1,IF(D250&lt;=$A$15, E249+LN($D$11)-LN(60/$E$11)-LN(MIN(D250,$F$11)), E249-LN(60/$E$11)-LN(MIN(D250,$F$11))), IF(D250&lt;=$A$15, E249+LN($D$11)-LN(60/$E$11)-LN(MIN(D250,$F$11)), E249+LN($D$11)+LN(1-$H$11)-LN(60/$E$11)-LN(MIN(D250,$F$11))))</f>
        <v>-25.258080625765388</v>
      </c>
      <c r="F250" s="1">
        <f t="shared" si="23"/>
        <v>-27.260113434964445</v>
      </c>
      <c r="G250" s="1">
        <f t="shared" si="21"/>
        <v>1.4490492923778329E-12</v>
      </c>
      <c r="H250" s="1">
        <f t="shared" si="18"/>
        <v>1.4223474076083763E-13</v>
      </c>
      <c r="I250">
        <f>IF($F$11&lt;=D250, IF(D250&lt;=$A$15,D250-$F$11,$C$11),0)</f>
        <v>60</v>
      </c>
      <c r="J250">
        <f t="shared" si="19"/>
        <v>163</v>
      </c>
      <c r="K250" s="5">
        <f>IF(D250&lt;$F$11,H250,0)</f>
        <v>0</v>
      </c>
      <c r="L250">
        <f>IF(D250&lt;$A$15,$D$11,$D$11*(1-$H$11))</f>
        <v>85</v>
      </c>
      <c r="M250">
        <f t="shared" si="20"/>
        <v>1</v>
      </c>
      <c r="N250">
        <f>IF(SUM(I250:J250)&lt;=($G$11/60*$F$11/($E$11/60)),1,0)</f>
        <v>0</v>
      </c>
    </row>
    <row r="251" spans="4:14" x14ac:dyDescent="0.2">
      <c r="D251">
        <f t="shared" si="22"/>
        <v>228</v>
      </c>
      <c r="E251" s="1">
        <f>IF($H$11=1,IF(D251&lt;=$A$15, E250+LN($D$11)-LN(60/$E$11)-LN(MIN(D251,$F$11)), E250-LN(60/$E$11)-LN(MIN(D251,$F$11))), IF(D251&lt;=$A$15, E250+LN($D$11)-LN(60/$E$11)-LN(MIN(D251,$F$11)), E250+LN($D$11)+LN(1-$H$11)-LN(60/$E$11)-LN(MIN(D251,$F$11))))</f>
        <v>-25.379777560742909</v>
      </c>
      <c r="F251" s="1">
        <f t="shared" si="23"/>
        <v>-27.381810369941967</v>
      </c>
      <c r="G251" s="1">
        <f t="shared" si="21"/>
        <v>1.283012394292871E-12</v>
      </c>
      <c r="H251" s="1">
        <f t="shared" si="18"/>
        <v>1.2593701004865814E-13</v>
      </c>
      <c r="I251">
        <f>IF($F$11&lt;=D251, IF(D251&lt;=$A$15,D251-$F$11,$C$11),0)</f>
        <v>60</v>
      </c>
      <c r="J251">
        <f t="shared" si="19"/>
        <v>164</v>
      </c>
      <c r="K251" s="5">
        <f>IF(D251&lt;$F$11,H251,0)</f>
        <v>0</v>
      </c>
      <c r="L251">
        <f>IF(D251&lt;$A$15,$D$11,$D$11*(1-$H$11))</f>
        <v>85</v>
      </c>
      <c r="M251">
        <f t="shared" si="20"/>
        <v>1</v>
      </c>
      <c r="N251">
        <f>IF(SUM(I251:J251)&lt;=($G$11/60*$F$11/($E$11/60)),1,0)</f>
        <v>0</v>
      </c>
    </row>
    <row r="252" spans="4:14" x14ac:dyDescent="0.2">
      <c r="D252">
        <f t="shared" si="22"/>
        <v>229</v>
      </c>
      <c r="E252" s="1">
        <f>IF($H$11=1,IF(D252&lt;=$A$15, E251+LN($D$11)-LN(60/$E$11)-LN(MIN(D252,$F$11)), E251-LN(60/$E$11)-LN(MIN(D252,$F$11))), IF(D252&lt;=$A$15, E251+LN($D$11)-LN(60/$E$11)-LN(MIN(D252,$F$11)), E251+LN($D$11)+LN(1-$H$11)-LN(60/$E$11)-LN(MIN(D252,$F$11))))</f>
        <v>-25.50147449572043</v>
      </c>
      <c r="F252" s="1">
        <f t="shared" si="23"/>
        <v>-27.503507304919488</v>
      </c>
      <c r="G252" s="1">
        <f t="shared" si="21"/>
        <v>1.1360005574468113E-12</v>
      </c>
      <c r="H252" s="1">
        <f t="shared" si="18"/>
        <v>1.1150672764724924E-13</v>
      </c>
      <c r="I252">
        <f>IF($F$11&lt;=D252, IF(D252&lt;=$A$15,D252-$F$11,$C$11),0)</f>
        <v>60</v>
      </c>
      <c r="J252">
        <f t="shared" si="19"/>
        <v>165</v>
      </c>
      <c r="K252" s="5">
        <f>IF(D252&lt;$F$11,H252,0)</f>
        <v>0</v>
      </c>
      <c r="L252">
        <f>IF(D252&lt;$A$15,$D$11,$D$11*(1-$H$11))</f>
        <v>85</v>
      </c>
      <c r="M252">
        <f t="shared" si="20"/>
        <v>1</v>
      </c>
      <c r="N252">
        <f>IF(SUM(I252:J252)&lt;=($G$11/60*$F$11/($E$11/60)),1,0)</f>
        <v>0</v>
      </c>
    </row>
    <row r="253" spans="4:14" x14ac:dyDescent="0.2">
      <c r="D253">
        <f t="shared" si="22"/>
        <v>230</v>
      </c>
      <c r="E253" s="1">
        <f>IF($H$11=1,IF(D253&lt;=$A$15, E252+LN($D$11)-LN(60/$E$11)-LN(MIN(D253,$F$11)), E252-LN(60/$E$11)-LN(MIN(D253,$F$11))), IF(D253&lt;=$A$15, E252+LN($D$11)-LN(60/$E$11)-LN(MIN(D253,$F$11)), E252+LN($D$11)+LN(1-$H$11)-LN(60/$E$11)-LN(MIN(D253,$F$11))))</f>
        <v>-25.623171430697951</v>
      </c>
      <c r="F253" s="1">
        <f t="shared" si="23"/>
        <v>-27.625204239897009</v>
      </c>
      <c r="G253" s="1">
        <f t="shared" si="21"/>
        <v>1.0058338269060295E-12</v>
      </c>
      <c r="H253" s="1">
        <f t="shared" si="18"/>
        <v>9.872991510433513E-14</v>
      </c>
      <c r="I253">
        <f>IF($F$11&lt;=D253, IF(D253&lt;=$A$15,D253-$F$11,$C$11),0)</f>
        <v>60</v>
      </c>
      <c r="J253">
        <f t="shared" si="19"/>
        <v>166</v>
      </c>
      <c r="K253" s="5">
        <f>IF(D253&lt;$F$11,H253,0)</f>
        <v>0</v>
      </c>
      <c r="L253">
        <f>IF(D253&lt;$A$15,$D$11,$D$11*(1-$H$11))</f>
        <v>85</v>
      </c>
      <c r="M253">
        <f t="shared" si="20"/>
        <v>1</v>
      </c>
      <c r="N253">
        <f>IF(SUM(I253:J253)&lt;=($G$11/60*$F$11/($E$11/60)),1,0)</f>
        <v>0</v>
      </c>
    </row>
    <row r="254" spans="4:14" x14ac:dyDescent="0.2">
      <c r="D254">
        <f t="shared" si="22"/>
        <v>231</v>
      </c>
      <c r="E254" s="1">
        <f>IF($H$11=1,IF(D254&lt;=$A$15, E253+LN($D$11)-LN(60/$E$11)-LN(MIN(D254,$F$11)), E253-LN(60/$E$11)-LN(MIN(D254,$F$11))), IF(D254&lt;=$A$15, E253+LN($D$11)-LN(60/$E$11)-LN(MIN(D254,$F$11)), E253+LN($D$11)+LN(1-$H$11)-LN(60/$E$11)-LN(MIN(D254,$F$11))))</f>
        <v>-25.744868365675472</v>
      </c>
      <c r="F254" s="1">
        <f t="shared" si="23"/>
        <v>-27.74690117487453</v>
      </c>
      <c r="G254" s="1">
        <f t="shared" si="21"/>
        <v>8.9058203423971224E-13</v>
      </c>
      <c r="H254" s="1">
        <f t="shared" si="18"/>
        <v>8.7417112331963256E-14</v>
      </c>
      <c r="I254">
        <f>IF($F$11&lt;=D254, IF(D254&lt;=$A$15,D254-$F$11,$C$11),0)</f>
        <v>60</v>
      </c>
      <c r="J254">
        <f t="shared" si="19"/>
        <v>167</v>
      </c>
      <c r="K254" s="5">
        <f>IF(D254&lt;$F$11,H254,0)</f>
        <v>0</v>
      </c>
      <c r="L254">
        <f>IF(D254&lt;$A$15,$D$11,$D$11*(1-$H$11))</f>
        <v>85</v>
      </c>
      <c r="M254">
        <f t="shared" si="20"/>
        <v>1</v>
      </c>
      <c r="N254">
        <f>IF(SUM(I254:J254)&lt;=($G$11/60*$F$11/($E$11/60)),1,0)</f>
        <v>0</v>
      </c>
    </row>
    <row r="255" spans="4:14" x14ac:dyDescent="0.2">
      <c r="D255">
        <f t="shared" si="22"/>
        <v>232</v>
      </c>
      <c r="E255" s="1">
        <f>IF($H$11=1,IF(D255&lt;=$A$15, E254+LN($D$11)-LN(60/$E$11)-LN(MIN(D255,$F$11)), E254-LN(60/$E$11)-LN(MIN(D255,$F$11))), IF(D255&lt;=$A$15, E254+LN($D$11)-LN(60/$E$11)-LN(MIN(D255,$F$11)), E254+LN($D$11)+LN(1-$H$11)-LN(60/$E$11)-LN(MIN(D255,$F$11))))</f>
        <v>-25.866565300652994</v>
      </c>
      <c r="F255" s="1">
        <f t="shared" si="23"/>
        <v>-27.868598109852051</v>
      </c>
      <c r="G255" s="1">
        <f t="shared" si="21"/>
        <v>7.885361761497441E-13</v>
      </c>
      <c r="H255" s="1">
        <f t="shared" si="18"/>
        <v>7.7400568210592366E-14</v>
      </c>
      <c r="I255">
        <f>IF($F$11&lt;=D255, IF(D255&lt;=$A$15,D255-$F$11,$C$11),0)</f>
        <v>60</v>
      </c>
      <c r="J255">
        <f t="shared" si="19"/>
        <v>168</v>
      </c>
      <c r="K255" s="5">
        <f>IF(D255&lt;$F$11,H255,0)</f>
        <v>0</v>
      </c>
      <c r="L255">
        <f>IF(D255&lt;$A$15,$D$11,$D$11*(1-$H$11))</f>
        <v>85</v>
      </c>
      <c r="M255">
        <f t="shared" si="20"/>
        <v>1</v>
      </c>
      <c r="N255">
        <f>IF(SUM(I255:J255)&lt;=($G$11/60*$F$11/($E$11/60)),1,0)</f>
        <v>0</v>
      </c>
    </row>
    <row r="256" spans="4:14" x14ac:dyDescent="0.2">
      <c r="D256">
        <f t="shared" si="22"/>
        <v>233</v>
      </c>
      <c r="E256" s="1">
        <f>IF($H$11=1,IF(D256&lt;=$A$15, E255+LN($D$11)-LN(60/$E$11)-LN(MIN(D256,$F$11)), E255-LN(60/$E$11)-LN(MIN(D256,$F$11))), IF(D256&lt;=$A$15, E255+LN($D$11)-LN(60/$E$11)-LN(MIN(D256,$F$11)), E255+LN($D$11)+LN(1-$H$11)-LN(60/$E$11)-LN(MIN(D256,$F$11))))</f>
        <v>-25.988262235630515</v>
      </c>
      <c r="F256" s="1">
        <f t="shared" si="23"/>
        <v>-27.990295044829573</v>
      </c>
      <c r="G256" s="1">
        <f t="shared" si="21"/>
        <v>6.9818307263258487E-13</v>
      </c>
      <c r="H256" s="1">
        <f t="shared" si="18"/>
        <v>6.8531753103128549E-14</v>
      </c>
      <c r="I256">
        <f>IF($F$11&lt;=D256, IF(D256&lt;=$A$15,D256-$F$11,$C$11),0)</f>
        <v>60</v>
      </c>
      <c r="J256">
        <f t="shared" si="19"/>
        <v>169</v>
      </c>
      <c r="K256" s="5">
        <f>IF(D256&lt;$F$11,H256,0)</f>
        <v>0</v>
      </c>
      <c r="L256">
        <f>IF(D256&lt;$A$15,$D$11,$D$11*(1-$H$11))</f>
        <v>85</v>
      </c>
      <c r="M256">
        <f t="shared" si="20"/>
        <v>1</v>
      </c>
      <c r="N256">
        <f>IF(SUM(I256:J256)&lt;=($G$11/60*$F$11/($E$11/60)),1,0)</f>
        <v>0</v>
      </c>
    </row>
    <row r="257" spans="4:14" x14ac:dyDescent="0.2">
      <c r="D257">
        <f t="shared" si="22"/>
        <v>234</v>
      </c>
      <c r="E257" s="1">
        <f>IF($H$11=1,IF(D257&lt;=$A$15, E256+LN($D$11)-LN(60/$E$11)-LN(MIN(D257,$F$11)), E256-LN(60/$E$11)-LN(MIN(D257,$F$11))), IF(D257&lt;=$A$15, E256+LN($D$11)-LN(60/$E$11)-LN(MIN(D257,$F$11)), E256+LN($D$11)+LN(1-$H$11)-LN(60/$E$11)-LN(MIN(D257,$F$11))))</f>
        <v>-26.109959170608036</v>
      </c>
      <c r="F257" s="1">
        <f t="shared" si="23"/>
        <v>-28.111991979807094</v>
      </c>
      <c r="G257" s="1">
        <f t="shared" si="21"/>
        <v>6.181829288934337E-13</v>
      </c>
      <c r="H257" s="1">
        <f t="shared" si="18"/>
        <v>6.0679156393394988E-14</v>
      </c>
      <c r="I257">
        <f>IF($F$11&lt;=D257, IF(D257&lt;=$A$15,D257-$F$11,$C$11),0)</f>
        <v>60</v>
      </c>
      <c r="J257">
        <f t="shared" si="19"/>
        <v>170</v>
      </c>
      <c r="K257" s="5">
        <f>IF(D257&lt;$F$11,H257,0)</f>
        <v>0</v>
      </c>
      <c r="L257">
        <f>IF(D257&lt;$A$15,$D$11,$D$11*(1-$H$11))</f>
        <v>85</v>
      </c>
      <c r="M257">
        <f t="shared" si="20"/>
        <v>1</v>
      </c>
      <c r="N257">
        <f>IF(SUM(I257:J257)&lt;=($G$11/60*$F$11/($E$11/60)),1,0)</f>
        <v>0</v>
      </c>
    </row>
    <row r="258" spans="4:14" x14ac:dyDescent="0.2">
      <c r="D258">
        <f t="shared" si="22"/>
        <v>235</v>
      </c>
      <c r="E258" s="1">
        <f>IF($H$11=1,IF(D258&lt;=$A$15, E257+LN($D$11)-LN(60/$E$11)-LN(MIN(D258,$F$11)), E257-LN(60/$E$11)-LN(MIN(D258,$F$11))), IF(D258&lt;=$A$15, E257+LN($D$11)-LN(60/$E$11)-LN(MIN(D258,$F$11)), E257+LN($D$11)+LN(1-$H$11)-LN(60/$E$11)-LN(MIN(D258,$F$11))))</f>
        <v>-26.231656105585557</v>
      </c>
      <c r="F258" s="1">
        <f t="shared" si="23"/>
        <v>-28.233688914784615</v>
      </c>
      <c r="G258" s="1">
        <f t="shared" si="21"/>
        <v>5.4734946829106025E-13</v>
      </c>
      <c r="H258" s="1">
        <f t="shared" si="18"/>
        <v>5.3726336389985062E-14</v>
      </c>
      <c r="I258">
        <f>IF($F$11&lt;=D258, IF(D258&lt;=$A$15,D258-$F$11,$C$11),0)</f>
        <v>60</v>
      </c>
      <c r="J258">
        <f t="shared" si="19"/>
        <v>171</v>
      </c>
      <c r="K258" s="5">
        <f>IF(D258&lt;$F$11,H258,0)</f>
        <v>0</v>
      </c>
      <c r="L258">
        <f>IF(D258&lt;$A$15,$D$11,$D$11*(1-$H$11))</f>
        <v>85</v>
      </c>
      <c r="M258">
        <f t="shared" si="20"/>
        <v>1</v>
      </c>
      <c r="N258">
        <f>IF(SUM(I258:J258)&lt;=($G$11/60*$F$11/($E$11/60)),1,0)</f>
        <v>0</v>
      </c>
    </row>
    <row r="259" spans="4:14" x14ac:dyDescent="0.2">
      <c r="D259">
        <f t="shared" si="22"/>
        <v>236</v>
      </c>
      <c r="E259" s="1">
        <f>IF($H$11=1,IF(D259&lt;=$A$15, E258+LN($D$11)-LN(60/$E$11)-LN(MIN(D259,$F$11)), E258-LN(60/$E$11)-LN(MIN(D259,$F$11))), IF(D259&lt;=$A$15, E258+LN($D$11)-LN(60/$E$11)-LN(MIN(D259,$F$11)), E258+LN($D$11)+LN(1-$H$11)-LN(60/$E$11)-LN(MIN(D259,$F$11))))</f>
        <v>-26.353353040563078</v>
      </c>
      <c r="F259" s="1">
        <f t="shared" si="23"/>
        <v>-28.355385849762136</v>
      </c>
      <c r="G259" s="1">
        <f t="shared" si="21"/>
        <v>4.8463234171604231E-13</v>
      </c>
      <c r="H259" s="1">
        <f t="shared" si="18"/>
        <v>4.7570193678632547E-14</v>
      </c>
      <c r="I259">
        <f>IF($F$11&lt;=D259, IF(D259&lt;=$A$15,D259-$F$11,$C$11),0)</f>
        <v>60</v>
      </c>
      <c r="J259">
        <f t="shared" si="19"/>
        <v>172</v>
      </c>
      <c r="K259" s="5">
        <f>IF(D259&lt;$F$11,H259,0)</f>
        <v>0</v>
      </c>
      <c r="L259">
        <f>IF(D259&lt;$A$15,$D$11,$D$11*(1-$H$11))</f>
        <v>85</v>
      </c>
      <c r="M259">
        <f t="shared" si="20"/>
        <v>1</v>
      </c>
      <c r="N259">
        <f>IF(SUM(I259:J259)&lt;=($G$11/60*$F$11/($E$11/60)),1,0)</f>
        <v>0</v>
      </c>
    </row>
    <row r="260" spans="4:14" x14ac:dyDescent="0.2">
      <c r="D260">
        <f t="shared" si="22"/>
        <v>237</v>
      </c>
      <c r="E260" s="1">
        <f>IF($H$11=1,IF(D260&lt;=$A$15, E259+LN($D$11)-LN(60/$E$11)-LN(MIN(D260,$F$11)), E259-LN(60/$E$11)-LN(MIN(D260,$F$11))), IF(D260&lt;=$A$15, E259+LN($D$11)-LN(60/$E$11)-LN(MIN(D260,$F$11)), E259+LN($D$11)+LN(1-$H$11)-LN(60/$E$11)-LN(MIN(D260,$F$11))))</f>
        <v>-26.4750499755406</v>
      </c>
      <c r="F260" s="1">
        <f t="shared" si="23"/>
        <v>-28.477082784739657</v>
      </c>
      <c r="G260" s="1">
        <f t="shared" si="21"/>
        <v>4.291015525610785E-13</v>
      </c>
      <c r="H260" s="1">
        <f t="shared" si="18"/>
        <v>4.2119442319622509E-14</v>
      </c>
      <c r="I260">
        <f>IF($F$11&lt;=D260, IF(D260&lt;=$A$15,D260-$F$11,$C$11),0)</f>
        <v>60</v>
      </c>
      <c r="J260">
        <f t="shared" si="19"/>
        <v>173</v>
      </c>
      <c r="K260" s="5">
        <f>IF(D260&lt;$F$11,H260,0)</f>
        <v>0</v>
      </c>
      <c r="L260">
        <f>IF(D260&lt;$A$15,$D$11,$D$11*(1-$H$11))</f>
        <v>85</v>
      </c>
      <c r="M260">
        <f t="shared" si="20"/>
        <v>1</v>
      </c>
      <c r="N260">
        <f>IF(SUM(I260:J260)&lt;=($G$11/60*$F$11/($E$11/60)),1,0)</f>
        <v>0</v>
      </c>
    </row>
    <row r="261" spans="4:14" x14ac:dyDescent="0.2">
      <c r="D261">
        <f t="shared" si="22"/>
        <v>238</v>
      </c>
      <c r="E261" s="1">
        <f>IF($H$11=1,IF(D261&lt;=$A$15, E260+LN($D$11)-LN(60/$E$11)-LN(MIN(D261,$F$11)), E260-LN(60/$E$11)-LN(MIN(D261,$F$11))), IF(D261&lt;=$A$15, E260+LN($D$11)-LN(60/$E$11)-LN(MIN(D261,$F$11)), E260+LN($D$11)+LN(1-$H$11)-LN(60/$E$11)-LN(MIN(D261,$F$11))))</f>
        <v>-26.596746910518121</v>
      </c>
      <c r="F261" s="1">
        <f t="shared" si="23"/>
        <v>-28.598779719717179</v>
      </c>
      <c r="G261" s="1">
        <f t="shared" si="21"/>
        <v>3.7993366633012106E-13</v>
      </c>
      <c r="H261" s="1">
        <f t="shared" si="18"/>
        <v>3.7293256220499042E-14</v>
      </c>
      <c r="I261">
        <f>IF($F$11&lt;=D261, IF(D261&lt;=$A$15,D261-$F$11,$C$11),0)</f>
        <v>60</v>
      </c>
      <c r="J261">
        <f t="shared" si="19"/>
        <v>174</v>
      </c>
      <c r="K261" s="5">
        <f>IF(D261&lt;$F$11,H261,0)</f>
        <v>0</v>
      </c>
      <c r="L261">
        <f>IF(D261&lt;$A$15,$D$11,$D$11*(1-$H$11))</f>
        <v>85</v>
      </c>
      <c r="M261">
        <f t="shared" si="20"/>
        <v>1</v>
      </c>
      <c r="N261">
        <f>IF(SUM(I261:J261)&lt;=($G$11/60*$F$11/($E$11/60)),1,0)</f>
        <v>0</v>
      </c>
    </row>
    <row r="262" spans="4:14" x14ac:dyDescent="0.2">
      <c r="D262">
        <f t="shared" si="22"/>
        <v>239</v>
      </c>
      <c r="E262" s="1">
        <f>IF($H$11=1,IF(D262&lt;=$A$15, E261+LN($D$11)-LN(60/$E$11)-LN(MIN(D262,$F$11)), E261-LN(60/$E$11)-LN(MIN(D262,$F$11))), IF(D262&lt;=$A$15, E261+LN($D$11)-LN(60/$E$11)-LN(MIN(D262,$F$11)), E261+LN($D$11)+LN(1-$H$11)-LN(60/$E$11)-LN(MIN(D262,$F$11))))</f>
        <v>-26.718443845495642</v>
      </c>
      <c r="F262" s="1">
        <f t="shared" si="23"/>
        <v>-28.7204766546947</v>
      </c>
      <c r="G262" s="1">
        <f t="shared" si="21"/>
        <v>3.3639960039646087E-13</v>
      </c>
      <c r="H262" s="1">
        <f t="shared" si="18"/>
        <v>3.3020070611900151E-14</v>
      </c>
      <c r="I262">
        <f>IF($F$11&lt;=D262, IF(D262&lt;=$A$15,D262-$F$11,$C$11),0)</f>
        <v>60</v>
      </c>
      <c r="J262">
        <f t="shared" si="19"/>
        <v>175</v>
      </c>
      <c r="K262" s="5">
        <f>IF(D262&lt;$F$11,H262,0)</f>
        <v>0</v>
      </c>
      <c r="L262">
        <f>IF(D262&lt;$A$15,$D$11,$D$11*(1-$H$11))</f>
        <v>85</v>
      </c>
      <c r="M262">
        <f t="shared" si="20"/>
        <v>1</v>
      </c>
      <c r="N262">
        <f>IF(SUM(I262:J262)&lt;=($G$11/60*$F$11/($E$11/60)),1,0)</f>
        <v>0</v>
      </c>
    </row>
    <row r="263" spans="4:14" x14ac:dyDescent="0.2">
      <c r="D263">
        <f t="shared" si="22"/>
        <v>240</v>
      </c>
      <c r="E263" s="1">
        <f>IF($H$11=1,IF(D263&lt;=$A$15, E262+LN($D$11)-LN(60/$E$11)-LN(MIN(D263,$F$11)), E262-LN(60/$E$11)-LN(MIN(D263,$F$11))), IF(D263&lt;=$A$15, E262+LN($D$11)-LN(60/$E$11)-LN(MIN(D263,$F$11)), E262+LN($D$11)+LN(1-$H$11)-LN(60/$E$11)-LN(MIN(D263,$F$11))))</f>
        <v>-26.840140780473163</v>
      </c>
      <c r="F263" s="1">
        <f t="shared" si="23"/>
        <v>-28.842173589672221</v>
      </c>
      <c r="G263" s="1">
        <f t="shared" si="21"/>
        <v>2.9785381285103262E-13</v>
      </c>
      <c r="H263" s="1">
        <f t="shared" si="18"/>
        <v>2.9236520854286547E-14</v>
      </c>
      <c r="I263">
        <f>IF($F$11&lt;=D263, IF(D263&lt;=$A$15,D263-$F$11,$C$11),0)</f>
        <v>60</v>
      </c>
      <c r="J263">
        <f t="shared" si="19"/>
        <v>176</v>
      </c>
      <c r="K263" s="5">
        <f>IF(D263&lt;$F$11,H263,0)</f>
        <v>0</v>
      </c>
      <c r="L263">
        <f>IF(D263&lt;$A$15,$D$11,$D$11*(1-$H$11))</f>
        <v>85</v>
      </c>
      <c r="M263">
        <f t="shared" si="20"/>
        <v>1</v>
      </c>
      <c r="N263">
        <f>IF(SUM(I263:J263)&lt;=($G$11/60*$F$11/($E$11/60)),1,0)</f>
        <v>0</v>
      </c>
    </row>
    <row r="264" spans="4:14" x14ac:dyDescent="0.2">
      <c r="D264">
        <f t="shared" si="22"/>
        <v>241</v>
      </c>
      <c r="E264" s="1">
        <f>IF($H$11=1,IF(D264&lt;=$A$15, E263+LN($D$11)-LN(60/$E$11)-LN(MIN(D264,$F$11)), E263-LN(60/$E$11)-LN(MIN(D264,$F$11))), IF(D264&lt;=$A$15, E263+LN($D$11)-LN(60/$E$11)-LN(MIN(D264,$F$11)), E263+LN($D$11)+LN(1-$H$11)-LN(60/$E$11)-LN(MIN(D264,$F$11))))</f>
        <v>-26.961837715450685</v>
      </c>
      <c r="F264" s="1">
        <f t="shared" si="23"/>
        <v>-28.963870524649742</v>
      </c>
      <c r="G264" s="1">
        <f t="shared" si="21"/>
        <v>2.6372473012851809E-13</v>
      </c>
      <c r="H264" s="1">
        <f t="shared" si="18"/>
        <v>2.5886502839732844E-14</v>
      </c>
      <c r="I264">
        <f>IF($F$11&lt;=D264, IF(D264&lt;=$A$15,D264-$F$11,$C$11),0)</f>
        <v>60</v>
      </c>
      <c r="J264">
        <f t="shared" si="19"/>
        <v>177</v>
      </c>
      <c r="K264" s="5">
        <f>IF(D264&lt;$F$11,H264,0)</f>
        <v>0</v>
      </c>
      <c r="L264">
        <f>IF(D264&lt;$A$15,$D$11,$D$11*(1-$H$11))</f>
        <v>85</v>
      </c>
      <c r="M264">
        <f t="shared" si="20"/>
        <v>1</v>
      </c>
      <c r="N264">
        <f>IF(SUM(I264:J264)&lt;=($G$11/60*$F$11/($E$11/60)),1,0)</f>
        <v>0</v>
      </c>
    </row>
    <row r="265" spans="4:14" x14ac:dyDescent="0.2">
      <c r="D265">
        <f t="shared" si="22"/>
        <v>242</v>
      </c>
      <c r="E265" s="1">
        <f>IF($H$11=1,IF(D265&lt;=$A$15, E264+LN($D$11)-LN(60/$E$11)-LN(MIN(D265,$F$11)), E264-LN(60/$E$11)-LN(MIN(D265,$F$11))), IF(D265&lt;=$A$15, E264+LN($D$11)-LN(60/$E$11)-LN(MIN(D265,$F$11)), E264+LN($D$11)+LN(1-$H$11)-LN(60/$E$11)-LN(MIN(D265,$F$11))))</f>
        <v>-27.083534650428206</v>
      </c>
      <c r="F265" s="1">
        <f t="shared" si="23"/>
        <v>-29.085567459627264</v>
      </c>
      <c r="G265" s="1">
        <f t="shared" si="21"/>
        <v>2.3350627146795838E-13</v>
      </c>
      <c r="H265" s="1">
        <f t="shared" si="18"/>
        <v>2.2920341056013419E-14</v>
      </c>
      <c r="I265">
        <f>IF($F$11&lt;=D265, IF(D265&lt;=$A$15,D265-$F$11,$C$11),0)</f>
        <v>60</v>
      </c>
      <c r="J265">
        <f t="shared" si="19"/>
        <v>178</v>
      </c>
      <c r="K265" s="5">
        <f>IF(D265&lt;$F$11,H265,0)</f>
        <v>0</v>
      </c>
      <c r="L265">
        <f>IF(D265&lt;$A$15,$D$11,$D$11*(1-$H$11))</f>
        <v>85</v>
      </c>
      <c r="M265">
        <f t="shared" si="20"/>
        <v>1</v>
      </c>
      <c r="N265">
        <f>IF(SUM(I265:J265)&lt;=($G$11/60*$F$11/($E$11/60)),1,0)</f>
        <v>0</v>
      </c>
    </row>
    <row r="266" spans="4:14" x14ac:dyDescent="0.2">
      <c r="D266">
        <f t="shared" si="22"/>
        <v>243</v>
      </c>
      <c r="E266" s="1">
        <f>IF($H$11=1,IF(D266&lt;=$A$15, E265+LN($D$11)-LN(60/$E$11)-LN(MIN(D266,$F$11)), E265-LN(60/$E$11)-LN(MIN(D266,$F$11))), IF(D266&lt;=$A$15, E265+LN($D$11)-LN(60/$E$11)-LN(MIN(D266,$F$11)), E265+LN($D$11)+LN(1-$H$11)-LN(60/$E$11)-LN(MIN(D266,$F$11))))</f>
        <v>-27.205231585405727</v>
      </c>
      <c r="F266" s="1">
        <f t="shared" si="23"/>
        <v>-29.207264394604785</v>
      </c>
      <c r="G266" s="1">
        <f t="shared" si="21"/>
        <v>2.0675034452892121E-13</v>
      </c>
      <c r="H266" s="1">
        <f t="shared" si="18"/>
        <v>2.0294051976678521E-14</v>
      </c>
      <c r="I266">
        <f>IF($F$11&lt;=D266, IF(D266&lt;=$A$15,D266-$F$11,$C$11),0)</f>
        <v>60</v>
      </c>
      <c r="J266">
        <f t="shared" si="19"/>
        <v>179</v>
      </c>
      <c r="K266" s="5">
        <f>IF(D266&lt;$F$11,H266,0)</f>
        <v>0</v>
      </c>
      <c r="L266">
        <f>IF(D266&lt;$A$15,$D$11,$D$11*(1-$H$11))</f>
        <v>85</v>
      </c>
      <c r="M266">
        <f t="shared" si="20"/>
        <v>1</v>
      </c>
      <c r="N266">
        <f>IF(SUM(I266:J266)&lt;=($G$11/60*$F$11/($E$11/60)),1,0)</f>
        <v>0</v>
      </c>
    </row>
    <row r="267" spans="4:14" x14ac:dyDescent="0.2">
      <c r="D267">
        <f t="shared" si="22"/>
        <v>244</v>
      </c>
      <c r="E267" s="1">
        <f>IF($H$11=1,IF(D267&lt;=$A$15, E266+LN($D$11)-LN(60/$E$11)-LN(MIN(D267,$F$11)), E266-LN(60/$E$11)-LN(MIN(D267,$F$11))), IF(D267&lt;=$A$15, E266+LN($D$11)-LN(60/$E$11)-LN(MIN(D267,$F$11)), E266+LN($D$11)+LN(1-$H$11)-LN(60/$E$11)-LN(MIN(D267,$F$11))))</f>
        <v>-27.326928520383248</v>
      </c>
      <c r="F267" s="1">
        <f t="shared" si="23"/>
        <v>-29.328961329582306</v>
      </c>
      <c r="G267" s="1">
        <f t="shared" si="21"/>
        <v>1.8306020088498205E-13</v>
      </c>
      <c r="H267" s="1">
        <f t="shared" si="18"/>
        <v>1.7968691854350746E-14</v>
      </c>
      <c r="I267">
        <f>IF($F$11&lt;=D267, IF(D267&lt;=$A$15,D267-$F$11,$C$11),0)</f>
        <v>60</v>
      </c>
      <c r="J267">
        <f t="shared" si="19"/>
        <v>180</v>
      </c>
      <c r="K267" s="5">
        <f>IF(D267&lt;$F$11,H267,0)</f>
        <v>0</v>
      </c>
      <c r="L267">
        <f>IF(D267&lt;$A$15,$D$11,$D$11*(1-$H$11))</f>
        <v>85</v>
      </c>
      <c r="M267">
        <f t="shared" si="20"/>
        <v>1</v>
      </c>
      <c r="N267">
        <f>IF(SUM(I267:J267)&lt;=($G$11/60*$F$11/($E$11/60)),1,0)</f>
        <v>0</v>
      </c>
    </row>
    <row r="268" spans="4:14" x14ac:dyDescent="0.2">
      <c r="D268">
        <f t="shared" si="22"/>
        <v>245</v>
      </c>
      <c r="E268" s="1">
        <f>IF($H$11=1,IF(D268&lt;=$A$15, E267+LN($D$11)-LN(60/$E$11)-LN(MIN(D268,$F$11)), E267-LN(60/$E$11)-LN(MIN(D268,$F$11))), IF(D268&lt;=$A$15, E267+LN($D$11)-LN(60/$E$11)-LN(MIN(D268,$F$11)), E267+LN($D$11)+LN(1-$H$11)-LN(60/$E$11)-LN(MIN(D268,$F$11))))</f>
        <v>-27.448625455360769</v>
      </c>
      <c r="F268" s="1">
        <f t="shared" si="23"/>
        <v>-29.450658264559827</v>
      </c>
      <c r="G268" s="1">
        <f t="shared" si="21"/>
        <v>1.6208455286691097E-13</v>
      </c>
      <c r="H268" s="1">
        <f t="shared" si="18"/>
        <v>1.5909779246039703E-14</v>
      </c>
      <c r="I268">
        <f>IF($F$11&lt;=D268, IF(D268&lt;=$A$15,D268-$F$11,$C$11),0)</f>
        <v>60</v>
      </c>
      <c r="J268">
        <f t="shared" si="19"/>
        <v>181</v>
      </c>
      <c r="K268" s="5">
        <f>IF(D268&lt;$F$11,H268,0)</f>
        <v>0</v>
      </c>
      <c r="L268">
        <f>IF(D268&lt;$A$15,$D$11,$D$11*(1-$H$11))</f>
        <v>85</v>
      </c>
      <c r="M268">
        <f t="shared" si="20"/>
        <v>1</v>
      </c>
      <c r="N268">
        <f>IF(SUM(I268:J268)&lt;=($G$11/60*$F$11/($E$11/60)),1,0)</f>
        <v>0</v>
      </c>
    </row>
    <row r="269" spans="4:14" x14ac:dyDescent="0.2">
      <c r="D269">
        <f t="shared" si="22"/>
        <v>246</v>
      </c>
      <c r="E269" s="1">
        <f>IF($H$11=1,IF(D269&lt;=$A$15, E268+LN($D$11)-LN(60/$E$11)-LN(MIN(D269,$F$11)), E268-LN(60/$E$11)-LN(MIN(D269,$F$11))), IF(D269&lt;=$A$15, E268+LN($D$11)-LN(60/$E$11)-LN(MIN(D269,$F$11)), E268+LN($D$11)+LN(1-$H$11)-LN(60/$E$11)-LN(MIN(D269,$F$11))))</f>
        <v>-27.570322390338291</v>
      </c>
      <c r="F269" s="1">
        <f t="shared" si="23"/>
        <v>-29.572355199537348</v>
      </c>
      <c r="G269" s="1">
        <f t="shared" si="21"/>
        <v>1.4351236451757721E-13</v>
      </c>
      <c r="H269" s="1">
        <f t="shared" si="18"/>
        <v>1.4086783707430967E-14</v>
      </c>
      <c r="I269">
        <f>IF($F$11&lt;=D269, IF(D269&lt;=$A$15,D269-$F$11,$C$11),0)</f>
        <v>60</v>
      </c>
      <c r="J269">
        <f t="shared" si="19"/>
        <v>182</v>
      </c>
      <c r="K269" s="5">
        <f>IF(D269&lt;$F$11,H269,0)</f>
        <v>0</v>
      </c>
      <c r="L269">
        <f>IF(D269&lt;$A$15,$D$11,$D$11*(1-$H$11))</f>
        <v>85</v>
      </c>
      <c r="M269">
        <f t="shared" si="20"/>
        <v>1</v>
      </c>
      <c r="N269">
        <f>IF(SUM(I269:J269)&lt;=($G$11/60*$F$11/($E$11/60)),1,0)</f>
        <v>0</v>
      </c>
    </row>
    <row r="270" spans="4:14" x14ac:dyDescent="0.2">
      <c r="D270">
        <f t="shared" si="22"/>
        <v>247</v>
      </c>
      <c r="E270" s="1">
        <f>IF($H$11=1,IF(D270&lt;=$A$15, E269+LN($D$11)-LN(60/$E$11)-LN(MIN(D270,$F$11)), E269-LN(60/$E$11)-LN(MIN(D270,$F$11))), IF(D270&lt;=$A$15, E269+LN($D$11)-LN(60/$E$11)-LN(MIN(D270,$F$11)), E269+LN($D$11)+LN(1-$H$11)-LN(60/$E$11)-LN(MIN(D270,$F$11))))</f>
        <v>-27.692019325315812</v>
      </c>
      <c r="F270" s="1">
        <f t="shared" si="23"/>
        <v>-29.69405213451487</v>
      </c>
      <c r="G270" s="1">
        <f t="shared" si="21"/>
        <v>1.2706823941660464E-13</v>
      </c>
      <c r="H270" s="1">
        <f t="shared" si="18"/>
        <v>1.2472673074287817E-14</v>
      </c>
      <c r="I270">
        <f>IF($F$11&lt;=D270, IF(D270&lt;=$A$15,D270-$F$11,$C$11),0)</f>
        <v>60</v>
      </c>
      <c r="J270">
        <f t="shared" si="19"/>
        <v>183</v>
      </c>
      <c r="K270" s="5">
        <f>IF(D270&lt;$F$11,H270,0)</f>
        <v>0</v>
      </c>
      <c r="L270">
        <f>IF(D270&lt;$A$15,$D$11,$D$11*(1-$H$11))</f>
        <v>85</v>
      </c>
      <c r="M270">
        <f t="shared" si="20"/>
        <v>1</v>
      </c>
      <c r="N270">
        <f>IF(SUM(I270:J270)&lt;=($G$11/60*$F$11/($E$11/60)),1,0)</f>
        <v>0</v>
      </c>
    </row>
    <row r="271" spans="4:14" x14ac:dyDescent="0.2">
      <c r="D271">
        <f t="shared" si="22"/>
        <v>248</v>
      </c>
      <c r="E271" s="1">
        <f>IF($H$11=1,IF(D271&lt;=$A$15, E270+LN($D$11)-LN(60/$E$11)-LN(MIN(D271,$F$11)), E270-LN(60/$E$11)-LN(MIN(D271,$F$11))), IF(D271&lt;=$A$15, E270+LN($D$11)-LN(60/$E$11)-LN(MIN(D271,$F$11)), E270+LN($D$11)+LN(1-$H$11)-LN(60/$E$11)-LN(MIN(D271,$F$11))))</f>
        <v>-27.813716260293333</v>
      </c>
      <c r="F271" s="1">
        <f t="shared" si="23"/>
        <v>-29.815749069492391</v>
      </c>
      <c r="G271" s="1">
        <f t="shared" si="21"/>
        <v>1.1250833698345186E-13</v>
      </c>
      <c r="H271" s="1">
        <f t="shared" si="18"/>
        <v>1.1043512617858989E-14</v>
      </c>
      <c r="I271">
        <f>IF($F$11&lt;=D271, IF(D271&lt;=$A$15,D271-$F$11,$C$11),0)</f>
        <v>60</v>
      </c>
      <c r="J271">
        <f t="shared" si="19"/>
        <v>184</v>
      </c>
      <c r="K271" s="5">
        <f>IF(D271&lt;$F$11,H271,0)</f>
        <v>0</v>
      </c>
      <c r="L271">
        <f>IF(D271&lt;$A$15,$D$11,$D$11*(1-$H$11))</f>
        <v>85</v>
      </c>
      <c r="M271">
        <f t="shared" si="20"/>
        <v>1</v>
      </c>
      <c r="N271">
        <f>IF(SUM(I271:J271)&lt;=($G$11/60*$F$11/($E$11/60)),1,0)</f>
        <v>0</v>
      </c>
    </row>
    <row r="272" spans="4:14" x14ac:dyDescent="0.2">
      <c r="D272">
        <f t="shared" si="22"/>
        <v>249</v>
      </c>
      <c r="E272" s="1">
        <f>IF($H$11=1,IF(D272&lt;=$A$15, E271+LN($D$11)-LN(60/$E$11)-LN(MIN(D272,$F$11)), E271-LN(60/$E$11)-LN(MIN(D272,$F$11))), IF(D272&lt;=$A$15, E271+LN($D$11)-LN(60/$E$11)-LN(MIN(D272,$F$11)), E271+LN($D$11)+LN(1-$H$11)-LN(60/$E$11)-LN(MIN(D272,$F$11))))</f>
        <v>-27.935413195270854</v>
      </c>
      <c r="F272" s="1">
        <f t="shared" si="23"/>
        <v>-29.937446004469912</v>
      </c>
      <c r="G272" s="1">
        <f t="shared" si="21"/>
        <v>9.9616756704097864E-14</v>
      </c>
      <c r="H272" s="1">
        <f t="shared" si="18"/>
        <v>9.7781101303959654E-15</v>
      </c>
      <c r="I272">
        <f>IF($F$11&lt;=D272, IF(D272&lt;=$A$15,D272-$F$11,$C$11),0)</f>
        <v>60</v>
      </c>
      <c r="J272">
        <f t="shared" si="19"/>
        <v>185</v>
      </c>
      <c r="K272" s="5">
        <f>IF(D272&lt;$F$11,H272,0)</f>
        <v>0</v>
      </c>
      <c r="L272">
        <f>IF(D272&lt;$A$15,$D$11,$D$11*(1-$H$11))</f>
        <v>85</v>
      </c>
      <c r="M272">
        <f t="shared" si="20"/>
        <v>1</v>
      </c>
      <c r="N272">
        <f>IF(SUM(I272:J272)&lt;=($G$11/60*$F$11/($E$11/60)),1,0)</f>
        <v>0</v>
      </c>
    </row>
    <row r="273" spans="4:14" x14ac:dyDescent="0.2">
      <c r="D273">
        <f t="shared" si="22"/>
        <v>250</v>
      </c>
      <c r="E273" s="1">
        <f>IF($H$11=1,IF(D273&lt;=$A$15, E272+LN($D$11)-LN(60/$E$11)-LN(MIN(D273,$F$11)), E272-LN(60/$E$11)-LN(MIN(D273,$F$11))), IF(D273&lt;=$A$15, E272+LN($D$11)-LN(60/$E$11)-LN(MIN(D273,$F$11)), E272+LN($D$11)+LN(1-$H$11)-LN(60/$E$11)-LN(MIN(D273,$F$11))))</f>
        <v>-28.057110130248375</v>
      </c>
      <c r="F273" s="1">
        <f t="shared" si="23"/>
        <v>-30.059142939447433</v>
      </c>
      <c r="G273" s="1">
        <f t="shared" si="21"/>
        <v>8.8202336665086523E-14</v>
      </c>
      <c r="H273" s="1">
        <f t="shared" si="18"/>
        <v>8.6577016779547487E-15</v>
      </c>
      <c r="I273">
        <f>IF($F$11&lt;=D273, IF(D273&lt;=$A$15,D273-$F$11,$C$11),0)</f>
        <v>60</v>
      </c>
      <c r="J273">
        <f t="shared" si="19"/>
        <v>186</v>
      </c>
      <c r="K273" s="5">
        <f>IF(D273&lt;$F$11,H273,0)</f>
        <v>0</v>
      </c>
      <c r="L273">
        <f>IF(D273&lt;$A$15,$D$11,$D$11*(1-$H$11))</f>
        <v>85</v>
      </c>
      <c r="M273">
        <f t="shared" si="20"/>
        <v>1</v>
      </c>
      <c r="N273">
        <f>IF(SUM(I273:J273)&lt;=($G$11/60*$F$11/($E$11/60)),1,0)</f>
        <v>0</v>
      </c>
    </row>
    <row r="274" spans="4:14" x14ac:dyDescent="0.2">
      <c r="D274">
        <f t="shared" si="22"/>
        <v>251</v>
      </c>
      <c r="E274" s="1">
        <f>IF($H$11=1,IF(D274&lt;=$A$15, E273+LN($D$11)-LN(60/$E$11)-LN(MIN(D274,$F$11)), E273-LN(60/$E$11)-LN(MIN(D274,$F$11))), IF(D274&lt;=$A$15, E273+LN($D$11)-LN(60/$E$11)-LN(MIN(D274,$F$11)), E273+LN($D$11)+LN(1-$H$11)-LN(60/$E$11)-LN(MIN(D274,$F$11))))</f>
        <v>-28.178807065225897</v>
      </c>
      <c r="F274" s="1">
        <f t="shared" si="23"/>
        <v>-30.180839874424954</v>
      </c>
      <c r="G274" s="1">
        <f t="shared" si="21"/>
        <v>7.809581892221192E-14</v>
      </c>
      <c r="H274" s="1">
        <f t="shared" si="18"/>
        <v>7.6656733606890905E-15</v>
      </c>
      <c r="I274">
        <f>IF($F$11&lt;=D274, IF(D274&lt;=$A$15,D274-$F$11,$C$11),0)</f>
        <v>60</v>
      </c>
      <c r="J274">
        <f t="shared" si="19"/>
        <v>187</v>
      </c>
      <c r="K274" s="5">
        <f>IF(D274&lt;$F$11,H274,0)</f>
        <v>0</v>
      </c>
      <c r="L274">
        <f>IF(D274&lt;$A$15,$D$11,$D$11*(1-$H$11))</f>
        <v>85</v>
      </c>
      <c r="M274">
        <f t="shared" si="20"/>
        <v>1</v>
      </c>
      <c r="N274">
        <f>IF(SUM(I274:J274)&lt;=($G$11/60*$F$11/($E$11/60)),1,0)</f>
        <v>0</v>
      </c>
    </row>
    <row r="275" spans="4:14" x14ac:dyDescent="0.2">
      <c r="D275">
        <f t="shared" si="22"/>
        <v>252</v>
      </c>
      <c r="E275" s="1">
        <f>IF($H$11=1,IF(D275&lt;=$A$15, E274+LN($D$11)-LN(60/$E$11)-LN(MIN(D275,$F$11)), E274-LN(60/$E$11)-LN(MIN(D275,$F$11))), IF(D275&lt;=$A$15, E274+LN($D$11)-LN(60/$E$11)-LN(MIN(D275,$F$11)), E274+LN($D$11)+LN(1-$H$11)-LN(60/$E$11)-LN(MIN(D275,$F$11))))</f>
        <v>-28.300504000203418</v>
      </c>
      <c r="F275" s="1">
        <f t="shared" si="23"/>
        <v>-30.302536809402476</v>
      </c>
      <c r="G275" s="1">
        <f t="shared" si="21"/>
        <v>6.9147339670708367E-14</v>
      </c>
      <c r="H275" s="1">
        <f t="shared" si="18"/>
        <v>6.7873149547767888E-15</v>
      </c>
      <c r="I275">
        <f>IF($F$11&lt;=D275, IF(D275&lt;=$A$15,D275-$F$11,$C$11),0)</f>
        <v>60</v>
      </c>
      <c r="J275">
        <f t="shared" si="19"/>
        <v>188</v>
      </c>
      <c r="K275" s="5">
        <f>IF(D275&lt;$F$11,H275,0)</f>
        <v>0</v>
      </c>
      <c r="L275">
        <f>IF(D275&lt;$A$15,$D$11,$D$11*(1-$H$11))</f>
        <v>85</v>
      </c>
      <c r="M275">
        <f t="shared" si="20"/>
        <v>1</v>
      </c>
      <c r="N275">
        <f>IF(SUM(I275:J275)&lt;=($G$11/60*$F$11/($E$11/60)),1,0)</f>
        <v>0</v>
      </c>
    </row>
    <row r="276" spans="4:14" x14ac:dyDescent="0.2">
      <c r="D276">
        <f t="shared" si="22"/>
        <v>253</v>
      </c>
      <c r="E276" s="1">
        <f>IF($H$11=1,IF(D276&lt;=$A$15, E275+LN($D$11)-LN(60/$E$11)-LN(MIN(D276,$F$11)), E275-LN(60/$E$11)-LN(MIN(D276,$F$11))), IF(D276&lt;=$A$15, E275+LN($D$11)-LN(60/$E$11)-LN(MIN(D276,$F$11)), E275+LN($D$11)+LN(1-$H$11)-LN(60/$E$11)-LN(MIN(D276,$F$11))))</f>
        <v>-28.422200935180939</v>
      </c>
      <c r="F276" s="1">
        <f t="shared" si="23"/>
        <v>-30.424233744379997</v>
      </c>
      <c r="G276" s="1">
        <f t="shared" si="21"/>
        <v>6.1224207000106285E-14</v>
      </c>
      <c r="H276" s="1">
        <f t="shared" si="18"/>
        <v>6.0096017828752735E-15</v>
      </c>
      <c r="I276">
        <f>IF($F$11&lt;=D276, IF(D276&lt;=$A$15,D276-$F$11,$C$11),0)</f>
        <v>60</v>
      </c>
      <c r="J276">
        <f t="shared" si="19"/>
        <v>189</v>
      </c>
      <c r="K276" s="5">
        <f>IF(D276&lt;$F$11,H276,0)</f>
        <v>0</v>
      </c>
      <c r="L276">
        <f>IF(D276&lt;$A$15,$D$11,$D$11*(1-$H$11))</f>
        <v>85</v>
      </c>
      <c r="M276">
        <f t="shared" si="20"/>
        <v>1</v>
      </c>
      <c r="N276">
        <f>IF(SUM(I276:J276)&lt;=($G$11/60*$F$11/($E$11/60)),1,0)</f>
        <v>0</v>
      </c>
    </row>
    <row r="277" spans="4:14" x14ac:dyDescent="0.2">
      <c r="D277">
        <f t="shared" si="22"/>
        <v>254</v>
      </c>
      <c r="E277" s="1">
        <f>IF($H$11=1,IF(D277&lt;=$A$15, E276+LN($D$11)-LN(60/$E$11)-LN(MIN(D277,$F$11)), E276-LN(60/$E$11)-LN(MIN(D277,$F$11))), IF(D277&lt;=$A$15, E276+LN($D$11)-LN(60/$E$11)-LN(MIN(D277,$F$11)), E276+LN($D$11)+LN(1-$H$11)-LN(60/$E$11)-LN(MIN(D277,$F$11))))</f>
        <v>-28.54389787015846</v>
      </c>
      <c r="F277" s="1">
        <f t="shared" si="23"/>
        <v>-30.545930679357518</v>
      </c>
      <c r="G277" s="1">
        <f t="shared" si="21"/>
        <v>5.4208933281344023E-14</v>
      </c>
      <c r="H277" s="1">
        <f t="shared" si="18"/>
        <v>5.3210015785874735E-15</v>
      </c>
      <c r="I277">
        <f>IF($F$11&lt;=D277, IF(D277&lt;=$A$15,D277-$F$11,$C$11),0)</f>
        <v>60</v>
      </c>
      <c r="J277">
        <f t="shared" si="19"/>
        <v>190</v>
      </c>
      <c r="K277" s="5">
        <f>IF(D277&lt;$F$11,H277,0)</f>
        <v>0</v>
      </c>
      <c r="L277">
        <f>IF(D277&lt;$A$15,$D$11,$D$11*(1-$H$11))</f>
        <v>85</v>
      </c>
      <c r="M277">
        <f t="shared" si="20"/>
        <v>1</v>
      </c>
      <c r="N277">
        <f>IF(SUM(I277:J277)&lt;=($G$11/60*$F$11/($E$11/60)),1,0)</f>
        <v>0</v>
      </c>
    </row>
    <row r="278" spans="4:14" x14ac:dyDescent="0.2">
      <c r="D278">
        <f t="shared" si="22"/>
        <v>255</v>
      </c>
      <c r="E278" s="1">
        <f>IF($H$11=1,IF(D278&lt;=$A$15, E277+LN($D$11)-LN(60/$E$11)-LN(MIN(D278,$F$11)), E277-LN(60/$E$11)-LN(MIN(D278,$F$11))), IF(D278&lt;=$A$15, E277+LN($D$11)-LN(60/$E$11)-LN(MIN(D278,$F$11)), E277+LN($D$11)+LN(1-$H$11)-LN(60/$E$11)-LN(MIN(D278,$F$11))))</f>
        <v>-28.665594805135981</v>
      </c>
      <c r="F278" s="1">
        <f t="shared" si="23"/>
        <v>-30.667627614335039</v>
      </c>
      <c r="G278" s="1">
        <f t="shared" si="21"/>
        <v>4.7997493009523287E-14</v>
      </c>
      <c r="H278" s="1">
        <f t="shared" si="18"/>
        <v>4.7113034810409856E-15</v>
      </c>
      <c r="I278">
        <f>IF($F$11&lt;=D278, IF(D278&lt;=$A$15,D278-$F$11,$C$11),0)</f>
        <v>60</v>
      </c>
      <c r="J278">
        <f t="shared" si="19"/>
        <v>191</v>
      </c>
      <c r="K278" s="5">
        <f>IF(D278&lt;$F$11,H278,0)</f>
        <v>0</v>
      </c>
      <c r="L278">
        <f>IF(D278&lt;$A$15,$D$11,$D$11*(1-$H$11))</f>
        <v>85</v>
      </c>
      <c r="M278">
        <f t="shared" si="20"/>
        <v>1</v>
      </c>
      <c r="N278">
        <f>IF(SUM(I278:J278)&lt;=($G$11/60*$F$11/($E$11/60)),1,0)</f>
        <v>0</v>
      </c>
    </row>
    <row r="279" spans="4:14" x14ac:dyDescent="0.2">
      <c r="D279">
        <f t="shared" si="22"/>
        <v>256</v>
      </c>
      <c r="E279" s="1">
        <f>IF($H$11=1,IF(D279&lt;=$A$15, E278+LN($D$11)-LN(60/$E$11)-LN(MIN(D279,$F$11)), E278-LN(60/$E$11)-LN(MIN(D279,$F$11))), IF(D279&lt;=$A$15, E278+LN($D$11)-LN(60/$E$11)-LN(MIN(D279,$F$11)), E278+LN($D$11)+LN(1-$H$11)-LN(60/$E$11)-LN(MIN(D279,$F$11))))</f>
        <v>-28.787291740113503</v>
      </c>
      <c r="F279" s="1">
        <f t="shared" si="23"/>
        <v>-30.78932454931256</v>
      </c>
      <c r="G279" s="1">
        <f t="shared" si="21"/>
        <v>4.2497780268848685E-14</v>
      </c>
      <c r="H279" s="1">
        <f t="shared" ref="H279:H342" si="24">G279/$G$21</f>
        <v>4.1714666238383673E-15</v>
      </c>
      <c r="I279">
        <f>IF($F$11&lt;=D279, IF(D279&lt;=$A$15,D279-$F$11,$C$11),0)</f>
        <v>60</v>
      </c>
      <c r="J279">
        <f t="shared" ref="J279:J342" si="25">IF(D279&lt;=$A$15,0,D279-$A$15)</f>
        <v>192</v>
      </c>
      <c r="K279" s="5">
        <f>IF(D279&lt;$F$11,H279,0)</f>
        <v>0</v>
      </c>
      <c r="L279">
        <f>IF(D279&lt;$A$15,$D$11,$D$11*(1-$H$11))</f>
        <v>85</v>
      </c>
      <c r="M279">
        <f t="shared" ref="M279:M342" si="26">IF(D279&lt;$A$15,0,1)</f>
        <v>1</v>
      </c>
      <c r="N279">
        <f>IF(SUM(I279:J279)&lt;=($G$11/60*$F$11/($E$11/60)),1,0)</f>
        <v>0</v>
      </c>
    </row>
    <row r="280" spans="4:14" x14ac:dyDescent="0.2">
      <c r="D280">
        <f t="shared" si="22"/>
        <v>257</v>
      </c>
      <c r="E280" s="1">
        <f>IF($H$11=1,IF(D280&lt;=$A$15, E279+LN($D$11)-LN(60/$E$11)-LN(MIN(D280,$F$11)), E279-LN(60/$E$11)-LN(MIN(D280,$F$11))), IF(D280&lt;=$A$15, E279+LN($D$11)-LN(60/$E$11)-LN(MIN(D280,$F$11)), E279+LN($D$11)+LN(1-$H$11)-LN(60/$E$11)-LN(MIN(D280,$F$11))))</f>
        <v>-28.908988675091024</v>
      </c>
      <c r="F280" s="1">
        <f t="shared" si="23"/>
        <v>-30.911021484290082</v>
      </c>
      <c r="G280" s="1">
        <f t="shared" ref="G280:G343" si="27">EXP(F280)</f>
        <v>3.7628242946376385E-14</v>
      </c>
      <c r="H280" s="1">
        <f t="shared" si="24"/>
        <v>3.6934860731902157E-15</v>
      </c>
      <c r="I280">
        <f>IF($F$11&lt;=D280, IF(D280&lt;=$A$15,D280-$F$11,$C$11),0)</f>
        <v>60</v>
      </c>
      <c r="J280">
        <f t="shared" si="25"/>
        <v>193</v>
      </c>
      <c r="K280" s="5">
        <f>IF(D280&lt;$F$11,H280,0)</f>
        <v>0</v>
      </c>
      <c r="L280">
        <f>IF(D280&lt;$A$15,$D$11,$D$11*(1-$H$11))</f>
        <v>85</v>
      </c>
      <c r="M280">
        <f t="shared" si="26"/>
        <v>1</v>
      </c>
      <c r="N280">
        <f>IF(SUM(I280:J280)&lt;=($G$11/60*$F$11/($E$11/60)),1,0)</f>
        <v>0</v>
      </c>
    </row>
    <row r="281" spans="4:14" x14ac:dyDescent="0.2">
      <c r="D281">
        <f t="shared" ref="D281:D344" si="28">1+D280</f>
        <v>258</v>
      </c>
      <c r="E281" s="1">
        <f>IF($H$11=1,IF(D281&lt;=$A$15, E280+LN($D$11)-LN(60/$E$11)-LN(MIN(D281,$F$11)), E280-LN(60/$E$11)-LN(MIN(D281,$F$11))), IF(D281&lt;=$A$15, E280+LN($D$11)-LN(60/$E$11)-LN(MIN(D281,$F$11)), E280+LN($D$11)+LN(1-$H$11)-LN(60/$E$11)-LN(MIN(D281,$F$11))))</f>
        <v>-29.030685610068545</v>
      </c>
      <c r="F281" s="1">
        <f t="shared" ref="F281:F344" si="29">E281-$E$21</f>
        <v>-31.032718419267603</v>
      </c>
      <c r="G281" s="1">
        <f t="shared" si="27"/>
        <v>3.331667344210404E-14</v>
      </c>
      <c r="H281" s="1">
        <f t="shared" si="24"/>
        <v>3.2702741273038314E-15</v>
      </c>
      <c r="I281">
        <f>IF($F$11&lt;=D281, IF(D281&lt;=$A$15,D281-$F$11,$C$11),0)</f>
        <v>60</v>
      </c>
      <c r="J281">
        <f t="shared" si="25"/>
        <v>194</v>
      </c>
      <c r="K281" s="5">
        <f>IF(D281&lt;$F$11,H281,0)</f>
        <v>0</v>
      </c>
      <c r="L281">
        <f>IF(D281&lt;$A$15,$D$11,$D$11*(1-$H$11))</f>
        <v>85</v>
      </c>
      <c r="M281">
        <f t="shared" si="26"/>
        <v>1</v>
      </c>
      <c r="N281">
        <f>IF(SUM(I281:J281)&lt;=($G$11/60*$F$11/($E$11/60)),1,0)</f>
        <v>0</v>
      </c>
    </row>
    <row r="282" spans="4:14" x14ac:dyDescent="0.2">
      <c r="D282">
        <f t="shared" si="28"/>
        <v>259</v>
      </c>
      <c r="E282" s="1">
        <f>IF($H$11=1,IF(D282&lt;=$A$15, E281+LN($D$11)-LN(60/$E$11)-LN(MIN(D282,$F$11)), E281-LN(60/$E$11)-LN(MIN(D282,$F$11))), IF(D282&lt;=$A$15, E281+LN($D$11)-LN(60/$E$11)-LN(MIN(D282,$F$11)), E281+LN($D$11)+LN(1-$H$11)-LN(60/$E$11)-LN(MIN(D282,$F$11))))</f>
        <v>-29.152382545046066</v>
      </c>
      <c r="F282" s="1">
        <f t="shared" si="29"/>
        <v>-31.154415354245124</v>
      </c>
      <c r="G282" s="1">
        <f t="shared" si="27"/>
        <v>2.9499137943529579E-14</v>
      </c>
      <c r="H282" s="1">
        <f t="shared" si="24"/>
        <v>2.8955552168835968E-15</v>
      </c>
      <c r="I282">
        <f>IF($F$11&lt;=D282, IF(D282&lt;=$A$15,D282-$F$11,$C$11),0)</f>
        <v>60</v>
      </c>
      <c r="J282">
        <f t="shared" si="25"/>
        <v>195</v>
      </c>
      <c r="K282" s="5">
        <f>IF(D282&lt;$F$11,H282,0)</f>
        <v>0</v>
      </c>
      <c r="L282">
        <f>IF(D282&lt;$A$15,$D$11,$D$11*(1-$H$11))</f>
        <v>85</v>
      </c>
      <c r="M282">
        <f t="shared" si="26"/>
        <v>1</v>
      </c>
      <c r="N282">
        <f>IF(SUM(I282:J282)&lt;=($G$11/60*$F$11/($E$11/60)),1,0)</f>
        <v>0</v>
      </c>
    </row>
    <row r="283" spans="4:14" x14ac:dyDescent="0.2">
      <c r="D283">
        <f t="shared" si="28"/>
        <v>260</v>
      </c>
      <c r="E283" s="1">
        <f>IF($H$11=1,IF(D283&lt;=$A$15, E282+LN($D$11)-LN(60/$E$11)-LN(MIN(D283,$F$11)), E282-LN(60/$E$11)-LN(MIN(D283,$F$11))), IF(D283&lt;=$A$15, E282+LN($D$11)-LN(60/$E$11)-LN(MIN(D283,$F$11)), E282+LN($D$11)+LN(1-$H$11)-LN(60/$E$11)-LN(MIN(D283,$F$11))))</f>
        <v>-29.274079480023588</v>
      </c>
      <c r="F283" s="1">
        <f t="shared" si="29"/>
        <v>-31.276112289222645</v>
      </c>
      <c r="G283" s="1">
        <f t="shared" si="27"/>
        <v>2.6119028387500112E-14</v>
      </c>
      <c r="H283" s="1">
        <f t="shared" si="24"/>
        <v>2.5637728482823478E-15</v>
      </c>
      <c r="I283">
        <f>IF($F$11&lt;=D283, IF(D283&lt;=$A$15,D283-$F$11,$C$11),0)</f>
        <v>60</v>
      </c>
      <c r="J283">
        <f t="shared" si="25"/>
        <v>196</v>
      </c>
      <c r="K283" s="5">
        <f>IF(D283&lt;$F$11,H283,0)</f>
        <v>0</v>
      </c>
      <c r="L283">
        <f>IF(D283&lt;$A$15,$D$11,$D$11*(1-$H$11))</f>
        <v>85</v>
      </c>
      <c r="M283">
        <f t="shared" si="26"/>
        <v>1</v>
      </c>
      <c r="N283">
        <f>IF(SUM(I283:J283)&lt;=($G$11/60*$F$11/($E$11/60)),1,0)</f>
        <v>0</v>
      </c>
    </row>
    <row r="284" spans="4:14" x14ac:dyDescent="0.2">
      <c r="D284">
        <f t="shared" si="28"/>
        <v>261</v>
      </c>
      <c r="E284" s="1">
        <f>IF($H$11=1,IF(D284&lt;=$A$15, E283+LN($D$11)-LN(60/$E$11)-LN(MIN(D284,$F$11)), E283-LN(60/$E$11)-LN(MIN(D284,$F$11))), IF(D284&lt;=$A$15, E283+LN($D$11)-LN(60/$E$11)-LN(MIN(D284,$F$11)), E283+LN($D$11)+LN(1-$H$11)-LN(60/$E$11)-LN(MIN(D284,$F$11))))</f>
        <v>-29.395776415001109</v>
      </c>
      <c r="F284" s="1">
        <f t="shared" si="29"/>
        <v>-31.397809224200167</v>
      </c>
      <c r="G284" s="1">
        <f t="shared" si="27"/>
        <v>2.3126223051432355E-14</v>
      </c>
      <c r="H284" s="1">
        <f t="shared" si="24"/>
        <v>2.2700072094166587E-15</v>
      </c>
      <c r="I284">
        <f>IF($F$11&lt;=D284, IF(D284&lt;=$A$15,D284-$F$11,$C$11),0)</f>
        <v>60</v>
      </c>
      <c r="J284">
        <f t="shared" si="25"/>
        <v>197</v>
      </c>
      <c r="K284" s="5">
        <f>IF(D284&lt;$F$11,H284,0)</f>
        <v>0</v>
      </c>
      <c r="L284">
        <f>IF(D284&lt;$A$15,$D$11,$D$11*(1-$H$11))</f>
        <v>85</v>
      </c>
      <c r="M284">
        <f t="shared" si="26"/>
        <v>1</v>
      </c>
      <c r="N284">
        <f>IF(SUM(I284:J284)&lt;=($G$11/60*$F$11/($E$11/60)),1,0)</f>
        <v>0</v>
      </c>
    </row>
    <row r="285" spans="4:14" x14ac:dyDescent="0.2">
      <c r="D285">
        <f t="shared" si="28"/>
        <v>262</v>
      </c>
      <c r="E285" s="1">
        <f>IF($H$11=1,IF(D285&lt;=$A$15, E284+LN($D$11)-LN(60/$E$11)-LN(MIN(D285,$F$11)), E284-LN(60/$E$11)-LN(MIN(D285,$F$11))), IF(D285&lt;=$A$15, E284+LN($D$11)-LN(60/$E$11)-LN(MIN(D285,$F$11)), E284+LN($D$11)+LN(1-$H$11)-LN(60/$E$11)-LN(MIN(D285,$F$11))))</f>
        <v>-29.51747334997863</v>
      </c>
      <c r="F285" s="1">
        <f t="shared" si="29"/>
        <v>-31.519506159177688</v>
      </c>
      <c r="G285" s="1">
        <f t="shared" si="27"/>
        <v>2.0476343326789038E-14</v>
      </c>
      <c r="H285" s="1">
        <f t="shared" si="24"/>
        <v>2.0099022166709973E-15</v>
      </c>
      <c r="I285">
        <f>IF($F$11&lt;=D285, IF(D285&lt;=$A$15,D285-$F$11,$C$11),0)</f>
        <v>60</v>
      </c>
      <c r="J285">
        <f t="shared" si="25"/>
        <v>198</v>
      </c>
      <c r="K285" s="5">
        <f>IF(D285&lt;$F$11,H285,0)</f>
        <v>0</v>
      </c>
      <c r="L285">
        <f>IF(D285&lt;$A$15,$D$11,$D$11*(1-$H$11))</f>
        <v>85</v>
      </c>
      <c r="M285">
        <f t="shared" si="26"/>
        <v>1</v>
      </c>
      <c r="N285">
        <f>IF(SUM(I285:J285)&lt;=($G$11/60*$F$11/($E$11/60)),1,0)</f>
        <v>0</v>
      </c>
    </row>
    <row r="286" spans="4:14" x14ac:dyDescent="0.2">
      <c r="D286">
        <f t="shared" si="28"/>
        <v>263</v>
      </c>
      <c r="E286" s="1">
        <f>IF($H$11=1,IF(D286&lt;=$A$15, E285+LN($D$11)-LN(60/$E$11)-LN(MIN(D286,$F$11)), E285-LN(60/$E$11)-LN(MIN(D286,$F$11))), IF(D286&lt;=$A$15, E285+LN($D$11)-LN(60/$E$11)-LN(MIN(D286,$F$11)), E285+LN($D$11)+LN(1-$H$11)-LN(60/$E$11)-LN(MIN(D286,$F$11))))</f>
        <v>-29.639170284956151</v>
      </c>
      <c r="F286" s="1">
        <f t="shared" si="29"/>
        <v>-31.641203094155209</v>
      </c>
      <c r="G286" s="1">
        <f t="shared" si="27"/>
        <v>1.8130095653927768E-14</v>
      </c>
      <c r="H286" s="1">
        <f t="shared" si="24"/>
        <v>1.7796009210107764E-15</v>
      </c>
      <c r="I286">
        <f>IF($F$11&lt;=D286, IF(D286&lt;=$A$15,D286-$F$11,$C$11),0)</f>
        <v>60</v>
      </c>
      <c r="J286">
        <f t="shared" si="25"/>
        <v>199</v>
      </c>
      <c r="K286" s="5">
        <f>IF(D286&lt;$F$11,H286,0)</f>
        <v>0</v>
      </c>
      <c r="L286">
        <f>IF(D286&lt;$A$15,$D$11,$D$11*(1-$H$11))</f>
        <v>85</v>
      </c>
      <c r="M286">
        <f t="shared" si="26"/>
        <v>1</v>
      </c>
      <c r="N286">
        <f>IF(SUM(I286:J286)&lt;=($G$11/60*$F$11/($E$11/60)),1,0)</f>
        <v>0</v>
      </c>
    </row>
    <row r="287" spans="4:14" x14ac:dyDescent="0.2">
      <c r="D287">
        <f t="shared" si="28"/>
        <v>264</v>
      </c>
      <c r="E287" s="1">
        <f>IF($H$11=1,IF(D287&lt;=$A$15, E286+LN($D$11)-LN(60/$E$11)-LN(MIN(D287,$F$11)), E286-LN(60/$E$11)-LN(MIN(D287,$F$11))), IF(D287&lt;=$A$15, E286+LN($D$11)-LN(60/$E$11)-LN(MIN(D287,$F$11)), E286+LN($D$11)+LN(1-$H$11)-LN(60/$E$11)-LN(MIN(D287,$F$11))))</f>
        <v>-29.760867219933672</v>
      </c>
      <c r="F287" s="1">
        <f t="shared" si="29"/>
        <v>-31.76290002913273</v>
      </c>
      <c r="G287" s="1">
        <f t="shared" si="27"/>
        <v>1.605268886024852E-14</v>
      </c>
      <c r="H287" s="1">
        <f t="shared" si="24"/>
        <v>1.575688315478289E-15</v>
      </c>
      <c r="I287">
        <f>IF($F$11&lt;=D287, IF(D287&lt;=$A$15,D287-$F$11,$C$11),0)</f>
        <v>60</v>
      </c>
      <c r="J287">
        <f t="shared" si="25"/>
        <v>200</v>
      </c>
      <c r="K287" s="5">
        <f>IF(D287&lt;$F$11,H287,0)</f>
        <v>0</v>
      </c>
      <c r="L287">
        <f>IF(D287&lt;$A$15,$D$11,$D$11*(1-$H$11))</f>
        <v>85</v>
      </c>
      <c r="M287">
        <f t="shared" si="26"/>
        <v>1</v>
      </c>
      <c r="N287">
        <f>IF(SUM(I287:J287)&lt;=($G$11/60*$F$11/($E$11/60)),1,0)</f>
        <v>0</v>
      </c>
    </row>
    <row r="288" spans="4:14" x14ac:dyDescent="0.2">
      <c r="D288">
        <f t="shared" si="28"/>
        <v>265</v>
      </c>
      <c r="E288" s="1">
        <f>IF($H$11=1,IF(D288&lt;=$A$15, E287+LN($D$11)-LN(60/$E$11)-LN(MIN(D288,$F$11)), E287-LN(60/$E$11)-LN(MIN(D288,$F$11))), IF(D288&lt;=$A$15, E287+LN($D$11)-LN(60/$E$11)-LN(MIN(D288,$F$11)), E287+LN($D$11)+LN(1-$H$11)-LN(60/$E$11)-LN(MIN(D288,$F$11))))</f>
        <v>-29.882564154911194</v>
      </c>
      <c r="F288" s="1">
        <f t="shared" si="29"/>
        <v>-31.884596964110251</v>
      </c>
      <c r="G288" s="1">
        <f t="shared" si="27"/>
        <v>1.4213318261678357E-14</v>
      </c>
      <c r="H288" s="1">
        <f t="shared" si="24"/>
        <v>1.3951406959963999E-15</v>
      </c>
      <c r="I288">
        <f>IF($F$11&lt;=D288, IF(D288&lt;=$A$15,D288-$F$11,$C$11),0)</f>
        <v>60</v>
      </c>
      <c r="J288">
        <f t="shared" si="25"/>
        <v>201</v>
      </c>
      <c r="K288" s="5">
        <f>IF(D288&lt;$F$11,H288,0)</f>
        <v>0</v>
      </c>
      <c r="L288">
        <f>IF(D288&lt;$A$15,$D$11,$D$11*(1-$H$11))</f>
        <v>85</v>
      </c>
      <c r="M288">
        <f t="shared" si="26"/>
        <v>1</v>
      </c>
      <c r="N288">
        <f>IF(SUM(I288:J288)&lt;=($G$11/60*$F$11/($E$11/60)),1,0)</f>
        <v>0</v>
      </c>
    </row>
    <row r="289" spans="4:14" x14ac:dyDescent="0.2">
      <c r="D289">
        <f t="shared" si="28"/>
        <v>266</v>
      </c>
      <c r="E289" s="1">
        <f>IF($H$11=1,IF(D289&lt;=$A$15, E288+LN($D$11)-LN(60/$E$11)-LN(MIN(D289,$F$11)), E288-LN(60/$E$11)-LN(MIN(D289,$F$11))), IF(D289&lt;=$A$15, E288+LN($D$11)-LN(60/$E$11)-LN(MIN(D289,$F$11)), E288+LN($D$11)+LN(1-$H$11)-LN(60/$E$11)-LN(MIN(D289,$F$11))))</f>
        <v>-30.004261089888715</v>
      </c>
      <c r="F289" s="1">
        <f t="shared" si="29"/>
        <v>-32.006293899087773</v>
      </c>
      <c r="G289" s="1">
        <f t="shared" si="27"/>
        <v>1.2584708877527694E-14</v>
      </c>
      <c r="H289" s="1">
        <f t="shared" si="24"/>
        <v>1.2352808245801438E-15</v>
      </c>
      <c r="I289">
        <f>IF($F$11&lt;=D289, IF(D289&lt;=$A$15,D289-$F$11,$C$11),0)</f>
        <v>60</v>
      </c>
      <c r="J289">
        <f t="shared" si="25"/>
        <v>202</v>
      </c>
      <c r="K289" s="5">
        <f>IF(D289&lt;$F$11,H289,0)</f>
        <v>0</v>
      </c>
      <c r="L289">
        <f>IF(D289&lt;$A$15,$D$11,$D$11*(1-$H$11))</f>
        <v>85</v>
      </c>
      <c r="M289">
        <f t="shared" si="26"/>
        <v>1</v>
      </c>
      <c r="N289">
        <f>IF(SUM(I289:J289)&lt;=($G$11/60*$F$11/($E$11/60)),1,0)</f>
        <v>0</v>
      </c>
    </row>
    <row r="290" spans="4:14" x14ac:dyDescent="0.2">
      <c r="D290">
        <f t="shared" si="28"/>
        <v>267</v>
      </c>
      <c r="E290" s="1">
        <f>IF($H$11=1,IF(D290&lt;=$A$15, E289+LN($D$11)-LN(60/$E$11)-LN(MIN(D290,$F$11)), E289-LN(60/$E$11)-LN(MIN(D290,$F$11))), IF(D290&lt;=$A$15, E289+LN($D$11)-LN(60/$E$11)-LN(MIN(D290,$F$11)), E289+LN($D$11)+LN(1-$H$11)-LN(60/$E$11)-LN(MIN(D290,$F$11))))</f>
        <v>-30.125958024866236</v>
      </c>
      <c r="F290" s="1">
        <f t="shared" si="29"/>
        <v>-32.127990834065294</v>
      </c>
      <c r="G290" s="1">
        <f t="shared" si="27"/>
        <v>1.1142710985310963E-14</v>
      </c>
      <c r="H290" s="1">
        <f t="shared" si="24"/>
        <v>1.0937382300970009E-15</v>
      </c>
      <c r="I290">
        <f>IF($F$11&lt;=D290, IF(D290&lt;=$A$15,D290-$F$11,$C$11),0)</f>
        <v>60</v>
      </c>
      <c r="J290">
        <f t="shared" si="25"/>
        <v>203</v>
      </c>
      <c r="K290" s="5">
        <f>IF(D290&lt;$F$11,H290,0)</f>
        <v>0</v>
      </c>
      <c r="L290">
        <f>IF(D290&lt;$A$15,$D$11,$D$11*(1-$H$11))</f>
        <v>85</v>
      </c>
      <c r="M290">
        <f t="shared" si="26"/>
        <v>1</v>
      </c>
      <c r="N290">
        <f>IF(SUM(I290:J290)&lt;=($G$11/60*$F$11/($E$11/60)),1,0)</f>
        <v>0</v>
      </c>
    </row>
    <row r="291" spans="4:14" x14ac:dyDescent="0.2">
      <c r="D291">
        <f t="shared" si="28"/>
        <v>268</v>
      </c>
      <c r="E291" s="1">
        <f>IF($H$11=1,IF(D291&lt;=$A$15, E290+LN($D$11)-LN(60/$E$11)-LN(MIN(D291,$F$11)), E290-LN(60/$E$11)-LN(MIN(D291,$F$11))), IF(D291&lt;=$A$15, E290+LN($D$11)-LN(60/$E$11)-LN(MIN(D291,$F$11)), E290+LN($D$11)+LN(1-$H$11)-LN(60/$E$11)-LN(MIN(D291,$F$11))))</f>
        <v>-30.247654959843757</v>
      </c>
      <c r="F291" s="1">
        <f t="shared" si="29"/>
        <v>-32.249687769042815</v>
      </c>
      <c r="G291" s="1">
        <f t="shared" si="27"/>
        <v>9.8659420182440682E-15</v>
      </c>
      <c r="H291" s="1">
        <f t="shared" si="24"/>
        <v>9.6841405789838477E-16</v>
      </c>
      <c r="I291">
        <f>IF($F$11&lt;=D291, IF(D291&lt;=$A$15,D291-$F$11,$C$11),0)</f>
        <v>60</v>
      </c>
      <c r="J291">
        <f t="shared" si="25"/>
        <v>204</v>
      </c>
      <c r="K291" s="5">
        <f>IF(D291&lt;$F$11,H291,0)</f>
        <v>0</v>
      </c>
      <c r="L291">
        <f>IF(D291&lt;$A$15,$D$11,$D$11*(1-$H$11))</f>
        <v>85</v>
      </c>
      <c r="M291">
        <f t="shared" si="26"/>
        <v>1</v>
      </c>
      <c r="N291">
        <f>IF(SUM(I291:J291)&lt;=($G$11/60*$F$11/($E$11/60)),1,0)</f>
        <v>0</v>
      </c>
    </row>
    <row r="292" spans="4:14" x14ac:dyDescent="0.2">
      <c r="D292">
        <f t="shared" si="28"/>
        <v>269</v>
      </c>
      <c r="E292" s="1">
        <f>IF($H$11=1,IF(D292&lt;=$A$15, E291+LN($D$11)-LN(60/$E$11)-LN(MIN(D292,$F$11)), E291-LN(60/$E$11)-LN(MIN(D292,$F$11))), IF(D292&lt;=$A$15, E291+LN($D$11)-LN(60/$E$11)-LN(MIN(D292,$F$11)), E291+LN($D$11)+LN(1-$H$11)-LN(60/$E$11)-LN(MIN(D292,$F$11))))</f>
        <v>-30.369351894821278</v>
      </c>
      <c r="F292" s="1">
        <f t="shared" si="29"/>
        <v>-32.371384704020336</v>
      </c>
      <c r="G292" s="1">
        <f t="shared" si="27"/>
        <v>8.735469495320257E-15</v>
      </c>
      <c r="H292" s="1">
        <f t="shared" si="24"/>
        <v>8.5744994709752708E-16</v>
      </c>
      <c r="I292">
        <f>IF($F$11&lt;=D292, IF(D292&lt;=$A$15,D292-$F$11,$C$11),0)</f>
        <v>60</v>
      </c>
      <c r="J292">
        <f t="shared" si="25"/>
        <v>205</v>
      </c>
      <c r="K292" s="5">
        <f>IF(D292&lt;$F$11,H292,0)</f>
        <v>0</v>
      </c>
      <c r="L292">
        <f>IF(D292&lt;$A$15,$D$11,$D$11*(1-$H$11))</f>
        <v>85</v>
      </c>
      <c r="M292">
        <f t="shared" si="26"/>
        <v>1</v>
      </c>
      <c r="N292">
        <f>IF(SUM(I292:J292)&lt;=($G$11/60*$F$11/($E$11/60)),1,0)</f>
        <v>0</v>
      </c>
    </row>
    <row r="293" spans="4:14" x14ac:dyDescent="0.2">
      <c r="D293">
        <f t="shared" si="28"/>
        <v>270</v>
      </c>
      <c r="E293" s="1">
        <f>IF($H$11=1,IF(D293&lt;=$A$15, E292+LN($D$11)-LN(60/$E$11)-LN(MIN(D293,$F$11)), E292-LN(60/$E$11)-LN(MIN(D293,$F$11))), IF(D293&lt;=$A$15, E292+LN($D$11)-LN(60/$E$11)-LN(MIN(D293,$F$11)), E292+LN($D$11)+LN(1-$H$11)-LN(60/$E$11)-LN(MIN(D293,$F$11))))</f>
        <v>-30.4910488297988</v>
      </c>
      <c r="F293" s="1">
        <f t="shared" si="29"/>
        <v>-32.493081638997857</v>
      </c>
      <c r="G293" s="1">
        <f t="shared" si="27"/>
        <v>7.7345302823147993E-15</v>
      </c>
      <c r="H293" s="1">
        <f t="shared" si="24"/>
        <v>7.5920047399260096E-16</v>
      </c>
      <c r="I293">
        <f>IF($F$11&lt;=D293, IF(D293&lt;=$A$15,D293-$F$11,$C$11),0)</f>
        <v>60</v>
      </c>
      <c r="J293">
        <f t="shared" si="25"/>
        <v>206</v>
      </c>
      <c r="K293" s="5">
        <f>IF(D293&lt;$F$11,H293,0)</f>
        <v>0</v>
      </c>
      <c r="L293">
        <f>IF(D293&lt;$A$15,$D$11,$D$11*(1-$H$11))</f>
        <v>85</v>
      </c>
      <c r="M293">
        <f t="shared" si="26"/>
        <v>1</v>
      </c>
      <c r="N293">
        <f>IF(SUM(I293:J293)&lt;=($G$11/60*$F$11/($E$11/60)),1,0)</f>
        <v>0</v>
      </c>
    </row>
    <row r="294" spans="4:14" x14ac:dyDescent="0.2">
      <c r="D294">
        <f t="shared" si="28"/>
        <v>271</v>
      </c>
      <c r="E294" s="1">
        <f>IF($H$11=1,IF(D294&lt;=$A$15, E293+LN($D$11)-LN(60/$E$11)-LN(MIN(D294,$F$11)), E293-LN(60/$E$11)-LN(MIN(D294,$F$11))), IF(D294&lt;=$A$15, E293+LN($D$11)-LN(60/$E$11)-LN(MIN(D294,$F$11)), E293+LN($D$11)+LN(1-$H$11)-LN(60/$E$11)-LN(MIN(D294,$F$11))))</f>
        <v>-30.612745764776321</v>
      </c>
      <c r="F294" s="1">
        <f t="shared" si="29"/>
        <v>-32.614778573975379</v>
      </c>
      <c r="G294" s="1">
        <f t="shared" si="27"/>
        <v>6.8482820207995521E-15</v>
      </c>
      <c r="H294" s="1">
        <f t="shared" si="24"/>
        <v>6.7220875301428116E-16</v>
      </c>
      <c r="I294">
        <f>IF($F$11&lt;=D294, IF(D294&lt;=$A$15,D294-$F$11,$C$11),0)</f>
        <v>60</v>
      </c>
      <c r="J294">
        <f t="shared" si="25"/>
        <v>207</v>
      </c>
      <c r="K294" s="5">
        <f>IF(D294&lt;$F$11,H294,0)</f>
        <v>0</v>
      </c>
      <c r="L294">
        <f>IF(D294&lt;$A$15,$D$11,$D$11*(1-$H$11))</f>
        <v>85</v>
      </c>
      <c r="M294">
        <f t="shared" si="26"/>
        <v>1</v>
      </c>
      <c r="N294">
        <f>IF(SUM(I294:J294)&lt;=($G$11/60*$F$11/($E$11/60)),1,0)</f>
        <v>0</v>
      </c>
    </row>
    <row r="295" spans="4:14" x14ac:dyDescent="0.2">
      <c r="D295">
        <f t="shared" si="28"/>
        <v>272</v>
      </c>
      <c r="E295" s="1">
        <f>IF($H$11=1,IF(D295&lt;=$A$15, E294+LN($D$11)-LN(60/$E$11)-LN(MIN(D295,$F$11)), E294-LN(60/$E$11)-LN(MIN(D295,$F$11))), IF(D295&lt;=$A$15, E294+LN($D$11)-LN(60/$E$11)-LN(MIN(D295,$F$11)), E294+LN($D$11)+LN(1-$H$11)-LN(60/$E$11)-LN(MIN(D295,$F$11))))</f>
        <v>-30.734442699753842</v>
      </c>
      <c r="F295" s="1">
        <f t="shared" si="29"/>
        <v>-32.7364755089529</v>
      </c>
      <c r="G295" s="1">
        <f t="shared" si="27"/>
        <v>6.0635830392495945E-15</v>
      </c>
      <c r="H295" s="1">
        <f t="shared" si="24"/>
        <v>5.9518483339806061E-16</v>
      </c>
      <c r="I295">
        <f>IF($F$11&lt;=D295, IF(D295&lt;=$A$15,D295-$F$11,$C$11),0)</f>
        <v>60</v>
      </c>
      <c r="J295">
        <f t="shared" si="25"/>
        <v>208</v>
      </c>
      <c r="K295" s="5">
        <f>IF(D295&lt;$F$11,H295,0)</f>
        <v>0</v>
      </c>
      <c r="L295">
        <f>IF(D295&lt;$A$15,$D$11,$D$11*(1-$H$11))</f>
        <v>85</v>
      </c>
      <c r="M295">
        <f t="shared" si="26"/>
        <v>1</v>
      </c>
      <c r="N295">
        <f>IF(SUM(I295:J295)&lt;=($G$11/60*$F$11/($E$11/60)),1,0)</f>
        <v>0</v>
      </c>
    </row>
    <row r="296" spans="4:14" x14ac:dyDescent="0.2">
      <c r="D296">
        <f t="shared" si="28"/>
        <v>273</v>
      </c>
      <c r="E296" s="1">
        <f>IF($H$11=1,IF(D296&lt;=$A$15, E295+LN($D$11)-LN(60/$E$11)-LN(MIN(D296,$F$11)), E295-LN(60/$E$11)-LN(MIN(D296,$F$11))), IF(D296&lt;=$A$15, E295+LN($D$11)-LN(60/$E$11)-LN(MIN(D296,$F$11)), E295+LN($D$11)+LN(1-$H$11)-LN(60/$E$11)-LN(MIN(D296,$F$11))))</f>
        <v>-30.856139634731363</v>
      </c>
      <c r="F296" s="1">
        <f t="shared" si="29"/>
        <v>-32.858172443930421</v>
      </c>
      <c r="G296" s="1">
        <f t="shared" si="27"/>
        <v>5.3687974826689046E-15</v>
      </c>
      <c r="H296" s="1">
        <f t="shared" si="24"/>
        <v>5.2698657123786538E-16</v>
      </c>
      <c r="I296">
        <f>IF($F$11&lt;=D296, IF(D296&lt;=$A$15,D296-$F$11,$C$11),0)</f>
        <v>60</v>
      </c>
      <c r="J296">
        <f t="shared" si="25"/>
        <v>209</v>
      </c>
      <c r="K296" s="5">
        <f>IF(D296&lt;$F$11,H296,0)</f>
        <v>0</v>
      </c>
      <c r="L296">
        <f>IF(D296&lt;$A$15,$D$11,$D$11*(1-$H$11))</f>
        <v>85</v>
      </c>
      <c r="M296">
        <f t="shared" si="26"/>
        <v>1</v>
      </c>
      <c r="N296">
        <f>IF(SUM(I296:J296)&lt;=($G$11/60*$F$11/($E$11/60)),1,0)</f>
        <v>0</v>
      </c>
    </row>
    <row r="297" spans="4:14" x14ac:dyDescent="0.2">
      <c r="D297">
        <f t="shared" si="28"/>
        <v>274</v>
      </c>
      <c r="E297" s="1">
        <f>IF($H$11=1,IF(D297&lt;=$A$15, E296+LN($D$11)-LN(60/$E$11)-LN(MIN(D297,$F$11)), E296-LN(60/$E$11)-LN(MIN(D297,$F$11))), IF(D297&lt;=$A$15, E296+LN($D$11)-LN(60/$E$11)-LN(MIN(D297,$F$11)), E296+LN($D$11)+LN(1-$H$11)-LN(60/$E$11)-LN(MIN(D297,$F$11))))</f>
        <v>-30.977836569708884</v>
      </c>
      <c r="F297" s="1">
        <f t="shared" si="29"/>
        <v>-32.979869378907942</v>
      </c>
      <c r="G297" s="1">
        <f t="shared" si="27"/>
        <v>4.7536227711130855E-15</v>
      </c>
      <c r="H297" s="1">
        <f t="shared" si="24"/>
        <v>4.6660269328352597E-16</v>
      </c>
      <c r="I297">
        <f>IF($F$11&lt;=D297, IF(D297&lt;=$A$15,D297-$F$11,$C$11),0)</f>
        <v>60</v>
      </c>
      <c r="J297">
        <f t="shared" si="25"/>
        <v>210</v>
      </c>
      <c r="K297" s="5">
        <f>IF(D297&lt;$F$11,H297,0)</f>
        <v>0</v>
      </c>
      <c r="L297">
        <f>IF(D297&lt;$A$15,$D$11,$D$11*(1-$H$11))</f>
        <v>85</v>
      </c>
      <c r="M297">
        <f t="shared" si="26"/>
        <v>1</v>
      </c>
      <c r="N297">
        <f>IF(SUM(I297:J297)&lt;=($G$11/60*$F$11/($E$11/60)),1,0)</f>
        <v>0</v>
      </c>
    </row>
    <row r="298" spans="4:14" x14ac:dyDescent="0.2">
      <c r="D298">
        <f t="shared" si="28"/>
        <v>275</v>
      </c>
      <c r="E298" s="1">
        <f>IF($H$11=1,IF(D298&lt;=$A$15, E297+LN($D$11)-LN(60/$E$11)-LN(MIN(D298,$F$11)), E297-LN(60/$E$11)-LN(MIN(D298,$F$11))), IF(D298&lt;=$A$15, E297+LN($D$11)-LN(60/$E$11)-LN(MIN(D298,$F$11)), E297+LN($D$11)+LN(1-$H$11)-LN(60/$E$11)-LN(MIN(D298,$F$11))))</f>
        <v>-31.099533504686406</v>
      </c>
      <c r="F298" s="1">
        <f t="shared" si="29"/>
        <v>-33.101566313885463</v>
      </c>
      <c r="G298" s="1">
        <f t="shared" si="27"/>
        <v>4.2089368285897051E-15</v>
      </c>
      <c r="H298" s="1">
        <f t="shared" si="24"/>
        <v>4.1313780134478804E-16</v>
      </c>
      <c r="I298">
        <f>IF($F$11&lt;=D298, IF(D298&lt;=$A$15,D298-$F$11,$C$11),0)</f>
        <v>60</v>
      </c>
      <c r="J298">
        <f t="shared" si="25"/>
        <v>211</v>
      </c>
      <c r="K298" s="5">
        <f>IF(D298&lt;$F$11,H298,0)</f>
        <v>0</v>
      </c>
      <c r="L298">
        <f>IF(D298&lt;$A$15,$D$11,$D$11*(1-$H$11))</f>
        <v>85</v>
      </c>
      <c r="M298">
        <f t="shared" si="26"/>
        <v>1</v>
      </c>
      <c r="N298">
        <f>IF(SUM(I298:J298)&lt;=($G$11/60*$F$11/($E$11/60)),1,0)</f>
        <v>0</v>
      </c>
    </row>
    <row r="299" spans="4:14" x14ac:dyDescent="0.2">
      <c r="D299">
        <f t="shared" si="28"/>
        <v>276</v>
      </c>
      <c r="E299" s="1">
        <f>IF($H$11=1,IF(D299&lt;=$A$15, E298+LN($D$11)-LN(60/$E$11)-LN(MIN(D299,$F$11)), E298-LN(60/$E$11)-LN(MIN(D299,$F$11))), IF(D299&lt;=$A$15, E298+LN($D$11)-LN(60/$E$11)-LN(MIN(D299,$F$11)), E298+LN($D$11)+LN(1-$H$11)-LN(60/$E$11)-LN(MIN(D299,$F$11))))</f>
        <v>-31.221230439663927</v>
      </c>
      <c r="F299" s="1">
        <f t="shared" si="29"/>
        <v>-33.223263248862985</v>
      </c>
      <c r="G299" s="1">
        <f t="shared" si="27"/>
        <v>3.7266628169804629E-15</v>
      </c>
      <c r="H299" s="1">
        <f t="shared" si="24"/>
        <v>3.6579909494069725E-16</v>
      </c>
      <c r="I299">
        <f>IF($F$11&lt;=D299, IF(D299&lt;=$A$15,D299-$F$11,$C$11),0)</f>
        <v>60</v>
      </c>
      <c r="J299">
        <f t="shared" si="25"/>
        <v>212</v>
      </c>
      <c r="K299" s="5">
        <f>IF(D299&lt;$F$11,H299,0)</f>
        <v>0</v>
      </c>
      <c r="L299">
        <f>IF(D299&lt;$A$15,$D$11,$D$11*(1-$H$11))</f>
        <v>85</v>
      </c>
      <c r="M299">
        <f t="shared" si="26"/>
        <v>1</v>
      </c>
      <c r="N299">
        <f>IF(SUM(I299:J299)&lt;=($G$11/60*$F$11/($E$11/60)),1,0)</f>
        <v>0</v>
      </c>
    </row>
    <row r="300" spans="4:14" x14ac:dyDescent="0.2">
      <c r="D300">
        <f t="shared" si="28"/>
        <v>277</v>
      </c>
      <c r="E300" s="1">
        <f>IF($H$11=1,IF(D300&lt;=$A$15, E299+LN($D$11)-LN(60/$E$11)-LN(MIN(D300,$F$11)), E299-LN(60/$E$11)-LN(MIN(D300,$F$11))), IF(D300&lt;=$A$15, E299+LN($D$11)-LN(60/$E$11)-LN(MIN(D300,$F$11)), E299+LN($D$11)+LN(1-$H$11)-LN(60/$E$11)-LN(MIN(D300,$F$11))))</f>
        <v>-31.342927374641448</v>
      </c>
      <c r="F300" s="1">
        <f t="shared" si="29"/>
        <v>-33.344960183840506</v>
      </c>
      <c r="G300" s="1">
        <f t="shared" si="27"/>
        <v>3.2996493692014468E-15</v>
      </c>
      <c r="H300" s="1">
        <f t="shared" si="24"/>
        <v>3.238846153120752E-16</v>
      </c>
      <c r="I300">
        <f>IF($F$11&lt;=D300, IF(D300&lt;=$A$15,D300-$F$11,$C$11),0)</f>
        <v>60</v>
      </c>
      <c r="J300">
        <f t="shared" si="25"/>
        <v>213</v>
      </c>
      <c r="K300" s="5">
        <f>IF(D300&lt;$F$11,H300,0)</f>
        <v>0</v>
      </c>
      <c r="L300">
        <f>IF(D300&lt;$A$15,$D$11,$D$11*(1-$H$11))</f>
        <v>85</v>
      </c>
      <c r="M300">
        <f t="shared" si="26"/>
        <v>1</v>
      </c>
      <c r="N300">
        <f>IF(SUM(I300:J300)&lt;=($G$11/60*$F$11/($E$11/60)),1,0)</f>
        <v>0</v>
      </c>
    </row>
    <row r="301" spans="4:14" x14ac:dyDescent="0.2">
      <c r="D301">
        <f t="shared" si="28"/>
        <v>278</v>
      </c>
      <c r="E301" s="1">
        <f>IF($H$11=1,IF(D301&lt;=$A$15, E300+LN($D$11)-LN(60/$E$11)-LN(MIN(D301,$F$11)), E300-LN(60/$E$11)-LN(MIN(D301,$F$11))), IF(D301&lt;=$A$15, E300+LN($D$11)-LN(60/$E$11)-LN(MIN(D301,$F$11)), E300+LN($D$11)+LN(1-$H$11)-LN(60/$E$11)-LN(MIN(D301,$F$11))))</f>
        <v>-31.464624309618969</v>
      </c>
      <c r="F301" s="1">
        <f t="shared" si="29"/>
        <v>-33.466657118818027</v>
      </c>
      <c r="G301" s="1">
        <f t="shared" si="27"/>
        <v>2.9215645456471102E-15</v>
      </c>
      <c r="H301" s="1">
        <f t="shared" si="24"/>
        <v>2.8677283647423283E-16</v>
      </c>
      <c r="I301">
        <f>IF($F$11&lt;=D301, IF(D301&lt;=$A$15,D301-$F$11,$C$11),0)</f>
        <v>60</v>
      </c>
      <c r="J301">
        <f t="shared" si="25"/>
        <v>214</v>
      </c>
      <c r="K301" s="5">
        <f>IF(D301&lt;$F$11,H301,0)</f>
        <v>0</v>
      </c>
      <c r="L301">
        <f>IF(D301&lt;$A$15,$D$11,$D$11*(1-$H$11))</f>
        <v>85</v>
      </c>
      <c r="M301">
        <f t="shared" si="26"/>
        <v>1</v>
      </c>
      <c r="N301">
        <f>IF(SUM(I301:J301)&lt;=($G$11/60*$F$11/($E$11/60)),1,0)</f>
        <v>0</v>
      </c>
    </row>
    <row r="302" spans="4:14" x14ac:dyDescent="0.2">
      <c r="D302">
        <f t="shared" si="28"/>
        <v>279</v>
      </c>
      <c r="E302" s="1">
        <f>IF($H$11=1,IF(D302&lt;=$A$15, E301+LN($D$11)-LN(60/$E$11)-LN(MIN(D302,$F$11)), E301-LN(60/$E$11)-LN(MIN(D302,$F$11))), IF(D302&lt;=$A$15, E301+LN($D$11)-LN(60/$E$11)-LN(MIN(D302,$F$11)), E301+LN($D$11)+LN(1-$H$11)-LN(60/$E$11)-LN(MIN(D302,$F$11))))</f>
        <v>-31.58632124459649</v>
      </c>
      <c r="F302" s="1">
        <f t="shared" si="29"/>
        <v>-33.588354053795548</v>
      </c>
      <c r="G302" s="1">
        <f t="shared" si="27"/>
        <v>2.5868019414583752E-15</v>
      </c>
      <c r="H302" s="1">
        <f t="shared" si="24"/>
        <v>2.5391344896156001E-16</v>
      </c>
      <c r="I302">
        <f>IF($F$11&lt;=D302, IF(D302&lt;=$A$15,D302-$F$11,$C$11),0)</f>
        <v>60</v>
      </c>
      <c r="J302">
        <f t="shared" si="25"/>
        <v>215</v>
      </c>
      <c r="K302" s="5">
        <f>IF(D302&lt;$F$11,H302,0)</f>
        <v>0</v>
      </c>
      <c r="L302">
        <f>IF(D302&lt;$A$15,$D$11,$D$11*(1-$H$11))</f>
        <v>85</v>
      </c>
      <c r="M302">
        <f t="shared" si="26"/>
        <v>1</v>
      </c>
      <c r="N302">
        <f>IF(SUM(I302:J302)&lt;=($G$11/60*$F$11/($E$11/60)),1,0)</f>
        <v>0</v>
      </c>
    </row>
    <row r="303" spans="4:14" x14ac:dyDescent="0.2">
      <c r="D303">
        <f t="shared" si="28"/>
        <v>280</v>
      </c>
      <c r="E303" s="1">
        <f>IF($H$11=1,IF(D303&lt;=$A$15, E302+LN($D$11)-LN(60/$E$11)-LN(MIN(D303,$F$11)), E302-LN(60/$E$11)-LN(MIN(D303,$F$11))), IF(D303&lt;=$A$15, E302+LN($D$11)-LN(60/$E$11)-LN(MIN(D303,$F$11)), E302+LN($D$11)+LN(1-$H$11)-LN(60/$E$11)-LN(MIN(D303,$F$11))))</f>
        <v>-31.708018179574012</v>
      </c>
      <c r="F303" s="1">
        <f t="shared" si="29"/>
        <v>-33.710050988773069</v>
      </c>
      <c r="G303" s="1">
        <f t="shared" si="27"/>
        <v>2.290397552332933E-15</v>
      </c>
      <c r="H303" s="1">
        <f t="shared" si="24"/>
        <v>2.2481919960138091E-16</v>
      </c>
      <c r="I303">
        <f>IF($F$11&lt;=D303, IF(D303&lt;=$A$15,D303-$F$11,$C$11),0)</f>
        <v>60</v>
      </c>
      <c r="J303">
        <f t="shared" si="25"/>
        <v>216</v>
      </c>
      <c r="K303" s="5">
        <f>IF(D303&lt;$F$11,H303,0)</f>
        <v>0</v>
      </c>
      <c r="L303">
        <f>IF(D303&lt;$A$15,$D$11,$D$11*(1-$H$11))</f>
        <v>85</v>
      </c>
      <c r="M303">
        <f t="shared" si="26"/>
        <v>1</v>
      </c>
      <c r="N303">
        <f>IF(SUM(I303:J303)&lt;=($G$11/60*$F$11/($E$11/60)),1,0)</f>
        <v>0</v>
      </c>
    </row>
    <row r="304" spans="4:14" x14ac:dyDescent="0.2">
      <c r="D304">
        <f t="shared" si="28"/>
        <v>281</v>
      </c>
      <c r="E304" s="1">
        <f>IF($H$11=1,IF(D304&lt;=$A$15, E303+LN($D$11)-LN(60/$E$11)-LN(MIN(D304,$F$11)), E303-LN(60/$E$11)-LN(MIN(D304,$F$11))), IF(D304&lt;=$A$15, E303+LN($D$11)-LN(60/$E$11)-LN(MIN(D304,$F$11)), E303+LN($D$11)+LN(1-$H$11)-LN(60/$E$11)-LN(MIN(D304,$F$11))))</f>
        <v>-31.829715114551533</v>
      </c>
      <c r="F304" s="1">
        <f t="shared" si="29"/>
        <v>-33.831747923750591</v>
      </c>
      <c r="G304" s="1">
        <f t="shared" si="27"/>
        <v>2.0279561661281151E-15</v>
      </c>
      <c r="H304" s="1">
        <f t="shared" si="24"/>
        <v>1.990586663137224E-16</v>
      </c>
      <c r="I304">
        <f>IF($F$11&lt;=D304, IF(D304&lt;=$A$15,D304-$F$11,$C$11),0)</f>
        <v>60</v>
      </c>
      <c r="J304">
        <f t="shared" si="25"/>
        <v>217</v>
      </c>
      <c r="K304" s="5">
        <f>IF(D304&lt;$F$11,H304,0)</f>
        <v>0</v>
      </c>
      <c r="L304">
        <f>IF(D304&lt;$A$15,$D$11,$D$11*(1-$H$11))</f>
        <v>85</v>
      </c>
      <c r="M304">
        <f t="shared" si="26"/>
        <v>1</v>
      </c>
      <c r="N304">
        <f>IF(SUM(I304:J304)&lt;=($G$11/60*$F$11/($E$11/60)),1,0)</f>
        <v>0</v>
      </c>
    </row>
    <row r="305" spans="4:14" x14ac:dyDescent="0.2">
      <c r="D305">
        <f t="shared" si="28"/>
        <v>282</v>
      </c>
      <c r="E305" s="1">
        <f>IF($H$11=1,IF(D305&lt;=$A$15, E304+LN($D$11)-LN(60/$E$11)-LN(MIN(D305,$F$11)), E304-LN(60/$E$11)-LN(MIN(D305,$F$11))), IF(D305&lt;=$A$15, E304+LN($D$11)-LN(60/$E$11)-LN(MIN(D305,$F$11)), E304+LN($D$11)+LN(1-$H$11)-LN(60/$E$11)-LN(MIN(D305,$F$11))))</f>
        <v>-31.951412049529054</v>
      </c>
      <c r="F305" s="1">
        <f t="shared" si="29"/>
        <v>-33.953444858728112</v>
      </c>
      <c r="G305" s="1">
        <f t="shared" si="27"/>
        <v>1.7955861887592657E-15</v>
      </c>
      <c r="H305" s="1">
        <f t="shared" si="24"/>
        <v>1.762498607986081E-16</v>
      </c>
      <c r="I305">
        <f>IF($F$11&lt;=D305, IF(D305&lt;=$A$15,D305-$F$11,$C$11),0)</f>
        <v>60</v>
      </c>
      <c r="J305">
        <f t="shared" si="25"/>
        <v>218</v>
      </c>
      <c r="K305" s="5">
        <f>IF(D305&lt;$F$11,H305,0)</f>
        <v>0</v>
      </c>
      <c r="L305">
        <f>IF(D305&lt;$A$15,$D$11,$D$11*(1-$H$11))</f>
        <v>85</v>
      </c>
      <c r="M305">
        <f t="shared" si="26"/>
        <v>1</v>
      </c>
      <c r="N305">
        <f>IF(SUM(I305:J305)&lt;=($G$11/60*$F$11/($E$11/60)),1,0)</f>
        <v>0</v>
      </c>
    </row>
    <row r="306" spans="4:14" x14ac:dyDescent="0.2">
      <c r="D306">
        <f t="shared" si="28"/>
        <v>283</v>
      </c>
      <c r="E306" s="1">
        <f>IF($H$11=1,IF(D306&lt;=$A$15, E305+LN($D$11)-LN(60/$E$11)-LN(MIN(D306,$F$11)), E305-LN(60/$E$11)-LN(MIN(D306,$F$11))), IF(D306&lt;=$A$15, E305+LN($D$11)-LN(60/$E$11)-LN(MIN(D306,$F$11)), E305+LN($D$11)+LN(1-$H$11)-LN(60/$E$11)-LN(MIN(D306,$F$11))))</f>
        <v>-32.073108984506575</v>
      </c>
      <c r="F306" s="1">
        <f t="shared" si="29"/>
        <v>-34.075141793705633</v>
      </c>
      <c r="G306" s="1">
        <f t="shared" si="27"/>
        <v>1.5898419379639311E-15</v>
      </c>
      <c r="H306" s="1">
        <f t="shared" si="24"/>
        <v>1.560545642487674E-16</v>
      </c>
      <c r="I306">
        <f>IF($F$11&lt;=D306, IF(D306&lt;=$A$15,D306-$F$11,$C$11),0)</f>
        <v>60</v>
      </c>
      <c r="J306">
        <f t="shared" si="25"/>
        <v>219</v>
      </c>
      <c r="K306" s="5">
        <f>IF(D306&lt;$F$11,H306,0)</f>
        <v>0</v>
      </c>
      <c r="L306">
        <f>IF(D306&lt;$A$15,$D$11,$D$11*(1-$H$11))</f>
        <v>85</v>
      </c>
      <c r="M306">
        <f t="shared" si="26"/>
        <v>1</v>
      </c>
      <c r="N306">
        <f>IF(SUM(I306:J306)&lt;=($G$11/60*$F$11/($E$11/60)),1,0)</f>
        <v>0</v>
      </c>
    </row>
    <row r="307" spans="4:14" x14ac:dyDescent="0.2">
      <c r="D307">
        <f t="shared" si="28"/>
        <v>284</v>
      </c>
      <c r="E307" s="1">
        <f>IF($H$11=1,IF(D307&lt;=$A$15, E306+LN($D$11)-LN(60/$E$11)-LN(MIN(D307,$F$11)), E306-LN(60/$E$11)-LN(MIN(D307,$F$11))), IF(D307&lt;=$A$15, E306+LN($D$11)-LN(60/$E$11)-LN(MIN(D307,$F$11)), E306+LN($D$11)+LN(1-$H$11)-LN(60/$E$11)-LN(MIN(D307,$F$11))))</f>
        <v>-32.194805919484097</v>
      </c>
      <c r="F307" s="1">
        <f t="shared" si="29"/>
        <v>-34.196838728683154</v>
      </c>
      <c r="G307" s="1">
        <f t="shared" si="27"/>
        <v>1.4076725492388954E-15</v>
      </c>
      <c r="H307" s="1">
        <f t="shared" si="24"/>
        <v>1.3817331209526259E-16</v>
      </c>
      <c r="I307">
        <f>IF($F$11&lt;=D307, IF(D307&lt;=$A$15,D307-$F$11,$C$11),0)</f>
        <v>60</v>
      </c>
      <c r="J307">
        <f t="shared" si="25"/>
        <v>220</v>
      </c>
      <c r="K307" s="5">
        <f>IF(D307&lt;$F$11,H307,0)</f>
        <v>0</v>
      </c>
      <c r="L307">
        <f>IF(D307&lt;$A$15,$D$11,$D$11*(1-$H$11))</f>
        <v>85</v>
      </c>
      <c r="M307">
        <f t="shared" si="26"/>
        <v>1</v>
      </c>
      <c r="N307">
        <f>IF(SUM(I307:J307)&lt;=($G$11/60*$F$11/($E$11/60)),1,0)</f>
        <v>0</v>
      </c>
    </row>
    <row r="308" spans="4:14" x14ac:dyDescent="0.2">
      <c r="D308">
        <f t="shared" si="28"/>
        <v>285</v>
      </c>
      <c r="E308" s="1">
        <f>IF($H$11=1,IF(D308&lt;=$A$15, E307+LN($D$11)-LN(60/$E$11)-LN(MIN(D308,$F$11)), E307-LN(60/$E$11)-LN(MIN(D308,$F$11))), IF(D308&lt;=$A$15, E307+LN($D$11)-LN(60/$E$11)-LN(MIN(D308,$F$11)), E307+LN($D$11)+LN(1-$H$11)-LN(60/$E$11)-LN(MIN(D308,$F$11))))</f>
        <v>-32.316502854461618</v>
      </c>
      <c r="F308" s="1">
        <f t="shared" si="29"/>
        <v>-34.318535663660676</v>
      </c>
      <c r="G308" s="1">
        <f t="shared" si="27"/>
        <v>1.2463767363052701E-15</v>
      </c>
      <c r="H308" s="1">
        <f t="shared" si="24"/>
        <v>1.2234095341768025E-16</v>
      </c>
      <c r="I308">
        <f>IF($F$11&lt;=D308, IF(D308&lt;=$A$15,D308-$F$11,$C$11),0)</f>
        <v>60</v>
      </c>
      <c r="J308">
        <f t="shared" si="25"/>
        <v>221</v>
      </c>
      <c r="K308" s="5">
        <f>IF(D308&lt;$F$11,H308,0)</f>
        <v>0</v>
      </c>
      <c r="L308">
        <f>IF(D308&lt;$A$15,$D$11,$D$11*(1-$H$11))</f>
        <v>85</v>
      </c>
      <c r="M308">
        <f t="shared" si="26"/>
        <v>1</v>
      </c>
      <c r="N308">
        <f>IF(SUM(I308:J308)&lt;=($G$11/60*$F$11/($E$11/60)),1,0)</f>
        <v>0</v>
      </c>
    </row>
    <row r="309" spans="4:14" x14ac:dyDescent="0.2">
      <c r="D309">
        <f t="shared" si="28"/>
        <v>286</v>
      </c>
      <c r="E309" s="1">
        <f>IF($H$11=1,IF(D309&lt;=$A$15, E308+LN($D$11)-LN(60/$E$11)-LN(MIN(D309,$F$11)), E308-LN(60/$E$11)-LN(MIN(D309,$F$11))), IF(D309&lt;=$A$15, E308+LN($D$11)-LN(60/$E$11)-LN(MIN(D309,$F$11)), E308+LN($D$11)+LN(1-$H$11)-LN(60/$E$11)-LN(MIN(D309,$F$11))))</f>
        <v>-32.438199789439139</v>
      </c>
      <c r="F309" s="1">
        <f t="shared" si="29"/>
        <v>-34.440232598638197</v>
      </c>
      <c r="G309" s="1">
        <f t="shared" si="27"/>
        <v>1.1035627352702896E-15</v>
      </c>
      <c r="H309" s="1">
        <f t="shared" si="24"/>
        <v>1.0832271917190423E-16</v>
      </c>
      <c r="I309">
        <f>IF($F$11&lt;=D309, IF(D309&lt;=$A$15,D309-$F$11,$C$11),0)</f>
        <v>60</v>
      </c>
      <c r="J309">
        <f t="shared" si="25"/>
        <v>222</v>
      </c>
      <c r="K309" s="5">
        <f>IF(D309&lt;$F$11,H309,0)</f>
        <v>0</v>
      </c>
      <c r="L309">
        <f>IF(D309&lt;$A$15,$D$11,$D$11*(1-$H$11))</f>
        <v>85</v>
      </c>
      <c r="M309">
        <f t="shared" si="26"/>
        <v>1</v>
      </c>
      <c r="N309">
        <f>IF(SUM(I309:J309)&lt;=($G$11/60*$F$11/($E$11/60)),1,0)</f>
        <v>0</v>
      </c>
    </row>
    <row r="310" spans="4:14" x14ac:dyDescent="0.2">
      <c r="D310">
        <f t="shared" si="28"/>
        <v>287</v>
      </c>
      <c r="E310" s="1">
        <f>IF($H$11=1,IF(D310&lt;=$A$15, E309+LN($D$11)-LN(60/$E$11)-LN(MIN(D310,$F$11)), E309-LN(60/$E$11)-LN(MIN(D310,$F$11))), IF(D310&lt;=$A$15, E309+LN($D$11)-LN(60/$E$11)-LN(MIN(D310,$F$11)), E309+LN($D$11)+LN(1-$H$11)-LN(60/$E$11)-LN(MIN(D310,$F$11))))</f>
        <v>-32.55989672441666</v>
      </c>
      <c r="F310" s="1">
        <f t="shared" si="29"/>
        <v>-34.561929533615718</v>
      </c>
      <c r="G310" s="1">
        <f t="shared" si="27"/>
        <v>9.7711283852056759E-16</v>
      </c>
      <c r="H310" s="1">
        <f t="shared" si="24"/>
        <v>9.5910740933456735E-17</v>
      </c>
      <c r="I310">
        <f>IF($F$11&lt;=D310, IF(D310&lt;=$A$15,D310-$F$11,$C$11),0)</f>
        <v>60</v>
      </c>
      <c r="J310">
        <f t="shared" si="25"/>
        <v>223</v>
      </c>
      <c r="K310" s="5">
        <f>IF(D310&lt;$F$11,H310,0)</f>
        <v>0</v>
      </c>
      <c r="L310">
        <f>IF(D310&lt;$A$15,$D$11,$D$11*(1-$H$11))</f>
        <v>85</v>
      </c>
      <c r="M310">
        <f t="shared" si="26"/>
        <v>1</v>
      </c>
      <c r="N310">
        <f>IF(SUM(I310:J310)&lt;=($G$11/60*$F$11/($E$11/60)),1,0)</f>
        <v>0</v>
      </c>
    </row>
    <row r="311" spans="4:14" x14ac:dyDescent="0.2">
      <c r="D311">
        <f t="shared" si="28"/>
        <v>288</v>
      </c>
      <c r="E311" s="1">
        <f>IF($H$11=1,IF(D311&lt;=$A$15, E310+LN($D$11)-LN(60/$E$11)-LN(MIN(D311,$F$11)), E310-LN(60/$E$11)-LN(MIN(D311,$F$11))), IF(D311&lt;=$A$15, E310+LN($D$11)-LN(60/$E$11)-LN(MIN(D311,$F$11)), E310+LN($D$11)+LN(1-$H$11)-LN(60/$E$11)-LN(MIN(D311,$F$11))))</f>
        <v>-32.681593659394181</v>
      </c>
      <c r="F311" s="1">
        <f t="shared" si="29"/>
        <v>-34.683626468593239</v>
      </c>
      <c r="G311" s="1">
        <f t="shared" si="27"/>
        <v>8.6515199244008464E-16</v>
      </c>
      <c r="H311" s="1">
        <f t="shared" si="24"/>
        <v>8.4920968534831365E-17</v>
      </c>
      <c r="I311">
        <f>IF($F$11&lt;=D311, IF(D311&lt;=$A$15,D311-$F$11,$C$11),0)</f>
        <v>60</v>
      </c>
      <c r="J311">
        <f t="shared" si="25"/>
        <v>224</v>
      </c>
      <c r="K311" s="5">
        <f>IF(D311&lt;$F$11,H311,0)</f>
        <v>0</v>
      </c>
      <c r="L311">
        <f>IF(D311&lt;$A$15,$D$11,$D$11*(1-$H$11))</f>
        <v>85</v>
      </c>
      <c r="M311">
        <f t="shared" si="26"/>
        <v>1</v>
      </c>
      <c r="N311">
        <f>IF(SUM(I311:J311)&lt;=($G$11/60*$F$11/($E$11/60)),1,0)</f>
        <v>0</v>
      </c>
    </row>
    <row r="312" spans="4:14" x14ac:dyDescent="0.2">
      <c r="D312">
        <f t="shared" si="28"/>
        <v>289</v>
      </c>
      <c r="E312" s="1">
        <f>IF($H$11=1,IF(D312&lt;=$A$15, E311+LN($D$11)-LN(60/$E$11)-LN(MIN(D312,$F$11)), E311-LN(60/$E$11)-LN(MIN(D312,$F$11))), IF(D312&lt;=$A$15, E311+LN($D$11)-LN(60/$E$11)-LN(MIN(D312,$F$11)), E311+LN($D$11)+LN(1-$H$11)-LN(60/$E$11)-LN(MIN(D312,$F$11))))</f>
        <v>-32.803290594371703</v>
      </c>
      <c r="F312" s="1">
        <f t="shared" si="29"/>
        <v>-34.80532340357076</v>
      </c>
      <c r="G312" s="1">
        <f t="shared" si="27"/>
        <v>7.6601999330632379E-16</v>
      </c>
      <c r="H312" s="1">
        <f t="shared" si="24"/>
        <v>7.5190440890215162E-17</v>
      </c>
      <c r="I312">
        <f>IF($F$11&lt;=D312, IF(D312&lt;=$A$15,D312-$F$11,$C$11),0)</f>
        <v>60</v>
      </c>
      <c r="J312">
        <f t="shared" si="25"/>
        <v>225</v>
      </c>
      <c r="K312" s="5">
        <f>IF(D312&lt;$F$11,H312,0)</f>
        <v>0</v>
      </c>
      <c r="L312">
        <f>IF(D312&lt;$A$15,$D$11,$D$11*(1-$H$11))</f>
        <v>85</v>
      </c>
      <c r="M312">
        <f t="shared" si="26"/>
        <v>1</v>
      </c>
      <c r="N312">
        <f>IF(SUM(I312:J312)&lt;=($G$11/60*$F$11/($E$11/60)),1,0)</f>
        <v>0</v>
      </c>
    </row>
    <row r="313" spans="4:14" x14ac:dyDescent="0.2">
      <c r="D313">
        <f t="shared" si="28"/>
        <v>290</v>
      </c>
      <c r="E313" s="1">
        <f>IF($H$11=1,IF(D313&lt;=$A$15, E312+LN($D$11)-LN(60/$E$11)-LN(MIN(D313,$F$11)), E312-LN(60/$E$11)-LN(MIN(D313,$F$11))), IF(D313&lt;=$A$15, E312+LN($D$11)-LN(60/$E$11)-LN(MIN(D313,$F$11)), E312+LN($D$11)+LN(1-$H$11)-LN(60/$E$11)-LN(MIN(D313,$F$11))))</f>
        <v>-32.924987529349224</v>
      </c>
      <c r="F313" s="1">
        <f t="shared" si="29"/>
        <v>-34.927020338548282</v>
      </c>
      <c r="G313" s="1">
        <f t="shared" si="27"/>
        <v>6.7824686907330655E-16</v>
      </c>
      <c r="H313" s="1">
        <f t="shared" si="24"/>
        <v>6.6574869538211242E-17</v>
      </c>
      <c r="I313">
        <f>IF($F$11&lt;=D313, IF(D313&lt;=$A$15,D313-$F$11,$C$11),0)</f>
        <v>60</v>
      </c>
      <c r="J313">
        <f t="shared" si="25"/>
        <v>226</v>
      </c>
      <c r="K313" s="5">
        <f>IF(D313&lt;$F$11,H313,0)</f>
        <v>0</v>
      </c>
      <c r="L313">
        <f>IF(D313&lt;$A$15,$D$11,$D$11*(1-$H$11))</f>
        <v>85</v>
      </c>
      <c r="M313">
        <f t="shared" si="26"/>
        <v>1</v>
      </c>
      <c r="N313">
        <f>IF(SUM(I313:J313)&lt;=($G$11/60*$F$11/($E$11/60)),1,0)</f>
        <v>0</v>
      </c>
    </row>
    <row r="314" spans="4:14" x14ac:dyDescent="0.2">
      <c r="D314">
        <f t="shared" si="28"/>
        <v>291</v>
      </c>
      <c r="E314" s="1">
        <f>IF($H$11=1,IF(D314&lt;=$A$15, E313+LN($D$11)-LN(60/$E$11)-LN(MIN(D314,$F$11)), E313-LN(60/$E$11)-LN(MIN(D314,$F$11))), IF(D314&lt;=$A$15, E313+LN($D$11)-LN(60/$E$11)-LN(MIN(D314,$F$11)), E313+LN($D$11)+LN(1-$H$11)-LN(60/$E$11)-LN(MIN(D314,$F$11))))</f>
        <v>-33.046684464326745</v>
      </c>
      <c r="F314" s="1">
        <f t="shared" si="29"/>
        <v>-35.048717273525803</v>
      </c>
      <c r="G314" s="1">
        <f t="shared" si="27"/>
        <v>6.0053108199198937E-16</v>
      </c>
      <c r="H314" s="1">
        <f t="shared" si="24"/>
        <v>5.8946499070291126E-17</v>
      </c>
      <c r="I314">
        <f>IF($F$11&lt;=D314, IF(D314&lt;=$A$15,D314-$F$11,$C$11),0)</f>
        <v>60</v>
      </c>
      <c r="J314">
        <f t="shared" si="25"/>
        <v>227</v>
      </c>
      <c r="K314" s="5">
        <f>IF(D314&lt;$F$11,H314,0)</f>
        <v>0</v>
      </c>
      <c r="L314">
        <f>IF(D314&lt;$A$15,$D$11,$D$11*(1-$H$11))</f>
        <v>85</v>
      </c>
      <c r="M314">
        <f t="shared" si="26"/>
        <v>1</v>
      </c>
      <c r="N314">
        <f>IF(SUM(I314:J314)&lt;=($G$11/60*$F$11/($E$11/60)),1,0)</f>
        <v>0</v>
      </c>
    </row>
    <row r="315" spans="4:14" x14ac:dyDescent="0.2">
      <c r="D315">
        <f t="shared" si="28"/>
        <v>292</v>
      </c>
      <c r="E315" s="1">
        <f>IF($H$11=1,IF(D315&lt;=$A$15, E314+LN($D$11)-LN(60/$E$11)-LN(MIN(D315,$F$11)), E314-LN(60/$E$11)-LN(MIN(D315,$F$11))), IF(D315&lt;=$A$15, E314+LN($D$11)-LN(60/$E$11)-LN(MIN(D315,$F$11)), E314+LN($D$11)+LN(1-$H$11)-LN(60/$E$11)-LN(MIN(D315,$F$11))))</f>
        <v>-33.168381399304266</v>
      </c>
      <c r="F315" s="1">
        <f t="shared" si="29"/>
        <v>-35.170414208503324</v>
      </c>
      <c r="G315" s="1">
        <f t="shared" si="27"/>
        <v>5.3172022884707313E-16</v>
      </c>
      <c r="H315" s="1">
        <f t="shared" si="24"/>
        <v>5.2192212718486854E-17</v>
      </c>
      <c r="I315">
        <f>IF($F$11&lt;=D315, IF(D315&lt;=$A$15,D315-$F$11,$C$11),0)</f>
        <v>60</v>
      </c>
      <c r="J315">
        <f t="shared" si="25"/>
        <v>228</v>
      </c>
      <c r="K315" s="5">
        <f>IF(D315&lt;$F$11,H315,0)</f>
        <v>0</v>
      </c>
      <c r="L315">
        <f>IF(D315&lt;$A$15,$D$11,$D$11*(1-$H$11))</f>
        <v>85</v>
      </c>
      <c r="M315">
        <f t="shared" si="26"/>
        <v>1</v>
      </c>
      <c r="N315">
        <f>IF(SUM(I315:J315)&lt;=($G$11/60*$F$11/($E$11/60)),1,0)</f>
        <v>0</v>
      </c>
    </row>
    <row r="316" spans="4:14" x14ac:dyDescent="0.2">
      <c r="D316">
        <f t="shared" si="28"/>
        <v>293</v>
      </c>
      <c r="E316" s="1">
        <f>IF($H$11=1,IF(D316&lt;=$A$15, E315+LN($D$11)-LN(60/$E$11)-LN(MIN(D316,$F$11)), E315-LN(60/$E$11)-LN(MIN(D316,$F$11))), IF(D316&lt;=$A$15, E315+LN($D$11)-LN(60/$E$11)-LN(MIN(D316,$F$11)), E315+LN($D$11)+LN(1-$H$11)-LN(60/$E$11)-LN(MIN(D316,$F$11))))</f>
        <v>-33.290078334281787</v>
      </c>
      <c r="F316" s="1">
        <f t="shared" si="29"/>
        <v>-35.292111143480845</v>
      </c>
      <c r="G316" s="1">
        <f t="shared" si="27"/>
        <v>4.7079395262501205E-16</v>
      </c>
      <c r="H316" s="1">
        <f t="shared" si="24"/>
        <v>4.6211855011160177E-17</v>
      </c>
      <c r="I316">
        <f>IF($F$11&lt;=D316, IF(D316&lt;=$A$15,D316-$F$11,$C$11),0)</f>
        <v>60</v>
      </c>
      <c r="J316">
        <f t="shared" si="25"/>
        <v>229</v>
      </c>
      <c r="K316" s="5">
        <f>IF(D316&lt;$F$11,H316,0)</f>
        <v>0</v>
      </c>
      <c r="L316">
        <f>IF(D316&lt;$A$15,$D$11,$D$11*(1-$H$11))</f>
        <v>85</v>
      </c>
      <c r="M316">
        <f t="shared" si="26"/>
        <v>1</v>
      </c>
      <c r="N316">
        <f>IF(SUM(I316:J316)&lt;=($G$11/60*$F$11/($E$11/60)),1,0)</f>
        <v>0</v>
      </c>
    </row>
    <row r="317" spans="4:14" x14ac:dyDescent="0.2">
      <c r="D317">
        <f t="shared" si="28"/>
        <v>294</v>
      </c>
      <c r="E317" s="1">
        <f>IF($H$11=1,IF(D317&lt;=$A$15, E316+LN($D$11)-LN(60/$E$11)-LN(MIN(D317,$F$11)), E316-LN(60/$E$11)-LN(MIN(D317,$F$11))), IF(D317&lt;=$A$15, E316+LN($D$11)-LN(60/$E$11)-LN(MIN(D317,$F$11)), E316+LN($D$11)+LN(1-$H$11)-LN(60/$E$11)-LN(MIN(D317,$F$11))))</f>
        <v>-33.411775269259309</v>
      </c>
      <c r="F317" s="1">
        <f t="shared" si="29"/>
        <v>-35.413808078458366</v>
      </c>
      <c r="G317" s="1">
        <f t="shared" si="27"/>
        <v>4.1684881222006213E-16</v>
      </c>
      <c r="H317" s="1">
        <f t="shared" si="24"/>
        <v>4.091674662446468E-17</v>
      </c>
      <c r="I317">
        <f>IF($F$11&lt;=D317, IF(D317&lt;=$A$15,D317-$F$11,$C$11),0)</f>
        <v>60</v>
      </c>
      <c r="J317">
        <f t="shared" si="25"/>
        <v>230</v>
      </c>
      <c r="K317" s="5">
        <f>IF(D317&lt;$F$11,H317,0)</f>
        <v>0</v>
      </c>
      <c r="L317">
        <f>IF(D317&lt;$A$15,$D$11,$D$11*(1-$H$11))</f>
        <v>85</v>
      </c>
      <c r="M317">
        <f t="shared" si="26"/>
        <v>1</v>
      </c>
      <c r="N317">
        <f>IF(SUM(I317:J317)&lt;=($G$11/60*$F$11/($E$11/60)),1,0)</f>
        <v>0</v>
      </c>
    </row>
    <row r="318" spans="4:14" x14ac:dyDescent="0.2">
      <c r="D318">
        <f t="shared" si="28"/>
        <v>295</v>
      </c>
      <c r="E318" s="1">
        <f>IF($H$11=1,IF(D318&lt;=$A$15, E317+LN($D$11)-LN(60/$E$11)-LN(MIN(D318,$F$11)), E317-LN(60/$E$11)-LN(MIN(D318,$F$11))), IF(D318&lt;=$A$15, E317+LN($D$11)-LN(60/$E$11)-LN(MIN(D318,$F$11)), E317+LN($D$11)+LN(1-$H$11)-LN(60/$E$11)-LN(MIN(D318,$F$11))))</f>
        <v>-33.53347220423683</v>
      </c>
      <c r="F318" s="1">
        <f t="shared" si="29"/>
        <v>-35.535505013435888</v>
      </c>
      <c r="G318" s="1">
        <f t="shared" si="27"/>
        <v>3.6908488581984616E-16</v>
      </c>
      <c r="H318" s="1">
        <f t="shared" si="24"/>
        <v>3.6228369407078052E-17</v>
      </c>
      <c r="I318">
        <f>IF($F$11&lt;=D318, IF(D318&lt;=$A$15,D318-$F$11,$C$11),0)</f>
        <v>60</v>
      </c>
      <c r="J318">
        <f t="shared" si="25"/>
        <v>231</v>
      </c>
      <c r="K318" s="5">
        <f>IF(D318&lt;$F$11,H318,0)</f>
        <v>0</v>
      </c>
      <c r="L318">
        <f>IF(D318&lt;$A$15,$D$11,$D$11*(1-$H$11))</f>
        <v>85</v>
      </c>
      <c r="M318">
        <f t="shared" si="26"/>
        <v>1</v>
      </c>
      <c r="N318">
        <f>IF(SUM(I318:J318)&lt;=($G$11/60*$F$11/($E$11/60)),1,0)</f>
        <v>0</v>
      </c>
    </row>
    <row r="319" spans="4:14" x14ac:dyDescent="0.2">
      <c r="D319">
        <f t="shared" si="28"/>
        <v>296</v>
      </c>
      <c r="E319" s="1">
        <f>IF($H$11=1,IF(D319&lt;=$A$15, E318+LN($D$11)-LN(60/$E$11)-LN(MIN(D319,$F$11)), E318-LN(60/$E$11)-LN(MIN(D319,$F$11))), IF(D319&lt;=$A$15, E318+LN($D$11)-LN(60/$E$11)-LN(MIN(D319,$F$11)), E318+LN($D$11)+LN(1-$H$11)-LN(60/$E$11)-LN(MIN(D319,$F$11))))</f>
        <v>-33.655169139214351</v>
      </c>
      <c r="F319" s="1">
        <f t="shared" si="29"/>
        <v>-35.657201948413409</v>
      </c>
      <c r="G319" s="1">
        <f t="shared" si="27"/>
        <v>3.2679390931965497E-16</v>
      </c>
      <c r="H319" s="1">
        <f t="shared" si="24"/>
        <v>3.2077202079183642E-17</v>
      </c>
      <c r="I319">
        <f>IF($F$11&lt;=D319, IF(D319&lt;=$A$15,D319-$F$11,$C$11),0)</f>
        <v>60</v>
      </c>
      <c r="J319">
        <f t="shared" si="25"/>
        <v>232</v>
      </c>
      <c r="K319" s="5">
        <f>IF(D319&lt;$F$11,H319,0)</f>
        <v>0</v>
      </c>
      <c r="L319">
        <f>IF(D319&lt;$A$15,$D$11,$D$11*(1-$H$11))</f>
        <v>85</v>
      </c>
      <c r="M319">
        <f t="shared" si="26"/>
        <v>1</v>
      </c>
      <c r="N319">
        <f>IF(SUM(I319:J319)&lt;=($G$11/60*$F$11/($E$11/60)),1,0)</f>
        <v>0</v>
      </c>
    </row>
    <row r="320" spans="4:14" x14ac:dyDescent="0.2">
      <c r="D320">
        <f t="shared" si="28"/>
        <v>297</v>
      </c>
      <c r="E320" s="1">
        <f>IF($H$11=1,IF(D320&lt;=$A$15, E319+LN($D$11)-LN(60/$E$11)-LN(MIN(D320,$F$11)), E319-LN(60/$E$11)-LN(MIN(D320,$F$11))), IF(D320&lt;=$A$15, E319+LN($D$11)-LN(60/$E$11)-LN(MIN(D320,$F$11)), E319+LN($D$11)+LN(1-$H$11)-LN(60/$E$11)-LN(MIN(D320,$F$11))))</f>
        <v>-33.776866074191872</v>
      </c>
      <c r="F320" s="1">
        <f t="shared" si="29"/>
        <v>-35.77889888339093</v>
      </c>
      <c r="G320" s="1">
        <f t="shared" si="27"/>
        <v>2.8934877387677742E-16</v>
      </c>
      <c r="H320" s="1">
        <f t="shared" si="24"/>
        <v>2.8401689340943809E-17</v>
      </c>
      <c r="I320">
        <f>IF($F$11&lt;=D320, IF(D320&lt;=$A$15,D320-$F$11,$C$11),0)</f>
        <v>60</v>
      </c>
      <c r="J320">
        <f t="shared" si="25"/>
        <v>233</v>
      </c>
      <c r="K320" s="5">
        <f>IF(D320&lt;$F$11,H320,0)</f>
        <v>0</v>
      </c>
      <c r="L320">
        <f>IF(D320&lt;$A$15,$D$11,$D$11*(1-$H$11))</f>
        <v>85</v>
      </c>
      <c r="M320">
        <f t="shared" si="26"/>
        <v>1</v>
      </c>
      <c r="N320">
        <f>IF(SUM(I320:J320)&lt;=($G$11/60*$F$11/($E$11/60)),1,0)</f>
        <v>0</v>
      </c>
    </row>
    <row r="321" spans="4:14" x14ac:dyDescent="0.2">
      <c r="D321">
        <f t="shared" si="28"/>
        <v>298</v>
      </c>
      <c r="E321" s="1">
        <f>IF($H$11=1,IF(D321&lt;=$A$15, E320+LN($D$11)-LN(60/$E$11)-LN(MIN(D321,$F$11)), E320-LN(60/$E$11)-LN(MIN(D321,$F$11))), IF(D321&lt;=$A$15, E320+LN($D$11)-LN(60/$E$11)-LN(MIN(D321,$F$11)), E320+LN($D$11)+LN(1-$H$11)-LN(60/$E$11)-LN(MIN(D321,$F$11))))</f>
        <v>-33.898563009169393</v>
      </c>
      <c r="F321" s="1">
        <f t="shared" si="29"/>
        <v>-35.900595818368451</v>
      </c>
      <c r="G321" s="1">
        <f t="shared" si="27"/>
        <v>2.5619422687006297E-16</v>
      </c>
      <c r="H321" s="1">
        <f t="shared" si="24"/>
        <v>2.5147329103960628E-17</v>
      </c>
      <c r="I321">
        <f>IF($F$11&lt;=D321, IF(D321&lt;=$A$15,D321-$F$11,$C$11),0)</f>
        <v>60</v>
      </c>
      <c r="J321">
        <f t="shared" si="25"/>
        <v>234</v>
      </c>
      <c r="K321" s="5">
        <f>IF(D321&lt;$F$11,H321,0)</f>
        <v>0</v>
      </c>
      <c r="L321">
        <f>IF(D321&lt;$A$15,$D$11,$D$11*(1-$H$11))</f>
        <v>85</v>
      </c>
      <c r="M321">
        <f t="shared" si="26"/>
        <v>1</v>
      </c>
      <c r="N321">
        <f>IF(SUM(I321:J321)&lt;=($G$11/60*$F$11/($E$11/60)),1,0)</f>
        <v>0</v>
      </c>
    </row>
    <row r="322" spans="4:14" x14ac:dyDescent="0.2">
      <c r="D322">
        <f t="shared" si="28"/>
        <v>299</v>
      </c>
      <c r="E322" s="1">
        <f>IF($H$11=1,IF(D322&lt;=$A$15, E321+LN($D$11)-LN(60/$E$11)-LN(MIN(D322,$F$11)), E321-LN(60/$E$11)-LN(MIN(D322,$F$11))), IF(D322&lt;=$A$15, E321+LN($D$11)-LN(60/$E$11)-LN(MIN(D322,$F$11)), E321+LN($D$11)+LN(1-$H$11)-LN(60/$E$11)-LN(MIN(D322,$F$11))))</f>
        <v>-34.020259944146915</v>
      </c>
      <c r="F322" s="1">
        <f t="shared" si="29"/>
        <v>-36.022292753345972</v>
      </c>
      <c r="G322" s="1">
        <f t="shared" si="27"/>
        <v>2.268386383745346E-16</v>
      </c>
      <c r="H322" s="1">
        <f t="shared" si="24"/>
        <v>2.2265864310798439E-17</v>
      </c>
      <c r="I322">
        <f>IF($F$11&lt;=D322, IF(D322&lt;=$A$15,D322-$F$11,$C$11),0)</f>
        <v>60</v>
      </c>
      <c r="J322">
        <f t="shared" si="25"/>
        <v>235</v>
      </c>
      <c r="K322" s="5">
        <f>IF(D322&lt;$F$11,H322,0)</f>
        <v>0</v>
      </c>
      <c r="L322">
        <f>IF(D322&lt;$A$15,$D$11,$D$11*(1-$H$11))</f>
        <v>85</v>
      </c>
      <c r="M322">
        <f t="shared" si="26"/>
        <v>1</v>
      </c>
      <c r="N322">
        <f>IF(SUM(I322:J322)&lt;=($G$11/60*$F$11/($E$11/60)),1,0)</f>
        <v>0</v>
      </c>
    </row>
    <row r="323" spans="4:14" x14ac:dyDescent="0.2">
      <c r="D323">
        <f t="shared" si="28"/>
        <v>300</v>
      </c>
      <c r="E323" s="1">
        <f>IF($H$11=1,IF(D323&lt;=$A$15, E322+LN($D$11)-LN(60/$E$11)-LN(MIN(D323,$F$11)), E322-LN(60/$E$11)-LN(MIN(D323,$F$11))), IF(D323&lt;=$A$15, E322+LN($D$11)-LN(60/$E$11)-LN(MIN(D323,$F$11)), E322+LN($D$11)+LN(1-$H$11)-LN(60/$E$11)-LN(MIN(D323,$F$11))))</f>
        <v>-34.141956879124436</v>
      </c>
      <c r="F323" s="1">
        <f t="shared" si="29"/>
        <v>-36.143989688323494</v>
      </c>
      <c r="G323" s="1">
        <f t="shared" si="27"/>
        <v>2.0084671106078557E-16</v>
      </c>
      <c r="H323" s="1">
        <f t="shared" si="24"/>
        <v>1.9714567358519425E-17</v>
      </c>
      <c r="I323">
        <f>IF($F$11&lt;=D323, IF(D323&lt;=$A$15,D323-$F$11,$C$11),0)</f>
        <v>60</v>
      </c>
      <c r="J323">
        <f t="shared" si="25"/>
        <v>236</v>
      </c>
      <c r="K323" s="5">
        <f>IF(D323&lt;$F$11,H323,0)</f>
        <v>0</v>
      </c>
      <c r="L323">
        <f>IF(D323&lt;$A$15,$D$11,$D$11*(1-$H$11))</f>
        <v>85</v>
      </c>
      <c r="M323">
        <f t="shared" si="26"/>
        <v>1</v>
      </c>
      <c r="N323">
        <f>IF(SUM(I323:J323)&lt;=($G$11/60*$F$11/($E$11/60)),1,0)</f>
        <v>0</v>
      </c>
    </row>
    <row r="324" spans="4:14" x14ac:dyDescent="0.2">
      <c r="D324">
        <f t="shared" si="28"/>
        <v>301</v>
      </c>
      <c r="E324" s="1">
        <f>IF($H$11=1,IF(D324&lt;=$A$15, E323+LN($D$11)-LN(60/$E$11)-LN(MIN(D324,$F$11)), E323-LN(60/$E$11)-LN(MIN(D324,$F$11))), IF(D324&lt;=$A$15, E323+LN($D$11)-LN(60/$E$11)-LN(MIN(D324,$F$11)), E323+LN($D$11)+LN(1-$H$11)-LN(60/$E$11)-LN(MIN(D324,$F$11))))</f>
        <v>-34.263653814101957</v>
      </c>
      <c r="F324" s="1">
        <f t="shared" si="29"/>
        <v>-36.265686623301015</v>
      </c>
      <c r="G324" s="1">
        <f t="shared" si="27"/>
        <v>1.7783302541840363E-16</v>
      </c>
      <c r="H324" s="1">
        <f t="shared" si="24"/>
        <v>1.7455606515355716E-17</v>
      </c>
      <c r="I324">
        <f>IF($F$11&lt;=D324, IF(D324&lt;=$A$15,D324-$F$11,$C$11),0)</f>
        <v>60</v>
      </c>
      <c r="J324">
        <f t="shared" si="25"/>
        <v>237</v>
      </c>
      <c r="K324" s="5">
        <f>IF(D324&lt;$F$11,H324,0)</f>
        <v>0</v>
      </c>
      <c r="L324">
        <f>IF(D324&lt;$A$15,$D$11,$D$11*(1-$H$11))</f>
        <v>85</v>
      </c>
      <c r="M324">
        <f t="shared" si="26"/>
        <v>1</v>
      </c>
      <c r="N324">
        <f>IF(SUM(I324:J324)&lt;=($G$11/60*$F$11/($E$11/60)),1,0)</f>
        <v>0</v>
      </c>
    </row>
    <row r="325" spans="4:14" x14ac:dyDescent="0.2">
      <c r="D325">
        <f t="shared" si="28"/>
        <v>302</v>
      </c>
      <c r="E325" s="1">
        <f>IF($H$11=1,IF(D325&lt;=$A$15, E324+LN($D$11)-LN(60/$E$11)-LN(MIN(D325,$F$11)), E324-LN(60/$E$11)-LN(MIN(D325,$F$11))), IF(D325&lt;=$A$15, E324+LN($D$11)-LN(60/$E$11)-LN(MIN(D325,$F$11)), E324+LN($D$11)+LN(1-$H$11)-LN(60/$E$11)-LN(MIN(D325,$F$11))))</f>
        <v>-34.385350749079478</v>
      </c>
      <c r="F325" s="1">
        <f t="shared" si="29"/>
        <v>-36.387383558278536</v>
      </c>
      <c r="G325" s="1">
        <f t="shared" si="27"/>
        <v>1.5745632458921133E-16</v>
      </c>
      <c r="H325" s="1">
        <f t="shared" si="24"/>
        <v>1.5455484935471186E-17</v>
      </c>
      <c r="I325">
        <f>IF($F$11&lt;=D325, IF(D325&lt;=$A$15,D325-$F$11,$C$11),0)</f>
        <v>60</v>
      </c>
      <c r="J325">
        <f t="shared" si="25"/>
        <v>238</v>
      </c>
      <c r="K325" s="5">
        <f>IF(D325&lt;$F$11,H325,0)</f>
        <v>0</v>
      </c>
      <c r="L325">
        <f>IF(D325&lt;$A$15,$D$11,$D$11*(1-$H$11))</f>
        <v>85</v>
      </c>
      <c r="M325">
        <f t="shared" si="26"/>
        <v>1</v>
      </c>
      <c r="N325">
        <f>IF(SUM(I325:J325)&lt;=($G$11/60*$F$11/($E$11/60)),1,0)</f>
        <v>0</v>
      </c>
    </row>
    <row r="326" spans="4:14" x14ac:dyDescent="0.2">
      <c r="D326">
        <f t="shared" si="28"/>
        <v>303</v>
      </c>
      <c r="E326" s="1">
        <f>IF($H$11=1,IF(D326&lt;=$A$15, E325+LN($D$11)-LN(60/$E$11)-LN(MIN(D326,$F$11)), E325-LN(60/$E$11)-LN(MIN(D326,$F$11))), IF(D326&lt;=$A$15, E325+LN($D$11)-LN(60/$E$11)-LN(MIN(D326,$F$11)), E325+LN($D$11)+LN(1-$H$11)-LN(60/$E$11)-LN(MIN(D326,$F$11))))</f>
        <v>-34.507047684057</v>
      </c>
      <c r="F326" s="1">
        <f t="shared" si="29"/>
        <v>-36.509080493256057</v>
      </c>
      <c r="G326" s="1">
        <f t="shared" si="27"/>
        <v>1.3941445406336399E-16</v>
      </c>
      <c r="H326" s="1">
        <f t="shared" si="24"/>
        <v>1.3684543953281759E-17</v>
      </c>
      <c r="I326">
        <f>IF($F$11&lt;=D326, IF(D326&lt;=$A$15,D326-$F$11,$C$11),0)</f>
        <v>60</v>
      </c>
      <c r="J326">
        <f t="shared" si="25"/>
        <v>239</v>
      </c>
      <c r="K326" s="5">
        <f>IF(D326&lt;$F$11,H326,0)</f>
        <v>0</v>
      </c>
      <c r="L326">
        <f>IF(D326&lt;$A$15,$D$11,$D$11*(1-$H$11))</f>
        <v>85</v>
      </c>
      <c r="M326">
        <f t="shared" si="26"/>
        <v>1</v>
      </c>
      <c r="N326">
        <f>IF(SUM(I326:J326)&lt;=($G$11/60*$F$11/($E$11/60)),1,0)</f>
        <v>0</v>
      </c>
    </row>
    <row r="327" spans="4:14" x14ac:dyDescent="0.2">
      <c r="D327">
        <f t="shared" si="28"/>
        <v>304</v>
      </c>
      <c r="E327" s="1">
        <f>IF($H$11=1,IF(D327&lt;=$A$15, E326+LN($D$11)-LN(60/$E$11)-LN(MIN(D327,$F$11)), E326-LN(60/$E$11)-LN(MIN(D327,$F$11))), IF(D327&lt;=$A$15, E326+LN($D$11)-LN(60/$E$11)-LN(MIN(D327,$F$11)), E326+LN($D$11)+LN(1-$H$11)-LN(60/$E$11)-LN(MIN(D327,$F$11))))</f>
        <v>-34.628744619034521</v>
      </c>
      <c r="F327" s="1">
        <f t="shared" si="29"/>
        <v>-36.630777428233579</v>
      </c>
      <c r="G327" s="1">
        <f t="shared" si="27"/>
        <v>1.2343988120193669E-16</v>
      </c>
      <c r="H327" s="1">
        <f t="shared" si="24"/>
        <v>1.2116523291968206E-17</v>
      </c>
      <c r="I327">
        <f>IF($F$11&lt;=D327, IF(D327&lt;=$A$15,D327-$F$11,$C$11),0)</f>
        <v>60</v>
      </c>
      <c r="J327">
        <f t="shared" si="25"/>
        <v>240</v>
      </c>
      <c r="K327" s="5">
        <f>IF(D327&lt;$F$11,H327,0)</f>
        <v>0</v>
      </c>
      <c r="L327">
        <f>IF(D327&lt;$A$15,$D$11,$D$11*(1-$H$11))</f>
        <v>85</v>
      </c>
      <c r="M327">
        <f t="shared" si="26"/>
        <v>1</v>
      </c>
      <c r="N327">
        <f>IF(SUM(I327:J327)&lt;=($G$11/60*$F$11/($E$11/60)),1,0)</f>
        <v>0</v>
      </c>
    </row>
    <row r="328" spans="4:14" x14ac:dyDescent="0.2">
      <c r="D328">
        <f t="shared" si="28"/>
        <v>305</v>
      </c>
      <c r="E328" s="1">
        <f>IF($H$11=1,IF(D328&lt;=$A$15, E327+LN($D$11)-LN(60/$E$11)-LN(MIN(D328,$F$11)), E327-LN(60/$E$11)-LN(MIN(D328,$F$11))), IF(D328&lt;=$A$15, E327+LN($D$11)-LN(60/$E$11)-LN(MIN(D328,$F$11)), E327+LN($D$11)+LN(1-$H$11)-LN(60/$E$11)-LN(MIN(D328,$F$11))))</f>
        <v>-34.750441554012042</v>
      </c>
      <c r="F328" s="1">
        <f t="shared" si="29"/>
        <v>-36.7524743632111</v>
      </c>
      <c r="G328" s="1">
        <f t="shared" si="27"/>
        <v>1.0929572814754796E-16</v>
      </c>
      <c r="H328" s="1">
        <f t="shared" si="24"/>
        <v>1.0728171664763501E-17</v>
      </c>
      <c r="I328">
        <f>IF($F$11&lt;=D328, IF(D328&lt;=$A$15,D328-$F$11,$C$11),0)</f>
        <v>60</v>
      </c>
      <c r="J328">
        <f t="shared" si="25"/>
        <v>241</v>
      </c>
      <c r="K328" s="5">
        <f>IF(D328&lt;$F$11,H328,0)</f>
        <v>0</v>
      </c>
      <c r="L328">
        <f>IF(D328&lt;$A$15,$D$11,$D$11*(1-$H$11))</f>
        <v>85</v>
      </c>
      <c r="M328">
        <f t="shared" si="26"/>
        <v>1</v>
      </c>
      <c r="N328">
        <f>IF(SUM(I328:J328)&lt;=($G$11/60*$F$11/($E$11/60)),1,0)</f>
        <v>0</v>
      </c>
    </row>
    <row r="329" spans="4:14" x14ac:dyDescent="0.2">
      <c r="D329">
        <f t="shared" si="28"/>
        <v>306</v>
      </c>
      <c r="E329" s="1">
        <f>IF($H$11=1,IF(D329&lt;=$A$15, E328+LN($D$11)-LN(60/$E$11)-LN(MIN(D329,$F$11)), E328-LN(60/$E$11)-LN(MIN(D329,$F$11))), IF(D329&lt;=$A$15, E328+LN($D$11)-LN(60/$E$11)-LN(MIN(D329,$F$11)), E328+LN($D$11)+LN(1-$H$11)-LN(60/$E$11)-LN(MIN(D329,$F$11))))</f>
        <v>-34.872138488989563</v>
      </c>
      <c r="F329" s="1">
        <f t="shared" si="29"/>
        <v>-36.874171298188621</v>
      </c>
      <c r="G329" s="1">
        <f t="shared" si="27"/>
        <v>9.6772259297307954E-17</v>
      </c>
      <c r="H329" s="1">
        <f t="shared" si="24"/>
        <v>9.4989019948426694E-18</v>
      </c>
      <c r="I329">
        <f>IF($F$11&lt;=D329, IF(D329&lt;=$A$15,D329-$F$11,$C$11),0)</f>
        <v>60</v>
      </c>
      <c r="J329">
        <f t="shared" si="25"/>
        <v>242</v>
      </c>
      <c r="K329" s="5">
        <f>IF(D329&lt;$F$11,H329,0)</f>
        <v>0</v>
      </c>
      <c r="L329">
        <f>IF(D329&lt;$A$15,$D$11,$D$11*(1-$H$11))</f>
        <v>85</v>
      </c>
      <c r="M329">
        <f t="shared" si="26"/>
        <v>1</v>
      </c>
      <c r="N329">
        <f>IF(SUM(I329:J329)&lt;=($G$11/60*$F$11/($E$11/60)),1,0)</f>
        <v>0</v>
      </c>
    </row>
    <row r="330" spans="4:14" x14ac:dyDescent="0.2">
      <c r="D330">
        <f t="shared" si="28"/>
        <v>307</v>
      </c>
      <c r="E330" s="1">
        <f>IF($H$11=1,IF(D330&lt;=$A$15, E329+LN($D$11)-LN(60/$E$11)-LN(MIN(D330,$F$11)), E329-LN(60/$E$11)-LN(MIN(D330,$F$11))), IF(D330&lt;=$A$15, E329+LN($D$11)-LN(60/$E$11)-LN(MIN(D330,$F$11)), E329+LN($D$11)+LN(1-$H$11)-LN(60/$E$11)-LN(MIN(D330,$F$11))))</f>
        <v>-34.993835423967084</v>
      </c>
      <c r="F330" s="1">
        <f t="shared" si="29"/>
        <v>-36.995868233166142</v>
      </c>
      <c r="G330" s="1">
        <f t="shared" si="27"/>
        <v>8.5683771252824633E-17</v>
      </c>
      <c r="H330" s="1">
        <f t="shared" si="24"/>
        <v>8.4104861412669359E-18</v>
      </c>
      <c r="I330">
        <f>IF($F$11&lt;=D330, IF(D330&lt;=$A$15,D330-$F$11,$C$11),0)</f>
        <v>60</v>
      </c>
      <c r="J330">
        <f t="shared" si="25"/>
        <v>243</v>
      </c>
      <c r="K330" s="5">
        <f>IF(D330&lt;$F$11,H330,0)</f>
        <v>0</v>
      </c>
      <c r="L330">
        <f>IF(D330&lt;$A$15,$D$11,$D$11*(1-$H$11))</f>
        <v>85</v>
      </c>
      <c r="M330">
        <f t="shared" si="26"/>
        <v>1</v>
      </c>
      <c r="N330">
        <f>IF(SUM(I330:J330)&lt;=($G$11/60*$F$11/($E$11/60)),1,0)</f>
        <v>0</v>
      </c>
    </row>
    <row r="331" spans="4:14" x14ac:dyDescent="0.2">
      <c r="D331">
        <f t="shared" si="28"/>
        <v>308</v>
      </c>
      <c r="E331" s="1">
        <f>IF($H$11=1,IF(D331&lt;=$A$15, E330+LN($D$11)-LN(60/$E$11)-LN(MIN(D331,$F$11)), E330-LN(60/$E$11)-LN(MIN(D331,$F$11))), IF(D331&lt;=$A$15, E330+LN($D$11)-LN(60/$E$11)-LN(MIN(D331,$F$11)), E330+LN($D$11)+LN(1-$H$11)-LN(60/$E$11)-LN(MIN(D331,$F$11))))</f>
        <v>-35.115532358944606</v>
      </c>
      <c r="F331" s="1">
        <f t="shared" si="29"/>
        <v>-37.117565168143663</v>
      </c>
      <c r="G331" s="1">
        <f t="shared" si="27"/>
        <v>7.5865839130105032E-17</v>
      </c>
      <c r="H331" s="1">
        <f t="shared" si="24"/>
        <v>7.4467846042467547E-18</v>
      </c>
      <c r="I331">
        <f>IF($F$11&lt;=D331, IF(D331&lt;=$A$15,D331-$F$11,$C$11),0)</f>
        <v>60</v>
      </c>
      <c r="J331">
        <f t="shared" si="25"/>
        <v>244</v>
      </c>
      <c r="K331" s="5">
        <f>IF(D331&lt;$F$11,H331,0)</f>
        <v>0</v>
      </c>
      <c r="L331">
        <f>IF(D331&lt;$A$15,$D$11,$D$11*(1-$H$11))</f>
        <v>85</v>
      </c>
      <c r="M331">
        <f t="shared" si="26"/>
        <v>1</v>
      </c>
      <c r="N331">
        <f>IF(SUM(I331:J331)&lt;=($G$11/60*$F$11/($E$11/60)),1,0)</f>
        <v>0</v>
      </c>
    </row>
    <row r="332" spans="4:14" x14ac:dyDescent="0.2">
      <c r="D332">
        <f t="shared" si="28"/>
        <v>309</v>
      </c>
      <c r="E332" s="1">
        <f>IF($H$11=1,IF(D332&lt;=$A$15, E331+LN($D$11)-LN(60/$E$11)-LN(MIN(D332,$F$11)), E331-LN(60/$E$11)-LN(MIN(D332,$F$11))), IF(D332&lt;=$A$15, E331+LN($D$11)-LN(60/$E$11)-LN(MIN(D332,$F$11)), E331+LN($D$11)+LN(1-$H$11)-LN(60/$E$11)-LN(MIN(D332,$F$11))))</f>
        <v>-35.237229293922127</v>
      </c>
      <c r="F332" s="1">
        <f t="shared" si="29"/>
        <v>-37.239262103121185</v>
      </c>
      <c r="G332" s="1">
        <f t="shared" si="27"/>
        <v>6.7172878396447064E-17</v>
      </c>
      <c r="H332" s="1">
        <f t="shared" si="24"/>
        <v>6.5935072016768049E-18</v>
      </c>
      <c r="I332">
        <f>IF($F$11&lt;=D332, IF(D332&lt;=$A$15,D332-$F$11,$C$11),0)</f>
        <v>60</v>
      </c>
      <c r="J332">
        <f t="shared" si="25"/>
        <v>245</v>
      </c>
      <c r="K332" s="5">
        <f>IF(D332&lt;$F$11,H332,0)</f>
        <v>0</v>
      </c>
      <c r="L332">
        <f>IF(D332&lt;$A$15,$D$11,$D$11*(1-$H$11))</f>
        <v>85</v>
      </c>
      <c r="M332">
        <f t="shared" si="26"/>
        <v>1</v>
      </c>
      <c r="N332">
        <f>IF(SUM(I332:J332)&lt;=($G$11/60*$F$11/($E$11/60)),1,0)</f>
        <v>0</v>
      </c>
    </row>
    <row r="333" spans="4:14" x14ac:dyDescent="0.2">
      <c r="D333">
        <f t="shared" si="28"/>
        <v>310</v>
      </c>
      <c r="E333" s="1">
        <f>IF($H$11=1,IF(D333&lt;=$A$15, E332+LN($D$11)-LN(60/$E$11)-LN(MIN(D333,$F$11)), E332-LN(60/$E$11)-LN(MIN(D333,$F$11))), IF(D333&lt;=$A$15, E332+LN($D$11)-LN(60/$E$11)-LN(MIN(D333,$F$11)), E332+LN($D$11)+LN(1-$H$11)-LN(60/$E$11)-LN(MIN(D333,$F$11))))</f>
        <v>-35.358926228899648</v>
      </c>
      <c r="F333" s="1">
        <f t="shared" si="29"/>
        <v>-37.360959038098706</v>
      </c>
      <c r="G333" s="1">
        <f t="shared" si="27"/>
        <v>5.9475986080187425E-17</v>
      </c>
      <c r="H333" s="1">
        <f t="shared" si="24"/>
        <v>5.8380011681513299E-18</v>
      </c>
      <c r="I333">
        <f>IF($F$11&lt;=D333, IF(D333&lt;=$A$15,D333-$F$11,$C$11),0)</f>
        <v>60</v>
      </c>
      <c r="J333">
        <f t="shared" si="25"/>
        <v>246</v>
      </c>
      <c r="K333" s="5">
        <f>IF(D333&lt;$F$11,H333,0)</f>
        <v>0</v>
      </c>
      <c r="L333">
        <f>IF(D333&lt;$A$15,$D$11,$D$11*(1-$H$11))</f>
        <v>85</v>
      </c>
      <c r="M333">
        <f t="shared" si="26"/>
        <v>1</v>
      </c>
      <c r="N333">
        <f>IF(SUM(I333:J333)&lt;=($G$11/60*$F$11/($E$11/60)),1,0)</f>
        <v>0</v>
      </c>
    </row>
    <row r="334" spans="4:14" x14ac:dyDescent="0.2">
      <c r="D334">
        <f t="shared" si="28"/>
        <v>311</v>
      </c>
      <c r="E334" s="1">
        <f>IF($H$11=1,IF(D334&lt;=$A$15, E333+LN($D$11)-LN(60/$E$11)-LN(MIN(D334,$F$11)), E333-LN(60/$E$11)-LN(MIN(D334,$F$11))), IF(D334&lt;=$A$15, E333+LN($D$11)-LN(60/$E$11)-LN(MIN(D334,$F$11)), E333+LN($D$11)+LN(1-$H$11)-LN(60/$E$11)-LN(MIN(D334,$F$11))))</f>
        <v>-35.480623163877169</v>
      </c>
      <c r="F334" s="1">
        <f t="shared" si="29"/>
        <v>-37.482655973076227</v>
      </c>
      <c r="G334" s="1">
        <f t="shared" si="27"/>
        <v>5.2661029341832536E-17</v>
      </c>
      <c r="H334" s="1">
        <f t="shared" si="24"/>
        <v>5.1690635343006488E-18</v>
      </c>
      <c r="I334">
        <f>IF($F$11&lt;=D334, IF(D334&lt;=$A$15,D334-$F$11,$C$11),0)</f>
        <v>60</v>
      </c>
      <c r="J334">
        <f t="shared" si="25"/>
        <v>247</v>
      </c>
      <c r="K334" s="5">
        <f>IF(D334&lt;$F$11,H334,0)</f>
        <v>0</v>
      </c>
      <c r="L334">
        <f>IF(D334&lt;$A$15,$D$11,$D$11*(1-$H$11))</f>
        <v>85</v>
      </c>
      <c r="M334">
        <f t="shared" si="26"/>
        <v>1</v>
      </c>
      <c r="N334">
        <f>IF(SUM(I334:J334)&lt;=($G$11/60*$F$11/($E$11/60)),1,0)</f>
        <v>0</v>
      </c>
    </row>
    <row r="335" spans="4:14" x14ac:dyDescent="0.2">
      <c r="D335">
        <f t="shared" si="28"/>
        <v>312</v>
      </c>
      <c r="E335" s="1">
        <f>IF($H$11=1,IF(D335&lt;=$A$15, E334+LN($D$11)-LN(60/$E$11)-LN(MIN(D335,$F$11)), E334-LN(60/$E$11)-LN(MIN(D335,$F$11))), IF(D335&lt;=$A$15, E334+LN($D$11)-LN(60/$E$11)-LN(MIN(D335,$F$11)), E334+LN($D$11)+LN(1-$H$11)-LN(60/$E$11)-LN(MIN(D335,$F$11))))</f>
        <v>-35.60232009885469</v>
      </c>
      <c r="F335" s="1">
        <f t="shared" si="29"/>
        <v>-37.604352908053748</v>
      </c>
      <c r="G335" s="1">
        <f t="shared" si="27"/>
        <v>4.6626953063080828E-17</v>
      </c>
      <c r="H335" s="1">
        <f t="shared" si="24"/>
        <v>4.5767750043286932E-18</v>
      </c>
      <c r="I335">
        <f>IF($F$11&lt;=D335, IF(D335&lt;=$A$15,D335-$F$11,$C$11),0)</f>
        <v>60</v>
      </c>
      <c r="J335">
        <f t="shared" si="25"/>
        <v>248</v>
      </c>
      <c r="K335" s="5">
        <f>IF(D335&lt;$F$11,H335,0)</f>
        <v>0</v>
      </c>
      <c r="L335">
        <f>IF(D335&lt;$A$15,$D$11,$D$11*(1-$H$11))</f>
        <v>85</v>
      </c>
      <c r="M335">
        <f t="shared" si="26"/>
        <v>1</v>
      </c>
      <c r="N335">
        <f>IF(SUM(I335:J335)&lt;=($G$11/60*$F$11/($E$11/60)),1,0)</f>
        <v>0</v>
      </c>
    </row>
    <row r="336" spans="4:14" x14ac:dyDescent="0.2">
      <c r="D336">
        <f t="shared" si="28"/>
        <v>313</v>
      </c>
      <c r="E336" s="1">
        <f>IF($H$11=1,IF(D336&lt;=$A$15, E335+LN($D$11)-LN(60/$E$11)-LN(MIN(D336,$F$11)), E335-LN(60/$E$11)-LN(MIN(D336,$F$11))), IF(D336&lt;=$A$15, E335+LN($D$11)-LN(60/$E$11)-LN(MIN(D336,$F$11)), E335+LN($D$11)+LN(1-$H$11)-LN(60/$E$11)-LN(MIN(D336,$F$11))))</f>
        <v>-35.724017033832212</v>
      </c>
      <c r="F336" s="1">
        <f t="shared" si="29"/>
        <v>-37.726049843031269</v>
      </c>
      <c r="G336" s="1">
        <f t="shared" si="27"/>
        <v>4.1284281357936092E-17</v>
      </c>
      <c r="H336" s="1">
        <f t="shared" si="24"/>
        <v>4.0523528684160249E-18</v>
      </c>
      <c r="I336">
        <f>IF($F$11&lt;=D336, IF(D336&lt;=$A$15,D336-$F$11,$C$11),0)</f>
        <v>60</v>
      </c>
      <c r="J336">
        <f t="shared" si="25"/>
        <v>249</v>
      </c>
      <c r="K336" s="5">
        <f>IF(D336&lt;$F$11,H336,0)</f>
        <v>0</v>
      </c>
      <c r="L336">
        <f>IF(D336&lt;$A$15,$D$11,$D$11*(1-$H$11))</f>
        <v>85</v>
      </c>
      <c r="M336">
        <f t="shared" si="26"/>
        <v>1</v>
      </c>
      <c r="N336">
        <f>IF(SUM(I336:J336)&lt;=($G$11/60*$F$11/($E$11/60)),1,0)</f>
        <v>0</v>
      </c>
    </row>
    <row r="337" spans="4:14" x14ac:dyDescent="0.2">
      <c r="D337">
        <f t="shared" si="28"/>
        <v>314</v>
      </c>
      <c r="E337" s="1">
        <f>IF($H$11=1,IF(D337&lt;=$A$15, E336+LN($D$11)-LN(60/$E$11)-LN(MIN(D337,$F$11)), E336-LN(60/$E$11)-LN(MIN(D337,$F$11))), IF(D337&lt;=$A$15, E336+LN($D$11)-LN(60/$E$11)-LN(MIN(D337,$F$11)), E336+LN($D$11)+LN(1-$H$11)-LN(60/$E$11)-LN(MIN(D337,$F$11))))</f>
        <v>-35.845713968809733</v>
      </c>
      <c r="F337" s="1">
        <f t="shared" si="29"/>
        <v>-37.847746778008791</v>
      </c>
      <c r="G337" s="1">
        <f t="shared" si="27"/>
        <v>3.6553790785672526E-17</v>
      </c>
      <c r="H337" s="1">
        <f t="shared" si="24"/>
        <v>3.5880207689100166E-18</v>
      </c>
      <c r="I337">
        <f>IF($F$11&lt;=D337, IF(D337&lt;=$A$15,D337-$F$11,$C$11),0)</f>
        <v>60</v>
      </c>
      <c r="J337">
        <f t="shared" si="25"/>
        <v>250</v>
      </c>
      <c r="K337" s="5">
        <f>IF(D337&lt;$F$11,H337,0)</f>
        <v>0</v>
      </c>
      <c r="L337">
        <f>IF(D337&lt;$A$15,$D$11,$D$11*(1-$H$11))</f>
        <v>85</v>
      </c>
      <c r="M337">
        <f t="shared" si="26"/>
        <v>1</v>
      </c>
      <c r="N337">
        <f>IF(SUM(I337:J337)&lt;=($G$11/60*$F$11/($E$11/60)),1,0)</f>
        <v>0</v>
      </c>
    </row>
    <row r="338" spans="4:14" x14ac:dyDescent="0.2">
      <c r="D338">
        <f t="shared" si="28"/>
        <v>315</v>
      </c>
      <c r="E338" s="1">
        <f>IF($H$11=1,IF(D338&lt;=$A$15, E337+LN($D$11)-LN(60/$E$11)-LN(MIN(D338,$F$11)), E337-LN(60/$E$11)-LN(MIN(D338,$F$11))), IF(D338&lt;=$A$15, E337+LN($D$11)-LN(60/$E$11)-LN(MIN(D338,$F$11)), E337+LN($D$11)+LN(1-$H$11)-LN(60/$E$11)-LN(MIN(D338,$F$11))))</f>
        <v>-35.967410903787254</v>
      </c>
      <c r="F338" s="1">
        <f t="shared" si="29"/>
        <v>-37.969443712986312</v>
      </c>
      <c r="G338" s="1">
        <f t="shared" si="27"/>
        <v>3.2365335591480836E-17</v>
      </c>
      <c r="H338" s="1">
        <f t="shared" si="24"/>
        <v>3.1768933891390725E-18</v>
      </c>
      <c r="I338">
        <f>IF($F$11&lt;=D338, IF(D338&lt;=$A$15,D338-$F$11,$C$11),0)</f>
        <v>60</v>
      </c>
      <c r="J338">
        <f t="shared" si="25"/>
        <v>251</v>
      </c>
      <c r="K338" s="5">
        <f>IF(D338&lt;$F$11,H338,0)</f>
        <v>0</v>
      </c>
      <c r="L338">
        <f>IF(D338&lt;$A$15,$D$11,$D$11*(1-$H$11))</f>
        <v>85</v>
      </c>
      <c r="M338">
        <f t="shared" si="26"/>
        <v>1</v>
      </c>
      <c r="N338">
        <f>IF(SUM(I338:J338)&lt;=($G$11/60*$F$11/($E$11/60)),1,0)</f>
        <v>0</v>
      </c>
    </row>
    <row r="339" spans="4:14" x14ac:dyDescent="0.2">
      <c r="D339">
        <f t="shared" si="28"/>
        <v>316</v>
      </c>
      <c r="E339" s="1">
        <f>IF($H$11=1,IF(D339&lt;=$A$15, E338+LN($D$11)-LN(60/$E$11)-LN(MIN(D339,$F$11)), E338-LN(60/$E$11)-LN(MIN(D339,$F$11))), IF(D339&lt;=$A$15, E338+LN($D$11)-LN(60/$E$11)-LN(MIN(D339,$F$11)), E338+LN($D$11)+LN(1-$H$11)-LN(60/$E$11)-LN(MIN(D339,$F$11))))</f>
        <v>-36.089107838764775</v>
      </c>
      <c r="F339" s="1">
        <f t="shared" si="29"/>
        <v>-38.091140647963833</v>
      </c>
      <c r="G339" s="1">
        <f t="shared" si="27"/>
        <v>2.8656807554956952E-17</v>
      </c>
      <c r="H339" s="1">
        <f t="shared" si="24"/>
        <v>2.8128743549668833E-18</v>
      </c>
      <c r="I339">
        <f>IF($F$11&lt;=D339, IF(D339&lt;=$A$15,D339-$F$11,$C$11),0)</f>
        <v>60</v>
      </c>
      <c r="J339">
        <f t="shared" si="25"/>
        <v>252</v>
      </c>
      <c r="K339" s="5">
        <f>IF(D339&lt;$F$11,H339,0)</f>
        <v>0</v>
      </c>
      <c r="L339">
        <f>IF(D339&lt;$A$15,$D$11,$D$11*(1-$H$11))</f>
        <v>85</v>
      </c>
      <c r="M339">
        <f t="shared" si="26"/>
        <v>1</v>
      </c>
      <c r="N339">
        <f>IF(SUM(I339:J339)&lt;=($G$11/60*$F$11/($E$11/60)),1,0)</f>
        <v>0</v>
      </c>
    </row>
    <row r="340" spans="4:14" x14ac:dyDescent="0.2">
      <c r="D340">
        <f t="shared" si="28"/>
        <v>317</v>
      </c>
      <c r="E340" s="1">
        <f>IF($H$11=1,IF(D340&lt;=$A$15, E339+LN($D$11)-LN(60/$E$11)-LN(MIN(D340,$F$11)), E339-LN(60/$E$11)-LN(MIN(D340,$F$11))), IF(D340&lt;=$A$15, E339+LN($D$11)-LN(60/$E$11)-LN(MIN(D340,$F$11)), E339+LN($D$11)+LN(1-$H$11)-LN(60/$E$11)-LN(MIN(D340,$F$11))))</f>
        <v>-36.210804773742296</v>
      </c>
      <c r="F340" s="1">
        <f t="shared" si="29"/>
        <v>-38.212837582941354</v>
      </c>
      <c r="G340" s="1">
        <f t="shared" si="27"/>
        <v>2.5373215022618097E-17</v>
      </c>
      <c r="H340" s="1">
        <f t="shared" si="24"/>
        <v>2.4905658351269242E-18</v>
      </c>
      <c r="I340">
        <f>IF($F$11&lt;=D340, IF(D340&lt;=$A$15,D340-$F$11,$C$11),0)</f>
        <v>60</v>
      </c>
      <c r="J340">
        <f t="shared" si="25"/>
        <v>253</v>
      </c>
      <c r="K340" s="5">
        <f>IF(D340&lt;$F$11,H340,0)</f>
        <v>0</v>
      </c>
      <c r="L340">
        <f>IF(D340&lt;$A$15,$D$11,$D$11*(1-$H$11))</f>
        <v>85</v>
      </c>
      <c r="M340">
        <f t="shared" si="26"/>
        <v>1</v>
      </c>
      <c r="N340">
        <f>IF(SUM(I340:J340)&lt;=($G$11/60*$F$11/($E$11/60)),1,0)</f>
        <v>0</v>
      </c>
    </row>
    <row r="341" spans="4:14" x14ac:dyDescent="0.2">
      <c r="D341">
        <f t="shared" si="28"/>
        <v>318</v>
      </c>
      <c r="E341" s="1">
        <f>IF($H$11=1,IF(D341&lt;=$A$15, E340+LN($D$11)-LN(60/$E$11)-LN(MIN(D341,$F$11)), E340-LN(60/$E$11)-LN(MIN(D341,$F$11))), IF(D341&lt;=$A$15, E340+LN($D$11)-LN(60/$E$11)-LN(MIN(D341,$F$11)), E340+LN($D$11)+LN(1-$H$11)-LN(60/$E$11)-LN(MIN(D341,$F$11))))</f>
        <v>-36.332501708719818</v>
      </c>
      <c r="F341" s="1">
        <f t="shared" si="29"/>
        <v>-38.334534517918875</v>
      </c>
      <c r="G341" s="1">
        <f t="shared" si="27"/>
        <v>2.2465867467943074E-17</v>
      </c>
      <c r="H341" s="1">
        <f t="shared" si="24"/>
        <v>2.2051884998519609E-18</v>
      </c>
      <c r="I341">
        <f>IF($F$11&lt;=D341, IF(D341&lt;=$A$15,D341-$F$11,$C$11),0)</f>
        <v>60</v>
      </c>
      <c r="J341">
        <f t="shared" si="25"/>
        <v>254</v>
      </c>
      <c r="K341" s="5">
        <f>IF(D341&lt;$F$11,H341,0)</f>
        <v>0</v>
      </c>
      <c r="L341">
        <f>IF(D341&lt;$A$15,$D$11,$D$11*(1-$H$11))</f>
        <v>85</v>
      </c>
      <c r="M341">
        <f t="shared" si="26"/>
        <v>1</v>
      </c>
      <c r="N341">
        <f>IF(SUM(I341:J341)&lt;=($G$11/60*$F$11/($E$11/60)),1,0)</f>
        <v>0</v>
      </c>
    </row>
    <row r="342" spans="4:14" x14ac:dyDescent="0.2">
      <c r="D342">
        <f t="shared" si="28"/>
        <v>319</v>
      </c>
      <c r="E342" s="1">
        <f>IF($H$11=1,IF(D342&lt;=$A$15, E341+LN($D$11)-LN(60/$E$11)-LN(MIN(D342,$F$11)), E341-LN(60/$E$11)-LN(MIN(D342,$F$11))), IF(D342&lt;=$A$15, E341+LN($D$11)-LN(60/$E$11)-LN(MIN(D342,$F$11)), E341+LN($D$11)+LN(1-$H$11)-LN(60/$E$11)-LN(MIN(D342,$F$11))))</f>
        <v>-36.454198643697339</v>
      </c>
      <c r="F342" s="1">
        <f t="shared" si="29"/>
        <v>-38.456231452896397</v>
      </c>
      <c r="G342" s="1">
        <f t="shared" si="27"/>
        <v>1.9891653487241235E-17</v>
      </c>
      <c r="H342" s="1">
        <f t="shared" si="24"/>
        <v>1.9525106509105877E-18</v>
      </c>
      <c r="I342">
        <f>IF($F$11&lt;=D342, IF(D342&lt;=$A$15,D342-$F$11,$C$11),0)</f>
        <v>60</v>
      </c>
      <c r="J342">
        <f t="shared" si="25"/>
        <v>255</v>
      </c>
      <c r="K342" s="5">
        <f>IF(D342&lt;$F$11,H342,0)</f>
        <v>0</v>
      </c>
      <c r="L342">
        <f>IF(D342&lt;$A$15,$D$11,$D$11*(1-$H$11))</f>
        <v>85</v>
      </c>
      <c r="M342">
        <f t="shared" si="26"/>
        <v>1</v>
      </c>
      <c r="N342">
        <f>IF(SUM(I342:J342)&lt;=($G$11/60*$F$11/($E$11/60)),1,0)</f>
        <v>0</v>
      </c>
    </row>
    <row r="343" spans="4:14" x14ac:dyDescent="0.2">
      <c r="D343">
        <f t="shared" si="28"/>
        <v>320</v>
      </c>
      <c r="E343" s="1">
        <f>IF($H$11=1,IF(D343&lt;=$A$15, E342+LN($D$11)-LN(60/$E$11)-LN(MIN(D343,$F$11)), E342-LN(60/$E$11)-LN(MIN(D343,$F$11))), IF(D343&lt;=$A$15, E342+LN($D$11)-LN(60/$E$11)-LN(MIN(D343,$F$11)), E342+LN($D$11)+LN(1-$H$11)-LN(60/$E$11)-LN(MIN(D343,$F$11))))</f>
        <v>-36.57589557867486</v>
      </c>
      <c r="F343" s="1">
        <f t="shared" si="29"/>
        <v>-38.577928387873918</v>
      </c>
      <c r="G343" s="1">
        <f t="shared" si="27"/>
        <v>1.7612401525161485E-17</v>
      </c>
      <c r="H343" s="1">
        <f t="shared" ref="H343:H406" si="30">G343/$G$21</f>
        <v>1.7287854721604136E-18</v>
      </c>
      <c r="I343">
        <f>IF($F$11&lt;=D343, IF(D343&lt;=$A$15,D343-$F$11,$C$11),0)</f>
        <v>60</v>
      </c>
      <c r="J343">
        <f t="shared" ref="J343:J406" si="31">IF(D343&lt;=$A$15,0,D343-$A$15)</f>
        <v>256</v>
      </c>
      <c r="K343" s="5">
        <f>IF(D343&lt;$F$11,H343,0)</f>
        <v>0</v>
      </c>
      <c r="L343">
        <f>IF(D343&lt;$A$15,$D$11,$D$11*(1-$H$11))</f>
        <v>85</v>
      </c>
      <c r="M343">
        <f t="shared" ref="M343:M406" si="32">IF(D343&lt;$A$15,0,1)</f>
        <v>1</v>
      </c>
      <c r="N343">
        <f>IF(SUM(I343:J343)&lt;=($G$11/60*$F$11/($E$11/60)),1,0)</f>
        <v>0</v>
      </c>
    </row>
    <row r="344" spans="4:14" x14ac:dyDescent="0.2">
      <c r="D344">
        <f t="shared" si="28"/>
        <v>321</v>
      </c>
      <c r="E344" s="1">
        <f>IF($H$11=1,IF(D344&lt;=$A$15, E343+LN($D$11)-LN(60/$E$11)-LN(MIN(D344,$F$11)), E343-LN(60/$E$11)-LN(MIN(D344,$F$11))), IF(D344&lt;=$A$15, E343+LN($D$11)-LN(60/$E$11)-LN(MIN(D344,$F$11)), E343+LN($D$11)+LN(1-$H$11)-LN(60/$E$11)-LN(MIN(D344,$F$11))))</f>
        <v>-36.697592513652381</v>
      </c>
      <c r="F344" s="1">
        <f t="shared" si="29"/>
        <v>-38.699625322851439</v>
      </c>
      <c r="G344" s="1">
        <f t="shared" ref="G344:G407" si="33">EXP(F344)</f>
        <v>1.5594313850403376E-17</v>
      </c>
      <c r="H344" s="1">
        <f t="shared" si="30"/>
        <v>1.5306954701420307E-18</v>
      </c>
      <c r="I344">
        <f>IF($F$11&lt;=D344, IF(D344&lt;=$A$15,D344-$F$11,$C$11),0)</f>
        <v>60</v>
      </c>
      <c r="J344">
        <f t="shared" si="31"/>
        <v>257</v>
      </c>
      <c r="K344" s="5">
        <f>IF(D344&lt;$F$11,H344,0)</f>
        <v>0</v>
      </c>
      <c r="L344">
        <f>IF(D344&lt;$A$15,$D$11,$D$11*(1-$H$11))</f>
        <v>85</v>
      </c>
      <c r="M344">
        <f t="shared" si="32"/>
        <v>1</v>
      </c>
      <c r="N344">
        <f>IF(SUM(I344:J344)&lt;=($G$11/60*$F$11/($E$11/60)),1,0)</f>
        <v>0</v>
      </c>
    </row>
    <row r="345" spans="4:14" x14ac:dyDescent="0.2">
      <c r="D345">
        <f t="shared" ref="D345:D408" si="34">1+D344</f>
        <v>322</v>
      </c>
      <c r="E345" s="1">
        <f>IF($H$11=1,IF(D345&lt;=$A$15, E344+LN($D$11)-LN(60/$E$11)-LN(MIN(D345,$F$11)), E344-LN(60/$E$11)-LN(MIN(D345,$F$11))), IF(D345&lt;=$A$15, E344+LN($D$11)-LN(60/$E$11)-LN(MIN(D345,$F$11)), E344+LN($D$11)+LN(1-$H$11)-LN(60/$E$11)-LN(MIN(D345,$F$11))))</f>
        <v>-36.819289448629902</v>
      </c>
      <c r="F345" s="1">
        <f t="shared" ref="F345:F408" si="35">E345-$E$21</f>
        <v>-38.82132225782896</v>
      </c>
      <c r="G345" s="1">
        <f t="shared" si="33"/>
        <v>1.380746538837797E-17</v>
      </c>
      <c r="H345" s="1">
        <f t="shared" si="30"/>
        <v>1.3553032808549211E-18</v>
      </c>
      <c r="I345">
        <f>IF($F$11&lt;=D345, IF(D345&lt;=$A$15,D345-$F$11,$C$11),0)</f>
        <v>60</v>
      </c>
      <c r="J345">
        <f t="shared" si="31"/>
        <v>258</v>
      </c>
      <c r="K345" s="5">
        <f>IF(D345&lt;$F$11,H345,0)</f>
        <v>0</v>
      </c>
      <c r="L345">
        <f>IF(D345&lt;$A$15,$D$11,$D$11*(1-$H$11))</f>
        <v>85</v>
      </c>
      <c r="M345">
        <f t="shared" si="32"/>
        <v>1</v>
      </c>
      <c r="N345">
        <f>IF(SUM(I345:J345)&lt;=($G$11/60*$F$11/($E$11/60)),1,0)</f>
        <v>0</v>
      </c>
    </row>
    <row r="346" spans="4:14" x14ac:dyDescent="0.2">
      <c r="D346">
        <f t="shared" si="34"/>
        <v>323</v>
      </c>
      <c r="E346" s="1">
        <f>IF($H$11=1,IF(D346&lt;=$A$15, E345+LN($D$11)-LN(60/$E$11)-LN(MIN(D346,$F$11)), E345-LN(60/$E$11)-LN(MIN(D346,$F$11))), IF(D346&lt;=$A$15, E345+LN($D$11)-LN(60/$E$11)-LN(MIN(D346,$F$11)), E345+LN($D$11)+LN(1-$H$11)-LN(60/$E$11)-LN(MIN(D346,$F$11))))</f>
        <v>-36.940986383607424</v>
      </c>
      <c r="F346" s="1">
        <f t="shared" si="35"/>
        <v>-38.943019192806481</v>
      </c>
      <c r="G346" s="1">
        <f t="shared" si="33"/>
        <v>1.2225359979292977E-17</v>
      </c>
      <c r="H346" s="1">
        <f t="shared" si="30"/>
        <v>1.2000081132569598E-18</v>
      </c>
      <c r="I346">
        <f>IF($F$11&lt;=D346, IF(D346&lt;=$A$15,D346-$F$11,$C$11),0)</f>
        <v>60</v>
      </c>
      <c r="J346">
        <f t="shared" si="31"/>
        <v>259</v>
      </c>
      <c r="K346" s="5">
        <f>IF(D346&lt;$F$11,H346,0)</f>
        <v>0</v>
      </c>
      <c r="L346">
        <f>IF(D346&lt;$A$15,$D$11,$D$11*(1-$H$11))</f>
        <v>85</v>
      </c>
      <c r="M346">
        <f t="shared" si="32"/>
        <v>1</v>
      </c>
      <c r="N346">
        <f>IF(SUM(I346:J346)&lt;=($G$11/60*$F$11/($E$11/60)),1,0)</f>
        <v>0</v>
      </c>
    </row>
    <row r="347" spans="4:14" x14ac:dyDescent="0.2">
      <c r="D347">
        <f t="shared" si="34"/>
        <v>324</v>
      </c>
      <c r="E347" s="1">
        <f>IF($H$11=1,IF(D347&lt;=$A$15, E346+LN($D$11)-LN(60/$E$11)-LN(MIN(D347,$F$11)), E346-LN(60/$E$11)-LN(MIN(D347,$F$11))), IF(D347&lt;=$A$15, E346+LN($D$11)-LN(60/$E$11)-LN(MIN(D347,$F$11)), E346+LN($D$11)+LN(1-$H$11)-LN(60/$E$11)-LN(MIN(D347,$F$11))))</f>
        <v>-37.062683318584945</v>
      </c>
      <c r="F347" s="1">
        <f t="shared" si="35"/>
        <v>-39.064716127784003</v>
      </c>
      <c r="G347" s="1">
        <f t="shared" si="33"/>
        <v>1.0824537481665641E-17</v>
      </c>
      <c r="H347" s="1">
        <f t="shared" si="30"/>
        <v>1.0625071836129316E-18</v>
      </c>
      <c r="I347">
        <f>IF($F$11&lt;=D347, IF(D347&lt;=$A$15,D347-$F$11,$C$11),0)</f>
        <v>60</v>
      </c>
      <c r="J347">
        <f t="shared" si="31"/>
        <v>260</v>
      </c>
      <c r="K347" s="5">
        <f>IF(D347&lt;$F$11,H347,0)</f>
        <v>0</v>
      </c>
      <c r="L347">
        <f>IF(D347&lt;$A$15,$D$11,$D$11*(1-$H$11))</f>
        <v>85</v>
      </c>
      <c r="M347">
        <f t="shared" si="32"/>
        <v>1</v>
      </c>
      <c r="N347">
        <f>IF(SUM(I347:J347)&lt;=($G$11/60*$F$11/($E$11/60)),1,0)</f>
        <v>0</v>
      </c>
    </row>
    <row r="348" spans="4:14" x14ac:dyDescent="0.2">
      <c r="D348">
        <f t="shared" si="34"/>
        <v>325</v>
      </c>
      <c r="E348" s="1">
        <f>IF($H$11=1,IF(D348&lt;=$A$15, E347+LN($D$11)-LN(60/$E$11)-LN(MIN(D348,$F$11)), E347-LN(60/$E$11)-LN(MIN(D348,$F$11))), IF(D348&lt;=$A$15, E347+LN($D$11)-LN(60/$E$11)-LN(MIN(D348,$F$11)), E347+LN($D$11)+LN(1-$H$11)-LN(60/$E$11)-LN(MIN(D348,$F$11))))</f>
        <v>-37.184380253562466</v>
      </c>
      <c r="F348" s="1">
        <f t="shared" si="35"/>
        <v>-39.186413062761524</v>
      </c>
      <c r="G348" s="1">
        <f t="shared" si="33"/>
        <v>9.5842258952247732E-18</v>
      </c>
      <c r="H348" s="1">
        <f t="shared" si="30"/>
        <v>9.4076156882394853E-19</v>
      </c>
      <c r="I348">
        <f>IF($F$11&lt;=D348, IF(D348&lt;=$A$15,D348-$F$11,$C$11),0)</f>
        <v>60</v>
      </c>
      <c r="J348">
        <f t="shared" si="31"/>
        <v>261</v>
      </c>
      <c r="K348" s="5">
        <f>IF(D348&lt;$F$11,H348,0)</f>
        <v>0</v>
      </c>
      <c r="L348">
        <f>IF(D348&lt;$A$15,$D$11,$D$11*(1-$H$11))</f>
        <v>85</v>
      </c>
      <c r="M348">
        <f t="shared" si="32"/>
        <v>1</v>
      </c>
      <c r="N348">
        <f>IF(SUM(I348:J348)&lt;=($G$11/60*$F$11/($E$11/60)),1,0)</f>
        <v>0</v>
      </c>
    </row>
    <row r="349" spans="4:14" x14ac:dyDescent="0.2">
      <c r="D349">
        <f t="shared" si="34"/>
        <v>326</v>
      </c>
      <c r="E349" s="1">
        <f>IF($H$11=1,IF(D349&lt;=$A$15, E348+LN($D$11)-LN(60/$E$11)-LN(MIN(D349,$F$11)), E348-LN(60/$E$11)-LN(MIN(D349,$F$11))), IF(D349&lt;=$A$15, E348+LN($D$11)-LN(60/$E$11)-LN(MIN(D349,$F$11)), E348+LN($D$11)+LN(1-$H$11)-LN(60/$E$11)-LN(MIN(D349,$F$11))))</f>
        <v>-37.306077188539987</v>
      </c>
      <c r="F349" s="1">
        <f t="shared" si="35"/>
        <v>-39.308109997739045</v>
      </c>
      <c r="G349" s="1">
        <f t="shared" si="33"/>
        <v>8.486033344730256E-18</v>
      </c>
      <c r="H349" s="1">
        <f t="shared" si="30"/>
        <v>8.3296597239620323E-19</v>
      </c>
      <c r="I349">
        <f>IF($F$11&lt;=D349, IF(D349&lt;=$A$15,D349-$F$11,$C$11),0)</f>
        <v>60</v>
      </c>
      <c r="J349">
        <f t="shared" si="31"/>
        <v>262</v>
      </c>
      <c r="K349" s="5">
        <f>IF(D349&lt;$F$11,H349,0)</f>
        <v>0</v>
      </c>
      <c r="L349">
        <f>IF(D349&lt;$A$15,$D$11,$D$11*(1-$H$11))</f>
        <v>85</v>
      </c>
      <c r="M349">
        <f t="shared" si="32"/>
        <v>1</v>
      </c>
      <c r="N349">
        <f>IF(SUM(I349:J349)&lt;=($G$11/60*$F$11/($E$11/60)),1,0)</f>
        <v>0</v>
      </c>
    </row>
    <row r="350" spans="4:14" x14ac:dyDescent="0.2">
      <c r="D350">
        <f t="shared" si="34"/>
        <v>327</v>
      </c>
      <c r="E350" s="1">
        <f>IF($H$11=1,IF(D350&lt;=$A$15, E349+LN($D$11)-LN(60/$E$11)-LN(MIN(D350,$F$11)), E349-LN(60/$E$11)-LN(MIN(D350,$F$11))), IF(D350&lt;=$A$15, E349+LN($D$11)-LN(60/$E$11)-LN(MIN(D350,$F$11)), E349+LN($D$11)+LN(1-$H$11)-LN(60/$E$11)-LN(MIN(D350,$F$11))))</f>
        <v>-37.427774123517509</v>
      </c>
      <c r="F350" s="1">
        <f t="shared" si="35"/>
        <v>-39.429806932716566</v>
      </c>
      <c r="G350" s="1">
        <f t="shared" si="33"/>
        <v>7.513675357313236E-18</v>
      </c>
      <c r="H350" s="1">
        <f t="shared" si="30"/>
        <v>7.3752195472580391E-19</v>
      </c>
      <c r="I350">
        <f>IF($F$11&lt;=D350, IF(D350&lt;=$A$15,D350-$F$11,$C$11),0)</f>
        <v>60</v>
      </c>
      <c r="J350">
        <f t="shared" si="31"/>
        <v>263</v>
      </c>
      <c r="K350" s="5">
        <f>IF(D350&lt;$F$11,H350,0)</f>
        <v>0</v>
      </c>
      <c r="L350">
        <f>IF(D350&lt;$A$15,$D$11,$D$11*(1-$H$11))</f>
        <v>85</v>
      </c>
      <c r="M350">
        <f t="shared" si="32"/>
        <v>1</v>
      </c>
      <c r="N350">
        <f>IF(SUM(I350:J350)&lt;=($G$11/60*$F$11/($E$11/60)),1,0)</f>
        <v>0</v>
      </c>
    </row>
    <row r="351" spans="4:14" x14ac:dyDescent="0.2">
      <c r="D351">
        <f t="shared" si="34"/>
        <v>328</v>
      </c>
      <c r="E351" s="1">
        <f>IF($H$11=1,IF(D351&lt;=$A$15, E350+LN($D$11)-LN(60/$E$11)-LN(MIN(D351,$F$11)), E350-LN(60/$E$11)-LN(MIN(D351,$F$11))), IF(D351&lt;=$A$15, E350+LN($D$11)-LN(60/$E$11)-LN(MIN(D351,$F$11)), E350+LN($D$11)+LN(1-$H$11)-LN(60/$E$11)-LN(MIN(D351,$F$11))))</f>
        <v>-37.54947105849503</v>
      </c>
      <c r="F351" s="1">
        <f t="shared" si="35"/>
        <v>-39.551503867694088</v>
      </c>
      <c r="G351" s="1">
        <f t="shared" si="33"/>
        <v>6.6527333892877522E-18</v>
      </c>
      <c r="H351" s="1">
        <f t="shared" si="30"/>
        <v>6.5301423074680459E-19</v>
      </c>
      <c r="I351">
        <f>IF($F$11&lt;=D351, IF(D351&lt;=$A$15,D351-$F$11,$C$11),0)</f>
        <v>60</v>
      </c>
      <c r="J351">
        <f t="shared" si="31"/>
        <v>264</v>
      </c>
      <c r="K351" s="5">
        <f>IF(D351&lt;$F$11,H351,0)</f>
        <v>0</v>
      </c>
      <c r="L351">
        <f>IF(D351&lt;$A$15,$D$11,$D$11*(1-$H$11))</f>
        <v>85</v>
      </c>
      <c r="M351">
        <f t="shared" si="32"/>
        <v>1</v>
      </c>
      <c r="N351">
        <f>IF(SUM(I351:J351)&lt;=($G$11/60*$F$11/($E$11/60)),1,0)</f>
        <v>0</v>
      </c>
    </row>
    <row r="352" spans="4:14" x14ac:dyDescent="0.2">
      <c r="D352">
        <f t="shared" si="34"/>
        <v>329</v>
      </c>
      <c r="E352" s="1">
        <f>IF($H$11=1,IF(D352&lt;=$A$15, E351+LN($D$11)-LN(60/$E$11)-LN(MIN(D352,$F$11)), E351-LN(60/$E$11)-LN(MIN(D352,$F$11))), IF(D352&lt;=$A$15, E351+LN($D$11)-LN(60/$E$11)-LN(MIN(D352,$F$11)), E351+LN($D$11)+LN(1-$H$11)-LN(60/$E$11)-LN(MIN(D352,$F$11))))</f>
        <v>-37.671167993472551</v>
      </c>
      <c r="F352" s="1">
        <f t="shared" si="35"/>
        <v>-39.673200802671609</v>
      </c>
      <c r="G352" s="1">
        <f t="shared" si="33"/>
        <v>5.8904410217651884E-18</v>
      </c>
      <c r="H352" s="1">
        <f t="shared" si="30"/>
        <v>5.7818968347373238E-19</v>
      </c>
      <c r="I352">
        <f>IF($F$11&lt;=D352, IF(D352&lt;=$A$15,D352-$F$11,$C$11),0)</f>
        <v>60</v>
      </c>
      <c r="J352">
        <f t="shared" si="31"/>
        <v>265</v>
      </c>
      <c r="K352" s="5">
        <f>IF(D352&lt;$F$11,H352,0)</f>
        <v>0</v>
      </c>
      <c r="L352">
        <f>IF(D352&lt;$A$15,$D$11,$D$11*(1-$H$11))</f>
        <v>85</v>
      </c>
      <c r="M352">
        <f t="shared" si="32"/>
        <v>1</v>
      </c>
      <c r="N352">
        <f>IF(SUM(I352:J352)&lt;=($G$11/60*$F$11/($E$11/60)),1,0)</f>
        <v>0</v>
      </c>
    </row>
    <row r="353" spans="4:14" x14ac:dyDescent="0.2">
      <c r="D353">
        <f t="shared" si="34"/>
        <v>330</v>
      </c>
      <c r="E353" s="1">
        <f>IF($H$11=1,IF(D353&lt;=$A$15, E352+LN($D$11)-LN(60/$E$11)-LN(MIN(D353,$F$11)), E352-LN(60/$E$11)-LN(MIN(D353,$F$11))), IF(D353&lt;=$A$15, E352+LN($D$11)-LN(60/$E$11)-LN(MIN(D353,$F$11)), E352+LN($D$11)+LN(1-$H$11)-LN(60/$E$11)-LN(MIN(D353,$F$11))))</f>
        <v>-37.792864928450072</v>
      </c>
      <c r="F353" s="1">
        <f t="shared" si="35"/>
        <v>-39.79489773764913</v>
      </c>
      <c r="G353" s="1">
        <f t="shared" si="33"/>
        <v>5.2154946546879199E-18</v>
      </c>
      <c r="H353" s="1">
        <f t="shared" si="30"/>
        <v>5.1193878224236654E-19</v>
      </c>
      <c r="I353">
        <f>IF($F$11&lt;=D353, IF(D353&lt;=$A$15,D353-$F$11,$C$11),0)</f>
        <v>60</v>
      </c>
      <c r="J353">
        <f t="shared" si="31"/>
        <v>266</v>
      </c>
      <c r="K353" s="5">
        <f>IF(D353&lt;$F$11,H353,0)</f>
        <v>0</v>
      </c>
      <c r="L353">
        <f>IF(D353&lt;$A$15,$D$11,$D$11*(1-$H$11))</f>
        <v>85</v>
      </c>
      <c r="M353">
        <f t="shared" si="32"/>
        <v>1</v>
      </c>
      <c r="N353">
        <f>IF(SUM(I353:J353)&lt;=($G$11/60*$F$11/($E$11/60)),1,0)</f>
        <v>0</v>
      </c>
    </row>
    <row r="354" spans="4:14" x14ac:dyDescent="0.2">
      <c r="D354">
        <f t="shared" si="34"/>
        <v>331</v>
      </c>
      <c r="E354" s="1">
        <f>IF($H$11=1,IF(D354&lt;=$A$15, E353+LN($D$11)-LN(60/$E$11)-LN(MIN(D354,$F$11)), E353-LN(60/$E$11)-LN(MIN(D354,$F$11))), IF(D354&lt;=$A$15, E353+LN($D$11)-LN(60/$E$11)-LN(MIN(D354,$F$11)), E353+LN($D$11)+LN(1-$H$11)-LN(60/$E$11)-LN(MIN(D354,$F$11))))</f>
        <v>-37.914561863427593</v>
      </c>
      <c r="F354" s="1">
        <f t="shared" si="35"/>
        <v>-39.916594672626651</v>
      </c>
      <c r="G354" s="1">
        <f t="shared" si="33"/>
        <v>4.6178858921715895E-18</v>
      </c>
      <c r="H354" s="1">
        <f t="shared" si="30"/>
        <v>4.5327913011042806E-19</v>
      </c>
      <c r="I354">
        <f>IF($F$11&lt;=D354, IF(D354&lt;=$A$15,D354-$F$11,$C$11),0)</f>
        <v>60</v>
      </c>
      <c r="J354">
        <f t="shared" si="31"/>
        <v>267</v>
      </c>
      <c r="K354" s="5">
        <f>IF(D354&lt;$F$11,H354,0)</f>
        <v>0</v>
      </c>
      <c r="L354">
        <f>IF(D354&lt;$A$15,$D$11,$D$11*(1-$H$11))</f>
        <v>85</v>
      </c>
      <c r="M354">
        <f t="shared" si="32"/>
        <v>1</v>
      </c>
      <c r="N354">
        <f>IF(SUM(I354:J354)&lt;=($G$11/60*$F$11/($E$11/60)),1,0)</f>
        <v>0</v>
      </c>
    </row>
    <row r="355" spans="4:14" x14ac:dyDescent="0.2">
      <c r="D355">
        <f t="shared" si="34"/>
        <v>332</v>
      </c>
      <c r="E355" s="1">
        <f>IF($H$11=1,IF(D355&lt;=$A$15, E354+LN($D$11)-LN(60/$E$11)-LN(MIN(D355,$F$11)), E354-LN(60/$E$11)-LN(MIN(D355,$F$11))), IF(D355&lt;=$A$15, E354+LN($D$11)-LN(60/$E$11)-LN(MIN(D355,$F$11)), E354+LN($D$11)+LN(1-$H$11)-LN(60/$E$11)-LN(MIN(D355,$F$11))))</f>
        <v>-38.036258798405115</v>
      </c>
      <c r="F355" s="1">
        <f t="shared" si="35"/>
        <v>-40.038291607604172</v>
      </c>
      <c r="G355" s="1">
        <f t="shared" si="33"/>
        <v>4.0887531336935886E-18</v>
      </c>
      <c r="H355" s="1">
        <f t="shared" si="30"/>
        <v>4.0134089645194089E-19</v>
      </c>
      <c r="I355">
        <f>IF($F$11&lt;=D355, IF(D355&lt;=$A$15,D355-$F$11,$C$11),0)</f>
        <v>60</v>
      </c>
      <c r="J355">
        <f t="shared" si="31"/>
        <v>268</v>
      </c>
      <c r="K355" s="5">
        <f>IF(D355&lt;$F$11,H355,0)</f>
        <v>0</v>
      </c>
      <c r="L355">
        <f>IF(D355&lt;$A$15,$D$11,$D$11*(1-$H$11))</f>
        <v>85</v>
      </c>
      <c r="M355">
        <f t="shared" si="32"/>
        <v>1</v>
      </c>
      <c r="N355">
        <f>IF(SUM(I355:J355)&lt;=($G$11/60*$F$11/($E$11/60)),1,0)</f>
        <v>0</v>
      </c>
    </row>
    <row r="356" spans="4:14" x14ac:dyDescent="0.2">
      <c r="D356">
        <f t="shared" si="34"/>
        <v>333</v>
      </c>
      <c r="E356" s="1">
        <f>IF($H$11=1,IF(D356&lt;=$A$15, E355+LN($D$11)-LN(60/$E$11)-LN(MIN(D356,$F$11)), E355-LN(60/$E$11)-LN(MIN(D356,$F$11))), IF(D356&lt;=$A$15, E355+LN($D$11)-LN(60/$E$11)-LN(MIN(D356,$F$11)), E355+LN($D$11)+LN(1-$H$11)-LN(60/$E$11)-LN(MIN(D356,$F$11))))</f>
        <v>-38.157955733382636</v>
      </c>
      <c r="F356" s="1">
        <f t="shared" si="35"/>
        <v>-40.159988542581694</v>
      </c>
      <c r="G356" s="1">
        <f t="shared" si="33"/>
        <v>3.6202501704578599E-18</v>
      </c>
      <c r="H356" s="1">
        <f t="shared" si="30"/>
        <v>3.5535391873348883E-19</v>
      </c>
      <c r="I356">
        <f>IF($F$11&lt;=D356, IF(D356&lt;=$A$15,D356-$F$11,$C$11),0)</f>
        <v>60</v>
      </c>
      <c r="J356">
        <f t="shared" si="31"/>
        <v>269</v>
      </c>
      <c r="K356" s="5">
        <f>IF(D356&lt;$F$11,H356,0)</f>
        <v>0</v>
      </c>
      <c r="L356">
        <f>IF(D356&lt;$A$15,$D$11,$D$11*(1-$H$11))</f>
        <v>85</v>
      </c>
      <c r="M356">
        <f t="shared" si="32"/>
        <v>1</v>
      </c>
      <c r="N356">
        <f>IF(SUM(I356:J356)&lt;=($G$11/60*$F$11/($E$11/60)),1,0)</f>
        <v>0</v>
      </c>
    </row>
    <row r="357" spans="4:14" x14ac:dyDescent="0.2">
      <c r="D357">
        <f t="shared" si="34"/>
        <v>334</v>
      </c>
      <c r="E357" s="1">
        <f>IF($H$11=1,IF(D357&lt;=$A$15, E356+LN($D$11)-LN(60/$E$11)-LN(MIN(D357,$F$11)), E356-LN(60/$E$11)-LN(MIN(D357,$F$11))), IF(D357&lt;=$A$15, E356+LN($D$11)-LN(60/$E$11)-LN(MIN(D357,$F$11)), E356+LN($D$11)+LN(1-$H$11)-LN(60/$E$11)-LN(MIN(D357,$F$11))))</f>
        <v>-38.279652668360157</v>
      </c>
      <c r="F357" s="1">
        <f t="shared" si="35"/>
        <v>-40.281685477559215</v>
      </c>
      <c r="G357" s="1">
        <f t="shared" si="33"/>
        <v>3.2054298384262254E-18</v>
      </c>
      <c r="H357" s="1">
        <f t="shared" si="30"/>
        <v>3.1463628221194279E-19</v>
      </c>
      <c r="I357">
        <f>IF($F$11&lt;=D357, IF(D357&lt;=$A$15,D357-$F$11,$C$11),0)</f>
        <v>60</v>
      </c>
      <c r="J357">
        <f t="shared" si="31"/>
        <v>270</v>
      </c>
      <c r="K357" s="5">
        <f>IF(D357&lt;$F$11,H357,0)</f>
        <v>0</v>
      </c>
      <c r="L357">
        <f>IF(D357&lt;$A$15,$D$11,$D$11*(1-$H$11))</f>
        <v>85</v>
      </c>
      <c r="M357">
        <f t="shared" si="32"/>
        <v>1</v>
      </c>
      <c r="N357">
        <f>IF(SUM(I357:J357)&lt;=($G$11/60*$F$11/($E$11/60)),1,0)</f>
        <v>0</v>
      </c>
    </row>
    <row r="358" spans="4:14" x14ac:dyDescent="0.2">
      <c r="D358">
        <f t="shared" si="34"/>
        <v>335</v>
      </c>
      <c r="E358" s="1">
        <f>IF($H$11=1,IF(D358&lt;=$A$15, E357+LN($D$11)-LN(60/$E$11)-LN(MIN(D358,$F$11)), E357-LN(60/$E$11)-LN(MIN(D358,$F$11))), IF(D358&lt;=$A$15, E357+LN($D$11)-LN(60/$E$11)-LN(MIN(D358,$F$11)), E357+LN($D$11)+LN(1-$H$11)-LN(60/$E$11)-LN(MIN(D358,$F$11))))</f>
        <v>-38.401349603337678</v>
      </c>
      <c r="F358" s="1">
        <f t="shared" si="35"/>
        <v>-40.403382412536736</v>
      </c>
      <c r="G358" s="1">
        <f t="shared" si="33"/>
        <v>2.8381410027732166E-18</v>
      </c>
      <c r="H358" s="1">
        <f t="shared" si="30"/>
        <v>2.7858420820849063E-19</v>
      </c>
      <c r="I358">
        <f>IF($F$11&lt;=D358, IF(D358&lt;=$A$15,D358-$F$11,$C$11),0)</f>
        <v>60</v>
      </c>
      <c r="J358">
        <f t="shared" si="31"/>
        <v>271</v>
      </c>
      <c r="K358" s="5">
        <f>IF(D358&lt;$F$11,H358,0)</f>
        <v>0</v>
      </c>
      <c r="L358">
        <f>IF(D358&lt;$A$15,$D$11,$D$11*(1-$H$11))</f>
        <v>85</v>
      </c>
      <c r="M358">
        <f t="shared" si="32"/>
        <v>1</v>
      </c>
      <c r="N358">
        <f>IF(SUM(I358:J358)&lt;=($G$11/60*$F$11/($E$11/60)),1,0)</f>
        <v>0</v>
      </c>
    </row>
    <row r="359" spans="4:14" x14ac:dyDescent="0.2">
      <c r="D359">
        <f t="shared" si="34"/>
        <v>336</v>
      </c>
      <c r="E359" s="1">
        <f>IF($H$11=1,IF(D359&lt;=$A$15, E358+LN($D$11)-LN(60/$E$11)-LN(MIN(D359,$F$11)), E358-LN(60/$E$11)-LN(MIN(D359,$F$11))), IF(D359&lt;=$A$15, E358+LN($D$11)-LN(60/$E$11)-LN(MIN(D359,$F$11)), E358+LN($D$11)+LN(1-$H$11)-LN(60/$E$11)-LN(MIN(D359,$F$11))))</f>
        <v>-38.523046538315199</v>
      </c>
      <c r="F359" s="1">
        <f t="shared" si="35"/>
        <v>-40.525079347514257</v>
      </c>
      <c r="G359" s="1">
        <f t="shared" si="33"/>
        <v>2.5129373462054483E-18</v>
      </c>
      <c r="H359" s="1">
        <f t="shared" si="30"/>
        <v>2.4666310101793404E-19</v>
      </c>
      <c r="I359">
        <f>IF($F$11&lt;=D359, IF(D359&lt;=$A$15,D359-$F$11,$C$11),0)</f>
        <v>60</v>
      </c>
      <c r="J359">
        <f t="shared" si="31"/>
        <v>272</v>
      </c>
      <c r="K359" s="5">
        <f>IF(D359&lt;$F$11,H359,0)</f>
        <v>0</v>
      </c>
      <c r="L359">
        <f>IF(D359&lt;$A$15,$D$11,$D$11*(1-$H$11))</f>
        <v>85</v>
      </c>
      <c r="M359">
        <f t="shared" si="32"/>
        <v>1</v>
      </c>
      <c r="N359">
        <f>IF(SUM(I359:J359)&lt;=($G$11/60*$F$11/($E$11/60)),1,0)</f>
        <v>0</v>
      </c>
    </row>
    <row r="360" spans="4:14" x14ac:dyDescent="0.2">
      <c r="D360">
        <f t="shared" si="34"/>
        <v>337</v>
      </c>
      <c r="E360" s="1">
        <f>IF($H$11=1,IF(D360&lt;=$A$15, E359+LN($D$11)-LN(60/$E$11)-LN(MIN(D360,$F$11)), E359-LN(60/$E$11)-LN(MIN(D360,$F$11))), IF(D360&lt;=$A$15, E359+LN($D$11)-LN(60/$E$11)-LN(MIN(D360,$F$11)), E359+LN($D$11)+LN(1-$H$11)-LN(60/$E$11)-LN(MIN(D360,$F$11))))</f>
        <v>-38.644743473292721</v>
      </c>
      <c r="F360" s="1">
        <f t="shared" si="35"/>
        <v>-40.646776282491778</v>
      </c>
      <c r="G360" s="1">
        <f t="shared" si="33"/>
        <v>2.2249966086194042E-18</v>
      </c>
      <c r="H360" s="1">
        <f t="shared" si="30"/>
        <v>2.1839962069296214E-19</v>
      </c>
      <c r="I360">
        <f>IF($F$11&lt;=D360, IF(D360&lt;=$A$15,D360-$F$11,$C$11),0)</f>
        <v>60</v>
      </c>
      <c r="J360">
        <f t="shared" si="31"/>
        <v>273</v>
      </c>
      <c r="K360" s="5">
        <f>IF(D360&lt;$F$11,H360,0)</f>
        <v>0</v>
      </c>
      <c r="L360">
        <f>IF(D360&lt;$A$15,$D$11,$D$11*(1-$H$11))</f>
        <v>85</v>
      </c>
      <c r="M360">
        <f t="shared" si="32"/>
        <v>1</v>
      </c>
      <c r="N360">
        <f>IF(SUM(I360:J360)&lt;=($G$11/60*$F$11/($E$11/60)),1,0)</f>
        <v>0</v>
      </c>
    </row>
    <row r="361" spans="4:14" x14ac:dyDescent="0.2">
      <c r="D361">
        <f t="shared" si="34"/>
        <v>338</v>
      </c>
      <c r="E361" s="1">
        <f>IF($H$11=1,IF(D361&lt;=$A$15, E360+LN($D$11)-LN(60/$E$11)-LN(MIN(D361,$F$11)), E360-LN(60/$E$11)-LN(MIN(D361,$F$11))), IF(D361&lt;=$A$15, E360+LN($D$11)-LN(60/$E$11)-LN(MIN(D361,$F$11)), E360+LN($D$11)+LN(1-$H$11)-LN(60/$E$11)-LN(MIN(D361,$F$11))))</f>
        <v>-38.766440408270242</v>
      </c>
      <c r="F361" s="1">
        <f t="shared" si="35"/>
        <v>-40.7684732174693</v>
      </c>
      <c r="G361" s="1">
        <f t="shared" si="33"/>
        <v>1.9700490805484283E-18</v>
      </c>
      <c r="H361" s="1">
        <f t="shared" si="30"/>
        <v>1.9337466415522664E-19</v>
      </c>
      <c r="I361">
        <f>IF($F$11&lt;=D361, IF(D361&lt;=$A$15,D361-$F$11,$C$11),0)</f>
        <v>60</v>
      </c>
      <c r="J361">
        <f t="shared" si="31"/>
        <v>274</v>
      </c>
      <c r="K361" s="5">
        <f>IF(D361&lt;$F$11,H361,0)</f>
        <v>0</v>
      </c>
      <c r="L361">
        <f>IF(D361&lt;$A$15,$D$11,$D$11*(1-$H$11))</f>
        <v>85</v>
      </c>
      <c r="M361">
        <f t="shared" si="32"/>
        <v>1</v>
      </c>
      <c r="N361">
        <f>IF(SUM(I361:J361)&lt;=($G$11/60*$F$11/($E$11/60)),1,0)</f>
        <v>0</v>
      </c>
    </row>
    <row r="362" spans="4:14" x14ac:dyDescent="0.2">
      <c r="D362">
        <f t="shared" si="34"/>
        <v>339</v>
      </c>
      <c r="E362" s="1">
        <f>IF($H$11=1,IF(D362&lt;=$A$15, E361+LN($D$11)-LN(60/$E$11)-LN(MIN(D362,$F$11)), E361-LN(60/$E$11)-LN(MIN(D362,$F$11))), IF(D362&lt;=$A$15, E361+LN($D$11)-LN(60/$E$11)-LN(MIN(D362,$F$11)), E361+LN($D$11)+LN(1-$H$11)-LN(60/$E$11)-LN(MIN(D362,$F$11))))</f>
        <v>-38.888137343247763</v>
      </c>
      <c r="F362" s="1">
        <f t="shared" si="35"/>
        <v>-40.890170152446821</v>
      </c>
      <c r="G362" s="1">
        <f t="shared" si="33"/>
        <v>1.7443142900689182E-18</v>
      </c>
      <c r="H362" s="1">
        <f t="shared" si="30"/>
        <v>1.7121715055410663E-19</v>
      </c>
      <c r="I362">
        <f>IF($F$11&lt;=D362, IF(D362&lt;=$A$15,D362-$F$11,$C$11),0)</f>
        <v>60</v>
      </c>
      <c r="J362">
        <f t="shared" si="31"/>
        <v>275</v>
      </c>
      <c r="K362" s="5">
        <f>IF(D362&lt;$F$11,H362,0)</f>
        <v>0</v>
      </c>
      <c r="L362">
        <f>IF(D362&lt;$A$15,$D$11,$D$11*(1-$H$11))</f>
        <v>85</v>
      </c>
      <c r="M362">
        <f t="shared" si="32"/>
        <v>1</v>
      </c>
      <c r="N362">
        <f>IF(SUM(I362:J362)&lt;=($G$11/60*$F$11/($E$11/60)),1,0)</f>
        <v>0</v>
      </c>
    </row>
    <row r="363" spans="4:14" x14ac:dyDescent="0.2">
      <c r="D363">
        <f t="shared" si="34"/>
        <v>340</v>
      </c>
      <c r="E363" s="1">
        <f>IF($H$11=1,IF(D363&lt;=$A$15, E362+LN($D$11)-LN(60/$E$11)-LN(MIN(D363,$F$11)), E362-LN(60/$E$11)-LN(MIN(D363,$F$11))), IF(D363&lt;=$A$15, E362+LN($D$11)-LN(60/$E$11)-LN(MIN(D363,$F$11)), E362+LN($D$11)+LN(1-$H$11)-LN(60/$E$11)-LN(MIN(D363,$F$11))))</f>
        <v>-39.009834278225284</v>
      </c>
      <c r="F363" s="1">
        <f t="shared" si="35"/>
        <v>-41.011867087424342</v>
      </c>
      <c r="G363" s="1">
        <f t="shared" si="33"/>
        <v>1.5444449443318526E-18</v>
      </c>
      <c r="H363" s="1">
        <f t="shared" si="30"/>
        <v>1.5159851871978172E-19</v>
      </c>
      <c r="I363">
        <f>IF($F$11&lt;=D363, IF(D363&lt;=$A$15,D363-$F$11,$C$11),0)</f>
        <v>60</v>
      </c>
      <c r="J363">
        <f t="shared" si="31"/>
        <v>276</v>
      </c>
      <c r="K363" s="5">
        <f>IF(D363&lt;$F$11,H363,0)</f>
        <v>0</v>
      </c>
      <c r="L363">
        <f>IF(D363&lt;$A$15,$D$11,$D$11*(1-$H$11))</f>
        <v>85</v>
      </c>
      <c r="M363">
        <f t="shared" si="32"/>
        <v>1</v>
      </c>
      <c r="N363">
        <f>IF(SUM(I363:J363)&lt;=($G$11/60*$F$11/($E$11/60)),1,0)</f>
        <v>0</v>
      </c>
    </row>
    <row r="364" spans="4:14" x14ac:dyDescent="0.2">
      <c r="D364">
        <f t="shared" si="34"/>
        <v>341</v>
      </c>
      <c r="E364" s="1">
        <f>IF($H$11=1,IF(D364&lt;=$A$15, E363+LN($D$11)-LN(60/$E$11)-LN(MIN(D364,$F$11)), E363-LN(60/$E$11)-LN(MIN(D364,$F$11))), IF(D364&lt;=$A$15, E363+LN($D$11)-LN(60/$E$11)-LN(MIN(D364,$F$11)), E363+LN($D$11)+LN(1-$H$11)-LN(60/$E$11)-LN(MIN(D364,$F$11))))</f>
        <v>-39.131531213202805</v>
      </c>
      <c r="F364" s="1">
        <f t="shared" si="35"/>
        <v>-41.133564022401863</v>
      </c>
      <c r="G364" s="1">
        <f t="shared" si="33"/>
        <v>1.3674772944604924E-18</v>
      </c>
      <c r="H364" s="1">
        <f t="shared" si="30"/>
        <v>1.3422785511647319E-19</v>
      </c>
      <c r="I364">
        <f>IF($F$11&lt;=D364, IF(D364&lt;=$A$15,D364-$F$11,$C$11),0)</f>
        <v>60</v>
      </c>
      <c r="J364">
        <f t="shared" si="31"/>
        <v>277</v>
      </c>
      <c r="K364" s="5">
        <f>IF(D364&lt;$F$11,H364,0)</f>
        <v>0</v>
      </c>
      <c r="L364">
        <f>IF(D364&lt;$A$15,$D$11,$D$11*(1-$H$11))</f>
        <v>85</v>
      </c>
      <c r="M364">
        <f t="shared" si="32"/>
        <v>1</v>
      </c>
      <c r="N364">
        <f>IF(SUM(I364:J364)&lt;=($G$11/60*$F$11/($E$11/60)),1,0)</f>
        <v>0</v>
      </c>
    </row>
    <row r="365" spans="4:14" x14ac:dyDescent="0.2">
      <c r="D365">
        <f t="shared" si="34"/>
        <v>342</v>
      </c>
      <c r="E365" s="1">
        <f>IF($H$11=1,IF(D365&lt;=$A$15, E364+LN($D$11)-LN(60/$E$11)-LN(MIN(D365,$F$11)), E364-LN(60/$E$11)-LN(MIN(D365,$F$11))), IF(D365&lt;=$A$15, E364+LN($D$11)-LN(60/$E$11)-LN(MIN(D365,$F$11)), E364+LN($D$11)+LN(1-$H$11)-LN(60/$E$11)-LN(MIN(D365,$F$11))))</f>
        <v>-39.253228148180327</v>
      </c>
      <c r="F365" s="1">
        <f t="shared" si="35"/>
        <v>-41.255260957379384</v>
      </c>
      <c r="G365" s="1">
        <f t="shared" si="33"/>
        <v>1.2107871878035592E-18</v>
      </c>
      <c r="H365" s="1">
        <f t="shared" si="30"/>
        <v>1.1884758005104382E-19</v>
      </c>
      <c r="I365">
        <f>IF($F$11&lt;=D365, IF(D365&lt;=$A$15,D365-$F$11,$C$11),0)</f>
        <v>60</v>
      </c>
      <c r="J365">
        <f t="shared" si="31"/>
        <v>278</v>
      </c>
      <c r="K365" s="5">
        <f>IF(D365&lt;$F$11,H365,0)</f>
        <v>0</v>
      </c>
      <c r="L365">
        <f>IF(D365&lt;$A$15,$D$11,$D$11*(1-$H$11))</f>
        <v>85</v>
      </c>
      <c r="M365">
        <f t="shared" si="32"/>
        <v>1</v>
      </c>
      <c r="N365">
        <f>IF(SUM(I365:J365)&lt;=($G$11/60*$F$11/($E$11/60)),1,0)</f>
        <v>0</v>
      </c>
    </row>
    <row r="366" spans="4:14" x14ac:dyDescent="0.2">
      <c r="D366">
        <f t="shared" si="34"/>
        <v>343</v>
      </c>
      <c r="E366" s="1">
        <f>IF($H$11=1,IF(D366&lt;=$A$15, E365+LN($D$11)-LN(60/$E$11)-LN(MIN(D366,$F$11)), E365-LN(60/$E$11)-LN(MIN(D366,$F$11))), IF(D366&lt;=$A$15, E365+LN($D$11)-LN(60/$E$11)-LN(MIN(D366,$F$11)), E365+LN($D$11)+LN(1-$H$11)-LN(60/$E$11)-LN(MIN(D366,$F$11))))</f>
        <v>-39.374925083157848</v>
      </c>
      <c r="F366" s="1">
        <f t="shared" si="35"/>
        <v>-41.376957892356906</v>
      </c>
      <c r="G366" s="1">
        <f t="shared" si="33"/>
        <v>1.0720511558677332E-18</v>
      </c>
      <c r="H366" s="1">
        <f t="shared" si="30"/>
        <v>1.0522962817019489E-19</v>
      </c>
      <c r="I366">
        <f>IF($F$11&lt;=D366, IF(D366&lt;=$A$15,D366-$F$11,$C$11),0)</f>
        <v>60</v>
      </c>
      <c r="J366">
        <f t="shared" si="31"/>
        <v>279</v>
      </c>
      <c r="K366" s="5">
        <f>IF(D366&lt;$F$11,H366,0)</f>
        <v>0</v>
      </c>
      <c r="L366">
        <f>IF(D366&lt;$A$15,$D$11,$D$11*(1-$H$11))</f>
        <v>85</v>
      </c>
      <c r="M366">
        <f t="shared" si="32"/>
        <v>1</v>
      </c>
      <c r="N366">
        <f>IF(SUM(I366:J366)&lt;=($G$11/60*$F$11/($E$11/60)),1,0)</f>
        <v>0</v>
      </c>
    </row>
    <row r="367" spans="4:14" x14ac:dyDescent="0.2">
      <c r="D367">
        <f t="shared" si="34"/>
        <v>344</v>
      </c>
      <c r="E367" s="1">
        <f>IF($H$11=1,IF(D367&lt;=$A$15, E366+LN($D$11)-LN(60/$E$11)-LN(MIN(D367,$F$11)), E366-LN(60/$E$11)-LN(MIN(D367,$F$11))), IF(D367&lt;=$A$15, E366+LN($D$11)-LN(60/$E$11)-LN(MIN(D367,$F$11)), E366+LN($D$11)+LN(1-$H$11)-LN(60/$E$11)-LN(MIN(D367,$F$11))))</f>
        <v>-39.496622018135369</v>
      </c>
      <c r="F367" s="1">
        <f t="shared" si="35"/>
        <v>-41.498654827334427</v>
      </c>
      <c r="G367" s="1">
        <f t="shared" si="33"/>
        <v>9.4921196092455414E-19</v>
      </c>
      <c r="H367" s="1">
        <f t="shared" si="30"/>
        <v>9.3172066609026595E-20</v>
      </c>
      <c r="I367">
        <f>IF($F$11&lt;=D367, IF(D367&lt;=$A$15,D367-$F$11,$C$11),0)</f>
        <v>60</v>
      </c>
      <c r="J367">
        <f t="shared" si="31"/>
        <v>280</v>
      </c>
      <c r="K367" s="5">
        <f>IF(D367&lt;$F$11,H367,0)</f>
        <v>0</v>
      </c>
      <c r="L367">
        <f>IF(D367&lt;$A$15,$D$11,$D$11*(1-$H$11))</f>
        <v>85</v>
      </c>
      <c r="M367">
        <f t="shared" si="32"/>
        <v>1</v>
      </c>
      <c r="N367">
        <f>IF(SUM(I367:J367)&lt;=($G$11/60*$F$11/($E$11/60)),1,0)</f>
        <v>0</v>
      </c>
    </row>
    <row r="368" spans="4:14" x14ac:dyDescent="0.2">
      <c r="D368">
        <f t="shared" si="34"/>
        <v>345</v>
      </c>
      <c r="E368" s="1">
        <f>IF($H$11=1,IF(D368&lt;=$A$15, E367+LN($D$11)-LN(60/$E$11)-LN(MIN(D368,$F$11)), E367-LN(60/$E$11)-LN(MIN(D368,$F$11))), IF(D368&lt;=$A$15, E367+LN($D$11)-LN(60/$E$11)-LN(MIN(D368,$F$11)), E367+LN($D$11)+LN(1-$H$11)-LN(60/$E$11)-LN(MIN(D368,$F$11))))</f>
        <v>-39.61831895311289</v>
      </c>
      <c r="F368" s="1">
        <f t="shared" si="35"/>
        <v>-41.620351762311948</v>
      </c>
      <c r="G368" s="1">
        <f t="shared" si="33"/>
        <v>8.4044809040194782E-19</v>
      </c>
      <c r="H368" s="1">
        <f t="shared" si="30"/>
        <v>8.2496100643408851E-20</v>
      </c>
      <c r="I368">
        <f>IF($F$11&lt;=D368, IF(D368&lt;=$A$15,D368-$F$11,$C$11),0)</f>
        <v>60</v>
      </c>
      <c r="J368">
        <f t="shared" si="31"/>
        <v>281</v>
      </c>
      <c r="K368" s="5">
        <f>IF(D368&lt;$F$11,H368,0)</f>
        <v>0</v>
      </c>
      <c r="L368">
        <f>IF(D368&lt;$A$15,$D$11,$D$11*(1-$H$11))</f>
        <v>85</v>
      </c>
      <c r="M368">
        <f t="shared" si="32"/>
        <v>1</v>
      </c>
      <c r="N368">
        <f>IF(SUM(I368:J368)&lt;=($G$11/60*$F$11/($E$11/60)),1,0)</f>
        <v>0</v>
      </c>
    </row>
    <row r="369" spans="4:14" x14ac:dyDescent="0.2">
      <c r="D369">
        <f t="shared" si="34"/>
        <v>346</v>
      </c>
      <c r="E369" s="1">
        <f>IF($H$11=1,IF(D369&lt;=$A$15, E368+LN($D$11)-LN(60/$E$11)-LN(MIN(D369,$F$11)), E368-LN(60/$E$11)-LN(MIN(D369,$F$11))), IF(D369&lt;=$A$15, E368+LN($D$11)-LN(60/$E$11)-LN(MIN(D369,$F$11)), E368+LN($D$11)+LN(1-$H$11)-LN(60/$E$11)-LN(MIN(D369,$F$11))))</f>
        <v>-39.740015888090412</v>
      </c>
      <c r="F369" s="1">
        <f t="shared" si="35"/>
        <v>-41.742048697289469</v>
      </c>
      <c r="G369" s="1">
        <f t="shared" si="33"/>
        <v>7.441467467100569E-19</v>
      </c>
      <c r="H369" s="1">
        <f t="shared" si="30"/>
        <v>7.3043422444684808E-20</v>
      </c>
      <c r="I369">
        <f>IF($F$11&lt;=D369, IF(D369&lt;=$A$15,D369-$F$11,$C$11),0)</f>
        <v>60</v>
      </c>
      <c r="J369">
        <f t="shared" si="31"/>
        <v>282</v>
      </c>
      <c r="K369" s="5">
        <f>IF(D369&lt;$F$11,H369,0)</f>
        <v>0</v>
      </c>
      <c r="L369">
        <f>IF(D369&lt;$A$15,$D$11,$D$11*(1-$H$11))</f>
        <v>85</v>
      </c>
      <c r="M369">
        <f t="shared" si="32"/>
        <v>1</v>
      </c>
      <c r="N369">
        <f>IF(SUM(I369:J369)&lt;=($G$11/60*$F$11/($E$11/60)),1,0)</f>
        <v>0</v>
      </c>
    </row>
    <row r="370" spans="4:14" x14ac:dyDescent="0.2">
      <c r="D370">
        <f t="shared" si="34"/>
        <v>347</v>
      </c>
      <c r="E370" s="1">
        <f>IF($H$11=1,IF(D370&lt;=$A$15, E369+LN($D$11)-LN(60/$E$11)-LN(MIN(D370,$F$11)), E369-LN(60/$E$11)-LN(MIN(D370,$F$11))), IF(D370&lt;=$A$15, E369+LN($D$11)-LN(60/$E$11)-LN(MIN(D370,$F$11)), E369+LN($D$11)+LN(1-$H$11)-LN(60/$E$11)-LN(MIN(D370,$F$11))))</f>
        <v>-39.861712823067933</v>
      </c>
      <c r="F370" s="1">
        <f t="shared" si="35"/>
        <v>-41.863745632266991</v>
      </c>
      <c r="G370" s="1">
        <f t="shared" si="33"/>
        <v>6.5887993198286195E-19</v>
      </c>
      <c r="H370" s="1">
        <f t="shared" si="30"/>
        <v>6.4673863622897923E-20</v>
      </c>
      <c r="I370">
        <f>IF($F$11&lt;=D370, IF(D370&lt;=$A$15,D370-$F$11,$C$11),0)</f>
        <v>60</v>
      </c>
      <c r="J370">
        <f t="shared" si="31"/>
        <v>283</v>
      </c>
      <c r="K370" s="5">
        <f>IF(D370&lt;$F$11,H370,0)</f>
        <v>0</v>
      </c>
      <c r="L370">
        <f>IF(D370&lt;$A$15,$D$11,$D$11*(1-$H$11))</f>
        <v>85</v>
      </c>
      <c r="M370">
        <f t="shared" si="32"/>
        <v>1</v>
      </c>
      <c r="N370">
        <f>IF(SUM(I370:J370)&lt;=($G$11/60*$F$11/($E$11/60)),1,0)</f>
        <v>0</v>
      </c>
    </row>
    <row r="371" spans="4:14" x14ac:dyDescent="0.2">
      <c r="D371">
        <f t="shared" si="34"/>
        <v>348</v>
      </c>
      <c r="E371" s="1">
        <f>IF($H$11=1,IF(D371&lt;=$A$15, E370+LN($D$11)-LN(60/$E$11)-LN(MIN(D371,$F$11)), E370-LN(60/$E$11)-LN(MIN(D371,$F$11))), IF(D371&lt;=$A$15, E370+LN($D$11)-LN(60/$E$11)-LN(MIN(D371,$F$11)), E370+LN($D$11)+LN(1-$H$11)-LN(60/$E$11)-LN(MIN(D371,$F$11))))</f>
        <v>-39.983409758045454</v>
      </c>
      <c r="F371" s="1">
        <f t="shared" si="35"/>
        <v>-41.985442567244512</v>
      </c>
      <c r="G371" s="1">
        <f t="shared" si="33"/>
        <v>5.8338327310982486E-19</v>
      </c>
      <c r="H371" s="1">
        <f t="shared" si="30"/>
        <v>5.7263316749440789E-20</v>
      </c>
      <c r="I371">
        <f>IF($F$11&lt;=D371, IF(D371&lt;=$A$15,D371-$F$11,$C$11),0)</f>
        <v>60</v>
      </c>
      <c r="J371">
        <f t="shared" si="31"/>
        <v>284</v>
      </c>
      <c r="K371" s="5">
        <f>IF(D371&lt;$F$11,H371,0)</f>
        <v>0</v>
      </c>
      <c r="L371">
        <f>IF(D371&lt;$A$15,$D$11,$D$11*(1-$H$11))</f>
        <v>85</v>
      </c>
      <c r="M371">
        <f t="shared" si="32"/>
        <v>1</v>
      </c>
      <c r="N371">
        <f>IF(SUM(I371:J371)&lt;=($G$11/60*$F$11/($E$11/60)),1,0)</f>
        <v>0</v>
      </c>
    </row>
    <row r="372" spans="4:14" x14ac:dyDescent="0.2">
      <c r="D372">
        <f t="shared" si="34"/>
        <v>349</v>
      </c>
      <c r="E372" s="1">
        <f>IF($H$11=1,IF(D372&lt;=$A$15, E371+LN($D$11)-LN(60/$E$11)-LN(MIN(D372,$F$11)), E371-LN(60/$E$11)-LN(MIN(D372,$F$11))), IF(D372&lt;=$A$15, E371+LN($D$11)-LN(60/$E$11)-LN(MIN(D372,$F$11)), E371+LN($D$11)+LN(1-$H$11)-LN(60/$E$11)-LN(MIN(D372,$F$11))))</f>
        <v>-40.105106693022975</v>
      </c>
      <c r="F372" s="1">
        <f t="shared" si="35"/>
        <v>-42.107139502222033</v>
      </c>
      <c r="G372" s="1">
        <f t="shared" si="33"/>
        <v>5.1653727306599004E-19</v>
      </c>
      <c r="H372" s="1">
        <f t="shared" si="30"/>
        <v>5.0701895038567289E-20</v>
      </c>
      <c r="I372">
        <f>IF($F$11&lt;=D372, IF(D372&lt;=$A$15,D372-$F$11,$C$11),0)</f>
        <v>60</v>
      </c>
      <c r="J372">
        <f t="shared" si="31"/>
        <v>285</v>
      </c>
      <c r="K372" s="5">
        <f>IF(D372&lt;$F$11,H372,0)</f>
        <v>0</v>
      </c>
      <c r="L372">
        <f>IF(D372&lt;$A$15,$D$11,$D$11*(1-$H$11))</f>
        <v>85</v>
      </c>
      <c r="M372">
        <f t="shared" si="32"/>
        <v>1</v>
      </c>
      <c r="N372">
        <f>IF(SUM(I372:J372)&lt;=($G$11/60*$F$11/($E$11/60)),1,0)</f>
        <v>0</v>
      </c>
    </row>
    <row r="373" spans="4:14" x14ac:dyDescent="0.2">
      <c r="D373">
        <f t="shared" si="34"/>
        <v>350</v>
      </c>
      <c r="E373" s="1">
        <f>IF($H$11=1,IF(D373&lt;=$A$15, E372+LN($D$11)-LN(60/$E$11)-LN(MIN(D373,$F$11)), E372-LN(60/$E$11)-LN(MIN(D373,$F$11))), IF(D373&lt;=$A$15, E372+LN($D$11)-LN(60/$E$11)-LN(MIN(D373,$F$11)), E372+LN($D$11)+LN(1-$H$11)-LN(60/$E$11)-LN(MIN(D373,$F$11))))</f>
        <v>-40.226803628000496</v>
      </c>
      <c r="F373" s="1">
        <f t="shared" si="35"/>
        <v>-42.228836437199554</v>
      </c>
      <c r="G373" s="1">
        <f t="shared" si="33"/>
        <v>4.5735071052717797E-19</v>
      </c>
      <c r="H373" s="1">
        <f t="shared" si="30"/>
        <v>4.4892302898731385E-20</v>
      </c>
      <c r="I373">
        <f>IF($F$11&lt;=D373, IF(D373&lt;=$A$15,D373-$F$11,$C$11),0)</f>
        <v>60</v>
      </c>
      <c r="J373">
        <f t="shared" si="31"/>
        <v>286</v>
      </c>
      <c r="K373" s="5">
        <f>IF(D373&lt;$F$11,H373,0)</f>
        <v>0</v>
      </c>
      <c r="L373">
        <f>IF(D373&lt;$A$15,$D$11,$D$11*(1-$H$11))</f>
        <v>85</v>
      </c>
      <c r="M373">
        <f t="shared" si="32"/>
        <v>1</v>
      </c>
      <c r="N373">
        <f>IF(SUM(I373:J373)&lt;=($G$11/60*$F$11/($E$11/60)),1,0)</f>
        <v>0</v>
      </c>
    </row>
    <row r="374" spans="4:14" x14ac:dyDescent="0.2">
      <c r="D374">
        <f t="shared" si="34"/>
        <v>351</v>
      </c>
      <c r="E374" s="1">
        <f>IF($H$11=1,IF(D374&lt;=$A$15, E373+LN($D$11)-LN(60/$E$11)-LN(MIN(D374,$F$11)), E373-LN(60/$E$11)-LN(MIN(D374,$F$11))), IF(D374&lt;=$A$15, E373+LN($D$11)-LN(60/$E$11)-LN(MIN(D374,$F$11)), E373+LN($D$11)+LN(1-$H$11)-LN(60/$E$11)-LN(MIN(D374,$F$11))))</f>
        <v>-40.348500562978018</v>
      </c>
      <c r="F374" s="1">
        <f t="shared" si="35"/>
        <v>-42.350533372177075</v>
      </c>
      <c r="G374" s="1">
        <f t="shared" si="33"/>
        <v>4.0494594161260492E-19</v>
      </c>
      <c r="H374" s="1">
        <f t="shared" si="30"/>
        <v>3.9748393191585026E-20</v>
      </c>
      <c r="I374">
        <f>IF($F$11&lt;=D374, IF(D374&lt;=$A$15,D374-$F$11,$C$11),0)</f>
        <v>60</v>
      </c>
      <c r="J374">
        <f t="shared" si="31"/>
        <v>287</v>
      </c>
      <c r="K374" s="5">
        <f>IF(D374&lt;$F$11,H374,0)</f>
        <v>0</v>
      </c>
      <c r="L374">
        <f>IF(D374&lt;$A$15,$D$11,$D$11*(1-$H$11))</f>
        <v>85</v>
      </c>
      <c r="M374">
        <f t="shared" si="32"/>
        <v>1</v>
      </c>
      <c r="N374">
        <f>IF(SUM(I374:J374)&lt;=($G$11/60*$F$11/($E$11/60)),1,0)</f>
        <v>0</v>
      </c>
    </row>
    <row r="375" spans="4:14" x14ac:dyDescent="0.2">
      <c r="D375">
        <f t="shared" si="34"/>
        <v>352</v>
      </c>
      <c r="E375" s="1">
        <f>IF($H$11=1,IF(D375&lt;=$A$15, E374+LN($D$11)-LN(60/$E$11)-LN(MIN(D375,$F$11)), E374-LN(60/$E$11)-LN(MIN(D375,$F$11))), IF(D375&lt;=$A$15, E374+LN($D$11)-LN(60/$E$11)-LN(MIN(D375,$F$11)), E374+LN($D$11)+LN(1-$H$11)-LN(60/$E$11)-LN(MIN(D375,$F$11))))</f>
        <v>-40.470197497955539</v>
      </c>
      <c r="F375" s="1">
        <f t="shared" si="35"/>
        <v>-42.472230307154597</v>
      </c>
      <c r="G375" s="1">
        <f t="shared" si="33"/>
        <v>3.5854588580282677E-19</v>
      </c>
      <c r="H375" s="1">
        <f t="shared" si="30"/>
        <v>3.5193889805049191E-20</v>
      </c>
      <c r="I375">
        <f>IF($F$11&lt;=D375, IF(D375&lt;=$A$15,D375-$F$11,$C$11),0)</f>
        <v>60</v>
      </c>
      <c r="J375">
        <f t="shared" si="31"/>
        <v>288</v>
      </c>
      <c r="K375" s="5">
        <f>IF(D375&lt;$F$11,H375,0)</f>
        <v>0</v>
      </c>
      <c r="L375">
        <f>IF(D375&lt;$A$15,$D$11,$D$11*(1-$H$11))</f>
        <v>85</v>
      </c>
      <c r="M375">
        <f t="shared" si="32"/>
        <v>1</v>
      </c>
      <c r="N375">
        <f>IF(SUM(I375:J375)&lt;=($G$11/60*$F$11/($E$11/60)),1,0)</f>
        <v>0</v>
      </c>
    </row>
    <row r="376" spans="4:14" x14ac:dyDescent="0.2">
      <c r="D376">
        <f t="shared" si="34"/>
        <v>353</v>
      </c>
      <c r="E376" s="1">
        <f>IF($H$11=1,IF(D376&lt;=$A$15, E375+LN($D$11)-LN(60/$E$11)-LN(MIN(D376,$F$11)), E375-LN(60/$E$11)-LN(MIN(D376,$F$11))), IF(D376&lt;=$A$15, E375+LN($D$11)-LN(60/$E$11)-LN(MIN(D376,$F$11)), E375+LN($D$11)+LN(1-$H$11)-LN(60/$E$11)-LN(MIN(D376,$F$11))))</f>
        <v>-40.59189443293306</v>
      </c>
      <c r="F376" s="1">
        <f t="shared" si="35"/>
        <v>-42.593927242132118</v>
      </c>
      <c r="G376" s="1">
        <f t="shared" si="33"/>
        <v>3.1746250305458576E-19</v>
      </c>
      <c r="H376" s="1">
        <f t="shared" si="30"/>
        <v>3.1161256598220596E-20</v>
      </c>
      <c r="I376">
        <f>IF($F$11&lt;=D376, IF(D376&lt;=$A$15,D376-$F$11,$C$11),0)</f>
        <v>60</v>
      </c>
      <c r="J376">
        <f t="shared" si="31"/>
        <v>289</v>
      </c>
      <c r="K376" s="5">
        <f>IF(D376&lt;$F$11,H376,0)</f>
        <v>0</v>
      </c>
      <c r="L376">
        <f>IF(D376&lt;$A$15,$D$11,$D$11*(1-$H$11))</f>
        <v>85</v>
      </c>
      <c r="M376">
        <f t="shared" si="32"/>
        <v>1</v>
      </c>
      <c r="N376">
        <f>IF(SUM(I376:J376)&lt;=($G$11/60*$F$11/($E$11/60)),1,0)</f>
        <v>0</v>
      </c>
    </row>
    <row r="377" spans="4:14" x14ac:dyDescent="0.2">
      <c r="D377">
        <f t="shared" si="34"/>
        <v>354</v>
      </c>
      <c r="E377" s="1">
        <f>IF($H$11=1,IF(D377&lt;=$A$15, E376+LN($D$11)-LN(60/$E$11)-LN(MIN(D377,$F$11)), E376-LN(60/$E$11)-LN(MIN(D377,$F$11))), IF(D377&lt;=$A$15, E376+LN($D$11)-LN(60/$E$11)-LN(MIN(D377,$F$11)), E376+LN($D$11)+LN(1-$H$11)-LN(60/$E$11)-LN(MIN(D377,$F$11))))</f>
        <v>-40.713591367910581</v>
      </c>
      <c r="F377" s="1">
        <f t="shared" si="35"/>
        <v>-42.715624177109639</v>
      </c>
      <c r="G377" s="1">
        <f t="shared" si="33"/>
        <v>2.8108659124624739E-19</v>
      </c>
      <c r="H377" s="1">
        <f t="shared" si="30"/>
        <v>2.7590695946341113E-20</v>
      </c>
      <c r="I377">
        <f>IF($F$11&lt;=D377, IF(D377&lt;=$A$15,D377-$F$11,$C$11),0)</f>
        <v>60</v>
      </c>
      <c r="J377">
        <f t="shared" si="31"/>
        <v>290</v>
      </c>
      <c r="K377" s="5">
        <f>IF(D377&lt;$F$11,H377,0)</f>
        <v>0</v>
      </c>
      <c r="L377">
        <f>IF(D377&lt;$A$15,$D$11,$D$11*(1-$H$11))</f>
        <v>85</v>
      </c>
      <c r="M377">
        <f t="shared" si="32"/>
        <v>1</v>
      </c>
      <c r="N377">
        <f>IF(SUM(I377:J377)&lt;=($G$11/60*$F$11/($E$11/60)),1,0)</f>
        <v>0</v>
      </c>
    </row>
    <row r="378" spans="4:14" x14ac:dyDescent="0.2">
      <c r="D378">
        <f t="shared" si="34"/>
        <v>355</v>
      </c>
      <c r="E378" s="1">
        <f>IF($H$11=1,IF(D378&lt;=$A$15, E377+LN($D$11)-LN(60/$E$11)-LN(MIN(D378,$F$11)), E377-LN(60/$E$11)-LN(MIN(D378,$F$11))), IF(D378&lt;=$A$15, E377+LN($D$11)-LN(60/$E$11)-LN(MIN(D378,$F$11)), E377+LN($D$11)+LN(1-$H$11)-LN(60/$E$11)-LN(MIN(D378,$F$11))))</f>
        <v>-40.835288302888102</v>
      </c>
      <c r="F378" s="1">
        <f t="shared" si="35"/>
        <v>-42.83732111208716</v>
      </c>
      <c r="G378" s="1">
        <f t="shared" si="33"/>
        <v>2.4887875266594787E-19</v>
      </c>
      <c r="H378" s="1">
        <f t="shared" si="30"/>
        <v>2.4429262035822825E-20</v>
      </c>
      <c r="I378">
        <f>IF($F$11&lt;=D378, IF(D378&lt;=$A$15,D378-$F$11,$C$11),0)</f>
        <v>60</v>
      </c>
      <c r="J378">
        <f t="shared" si="31"/>
        <v>291</v>
      </c>
      <c r="K378" s="5">
        <f>IF(D378&lt;$F$11,H378,0)</f>
        <v>0</v>
      </c>
      <c r="L378">
        <f>IF(D378&lt;$A$15,$D$11,$D$11*(1-$H$11))</f>
        <v>85</v>
      </c>
      <c r="M378">
        <f t="shared" si="32"/>
        <v>1</v>
      </c>
      <c r="N378">
        <f>IF(SUM(I378:J378)&lt;=($G$11/60*$F$11/($E$11/60)),1,0)</f>
        <v>0</v>
      </c>
    </row>
    <row r="379" spans="4:14" x14ac:dyDescent="0.2">
      <c r="D379">
        <f t="shared" si="34"/>
        <v>356</v>
      </c>
      <c r="E379" s="1">
        <f>IF($H$11=1,IF(D379&lt;=$A$15, E378+LN($D$11)-LN(60/$E$11)-LN(MIN(D379,$F$11)), E378-LN(60/$E$11)-LN(MIN(D379,$F$11))), IF(D379&lt;=$A$15, E378+LN($D$11)-LN(60/$E$11)-LN(MIN(D379,$F$11)), E378+LN($D$11)+LN(1-$H$11)-LN(60/$E$11)-LN(MIN(D379,$F$11))))</f>
        <v>-40.956985237865624</v>
      </c>
      <c r="F379" s="1">
        <f t="shared" si="35"/>
        <v>-42.959018047064681</v>
      </c>
      <c r="G379" s="1">
        <f t="shared" si="33"/>
        <v>2.2036139558964102E-19</v>
      </c>
      <c r="H379" s="1">
        <f t="shared" si="30"/>
        <v>2.1630075760884761E-20</v>
      </c>
      <c r="I379">
        <f>IF($F$11&lt;=D379, IF(D379&lt;=$A$15,D379-$F$11,$C$11),0)</f>
        <v>60</v>
      </c>
      <c r="J379">
        <f t="shared" si="31"/>
        <v>292</v>
      </c>
      <c r="K379" s="5">
        <f>IF(D379&lt;$F$11,H379,0)</f>
        <v>0</v>
      </c>
      <c r="L379">
        <f>IF(D379&lt;$A$15,$D$11,$D$11*(1-$H$11))</f>
        <v>85</v>
      </c>
      <c r="M379">
        <f t="shared" si="32"/>
        <v>1</v>
      </c>
      <c r="N379">
        <f>IF(SUM(I379:J379)&lt;=($G$11/60*$F$11/($E$11/60)),1,0)</f>
        <v>0</v>
      </c>
    </row>
    <row r="380" spans="4:14" x14ac:dyDescent="0.2">
      <c r="D380">
        <f t="shared" si="34"/>
        <v>357</v>
      </c>
      <c r="E380" s="1">
        <f>IF($H$11=1,IF(D380&lt;=$A$15, E379+LN($D$11)-LN(60/$E$11)-LN(MIN(D380,$F$11)), E379-LN(60/$E$11)-LN(MIN(D380,$F$11))), IF(D380&lt;=$A$15, E379+LN($D$11)-LN(60/$E$11)-LN(MIN(D380,$F$11)), E379+LN($D$11)+LN(1-$H$11)-LN(60/$E$11)-LN(MIN(D380,$F$11))))</f>
        <v>-41.078682172843145</v>
      </c>
      <c r="F380" s="1">
        <f t="shared" si="35"/>
        <v>-43.080714982042203</v>
      </c>
      <c r="G380" s="1">
        <f t="shared" si="33"/>
        <v>1.9511165234499438E-19</v>
      </c>
      <c r="H380" s="1">
        <f t="shared" si="30"/>
        <v>1.9151629579950024E-20</v>
      </c>
      <c r="I380">
        <f>IF($F$11&lt;=D380, IF(D380&lt;=$A$15,D380-$F$11,$C$11),0)</f>
        <v>60</v>
      </c>
      <c r="J380">
        <f t="shared" si="31"/>
        <v>293</v>
      </c>
      <c r="K380" s="5">
        <f>IF(D380&lt;$F$11,H380,0)</f>
        <v>0</v>
      </c>
      <c r="L380">
        <f>IF(D380&lt;$A$15,$D$11,$D$11*(1-$H$11))</f>
        <v>85</v>
      </c>
      <c r="M380">
        <f t="shared" si="32"/>
        <v>1</v>
      </c>
      <c r="N380">
        <f>IF(SUM(I380:J380)&lt;=($G$11/60*$F$11/($E$11/60)),1,0)</f>
        <v>0</v>
      </c>
    </row>
    <row r="381" spans="4:14" x14ac:dyDescent="0.2">
      <c r="D381">
        <f t="shared" si="34"/>
        <v>358</v>
      </c>
      <c r="E381" s="1">
        <f>IF($H$11=1,IF(D381&lt;=$A$15, E380+LN($D$11)-LN(60/$E$11)-LN(MIN(D381,$F$11)), E380-LN(60/$E$11)-LN(MIN(D381,$F$11))), IF(D381&lt;=$A$15, E380+LN($D$11)-LN(60/$E$11)-LN(MIN(D381,$F$11)), E380+LN($D$11)+LN(1-$H$11)-LN(60/$E$11)-LN(MIN(D381,$F$11))))</f>
        <v>-41.200379107820666</v>
      </c>
      <c r="F381" s="1">
        <f t="shared" si="35"/>
        <v>-43.202411917019724</v>
      </c>
      <c r="G381" s="1">
        <f t="shared" si="33"/>
        <v>1.7275510884713021E-19</v>
      </c>
      <c r="H381" s="1">
        <f t="shared" si="30"/>
        <v>1.695717202391406E-20</v>
      </c>
      <c r="I381">
        <f>IF($F$11&lt;=D381, IF(D381&lt;=$A$15,D381-$F$11,$C$11),0)</f>
        <v>60</v>
      </c>
      <c r="J381">
        <f t="shared" si="31"/>
        <v>294</v>
      </c>
      <c r="K381" s="5">
        <f>IF(D381&lt;$F$11,H381,0)</f>
        <v>0</v>
      </c>
      <c r="L381">
        <f>IF(D381&lt;$A$15,$D$11,$D$11*(1-$H$11))</f>
        <v>85</v>
      </c>
      <c r="M381">
        <f t="shared" si="32"/>
        <v>1</v>
      </c>
      <c r="N381">
        <f>IF(SUM(I381:J381)&lt;=($G$11/60*$F$11/($E$11/60)),1,0)</f>
        <v>0</v>
      </c>
    </row>
    <row r="382" spans="4:14" x14ac:dyDescent="0.2">
      <c r="D382">
        <f t="shared" si="34"/>
        <v>359</v>
      </c>
      <c r="E382" s="1">
        <f>IF($H$11=1,IF(D382&lt;=$A$15, E381+LN($D$11)-LN(60/$E$11)-LN(MIN(D382,$F$11)), E381-LN(60/$E$11)-LN(MIN(D382,$F$11))), IF(D382&lt;=$A$15, E381+LN($D$11)-LN(60/$E$11)-LN(MIN(D382,$F$11)), E381+LN($D$11)+LN(1-$H$11)-LN(60/$E$11)-LN(MIN(D382,$F$11))))</f>
        <v>-41.322076042798187</v>
      </c>
      <c r="F382" s="1">
        <f t="shared" si="35"/>
        <v>-43.324108851997245</v>
      </c>
      <c r="G382" s="1">
        <f t="shared" si="33"/>
        <v>1.5296025262506298E-19</v>
      </c>
      <c r="H382" s="1">
        <f t="shared" si="30"/>
        <v>1.5014162729507217E-20</v>
      </c>
      <c r="I382">
        <f>IF($F$11&lt;=D382, IF(D382&lt;=$A$15,D382-$F$11,$C$11),0)</f>
        <v>60</v>
      </c>
      <c r="J382">
        <f t="shared" si="31"/>
        <v>295</v>
      </c>
      <c r="K382" s="5">
        <f>IF(D382&lt;$F$11,H382,0)</f>
        <v>0</v>
      </c>
      <c r="L382">
        <f>IF(D382&lt;$A$15,$D$11,$D$11*(1-$H$11))</f>
        <v>85</v>
      </c>
      <c r="M382">
        <f t="shared" si="32"/>
        <v>1</v>
      </c>
      <c r="N382">
        <f>IF(SUM(I382:J382)&lt;=($G$11/60*$F$11/($E$11/60)),1,0)</f>
        <v>0</v>
      </c>
    </row>
    <row r="383" spans="4:14" x14ac:dyDescent="0.2">
      <c r="D383">
        <f t="shared" si="34"/>
        <v>360</v>
      </c>
      <c r="E383" s="1">
        <f>IF($H$11=1,IF(D383&lt;=$A$15, E382+LN($D$11)-LN(60/$E$11)-LN(MIN(D383,$F$11)), E382-LN(60/$E$11)-LN(MIN(D383,$F$11))), IF(D383&lt;=$A$15, E382+LN($D$11)-LN(60/$E$11)-LN(MIN(D383,$F$11)), E382+LN($D$11)+LN(1-$H$11)-LN(60/$E$11)-LN(MIN(D383,$F$11))))</f>
        <v>-41.443772977775708</v>
      </c>
      <c r="F383" s="1">
        <f t="shared" si="35"/>
        <v>-43.445805786974766</v>
      </c>
      <c r="G383" s="1">
        <f t="shared" si="33"/>
        <v>1.3543355701177431E-19</v>
      </c>
      <c r="H383" s="1">
        <f t="shared" si="30"/>
        <v>1.3293789916751163E-20</v>
      </c>
      <c r="I383">
        <f>IF($F$11&lt;=D383, IF(D383&lt;=$A$15,D383-$F$11,$C$11),0)</f>
        <v>60</v>
      </c>
      <c r="J383">
        <f t="shared" si="31"/>
        <v>296</v>
      </c>
      <c r="K383" s="5">
        <f>IF(D383&lt;$F$11,H383,0)</f>
        <v>0</v>
      </c>
      <c r="L383">
        <f>IF(D383&lt;$A$15,$D$11,$D$11*(1-$H$11))</f>
        <v>85</v>
      </c>
      <c r="M383">
        <f t="shared" si="32"/>
        <v>1</v>
      </c>
      <c r="N383">
        <f>IF(SUM(I383:J383)&lt;=($G$11/60*$F$11/($E$11/60)),1,0)</f>
        <v>0</v>
      </c>
    </row>
    <row r="384" spans="4:14" x14ac:dyDescent="0.2">
      <c r="D384">
        <f t="shared" si="34"/>
        <v>361</v>
      </c>
      <c r="E384" s="1">
        <f>IF($H$11=1,IF(D384&lt;=$A$15, E383+LN($D$11)-LN(60/$E$11)-LN(MIN(D384,$F$11)), E383-LN(60/$E$11)-LN(MIN(D384,$F$11))), IF(D384&lt;=$A$15, E383+LN($D$11)-LN(60/$E$11)-LN(MIN(D384,$F$11)), E383+LN($D$11)+LN(1-$H$11)-LN(60/$E$11)-LN(MIN(D384,$F$11))))</f>
        <v>-41.56546991275323</v>
      </c>
      <c r="F384" s="1">
        <f t="shared" si="35"/>
        <v>-43.567502721952287</v>
      </c>
      <c r="G384" s="1">
        <f t="shared" si="33"/>
        <v>1.1991512860417501E-19</v>
      </c>
      <c r="H384" s="1">
        <f t="shared" si="30"/>
        <v>1.1770543155456743E-20</v>
      </c>
      <c r="I384">
        <f>IF($F$11&lt;=D384, IF(D384&lt;=$A$15,D384-$F$11,$C$11),0)</f>
        <v>60</v>
      </c>
      <c r="J384">
        <f t="shared" si="31"/>
        <v>297</v>
      </c>
      <c r="K384" s="5">
        <f>IF(D384&lt;$F$11,H384,0)</f>
        <v>0</v>
      </c>
      <c r="L384">
        <f>IF(D384&lt;$A$15,$D$11,$D$11*(1-$H$11))</f>
        <v>85</v>
      </c>
      <c r="M384">
        <f t="shared" si="32"/>
        <v>1</v>
      </c>
      <c r="N384">
        <f>IF(SUM(I384:J384)&lt;=($G$11/60*$F$11/($E$11/60)),1,0)</f>
        <v>0</v>
      </c>
    </row>
    <row r="385" spans="4:14" x14ac:dyDescent="0.2">
      <c r="D385">
        <f t="shared" si="34"/>
        <v>362</v>
      </c>
      <c r="E385" s="1">
        <f>IF($H$11=1,IF(D385&lt;=$A$15, E384+LN($D$11)-LN(60/$E$11)-LN(MIN(D385,$F$11)), E384-LN(60/$E$11)-LN(MIN(D385,$F$11))), IF(D385&lt;=$A$15, E384+LN($D$11)-LN(60/$E$11)-LN(MIN(D385,$F$11)), E384+LN($D$11)+LN(1-$H$11)-LN(60/$E$11)-LN(MIN(D385,$F$11))))</f>
        <v>-41.687166847730751</v>
      </c>
      <c r="F385" s="1">
        <f t="shared" si="35"/>
        <v>-43.689199656929809</v>
      </c>
      <c r="G385" s="1">
        <f t="shared" si="33"/>
        <v>1.0617485345161313E-19</v>
      </c>
      <c r="H385" s="1">
        <f t="shared" si="30"/>
        <v>1.0421835085560642E-20</v>
      </c>
      <c r="I385">
        <f>IF($F$11&lt;=D385, IF(D385&lt;=$A$15,D385-$F$11,$C$11),0)</f>
        <v>60</v>
      </c>
      <c r="J385">
        <f t="shared" si="31"/>
        <v>298</v>
      </c>
      <c r="K385" s="5">
        <f>IF(D385&lt;$F$11,H385,0)</f>
        <v>0</v>
      </c>
      <c r="L385">
        <f>IF(D385&lt;$A$15,$D$11,$D$11*(1-$H$11))</f>
        <v>85</v>
      </c>
      <c r="M385">
        <f t="shared" si="32"/>
        <v>1</v>
      </c>
      <c r="N385">
        <f>IF(SUM(I385:J385)&lt;=($G$11/60*$F$11/($E$11/60)),1,0)</f>
        <v>0</v>
      </c>
    </row>
    <row r="386" spans="4:14" x14ac:dyDescent="0.2">
      <c r="D386">
        <f t="shared" si="34"/>
        <v>363</v>
      </c>
      <c r="E386" s="1">
        <f>IF($H$11=1,IF(D386&lt;=$A$15, E385+LN($D$11)-LN(60/$E$11)-LN(MIN(D386,$F$11)), E385-LN(60/$E$11)-LN(MIN(D386,$F$11))), IF(D386&lt;=$A$15, E385+LN($D$11)-LN(60/$E$11)-LN(MIN(D386,$F$11)), E385+LN($D$11)+LN(1-$H$11)-LN(60/$E$11)-LN(MIN(D386,$F$11))))</f>
        <v>-41.808863782708272</v>
      </c>
      <c r="F386" s="1">
        <f t="shared" si="35"/>
        <v>-43.81089659190733</v>
      </c>
      <c r="G386" s="1">
        <f t="shared" si="33"/>
        <v>9.4008984826948999E-20</v>
      </c>
      <c r="H386" s="1">
        <f t="shared" si="30"/>
        <v>9.2276664820068058E-21</v>
      </c>
      <c r="I386">
        <f>IF($F$11&lt;=D386, IF(D386&lt;=$A$15,D386-$F$11,$C$11),0)</f>
        <v>60</v>
      </c>
      <c r="J386">
        <f t="shared" si="31"/>
        <v>299</v>
      </c>
      <c r="K386" s="5">
        <f>IF(D386&lt;$F$11,H386,0)</f>
        <v>0</v>
      </c>
      <c r="L386">
        <f>IF(D386&lt;$A$15,$D$11,$D$11*(1-$H$11))</f>
        <v>85</v>
      </c>
      <c r="M386">
        <f t="shared" si="32"/>
        <v>1</v>
      </c>
      <c r="N386">
        <f>IF(SUM(I386:J386)&lt;=($G$11/60*$F$11/($E$11/60)),1,0)</f>
        <v>0</v>
      </c>
    </row>
    <row r="387" spans="4:14" x14ac:dyDescent="0.2">
      <c r="D387">
        <f t="shared" si="34"/>
        <v>364</v>
      </c>
      <c r="E387" s="1">
        <f>IF($H$11=1,IF(D387&lt;=$A$15, E386+LN($D$11)-LN(60/$E$11)-LN(MIN(D387,$F$11)), E386-LN(60/$E$11)-LN(MIN(D387,$F$11))), IF(D387&lt;=$A$15, E386+LN($D$11)-LN(60/$E$11)-LN(MIN(D387,$F$11)), E386+LN($D$11)+LN(1-$H$11)-LN(60/$E$11)-LN(MIN(D387,$F$11))))</f>
        <v>-41.930560717685793</v>
      </c>
      <c r="F387" s="1">
        <f t="shared" si="35"/>
        <v>-43.932593526884851</v>
      </c>
      <c r="G387" s="1">
        <f t="shared" si="33"/>
        <v>8.3237121982194308E-20</v>
      </c>
      <c r="H387" s="1">
        <f t="shared" si="30"/>
        <v>8.170329697610182E-21</v>
      </c>
      <c r="I387">
        <f>IF($F$11&lt;=D387, IF(D387&lt;=$A$15,D387-$F$11,$C$11),0)</f>
        <v>60</v>
      </c>
      <c r="J387">
        <f t="shared" si="31"/>
        <v>300</v>
      </c>
      <c r="K387" s="5">
        <f>IF(D387&lt;$F$11,H387,0)</f>
        <v>0</v>
      </c>
      <c r="L387">
        <f>IF(D387&lt;$A$15,$D$11,$D$11*(1-$H$11))</f>
        <v>85</v>
      </c>
      <c r="M387">
        <f t="shared" si="32"/>
        <v>1</v>
      </c>
      <c r="N387">
        <f>IF(SUM(I387:J387)&lt;=($G$11/60*$F$11/($E$11/60)),1,0)</f>
        <v>0</v>
      </c>
    </row>
    <row r="388" spans="4:14" x14ac:dyDescent="0.2">
      <c r="D388">
        <f t="shared" si="34"/>
        <v>365</v>
      </c>
      <c r="E388" s="1">
        <f>IF($H$11=1,IF(D388&lt;=$A$15, E387+LN($D$11)-LN(60/$E$11)-LN(MIN(D388,$F$11)), E387-LN(60/$E$11)-LN(MIN(D388,$F$11))), IF(D388&lt;=$A$15, E387+LN($D$11)-LN(60/$E$11)-LN(MIN(D388,$F$11)), E387+LN($D$11)+LN(1-$H$11)-LN(60/$E$11)-LN(MIN(D388,$F$11))))</f>
        <v>-42.052257652663315</v>
      </c>
      <c r="F388" s="1">
        <f t="shared" si="35"/>
        <v>-44.054290461862372</v>
      </c>
      <c r="G388" s="1">
        <f t="shared" si="33"/>
        <v>7.3699535088401096E-20</v>
      </c>
      <c r="H388" s="1">
        <f t="shared" si="30"/>
        <v>7.2341460864256699E-21</v>
      </c>
      <c r="I388">
        <f>IF($F$11&lt;=D388, IF(D388&lt;=$A$15,D388-$F$11,$C$11),0)</f>
        <v>60</v>
      </c>
      <c r="J388">
        <f t="shared" si="31"/>
        <v>301</v>
      </c>
      <c r="K388" s="5">
        <f>IF(D388&lt;$F$11,H388,0)</f>
        <v>0</v>
      </c>
      <c r="L388">
        <f>IF(D388&lt;$A$15,$D$11,$D$11*(1-$H$11))</f>
        <v>85</v>
      </c>
      <c r="M388">
        <f t="shared" si="32"/>
        <v>1</v>
      </c>
      <c r="N388">
        <f>IF(SUM(I388:J388)&lt;=($G$11/60*$F$11/($E$11/60)),1,0)</f>
        <v>0</v>
      </c>
    </row>
    <row r="389" spans="4:14" x14ac:dyDescent="0.2">
      <c r="D389">
        <f t="shared" si="34"/>
        <v>366</v>
      </c>
      <c r="E389" s="1">
        <f>IF($H$11=1,IF(D389&lt;=$A$15, E388+LN($D$11)-LN(60/$E$11)-LN(MIN(D389,$F$11)), E388-LN(60/$E$11)-LN(MIN(D389,$F$11))), IF(D389&lt;=$A$15, E388+LN($D$11)-LN(60/$E$11)-LN(MIN(D389,$F$11)), E388+LN($D$11)+LN(1-$H$11)-LN(60/$E$11)-LN(MIN(D389,$F$11))))</f>
        <v>-42.173954587640836</v>
      </c>
      <c r="F389" s="1">
        <f t="shared" si="35"/>
        <v>-44.175987396839894</v>
      </c>
      <c r="G389" s="1">
        <f t="shared" si="33"/>
        <v>6.5254796692855048E-20</v>
      </c>
      <c r="H389" s="1">
        <f t="shared" si="30"/>
        <v>6.40523351402272E-21</v>
      </c>
      <c r="I389">
        <f>IF($F$11&lt;=D389, IF(D389&lt;=$A$15,D389-$F$11,$C$11),0)</f>
        <v>60</v>
      </c>
      <c r="J389">
        <f t="shared" si="31"/>
        <v>302</v>
      </c>
      <c r="K389" s="5">
        <f>IF(D389&lt;$F$11,H389,0)</f>
        <v>0</v>
      </c>
      <c r="L389">
        <f>IF(D389&lt;$A$15,$D$11,$D$11*(1-$H$11))</f>
        <v>85</v>
      </c>
      <c r="M389">
        <f t="shared" si="32"/>
        <v>1</v>
      </c>
      <c r="N389">
        <f>IF(SUM(I389:J389)&lt;=($G$11/60*$F$11/($E$11/60)),1,0)</f>
        <v>0</v>
      </c>
    </row>
    <row r="390" spans="4:14" x14ac:dyDescent="0.2">
      <c r="D390">
        <f t="shared" si="34"/>
        <v>367</v>
      </c>
      <c r="E390" s="1">
        <f>IF($H$11=1,IF(D390&lt;=$A$15, E389+LN($D$11)-LN(60/$E$11)-LN(MIN(D390,$F$11)), E389-LN(60/$E$11)-LN(MIN(D390,$F$11))), IF(D390&lt;=$A$15, E389+LN($D$11)-LN(60/$E$11)-LN(MIN(D390,$F$11)), E389+LN($D$11)+LN(1-$H$11)-LN(60/$E$11)-LN(MIN(D390,$F$11))))</f>
        <v>-42.295651522618357</v>
      </c>
      <c r="F390" s="1">
        <f t="shared" si="35"/>
        <v>-44.297684331817415</v>
      </c>
      <c r="G390" s="1">
        <f t="shared" si="33"/>
        <v>5.7777684571798663E-20</v>
      </c>
      <c r="H390" s="1">
        <f t="shared" si="30"/>
        <v>5.671300507207609E-21</v>
      </c>
      <c r="I390">
        <f>IF($F$11&lt;=D390, IF(D390&lt;=$A$15,D390-$F$11,$C$11),0)</f>
        <v>60</v>
      </c>
      <c r="J390">
        <f t="shared" si="31"/>
        <v>303</v>
      </c>
      <c r="K390" s="5">
        <f>IF(D390&lt;$F$11,H390,0)</f>
        <v>0</v>
      </c>
      <c r="L390">
        <f>IF(D390&lt;$A$15,$D$11,$D$11*(1-$H$11))</f>
        <v>85</v>
      </c>
      <c r="M390">
        <f t="shared" si="32"/>
        <v>1</v>
      </c>
      <c r="N390">
        <f>IF(SUM(I390:J390)&lt;=($G$11/60*$F$11/($E$11/60)),1,0)</f>
        <v>0</v>
      </c>
    </row>
    <row r="391" spans="4:14" x14ac:dyDescent="0.2">
      <c r="D391">
        <f t="shared" si="34"/>
        <v>368</v>
      </c>
      <c r="E391" s="1">
        <f>IF($H$11=1,IF(D391&lt;=$A$15, E390+LN($D$11)-LN(60/$E$11)-LN(MIN(D391,$F$11)), E390-LN(60/$E$11)-LN(MIN(D391,$F$11))), IF(D391&lt;=$A$15, E390+LN($D$11)-LN(60/$E$11)-LN(MIN(D391,$F$11)), E390+LN($D$11)+LN(1-$H$11)-LN(60/$E$11)-LN(MIN(D391,$F$11))))</f>
        <v>-42.417348457595878</v>
      </c>
      <c r="F391" s="1">
        <f t="shared" si="35"/>
        <v>-44.419381266794936</v>
      </c>
      <c r="G391" s="1">
        <f t="shared" si="33"/>
        <v>5.1157324881279988E-20</v>
      </c>
      <c r="H391" s="1">
        <f t="shared" si="30"/>
        <v>5.0214639907567296E-21</v>
      </c>
      <c r="I391">
        <f>IF($F$11&lt;=D391, IF(D391&lt;=$A$15,D391-$F$11,$C$11),0)</f>
        <v>60</v>
      </c>
      <c r="J391">
        <f t="shared" si="31"/>
        <v>304</v>
      </c>
      <c r="K391" s="5">
        <f>IF(D391&lt;$F$11,H391,0)</f>
        <v>0</v>
      </c>
      <c r="L391">
        <f>IF(D391&lt;$A$15,$D$11,$D$11*(1-$H$11))</f>
        <v>85</v>
      </c>
      <c r="M391">
        <f t="shared" si="32"/>
        <v>1</v>
      </c>
      <c r="N391">
        <f>IF(SUM(I391:J391)&lt;=($G$11/60*$F$11/($E$11/60)),1,0)</f>
        <v>0</v>
      </c>
    </row>
    <row r="392" spans="4:14" x14ac:dyDescent="0.2">
      <c r="D392">
        <f t="shared" si="34"/>
        <v>369</v>
      </c>
      <c r="E392" s="1">
        <f>IF($H$11=1,IF(D392&lt;=$A$15, E391+LN($D$11)-LN(60/$E$11)-LN(MIN(D392,$F$11)), E391-LN(60/$E$11)-LN(MIN(D392,$F$11))), IF(D392&lt;=$A$15, E391+LN($D$11)-LN(60/$E$11)-LN(MIN(D392,$F$11)), E391+LN($D$11)+LN(1-$H$11)-LN(60/$E$11)-LN(MIN(D392,$F$11))))</f>
        <v>-42.539045392573399</v>
      </c>
      <c r="F392" s="1">
        <f t="shared" si="35"/>
        <v>-44.541078201772457</v>
      </c>
      <c r="G392" s="1">
        <f t="shared" si="33"/>
        <v>4.5295548071966592E-20</v>
      </c>
      <c r="H392" s="1">
        <f t="shared" si="30"/>
        <v>4.4460879084825151E-21</v>
      </c>
      <c r="I392">
        <f>IF($F$11&lt;=D392, IF(D392&lt;=$A$15,D392-$F$11,$C$11),0)</f>
        <v>60</v>
      </c>
      <c r="J392">
        <f t="shared" si="31"/>
        <v>305</v>
      </c>
      <c r="K392" s="5">
        <f>IF(D392&lt;$F$11,H392,0)</f>
        <v>0</v>
      </c>
      <c r="L392">
        <f>IF(D392&lt;$A$15,$D$11,$D$11*(1-$H$11))</f>
        <v>85</v>
      </c>
      <c r="M392">
        <f t="shared" si="32"/>
        <v>1</v>
      </c>
      <c r="N392">
        <f>IF(SUM(I392:J392)&lt;=($G$11/60*$F$11/($E$11/60)),1,0)</f>
        <v>0</v>
      </c>
    </row>
    <row r="393" spans="4:14" x14ac:dyDescent="0.2">
      <c r="D393">
        <f t="shared" si="34"/>
        <v>370</v>
      </c>
      <c r="E393" s="1">
        <f>IF($H$11=1,IF(D393&lt;=$A$15, E392+LN($D$11)-LN(60/$E$11)-LN(MIN(D393,$F$11)), E392-LN(60/$E$11)-LN(MIN(D393,$F$11))), IF(D393&lt;=$A$15, E392+LN($D$11)-LN(60/$E$11)-LN(MIN(D393,$F$11)), E392+LN($D$11)+LN(1-$H$11)-LN(60/$E$11)-LN(MIN(D393,$F$11))))</f>
        <v>-42.660742327550921</v>
      </c>
      <c r="F393" s="1">
        <f t="shared" si="35"/>
        <v>-44.662775136749978</v>
      </c>
      <c r="G393" s="1">
        <f t="shared" si="33"/>
        <v>4.0105433188720363E-20</v>
      </c>
      <c r="H393" s="1">
        <f t="shared" si="30"/>
        <v>3.936640335635554E-21</v>
      </c>
      <c r="I393">
        <f>IF($F$11&lt;=D393, IF(D393&lt;=$A$15,D393-$F$11,$C$11),0)</f>
        <v>60</v>
      </c>
      <c r="J393">
        <f t="shared" si="31"/>
        <v>306</v>
      </c>
      <c r="K393" s="5">
        <f>IF(D393&lt;$F$11,H393,0)</f>
        <v>0</v>
      </c>
      <c r="L393">
        <f>IF(D393&lt;$A$15,$D$11,$D$11*(1-$H$11))</f>
        <v>85</v>
      </c>
      <c r="M393">
        <f t="shared" si="32"/>
        <v>1</v>
      </c>
      <c r="N393">
        <f>IF(SUM(I393:J393)&lt;=($G$11/60*$F$11/($E$11/60)),1,0)</f>
        <v>0</v>
      </c>
    </row>
    <row r="394" spans="4:14" x14ac:dyDescent="0.2">
      <c r="D394">
        <f t="shared" si="34"/>
        <v>371</v>
      </c>
      <c r="E394" s="1">
        <f>IF($H$11=1,IF(D394&lt;=$A$15, E393+LN($D$11)-LN(60/$E$11)-LN(MIN(D394,$F$11)), E393-LN(60/$E$11)-LN(MIN(D394,$F$11))), IF(D394&lt;=$A$15, E393+LN($D$11)-LN(60/$E$11)-LN(MIN(D394,$F$11)), E393+LN($D$11)+LN(1-$H$11)-LN(60/$E$11)-LN(MIN(D394,$F$11))))</f>
        <v>-42.782439262528442</v>
      </c>
      <c r="F394" s="1">
        <f t="shared" si="35"/>
        <v>-44.7844720717275</v>
      </c>
      <c r="G394" s="1">
        <f t="shared" si="33"/>
        <v>3.5510018969179437E-20</v>
      </c>
      <c r="H394" s="1">
        <f t="shared" si="30"/>
        <v>3.4855669638439756E-21</v>
      </c>
      <c r="I394">
        <f>IF($F$11&lt;=D394, IF(D394&lt;=$A$15,D394-$F$11,$C$11),0)</f>
        <v>60</v>
      </c>
      <c r="J394">
        <f t="shared" si="31"/>
        <v>307</v>
      </c>
      <c r="K394" s="5">
        <f>IF(D394&lt;$F$11,H394,0)</f>
        <v>0</v>
      </c>
      <c r="L394">
        <f>IF(D394&lt;$A$15,$D$11,$D$11*(1-$H$11))</f>
        <v>85</v>
      </c>
      <c r="M394">
        <f t="shared" si="32"/>
        <v>1</v>
      </c>
      <c r="N394">
        <f>IF(SUM(I394:J394)&lt;=($G$11/60*$F$11/($E$11/60)),1,0)</f>
        <v>0</v>
      </c>
    </row>
    <row r="395" spans="4:14" x14ac:dyDescent="0.2">
      <c r="D395">
        <f t="shared" si="34"/>
        <v>372</v>
      </c>
      <c r="E395" s="1">
        <f>IF($H$11=1,IF(D395&lt;=$A$15, E394+LN($D$11)-LN(60/$E$11)-LN(MIN(D395,$F$11)), E394-LN(60/$E$11)-LN(MIN(D395,$F$11))), IF(D395&lt;=$A$15, E394+LN($D$11)-LN(60/$E$11)-LN(MIN(D395,$F$11)), E394+LN($D$11)+LN(1-$H$11)-LN(60/$E$11)-LN(MIN(D395,$F$11))))</f>
        <v>-42.904136197505963</v>
      </c>
      <c r="F395" s="1">
        <f t="shared" si="35"/>
        <v>-44.906169006705021</v>
      </c>
      <c r="G395" s="1">
        <f t="shared" si="33"/>
        <v>3.1441162628960914E-20</v>
      </c>
      <c r="H395" s="1">
        <f t="shared" si="30"/>
        <v>3.0861790825701821E-21</v>
      </c>
      <c r="I395">
        <f>IF($F$11&lt;=D395, IF(D395&lt;=$A$15,D395-$F$11,$C$11),0)</f>
        <v>60</v>
      </c>
      <c r="J395">
        <f t="shared" si="31"/>
        <v>308</v>
      </c>
      <c r="K395" s="5">
        <f>IF(D395&lt;$F$11,H395,0)</f>
        <v>0</v>
      </c>
      <c r="L395">
        <f>IF(D395&lt;$A$15,$D$11,$D$11*(1-$H$11))</f>
        <v>85</v>
      </c>
      <c r="M395">
        <f t="shared" si="32"/>
        <v>1</v>
      </c>
      <c r="N395">
        <f>IF(SUM(I395:J395)&lt;=($G$11/60*$F$11/($E$11/60)),1,0)</f>
        <v>0</v>
      </c>
    </row>
    <row r="396" spans="4:14" x14ac:dyDescent="0.2">
      <c r="D396">
        <f t="shared" si="34"/>
        <v>373</v>
      </c>
      <c r="E396" s="1">
        <f>IF($H$11=1,IF(D396&lt;=$A$15, E395+LN($D$11)-LN(60/$E$11)-LN(MIN(D396,$F$11)), E395-LN(60/$E$11)-LN(MIN(D396,$F$11))), IF(D396&lt;=$A$15, E395+LN($D$11)-LN(60/$E$11)-LN(MIN(D396,$F$11)), E395+LN($D$11)+LN(1-$H$11)-LN(60/$E$11)-LN(MIN(D396,$F$11))))</f>
        <v>-43.025833132483484</v>
      </c>
      <c r="F396" s="1">
        <f t="shared" si="35"/>
        <v>-45.027865941682542</v>
      </c>
      <c r="G396" s="1">
        <f t="shared" si="33"/>
        <v>2.7838529411059105E-20</v>
      </c>
      <c r="H396" s="1">
        <f t="shared" si="30"/>
        <v>2.7325543960256782E-21</v>
      </c>
      <c r="I396">
        <f>IF($F$11&lt;=D396, IF(D396&lt;=$A$15,D396-$F$11,$C$11),0)</f>
        <v>60</v>
      </c>
      <c r="J396">
        <f t="shared" si="31"/>
        <v>309</v>
      </c>
      <c r="K396" s="5">
        <f>IF(D396&lt;$F$11,H396,0)</f>
        <v>0</v>
      </c>
      <c r="L396">
        <f>IF(D396&lt;$A$15,$D$11,$D$11*(1-$H$11))</f>
        <v>85</v>
      </c>
      <c r="M396">
        <f t="shared" si="32"/>
        <v>1</v>
      </c>
      <c r="N396">
        <f>IF(SUM(I396:J396)&lt;=($G$11/60*$F$11/($E$11/60)),1,0)</f>
        <v>0</v>
      </c>
    </row>
    <row r="397" spans="4:14" x14ac:dyDescent="0.2">
      <c r="D397">
        <f t="shared" si="34"/>
        <v>374</v>
      </c>
      <c r="E397" s="1">
        <f>IF($H$11=1,IF(D397&lt;=$A$15, E396+LN($D$11)-LN(60/$E$11)-LN(MIN(D397,$F$11)), E396-LN(60/$E$11)-LN(MIN(D397,$F$11))), IF(D397&lt;=$A$15, E396+LN($D$11)-LN(60/$E$11)-LN(MIN(D397,$F$11)), E396+LN($D$11)+LN(1-$H$11)-LN(60/$E$11)-LN(MIN(D397,$F$11))))</f>
        <v>-43.147530067461005</v>
      </c>
      <c r="F397" s="1">
        <f t="shared" si="35"/>
        <v>-45.149562876660063</v>
      </c>
      <c r="G397" s="1">
        <f t="shared" si="33"/>
        <v>2.4648697916041879E-20</v>
      </c>
      <c r="H397" s="1">
        <f t="shared" si="30"/>
        <v>2.419449204814399E-21</v>
      </c>
      <c r="I397">
        <f>IF($F$11&lt;=D397, IF(D397&lt;=$A$15,D397-$F$11,$C$11),0)</f>
        <v>60</v>
      </c>
      <c r="J397">
        <f t="shared" si="31"/>
        <v>310</v>
      </c>
      <c r="K397" s="5">
        <f>IF(D397&lt;$F$11,H397,0)</f>
        <v>0</v>
      </c>
      <c r="L397">
        <f>IF(D397&lt;$A$15,$D$11,$D$11*(1-$H$11))</f>
        <v>85</v>
      </c>
      <c r="M397">
        <f t="shared" si="32"/>
        <v>1</v>
      </c>
      <c r="N397">
        <f>IF(SUM(I397:J397)&lt;=($G$11/60*$F$11/($E$11/60)),1,0)</f>
        <v>0</v>
      </c>
    </row>
    <row r="398" spans="4:14" x14ac:dyDescent="0.2">
      <c r="D398">
        <f t="shared" si="34"/>
        <v>375</v>
      </c>
      <c r="E398" s="1">
        <f>IF($H$11=1,IF(D398&lt;=$A$15, E397+LN($D$11)-LN(60/$E$11)-LN(MIN(D398,$F$11)), E397-LN(60/$E$11)-LN(MIN(D398,$F$11))), IF(D398&lt;=$A$15, E397+LN($D$11)-LN(60/$E$11)-LN(MIN(D398,$F$11)), E397+LN($D$11)+LN(1-$H$11)-LN(60/$E$11)-LN(MIN(D398,$F$11))))</f>
        <v>-43.269227002438527</v>
      </c>
      <c r="F398" s="1">
        <f t="shared" si="35"/>
        <v>-45.271259811637584</v>
      </c>
      <c r="G398" s="1">
        <f t="shared" si="33"/>
        <v>2.1824367946495384E-20</v>
      </c>
      <c r="H398" s="1">
        <f t="shared" si="30"/>
        <v>2.1422206500960796E-21</v>
      </c>
      <c r="I398">
        <f>IF($F$11&lt;=D398, IF(D398&lt;=$A$15,D398-$F$11,$C$11),0)</f>
        <v>60</v>
      </c>
      <c r="J398">
        <f t="shared" si="31"/>
        <v>311</v>
      </c>
      <c r="K398" s="5">
        <f>IF(D398&lt;$F$11,H398,0)</f>
        <v>0</v>
      </c>
      <c r="L398">
        <f>IF(D398&lt;$A$15,$D$11,$D$11*(1-$H$11))</f>
        <v>85</v>
      </c>
      <c r="M398">
        <f t="shared" si="32"/>
        <v>1</v>
      </c>
      <c r="N398">
        <f>IF(SUM(I398:J398)&lt;=($G$11/60*$F$11/($E$11/60)),1,0)</f>
        <v>0</v>
      </c>
    </row>
    <row r="399" spans="4:14" x14ac:dyDescent="0.2">
      <c r="D399">
        <f t="shared" si="34"/>
        <v>376</v>
      </c>
      <c r="E399" s="1">
        <f>IF($H$11=1,IF(D399&lt;=$A$15, E398+LN($D$11)-LN(60/$E$11)-LN(MIN(D399,$F$11)), E398-LN(60/$E$11)-LN(MIN(D399,$F$11))), IF(D399&lt;=$A$15, E398+LN($D$11)-LN(60/$E$11)-LN(MIN(D399,$F$11)), E398+LN($D$11)+LN(1-$H$11)-LN(60/$E$11)-LN(MIN(D399,$F$11))))</f>
        <v>-43.390923937416048</v>
      </c>
      <c r="F399" s="1">
        <f t="shared" si="35"/>
        <v>-45.392956746615106</v>
      </c>
      <c r="G399" s="1">
        <f t="shared" si="33"/>
        <v>1.932365911929276E-20</v>
      </c>
      <c r="H399" s="1">
        <f t="shared" si="30"/>
        <v>1.8967578672725676E-21</v>
      </c>
      <c r="I399">
        <f>IF($F$11&lt;=D399, IF(D399&lt;=$A$15,D399-$F$11,$C$11),0)</f>
        <v>60</v>
      </c>
      <c r="J399">
        <f t="shared" si="31"/>
        <v>312</v>
      </c>
      <c r="K399" s="5">
        <f>IF(D399&lt;$F$11,H399,0)</f>
        <v>0</v>
      </c>
      <c r="L399">
        <f>IF(D399&lt;$A$15,$D$11,$D$11*(1-$H$11))</f>
        <v>85</v>
      </c>
      <c r="M399">
        <f t="shared" si="32"/>
        <v>1</v>
      </c>
      <c r="N399">
        <f>IF(SUM(I399:J399)&lt;=($G$11/60*$F$11/($E$11/60)),1,0)</f>
        <v>0</v>
      </c>
    </row>
    <row r="400" spans="4:14" x14ac:dyDescent="0.2">
      <c r="D400">
        <f t="shared" si="34"/>
        <v>377</v>
      </c>
      <c r="E400" s="1">
        <f>IF($H$11=1,IF(D400&lt;=$A$15, E399+LN($D$11)-LN(60/$E$11)-LN(MIN(D400,$F$11)), E399-LN(60/$E$11)-LN(MIN(D400,$F$11))), IF(D400&lt;=$A$15, E399+LN($D$11)-LN(60/$E$11)-LN(MIN(D400,$F$11)), E399+LN($D$11)+LN(1-$H$11)-LN(60/$E$11)-LN(MIN(D400,$F$11))))</f>
        <v>-43.512620872393569</v>
      </c>
      <c r="F400" s="1">
        <f t="shared" si="35"/>
        <v>-45.514653681592627</v>
      </c>
      <c r="G400" s="1">
        <f t="shared" si="33"/>
        <v>1.7109489845207106E-20</v>
      </c>
      <c r="H400" s="1">
        <f t="shared" si="30"/>
        <v>1.6794210283142502E-21</v>
      </c>
      <c r="I400">
        <f>IF($F$11&lt;=D400, IF(D400&lt;=$A$15,D400-$F$11,$C$11),0)</f>
        <v>60</v>
      </c>
      <c r="J400">
        <f t="shared" si="31"/>
        <v>313</v>
      </c>
      <c r="K400" s="5">
        <f>IF(D400&lt;$F$11,H400,0)</f>
        <v>0</v>
      </c>
      <c r="L400">
        <f>IF(D400&lt;$A$15,$D$11,$D$11*(1-$H$11))</f>
        <v>85</v>
      </c>
      <c r="M400">
        <f t="shared" si="32"/>
        <v>1</v>
      </c>
      <c r="N400">
        <f>IF(SUM(I400:J400)&lt;=($G$11/60*$F$11/($E$11/60)),1,0)</f>
        <v>0</v>
      </c>
    </row>
    <row r="401" spans="4:14" x14ac:dyDescent="0.2">
      <c r="D401">
        <f t="shared" si="34"/>
        <v>378</v>
      </c>
      <c r="E401" s="1">
        <f>IF($H$11=1,IF(D401&lt;=$A$15, E400+LN($D$11)-LN(60/$E$11)-LN(MIN(D401,$F$11)), E400-LN(60/$E$11)-LN(MIN(D401,$F$11))), IF(D401&lt;=$A$15, E400+LN($D$11)-LN(60/$E$11)-LN(MIN(D401,$F$11)), E400+LN($D$11)+LN(1-$H$11)-LN(60/$E$11)-LN(MIN(D401,$F$11))))</f>
        <v>-43.63431780737109</v>
      </c>
      <c r="F401" s="1">
        <f t="shared" si="35"/>
        <v>-45.636350616570148</v>
      </c>
      <c r="G401" s="1">
        <f t="shared" si="33"/>
        <v>1.5149027467110438E-20</v>
      </c>
      <c r="H401" s="1">
        <f t="shared" si="30"/>
        <v>1.486987368819907E-21</v>
      </c>
      <c r="I401">
        <f>IF($F$11&lt;=D401, IF(D401&lt;=$A$15,D401-$F$11,$C$11),0)</f>
        <v>60</v>
      </c>
      <c r="J401">
        <f t="shared" si="31"/>
        <v>314</v>
      </c>
      <c r="K401" s="5">
        <f>IF(D401&lt;$F$11,H401,0)</f>
        <v>0</v>
      </c>
      <c r="L401">
        <f>IF(D401&lt;$A$15,$D$11,$D$11*(1-$H$11))</f>
        <v>85</v>
      </c>
      <c r="M401">
        <f t="shared" si="32"/>
        <v>1</v>
      </c>
      <c r="N401">
        <f>IF(SUM(I401:J401)&lt;=($G$11/60*$F$11/($E$11/60)),1,0)</f>
        <v>0</v>
      </c>
    </row>
    <row r="402" spans="4:14" x14ac:dyDescent="0.2">
      <c r="D402">
        <f t="shared" si="34"/>
        <v>379</v>
      </c>
      <c r="E402" s="1">
        <f>IF($H$11=1,IF(D402&lt;=$A$15, E401+LN($D$11)-LN(60/$E$11)-LN(MIN(D402,$F$11)), E401-LN(60/$E$11)-LN(MIN(D402,$F$11))), IF(D402&lt;=$A$15, E401+LN($D$11)-LN(60/$E$11)-LN(MIN(D402,$F$11)), E401+LN($D$11)+LN(1-$H$11)-LN(60/$E$11)-LN(MIN(D402,$F$11))))</f>
        <v>-43.756014742348611</v>
      </c>
      <c r="F402" s="1">
        <f t="shared" si="35"/>
        <v>-45.758047551547669</v>
      </c>
      <c r="G402" s="1">
        <f t="shared" si="33"/>
        <v>1.3413201403170681E-20</v>
      </c>
      <c r="H402" s="1">
        <f t="shared" si="30"/>
        <v>1.3166033994759575E-21</v>
      </c>
      <c r="I402">
        <f>IF($F$11&lt;=D402, IF(D402&lt;=$A$15,D402-$F$11,$C$11),0)</f>
        <v>60</v>
      </c>
      <c r="J402">
        <f t="shared" si="31"/>
        <v>315</v>
      </c>
      <c r="K402" s="5">
        <f>IF(D402&lt;$F$11,H402,0)</f>
        <v>0</v>
      </c>
      <c r="L402">
        <f>IF(D402&lt;$A$15,$D$11,$D$11*(1-$H$11))</f>
        <v>85</v>
      </c>
      <c r="M402">
        <f t="shared" si="32"/>
        <v>1</v>
      </c>
      <c r="N402">
        <f>IF(SUM(I402:J402)&lt;=($G$11/60*$F$11/($E$11/60)),1,0)</f>
        <v>0</v>
      </c>
    </row>
    <row r="403" spans="4:14" x14ac:dyDescent="0.2">
      <c r="D403">
        <f t="shared" si="34"/>
        <v>380</v>
      </c>
      <c r="E403" s="1">
        <f>IF($H$11=1,IF(D403&lt;=$A$15, E402+LN($D$11)-LN(60/$E$11)-LN(MIN(D403,$F$11)), E402-LN(60/$E$11)-LN(MIN(D403,$F$11))), IF(D403&lt;=$A$15, E402+LN($D$11)-LN(60/$E$11)-LN(MIN(D403,$F$11)), E402+LN($D$11)+LN(1-$H$11)-LN(60/$E$11)-LN(MIN(D403,$F$11))))</f>
        <v>-43.877711677326133</v>
      </c>
      <c r="F403" s="1">
        <f t="shared" si="35"/>
        <v>-45.87974448652519</v>
      </c>
      <c r="G403" s="1">
        <f t="shared" si="33"/>
        <v>1.1876272075724023E-20</v>
      </c>
      <c r="H403" s="1">
        <f t="shared" si="30"/>
        <v>1.1657425932860024E-21</v>
      </c>
      <c r="I403">
        <f>IF($F$11&lt;=D403, IF(D403&lt;=$A$15,D403-$F$11,$C$11),0)</f>
        <v>60</v>
      </c>
      <c r="J403">
        <f t="shared" si="31"/>
        <v>316</v>
      </c>
      <c r="K403" s="5">
        <f>IF(D403&lt;$F$11,H403,0)</f>
        <v>0</v>
      </c>
      <c r="L403">
        <f>IF(D403&lt;$A$15,$D$11,$D$11*(1-$H$11))</f>
        <v>85</v>
      </c>
      <c r="M403">
        <f t="shared" si="32"/>
        <v>1</v>
      </c>
      <c r="N403">
        <f>IF(SUM(I403:J403)&lt;=($G$11/60*$F$11/($E$11/60)),1,0)</f>
        <v>0</v>
      </c>
    </row>
    <row r="404" spans="4:14" x14ac:dyDescent="0.2">
      <c r="D404">
        <f t="shared" si="34"/>
        <v>381</v>
      </c>
      <c r="E404" s="1">
        <f>IF($H$11=1,IF(D404&lt;=$A$15, E403+LN($D$11)-LN(60/$E$11)-LN(MIN(D404,$F$11)), E403-LN(60/$E$11)-LN(MIN(D404,$F$11))), IF(D404&lt;=$A$15, E403+LN($D$11)-LN(60/$E$11)-LN(MIN(D404,$F$11)), E403+LN($D$11)+LN(1-$H$11)-LN(60/$E$11)-LN(MIN(D404,$F$11))))</f>
        <v>-43.999408612303654</v>
      </c>
      <c r="F404" s="1">
        <f t="shared" si="35"/>
        <v>-46.001441421502712</v>
      </c>
      <c r="G404" s="1">
        <f t="shared" si="33"/>
        <v>1.0515449233713964E-20</v>
      </c>
      <c r="H404" s="1">
        <f t="shared" si="30"/>
        <v>1.0321679211386464E-21</v>
      </c>
      <c r="I404">
        <f>IF($F$11&lt;=D404, IF(D404&lt;=$A$15,D404-$F$11,$C$11),0)</f>
        <v>60</v>
      </c>
      <c r="J404">
        <f t="shared" si="31"/>
        <v>317</v>
      </c>
      <c r="K404" s="5">
        <f>IF(D404&lt;$F$11,H404,0)</f>
        <v>0</v>
      </c>
      <c r="L404">
        <f>IF(D404&lt;$A$15,$D$11,$D$11*(1-$H$11))</f>
        <v>85</v>
      </c>
      <c r="M404">
        <f t="shared" si="32"/>
        <v>1</v>
      </c>
      <c r="N404">
        <f>IF(SUM(I404:J404)&lt;=($G$11/60*$F$11/($E$11/60)),1,0)</f>
        <v>0</v>
      </c>
    </row>
    <row r="405" spans="4:14" x14ac:dyDescent="0.2">
      <c r="D405">
        <f t="shared" si="34"/>
        <v>382</v>
      </c>
      <c r="E405" s="1">
        <f>IF($H$11=1,IF(D405&lt;=$A$15, E404+LN($D$11)-LN(60/$E$11)-LN(MIN(D405,$F$11)), E404-LN(60/$E$11)-LN(MIN(D405,$F$11))), IF(D405&lt;=$A$15, E404+LN($D$11)-LN(60/$E$11)-LN(MIN(D405,$F$11)), E404+LN($D$11)+LN(1-$H$11)-LN(60/$E$11)-LN(MIN(D405,$F$11))))</f>
        <v>-44.121105547281175</v>
      </c>
      <c r="F405" s="1">
        <f t="shared" si="35"/>
        <v>-46.123138356480233</v>
      </c>
      <c r="G405" s="1">
        <f t="shared" si="33"/>
        <v>9.3105540090175594E-21</v>
      </c>
      <c r="H405" s="1">
        <f t="shared" si="30"/>
        <v>9.1389868017484195E-22</v>
      </c>
      <c r="I405">
        <f>IF($F$11&lt;=D405, IF(D405&lt;=$A$15,D405-$F$11,$C$11),0)</f>
        <v>60</v>
      </c>
      <c r="J405">
        <f t="shared" si="31"/>
        <v>318</v>
      </c>
      <c r="K405" s="5">
        <f>IF(D405&lt;$F$11,H405,0)</f>
        <v>0</v>
      </c>
      <c r="L405">
        <f>IF(D405&lt;$A$15,$D$11,$D$11*(1-$H$11))</f>
        <v>85</v>
      </c>
      <c r="M405">
        <f t="shared" si="32"/>
        <v>1</v>
      </c>
      <c r="N405">
        <f>IF(SUM(I405:J405)&lt;=($G$11/60*$F$11/($E$11/60)),1,0)</f>
        <v>0</v>
      </c>
    </row>
    <row r="406" spans="4:14" x14ac:dyDescent="0.2">
      <c r="D406">
        <f t="shared" si="34"/>
        <v>383</v>
      </c>
      <c r="E406" s="1">
        <f>IF($H$11=1,IF(D406&lt;=$A$15, E405+LN($D$11)-LN(60/$E$11)-LN(MIN(D406,$F$11)), E405-LN(60/$E$11)-LN(MIN(D406,$F$11))), IF(D406&lt;=$A$15, E405+LN($D$11)-LN(60/$E$11)-LN(MIN(D406,$F$11)), E405+LN($D$11)+LN(1-$H$11)-LN(60/$E$11)-LN(MIN(D406,$F$11))))</f>
        <v>-44.242802482258696</v>
      </c>
      <c r="F406" s="1">
        <f t="shared" si="35"/>
        <v>-46.244835291457754</v>
      </c>
      <c r="G406" s="1">
        <f t="shared" si="33"/>
        <v>8.2437196954842856E-21</v>
      </c>
      <c r="H406" s="1">
        <f t="shared" si="30"/>
        <v>8.0918112307147345E-22</v>
      </c>
      <c r="I406">
        <f>IF($F$11&lt;=D406, IF(D406&lt;=$A$15,D406-$F$11,$C$11),0)</f>
        <v>60</v>
      </c>
      <c r="J406">
        <f t="shared" si="31"/>
        <v>319</v>
      </c>
      <c r="K406" s="5">
        <f>IF(D406&lt;$F$11,H406,0)</f>
        <v>0</v>
      </c>
      <c r="L406">
        <f>IF(D406&lt;$A$15,$D$11,$D$11*(1-$H$11))</f>
        <v>85</v>
      </c>
      <c r="M406">
        <f t="shared" si="32"/>
        <v>1</v>
      </c>
      <c r="N406">
        <f>IF(SUM(I406:J406)&lt;=($G$11/60*$F$11/($E$11/60)),1,0)</f>
        <v>0</v>
      </c>
    </row>
    <row r="407" spans="4:14" x14ac:dyDescent="0.2">
      <c r="D407">
        <f t="shared" si="34"/>
        <v>384</v>
      </c>
      <c r="E407" s="1">
        <f>IF($H$11=1,IF(D407&lt;=$A$15, E406+LN($D$11)-LN(60/$E$11)-LN(MIN(D407,$F$11)), E406-LN(60/$E$11)-LN(MIN(D407,$F$11))), IF(D407&lt;=$A$15, E406+LN($D$11)-LN(60/$E$11)-LN(MIN(D407,$F$11)), E406+LN($D$11)+LN(1-$H$11)-LN(60/$E$11)-LN(MIN(D407,$F$11))))</f>
        <v>-44.364499417236217</v>
      </c>
      <c r="F407" s="1">
        <f t="shared" si="35"/>
        <v>-46.366532226435275</v>
      </c>
      <c r="G407" s="1">
        <f t="shared" si="33"/>
        <v>7.2991268137100344E-21</v>
      </c>
      <c r="H407" s="1">
        <f t="shared" ref="H407:H470" si="36">G407/$G$21</f>
        <v>7.1646245271953279E-22</v>
      </c>
      <c r="I407">
        <f>IF($F$11&lt;=D407, IF(D407&lt;=$A$15,D407-$F$11,$C$11),0)</f>
        <v>60</v>
      </c>
      <c r="J407">
        <f t="shared" ref="J407:J470" si="37">IF(D407&lt;=$A$15,0,D407-$A$15)</f>
        <v>320</v>
      </c>
      <c r="K407" s="5">
        <f>IF(D407&lt;$F$11,H407,0)</f>
        <v>0</v>
      </c>
      <c r="L407">
        <f>IF(D407&lt;$A$15,$D$11,$D$11*(1-$H$11))</f>
        <v>85</v>
      </c>
      <c r="M407">
        <f t="shared" ref="M407:M470" si="38">IF(D407&lt;$A$15,0,1)</f>
        <v>1</v>
      </c>
      <c r="N407">
        <f>IF(SUM(I407:J407)&lt;=($G$11/60*$F$11/($E$11/60)),1,0)</f>
        <v>0</v>
      </c>
    </row>
    <row r="408" spans="4:14" x14ac:dyDescent="0.2">
      <c r="D408">
        <f t="shared" si="34"/>
        <v>385</v>
      </c>
      <c r="E408" s="1">
        <f>IF($H$11=1,IF(D408&lt;=$A$15, E407+LN($D$11)-LN(60/$E$11)-LN(MIN(D408,$F$11)), E407-LN(60/$E$11)-LN(MIN(D408,$F$11))), IF(D408&lt;=$A$15, E407+LN($D$11)-LN(60/$E$11)-LN(MIN(D408,$F$11)), E407+LN($D$11)+LN(1-$H$11)-LN(60/$E$11)-LN(MIN(D408,$F$11))))</f>
        <v>-44.486196352213739</v>
      </c>
      <c r="F408" s="1">
        <f t="shared" si="35"/>
        <v>-46.488229161412796</v>
      </c>
      <c r="G408" s="1">
        <f t="shared" ref="G408:G471" si="39">EXP(F408)</f>
        <v>6.4627685329724164E-21</v>
      </c>
      <c r="H408" s="1">
        <f t="shared" si="36"/>
        <v>6.3436779667875198E-22</v>
      </c>
      <c r="I408">
        <f>IF($F$11&lt;=D408, IF(D408&lt;=$A$15,D408-$F$11,$C$11),0)</f>
        <v>60</v>
      </c>
      <c r="J408">
        <f t="shared" si="37"/>
        <v>321</v>
      </c>
      <c r="K408" s="5">
        <f>IF(D408&lt;$F$11,H408,0)</f>
        <v>0</v>
      </c>
      <c r="L408">
        <f>IF(D408&lt;$A$15,$D$11,$D$11*(1-$H$11))</f>
        <v>85</v>
      </c>
      <c r="M408">
        <f t="shared" si="38"/>
        <v>1</v>
      </c>
      <c r="N408">
        <f>IF(SUM(I408:J408)&lt;=($G$11/60*$F$11/($E$11/60)),1,0)</f>
        <v>0</v>
      </c>
    </row>
    <row r="409" spans="4:14" x14ac:dyDescent="0.2">
      <c r="D409">
        <f t="shared" ref="D409:D472" si="40">1+D408</f>
        <v>386</v>
      </c>
      <c r="E409" s="1">
        <f>IF($H$11=1,IF(D409&lt;=$A$15, E408+LN($D$11)-LN(60/$E$11)-LN(MIN(D409,$F$11)), E408-LN(60/$E$11)-LN(MIN(D409,$F$11))), IF(D409&lt;=$A$15, E408+LN($D$11)-LN(60/$E$11)-LN(MIN(D409,$F$11)), E408+LN($D$11)+LN(1-$H$11)-LN(60/$E$11)-LN(MIN(D409,$F$11))))</f>
        <v>-44.60789328719126</v>
      </c>
      <c r="F409" s="1">
        <f t="shared" ref="F409:F472" si="41">E409-$E$21</f>
        <v>-46.609926096390318</v>
      </c>
      <c r="G409" s="1">
        <f t="shared" si="39"/>
        <v>5.7222429719026522E-21</v>
      </c>
      <c r="H409" s="1">
        <f t="shared" si="36"/>
        <v>5.6167981997597756E-22</v>
      </c>
      <c r="I409">
        <f>IF($F$11&lt;=D409, IF(D409&lt;=$A$15,D409-$F$11,$C$11),0)</f>
        <v>60</v>
      </c>
      <c r="J409">
        <f t="shared" si="37"/>
        <v>322</v>
      </c>
      <c r="K409" s="5">
        <f>IF(D409&lt;$F$11,H409,0)</f>
        <v>0</v>
      </c>
      <c r="L409">
        <f>IF(D409&lt;$A$15,$D$11,$D$11*(1-$H$11))</f>
        <v>85</v>
      </c>
      <c r="M409">
        <f t="shared" si="38"/>
        <v>1</v>
      </c>
      <c r="N409">
        <f>IF(SUM(I409:J409)&lt;=($G$11/60*$F$11/($E$11/60)),1,0)</f>
        <v>0</v>
      </c>
    </row>
    <row r="410" spans="4:14" x14ac:dyDescent="0.2">
      <c r="D410">
        <f t="shared" si="40"/>
        <v>387</v>
      </c>
      <c r="E410" s="1">
        <f>IF($H$11=1,IF(D410&lt;=$A$15, E409+LN($D$11)-LN(60/$E$11)-LN(MIN(D410,$F$11)), E409-LN(60/$E$11)-LN(MIN(D410,$F$11))), IF(D410&lt;=$A$15, E409+LN($D$11)-LN(60/$E$11)-LN(MIN(D410,$F$11)), E409+LN($D$11)+LN(1-$H$11)-LN(60/$E$11)-LN(MIN(D410,$F$11))))</f>
        <v>-44.729590222168781</v>
      </c>
      <c r="F410" s="1">
        <f t="shared" si="41"/>
        <v>-46.731623031367839</v>
      </c>
      <c r="G410" s="1">
        <f t="shared" si="39"/>
        <v>5.0665692980387998E-21</v>
      </c>
      <c r="H410" s="1">
        <f t="shared" si="36"/>
        <v>4.9732067393706279E-22</v>
      </c>
      <c r="I410">
        <f>IF($F$11&lt;=D410, IF(D410&lt;=$A$15,D410-$F$11,$C$11),0)</f>
        <v>60</v>
      </c>
      <c r="J410">
        <f t="shared" si="37"/>
        <v>323</v>
      </c>
      <c r="K410" s="5">
        <f>IF(D410&lt;$F$11,H410,0)</f>
        <v>0</v>
      </c>
      <c r="L410">
        <f>IF(D410&lt;$A$15,$D$11,$D$11*(1-$H$11))</f>
        <v>85</v>
      </c>
      <c r="M410">
        <f t="shared" si="38"/>
        <v>1</v>
      </c>
      <c r="N410">
        <f>IF(SUM(I410:J410)&lt;=($G$11/60*$F$11/($E$11/60)),1,0)</f>
        <v>0</v>
      </c>
    </row>
    <row r="411" spans="4:14" x14ac:dyDescent="0.2">
      <c r="D411">
        <f t="shared" si="40"/>
        <v>388</v>
      </c>
      <c r="E411" s="1">
        <f>IF($H$11=1,IF(D411&lt;=$A$15, E410+LN($D$11)-LN(60/$E$11)-LN(MIN(D411,$F$11)), E410-LN(60/$E$11)-LN(MIN(D411,$F$11))), IF(D411&lt;=$A$15, E410+LN($D$11)-LN(60/$E$11)-LN(MIN(D411,$F$11)), E410+LN($D$11)+LN(1-$H$11)-LN(60/$E$11)-LN(MIN(D411,$F$11))))</f>
        <v>-44.851287157146302</v>
      </c>
      <c r="F411" s="1">
        <f t="shared" si="41"/>
        <v>-46.85331996634536</v>
      </c>
      <c r="G411" s="1">
        <f t="shared" si="39"/>
        <v>4.4860248993051804E-21</v>
      </c>
      <c r="H411" s="1">
        <f t="shared" si="36"/>
        <v>4.4033601338177364E-22</v>
      </c>
      <c r="I411">
        <f>IF($F$11&lt;=D411, IF(D411&lt;=$A$15,D411-$F$11,$C$11),0)</f>
        <v>60</v>
      </c>
      <c r="J411">
        <f t="shared" si="37"/>
        <v>324</v>
      </c>
      <c r="K411" s="5">
        <f>IF(D411&lt;$F$11,H411,0)</f>
        <v>0</v>
      </c>
      <c r="L411">
        <f>IF(D411&lt;$A$15,$D$11,$D$11*(1-$H$11))</f>
        <v>85</v>
      </c>
      <c r="M411">
        <f t="shared" si="38"/>
        <v>1</v>
      </c>
      <c r="N411">
        <f>IF(SUM(I411:J411)&lt;=($G$11/60*$F$11/($E$11/60)),1,0)</f>
        <v>0</v>
      </c>
    </row>
    <row r="412" spans="4:14" x14ac:dyDescent="0.2">
      <c r="D412">
        <f t="shared" si="40"/>
        <v>389</v>
      </c>
      <c r="E412" s="1">
        <f>IF($H$11=1,IF(D412&lt;=$A$15, E411+LN($D$11)-LN(60/$E$11)-LN(MIN(D412,$F$11)), E411-LN(60/$E$11)-LN(MIN(D412,$F$11))), IF(D412&lt;=$A$15, E411+LN($D$11)-LN(60/$E$11)-LN(MIN(D412,$F$11)), E411+LN($D$11)+LN(1-$H$11)-LN(60/$E$11)-LN(MIN(D412,$F$11))))</f>
        <v>-44.972984092123824</v>
      </c>
      <c r="F412" s="1">
        <f t="shared" si="41"/>
        <v>-46.975016901322881</v>
      </c>
      <c r="G412" s="1">
        <f t="shared" si="39"/>
        <v>3.9720012129264568E-21</v>
      </c>
      <c r="H412" s="1">
        <f t="shared" si="36"/>
        <v>3.8988084518177826E-22</v>
      </c>
      <c r="I412">
        <f>IF($F$11&lt;=D412, IF(D412&lt;=$A$15,D412-$F$11,$C$11),0)</f>
        <v>60</v>
      </c>
      <c r="J412">
        <f t="shared" si="37"/>
        <v>325</v>
      </c>
      <c r="K412" s="5">
        <f>IF(D412&lt;$F$11,H412,0)</f>
        <v>0</v>
      </c>
      <c r="L412">
        <f>IF(D412&lt;$A$15,$D$11,$D$11*(1-$H$11))</f>
        <v>85</v>
      </c>
      <c r="M412">
        <f t="shared" si="38"/>
        <v>1</v>
      </c>
      <c r="N412">
        <f>IF(SUM(I412:J412)&lt;=($G$11/60*$F$11/($E$11/60)),1,0)</f>
        <v>0</v>
      </c>
    </row>
    <row r="413" spans="4:14" x14ac:dyDescent="0.2">
      <c r="D413">
        <f t="shared" si="40"/>
        <v>390</v>
      </c>
      <c r="E413" s="1">
        <f>IF($H$11=1,IF(D413&lt;=$A$15, E412+LN($D$11)-LN(60/$E$11)-LN(MIN(D413,$F$11)), E412-LN(60/$E$11)-LN(MIN(D413,$F$11))), IF(D413&lt;=$A$15, E412+LN($D$11)-LN(60/$E$11)-LN(MIN(D413,$F$11)), E412+LN($D$11)+LN(1-$H$11)-LN(60/$E$11)-LN(MIN(D413,$F$11))))</f>
        <v>-45.094681027101345</v>
      </c>
      <c r="F413" s="1">
        <f t="shared" si="41"/>
        <v>-47.096713836300403</v>
      </c>
      <c r="G413" s="1">
        <f t="shared" si="39"/>
        <v>3.516876073945295E-21</v>
      </c>
      <c r="H413" s="1">
        <f t="shared" si="36"/>
        <v>3.4520699833803233E-22</v>
      </c>
      <c r="I413">
        <f>IF($F$11&lt;=D413, IF(D413&lt;=$A$15,D413-$F$11,$C$11),0)</f>
        <v>60</v>
      </c>
      <c r="J413">
        <f t="shared" si="37"/>
        <v>326</v>
      </c>
      <c r="K413" s="5">
        <f>IF(D413&lt;$F$11,H413,0)</f>
        <v>0</v>
      </c>
      <c r="L413">
        <f>IF(D413&lt;$A$15,$D$11,$D$11*(1-$H$11))</f>
        <v>85</v>
      </c>
      <c r="M413">
        <f t="shared" si="38"/>
        <v>1</v>
      </c>
      <c r="N413">
        <f>IF(SUM(I413:J413)&lt;=($G$11/60*$F$11/($E$11/60)),1,0)</f>
        <v>0</v>
      </c>
    </row>
    <row r="414" spans="4:14" x14ac:dyDescent="0.2">
      <c r="D414">
        <f t="shared" si="40"/>
        <v>391</v>
      </c>
      <c r="E414" s="1">
        <f>IF($H$11=1,IF(D414&lt;=$A$15, E413+LN($D$11)-LN(60/$E$11)-LN(MIN(D414,$F$11)), E413-LN(60/$E$11)-LN(MIN(D414,$F$11))), IF(D414&lt;=$A$15, E413+LN($D$11)-LN(60/$E$11)-LN(MIN(D414,$F$11)), E413+LN($D$11)+LN(1-$H$11)-LN(60/$E$11)-LN(MIN(D414,$F$11))))</f>
        <v>-45.216377962078866</v>
      </c>
      <c r="F414" s="1">
        <f t="shared" si="41"/>
        <v>-47.218410771277924</v>
      </c>
      <c r="G414" s="1">
        <f t="shared" si="39"/>
        <v>3.1139006904723922E-21</v>
      </c>
      <c r="H414" s="1">
        <f t="shared" si="36"/>
        <v>3.0565202977846569E-22</v>
      </c>
      <c r="I414">
        <f>IF($F$11&lt;=D414, IF(D414&lt;=$A$15,D414-$F$11,$C$11),0)</f>
        <v>60</v>
      </c>
      <c r="J414">
        <f t="shared" si="37"/>
        <v>327</v>
      </c>
      <c r="K414" s="5">
        <f>IF(D414&lt;$F$11,H414,0)</f>
        <v>0</v>
      </c>
      <c r="L414">
        <f>IF(D414&lt;$A$15,$D$11,$D$11*(1-$H$11))</f>
        <v>85</v>
      </c>
      <c r="M414">
        <f t="shared" si="38"/>
        <v>1</v>
      </c>
      <c r="N414">
        <f>IF(SUM(I414:J414)&lt;=($G$11/60*$F$11/($E$11/60)),1,0)</f>
        <v>0</v>
      </c>
    </row>
    <row r="415" spans="4:14" x14ac:dyDescent="0.2">
      <c r="D415">
        <f t="shared" si="40"/>
        <v>392</v>
      </c>
      <c r="E415" s="1">
        <f>IF($H$11=1,IF(D415&lt;=$A$15, E414+LN($D$11)-LN(60/$E$11)-LN(MIN(D415,$F$11)), E414-LN(60/$E$11)-LN(MIN(D415,$F$11))), IF(D415&lt;=$A$15, E414+LN($D$11)-LN(60/$E$11)-LN(MIN(D415,$F$11)), E414+LN($D$11)+LN(1-$H$11)-LN(60/$E$11)-LN(MIN(D415,$F$11))))</f>
        <v>-45.338074897056387</v>
      </c>
      <c r="F415" s="1">
        <f t="shared" si="41"/>
        <v>-47.340107706255445</v>
      </c>
      <c r="G415" s="1">
        <f t="shared" si="39"/>
        <v>2.7570995696890933E-21</v>
      </c>
      <c r="H415" s="1">
        <f t="shared" si="36"/>
        <v>2.7062940136634945E-22</v>
      </c>
      <c r="I415">
        <f>IF($F$11&lt;=D415, IF(D415&lt;=$A$15,D415-$F$11,$C$11),0)</f>
        <v>60</v>
      </c>
      <c r="J415">
        <f t="shared" si="37"/>
        <v>328</v>
      </c>
      <c r="K415" s="5">
        <f>IF(D415&lt;$F$11,H415,0)</f>
        <v>0</v>
      </c>
      <c r="L415">
        <f>IF(D415&lt;$A$15,$D$11,$D$11*(1-$H$11))</f>
        <v>85</v>
      </c>
      <c r="M415">
        <f t="shared" si="38"/>
        <v>1</v>
      </c>
      <c r="N415">
        <f>IF(SUM(I415:J415)&lt;=($G$11/60*$F$11/($E$11/60)),1,0)</f>
        <v>0</v>
      </c>
    </row>
    <row r="416" spans="4:14" x14ac:dyDescent="0.2">
      <c r="D416">
        <f t="shared" si="40"/>
        <v>393</v>
      </c>
      <c r="E416" s="1">
        <f>IF($H$11=1,IF(D416&lt;=$A$15, E415+LN($D$11)-LN(60/$E$11)-LN(MIN(D416,$F$11)), E415-LN(60/$E$11)-LN(MIN(D416,$F$11))), IF(D416&lt;=$A$15, E415+LN($D$11)-LN(60/$E$11)-LN(MIN(D416,$F$11)), E415+LN($D$11)+LN(1-$H$11)-LN(60/$E$11)-LN(MIN(D416,$F$11))))</f>
        <v>-45.459771832033908</v>
      </c>
      <c r="F416" s="1">
        <f t="shared" si="41"/>
        <v>-47.461804641232966</v>
      </c>
      <c r="G416" s="1">
        <f t="shared" si="39"/>
        <v>2.4411819106622146E-21</v>
      </c>
      <c r="H416" s="1">
        <f t="shared" si="36"/>
        <v>2.396197824597882E-22</v>
      </c>
      <c r="I416">
        <f>IF($F$11&lt;=D416, IF(D416&lt;=$A$15,D416-$F$11,$C$11),0)</f>
        <v>60</v>
      </c>
      <c r="J416">
        <f t="shared" si="37"/>
        <v>329</v>
      </c>
      <c r="K416" s="5">
        <f>IF(D416&lt;$F$11,H416,0)</f>
        <v>0</v>
      </c>
      <c r="L416">
        <f>IF(D416&lt;$A$15,$D$11,$D$11*(1-$H$11))</f>
        <v>85</v>
      </c>
      <c r="M416">
        <f t="shared" si="38"/>
        <v>1</v>
      </c>
      <c r="N416">
        <f>IF(SUM(I416:J416)&lt;=($G$11/60*$F$11/($E$11/60)),1,0)</f>
        <v>0</v>
      </c>
    </row>
    <row r="417" spans="4:14" x14ac:dyDescent="0.2">
      <c r="D417">
        <f t="shared" si="40"/>
        <v>394</v>
      </c>
      <c r="E417" s="1">
        <f>IF($H$11=1,IF(D417&lt;=$A$15, E416+LN($D$11)-LN(60/$E$11)-LN(MIN(D417,$F$11)), E416-LN(60/$E$11)-LN(MIN(D417,$F$11))), IF(D417&lt;=$A$15, E416+LN($D$11)-LN(60/$E$11)-LN(MIN(D417,$F$11)), E416+LN($D$11)+LN(1-$H$11)-LN(60/$E$11)-LN(MIN(D417,$F$11))))</f>
        <v>-45.58146876701143</v>
      </c>
      <c r="F417" s="1">
        <f t="shared" si="41"/>
        <v>-47.583501576210487</v>
      </c>
      <c r="G417" s="1">
        <f t="shared" si="39"/>
        <v>2.1614631500654993E-21</v>
      </c>
      <c r="H417" s="1">
        <f t="shared" si="36"/>
        <v>2.1216334905293716E-22</v>
      </c>
      <c r="I417">
        <f>IF($F$11&lt;=D417, IF(D417&lt;=$A$15,D417-$F$11,$C$11),0)</f>
        <v>60</v>
      </c>
      <c r="J417">
        <f t="shared" si="37"/>
        <v>330</v>
      </c>
      <c r="K417" s="5">
        <f>IF(D417&lt;$F$11,H417,0)</f>
        <v>0</v>
      </c>
      <c r="L417">
        <f>IF(D417&lt;$A$15,$D$11,$D$11*(1-$H$11))</f>
        <v>85</v>
      </c>
      <c r="M417">
        <f t="shared" si="38"/>
        <v>1</v>
      </c>
      <c r="N417">
        <f>IF(SUM(I417:J417)&lt;=($G$11/60*$F$11/($E$11/60)),1,0)</f>
        <v>0</v>
      </c>
    </row>
    <row r="418" spans="4:14" x14ac:dyDescent="0.2">
      <c r="D418">
        <f t="shared" si="40"/>
        <v>395</v>
      </c>
      <c r="E418" s="1">
        <f>IF($H$11=1,IF(D418&lt;=$A$15, E417+LN($D$11)-LN(60/$E$11)-LN(MIN(D418,$F$11)), E417-LN(60/$E$11)-LN(MIN(D418,$F$11))), IF(D418&lt;=$A$15, E417+LN($D$11)-LN(60/$E$11)-LN(MIN(D418,$F$11)), E417+LN($D$11)+LN(1-$H$11)-LN(60/$E$11)-LN(MIN(D418,$F$11))))</f>
        <v>-45.703165701988951</v>
      </c>
      <c r="F418" s="1">
        <f t="shared" si="41"/>
        <v>-47.705198511188009</v>
      </c>
      <c r="G418" s="1">
        <f t="shared" si="39"/>
        <v>1.9137954974538247E-21</v>
      </c>
      <c r="H418" s="1">
        <f t="shared" si="36"/>
        <v>1.8785296530728785E-22</v>
      </c>
      <c r="I418">
        <f>IF($F$11&lt;=D418, IF(D418&lt;=$A$15,D418-$F$11,$C$11),0)</f>
        <v>60</v>
      </c>
      <c r="J418">
        <f t="shared" si="37"/>
        <v>331</v>
      </c>
      <c r="K418" s="5">
        <f>IF(D418&lt;$F$11,H418,0)</f>
        <v>0</v>
      </c>
      <c r="L418">
        <f>IF(D418&lt;$A$15,$D$11,$D$11*(1-$H$11))</f>
        <v>85</v>
      </c>
      <c r="M418">
        <f t="shared" si="38"/>
        <v>1</v>
      </c>
      <c r="N418">
        <f>IF(SUM(I418:J418)&lt;=($G$11/60*$F$11/($E$11/60)),1,0)</f>
        <v>0</v>
      </c>
    </row>
    <row r="419" spans="4:14" x14ac:dyDescent="0.2">
      <c r="D419">
        <f t="shared" si="40"/>
        <v>396</v>
      </c>
      <c r="E419" s="1">
        <f>IF($H$11=1,IF(D419&lt;=$A$15, E418+LN($D$11)-LN(60/$E$11)-LN(MIN(D419,$F$11)), E418-LN(60/$E$11)-LN(MIN(D419,$F$11))), IF(D419&lt;=$A$15, E418+LN($D$11)-LN(60/$E$11)-LN(MIN(D419,$F$11)), E418+LN($D$11)+LN(1-$H$11)-LN(60/$E$11)-LN(MIN(D419,$F$11))))</f>
        <v>-45.824862636966472</v>
      </c>
      <c r="F419" s="1">
        <f t="shared" si="41"/>
        <v>-47.82689544616553</v>
      </c>
      <c r="G419" s="1">
        <f t="shared" si="39"/>
        <v>1.6945064300372383E-21</v>
      </c>
      <c r="H419" s="1">
        <f t="shared" si="36"/>
        <v>1.6632814636582755E-22</v>
      </c>
      <c r="I419">
        <f>IF($F$11&lt;=D419, IF(D419&lt;=$A$15,D419-$F$11,$C$11),0)</f>
        <v>60</v>
      </c>
      <c r="J419">
        <f t="shared" si="37"/>
        <v>332</v>
      </c>
      <c r="K419" s="5">
        <f>IF(D419&lt;$F$11,H419,0)</f>
        <v>0</v>
      </c>
      <c r="L419">
        <f>IF(D419&lt;$A$15,$D$11,$D$11*(1-$H$11))</f>
        <v>85</v>
      </c>
      <c r="M419">
        <f t="shared" si="38"/>
        <v>1</v>
      </c>
      <c r="N419">
        <f>IF(SUM(I419:J419)&lt;=($G$11/60*$F$11/($E$11/60)),1,0)</f>
        <v>0</v>
      </c>
    </row>
    <row r="420" spans="4:14" x14ac:dyDescent="0.2">
      <c r="D420">
        <f t="shared" si="40"/>
        <v>397</v>
      </c>
      <c r="E420" s="1">
        <f>IF($H$11=1,IF(D420&lt;=$A$15, E419+LN($D$11)-LN(60/$E$11)-LN(MIN(D420,$F$11)), E419-LN(60/$E$11)-LN(MIN(D420,$F$11))), IF(D420&lt;=$A$15, E419+LN($D$11)-LN(60/$E$11)-LN(MIN(D420,$F$11)), E419+LN($D$11)+LN(1-$H$11)-LN(60/$E$11)-LN(MIN(D420,$F$11))))</f>
        <v>-45.946559571943993</v>
      </c>
      <c r="F420" s="1">
        <f t="shared" si="41"/>
        <v>-47.948592381143051</v>
      </c>
      <c r="G420" s="1">
        <f t="shared" si="39"/>
        <v>1.5003442349288026E-21</v>
      </c>
      <c r="H420" s="1">
        <f t="shared" si="36"/>
        <v>1.4726971292807628E-22</v>
      </c>
      <c r="I420">
        <f>IF($F$11&lt;=D420, IF(D420&lt;=$A$15,D420-$F$11,$C$11),0)</f>
        <v>60</v>
      </c>
      <c r="J420">
        <f t="shared" si="37"/>
        <v>333</v>
      </c>
      <c r="K420" s="5">
        <f>IF(D420&lt;$F$11,H420,0)</f>
        <v>0</v>
      </c>
      <c r="L420">
        <f>IF(D420&lt;$A$15,$D$11,$D$11*(1-$H$11))</f>
        <v>85</v>
      </c>
      <c r="M420">
        <f t="shared" si="38"/>
        <v>1</v>
      </c>
      <c r="N420">
        <f>IF(SUM(I420:J420)&lt;=($G$11/60*$F$11/($E$11/60)),1,0)</f>
        <v>0</v>
      </c>
    </row>
    <row r="421" spans="4:14" x14ac:dyDescent="0.2">
      <c r="D421">
        <f t="shared" si="40"/>
        <v>398</v>
      </c>
      <c r="E421" s="1">
        <f>IF($H$11=1,IF(D421&lt;=$A$15, E420+LN($D$11)-LN(60/$E$11)-LN(MIN(D421,$F$11)), E420-LN(60/$E$11)-LN(MIN(D421,$F$11))), IF(D421&lt;=$A$15, E420+LN($D$11)-LN(60/$E$11)-LN(MIN(D421,$F$11)), E420+LN($D$11)+LN(1-$H$11)-LN(60/$E$11)-LN(MIN(D421,$F$11))))</f>
        <v>-46.068256506921514</v>
      </c>
      <c r="F421" s="1">
        <f t="shared" si="41"/>
        <v>-48.070289316120572</v>
      </c>
      <c r="G421" s="1">
        <f t="shared" si="39"/>
        <v>1.3284297913432089E-21</v>
      </c>
      <c r="H421" s="1">
        <f t="shared" si="36"/>
        <v>1.3039505832173404E-22</v>
      </c>
      <c r="I421">
        <f>IF($F$11&lt;=D421, IF(D421&lt;=$A$15,D421-$F$11,$C$11),0)</f>
        <v>60</v>
      </c>
      <c r="J421">
        <f t="shared" si="37"/>
        <v>334</v>
      </c>
      <c r="K421" s="5">
        <f>IF(D421&lt;$F$11,H421,0)</f>
        <v>0</v>
      </c>
      <c r="L421">
        <f>IF(D421&lt;$A$15,$D$11,$D$11*(1-$H$11))</f>
        <v>85</v>
      </c>
      <c r="M421">
        <f t="shared" si="38"/>
        <v>1</v>
      </c>
      <c r="N421">
        <f>IF(SUM(I421:J421)&lt;=($G$11/60*$F$11/($E$11/60)),1,0)</f>
        <v>0</v>
      </c>
    </row>
    <row r="422" spans="4:14" x14ac:dyDescent="0.2">
      <c r="D422">
        <f t="shared" si="40"/>
        <v>399</v>
      </c>
      <c r="E422" s="1">
        <f>IF($H$11=1,IF(D422&lt;=$A$15, E421+LN($D$11)-LN(60/$E$11)-LN(MIN(D422,$F$11)), E421-LN(60/$E$11)-LN(MIN(D422,$F$11))), IF(D422&lt;=$A$15, E421+LN($D$11)-LN(60/$E$11)-LN(MIN(D422,$F$11)), E421+LN($D$11)+LN(1-$H$11)-LN(60/$E$11)-LN(MIN(D422,$F$11))))</f>
        <v>-46.189953441899036</v>
      </c>
      <c r="F422" s="1">
        <f t="shared" si="41"/>
        <v>-48.191986251098093</v>
      </c>
      <c r="G422" s="1">
        <f t="shared" si="39"/>
        <v>1.1762138777517978E-21</v>
      </c>
      <c r="H422" s="1">
        <f t="shared" si="36"/>
        <v>1.1545395788903516E-22</v>
      </c>
      <c r="I422">
        <f>IF($F$11&lt;=D422, IF(D422&lt;=$A$15,D422-$F$11,$C$11),0)</f>
        <v>60</v>
      </c>
      <c r="J422">
        <f t="shared" si="37"/>
        <v>335</v>
      </c>
      <c r="K422" s="5">
        <f>IF(D422&lt;$F$11,H422,0)</f>
        <v>0</v>
      </c>
      <c r="L422">
        <f>IF(D422&lt;$A$15,$D$11,$D$11*(1-$H$11))</f>
        <v>85</v>
      </c>
      <c r="M422">
        <f t="shared" si="38"/>
        <v>1</v>
      </c>
      <c r="N422">
        <f>IF(SUM(I422:J422)&lt;=($G$11/60*$F$11/($E$11/60)),1,0)</f>
        <v>0</v>
      </c>
    </row>
    <row r="423" spans="4:14" x14ac:dyDescent="0.2">
      <c r="D423">
        <f t="shared" si="40"/>
        <v>400</v>
      </c>
      <c r="E423" s="1">
        <f>IF($H$11=1,IF(D423&lt;=$A$15, E422+LN($D$11)-LN(60/$E$11)-LN(MIN(D423,$F$11)), E422-LN(60/$E$11)-LN(MIN(D423,$F$11))), IF(D423&lt;=$A$15, E422+LN($D$11)-LN(60/$E$11)-LN(MIN(D423,$F$11)), E422+LN($D$11)+LN(1-$H$11)-LN(60/$E$11)-LN(MIN(D423,$F$11))))</f>
        <v>-46.311650376876557</v>
      </c>
      <c r="F423" s="1">
        <f t="shared" si="41"/>
        <v>-48.313683186075615</v>
      </c>
      <c r="G423" s="1">
        <f t="shared" si="39"/>
        <v>1.0414393709260694E-21</v>
      </c>
      <c r="H423" s="1">
        <f t="shared" si="36"/>
        <v>1.0222485854758306E-22</v>
      </c>
      <c r="I423">
        <f>IF($F$11&lt;=D423, IF(D423&lt;=$A$15,D423-$F$11,$C$11),0)</f>
        <v>60</v>
      </c>
      <c r="J423">
        <f t="shared" si="37"/>
        <v>336</v>
      </c>
      <c r="K423" s="5">
        <f>IF(D423&lt;$F$11,H423,0)</f>
        <v>0</v>
      </c>
      <c r="L423">
        <f>IF(D423&lt;$A$15,$D$11,$D$11*(1-$H$11))</f>
        <v>85</v>
      </c>
      <c r="M423">
        <f t="shared" si="38"/>
        <v>1</v>
      </c>
      <c r="N423">
        <f>IF(SUM(I423:J423)&lt;=($G$11/60*$F$11/($E$11/60)),1,0)</f>
        <v>0</v>
      </c>
    </row>
    <row r="424" spans="4:14" x14ac:dyDescent="0.2">
      <c r="D424">
        <f t="shared" si="40"/>
        <v>401</v>
      </c>
      <c r="E424" s="1">
        <f>IF($H$11=1,IF(D424&lt;=$A$15, E423+LN($D$11)-LN(60/$E$11)-LN(MIN(D424,$F$11)), E423-LN(60/$E$11)-LN(MIN(D424,$F$11))), IF(D424&lt;=$A$15, E423+LN($D$11)-LN(60/$E$11)-LN(MIN(D424,$F$11)), E423+LN($D$11)+LN(1-$H$11)-LN(60/$E$11)-LN(MIN(D424,$F$11))))</f>
        <v>-46.433347311854078</v>
      </c>
      <c r="F424" s="1">
        <f t="shared" si="41"/>
        <v>-48.435380121053136</v>
      </c>
      <c r="G424" s="1">
        <f t="shared" si="39"/>
        <v>9.2210777634078943E-22</v>
      </c>
      <c r="H424" s="1">
        <f t="shared" si="36"/>
        <v>9.0511593505672393E-23</v>
      </c>
      <c r="I424">
        <f>IF($F$11&lt;=D424, IF(D424&lt;=$A$15,D424-$F$11,$C$11),0)</f>
        <v>60</v>
      </c>
      <c r="J424">
        <f t="shared" si="37"/>
        <v>337</v>
      </c>
      <c r="K424" s="5">
        <f>IF(D424&lt;$F$11,H424,0)</f>
        <v>0</v>
      </c>
      <c r="L424">
        <f>IF(D424&lt;$A$15,$D$11,$D$11*(1-$H$11))</f>
        <v>85</v>
      </c>
      <c r="M424">
        <f t="shared" si="38"/>
        <v>1</v>
      </c>
      <c r="N424">
        <f>IF(SUM(I424:J424)&lt;=($G$11/60*$F$11/($E$11/60)),1,0)</f>
        <v>0</v>
      </c>
    </row>
    <row r="425" spans="4:14" x14ac:dyDescent="0.2">
      <c r="D425">
        <f t="shared" si="40"/>
        <v>402</v>
      </c>
      <c r="E425" s="1">
        <f>IF($H$11=1,IF(D425&lt;=$A$15, E424+LN($D$11)-LN(60/$E$11)-LN(MIN(D425,$F$11)), E424-LN(60/$E$11)-LN(MIN(D425,$F$11))), IF(D425&lt;=$A$15, E424+LN($D$11)-LN(60/$E$11)-LN(MIN(D425,$F$11)), E424+LN($D$11)+LN(1-$H$11)-LN(60/$E$11)-LN(MIN(D425,$F$11))))</f>
        <v>-46.555044246831599</v>
      </c>
      <c r="F425" s="1">
        <f t="shared" si="41"/>
        <v>-48.557077056030657</v>
      </c>
      <c r="G425" s="1">
        <f t="shared" si="39"/>
        <v>8.1644959363507274E-22</v>
      </c>
      <c r="H425" s="1">
        <f t="shared" si="36"/>
        <v>8.014047341648064E-23</v>
      </c>
      <c r="I425">
        <f>IF($F$11&lt;=D425, IF(D425&lt;=$A$15,D425-$F$11,$C$11),0)</f>
        <v>60</v>
      </c>
      <c r="J425">
        <f t="shared" si="37"/>
        <v>338</v>
      </c>
      <c r="K425" s="5">
        <f>IF(D425&lt;$F$11,H425,0)</f>
        <v>0</v>
      </c>
      <c r="L425">
        <f>IF(D425&lt;$A$15,$D$11,$D$11*(1-$H$11))</f>
        <v>85</v>
      </c>
      <c r="M425">
        <f t="shared" si="38"/>
        <v>1</v>
      </c>
      <c r="N425">
        <f>IF(SUM(I425:J425)&lt;=($G$11/60*$F$11/($E$11/60)),1,0)</f>
        <v>0</v>
      </c>
    </row>
    <row r="426" spans="4:14" x14ac:dyDescent="0.2">
      <c r="D426">
        <f t="shared" si="40"/>
        <v>403</v>
      </c>
      <c r="E426" s="1">
        <f>IF($H$11=1,IF(D426&lt;=$A$15, E425+LN($D$11)-LN(60/$E$11)-LN(MIN(D426,$F$11)), E425-LN(60/$E$11)-LN(MIN(D426,$F$11))), IF(D426&lt;=$A$15, E425+LN($D$11)-LN(60/$E$11)-LN(MIN(D426,$F$11)), E425+LN($D$11)+LN(1-$H$11)-LN(60/$E$11)-LN(MIN(D426,$F$11))))</f>
        <v>-46.67674118180912</v>
      </c>
      <c r="F426" s="1">
        <f t="shared" si="41"/>
        <v>-48.678773991008178</v>
      </c>
      <c r="G426" s="1">
        <f t="shared" si="39"/>
        <v>7.2289807769771963E-22</v>
      </c>
      <c r="H426" s="1">
        <f t="shared" si="36"/>
        <v>7.0957710837508796E-23</v>
      </c>
      <c r="I426">
        <f>IF($F$11&lt;=D426, IF(D426&lt;=$A$15,D426-$F$11,$C$11),0)</f>
        <v>60</v>
      </c>
      <c r="J426">
        <f t="shared" si="37"/>
        <v>339</v>
      </c>
      <c r="K426" s="5">
        <f>IF(D426&lt;$F$11,H426,0)</f>
        <v>0</v>
      </c>
      <c r="L426">
        <f>IF(D426&lt;$A$15,$D$11,$D$11*(1-$H$11))</f>
        <v>85</v>
      </c>
      <c r="M426">
        <f t="shared" si="38"/>
        <v>1</v>
      </c>
      <c r="N426">
        <f>IF(SUM(I426:J426)&lt;=($G$11/60*$F$11/($E$11/60)),1,0)</f>
        <v>0</v>
      </c>
    </row>
    <row r="427" spans="4:14" x14ac:dyDescent="0.2">
      <c r="D427">
        <f t="shared" si="40"/>
        <v>404</v>
      </c>
      <c r="E427" s="1">
        <f>IF($H$11=1,IF(D427&lt;=$A$15, E426+LN($D$11)-LN(60/$E$11)-LN(MIN(D427,$F$11)), E426-LN(60/$E$11)-LN(MIN(D427,$F$11))), IF(D427&lt;=$A$15, E426+LN($D$11)-LN(60/$E$11)-LN(MIN(D427,$F$11)), E426+LN($D$11)+LN(1-$H$11)-LN(60/$E$11)-LN(MIN(D427,$F$11))))</f>
        <v>-46.798438116786642</v>
      </c>
      <c r="F427" s="1">
        <f t="shared" si="41"/>
        <v>-48.800470925985699</v>
      </c>
      <c r="G427" s="1">
        <f t="shared" si="39"/>
        <v>6.4006600629485503E-22</v>
      </c>
      <c r="H427" s="1">
        <f t="shared" si="36"/>
        <v>6.2827139804044158E-23</v>
      </c>
      <c r="I427">
        <f>IF($F$11&lt;=D427, IF(D427&lt;=$A$15,D427-$F$11,$C$11),0)</f>
        <v>60</v>
      </c>
      <c r="J427">
        <f t="shared" si="37"/>
        <v>340</v>
      </c>
      <c r="K427" s="5">
        <f>IF(D427&lt;$F$11,H427,0)</f>
        <v>0</v>
      </c>
      <c r="L427">
        <f>IF(D427&lt;$A$15,$D$11,$D$11*(1-$H$11))</f>
        <v>85</v>
      </c>
      <c r="M427">
        <f t="shared" si="38"/>
        <v>1</v>
      </c>
      <c r="N427">
        <f>IF(SUM(I427:J427)&lt;=($G$11/60*$F$11/($E$11/60)),1,0)</f>
        <v>0</v>
      </c>
    </row>
    <row r="428" spans="4:14" x14ac:dyDescent="0.2">
      <c r="D428">
        <f t="shared" si="40"/>
        <v>405</v>
      </c>
      <c r="E428" s="1">
        <f>IF($H$11=1,IF(D428&lt;=$A$15, E427+LN($D$11)-LN(60/$E$11)-LN(MIN(D428,$F$11)), E427-LN(60/$E$11)-LN(MIN(D428,$F$11))), IF(D428&lt;=$A$15, E427+LN($D$11)-LN(60/$E$11)-LN(MIN(D428,$F$11)), E427+LN($D$11)+LN(1-$H$11)-LN(60/$E$11)-LN(MIN(D428,$F$11))))</f>
        <v>-46.920135051764163</v>
      </c>
      <c r="F428" s="1">
        <f t="shared" si="41"/>
        <v>-48.922167860963221</v>
      </c>
      <c r="G428" s="1">
        <f t="shared" si="39"/>
        <v>5.6672510974023541E-22</v>
      </c>
      <c r="H428" s="1">
        <f t="shared" si="36"/>
        <v>5.5628196701497362E-23</v>
      </c>
      <c r="I428">
        <f>IF($F$11&lt;=D428, IF(D428&lt;=$A$15,D428-$F$11,$C$11),0)</f>
        <v>60</v>
      </c>
      <c r="J428">
        <f t="shared" si="37"/>
        <v>341</v>
      </c>
      <c r="K428" s="5">
        <f>IF(D428&lt;$F$11,H428,0)</f>
        <v>0</v>
      </c>
      <c r="L428">
        <f>IF(D428&lt;$A$15,$D$11,$D$11*(1-$H$11))</f>
        <v>85</v>
      </c>
      <c r="M428">
        <f t="shared" si="38"/>
        <v>1</v>
      </c>
      <c r="N428">
        <f>IF(SUM(I428:J428)&lt;=($G$11/60*$F$11/($E$11/60)),1,0)</f>
        <v>0</v>
      </c>
    </row>
    <row r="429" spans="4:14" x14ac:dyDescent="0.2">
      <c r="D429">
        <f t="shared" si="40"/>
        <v>406</v>
      </c>
      <c r="E429" s="1">
        <f>IF($H$11=1,IF(D429&lt;=$A$15, E428+LN($D$11)-LN(60/$E$11)-LN(MIN(D429,$F$11)), E428-LN(60/$E$11)-LN(MIN(D429,$F$11))), IF(D429&lt;=$A$15, E428+LN($D$11)-LN(60/$E$11)-LN(MIN(D429,$F$11)), E428+LN($D$11)+LN(1-$H$11)-LN(60/$E$11)-LN(MIN(D429,$F$11))))</f>
        <v>-47.041831986741684</v>
      </c>
      <c r="F429" s="1">
        <f t="shared" si="41"/>
        <v>-49.043864795940742</v>
      </c>
      <c r="G429" s="1">
        <f t="shared" si="39"/>
        <v>5.0178785758249932E-22</v>
      </c>
      <c r="H429" s="1">
        <f t="shared" si="36"/>
        <v>4.9254132496117371E-23</v>
      </c>
      <c r="I429">
        <f>IF($F$11&lt;=D429, IF(D429&lt;=$A$15,D429-$F$11,$C$11),0)</f>
        <v>60</v>
      </c>
      <c r="J429">
        <f t="shared" si="37"/>
        <v>342</v>
      </c>
      <c r="K429" s="5">
        <f>IF(D429&lt;$F$11,H429,0)</f>
        <v>0</v>
      </c>
      <c r="L429">
        <f>IF(D429&lt;$A$15,$D$11,$D$11*(1-$H$11))</f>
        <v>85</v>
      </c>
      <c r="M429">
        <f t="shared" si="38"/>
        <v>1</v>
      </c>
      <c r="N429">
        <f>IF(SUM(I429:J429)&lt;=($G$11/60*$F$11/($E$11/60)),1,0)</f>
        <v>0</v>
      </c>
    </row>
    <row r="430" spans="4:14" x14ac:dyDescent="0.2">
      <c r="D430">
        <f t="shared" si="40"/>
        <v>407</v>
      </c>
      <c r="E430" s="1">
        <f>IF($H$11=1,IF(D430&lt;=$A$15, E429+LN($D$11)-LN(60/$E$11)-LN(MIN(D430,$F$11)), E429-LN(60/$E$11)-LN(MIN(D430,$F$11))), IF(D430&lt;=$A$15, E429+LN($D$11)-LN(60/$E$11)-LN(MIN(D430,$F$11)), E429+LN($D$11)+LN(1-$H$11)-LN(60/$E$11)-LN(MIN(D430,$F$11))))</f>
        <v>-47.163528921719205</v>
      </c>
      <c r="F430" s="1">
        <f t="shared" si="41"/>
        <v>-49.165561730918263</v>
      </c>
      <c r="G430" s="1">
        <f t="shared" si="39"/>
        <v>4.4429133223450404E-22</v>
      </c>
      <c r="H430" s="1">
        <f t="shared" si="36"/>
        <v>4.3610429814270534E-23</v>
      </c>
      <c r="I430">
        <f>IF($F$11&lt;=D430, IF(D430&lt;=$A$15,D430-$F$11,$C$11),0)</f>
        <v>60</v>
      </c>
      <c r="J430">
        <f t="shared" si="37"/>
        <v>343</v>
      </c>
      <c r="K430" s="5">
        <f>IF(D430&lt;$F$11,H430,0)</f>
        <v>0</v>
      </c>
      <c r="L430">
        <f>IF(D430&lt;$A$15,$D$11,$D$11*(1-$H$11))</f>
        <v>85</v>
      </c>
      <c r="M430">
        <f t="shared" si="38"/>
        <v>1</v>
      </c>
      <c r="N430">
        <f>IF(SUM(I430:J430)&lt;=($G$11/60*$F$11/($E$11/60)),1,0)</f>
        <v>0</v>
      </c>
    </row>
    <row r="431" spans="4:14" x14ac:dyDescent="0.2">
      <c r="D431">
        <f t="shared" si="40"/>
        <v>408</v>
      </c>
      <c r="E431" s="1">
        <f>IF($H$11=1,IF(D431&lt;=$A$15, E430+LN($D$11)-LN(60/$E$11)-LN(MIN(D431,$F$11)), E430-LN(60/$E$11)-LN(MIN(D431,$F$11))), IF(D431&lt;=$A$15, E430+LN($D$11)-LN(60/$E$11)-LN(MIN(D431,$F$11)), E430+LN($D$11)+LN(1-$H$11)-LN(60/$E$11)-LN(MIN(D431,$F$11))))</f>
        <v>-47.285225856696727</v>
      </c>
      <c r="F431" s="1">
        <f t="shared" si="41"/>
        <v>-49.287258665895784</v>
      </c>
      <c r="G431" s="1">
        <f t="shared" si="39"/>
        <v>3.9338295041596653E-22</v>
      </c>
      <c r="H431" s="1">
        <f t="shared" si="36"/>
        <v>3.861340139805198E-23</v>
      </c>
      <c r="I431">
        <f>IF($F$11&lt;=D431, IF(D431&lt;=$A$15,D431-$F$11,$C$11),0)</f>
        <v>60</v>
      </c>
      <c r="J431">
        <f t="shared" si="37"/>
        <v>344</v>
      </c>
      <c r="K431" s="5">
        <f>IF(D431&lt;$F$11,H431,0)</f>
        <v>0</v>
      </c>
      <c r="L431">
        <f>IF(D431&lt;$A$15,$D$11,$D$11*(1-$H$11))</f>
        <v>85</v>
      </c>
      <c r="M431">
        <f t="shared" si="38"/>
        <v>1</v>
      </c>
      <c r="N431">
        <f>IF(SUM(I431:J431)&lt;=($G$11/60*$F$11/($E$11/60)),1,0)</f>
        <v>0</v>
      </c>
    </row>
    <row r="432" spans="4:14" x14ac:dyDescent="0.2">
      <c r="D432">
        <f t="shared" si="40"/>
        <v>409</v>
      </c>
      <c r="E432" s="1">
        <f>IF($H$11=1,IF(D432&lt;=$A$15, E431+LN($D$11)-LN(60/$E$11)-LN(MIN(D432,$F$11)), E431-LN(60/$E$11)-LN(MIN(D432,$F$11))), IF(D432&lt;=$A$15, E431+LN($D$11)-LN(60/$E$11)-LN(MIN(D432,$F$11)), E431+LN($D$11)+LN(1-$H$11)-LN(60/$E$11)-LN(MIN(D432,$F$11))))</f>
        <v>-47.406922791674248</v>
      </c>
      <c r="F432" s="1">
        <f t="shared" si="41"/>
        <v>-49.408955600873306</v>
      </c>
      <c r="G432" s="1">
        <f t="shared" si="39"/>
        <v>3.4830782068080322E-22</v>
      </c>
      <c r="H432" s="1">
        <f t="shared" si="36"/>
        <v>3.4188949154525144E-23</v>
      </c>
      <c r="I432">
        <f>IF($F$11&lt;=D432, IF(D432&lt;=$A$15,D432-$F$11,$C$11),0)</f>
        <v>60</v>
      </c>
      <c r="J432">
        <f t="shared" si="37"/>
        <v>345</v>
      </c>
      <c r="K432" s="5">
        <f>IF(D432&lt;$F$11,H432,0)</f>
        <v>0</v>
      </c>
      <c r="L432">
        <f>IF(D432&lt;$A$15,$D$11,$D$11*(1-$H$11))</f>
        <v>85</v>
      </c>
      <c r="M432">
        <f t="shared" si="38"/>
        <v>1</v>
      </c>
      <c r="N432">
        <f>IF(SUM(I432:J432)&lt;=($G$11/60*$F$11/($E$11/60)),1,0)</f>
        <v>0</v>
      </c>
    </row>
    <row r="433" spans="4:14" x14ac:dyDescent="0.2">
      <c r="D433">
        <f t="shared" si="40"/>
        <v>410</v>
      </c>
      <c r="E433" s="1">
        <f>IF($H$11=1,IF(D433&lt;=$A$15, E432+LN($D$11)-LN(60/$E$11)-LN(MIN(D433,$F$11)), E432-LN(60/$E$11)-LN(MIN(D433,$F$11))), IF(D433&lt;=$A$15, E432+LN($D$11)-LN(60/$E$11)-LN(MIN(D433,$F$11)), E432+LN($D$11)+LN(1-$H$11)-LN(60/$E$11)-LN(MIN(D433,$F$11))))</f>
        <v>-47.528619726651769</v>
      </c>
      <c r="F433" s="1">
        <f t="shared" si="41"/>
        <v>-49.530652535850827</v>
      </c>
      <c r="G433" s="1">
        <f t="shared" si="39"/>
        <v>3.0839754956112739E-22</v>
      </c>
      <c r="H433" s="1">
        <f t="shared" si="36"/>
        <v>3.0271465397235757E-23</v>
      </c>
      <c r="I433">
        <f>IF($F$11&lt;=D433, IF(D433&lt;=$A$15,D433-$F$11,$C$11),0)</f>
        <v>60</v>
      </c>
      <c r="J433">
        <f t="shared" si="37"/>
        <v>346</v>
      </c>
      <c r="K433" s="5">
        <f>IF(D433&lt;$F$11,H433,0)</f>
        <v>0</v>
      </c>
      <c r="L433">
        <f>IF(D433&lt;$A$15,$D$11,$D$11*(1-$H$11))</f>
        <v>85</v>
      </c>
      <c r="M433">
        <f t="shared" si="38"/>
        <v>1</v>
      </c>
      <c r="N433">
        <f>IF(SUM(I433:J433)&lt;=($G$11/60*$F$11/($E$11/60)),1,0)</f>
        <v>0</v>
      </c>
    </row>
    <row r="434" spans="4:14" x14ac:dyDescent="0.2">
      <c r="D434">
        <f t="shared" si="40"/>
        <v>411</v>
      </c>
      <c r="E434" s="1">
        <f>IF($H$11=1,IF(D434&lt;=$A$15, E433+LN($D$11)-LN(60/$E$11)-LN(MIN(D434,$F$11)), E433-LN(60/$E$11)-LN(MIN(D434,$F$11))), IF(D434&lt;=$A$15, E433+LN($D$11)-LN(60/$E$11)-LN(MIN(D434,$F$11)), E433+LN($D$11)+LN(1-$H$11)-LN(60/$E$11)-LN(MIN(D434,$F$11))))</f>
        <v>-47.65031666162929</v>
      </c>
      <c r="F434" s="1">
        <f t="shared" si="41"/>
        <v>-49.652349470828348</v>
      </c>
      <c r="G434" s="1">
        <f t="shared" si="39"/>
        <v>2.7306033034058116E-22</v>
      </c>
      <c r="H434" s="1">
        <f t="shared" si="36"/>
        <v>2.6802859987135787E-23</v>
      </c>
      <c r="I434">
        <f>IF($F$11&lt;=D434, IF(D434&lt;=$A$15,D434-$F$11,$C$11),0)</f>
        <v>60</v>
      </c>
      <c r="J434">
        <f t="shared" si="37"/>
        <v>347</v>
      </c>
      <c r="K434" s="5">
        <f>IF(D434&lt;$F$11,H434,0)</f>
        <v>0</v>
      </c>
      <c r="L434">
        <f>IF(D434&lt;$A$15,$D$11,$D$11*(1-$H$11))</f>
        <v>85</v>
      </c>
      <c r="M434">
        <f t="shared" si="38"/>
        <v>1</v>
      </c>
      <c r="N434">
        <f>IF(SUM(I434:J434)&lt;=($G$11/60*$F$11/($E$11/60)),1,0)</f>
        <v>0</v>
      </c>
    </row>
    <row r="435" spans="4:14" x14ac:dyDescent="0.2">
      <c r="D435">
        <f t="shared" si="40"/>
        <v>412</v>
      </c>
      <c r="E435" s="1">
        <f>IF($H$11=1,IF(D435&lt;=$A$15, E434+LN($D$11)-LN(60/$E$11)-LN(MIN(D435,$F$11)), E434-LN(60/$E$11)-LN(MIN(D435,$F$11))), IF(D435&lt;=$A$15, E434+LN($D$11)-LN(60/$E$11)-LN(MIN(D435,$F$11)), E434+LN($D$11)+LN(1-$H$11)-LN(60/$E$11)-LN(MIN(D435,$F$11))))</f>
        <v>-47.772013596606811</v>
      </c>
      <c r="F435" s="1">
        <f t="shared" si="41"/>
        <v>-49.774046405805869</v>
      </c>
      <c r="G435" s="1">
        <f t="shared" si="39"/>
        <v>2.4177216748905588E-22</v>
      </c>
      <c r="H435" s="1">
        <f t="shared" si="36"/>
        <v>2.3731698946943112E-23</v>
      </c>
      <c r="I435">
        <f>IF($F$11&lt;=D435, IF(D435&lt;=$A$15,D435-$F$11,$C$11),0)</f>
        <v>60</v>
      </c>
      <c r="J435">
        <f t="shared" si="37"/>
        <v>348</v>
      </c>
      <c r="K435" s="5">
        <f>IF(D435&lt;$F$11,H435,0)</f>
        <v>0</v>
      </c>
      <c r="L435">
        <f>IF(D435&lt;$A$15,$D$11,$D$11*(1-$H$11))</f>
        <v>85</v>
      </c>
      <c r="M435">
        <f t="shared" si="38"/>
        <v>1</v>
      </c>
      <c r="N435">
        <f>IF(SUM(I435:J435)&lt;=($G$11/60*$F$11/($E$11/60)),1,0)</f>
        <v>0</v>
      </c>
    </row>
    <row r="436" spans="4:14" x14ac:dyDescent="0.2">
      <c r="D436">
        <f t="shared" si="40"/>
        <v>413</v>
      </c>
      <c r="E436" s="1">
        <f>IF($H$11=1,IF(D436&lt;=$A$15, E435+LN($D$11)-LN(60/$E$11)-LN(MIN(D436,$F$11)), E435-LN(60/$E$11)-LN(MIN(D436,$F$11))), IF(D436&lt;=$A$15, E435+LN($D$11)-LN(60/$E$11)-LN(MIN(D436,$F$11)), E435+LN($D$11)+LN(1-$H$11)-LN(60/$E$11)-LN(MIN(D436,$F$11))))</f>
        <v>-47.893710531584333</v>
      </c>
      <c r="F436" s="1">
        <f t="shared" si="41"/>
        <v>-49.89574334078339</v>
      </c>
      <c r="G436" s="1">
        <f t="shared" si="39"/>
        <v>2.1406910663093459E-22</v>
      </c>
      <c r="H436" s="1">
        <f t="shared" si="36"/>
        <v>2.1012441775939183E-23</v>
      </c>
      <c r="I436">
        <f>IF($F$11&lt;=D436, IF(D436&lt;=$A$15,D436-$F$11,$C$11),0)</f>
        <v>60</v>
      </c>
      <c r="J436">
        <f t="shared" si="37"/>
        <v>349</v>
      </c>
      <c r="K436" s="5">
        <f>IF(D436&lt;$F$11,H436,0)</f>
        <v>0</v>
      </c>
      <c r="L436">
        <f>IF(D436&lt;$A$15,$D$11,$D$11*(1-$H$11))</f>
        <v>85</v>
      </c>
      <c r="M436">
        <f t="shared" si="38"/>
        <v>1</v>
      </c>
      <c r="N436">
        <f>IF(SUM(I436:J436)&lt;=($G$11/60*$F$11/($E$11/60)),1,0)</f>
        <v>0</v>
      </c>
    </row>
    <row r="437" spans="4:14" x14ac:dyDescent="0.2">
      <c r="D437">
        <f t="shared" si="40"/>
        <v>414</v>
      </c>
      <c r="E437" s="1">
        <f>IF($H$11=1,IF(D437&lt;=$A$15, E436+LN($D$11)-LN(60/$E$11)-LN(MIN(D437,$F$11)), E436-LN(60/$E$11)-LN(MIN(D437,$F$11))), IF(D437&lt;=$A$15, E436+LN($D$11)-LN(60/$E$11)-LN(MIN(D437,$F$11)), E436+LN($D$11)+LN(1-$H$11)-LN(60/$E$11)-LN(MIN(D437,$F$11))))</f>
        <v>-48.015407466561854</v>
      </c>
      <c r="F437" s="1">
        <f t="shared" si="41"/>
        <v>-50.017440275760912</v>
      </c>
      <c r="G437" s="1">
        <f t="shared" si="39"/>
        <v>1.8954035482947306E-22</v>
      </c>
      <c r="H437" s="1">
        <f t="shared" si="36"/>
        <v>1.860476615577946E-23</v>
      </c>
      <c r="I437">
        <f>IF($F$11&lt;=D437, IF(D437&lt;=$A$15,D437-$F$11,$C$11),0)</f>
        <v>60</v>
      </c>
      <c r="J437">
        <f t="shared" si="37"/>
        <v>350</v>
      </c>
      <c r="K437" s="5">
        <f>IF(D437&lt;$F$11,H437,0)</f>
        <v>0</v>
      </c>
      <c r="L437">
        <f>IF(D437&lt;$A$15,$D$11,$D$11*(1-$H$11))</f>
        <v>85</v>
      </c>
      <c r="M437">
        <f t="shared" si="38"/>
        <v>1</v>
      </c>
      <c r="N437">
        <f>IF(SUM(I437:J437)&lt;=($G$11/60*$F$11/($E$11/60)),1,0)</f>
        <v>0</v>
      </c>
    </row>
    <row r="438" spans="4:14" x14ac:dyDescent="0.2">
      <c r="D438">
        <f t="shared" si="40"/>
        <v>415</v>
      </c>
      <c r="E438" s="1">
        <f>IF($H$11=1,IF(D438&lt;=$A$15, E437+LN($D$11)-LN(60/$E$11)-LN(MIN(D438,$F$11)), E437-LN(60/$E$11)-LN(MIN(D438,$F$11))), IF(D438&lt;=$A$15, E437+LN($D$11)-LN(60/$E$11)-LN(MIN(D438,$F$11)), E437+LN($D$11)+LN(1-$H$11)-LN(60/$E$11)-LN(MIN(D438,$F$11))))</f>
        <v>-48.137104401539375</v>
      </c>
      <c r="F438" s="1">
        <f t="shared" si="41"/>
        <v>-50.139137210738433</v>
      </c>
      <c r="G438" s="1">
        <f t="shared" si="39"/>
        <v>1.6782218917192904E-22</v>
      </c>
      <c r="H438" s="1">
        <f t="shared" si="36"/>
        <v>1.647297003376304E-23</v>
      </c>
      <c r="I438">
        <f>IF($F$11&lt;=D438, IF(D438&lt;=$A$15,D438-$F$11,$C$11),0)</f>
        <v>60</v>
      </c>
      <c r="J438">
        <f t="shared" si="37"/>
        <v>351</v>
      </c>
      <c r="K438" s="5">
        <f>IF(D438&lt;$F$11,H438,0)</f>
        <v>0</v>
      </c>
      <c r="L438">
        <f>IF(D438&lt;$A$15,$D$11,$D$11*(1-$H$11))</f>
        <v>85</v>
      </c>
      <c r="M438">
        <f t="shared" si="38"/>
        <v>1</v>
      </c>
      <c r="N438">
        <f>IF(SUM(I438:J438)&lt;=($G$11/60*$F$11/($E$11/60)),1,0)</f>
        <v>0</v>
      </c>
    </row>
    <row r="439" spans="4:14" x14ac:dyDescent="0.2">
      <c r="D439">
        <f t="shared" si="40"/>
        <v>416</v>
      </c>
      <c r="E439" s="1">
        <f>IF($H$11=1,IF(D439&lt;=$A$15, E438+LN($D$11)-LN(60/$E$11)-LN(MIN(D439,$F$11)), E438-LN(60/$E$11)-LN(MIN(D439,$F$11))), IF(D439&lt;=$A$15, E438+LN($D$11)-LN(60/$E$11)-LN(MIN(D439,$F$11)), E438+LN($D$11)+LN(1-$H$11)-LN(60/$E$11)-LN(MIN(D439,$F$11))))</f>
        <v>-48.258801336516896</v>
      </c>
      <c r="F439" s="1">
        <f t="shared" si="41"/>
        <v>-50.260834145715954</v>
      </c>
      <c r="G439" s="1">
        <f t="shared" si="39"/>
        <v>1.4859256332931197E-22</v>
      </c>
      <c r="H439" s="1">
        <f t="shared" si="36"/>
        <v>1.458544221739434E-23</v>
      </c>
      <c r="I439">
        <f>IF($F$11&lt;=D439, IF(D439&lt;=$A$15,D439-$F$11,$C$11),0)</f>
        <v>60</v>
      </c>
      <c r="J439">
        <f t="shared" si="37"/>
        <v>352</v>
      </c>
      <c r="K439" s="5">
        <f>IF(D439&lt;$F$11,H439,0)</f>
        <v>0</v>
      </c>
      <c r="L439">
        <f>IF(D439&lt;$A$15,$D$11,$D$11*(1-$H$11))</f>
        <v>85</v>
      </c>
      <c r="M439">
        <f t="shared" si="38"/>
        <v>1</v>
      </c>
      <c r="N439">
        <f>IF(SUM(I439:J439)&lt;=($G$11/60*$F$11/($E$11/60)),1,0)</f>
        <v>0</v>
      </c>
    </row>
    <row r="440" spans="4:14" x14ac:dyDescent="0.2">
      <c r="D440">
        <f t="shared" si="40"/>
        <v>417</v>
      </c>
      <c r="E440" s="1">
        <f>IF($H$11=1,IF(D440&lt;=$A$15, E439+LN($D$11)-LN(60/$E$11)-LN(MIN(D440,$F$11)), E439-LN(60/$E$11)-LN(MIN(D440,$F$11))), IF(D440&lt;=$A$15, E439+LN($D$11)-LN(60/$E$11)-LN(MIN(D440,$F$11)), E439+LN($D$11)+LN(1-$H$11)-LN(60/$E$11)-LN(MIN(D440,$F$11))))</f>
        <v>-48.380498271494417</v>
      </c>
      <c r="F440" s="1">
        <f t="shared" si="41"/>
        <v>-50.382531080693475</v>
      </c>
      <c r="G440" s="1">
        <f t="shared" si="39"/>
        <v>1.3156633211449477E-22</v>
      </c>
      <c r="H440" s="1">
        <f t="shared" si="36"/>
        <v>1.291419362998455E-23</v>
      </c>
      <c r="I440">
        <f>IF($F$11&lt;=D440, IF(D440&lt;=$A$15,D440-$F$11,$C$11),0)</f>
        <v>60</v>
      </c>
      <c r="J440">
        <f t="shared" si="37"/>
        <v>353</v>
      </c>
      <c r="K440" s="5">
        <f>IF(D440&lt;$F$11,H440,0)</f>
        <v>0</v>
      </c>
      <c r="L440">
        <f>IF(D440&lt;$A$15,$D$11,$D$11*(1-$H$11))</f>
        <v>85</v>
      </c>
      <c r="M440">
        <f t="shared" si="38"/>
        <v>1</v>
      </c>
      <c r="N440">
        <f>IF(SUM(I440:J440)&lt;=($G$11/60*$F$11/($E$11/60)),1,0)</f>
        <v>0</v>
      </c>
    </row>
    <row r="441" spans="4:14" x14ac:dyDescent="0.2">
      <c r="D441">
        <f t="shared" si="40"/>
        <v>418</v>
      </c>
      <c r="E441" s="1">
        <f>IF($H$11=1,IF(D441&lt;=$A$15, E440+LN($D$11)-LN(60/$E$11)-LN(MIN(D441,$F$11)), E440-LN(60/$E$11)-LN(MIN(D441,$F$11))), IF(D441&lt;=$A$15, E440+LN($D$11)-LN(60/$E$11)-LN(MIN(D441,$F$11)), E440+LN($D$11)+LN(1-$H$11)-LN(60/$E$11)-LN(MIN(D441,$F$11))))</f>
        <v>-48.502195206471939</v>
      </c>
      <c r="F441" s="1">
        <f t="shared" si="41"/>
        <v>-50.504228015670996</v>
      </c>
      <c r="G441" s="1">
        <f t="shared" si="39"/>
        <v>1.1649102322637543E-22</v>
      </c>
      <c r="H441" s="1">
        <f t="shared" si="36"/>
        <v>1.1434442276548807E-23</v>
      </c>
      <c r="I441">
        <f>IF($F$11&lt;=D441, IF(D441&lt;=$A$15,D441-$F$11,$C$11),0)</f>
        <v>60</v>
      </c>
      <c r="J441">
        <f t="shared" si="37"/>
        <v>354</v>
      </c>
      <c r="K441" s="5">
        <f>IF(D441&lt;$F$11,H441,0)</f>
        <v>0</v>
      </c>
      <c r="L441">
        <f>IF(D441&lt;$A$15,$D$11,$D$11*(1-$H$11))</f>
        <v>85</v>
      </c>
      <c r="M441">
        <f t="shared" si="38"/>
        <v>1</v>
      </c>
      <c r="N441">
        <f>IF(SUM(I441:J441)&lt;=($G$11/60*$F$11/($E$11/60)),1,0)</f>
        <v>0</v>
      </c>
    </row>
    <row r="442" spans="4:14" x14ac:dyDescent="0.2">
      <c r="D442">
        <f t="shared" si="40"/>
        <v>419</v>
      </c>
      <c r="E442" s="1">
        <f>IF($H$11=1,IF(D442&lt;=$A$15, E441+LN($D$11)-LN(60/$E$11)-LN(MIN(D442,$F$11)), E441-LN(60/$E$11)-LN(MIN(D442,$F$11))), IF(D442&lt;=$A$15, E441+LN($D$11)-LN(60/$E$11)-LN(MIN(D442,$F$11)), E441+LN($D$11)+LN(1-$H$11)-LN(60/$E$11)-LN(MIN(D442,$F$11))))</f>
        <v>-48.62389214144946</v>
      </c>
      <c r="F442" s="1">
        <f t="shared" si="41"/>
        <v>-50.625924950648518</v>
      </c>
      <c r="G442" s="1">
        <f t="shared" si="39"/>
        <v>1.0314309348168642E-22</v>
      </c>
      <c r="H442" s="1">
        <f t="shared" si="36"/>
        <v>1.012424576569424E-23</v>
      </c>
      <c r="I442">
        <f>IF($F$11&lt;=D442, IF(D442&lt;=$A$15,D442-$F$11,$C$11),0)</f>
        <v>60</v>
      </c>
      <c r="J442">
        <f t="shared" si="37"/>
        <v>355</v>
      </c>
      <c r="K442" s="5">
        <f>IF(D442&lt;$F$11,H442,0)</f>
        <v>0</v>
      </c>
      <c r="L442">
        <f>IF(D442&lt;$A$15,$D$11,$D$11*(1-$H$11))</f>
        <v>85</v>
      </c>
      <c r="M442">
        <f t="shared" si="38"/>
        <v>1</v>
      </c>
      <c r="N442">
        <f>IF(SUM(I442:J442)&lt;=($G$11/60*$F$11/($E$11/60)),1,0)</f>
        <v>0</v>
      </c>
    </row>
    <row r="443" spans="4:14" x14ac:dyDescent="0.2">
      <c r="D443">
        <f t="shared" si="40"/>
        <v>420</v>
      </c>
      <c r="E443" s="1">
        <f>IF($H$11=1,IF(D443&lt;=$A$15, E442+LN($D$11)-LN(60/$E$11)-LN(MIN(D443,$F$11)), E442-LN(60/$E$11)-LN(MIN(D443,$F$11))), IF(D443&lt;=$A$15, E442+LN($D$11)-LN(60/$E$11)-LN(MIN(D443,$F$11)), E442+LN($D$11)+LN(1-$H$11)-LN(60/$E$11)-LN(MIN(D443,$F$11))))</f>
        <v>-48.745589076426981</v>
      </c>
      <c r="F443" s="1">
        <f t="shared" si="41"/>
        <v>-50.747621885626039</v>
      </c>
      <c r="G443" s="1">
        <f t="shared" si="39"/>
        <v>9.1324614020243054E-23</v>
      </c>
      <c r="H443" s="1">
        <f t="shared" si="36"/>
        <v>8.9641759383750952E-24</v>
      </c>
      <c r="I443">
        <f>IF($F$11&lt;=D443, IF(D443&lt;=$A$15,D443-$F$11,$C$11),0)</f>
        <v>60</v>
      </c>
      <c r="J443">
        <f t="shared" si="37"/>
        <v>356</v>
      </c>
      <c r="K443" s="5">
        <f>IF(D443&lt;$F$11,H443,0)</f>
        <v>0</v>
      </c>
      <c r="L443">
        <f>IF(D443&lt;$A$15,$D$11,$D$11*(1-$H$11))</f>
        <v>85</v>
      </c>
      <c r="M443">
        <f t="shared" si="38"/>
        <v>1</v>
      </c>
      <c r="N443">
        <f>IF(SUM(I443:J443)&lt;=($G$11/60*$F$11/($E$11/60)),1,0)</f>
        <v>0</v>
      </c>
    </row>
    <row r="444" spans="4:14" x14ac:dyDescent="0.2">
      <c r="D444">
        <f t="shared" si="40"/>
        <v>421</v>
      </c>
      <c r="E444" s="1">
        <f>IF($H$11=1,IF(D444&lt;=$A$15, E443+LN($D$11)-LN(60/$E$11)-LN(MIN(D444,$F$11)), E443-LN(60/$E$11)-LN(MIN(D444,$F$11))), IF(D444&lt;=$A$15, E443+LN($D$11)-LN(60/$E$11)-LN(MIN(D444,$F$11)), E443+LN($D$11)+LN(1-$H$11)-LN(60/$E$11)-LN(MIN(D444,$F$11))))</f>
        <v>-48.867286011404502</v>
      </c>
      <c r="F444" s="1">
        <f t="shared" si="41"/>
        <v>-50.86931882060356</v>
      </c>
      <c r="G444" s="1">
        <f t="shared" si="39"/>
        <v>8.0860335330423426E-23</v>
      </c>
      <c r="H444" s="1">
        <f t="shared" si="36"/>
        <v>7.9370307787696044E-24</v>
      </c>
      <c r="I444">
        <f>IF($F$11&lt;=D444, IF(D444&lt;=$A$15,D444-$F$11,$C$11),0)</f>
        <v>60</v>
      </c>
      <c r="J444">
        <f t="shared" si="37"/>
        <v>357</v>
      </c>
      <c r="K444" s="5">
        <f>IF(D444&lt;$F$11,H444,0)</f>
        <v>0</v>
      </c>
      <c r="L444">
        <f>IF(D444&lt;$A$15,$D$11,$D$11*(1-$H$11))</f>
        <v>85</v>
      </c>
      <c r="M444">
        <f t="shared" si="38"/>
        <v>1</v>
      </c>
      <c r="N444">
        <f>IF(SUM(I444:J444)&lt;=($G$11/60*$F$11/($E$11/60)),1,0)</f>
        <v>0</v>
      </c>
    </row>
    <row r="445" spans="4:14" x14ac:dyDescent="0.2">
      <c r="D445">
        <f t="shared" si="40"/>
        <v>422</v>
      </c>
      <c r="E445" s="1">
        <f>IF($H$11=1,IF(D445&lt;=$A$15, E444+LN($D$11)-LN(60/$E$11)-LN(MIN(D445,$F$11)), E444-LN(60/$E$11)-LN(MIN(D445,$F$11))), IF(D445&lt;=$A$15, E444+LN($D$11)-LN(60/$E$11)-LN(MIN(D445,$F$11)), E444+LN($D$11)+LN(1-$H$11)-LN(60/$E$11)-LN(MIN(D445,$F$11))))</f>
        <v>-48.988982946382023</v>
      </c>
      <c r="F445" s="1">
        <f t="shared" si="41"/>
        <v>-50.991015755581081</v>
      </c>
      <c r="G445" s="1">
        <f t="shared" si="39"/>
        <v>7.1595088573812306E-23</v>
      </c>
      <c r="H445" s="1">
        <f t="shared" si="36"/>
        <v>7.0275793353689106E-24</v>
      </c>
      <c r="I445">
        <f>IF($F$11&lt;=D445, IF(D445&lt;=$A$15,D445-$F$11,$C$11),0)</f>
        <v>60</v>
      </c>
      <c r="J445">
        <f t="shared" si="37"/>
        <v>358</v>
      </c>
      <c r="K445" s="5">
        <f>IF(D445&lt;$F$11,H445,0)</f>
        <v>0</v>
      </c>
      <c r="L445">
        <f>IF(D445&lt;$A$15,$D$11,$D$11*(1-$H$11))</f>
        <v>85</v>
      </c>
      <c r="M445">
        <f t="shared" si="38"/>
        <v>1</v>
      </c>
      <c r="N445">
        <f>IF(SUM(I445:J445)&lt;=($G$11/60*$F$11/($E$11/60)),1,0)</f>
        <v>0</v>
      </c>
    </row>
    <row r="446" spans="4:14" x14ac:dyDescent="0.2">
      <c r="D446">
        <f t="shared" si="40"/>
        <v>423</v>
      </c>
      <c r="E446" s="1">
        <f>IF($H$11=1,IF(D446&lt;=$A$15, E445+LN($D$11)-LN(60/$E$11)-LN(MIN(D446,$F$11)), E445-LN(60/$E$11)-LN(MIN(D446,$F$11))), IF(D446&lt;=$A$15, E445+LN($D$11)-LN(60/$E$11)-LN(MIN(D446,$F$11)), E445+LN($D$11)+LN(1-$H$11)-LN(60/$E$11)-LN(MIN(D446,$F$11))))</f>
        <v>-49.110679881359545</v>
      </c>
      <c r="F446" s="1">
        <f t="shared" si="41"/>
        <v>-51.112712690558602</v>
      </c>
      <c r="G446" s="1">
        <f t="shared" si="39"/>
        <v>6.3391484674729549E-23</v>
      </c>
      <c r="H446" s="1">
        <f t="shared" si="36"/>
        <v>6.2223358698578802E-24</v>
      </c>
      <c r="I446">
        <f>IF($F$11&lt;=D446, IF(D446&lt;=$A$15,D446-$F$11,$C$11),0)</f>
        <v>60</v>
      </c>
      <c r="J446">
        <f t="shared" si="37"/>
        <v>359</v>
      </c>
      <c r="K446" s="5">
        <f>IF(D446&lt;$F$11,H446,0)</f>
        <v>0</v>
      </c>
      <c r="L446">
        <f>IF(D446&lt;$A$15,$D$11,$D$11*(1-$H$11))</f>
        <v>85</v>
      </c>
      <c r="M446">
        <f t="shared" si="38"/>
        <v>1</v>
      </c>
      <c r="N446">
        <f>IF(SUM(I446:J446)&lt;=($G$11/60*$F$11/($E$11/60)),1,0)</f>
        <v>0</v>
      </c>
    </row>
    <row r="447" spans="4:14" x14ac:dyDescent="0.2">
      <c r="D447">
        <f t="shared" si="40"/>
        <v>424</v>
      </c>
      <c r="E447" s="1">
        <f>IF($H$11=1,IF(D447&lt;=$A$15, E446+LN($D$11)-LN(60/$E$11)-LN(MIN(D447,$F$11)), E446-LN(60/$E$11)-LN(MIN(D447,$F$11))), IF(D447&lt;=$A$15, E446+LN($D$11)-LN(60/$E$11)-LN(MIN(D447,$F$11)), E446+LN($D$11)+LN(1-$H$11)-LN(60/$E$11)-LN(MIN(D447,$F$11))))</f>
        <v>-49.232376816337066</v>
      </c>
      <c r="F447" s="1">
        <f t="shared" si="41"/>
        <v>-51.234409625536124</v>
      </c>
      <c r="G447" s="1">
        <f t="shared" si="39"/>
        <v>5.6127877055750045E-23</v>
      </c>
      <c r="H447" s="1">
        <f t="shared" si="36"/>
        <v>5.5093598847699908E-24</v>
      </c>
      <c r="I447">
        <f>IF($F$11&lt;=D447, IF(D447&lt;=$A$15,D447-$F$11,$C$11),0)</f>
        <v>60</v>
      </c>
      <c r="J447">
        <f t="shared" si="37"/>
        <v>360</v>
      </c>
      <c r="K447" s="5">
        <f>IF(D447&lt;$F$11,H447,0)</f>
        <v>0</v>
      </c>
      <c r="L447">
        <f>IF(D447&lt;$A$15,$D$11,$D$11*(1-$H$11))</f>
        <v>85</v>
      </c>
      <c r="M447">
        <f t="shared" si="38"/>
        <v>1</v>
      </c>
      <c r="N447">
        <f>IF(SUM(I447:J447)&lt;=($G$11/60*$F$11/($E$11/60)),1,0)</f>
        <v>0</v>
      </c>
    </row>
    <row r="448" spans="4:14" x14ac:dyDescent="0.2">
      <c r="D448">
        <f t="shared" si="40"/>
        <v>425</v>
      </c>
      <c r="E448" s="1">
        <f>IF($H$11=1,IF(D448&lt;=$A$15, E447+LN($D$11)-LN(60/$E$11)-LN(MIN(D448,$F$11)), E447-LN(60/$E$11)-LN(MIN(D448,$F$11))), IF(D448&lt;=$A$15, E447+LN($D$11)-LN(60/$E$11)-LN(MIN(D448,$F$11)), E447+LN($D$11)+LN(1-$H$11)-LN(60/$E$11)-LN(MIN(D448,$F$11))))</f>
        <v>-49.354073751314587</v>
      </c>
      <c r="F448" s="1">
        <f t="shared" si="41"/>
        <v>-51.356106560513645</v>
      </c>
      <c r="G448" s="1">
        <f t="shared" si="39"/>
        <v>4.9696557809778613E-23</v>
      </c>
      <c r="H448" s="1">
        <f t="shared" si="36"/>
        <v>4.8780790646400888E-24</v>
      </c>
      <c r="I448">
        <f>IF($F$11&lt;=D448, IF(D448&lt;=$A$15,D448-$F$11,$C$11),0)</f>
        <v>60</v>
      </c>
      <c r="J448">
        <f t="shared" si="37"/>
        <v>361</v>
      </c>
      <c r="K448" s="5">
        <f>IF(D448&lt;$F$11,H448,0)</f>
        <v>0</v>
      </c>
      <c r="L448">
        <f>IF(D448&lt;$A$15,$D$11,$D$11*(1-$H$11))</f>
        <v>85</v>
      </c>
      <c r="M448">
        <f t="shared" si="38"/>
        <v>1</v>
      </c>
      <c r="N448">
        <f>IF(SUM(I448:J448)&lt;=($G$11/60*$F$11/($E$11/60)),1,0)</f>
        <v>0</v>
      </c>
    </row>
    <row r="449" spans="4:14" x14ac:dyDescent="0.2">
      <c r="D449">
        <f t="shared" si="40"/>
        <v>426</v>
      </c>
      <c r="E449" s="1">
        <f>IF($H$11=1,IF(D449&lt;=$A$15, E448+LN($D$11)-LN(60/$E$11)-LN(MIN(D449,$F$11)), E448-LN(60/$E$11)-LN(MIN(D449,$F$11))), IF(D449&lt;=$A$15, E448+LN($D$11)-LN(60/$E$11)-LN(MIN(D449,$F$11)), E448+LN($D$11)+LN(1-$H$11)-LN(60/$E$11)-LN(MIN(D449,$F$11))))</f>
        <v>-49.475770686292108</v>
      </c>
      <c r="F449" s="1">
        <f t="shared" si="41"/>
        <v>-51.477803495491166</v>
      </c>
      <c r="G449" s="1">
        <f t="shared" si="39"/>
        <v>4.4002160560741422E-23</v>
      </c>
      <c r="H449" s="1">
        <f t="shared" si="36"/>
        <v>4.3191325051500729E-24</v>
      </c>
      <c r="I449">
        <f>IF($F$11&lt;=D449, IF(D449&lt;=$A$15,D449-$F$11,$C$11),0)</f>
        <v>60</v>
      </c>
      <c r="J449">
        <f t="shared" si="37"/>
        <v>362</v>
      </c>
      <c r="K449" s="5">
        <f>IF(D449&lt;$F$11,H449,0)</f>
        <v>0</v>
      </c>
      <c r="L449">
        <f>IF(D449&lt;$A$15,$D$11,$D$11*(1-$H$11))</f>
        <v>85</v>
      </c>
      <c r="M449">
        <f t="shared" si="38"/>
        <v>1</v>
      </c>
      <c r="N449">
        <f>IF(SUM(I449:J449)&lt;=($G$11/60*$F$11/($E$11/60)),1,0)</f>
        <v>0</v>
      </c>
    </row>
    <row r="450" spans="4:14" x14ac:dyDescent="0.2">
      <c r="D450">
        <f t="shared" si="40"/>
        <v>427</v>
      </c>
      <c r="E450" s="1">
        <f>IF($H$11=1,IF(D450&lt;=$A$15, E449+LN($D$11)-LN(60/$E$11)-LN(MIN(D450,$F$11)), E449-LN(60/$E$11)-LN(MIN(D450,$F$11))), IF(D450&lt;=$A$15, E449+LN($D$11)-LN(60/$E$11)-LN(MIN(D450,$F$11)), E449+LN($D$11)+LN(1-$H$11)-LN(60/$E$11)-LN(MIN(D450,$F$11))))</f>
        <v>-49.597467621269629</v>
      </c>
      <c r="F450" s="1">
        <f t="shared" si="41"/>
        <v>-51.599500430468687</v>
      </c>
      <c r="G450" s="1">
        <f t="shared" si="39"/>
        <v>3.8960246329823076E-23</v>
      </c>
      <c r="H450" s="1">
        <f t="shared" si="36"/>
        <v>3.8242319056016217E-24</v>
      </c>
      <c r="I450">
        <f>IF($F$11&lt;=D450, IF(D450&lt;=$A$15,D450-$F$11,$C$11),0)</f>
        <v>60</v>
      </c>
      <c r="J450">
        <f t="shared" si="37"/>
        <v>363</v>
      </c>
      <c r="K450" s="5">
        <f>IF(D450&lt;$F$11,H450,0)</f>
        <v>0</v>
      </c>
      <c r="L450">
        <f>IF(D450&lt;$A$15,$D$11,$D$11*(1-$H$11))</f>
        <v>85</v>
      </c>
      <c r="M450">
        <f t="shared" si="38"/>
        <v>1</v>
      </c>
      <c r="N450">
        <f>IF(SUM(I450:J450)&lt;=($G$11/60*$F$11/($E$11/60)),1,0)</f>
        <v>0</v>
      </c>
    </row>
    <row r="451" spans="4:14" x14ac:dyDescent="0.2">
      <c r="D451">
        <f t="shared" si="40"/>
        <v>428</v>
      </c>
      <c r="E451" s="1">
        <f>IF($H$11=1,IF(D451&lt;=$A$15, E450+LN($D$11)-LN(60/$E$11)-LN(MIN(D451,$F$11)), E450-LN(60/$E$11)-LN(MIN(D451,$F$11))), IF(D451&lt;=$A$15, E450+LN($D$11)-LN(60/$E$11)-LN(MIN(D451,$F$11)), E450+LN($D$11)+LN(1-$H$11)-LN(60/$E$11)-LN(MIN(D451,$F$11))))</f>
        <v>-49.719164556247151</v>
      </c>
      <c r="F451" s="1">
        <f t="shared" si="41"/>
        <v>-51.721197365446208</v>
      </c>
      <c r="G451" s="1">
        <f t="shared" si="39"/>
        <v>3.4496051437864134E-23</v>
      </c>
      <c r="H451" s="1">
        <f t="shared" si="36"/>
        <v>3.3860386664180976E-24</v>
      </c>
      <c r="I451">
        <f>IF($F$11&lt;=D451, IF(D451&lt;=$A$15,D451-$F$11,$C$11),0)</f>
        <v>60</v>
      </c>
      <c r="J451">
        <f t="shared" si="37"/>
        <v>364</v>
      </c>
      <c r="K451" s="5">
        <f>IF(D451&lt;$F$11,H451,0)</f>
        <v>0</v>
      </c>
      <c r="L451">
        <f>IF(D451&lt;$A$15,$D$11,$D$11*(1-$H$11))</f>
        <v>85</v>
      </c>
      <c r="M451">
        <f t="shared" si="38"/>
        <v>1</v>
      </c>
      <c r="N451">
        <f>IF(SUM(I451:J451)&lt;=($G$11/60*$F$11/($E$11/60)),1,0)</f>
        <v>0</v>
      </c>
    </row>
    <row r="452" spans="4:14" x14ac:dyDescent="0.2">
      <c r="D452">
        <f t="shared" si="40"/>
        <v>429</v>
      </c>
      <c r="E452" s="1">
        <f>IF($H$11=1,IF(D452&lt;=$A$15, E451+LN($D$11)-LN(60/$E$11)-LN(MIN(D452,$F$11)), E451-LN(60/$E$11)-LN(MIN(D452,$F$11))), IF(D452&lt;=$A$15, E451+LN($D$11)-LN(60/$E$11)-LN(MIN(D452,$F$11)), E451+LN($D$11)+LN(1-$H$11)-LN(60/$E$11)-LN(MIN(D452,$F$11))))</f>
        <v>-49.840861491224672</v>
      </c>
      <c r="F452" s="1">
        <f t="shared" si="41"/>
        <v>-51.84289430042373</v>
      </c>
      <c r="G452" s="1">
        <f t="shared" si="39"/>
        <v>3.0543378877275491E-23</v>
      </c>
      <c r="H452" s="1">
        <f t="shared" si="36"/>
        <v>2.9980550692243531E-24</v>
      </c>
      <c r="I452">
        <f>IF($F$11&lt;=D452, IF(D452&lt;=$A$15,D452-$F$11,$C$11),0)</f>
        <v>60</v>
      </c>
      <c r="J452">
        <f t="shared" si="37"/>
        <v>365</v>
      </c>
      <c r="K452" s="5">
        <f>IF(D452&lt;$F$11,H452,0)</f>
        <v>0</v>
      </c>
      <c r="L452">
        <f>IF(D452&lt;$A$15,$D$11,$D$11*(1-$H$11))</f>
        <v>85</v>
      </c>
      <c r="M452">
        <f t="shared" si="38"/>
        <v>1</v>
      </c>
      <c r="N452">
        <f>IF(SUM(I452:J452)&lt;=($G$11/60*$F$11/($E$11/60)),1,0)</f>
        <v>0</v>
      </c>
    </row>
    <row r="453" spans="4:14" x14ac:dyDescent="0.2">
      <c r="D453">
        <f t="shared" si="40"/>
        <v>430</v>
      </c>
      <c r="E453" s="1">
        <f>IF($H$11=1,IF(D453&lt;=$A$15, E452+LN($D$11)-LN(60/$E$11)-LN(MIN(D453,$F$11)), E452-LN(60/$E$11)-LN(MIN(D453,$F$11))), IF(D453&lt;=$A$15, E452+LN($D$11)-LN(60/$E$11)-LN(MIN(D453,$F$11)), E452+LN($D$11)+LN(1-$H$11)-LN(60/$E$11)-LN(MIN(D453,$F$11))))</f>
        <v>-49.962558426202193</v>
      </c>
      <c r="F453" s="1">
        <f t="shared" si="41"/>
        <v>-51.964591235401251</v>
      </c>
      <c r="G453" s="1">
        <f t="shared" si="39"/>
        <v>2.70436167142543E-23</v>
      </c>
      <c r="H453" s="1">
        <f t="shared" si="36"/>
        <v>2.6545279258757252E-24</v>
      </c>
      <c r="I453">
        <f>IF($F$11&lt;=D453, IF(D453&lt;=$A$15,D453-$F$11,$C$11),0)</f>
        <v>60</v>
      </c>
      <c r="J453">
        <f t="shared" si="37"/>
        <v>366</v>
      </c>
      <c r="K453" s="5">
        <f>IF(D453&lt;$F$11,H453,0)</f>
        <v>0</v>
      </c>
      <c r="L453">
        <f>IF(D453&lt;$A$15,$D$11,$D$11*(1-$H$11))</f>
        <v>85</v>
      </c>
      <c r="M453">
        <f t="shared" si="38"/>
        <v>1</v>
      </c>
      <c r="N453">
        <f>IF(SUM(I453:J453)&lt;=($G$11/60*$F$11/($E$11/60)),1,0)</f>
        <v>0</v>
      </c>
    </row>
    <row r="454" spans="4:14" x14ac:dyDescent="0.2">
      <c r="D454">
        <f t="shared" si="40"/>
        <v>431</v>
      </c>
      <c r="E454" s="1">
        <f>IF($H$11=1,IF(D454&lt;=$A$15, E453+LN($D$11)-LN(60/$E$11)-LN(MIN(D454,$F$11)), E453-LN(60/$E$11)-LN(MIN(D454,$F$11))), IF(D454&lt;=$A$15, E453+LN($D$11)-LN(60/$E$11)-LN(MIN(D454,$F$11)), E453+LN($D$11)+LN(1-$H$11)-LN(60/$E$11)-LN(MIN(D454,$F$11))))</f>
        <v>-50.084255361179714</v>
      </c>
      <c r="F454" s="1">
        <f t="shared" si="41"/>
        <v>-52.086288170378772</v>
      </c>
      <c r="G454" s="1">
        <f t="shared" si="39"/>
        <v>2.3944868965745963E-23</v>
      </c>
      <c r="H454" s="1">
        <f t="shared" si="36"/>
        <v>2.3503632677024617E-24</v>
      </c>
      <c r="I454">
        <f>IF($F$11&lt;=D454, IF(D454&lt;=$A$15,D454-$F$11,$C$11),0)</f>
        <v>60</v>
      </c>
      <c r="J454">
        <f t="shared" si="37"/>
        <v>367</v>
      </c>
      <c r="K454" s="5">
        <f>IF(D454&lt;$F$11,H454,0)</f>
        <v>0</v>
      </c>
      <c r="L454">
        <f>IF(D454&lt;$A$15,$D$11,$D$11*(1-$H$11))</f>
        <v>85</v>
      </c>
      <c r="M454">
        <f t="shared" si="38"/>
        <v>1</v>
      </c>
      <c r="N454">
        <f>IF(SUM(I454:J454)&lt;=($G$11/60*$F$11/($E$11/60)),1,0)</f>
        <v>0</v>
      </c>
    </row>
    <row r="455" spans="4:14" x14ac:dyDescent="0.2">
      <c r="D455">
        <f t="shared" si="40"/>
        <v>432</v>
      </c>
      <c r="E455" s="1">
        <f>IF($H$11=1,IF(D455&lt;=$A$15, E454+LN($D$11)-LN(60/$E$11)-LN(MIN(D455,$F$11)), E454-LN(60/$E$11)-LN(MIN(D455,$F$11))), IF(D455&lt;=$A$15, E454+LN($D$11)-LN(60/$E$11)-LN(MIN(D455,$F$11)), E454+LN($D$11)+LN(1-$H$11)-LN(60/$E$11)-LN(MIN(D455,$F$11))))</f>
        <v>-50.205952296157236</v>
      </c>
      <c r="F455" s="1">
        <f t="shared" si="41"/>
        <v>-52.207985105356293</v>
      </c>
      <c r="G455" s="1">
        <f t="shared" si="39"/>
        <v>2.1201186063420875E-23</v>
      </c>
      <c r="H455" s="1">
        <f t="shared" si="36"/>
        <v>2.0810508099448853E-24</v>
      </c>
      <c r="I455">
        <f>IF($F$11&lt;=D455, IF(D455&lt;=$A$15,D455-$F$11,$C$11),0)</f>
        <v>60</v>
      </c>
      <c r="J455">
        <f t="shared" si="37"/>
        <v>368</v>
      </c>
      <c r="K455" s="5">
        <f>IF(D455&lt;$F$11,H455,0)</f>
        <v>0</v>
      </c>
      <c r="L455">
        <f>IF(D455&lt;$A$15,$D$11,$D$11*(1-$H$11))</f>
        <v>85</v>
      </c>
      <c r="M455">
        <f t="shared" si="38"/>
        <v>1</v>
      </c>
      <c r="N455">
        <f>IF(SUM(I455:J455)&lt;=($G$11/60*$F$11/($E$11/60)),1,0)</f>
        <v>0</v>
      </c>
    </row>
    <row r="456" spans="4:14" x14ac:dyDescent="0.2">
      <c r="D456">
        <f t="shared" si="40"/>
        <v>433</v>
      </c>
      <c r="E456" s="1">
        <f>IF($H$11=1,IF(D456&lt;=$A$15, E455+LN($D$11)-LN(60/$E$11)-LN(MIN(D456,$F$11)), E455-LN(60/$E$11)-LN(MIN(D456,$F$11))), IF(D456&lt;=$A$15, E455+LN($D$11)-LN(60/$E$11)-LN(MIN(D456,$F$11)), E455+LN($D$11)+LN(1-$H$11)-LN(60/$E$11)-LN(MIN(D456,$F$11))))</f>
        <v>-50.327649231134757</v>
      </c>
      <c r="F456" s="1">
        <f t="shared" si="41"/>
        <v>-52.329682040333815</v>
      </c>
      <c r="G456" s="1">
        <f t="shared" si="39"/>
        <v>1.8771883493653872E-23</v>
      </c>
      <c r="H456" s="1">
        <f t="shared" si="36"/>
        <v>1.8425970713053644E-24</v>
      </c>
      <c r="I456">
        <f>IF($F$11&lt;=D456, IF(D456&lt;=$A$15,D456-$F$11,$C$11),0)</f>
        <v>60</v>
      </c>
      <c r="J456">
        <f t="shared" si="37"/>
        <v>369</v>
      </c>
      <c r="K456" s="5">
        <f>IF(D456&lt;$F$11,H456,0)</f>
        <v>0</v>
      </c>
      <c r="L456">
        <f>IF(D456&lt;$A$15,$D$11,$D$11*(1-$H$11))</f>
        <v>85</v>
      </c>
      <c r="M456">
        <f t="shared" si="38"/>
        <v>1</v>
      </c>
      <c r="N456">
        <f>IF(SUM(I456:J456)&lt;=($G$11/60*$F$11/($E$11/60)),1,0)</f>
        <v>0</v>
      </c>
    </row>
    <row r="457" spans="4:14" x14ac:dyDescent="0.2">
      <c r="D457">
        <f t="shared" si="40"/>
        <v>434</v>
      </c>
      <c r="E457" s="1">
        <f>IF($H$11=1,IF(D457&lt;=$A$15, E456+LN($D$11)-LN(60/$E$11)-LN(MIN(D457,$F$11)), E456-LN(60/$E$11)-LN(MIN(D457,$F$11))), IF(D457&lt;=$A$15, E456+LN($D$11)-LN(60/$E$11)-LN(MIN(D457,$F$11)), E456+LN($D$11)+LN(1-$H$11)-LN(60/$E$11)-LN(MIN(D457,$F$11))))</f>
        <v>-50.449346166112278</v>
      </c>
      <c r="F457" s="1">
        <f t="shared" si="41"/>
        <v>-52.451378975311336</v>
      </c>
      <c r="G457" s="1">
        <f t="shared" si="39"/>
        <v>1.6620938510006009E-23</v>
      </c>
      <c r="H457" s="1">
        <f t="shared" si="36"/>
        <v>1.6314661568849558E-24</v>
      </c>
      <c r="I457">
        <f>IF($F$11&lt;=D457, IF(D457&lt;=$A$15,D457-$F$11,$C$11),0)</f>
        <v>60</v>
      </c>
      <c r="J457">
        <f t="shared" si="37"/>
        <v>370</v>
      </c>
      <c r="K457" s="5">
        <f>IF(D457&lt;$F$11,H457,0)</f>
        <v>0</v>
      </c>
      <c r="L457">
        <f>IF(D457&lt;$A$15,$D$11,$D$11*(1-$H$11))</f>
        <v>85</v>
      </c>
      <c r="M457">
        <f t="shared" si="38"/>
        <v>1</v>
      </c>
      <c r="N457">
        <f>IF(SUM(I457:J457)&lt;=($G$11/60*$F$11/($E$11/60)),1,0)</f>
        <v>0</v>
      </c>
    </row>
    <row r="458" spans="4:14" x14ac:dyDescent="0.2">
      <c r="D458">
        <f t="shared" si="40"/>
        <v>435</v>
      </c>
      <c r="E458" s="1">
        <f>IF($H$11=1,IF(D458&lt;=$A$15, E457+LN($D$11)-LN(60/$E$11)-LN(MIN(D458,$F$11)), E457-LN(60/$E$11)-LN(MIN(D458,$F$11))), IF(D458&lt;=$A$15, E457+LN($D$11)-LN(60/$E$11)-LN(MIN(D458,$F$11)), E457+LN($D$11)+LN(1-$H$11)-LN(60/$E$11)-LN(MIN(D458,$F$11))))</f>
        <v>-50.571043101089799</v>
      </c>
      <c r="F458" s="1">
        <f t="shared" si="41"/>
        <v>-52.573075910288857</v>
      </c>
      <c r="G458" s="1">
        <f t="shared" si="39"/>
        <v>1.4716455972401134E-23</v>
      </c>
      <c r="H458" s="1">
        <f t="shared" si="36"/>
        <v>1.4445273264085525E-24</v>
      </c>
      <c r="I458">
        <f>IF($F$11&lt;=D458, IF(D458&lt;=$A$15,D458-$F$11,$C$11),0)</f>
        <v>60</v>
      </c>
      <c r="J458">
        <f t="shared" si="37"/>
        <v>371</v>
      </c>
      <c r="K458" s="5">
        <f>IF(D458&lt;$F$11,H458,0)</f>
        <v>0</v>
      </c>
      <c r="L458">
        <f>IF(D458&lt;$A$15,$D$11,$D$11*(1-$H$11))</f>
        <v>85</v>
      </c>
      <c r="M458">
        <f t="shared" si="38"/>
        <v>1</v>
      </c>
      <c r="N458">
        <f>IF(SUM(I458:J458)&lt;=($G$11/60*$F$11/($E$11/60)),1,0)</f>
        <v>0</v>
      </c>
    </row>
    <row r="459" spans="4:14" x14ac:dyDescent="0.2">
      <c r="D459">
        <f t="shared" si="40"/>
        <v>436</v>
      </c>
      <c r="E459" s="1">
        <f>IF($H$11=1,IF(D459&lt;=$A$15, E458+LN($D$11)-LN(60/$E$11)-LN(MIN(D459,$F$11)), E458-LN(60/$E$11)-LN(MIN(D459,$F$11))), IF(D459&lt;=$A$15, E458+LN($D$11)-LN(60/$E$11)-LN(MIN(D459,$F$11)), E458+LN($D$11)+LN(1-$H$11)-LN(60/$E$11)-LN(MIN(D459,$F$11))))</f>
        <v>-50.69274003606732</v>
      </c>
      <c r="F459" s="1">
        <f t="shared" si="41"/>
        <v>-52.694772845266378</v>
      </c>
      <c r="G459" s="1">
        <f t="shared" si="39"/>
        <v>1.3030195392230151E-23</v>
      </c>
      <c r="H459" s="1">
        <f t="shared" si="36"/>
        <v>1.2790085702575707E-24</v>
      </c>
      <c r="I459">
        <f>IF($F$11&lt;=D459, IF(D459&lt;=$A$15,D459-$F$11,$C$11),0)</f>
        <v>60</v>
      </c>
      <c r="J459">
        <f t="shared" si="37"/>
        <v>372</v>
      </c>
      <c r="K459" s="5">
        <f>IF(D459&lt;$F$11,H459,0)</f>
        <v>0</v>
      </c>
      <c r="L459">
        <f>IF(D459&lt;$A$15,$D$11,$D$11*(1-$H$11))</f>
        <v>85</v>
      </c>
      <c r="M459">
        <f t="shared" si="38"/>
        <v>1</v>
      </c>
      <c r="N459">
        <f>IF(SUM(I459:J459)&lt;=($G$11/60*$F$11/($E$11/60)),1,0)</f>
        <v>0</v>
      </c>
    </row>
    <row r="460" spans="4:14" x14ac:dyDescent="0.2">
      <c r="D460">
        <f t="shared" si="40"/>
        <v>437</v>
      </c>
      <c r="E460" s="1">
        <f>IF($H$11=1,IF(D460&lt;=$A$15, E459+LN($D$11)-LN(60/$E$11)-LN(MIN(D460,$F$11)), E459-LN(60/$E$11)-LN(MIN(D460,$F$11))), IF(D460&lt;=$A$15, E459+LN($D$11)-LN(60/$E$11)-LN(MIN(D460,$F$11)), E459+LN($D$11)+LN(1-$H$11)-LN(60/$E$11)-LN(MIN(D460,$F$11))))</f>
        <v>-50.814436971044842</v>
      </c>
      <c r="F460" s="1">
        <f t="shared" si="41"/>
        <v>-52.816469780243899</v>
      </c>
      <c r="G460" s="1">
        <f t="shared" si="39"/>
        <v>1.1537152170203763E-23</v>
      </c>
      <c r="H460" s="1">
        <f t="shared" si="36"/>
        <v>1.1324555049155559E-24</v>
      </c>
      <c r="I460">
        <f>IF($F$11&lt;=D460, IF(D460&lt;=$A$15,D460-$F$11,$C$11),0)</f>
        <v>60</v>
      </c>
      <c r="J460">
        <f t="shared" si="37"/>
        <v>373</v>
      </c>
      <c r="K460" s="5">
        <f>IF(D460&lt;$F$11,H460,0)</f>
        <v>0</v>
      </c>
      <c r="L460">
        <f>IF(D460&lt;$A$15,$D$11,$D$11*(1-$H$11))</f>
        <v>85</v>
      </c>
      <c r="M460">
        <f t="shared" si="38"/>
        <v>1</v>
      </c>
      <c r="N460">
        <f>IF(SUM(I460:J460)&lt;=($G$11/60*$F$11/($E$11/60)),1,0)</f>
        <v>0</v>
      </c>
    </row>
    <row r="461" spans="4:14" x14ac:dyDescent="0.2">
      <c r="D461">
        <f t="shared" si="40"/>
        <v>438</v>
      </c>
      <c r="E461" s="1">
        <f>IF($H$11=1,IF(D461&lt;=$A$15, E460+LN($D$11)-LN(60/$E$11)-LN(MIN(D461,$F$11)), E460-LN(60/$E$11)-LN(MIN(D461,$F$11))), IF(D461&lt;=$A$15, E460+LN($D$11)-LN(60/$E$11)-LN(MIN(D461,$F$11)), E460+LN($D$11)+LN(1-$H$11)-LN(60/$E$11)-LN(MIN(D461,$F$11))))</f>
        <v>-50.936133906022363</v>
      </c>
      <c r="F461" s="1">
        <f t="shared" si="41"/>
        <v>-52.938166715221421</v>
      </c>
      <c r="G461" s="1">
        <f t="shared" si="39"/>
        <v>1.02151868173679E-23</v>
      </c>
      <c r="H461" s="1">
        <f t="shared" si="36"/>
        <v>1.002694978310647E-24</v>
      </c>
      <c r="I461">
        <f>IF($F$11&lt;=D461, IF(D461&lt;=$A$15,D461-$F$11,$C$11),0)</f>
        <v>60</v>
      </c>
      <c r="J461">
        <f t="shared" si="37"/>
        <v>374</v>
      </c>
      <c r="K461" s="5">
        <f>IF(D461&lt;$F$11,H461,0)</f>
        <v>0</v>
      </c>
      <c r="L461">
        <f>IF(D461&lt;$A$15,$D$11,$D$11*(1-$H$11))</f>
        <v>85</v>
      </c>
      <c r="M461">
        <f t="shared" si="38"/>
        <v>1</v>
      </c>
      <c r="N461">
        <f>IF(SUM(I461:J461)&lt;=($G$11/60*$F$11/($E$11/60)),1,0)</f>
        <v>0</v>
      </c>
    </row>
    <row r="462" spans="4:14" x14ac:dyDescent="0.2">
      <c r="D462">
        <f t="shared" si="40"/>
        <v>439</v>
      </c>
      <c r="E462" s="1">
        <f>IF($H$11=1,IF(D462&lt;=$A$15, E461+LN($D$11)-LN(60/$E$11)-LN(MIN(D462,$F$11)), E461-LN(60/$E$11)-LN(MIN(D462,$F$11))), IF(D462&lt;=$A$15, E461+LN($D$11)-LN(60/$E$11)-LN(MIN(D462,$F$11)), E461+LN($D$11)+LN(1-$H$11)-LN(60/$E$11)-LN(MIN(D462,$F$11))))</f>
        <v>-51.057830840999884</v>
      </c>
      <c r="F462" s="1">
        <f t="shared" si="41"/>
        <v>-53.059863650198942</v>
      </c>
      <c r="G462" s="1">
        <f t="shared" si="39"/>
        <v>9.0446966612111497E-24</v>
      </c>
      <c r="H462" s="1">
        <f t="shared" si="36"/>
        <v>8.8780284537921743E-25</v>
      </c>
      <c r="I462">
        <f>IF($F$11&lt;=D462, IF(D462&lt;=$A$15,D462-$F$11,$C$11),0)</f>
        <v>60</v>
      </c>
      <c r="J462">
        <f t="shared" si="37"/>
        <v>375</v>
      </c>
      <c r="K462" s="5">
        <f>IF(D462&lt;$F$11,H462,0)</f>
        <v>0</v>
      </c>
      <c r="L462">
        <f>IF(D462&lt;$A$15,$D$11,$D$11*(1-$H$11))</f>
        <v>85</v>
      </c>
      <c r="M462">
        <f t="shared" si="38"/>
        <v>1</v>
      </c>
      <c r="N462">
        <f>IF(SUM(I462:J462)&lt;=($G$11/60*$F$11/($E$11/60)),1,0)</f>
        <v>0</v>
      </c>
    </row>
    <row r="463" spans="4:14" x14ac:dyDescent="0.2">
      <c r="D463">
        <f t="shared" si="40"/>
        <v>440</v>
      </c>
      <c r="E463" s="1">
        <f>IF($H$11=1,IF(D463&lt;=$A$15, E462+LN($D$11)-LN(60/$E$11)-LN(MIN(D463,$F$11)), E462-LN(60/$E$11)-LN(MIN(D463,$F$11))), IF(D463&lt;=$A$15, E462+LN($D$11)-LN(60/$E$11)-LN(MIN(D463,$F$11)), E462+LN($D$11)+LN(1-$H$11)-LN(60/$E$11)-LN(MIN(D463,$F$11))))</f>
        <v>-51.179527775977405</v>
      </c>
      <c r="F463" s="1">
        <f t="shared" si="41"/>
        <v>-53.181560585176463</v>
      </c>
      <c r="G463" s="1">
        <f t="shared" si="39"/>
        <v>8.0083251687806938E-24</v>
      </c>
      <c r="H463" s="1">
        <f t="shared" si="36"/>
        <v>7.8607543601284762E-25</v>
      </c>
      <c r="I463">
        <f>IF($F$11&lt;=D463, IF(D463&lt;=$A$15,D463-$F$11,$C$11),0)</f>
        <v>60</v>
      </c>
      <c r="J463">
        <f t="shared" si="37"/>
        <v>376</v>
      </c>
      <c r="K463" s="5">
        <f>IF(D463&lt;$F$11,H463,0)</f>
        <v>0</v>
      </c>
      <c r="L463">
        <f>IF(D463&lt;$A$15,$D$11,$D$11*(1-$H$11))</f>
        <v>85</v>
      </c>
      <c r="M463">
        <f t="shared" si="38"/>
        <v>1</v>
      </c>
      <c r="N463">
        <f>IF(SUM(I463:J463)&lt;=($G$11/60*$F$11/($E$11/60)),1,0)</f>
        <v>0</v>
      </c>
    </row>
    <row r="464" spans="4:14" x14ac:dyDescent="0.2">
      <c r="D464">
        <f t="shared" si="40"/>
        <v>441</v>
      </c>
      <c r="E464" s="1">
        <f>IF($H$11=1,IF(D464&lt;=$A$15, E463+LN($D$11)-LN(60/$E$11)-LN(MIN(D464,$F$11)), E463-LN(60/$E$11)-LN(MIN(D464,$F$11))), IF(D464&lt;=$A$15, E463+LN($D$11)-LN(60/$E$11)-LN(MIN(D464,$F$11)), E463+LN($D$11)+LN(1-$H$11)-LN(60/$E$11)-LN(MIN(D464,$F$11))))</f>
        <v>-51.301224710954926</v>
      </c>
      <c r="F464" s="1">
        <f t="shared" si="41"/>
        <v>-53.303257520153984</v>
      </c>
      <c r="G464" s="1">
        <f t="shared" si="39"/>
        <v>7.0907045765245632E-24</v>
      </c>
      <c r="H464" s="1">
        <f t="shared" si="36"/>
        <v>6.9600429230304117E-25</v>
      </c>
      <c r="I464">
        <f>IF($F$11&lt;=D464, IF(D464&lt;=$A$15,D464-$F$11,$C$11),0)</f>
        <v>60</v>
      </c>
      <c r="J464">
        <f t="shared" si="37"/>
        <v>377</v>
      </c>
      <c r="K464" s="5">
        <f>IF(D464&lt;$F$11,H464,0)</f>
        <v>0</v>
      </c>
      <c r="L464">
        <f>IF(D464&lt;$A$15,$D$11,$D$11*(1-$H$11))</f>
        <v>85</v>
      </c>
      <c r="M464">
        <f t="shared" si="38"/>
        <v>1</v>
      </c>
      <c r="N464">
        <f>IF(SUM(I464:J464)&lt;=($G$11/60*$F$11/($E$11/60)),1,0)</f>
        <v>0</v>
      </c>
    </row>
    <row r="465" spans="4:14" x14ac:dyDescent="0.2">
      <c r="D465">
        <f t="shared" si="40"/>
        <v>442</v>
      </c>
      <c r="E465" s="1">
        <f>IF($H$11=1,IF(D465&lt;=$A$15, E464+LN($D$11)-LN(60/$E$11)-LN(MIN(D465,$F$11)), E464-LN(60/$E$11)-LN(MIN(D465,$F$11))), IF(D465&lt;=$A$15, E464+LN($D$11)-LN(60/$E$11)-LN(MIN(D465,$F$11)), E464+LN($D$11)+LN(1-$H$11)-LN(60/$E$11)-LN(MIN(D465,$F$11))))</f>
        <v>-51.422921645932448</v>
      </c>
      <c r="F465" s="1">
        <f t="shared" si="41"/>
        <v>-53.424954455131505</v>
      </c>
      <c r="G465" s="1">
        <f t="shared" si="39"/>
        <v>6.2782280104644472E-24</v>
      </c>
      <c r="H465" s="1">
        <f t="shared" si="36"/>
        <v>6.1625380047665009E-25</v>
      </c>
      <c r="I465">
        <f>IF($F$11&lt;=D465, IF(D465&lt;=$A$15,D465-$F$11,$C$11),0)</f>
        <v>60</v>
      </c>
      <c r="J465">
        <f t="shared" si="37"/>
        <v>378</v>
      </c>
      <c r="K465" s="5">
        <f>IF(D465&lt;$F$11,H465,0)</f>
        <v>0</v>
      </c>
      <c r="L465">
        <f>IF(D465&lt;$A$15,$D$11,$D$11*(1-$H$11))</f>
        <v>85</v>
      </c>
      <c r="M465">
        <f t="shared" si="38"/>
        <v>1</v>
      </c>
      <c r="N465">
        <f>IF(SUM(I465:J465)&lt;=($G$11/60*$F$11/($E$11/60)),1,0)</f>
        <v>0</v>
      </c>
    </row>
    <row r="466" spans="4:14" x14ac:dyDescent="0.2">
      <c r="D466">
        <f t="shared" si="40"/>
        <v>443</v>
      </c>
      <c r="E466" s="1">
        <f>IF($H$11=1,IF(D466&lt;=$A$15, E465+LN($D$11)-LN(60/$E$11)-LN(MIN(D466,$F$11)), E465-LN(60/$E$11)-LN(MIN(D466,$F$11))), IF(D466&lt;=$A$15, E465+LN($D$11)-LN(60/$E$11)-LN(MIN(D466,$F$11)), E465+LN($D$11)+LN(1-$H$11)-LN(60/$E$11)-LN(MIN(D466,$F$11))))</f>
        <v>-51.544618580909969</v>
      </c>
      <c r="F466" s="1">
        <f t="shared" si="41"/>
        <v>-53.546651390109027</v>
      </c>
      <c r="G466" s="1">
        <f t="shared" si="39"/>
        <v>5.5588477175987216E-24</v>
      </c>
      <c r="H466" s="1">
        <f t="shared" si="36"/>
        <v>5.4564138583869983E-25</v>
      </c>
      <c r="I466">
        <f>IF($F$11&lt;=D466, IF(D466&lt;=$A$15,D466-$F$11,$C$11),0)</f>
        <v>60</v>
      </c>
      <c r="J466">
        <f t="shared" si="37"/>
        <v>379</v>
      </c>
      <c r="K466" s="5">
        <f>IF(D466&lt;$F$11,H466,0)</f>
        <v>0</v>
      </c>
      <c r="L466">
        <f>IF(D466&lt;$A$15,$D$11,$D$11*(1-$H$11))</f>
        <v>85</v>
      </c>
      <c r="M466">
        <f t="shared" si="38"/>
        <v>1</v>
      </c>
      <c r="N466">
        <f>IF(SUM(I466:J466)&lt;=($G$11/60*$F$11/($E$11/60)),1,0)</f>
        <v>0</v>
      </c>
    </row>
    <row r="467" spans="4:14" x14ac:dyDescent="0.2">
      <c r="D467">
        <f t="shared" si="40"/>
        <v>444</v>
      </c>
      <c r="E467" s="1">
        <f>IF($H$11=1,IF(D467&lt;=$A$15, E466+LN($D$11)-LN(60/$E$11)-LN(MIN(D467,$F$11)), E466-LN(60/$E$11)-LN(MIN(D467,$F$11))), IF(D467&lt;=$A$15, E466+LN($D$11)-LN(60/$E$11)-LN(MIN(D467,$F$11)), E466+LN($D$11)+LN(1-$H$11)-LN(60/$E$11)-LN(MIN(D467,$F$11))))</f>
        <v>-51.66631551588749</v>
      </c>
      <c r="F467" s="1">
        <f t="shared" si="41"/>
        <v>-53.668348325086548</v>
      </c>
      <c r="G467" s="1">
        <f t="shared" si="39"/>
        <v>4.9218964166238614E-24</v>
      </c>
      <c r="H467" s="1">
        <f t="shared" si="36"/>
        <v>4.8311997704468153E-25</v>
      </c>
      <c r="I467">
        <f>IF($F$11&lt;=D467, IF(D467&lt;=$A$15,D467-$F$11,$C$11),0)</f>
        <v>60</v>
      </c>
      <c r="J467">
        <f t="shared" si="37"/>
        <v>380</v>
      </c>
      <c r="K467" s="5">
        <f>IF(D467&lt;$F$11,H467,0)</f>
        <v>0</v>
      </c>
      <c r="L467">
        <f>IF(D467&lt;$A$15,$D$11,$D$11*(1-$H$11))</f>
        <v>85</v>
      </c>
      <c r="M467">
        <f t="shared" si="38"/>
        <v>1</v>
      </c>
      <c r="N467">
        <f>IF(SUM(I467:J467)&lt;=($G$11/60*$F$11/($E$11/60)),1,0)</f>
        <v>0</v>
      </c>
    </row>
    <row r="468" spans="4:14" x14ac:dyDescent="0.2">
      <c r="D468">
        <f t="shared" si="40"/>
        <v>445</v>
      </c>
      <c r="E468" s="1">
        <f>IF($H$11=1,IF(D468&lt;=$A$15, E467+LN($D$11)-LN(60/$E$11)-LN(MIN(D468,$F$11)), E467-LN(60/$E$11)-LN(MIN(D468,$F$11))), IF(D468&lt;=$A$15, E467+LN($D$11)-LN(60/$E$11)-LN(MIN(D468,$F$11)), E467+LN($D$11)+LN(1-$H$11)-LN(60/$E$11)-LN(MIN(D468,$F$11))))</f>
        <v>-51.788012450865011</v>
      </c>
      <c r="F468" s="1">
        <f t="shared" si="41"/>
        <v>-53.790045260064069</v>
      </c>
      <c r="G468" s="1">
        <f t="shared" si="39"/>
        <v>4.3579291188857042E-24</v>
      </c>
      <c r="H468" s="1">
        <f t="shared" si="36"/>
        <v>4.2776247967497781E-25</v>
      </c>
      <c r="I468">
        <f>IF($F$11&lt;=D468, IF(D468&lt;=$A$15,D468-$F$11,$C$11),0)</f>
        <v>60</v>
      </c>
      <c r="J468">
        <f t="shared" si="37"/>
        <v>381</v>
      </c>
      <c r="K468" s="5">
        <f>IF(D468&lt;$F$11,H468,0)</f>
        <v>0</v>
      </c>
      <c r="L468">
        <f>IF(D468&lt;$A$15,$D$11,$D$11*(1-$H$11))</f>
        <v>85</v>
      </c>
      <c r="M468">
        <f t="shared" si="38"/>
        <v>1</v>
      </c>
      <c r="N468">
        <f>IF(SUM(I468:J468)&lt;=($G$11/60*$F$11/($E$11/60)),1,0)</f>
        <v>0</v>
      </c>
    </row>
    <row r="469" spans="4:14" x14ac:dyDescent="0.2">
      <c r="D469">
        <f t="shared" si="40"/>
        <v>446</v>
      </c>
      <c r="E469" s="1">
        <f>IF($H$11=1,IF(D469&lt;=$A$15, E468+LN($D$11)-LN(60/$E$11)-LN(MIN(D469,$F$11)), E468-LN(60/$E$11)-LN(MIN(D469,$F$11))), IF(D469&lt;=$A$15, E468+LN($D$11)-LN(60/$E$11)-LN(MIN(D469,$F$11)), E468+LN($D$11)+LN(1-$H$11)-LN(60/$E$11)-LN(MIN(D469,$F$11))))</f>
        <v>-51.909709385842532</v>
      </c>
      <c r="F469" s="1">
        <f t="shared" si="41"/>
        <v>-53.91174219504159</v>
      </c>
      <c r="G469" s="1">
        <f t="shared" si="39"/>
        <v>3.8585830740133782E-24</v>
      </c>
      <c r="H469" s="1">
        <f t="shared" si="36"/>
        <v>3.7874802887888604E-25</v>
      </c>
      <c r="I469">
        <f>IF($F$11&lt;=D469, IF(D469&lt;=$A$15,D469-$F$11,$C$11),0)</f>
        <v>60</v>
      </c>
      <c r="J469">
        <f t="shared" si="37"/>
        <v>382</v>
      </c>
      <c r="K469" s="5">
        <f>IF(D469&lt;$F$11,H469,0)</f>
        <v>0</v>
      </c>
      <c r="L469">
        <f>IF(D469&lt;$A$15,$D$11,$D$11*(1-$H$11))</f>
        <v>85</v>
      </c>
      <c r="M469">
        <f t="shared" si="38"/>
        <v>1</v>
      </c>
      <c r="N469">
        <f>IF(SUM(I469:J469)&lt;=($G$11/60*$F$11/($E$11/60)),1,0)</f>
        <v>0</v>
      </c>
    </row>
    <row r="470" spans="4:14" x14ac:dyDescent="0.2">
      <c r="D470">
        <f t="shared" si="40"/>
        <v>447</v>
      </c>
      <c r="E470" s="1">
        <f>IF($H$11=1,IF(D470&lt;=$A$15, E469+LN($D$11)-LN(60/$E$11)-LN(MIN(D470,$F$11)), E469-LN(60/$E$11)-LN(MIN(D470,$F$11))), IF(D470&lt;=$A$15, E469+LN($D$11)-LN(60/$E$11)-LN(MIN(D470,$F$11)), E469+LN($D$11)+LN(1-$H$11)-LN(60/$E$11)-LN(MIN(D470,$F$11))))</f>
        <v>-52.031406320820054</v>
      </c>
      <c r="F470" s="1">
        <f t="shared" si="41"/>
        <v>-54.033439130019111</v>
      </c>
      <c r="G470" s="1">
        <f t="shared" si="39"/>
        <v>3.4164537634493402E-24</v>
      </c>
      <c r="H470" s="1">
        <f t="shared" si="36"/>
        <v>3.3534981723651317E-25</v>
      </c>
      <c r="I470">
        <f>IF($F$11&lt;=D470, IF(D470&lt;=$A$15,D470-$F$11,$C$11),0)</f>
        <v>60</v>
      </c>
      <c r="J470">
        <f t="shared" si="37"/>
        <v>383</v>
      </c>
      <c r="K470" s="5">
        <f>IF(D470&lt;$F$11,H470,0)</f>
        <v>0</v>
      </c>
      <c r="L470">
        <f>IF(D470&lt;$A$15,$D$11,$D$11*(1-$H$11))</f>
        <v>85</v>
      </c>
      <c r="M470">
        <f t="shared" si="38"/>
        <v>1</v>
      </c>
      <c r="N470">
        <f>IF(SUM(I470:J470)&lt;=($G$11/60*$F$11/($E$11/60)),1,0)</f>
        <v>0</v>
      </c>
    </row>
    <row r="471" spans="4:14" x14ac:dyDescent="0.2">
      <c r="D471">
        <f t="shared" si="40"/>
        <v>448</v>
      </c>
      <c r="E471" s="1">
        <f>IF($H$11=1,IF(D471&lt;=$A$15, E470+LN($D$11)-LN(60/$E$11)-LN(MIN(D471,$F$11)), E470-LN(60/$E$11)-LN(MIN(D471,$F$11))), IF(D471&lt;=$A$15, E470+LN($D$11)-LN(60/$E$11)-LN(MIN(D471,$F$11)), E470+LN($D$11)+LN(1-$H$11)-LN(60/$E$11)-LN(MIN(D471,$F$11))))</f>
        <v>-52.153103255797575</v>
      </c>
      <c r="F471" s="1">
        <f t="shared" si="41"/>
        <v>-54.155136064996633</v>
      </c>
      <c r="G471" s="1">
        <f t="shared" si="39"/>
        <v>3.0249851030540993E-24</v>
      </c>
      <c r="H471" s="1">
        <f t="shared" ref="H471:H534" si="42">G471/$G$21</f>
        <v>2.9692431734482897E-25</v>
      </c>
      <c r="I471">
        <f>IF($F$11&lt;=D471, IF(D471&lt;=$A$15,D471-$F$11,$C$11),0)</f>
        <v>60</v>
      </c>
      <c r="J471">
        <f t="shared" ref="J471:J534" si="43">IF(D471&lt;=$A$15,0,D471-$A$15)</f>
        <v>384</v>
      </c>
      <c r="K471" s="5">
        <f>IF(D471&lt;$F$11,H471,0)</f>
        <v>0</v>
      </c>
      <c r="L471">
        <f>IF(D471&lt;$A$15,$D$11,$D$11*(1-$H$11))</f>
        <v>85</v>
      </c>
      <c r="M471">
        <f t="shared" ref="M471:M534" si="44">IF(D471&lt;$A$15,0,1)</f>
        <v>1</v>
      </c>
      <c r="N471">
        <f>IF(SUM(I471:J471)&lt;=($G$11/60*$F$11/($E$11/60)),1,0)</f>
        <v>0</v>
      </c>
    </row>
    <row r="472" spans="4:14" x14ac:dyDescent="0.2">
      <c r="D472">
        <f t="shared" si="40"/>
        <v>449</v>
      </c>
      <c r="E472" s="1">
        <f>IF($H$11=1,IF(D472&lt;=$A$15, E471+LN($D$11)-LN(60/$E$11)-LN(MIN(D472,$F$11)), E471-LN(60/$E$11)-LN(MIN(D472,$F$11))), IF(D472&lt;=$A$15, E471+LN($D$11)-LN(60/$E$11)-LN(MIN(D472,$F$11)), E471+LN($D$11)+LN(1-$H$11)-LN(60/$E$11)-LN(MIN(D472,$F$11))))</f>
        <v>-52.274800190775096</v>
      </c>
      <c r="F472" s="1">
        <f t="shared" si="41"/>
        <v>-54.276832999974154</v>
      </c>
      <c r="G472" s="1">
        <f t="shared" ref="G472:G535" si="45">EXP(F472)</f>
        <v>2.6783722266624801E-24</v>
      </c>
      <c r="H472" s="1">
        <f t="shared" si="42"/>
        <v>2.6290173931573365E-25</v>
      </c>
      <c r="I472">
        <f>IF($F$11&lt;=D472, IF(D472&lt;=$A$15,D472-$F$11,$C$11),0)</f>
        <v>60</v>
      </c>
      <c r="J472">
        <f t="shared" si="43"/>
        <v>385</v>
      </c>
      <c r="K472" s="5">
        <f>IF(D472&lt;$F$11,H472,0)</f>
        <v>0</v>
      </c>
      <c r="L472">
        <f>IF(D472&lt;$A$15,$D$11,$D$11*(1-$H$11))</f>
        <v>85</v>
      </c>
      <c r="M472">
        <f t="shared" si="44"/>
        <v>1</v>
      </c>
      <c r="N472">
        <f>IF(SUM(I472:J472)&lt;=($G$11/60*$F$11/($E$11/60)),1,0)</f>
        <v>0</v>
      </c>
    </row>
    <row r="473" spans="4:14" x14ac:dyDescent="0.2">
      <c r="D473">
        <f t="shared" ref="D473:D536" si="46">1+D472</f>
        <v>450</v>
      </c>
      <c r="E473" s="1">
        <f>IF($H$11=1,IF(D473&lt;=$A$15, E472+LN($D$11)-LN(60/$E$11)-LN(MIN(D473,$F$11)), E472-LN(60/$E$11)-LN(MIN(D473,$F$11))), IF(D473&lt;=$A$15, E472+LN($D$11)-LN(60/$E$11)-LN(MIN(D473,$F$11)), E472+LN($D$11)+LN(1-$H$11)-LN(60/$E$11)-LN(MIN(D473,$F$11))))</f>
        <v>-52.396497125752617</v>
      </c>
      <c r="F473" s="1">
        <f t="shared" ref="F473:F536" si="47">E473-$E$21</f>
        <v>-54.398529934951675</v>
      </c>
      <c r="G473" s="1">
        <f t="shared" si="45"/>
        <v>2.3714754090240672E-24</v>
      </c>
      <c r="H473" s="1">
        <f t="shared" si="42"/>
        <v>2.3277758168580543E-25</v>
      </c>
      <c r="I473">
        <f>IF($F$11&lt;=D473, IF(D473&lt;=$A$15,D473-$F$11,$C$11),0)</f>
        <v>60</v>
      </c>
      <c r="J473">
        <f t="shared" si="43"/>
        <v>386</v>
      </c>
      <c r="K473" s="5">
        <f>IF(D473&lt;$F$11,H473,0)</f>
        <v>0</v>
      </c>
      <c r="L473">
        <f>IF(D473&lt;$A$15,$D$11,$D$11*(1-$H$11))</f>
        <v>85</v>
      </c>
      <c r="M473">
        <f t="shared" si="44"/>
        <v>1</v>
      </c>
      <c r="N473">
        <f>IF(SUM(I473:J473)&lt;=($G$11/60*$F$11/($E$11/60)),1,0)</f>
        <v>0</v>
      </c>
    </row>
    <row r="474" spans="4:14" x14ac:dyDescent="0.2">
      <c r="D474">
        <f t="shared" si="46"/>
        <v>451</v>
      </c>
      <c r="E474" s="1">
        <f>IF($H$11=1,IF(D474&lt;=$A$15, E473+LN($D$11)-LN(60/$E$11)-LN(MIN(D474,$F$11)), E473-LN(60/$E$11)-LN(MIN(D474,$F$11))), IF(D474&lt;=$A$15, E473+LN($D$11)-LN(60/$E$11)-LN(MIN(D474,$F$11)), E473+LN($D$11)+LN(1-$H$11)-LN(60/$E$11)-LN(MIN(D474,$F$11))))</f>
        <v>-52.518194060730139</v>
      </c>
      <c r="F474" s="1">
        <f t="shared" si="47"/>
        <v>-54.520226869929196</v>
      </c>
      <c r="G474" s="1">
        <f t="shared" si="45"/>
        <v>2.0997438517400568E-24</v>
      </c>
      <c r="H474" s="1">
        <f t="shared" si="42"/>
        <v>2.0610515045097332E-25</v>
      </c>
      <c r="I474">
        <f>IF($F$11&lt;=D474, IF(D474&lt;=$A$15,D474-$F$11,$C$11),0)</f>
        <v>60</v>
      </c>
      <c r="J474">
        <f t="shared" si="43"/>
        <v>387</v>
      </c>
      <c r="K474" s="5">
        <f>IF(D474&lt;$F$11,H474,0)</f>
        <v>0</v>
      </c>
      <c r="L474">
        <f>IF(D474&lt;$A$15,$D$11,$D$11*(1-$H$11))</f>
        <v>85</v>
      </c>
      <c r="M474">
        <f t="shared" si="44"/>
        <v>1</v>
      </c>
      <c r="N474">
        <f>IF(SUM(I474:J474)&lt;=($G$11/60*$F$11/($E$11/60)),1,0)</f>
        <v>0</v>
      </c>
    </row>
    <row r="475" spans="4:14" x14ac:dyDescent="0.2">
      <c r="D475">
        <f t="shared" si="46"/>
        <v>452</v>
      </c>
      <c r="E475" s="1">
        <f>IF($H$11=1,IF(D475&lt;=$A$15, E474+LN($D$11)-LN(60/$E$11)-LN(MIN(D475,$F$11)), E474-LN(60/$E$11)-LN(MIN(D475,$F$11))), IF(D475&lt;=$A$15, E474+LN($D$11)-LN(60/$E$11)-LN(MIN(D475,$F$11)), E474+LN($D$11)+LN(1-$H$11)-LN(60/$E$11)-LN(MIN(D475,$F$11))))</f>
        <v>-52.63989099570766</v>
      </c>
      <c r="F475" s="1">
        <f t="shared" si="47"/>
        <v>-54.641923804906718</v>
      </c>
      <c r="G475" s="1">
        <f t="shared" si="45"/>
        <v>1.8591482020615058E-24</v>
      </c>
      <c r="H475" s="1">
        <f t="shared" si="42"/>
        <v>1.8248893529513235E-25</v>
      </c>
      <c r="I475">
        <f>IF($F$11&lt;=D475, IF(D475&lt;=$A$15,D475-$F$11,$C$11),0)</f>
        <v>60</v>
      </c>
      <c r="J475">
        <f t="shared" si="43"/>
        <v>388</v>
      </c>
      <c r="K475" s="5">
        <f>IF(D475&lt;$F$11,H475,0)</f>
        <v>0</v>
      </c>
      <c r="L475">
        <f>IF(D475&lt;$A$15,$D$11,$D$11*(1-$H$11))</f>
        <v>85</v>
      </c>
      <c r="M475">
        <f t="shared" si="44"/>
        <v>1</v>
      </c>
      <c r="N475">
        <f>IF(SUM(I475:J475)&lt;=($G$11/60*$F$11/($E$11/60)),1,0)</f>
        <v>0</v>
      </c>
    </row>
    <row r="476" spans="4:14" x14ac:dyDescent="0.2">
      <c r="D476">
        <f t="shared" si="46"/>
        <v>453</v>
      </c>
      <c r="E476" s="1">
        <f>IF($H$11=1,IF(D476&lt;=$A$15, E475+LN($D$11)-LN(60/$E$11)-LN(MIN(D476,$F$11)), E475-LN(60/$E$11)-LN(MIN(D476,$F$11))), IF(D476&lt;=$A$15, E475+LN($D$11)-LN(60/$E$11)-LN(MIN(D476,$F$11)), E475+LN($D$11)+LN(1-$H$11)-LN(60/$E$11)-LN(MIN(D476,$F$11))))</f>
        <v>-52.761587930685181</v>
      </c>
      <c r="F476" s="1">
        <f t="shared" si="47"/>
        <v>-54.763620739884239</v>
      </c>
      <c r="G476" s="1">
        <f t="shared" si="45"/>
        <v>1.6461208039086226E-24</v>
      </c>
      <c r="H476" s="1">
        <f t="shared" si="42"/>
        <v>1.6157874479256487E-25</v>
      </c>
      <c r="I476">
        <f>IF($F$11&lt;=D476, IF(D476&lt;=$A$15,D476-$F$11,$C$11),0)</f>
        <v>60</v>
      </c>
      <c r="J476">
        <f t="shared" si="43"/>
        <v>389</v>
      </c>
      <c r="K476" s="5">
        <f>IF(D476&lt;$F$11,H476,0)</f>
        <v>0</v>
      </c>
      <c r="L476">
        <f>IF(D476&lt;$A$15,$D$11,$D$11*(1-$H$11))</f>
        <v>85</v>
      </c>
      <c r="M476">
        <f t="shared" si="44"/>
        <v>1</v>
      </c>
      <c r="N476">
        <f>IF(SUM(I476:J476)&lt;=($G$11/60*$F$11/($E$11/60)),1,0)</f>
        <v>0</v>
      </c>
    </row>
    <row r="477" spans="4:14" x14ac:dyDescent="0.2">
      <c r="D477">
        <f t="shared" si="46"/>
        <v>454</v>
      </c>
      <c r="E477" s="1">
        <f>IF($H$11=1,IF(D477&lt;=$A$15, E476+LN($D$11)-LN(60/$E$11)-LN(MIN(D477,$F$11)), E476-LN(60/$E$11)-LN(MIN(D477,$F$11))), IF(D477&lt;=$A$15, E476+LN($D$11)-LN(60/$E$11)-LN(MIN(D477,$F$11)), E476+LN($D$11)+LN(1-$H$11)-LN(60/$E$11)-LN(MIN(D477,$F$11))))</f>
        <v>-52.883284865662702</v>
      </c>
      <c r="F477" s="1">
        <f t="shared" si="47"/>
        <v>-54.88531767486176</v>
      </c>
      <c r="G477" s="1">
        <f t="shared" si="45"/>
        <v>1.4575027951274242E-24</v>
      </c>
      <c r="H477" s="1">
        <f t="shared" si="42"/>
        <v>1.4306451361841662E-25</v>
      </c>
      <c r="I477">
        <f>IF($F$11&lt;=D477, IF(D477&lt;=$A$15,D477-$F$11,$C$11),0)</f>
        <v>60</v>
      </c>
      <c r="J477">
        <f t="shared" si="43"/>
        <v>390</v>
      </c>
      <c r="K477" s="5">
        <f>IF(D477&lt;$F$11,H477,0)</f>
        <v>0</v>
      </c>
      <c r="L477">
        <f>IF(D477&lt;$A$15,$D$11,$D$11*(1-$H$11))</f>
        <v>85</v>
      </c>
      <c r="M477">
        <f t="shared" si="44"/>
        <v>1</v>
      </c>
      <c r="N477">
        <f>IF(SUM(I477:J477)&lt;=($G$11/60*$F$11/($E$11/60)),1,0)</f>
        <v>0</v>
      </c>
    </row>
    <row r="478" spans="4:14" x14ac:dyDescent="0.2">
      <c r="D478">
        <f t="shared" si="46"/>
        <v>455</v>
      </c>
      <c r="E478" s="1">
        <f>IF($H$11=1,IF(D478&lt;=$A$15, E477+LN($D$11)-LN(60/$E$11)-LN(MIN(D478,$F$11)), E477-LN(60/$E$11)-LN(MIN(D478,$F$11))), IF(D478&lt;=$A$15, E477+LN($D$11)-LN(60/$E$11)-LN(MIN(D478,$F$11)), E477+LN($D$11)+LN(1-$H$11)-LN(60/$E$11)-LN(MIN(D478,$F$11))))</f>
        <v>-53.004981800640223</v>
      </c>
      <c r="F478" s="1">
        <f t="shared" si="47"/>
        <v>-55.007014609839281</v>
      </c>
      <c r="G478" s="1">
        <f t="shared" si="45"/>
        <v>1.2904972665190717E-24</v>
      </c>
      <c r="H478" s="1">
        <f t="shared" si="42"/>
        <v>1.2667170476630619E-25</v>
      </c>
      <c r="I478">
        <f>IF($F$11&lt;=D478, IF(D478&lt;=$A$15,D478-$F$11,$C$11),0)</f>
        <v>60</v>
      </c>
      <c r="J478">
        <f t="shared" si="43"/>
        <v>391</v>
      </c>
      <c r="K478" s="5">
        <f>IF(D478&lt;$F$11,H478,0)</f>
        <v>0</v>
      </c>
      <c r="L478">
        <f>IF(D478&lt;$A$15,$D$11,$D$11*(1-$H$11))</f>
        <v>85</v>
      </c>
      <c r="M478">
        <f t="shared" si="44"/>
        <v>1</v>
      </c>
      <c r="N478">
        <f>IF(SUM(I478:J478)&lt;=($G$11/60*$F$11/($E$11/60)),1,0)</f>
        <v>0</v>
      </c>
    </row>
    <row r="479" spans="4:14" x14ac:dyDescent="0.2">
      <c r="D479">
        <f t="shared" si="46"/>
        <v>456</v>
      </c>
      <c r="E479" s="1">
        <f>IF($H$11=1,IF(D479&lt;=$A$15, E478+LN($D$11)-LN(60/$E$11)-LN(MIN(D479,$F$11)), E478-LN(60/$E$11)-LN(MIN(D479,$F$11))), IF(D479&lt;=$A$15, E478+LN($D$11)-LN(60/$E$11)-LN(MIN(D479,$F$11)), E478+LN($D$11)+LN(1-$H$11)-LN(60/$E$11)-LN(MIN(D479,$F$11))))</f>
        <v>-53.126678735617745</v>
      </c>
      <c r="F479" s="1">
        <f t="shared" si="47"/>
        <v>-55.128711544816802</v>
      </c>
      <c r="G479" s="1">
        <f t="shared" si="45"/>
        <v>1.1426277880637598E-24</v>
      </c>
      <c r="H479" s="1">
        <f t="shared" si="42"/>
        <v>1.1215723859516677E-25</v>
      </c>
      <c r="I479">
        <f>IF($F$11&lt;=D479, IF(D479&lt;=$A$15,D479-$F$11,$C$11),0)</f>
        <v>60</v>
      </c>
      <c r="J479">
        <f t="shared" si="43"/>
        <v>392</v>
      </c>
      <c r="K479" s="5">
        <f>IF(D479&lt;$F$11,H479,0)</f>
        <v>0</v>
      </c>
      <c r="L479">
        <f>IF(D479&lt;$A$15,$D$11,$D$11*(1-$H$11))</f>
        <v>85</v>
      </c>
      <c r="M479">
        <f t="shared" si="44"/>
        <v>1</v>
      </c>
      <c r="N479">
        <f>IF(SUM(I479:J479)&lt;=($G$11/60*$F$11/($E$11/60)),1,0)</f>
        <v>0</v>
      </c>
    </row>
    <row r="480" spans="4:14" x14ac:dyDescent="0.2">
      <c r="D480">
        <f t="shared" si="46"/>
        <v>457</v>
      </c>
      <c r="E480" s="1">
        <f>IF($H$11=1,IF(D480&lt;=$A$15, E479+LN($D$11)-LN(60/$E$11)-LN(MIN(D480,$F$11)), E479-LN(60/$E$11)-LN(MIN(D480,$F$11))), IF(D480&lt;=$A$15, E479+LN($D$11)-LN(60/$E$11)-LN(MIN(D480,$F$11)), E479+LN($D$11)+LN(1-$H$11)-LN(60/$E$11)-LN(MIN(D480,$F$11))))</f>
        <v>-53.248375670595266</v>
      </c>
      <c r="F480" s="1">
        <f t="shared" si="47"/>
        <v>-55.250408479794324</v>
      </c>
      <c r="G480" s="1">
        <f t="shared" si="45"/>
        <v>1.0117016873481192E-24</v>
      </c>
      <c r="H480" s="1">
        <f t="shared" si="42"/>
        <v>9.9305888339470443E-26</v>
      </c>
      <c r="I480">
        <f>IF($F$11&lt;=D480, IF(D480&lt;=$A$15,D480-$F$11,$C$11),0)</f>
        <v>60</v>
      </c>
      <c r="J480">
        <f t="shared" si="43"/>
        <v>393</v>
      </c>
      <c r="K480" s="5">
        <f>IF(D480&lt;$F$11,H480,0)</f>
        <v>0</v>
      </c>
      <c r="L480">
        <f>IF(D480&lt;$A$15,$D$11,$D$11*(1-$H$11))</f>
        <v>85</v>
      </c>
      <c r="M480">
        <f t="shared" si="44"/>
        <v>1</v>
      </c>
      <c r="N480">
        <f>IF(SUM(I480:J480)&lt;=($G$11/60*$F$11/($E$11/60)),1,0)</f>
        <v>0</v>
      </c>
    </row>
    <row r="481" spans="4:14" x14ac:dyDescent="0.2">
      <c r="D481">
        <f t="shared" si="46"/>
        <v>458</v>
      </c>
      <c r="E481" s="1">
        <f>IF($H$11=1,IF(D481&lt;=$A$15, E480+LN($D$11)-LN(60/$E$11)-LN(MIN(D481,$F$11)), E480-LN(60/$E$11)-LN(MIN(D481,$F$11))), IF(D481&lt;=$A$15, E480+LN($D$11)-LN(60/$E$11)-LN(MIN(D481,$F$11)), E480+LN($D$11)+LN(1-$H$11)-LN(60/$E$11)-LN(MIN(D481,$F$11))))</f>
        <v>-53.370072605572787</v>
      </c>
      <c r="F481" s="1">
        <f t="shared" si="47"/>
        <v>-55.372105414771845</v>
      </c>
      <c r="G481" s="1">
        <f t="shared" si="45"/>
        <v>8.9577753567281261E-25</v>
      </c>
      <c r="H481" s="1">
        <f t="shared" si="42"/>
        <v>8.7927088633906001E-26</v>
      </c>
      <c r="I481">
        <f>IF($F$11&lt;=D481, IF(D481&lt;=$A$15,D481-$F$11,$C$11),0)</f>
        <v>60</v>
      </c>
      <c r="J481">
        <f t="shared" si="43"/>
        <v>394</v>
      </c>
      <c r="K481" s="5">
        <f>IF(D481&lt;$F$11,H481,0)</f>
        <v>0</v>
      </c>
      <c r="L481">
        <f>IF(D481&lt;$A$15,$D$11,$D$11*(1-$H$11))</f>
        <v>85</v>
      </c>
      <c r="M481">
        <f t="shared" si="44"/>
        <v>1</v>
      </c>
      <c r="N481">
        <f>IF(SUM(I481:J481)&lt;=($G$11/60*$F$11/($E$11/60)),1,0)</f>
        <v>0</v>
      </c>
    </row>
    <row r="482" spans="4:14" x14ac:dyDescent="0.2">
      <c r="D482">
        <f t="shared" si="46"/>
        <v>459</v>
      </c>
      <c r="E482" s="1">
        <f>IF($H$11=1,IF(D482&lt;=$A$15, E481+LN($D$11)-LN(60/$E$11)-LN(MIN(D482,$F$11)), E481-LN(60/$E$11)-LN(MIN(D482,$F$11))), IF(D482&lt;=$A$15, E481+LN($D$11)-LN(60/$E$11)-LN(MIN(D482,$F$11)), E481+LN($D$11)+LN(1-$H$11)-LN(60/$E$11)-LN(MIN(D482,$F$11))))</f>
        <v>-53.491769540550308</v>
      </c>
      <c r="F482" s="1">
        <f t="shared" si="47"/>
        <v>-55.493802349749366</v>
      </c>
      <c r="G482" s="1">
        <f t="shared" si="45"/>
        <v>7.9313635971030169E-25</v>
      </c>
      <c r="H482" s="1">
        <f t="shared" si="42"/>
        <v>7.7852109727937489E-26</v>
      </c>
      <c r="I482">
        <f>IF($F$11&lt;=D482, IF(D482&lt;=$A$15,D482-$F$11,$C$11),0)</f>
        <v>60</v>
      </c>
      <c r="J482">
        <f t="shared" si="43"/>
        <v>395</v>
      </c>
      <c r="K482" s="5">
        <f>IF(D482&lt;$F$11,H482,0)</f>
        <v>0</v>
      </c>
      <c r="L482">
        <f>IF(D482&lt;$A$15,$D$11,$D$11*(1-$H$11))</f>
        <v>85</v>
      </c>
      <c r="M482">
        <f t="shared" si="44"/>
        <v>1</v>
      </c>
      <c r="N482">
        <f>IF(SUM(I482:J482)&lt;=($G$11/60*$F$11/($E$11/60)),1,0)</f>
        <v>0</v>
      </c>
    </row>
    <row r="483" spans="4:14" x14ac:dyDescent="0.2">
      <c r="D483">
        <f t="shared" si="46"/>
        <v>460</v>
      </c>
      <c r="E483" s="1">
        <f>IF($H$11=1,IF(D483&lt;=$A$15, E482+LN($D$11)-LN(60/$E$11)-LN(MIN(D483,$F$11)), E482-LN(60/$E$11)-LN(MIN(D483,$F$11))), IF(D483&lt;=$A$15, E482+LN($D$11)-LN(60/$E$11)-LN(MIN(D483,$F$11)), E482+LN($D$11)+LN(1-$H$11)-LN(60/$E$11)-LN(MIN(D483,$F$11))))</f>
        <v>-53.613466475527829</v>
      </c>
      <c r="F483" s="1">
        <f t="shared" si="47"/>
        <v>-55.615499284726887</v>
      </c>
      <c r="G483" s="1">
        <f t="shared" si="45"/>
        <v>7.0225615182682859E-25</v>
      </c>
      <c r="H483" s="1">
        <f t="shared" si="42"/>
        <v>6.8931555488277892E-26</v>
      </c>
      <c r="I483">
        <f>IF($F$11&lt;=D483, IF(D483&lt;=$A$15,D483-$F$11,$C$11),0)</f>
        <v>60</v>
      </c>
      <c r="J483">
        <f t="shared" si="43"/>
        <v>396</v>
      </c>
      <c r="K483" s="5">
        <f>IF(D483&lt;$F$11,H483,0)</f>
        <v>0</v>
      </c>
      <c r="L483">
        <f>IF(D483&lt;$A$15,$D$11,$D$11*(1-$H$11))</f>
        <v>85</v>
      </c>
      <c r="M483">
        <f t="shared" si="44"/>
        <v>1</v>
      </c>
      <c r="N483">
        <f>IF(SUM(I483:J483)&lt;=($G$11/60*$F$11/($E$11/60)),1,0)</f>
        <v>0</v>
      </c>
    </row>
    <row r="484" spans="4:14" x14ac:dyDescent="0.2">
      <c r="D484">
        <f t="shared" si="46"/>
        <v>461</v>
      </c>
      <c r="E484" s="1">
        <f>IF($H$11=1,IF(D484&lt;=$A$15, E483+LN($D$11)-LN(60/$E$11)-LN(MIN(D484,$F$11)), E483-LN(60/$E$11)-LN(MIN(D484,$F$11))), IF(D484&lt;=$A$15, E483+LN($D$11)-LN(60/$E$11)-LN(MIN(D484,$F$11)), E483+LN($D$11)+LN(1-$H$11)-LN(60/$E$11)-LN(MIN(D484,$F$11))))</f>
        <v>-53.735163410505351</v>
      </c>
      <c r="F484" s="1">
        <f t="shared" si="47"/>
        <v>-55.737196219704408</v>
      </c>
      <c r="G484" s="1">
        <f t="shared" si="45"/>
        <v>6.2178930109667025E-25</v>
      </c>
      <c r="H484" s="1">
        <f t="shared" si="42"/>
        <v>6.1033148088579296E-26</v>
      </c>
      <c r="I484">
        <f>IF($F$11&lt;=D484, IF(D484&lt;=$A$15,D484-$F$11,$C$11),0)</f>
        <v>60</v>
      </c>
      <c r="J484">
        <f t="shared" si="43"/>
        <v>397</v>
      </c>
      <c r="K484" s="5">
        <f>IF(D484&lt;$F$11,H484,0)</f>
        <v>0</v>
      </c>
      <c r="L484">
        <f>IF(D484&lt;$A$15,$D$11,$D$11*(1-$H$11))</f>
        <v>85</v>
      </c>
      <c r="M484">
        <f t="shared" si="44"/>
        <v>1</v>
      </c>
      <c r="N484">
        <f>IF(SUM(I484:J484)&lt;=($G$11/60*$F$11/($E$11/60)),1,0)</f>
        <v>0</v>
      </c>
    </row>
    <row r="485" spans="4:14" x14ac:dyDescent="0.2">
      <c r="D485">
        <f t="shared" si="46"/>
        <v>462</v>
      </c>
      <c r="E485" s="1">
        <f>IF($H$11=1,IF(D485&lt;=$A$15, E484+LN($D$11)-LN(60/$E$11)-LN(MIN(D485,$F$11)), E484-LN(60/$E$11)-LN(MIN(D485,$F$11))), IF(D485&lt;=$A$15, E484+LN($D$11)-LN(60/$E$11)-LN(MIN(D485,$F$11)), E484+LN($D$11)+LN(1-$H$11)-LN(60/$E$11)-LN(MIN(D485,$F$11))))</f>
        <v>-53.856860345482872</v>
      </c>
      <c r="F485" s="1">
        <f t="shared" si="47"/>
        <v>-55.85889315468193</v>
      </c>
      <c r="G485" s="1">
        <f t="shared" si="45"/>
        <v>5.5054261034600933E-25</v>
      </c>
      <c r="H485" s="1">
        <f t="shared" si="42"/>
        <v>5.4039766536762832E-26</v>
      </c>
      <c r="I485">
        <f>IF($F$11&lt;=D485, IF(D485&lt;=$A$15,D485-$F$11,$C$11),0)</f>
        <v>60</v>
      </c>
      <c r="J485">
        <f t="shared" si="43"/>
        <v>398</v>
      </c>
      <c r="K485" s="5">
        <f>IF(D485&lt;$F$11,H485,0)</f>
        <v>0</v>
      </c>
      <c r="L485">
        <f>IF(D485&lt;$A$15,$D$11,$D$11*(1-$H$11))</f>
        <v>85</v>
      </c>
      <c r="M485">
        <f t="shared" si="44"/>
        <v>1</v>
      </c>
      <c r="N485">
        <f>IF(SUM(I485:J485)&lt;=($G$11/60*$F$11/($E$11/60)),1,0)</f>
        <v>0</v>
      </c>
    </row>
    <row r="486" spans="4:14" x14ac:dyDescent="0.2">
      <c r="D486">
        <f t="shared" si="46"/>
        <v>463</v>
      </c>
      <c r="E486" s="1">
        <f>IF($H$11=1,IF(D486&lt;=$A$15, E485+LN($D$11)-LN(60/$E$11)-LN(MIN(D486,$F$11)), E485-LN(60/$E$11)-LN(MIN(D486,$F$11))), IF(D486&lt;=$A$15, E485+LN($D$11)-LN(60/$E$11)-LN(MIN(D486,$F$11)), E485+LN($D$11)+LN(1-$H$11)-LN(60/$E$11)-LN(MIN(D486,$F$11))))</f>
        <v>-53.978557280460393</v>
      </c>
      <c r="F486" s="1">
        <f t="shared" si="47"/>
        <v>-55.980590089659451</v>
      </c>
      <c r="G486" s="1">
        <f t="shared" si="45"/>
        <v>4.8745960291052845E-25</v>
      </c>
      <c r="H486" s="1">
        <f t="shared" si="42"/>
        <v>4.7847709954425366E-26</v>
      </c>
      <c r="I486">
        <f>IF($F$11&lt;=D486, IF(D486&lt;=$A$15,D486-$F$11,$C$11),0)</f>
        <v>60</v>
      </c>
      <c r="J486">
        <f t="shared" si="43"/>
        <v>399</v>
      </c>
      <c r="K486" s="5">
        <f>IF(D486&lt;$F$11,H486,0)</f>
        <v>0</v>
      </c>
      <c r="L486">
        <f>IF(D486&lt;$A$15,$D$11,$D$11*(1-$H$11))</f>
        <v>85</v>
      </c>
      <c r="M486">
        <f t="shared" si="44"/>
        <v>1</v>
      </c>
      <c r="N486">
        <f>IF(SUM(I486:J486)&lt;=($G$11/60*$F$11/($E$11/60)),1,0)</f>
        <v>0</v>
      </c>
    </row>
    <row r="487" spans="4:14" x14ac:dyDescent="0.2">
      <c r="D487">
        <f t="shared" si="46"/>
        <v>464</v>
      </c>
      <c r="E487" s="1">
        <f>IF($H$11=1,IF(D487&lt;=$A$15, E486+LN($D$11)-LN(60/$E$11)-LN(MIN(D487,$F$11)), E486-LN(60/$E$11)-LN(MIN(D487,$F$11))), IF(D487&lt;=$A$15, E486+LN($D$11)-LN(60/$E$11)-LN(MIN(D487,$F$11)), E486+LN($D$11)+LN(1-$H$11)-LN(60/$E$11)-LN(MIN(D487,$F$11))))</f>
        <v>-54.100254215437914</v>
      </c>
      <c r="F487" s="1">
        <f t="shared" si="47"/>
        <v>-56.102287024636972</v>
      </c>
      <c r="G487" s="1">
        <f t="shared" si="45"/>
        <v>4.3160485674369644E-25</v>
      </c>
      <c r="H487" s="1">
        <f t="shared" si="42"/>
        <v>4.236515985548073E-26</v>
      </c>
      <c r="I487">
        <f>IF($F$11&lt;=D487, IF(D487&lt;=$A$15,D487-$F$11,$C$11),0)</f>
        <v>60</v>
      </c>
      <c r="J487">
        <f t="shared" si="43"/>
        <v>400</v>
      </c>
      <c r="K487" s="5">
        <f>IF(D487&lt;$F$11,H487,0)</f>
        <v>0</v>
      </c>
      <c r="L487">
        <f>IF(D487&lt;$A$15,$D$11,$D$11*(1-$H$11))</f>
        <v>85</v>
      </c>
      <c r="M487">
        <f t="shared" si="44"/>
        <v>1</v>
      </c>
      <c r="N487">
        <f>IF(SUM(I487:J487)&lt;=($G$11/60*$F$11/($E$11/60)),1,0)</f>
        <v>0</v>
      </c>
    </row>
    <row r="488" spans="4:14" x14ac:dyDescent="0.2">
      <c r="D488">
        <f t="shared" si="46"/>
        <v>465</v>
      </c>
      <c r="E488" s="1">
        <f>IF($H$11=1,IF(D488&lt;=$A$15, E487+LN($D$11)-LN(60/$E$11)-LN(MIN(D488,$F$11)), E487-LN(60/$E$11)-LN(MIN(D488,$F$11))), IF(D488&lt;=$A$15, E487+LN($D$11)-LN(60/$E$11)-LN(MIN(D488,$F$11)), E487+LN($D$11)+LN(1-$H$11)-LN(60/$E$11)-LN(MIN(D488,$F$11))))</f>
        <v>-54.221951150415435</v>
      </c>
      <c r="F488" s="1">
        <f t="shared" si="47"/>
        <v>-56.223983959614493</v>
      </c>
      <c r="G488" s="1">
        <f t="shared" si="45"/>
        <v>3.8215013357514731E-25</v>
      </c>
      <c r="H488" s="1">
        <f t="shared" si="42"/>
        <v>3.7510818622040174E-26</v>
      </c>
      <c r="I488">
        <f>IF($F$11&lt;=D488, IF(D488&lt;=$A$15,D488-$F$11,$C$11),0)</f>
        <v>60</v>
      </c>
      <c r="J488">
        <f t="shared" si="43"/>
        <v>401</v>
      </c>
      <c r="K488" s="5">
        <f>IF(D488&lt;$F$11,H488,0)</f>
        <v>0</v>
      </c>
      <c r="L488">
        <f>IF(D488&lt;$A$15,$D$11,$D$11*(1-$H$11))</f>
        <v>85</v>
      </c>
      <c r="M488">
        <f t="shared" si="44"/>
        <v>1</v>
      </c>
      <c r="N488">
        <f>IF(SUM(I488:J488)&lt;=($G$11/60*$F$11/($E$11/60)),1,0)</f>
        <v>0</v>
      </c>
    </row>
    <row r="489" spans="4:14" x14ac:dyDescent="0.2">
      <c r="D489">
        <f t="shared" si="46"/>
        <v>466</v>
      </c>
      <c r="E489" s="1">
        <f>IF($H$11=1,IF(D489&lt;=$A$15, E488+LN($D$11)-LN(60/$E$11)-LN(MIN(D489,$F$11)), E488-LN(60/$E$11)-LN(MIN(D489,$F$11))), IF(D489&lt;=$A$15, E488+LN($D$11)-LN(60/$E$11)-LN(MIN(D489,$F$11)), E488+LN($D$11)+LN(1-$H$11)-LN(60/$E$11)-LN(MIN(D489,$F$11))))</f>
        <v>-54.343648085392957</v>
      </c>
      <c r="F489" s="1">
        <f t="shared" si="47"/>
        <v>-56.345680894592014</v>
      </c>
      <c r="G489" s="1">
        <f t="shared" si="45"/>
        <v>3.3836209743632789E-25</v>
      </c>
      <c r="H489" s="1">
        <f t="shared" si="42"/>
        <v>3.3212703988264695E-26</v>
      </c>
      <c r="I489">
        <f>IF($F$11&lt;=D489, IF(D489&lt;=$A$15,D489-$F$11,$C$11),0)</f>
        <v>60</v>
      </c>
      <c r="J489">
        <f t="shared" si="43"/>
        <v>402</v>
      </c>
      <c r="K489" s="5">
        <f>IF(D489&lt;$F$11,H489,0)</f>
        <v>0</v>
      </c>
      <c r="L489">
        <f>IF(D489&lt;$A$15,$D$11,$D$11*(1-$H$11))</f>
        <v>85</v>
      </c>
      <c r="M489">
        <f t="shared" si="44"/>
        <v>1</v>
      </c>
      <c r="N489">
        <f>IF(SUM(I489:J489)&lt;=($G$11/60*$F$11/($E$11/60)),1,0)</f>
        <v>0</v>
      </c>
    </row>
    <row r="490" spans="4:14" x14ac:dyDescent="0.2">
      <c r="D490">
        <f t="shared" si="46"/>
        <v>467</v>
      </c>
      <c r="E490" s="1">
        <f>IF($H$11=1,IF(D490&lt;=$A$15, E489+LN($D$11)-LN(60/$E$11)-LN(MIN(D490,$F$11)), E489-LN(60/$E$11)-LN(MIN(D490,$F$11))), IF(D490&lt;=$A$15, E489+LN($D$11)-LN(60/$E$11)-LN(MIN(D490,$F$11)), E489+LN($D$11)+LN(1-$H$11)-LN(60/$E$11)-LN(MIN(D490,$F$11))))</f>
        <v>-54.465345020370478</v>
      </c>
      <c r="F490" s="1">
        <f t="shared" si="47"/>
        <v>-56.467377829569536</v>
      </c>
      <c r="G490" s="1">
        <f t="shared" si="45"/>
        <v>2.9959144043841488E-25</v>
      </c>
      <c r="H490" s="1">
        <f t="shared" si="42"/>
        <v>2.9407081656275987E-26</v>
      </c>
      <c r="I490">
        <f>IF($F$11&lt;=D490, IF(D490&lt;=$A$15,D490-$F$11,$C$11),0)</f>
        <v>60</v>
      </c>
      <c r="J490">
        <f t="shared" si="43"/>
        <v>403</v>
      </c>
      <c r="K490" s="5">
        <f>IF(D490&lt;$F$11,H490,0)</f>
        <v>0</v>
      </c>
      <c r="L490">
        <f>IF(D490&lt;$A$15,$D$11,$D$11*(1-$H$11))</f>
        <v>85</v>
      </c>
      <c r="M490">
        <f t="shared" si="44"/>
        <v>1</v>
      </c>
      <c r="N490">
        <f>IF(SUM(I490:J490)&lt;=($G$11/60*$F$11/($E$11/60)),1,0)</f>
        <v>0</v>
      </c>
    </row>
    <row r="491" spans="4:14" x14ac:dyDescent="0.2">
      <c r="D491">
        <f t="shared" si="46"/>
        <v>468</v>
      </c>
      <c r="E491" s="1">
        <f>IF($H$11=1,IF(D491&lt;=$A$15, E490+LN($D$11)-LN(60/$E$11)-LN(MIN(D491,$F$11)), E490-LN(60/$E$11)-LN(MIN(D491,$F$11))), IF(D491&lt;=$A$15, E490+LN($D$11)-LN(60/$E$11)-LN(MIN(D491,$F$11)), E490+LN($D$11)+LN(1-$H$11)-LN(60/$E$11)-LN(MIN(D491,$F$11))))</f>
        <v>-54.587041955347999</v>
      </c>
      <c r="F491" s="1">
        <f t="shared" si="47"/>
        <v>-56.589074764547057</v>
      </c>
      <c r="G491" s="1">
        <f t="shared" si="45"/>
        <v>2.6526325455484613E-25</v>
      </c>
      <c r="H491" s="1">
        <f t="shared" si="42"/>
        <v>2.6037520216494324E-26</v>
      </c>
      <c r="I491">
        <f>IF($F$11&lt;=D491, IF(D491&lt;=$A$15,D491-$F$11,$C$11),0)</f>
        <v>60</v>
      </c>
      <c r="J491">
        <f t="shared" si="43"/>
        <v>404</v>
      </c>
      <c r="K491" s="5">
        <f>IF(D491&lt;$F$11,H491,0)</f>
        <v>0</v>
      </c>
      <c r="L491">
        <f>IF(D491&lt;$A$15,$D$11,$D$11*(1-$H$11))</f>
        <v>85</v>
      </c>
      <c r="M491">
        <f t="shared" si="44"/>
        <v>1</v>
      </c>
      <c r="N491">
        <f>IF(SUM(I491:J491)&lt;=($G$11/60*$F$11/($E$11/60)),1,0)</f>
        <v>0</v>
      </c>
    </row>
    <row r="492" spans="4:14" x14ac:dyDescent="0.2">
      <c r="D492">
        <f t="shared" si="46"/>
        <v>469</v>
      </c>
      <c r="E492" s="1">
        <f>IF($H$11=1,IF(D492&lt;=$A$15, E491+LN($D$11)-LN(60/$E$11)-LN(MIN(D492,$F$11)), E491-LN(60/$E$11)-LN(MIN(D492,$F$11))), IF(D492&lt;=$A$15, E491+LN($D$11)-LN(60/$E$11)-LN(MIN(D492,$F$11)), E491+LN($D$11)+LN(1-$H$11)-LN(60/$E$11)-LN(MIN(D492,$F$11))))</f>
        <v>-54.70873889032552</v>
      </c>
      <c r="F492" s="1">
        <f t="shared" si="47"/>
        <v>-56.710771699524578</v>
      </c>
      <c r="G492" s="1">
        <f t="shared" si="45"/>
        <v>2.3486850663710303E-25</v>
      </c>
      <c r="H492" s="1">
        <f t="shared" si="42"/>
        <v>2.305405435835432E-26</v>
      </c>
      <c r="I492">
        <f>IF($F$11&lt;=D492, IF(D492&lt;=$A$15,D492-$F$11,$C$11),0)</f>
        <v>60</v>
      </c>
      <c r="J492">
        <f t="shared" si="43"/>
        <v>405</v>
      </c>
      <c r="K492" s="5">
        <f>IF(D492&lt;$F$11,H492,0)</f>
        <v>0</v>
      </c>
      <c r="L492">
        <f>IF(D492&lt;$A$15,$D$11,$D$11*(1-$H$11))</f>
        <v>85</v>
      </c>
      <c r="M492">
        <f t="shared" si="44"/>
        <v>1</v>
      </c>
      <c r="N492">
        <f>IF(SUM(I492:J492)&lt;=($G$11/60*$F$11/($E$11/60)),1,0)</f>
        <v>0</v>
      </c>
    </row>
    <row r="493" spans="4:14" x14ac:dyDescent="0.2">
      <c r="D493">
        <f t="shared" si="46"/>
        <v>470</v>
      </c>
      <c r="E493" s="1">
        <f>IF($H$11=1,IF(D493&lt;=$A$15, E492+LN($D$11)-LN(60/$E$11)-LN(MIN(D493,$F$11)), E492-LN(60/$E$11)-LN(MIN(D493,$F$11))), IF(D493&lt;=$A$15, E492+LN($D$11)-LN(60/$E$11)-LN(MIN(D493,$F$11)), E492+LN($D$11)+LN(1-$H$11)-LN(60/$E$11)-LN(MIN(D493,$F$11))))</f>
        <v>-54.830435825303041</v>
      </c>
      <c r="F493" s="1">
        <f t="shared" si="47"/>
        <v>-56.832468634502099</v>
      </c>
      <c r="G493" s="1">
        <f t="shared" si="45"/>
        <v>2.0795649025160134E-25</v>
      </c>
      <c r="H493" s="1">
        <f t="shared" si="42"/>
        <v>2.041244396312619E-26</v>
      </c>
      <c r="I493">
        <f>IF($F$11&lt;=D493, IF(D493&lt;=$A$15,D493-$F$11,$C$11),0)</f>
        <v>60</v>
      </c>
      <c r="J493">
        <f t="shared" si="43"/>
        <v>406</v>
      </c>
      <c r="K493" s="5">
        <f>IF(D493&lt;$F$11,H493,0)</f>
        <v>0</v>
      </c>
      <c r="L493">
        <f>IF(D493&lt;$A$15,$D$11,$D$11*(1-$H$11))</f>
        <v>85</v>
      </c>
      <c r="M493">
        <f t="shared" si="44"/>
        <v>1</v>
      </c>
      <c r="N493">
        <f>IF(SUM(I493:J493)&lt;=($G$11/60*$F$11/($E$11/60)),1,0)</f>
        <v>0</v>
      </c>
    </row>
    <row r="494" spans="4:14" x14ac:dyDescent="0.2">
      <c r="D494">
        <f t="shared" si="46"/>
        <v>471</v>
      </c>
      <c r="E494" s="1">
        <f>IF($H$11=1,IF(D494&lt;=$A$15, E493+LN($D$11)-LN(60/$E$11)-LN(MIN(D494,$F$11)), E493-LN(60/$E$11)-LN(MIN(D494,$F$11))), IF(D494&lt;=$A$15, E493+LN($D$11)-LN(60/$E$11)-LN(MIN(D494,$F$11)), E493+LN($D$11)+LN(1-$H$11)-LN(60/$E$11)-LN(MIN(D494,$F$11))))</f>
        <v>-54.952132760280563</v>
      </c>
      <c r="F494" s="1">
        <f t="shared" si="47"/>
        <v>-56.954165569479621</v>
      </c>
      <c r="G494" s="1">
        <f t="shared" si="45"/>
        <v>1.8412814241027174E-25</v>
      </c>
      <c r="H494" s="1">
        <f t="shared" si="42"/>
        <v>1.8073518092351289E-26</v>
      </c>
      <c r="I494">
        <f>IF($F$11&lt;=D494, IF(D494&lt;=$A$15,D494-$F$11,$C$11),0)</f>
        <v>60</v>
      </c>
      <c r="J494">
        <f t="shared" si="43"/>
        <v>407</v>
      </c>
      <c r="K494" s="5">
        <f>IF(D494&lt;$F$11,H494,0)</f>
        <v>0</v>
      </c>
      <c r="L494">
        <f>IF(D494&lt;$A$15,$D$11,$D$11*(1-$H$11))</f>
        <v>85</v>
      </c>
      <c r="M494">
        <f t="shared" si="44"/>
        <v>1</v>
      </c>
      <c r="N494">
        <f>IF(SUM(I494:J494)&lt;=($G$11/60*$F$11/($E$11/60)),1,0)</f>
        <v>0</v>
      </c>
    </row>
    <row r="495" spans="4:14" x14ac:dyDescent="0.2">
      <c r="D495">
        <f t="shared" si="46"/>
        <v>472</v>
      </c>
      <c r="E495" s="1">
        <f>IF($H$11=1,IF(D495&lt;=$A$15, E494+LN($D$11)-LN(60/$E$11)-LN(MIN(D495,$F$11)), E494-LN(60/$E$11)-LN(MIN(D495,$F$11))), IF(D495&lt;=$A$15, E494+LN($D$11)-LN(60/$E$11)-LN(MIN(D495,$F$11)), E494+LN($D$11)+LN(1-$H$11)-LN(60/$E$11)-LN(MIN(D495,$F$11))))</f>
        <v>-55.073829695258084</v>
      </c>
      <c r="F495" s="1">
        <f t="shared" si="47"/>
        <v>-57.075862504457142</v>
      </c>
      <c r="G495" s="1">
        <f t="shared" si="45"/>
        <v>1.6303012609242788E-25</v>
      </c>
      <c r="H495" s="1">
        <f t="shared" si="42"/>
        <v>1.6002594144269347E-26</v>
      </c>
      <c r="I495">
        <f>IF($F$11&lt;=D495, IF(D495&lt;=$A$15,D495-$F$11,$C$11),0)</f>
        <v>60</v>
      </c>
      <c r="J495">
        <f t="shared" si="43"/>
        <v>408</v>
      </c>
      <c r="K495" s="5">
        <f>IF(D495&lt;$F$11,H495,0)</f>
        <v>0</v>
      </c>
      <c r="L495">
        <f>IF(D495&lt;$A$15,$D$11,$D$11*(1-$H$11))</f>
        <v>85</v>
      </c>
      <c r="M495">
        <f t="shared" si="44"/>
        <v>1</v>
      </c>
      <c r="N495">
        <f>IF(SUM(I495:J495)&lt;=($G$11/60*$F$11/($E$11/60)),1,0)</f>
        <v>0</v>
      </c>
    </row>
    <row r="496" spans="4:14" x14ac:dyDescent="0.2">
      <c r="D496">
        <f t="shared" si="46"/>
        <v>473</v>
      </c>
      <c r="E496" s="1">
        <f>IF($H$11=1,IF(D496&lt;=$A$15, E495+LN($D$11)-LN(60/$E$11)-LN(MIN(D496,$F$11)), E495-LN(60/$E$11)-LN(MIN(D496,$F$11))), IF(D496&lt;=$A$15, E495+LN($D$11)-LN(60/$E$11)-LN(MIN(D496,$F$11)), E495+LN($D$11)+LN(1-$H$11)-LN(60/$E$11)-LN(MIN(D496,$F$11))))</f>
        <v>-55.195526630235605</v>
      </c>
      <c r="F496" s="1">
        <f t="shared" si="47"/>
        <v>-57.197559439434663</v>
      </c>
      <c r="G496" s="1">
        <f t="shared" si="45"/>
        <v>1.4434959081100363E-25</v>
      </c>
      <c r="H496" s="1">
        <f t="shared" si="42"/>
        <v>1.4168963565238462E-26</v>
      </c>
      <c r="I496">
        <f>IF($F$11&lt;=D496, IF(D496&lt;=$A$15,D496-$F$11,$C$11),0)</f>
        <v>60</v>
      </c>
      <c r="J496">
        <f t="shared" si="43"/>
        <v>409</v>
      </c>
      <c r="K496" s="5">
        <f>IF(D496&lt;$F$11,H496,0)</f>
        <v>0</v>
      </c>
      <c r="L496">
        <f>IF(D496&lt;$A$15,$D$11,$D$11*(1-$H$11))</f>
        <v>85</v>
      </c>
      <c r="M496">
        <f t="shared" si="44"/>
        <v>1</v>
      </c>
      <c r="N496">
        <f>IF(SUM(I496:J496)&lt;=($G$11/60*$F$11/($E$11/60)),1,0)</f>
        <v>0</v>
      </c>
    </row>
    <row r="497" spans="4:14" x14ac:dyDescent="0.2">
      <c r="D497">
        <f t="shared" si="46"/>
        <v>474</v>
      </c>
      <c r="E497" s="1">
        <f>IF($H$11=1,IF(D497&lt;=$A$15, E496+LN($D$11)-LN(60/$E$11)-LN(MIN(D497,$F$11)), E496-LN(60/$E$11)-LN(MIN(D497,$F$11))), IF(D497&lt;=$A$15, E496+LN($D$11)-LN(60/$E$11)-LN(MIN(D497,$F$11)), E496+LN($D$11)+LN(1-$H$11)-LN(60/$E$11)-LN(MIN(D497,$F$11))))</f>
        <v>-55.317223565213126</v>
      </c>
      <c r="F497" s="1">
        <f t="shared" si="47"/>
        <v>-57.319256374412184</v>
      </c>
      <c r="G497" s="1">
        <f t="shared" si="45"/>
        <v>1.2780953353057596E-25</v>
      </c>
      <c r="H497" s="1">
        <f t="shared" si="42"/>
        <v>1.2545436490054873E-26</v>
      </c>
      <c r="I497">
        <f>IF($F$11&lt;=D497, IF(D497&lt;=$A$15,D497-$F$11,$C$11),0)</f>
        <v>60</v>
      </c>
      <c r="J497">
        <f t="shared" si="43"/>
        <v>410</v>
      </c>
      <c r="K497" s="5">
        <f>IF(D497&lt;$F$11,H497,0)</f>
        <v>0</v>
      </c>
      <c r="L497">
        <f>IF(D497&lt;$A$15,$D$11,$D$11*(1-$H$11))</f>
        <v>85</v>
      </c>
      <c r="M497">
        <f t="shared" si="44"/>
        <v>1</v>
      </c>
      <c r="N497">
        <f>IF(SUM(I497:J497)&lt;=($G$11/60*$F$11/($E$11/60)),1,0)</f>
        <v>0</v>
      </c>
    </row>
    <row r="498" spans="4:14" x14ac:dyDescent="0.2">
      <c r="D498">
        <f t="shared" si="46"/>
        <v>475</v>
      </c>
      <c r="E498" s="1">
        <f>IF($H$11=1,IF(D498&lt;=$A$15, E497+LN($D$11)-LN(60/$E$11)-LN(MIN(D498,$F$11)), E497-LN(60/$E$11)-LN(MIN(D498,$F$11))), IF(D498&lt;=$A$15, E497+LN($D$11)-LN(60/$E$11)-LN(MIN(D498,$F$11)), E497+LN($D$11)+LN(1-$H$11)-LN(60/$E$11)-LN(MIN(D498,$F$11))))</f>
        <v>-55.438920500190648</v>
      </c>
      <c r="F498" s="1">
        <f t="shared" si="47"/>
        <v>-57.440953309389705</v>
      </c>
      <c r="G498" s="1">
        <f t="shared" si="45"/>
        <v>1.1316469114686398E-25</v>
      </c>
      <c r="H498" s="1">
        <f t="shared" si="42"/>
        <v>1.1107938558902736E-26</v>
      </c>
      <c r="I498">
        <f>IF($F$11&lt;=D498, IF(D498&lt;=$A$15,D498-$F$11,$C$11),0)</f>
        <v>60</v>
      </c>
      <c r="J498">
        <f t="shared" si="43"/>
        <v>411</v>
      </c>
      <c r="K498" s="5">
        <f>IF(D498&lt;$F$11,H498,0)</f>
        <v>0</v>
      </c>
      <c r="L498">
        <f>IF(D498&lt;$A$15,$D$11,$D$11*(1-$H$11))</f>
        <v>85</v>
      </c>
      <c r="M498">
        <f t="shared" si="44"/>
        <v>1</v>
      </c>
      <c r="N498">
        <f>IF(SUM(I498:J498)&lt;=($G$11/60*$F$11/($E$11/60)),1,0)</f>
        <v>0</v>
      </c>
    </row>
    <row r="499" spans="4:14" x14ac:dyDescent="0.2">
      <c r="D499">
        <f t="shared" si="46"/>
        <v>476</v>
      </c>
      <c r="E499" s="1">
        <f>IF($H$11=1,IF(D499&lt;=$A$15, E498+LN($D$11)-LN(60/$E$11)-LN(MIN(D499,$F$11)), E498-LN(60/$E$11)-LN(MIN(D499,$F$11))), IF(D499&lt;=$A$15, E498+LN($D$11)-LN(60/$E$11)-LN(MIN(D499,$F$11)), E498+LN($D$11)+LN(1-$H$11)-LN(60/$E$11)-LN(MIN(D499,$F$11))))</f>
        <v>-55.560617435168169</v>
      </c>
      <c r="F499" s="1">
        <f t="shared" si="47"/>
        <v>-57.562650244367227</v>
      </c>
      <c r="G499" s="1">
        <f t="shared" si="45"/>
        <v>1.00197903619619E-25</v>
      </c>
      <c r="H499" s="1">
        <f t="shared" si="42"/>
        <v>9.8351539323617837E-27</v>
      </c>
      <c r="I499">
        <f>IF($F$11&lt;=D499, IF(D499&lt;=$A$15,D499-$F$11,$C$11),0)</f>
        <v>60</v>
      </c>
      <c r="J499">
        <f t="shared" si="43"/>
        <v>412</v>
      </c>
      <c r="K499" s="5">
        <f>IF(D499&lt;$F$11,H499,0)</f>
        <v>0</v>
      </c>
      <c r="L499">
        <f>IF(D499&lt;$A$15,$D$11,$D$11*(1-$H$11))</f>
        <v>85</v>
      </c>
      <c r="M499">
        <f t="shared" si="44"/>
        <v>1</v>
      </c>
      <c r="N499">
        <f>IF(SUM(I499:J499)&lt;=($G$11/60*$F$11/($E$11/60)),1,0)</f>
        <v>0</v>
      </c>
    </row>
    <row r="500" spans="4:14" x14ac:dyDescent="0.2">
      <c r="D500">
        <f t="shared" si="46"/>
        <v>477</v>
      </c>
      <c r="E500" s="1">
        <f>IF($H$11=1,IF(D500&lt;=$A$15, E499+LN($D$11)-LN(60/$E$11)-LN(MIN(D500,$F$11)), E499-LN(60/$E$11)-LN(MIN(D500,$F$11))), IF(D500&lt;=$A$15, E499+LN($D$11)-LN(60/$E$11)-LN(MIN(D500,$F$11)), E499+LN($D$11)+LN(1-$H$11)-LN(60/$E$11)-LN(MIN(D500,$F$11))))</f>
        <v>-55.68231437014569</v>
      </c>
      <c r="F500" s="1">
        <f t="shared" si="47"/>
        <v>-57.684347179344748</v>
      </c>
      <c r="G500" s="1">
        <f t="shared" si="45"/>
        <v>8.8716893829870863E-26</v>
      </c>
      <c r="H500" s="1">
        <f t="shared" si="42"/>
        <v>8.7082092109453172E-27</v>
      </c>
      <c r="I500">
        <f>IF($F$11&lt;=D500, IF(D500&lt;=$A$15,D500-$F$11,$C$11),0)</f>
        <v>60</v>
      </c>
      <c r="J500">
        <f t="shared" si="43"/>
        <v>413</v>
      </c>
      <c r="K500" s="5">
        <f>IF(D500&lt;$F$11,H500,0)</f>
        <v>0</v>
      </c>
      <c r="L500">
        <f>IF(D500&lt;$A$15,$D$11,$D$11*(1-$H$11))</f>
        <v>85</v>
      </c>
      <c r="M500">
        <f t="shared" si="44"/>
        <v>1</v>
      </c>
      <c r="N500">
        <f>IF(SUM(I500:J500)&lt;=($G$11/60*$F$11/($E$11/60)),1,0)</f>
        <v>0</v>
      </c>
    </row>
    <row r="501" spans="4:14" x14ac:dyDescent="0.2">
      <c r="D501">
        <f t="shared" si="46"/>
        <v>478</v>
      </c>
      <c r="E501" s="1">
        <f>IF($H$11=1,IF(D501&lt;=$A$15, E500+LN($D$11)-LN(60/$E$11)-LN(MIN(D501,$F$11)), E500-LN(60/$E$11)-LN(MIN(D501,$F$11))), IF(D501&lt;=$A$15, E500+LN($D$11)-LN(60/$E$11)-LN(MIN(D501,$F$11)), E500+LN($D$11)+LN(1-$H$11)-LN(60/$E$11)-LN(MIN(D501,$F$11))))</f>
        <v>-55.804011305123211</v>
      </c>
      <c r="F501" s="1">
        <f t="shared" si="47"/>
        <v>-57.806044114322269</v>
      </c>
      <c r="G501" s="1">
        <f t="shared" si="45"/>
        <v>7.8551416411864709E-26</v>
      </c>
      <c r="H501" s="1">
        <f t="shared" si="42"/>
        <v>7.7103935721911543E-27</v>
      </c>
      <c r="I501">
        <f>IF($F$11&lt;=D501, IF(D501&lt;=$A$15,D501-$F$11,$C$11),0)</f>
        <v>60</v>
      </c>
      <c r="J501">
        <f t="shared" si="43"/>
        <v>414</v>
      </c>
      <c r="K501" s="5">
        <f>IF(D501&lt;$F$11,H501,0)</f>
        <v>0</v>
      </c>
      <c r="L501">
        <f>IF(D501&lt;$A$15,$D$11,$D$11*(1-$H$11))</f>
        <v>85</v>
      </c>
      <c r="M501">
        <f t="shared" si="44"/>
        <v>1</v>
      </c>
      <c r="N501">
        <f>IF(SUM(I501:J501)&lt;=($G$11/60*$F$11/($E$11/60)),1,0)</f>
        <v>0</v>
      </c>
    </row>
    <row r="502" spans="4:14" x14ac:dyDescent="0.2">
      <c r="D502">
        <f t="shared" si="46"/>
        <v>479</v>
      </c>
      <c r="E502" s="1">
        <f>IF($H$11=1,IF(D502&lt;=$A$15, E501+LN($D$11)-LN(60/$E$11)-LN(MIN(D502,$F$11)), E501-LN(60/$E$11)-LN(MIN(D502,$F$11))), IF(D502&lt;=$A$15, E501+LN($D$11)-LN(60/$E$11)-LN(MIN(D502,$F$11)), E501+LN($D$11)+LN(1-$H$11)-LN(60/$E$11)-LN(MIN(D502,$F$11))))</f>
        <v>-55.925708240100732</v>
      </c>
      <c r="F502" s="1">
        <f t="shared" si="47"/>
        <v>-57.92774104929979</v>
      </c>
      <c r="G502" s="1">
        <f t="shared" si="45"/>
        <v>6.9550733281338443E-26</v>
      </c>
      <c r="H502" s="1">
        <f t="shared" si="42"/>
        <v>6.8269109753775744E-27</v>
      </c>
      <c r="I502">
        <f>IF($F$11&lt;=D502, IF(D502&lt;=$A$15,D502-$F$11,$C$11),0)</f>
        <v>60</v>
      </c>
      <c r="J502">
        <f t="shared" si="43"/>
        <v>415</v>
      </c>
      <c r="K502" s="5">
        <f>IF(D502&lt;$F$11,H502,0)</f>
        <v>0</v>
      </c>
      <c r="L502">
        <f>IF(D502&lt;$A$15,$D$11,$D$11*(1-$H$11))</f>
        <v>85</v>
      </c>
      <c r="M502">
        <f t="shared" si="44"/>
        <v>1</v>
      </c>
      <c r="N502">
        <f>IF(SUM(I502:J502)&lt;=($G$11/60*$F$11/($E$11/60)),1,0)</f>
        <v>0</v>
      </c>
    </row>
    <row r="503" spans="4:14" x14ac:dyDescent="0.2">
      <c r="D503">
        <f t="shared" si="46"/>
        <v>480</v>
      </c>
      <c r="E503" s="1">
        <f>IF($H$11=1,IF(D503&lt;=$A$15, E502+LN($D$11)-LN(60/$E$11)-LN(MIN(D503,$F$11)), E502-LN(60/$E$11)-LN(MIN(D503,$F$11))), IF(D503&lt;=$A$15, E502+LN($D$11)-LN(60/$E$11)-LN(MIN(D503,$F$11)), E502+LN($D$11)+LN(1-$H$11)-LN(60/$E$11)-LN(MIN(D503,$F$11))))</f>
        <v>-56.047405175078254</v>
      </c>
      <c r="F503" s="1">
        <f t="shared" si="47"/>
        <v>-58.049437984277311</v>
      </c>
      <c r="G503" s="1">
        <f t="shared" si="45"/>
        <v>6.1581378426184994E-26</v>
      </c>
      <c r="H503" s="1">
        <f t="shared" si="42"/>
        <v>6.0446607594488857E-27</v>
      </c>
      <c r="I503">
        <f>IF($F$11&lt;=D503, IF(D503&lt;=$A$15,D503-$F$11,$C$11),0)</f>
        <v>60</v>
      </c>
      <c r="J503">
        <f t="shared" si="43"/>
        <v>416</v>
      </c>
      <c r="K503" s="5">
        <f>IF(D503&lt;$F$11,H503,0)</f>
        <v>0</v>
      </c>
      <c r="L503">
        <f>IF(D503&lt;$A$15,$D$11,$D$11*(1-$H$11))</f>
        <v>85</v>
      </c>
      <c r="M503">
        <f t="shared" si="44"/>
        <v>1</v>
      </c>
      <c r="N503">
        <f>IF(SUM(I503:J503)&lt;=($G$11/60*$F$11/($E$11/60)),1,0)</f>
        <v>0</v>
      </c>
    </row>
    <row r="504" spans="4:14" x14ac:dyDescent="0.2">
      <c r="D504">
        <f t="shared" si="46"/>
        <v>481</v>
      </c>
      <c r="E504" s="1">
        <f>IF($H$11=1,IF(D504&lt;=$A$15, E503+LN($D$11)-LN(60/$E$11)-LN(MIN(D504,$F$11)), E503-LN(60/$E$11)-LN(MIN(D504,$F$11))), IF(D504&lt;=$A$15, E503+LN($D$11)-LN(60/$E$11)-LN(MIN(D504,$F$11)), E503+LN($D$11)+LN(1-$H$11)-LN(60/$E$11)-LN(MIN(D504,$F$11))))</f>
        <v>-56.169102110055775</v>
      </c>
      <c r="F504" s="1">
        <f t="shared" si="47"/>
        <v>-58.171134919254833</v>
      </c>
      <c r="G504" s="1">
        <f t="shared" si="45"/>
        <v>5.4525178814851223E-26</v>
      </c>
      <c r="H504" s="1">
        <f t="shared" si="42"/>
        <v>5.3520433807620273E-27</v>
      </c>
      <c r="I504">
        <f>IF($F$11&lt;=D504, IF(D504&lt;=$A$15,D504-$F$11,$C$11),0)</f>
        <v>60</v>
      </c>
      <c r="J504">
        <f t="shared" si="43"/>
        <v>417</v>
      </c>
      <c r="K504" s="5">
        <f>IF(D504&lt;$F$11,H504,0)</f>
        <v>0</v>
      </c>
      <c r="L504">
        <f>IF(D504&lt;$A$15,$D$11,$D$11*(1-$H$11))</f>
        <v>85</v>
      </c>
      <c r="M504">
        <f t="shared" si="44"/>
        <v>1</v>
      </c>
      <c r="N504">
        <f>IF(SUM(I504:J504)&lt;=($G$11/60*$F$11/($E$11/60)),1,0)</f>
        <v>0</v>
      </c>
    </row>
    <row r="505" spans="4:14" x14ac:dyDescent="0.2">
      <c r="D505">
        <f t="shared" si="46"/>
        <v>482</v>
      </c>
      <c r="E505" s="1">
        <f>IF($H$11=1,IF(D505&lt;=$A$15, E504+LN($D$11)-LN(60/$E$11)-LN(MIN(D505,$F$11)), E504-LN(60/$E$11)-LN(MIN(D505,$F$11))), IF(D505&lt;=$A$15, E504+LN($D$11)-LN(60/$E$11)-LN(MIN(D505,$F$11)), E504+LN($D$11)+LN(1-$H$11)-LN(60/$E$11)-LN(MIN(D505,$F$11))))</f>
        <v>-56.290799045033296</v>
      </c>
      <c r="F505" s="1">
        <f t="shared" si="47"/>
        <v>-58.292831854232354</v>
      </c>
      <c r="G505" s="1">
        <f t="shared" si="45"/>
        <v>4.8277502075649448E-26</v>
      </c>
      <c r="H505" s="1">
        <f t="shared" si="42"/>
        <v>4.7387884100497044E-27</v>
      </c>
      <c r="I505">
        <f>IF($F$11&lt;=D505, IF(D505&lt;=$A$15,D505-$F$11,$C$11),0)</f>
        <v>60</v>
      </c>
      <c r="J505">
        <f t="shared" si="43"/>
        <v>418</v>
      </c>
      <c r="K505" s="5">
        <f>IF(D505&lt;$F$11,H505,0)</f>
        <v>0</v>
      </c>
      <c r="L505">
        <f>IF(D505&lt;$A$15,$D$11,$D$11*(1-$H$11))</f>
        <v>85</v>
      </c>
      <c r="M505">
        <f t="shared" si="44"/>
        <v>1</v>
      </c>
      <c r="N505">
        <f>IF(SUM(I505:J505)&lt;=($G$11/60*$F$11/($E$11/60)),1,0)</f>
        <v>0</v>
      </c>
    </row>
    <row r="506" spans="4:14" x14ac:dyDescent="0.2">
      <c r="D506">
        <f t="shared" si="46"/>
        <v>483</v>
      </c>
      <c r="E506" s="1">
        <f>IF($H$11=1,IF(D506&lt;=$A$15, E505+LN($D$11)-LN(60/$E$11)-LN(MIN(D506,$F$11)), E505-LN(60/$E$11)-LN(MIN(D506,$F$11))), IF(D506&lt;=$A$15, E505+LN($D$11)-LN(60/$E$11)-LN(MIN(D506,$F$11)), E505+LN($D$11)+LN(1-$H$11)-LN(60/$E$11)-LN(MIN(D506,$F$11))))</f>
        <v>-56.412495980010817</v>
      </c>
      <c r="F506" s="1">
        <f t="shared" si="47"/>
        <v>-58.414528789209875</v>
      </c>
      <c r="G506" s="1">
        <f t="shared" si="45"/>
        <v>4.2745704962814555E-26</v>
      </c>
      <c r="H506" s="1">
        <f t="shared" si="42"/>
        <v>4.1958022380648366E-27</v>
      </c>
      <c r="I506">
        <f>IF($F$11&lt;=D506, IF(D506&lt;=$A$15,D506-$F$11,$C$11),0)</f>
        <v>60</v>
      </c>
      <c r="J506">
        <f t="shared" si="43"/>
        <v>419</v>
      </c>
      <c r="K506" s="5">
        <f>IF(D506&lt;$F$11,H506,0)</f>
        <v>0</v>
      </c>
      <c r="L506">
        <f>IF(D506&lt;$A$15,$D$11,$D$11*(1-$H$11))</f>
        <v>85</v>
      </c>
      <c r="M506">
        <f t="shared" si="44"/>
        <v>1</v>
      </c>
      <c r="N506">
        <f>IF(SUM(I506:J506)&lt;=($G$11/60*$F$11/($E$11/60)),1,0)</f>
        <v>0</v>
      </c>
    </row>
    <row r="507" spans="4:14" x14ac:dyDescent="0.2">
      <c r="D507">
        <f t="shared" si="46"/>
        <v>484</v>
      </c>
      <c r="E507" s="1">
        <f>IF($H$11=1,IF(D507&lt;=$A$15, E506+LN($D$11)-LN(60/$E$11)-LN(MIN(D507,$F$11)), E506-LN(60/$E$11)-LN(MIN(D507,$F$11))), IF(D507&lt;=$A$15, E506+LN($D$11)-LN(60/$E$11)-LN(MIN(D507,$F$11)), E506+LN($D$11)+LN(1-$H$11)-LN(60/$E$11)-LN(MIN(D507,$F$11))))</f>
        <v>-56.534192914988338</v>
      </c>
      <c r="F507" s="1">
        <f t="shared" si="47"/>
        <v>-58.536225724187396</v>
      </c>
      <c r="G507" s="1">
        <f t="shared" si="45"/>
        <v>3.7847759602491998E-26</v>
      </c>
      <c r="H507" s="1">
        <f t="shared" si="42"/>
        <v>3.7150332316199019E-27</v>
      </c>
      <c r="I507">
        <f>IF($F$11&lt;=D507, IF(D507&lt;=$A$15,D507-$F$11,$C$11),0)</f>
        <v>60</v>
      </c>
      <c r="J507">
        <f t="shared" si="43"/>
        <v>420</v>
      </c>
      <c r="K507" s="5">
        <f>IF(D507&lt;$F$11,H507,0)</f>
        <v>0</v>
      </c>
      <c r="L507">
        <f>IF(D507&lt;$A$15,$D$11,$D$11*(1-$H$11))</f>
        <v>85</v>
      </c>
      <c r="M507">
        <f t="shared" si="44"/>
        <v>1</v>
      </c>
      <c r="N507">
        <f>IF(SUM(I507:J507)&lt;=($G$11/60*$F$11/($E$11/60)),1,0)</f>
        <v>0</v>
      </c>
    </row>
    <row r="508" spans="4:14" x14ac:dyDescent="0.2">
      <c r="D508">
        <f t="shared" si="46"/>
        <v>485</v>
      </c>
      <c r="E508" s="1">
        <f>IF($H$11=1,IF(D508&lt;=$A$15, E507+LN($D$11)-LN(60/$E$11)-LN(MIN(D508,$F$11)), E507-LN(60/$E$11)-LN(MIN(D508,$F$11))), IF(D508&lt;=$A$15, E507+LN($D$11)-LN(60/$E$11)-LN(MIN(D508,$F$11)), E507+LN($D$11)+LN(1-$H$11)-LN(60/$E$11)-LN(MIN(D508,$F$11))))</f>
        <v>-56.65588984996586</v>
      </c>
      <c r="F508" s="1">
        <f t="shared" si="47"/>
        <v>-58.657922659164917</v>
      </c>
      <c r="G508" s="1">
        <f t="shared" si="45"/>
        <v>3.3511037148039743E-26</v>
      </c>
      <c r="H508" s="1">
        <f t="shared" si="42"/>
        <v>3.2893523404967831E-27</v>
      </c>
      <c r="I508">
        <f>IF($F$11&lt;=D508, IF(D508&lt;=$A$15,D508-$F$11,$C$11),0)</f>
        <v>60</v>
      </c>
      <c r="J508">
        <f t="shared" si="43"/>
        <v>421</v>
      </c>
      <c r="K508" s="5">
        <f>IF(D508&lt;$F$11,H508,0)</f>
        <v>0</v>
      </c>
      <c r="L508">
        <f>IF(D508&lt;$A$15,$D$11,$D$11*(1-$H$11))</f>
        <v>85</v>
      </c>
      <c r="M508">
        <f t="shared" si="44"/>
        <v>1</v>
      </c>
      <c r="N508">
        <f>IF(SUM(I508:J508)&lt;=($G$11/60*$F$11/($E$11/60)),1,0)</f>
        <v>0</v>
      </c>
    </row>
    <row r="509" spans="4:14" x14ac:dyDescent="0.2">
      <c r="D509">
        <f t="shared" si="46"/>
        <v>486</v>
      </c>
      <c r="E509" s="1">
        <f>IF($H$11=1,IF(D509&lt;=$A$15, E508+LN($D$11)-LN(60/$E$11)-LN(MIN(D509,$F$11)), E508-LN(60/$E$11)-LN(MIN(D509,$F$11))), IF(D509&lt;=$A$15, E508+LN($D$11)-LN(60/$E$11)-LN(MIN(D509,$F$11)), E508+LN($D$11)+LN(1-$H$11)-LN(60/$E$11)-LN(MIN(D509,$F$11))))</f>
        <v>-56.777586784943381</v>
      </c>
      <c r="F509" s="1">
        <f t="shared" si="47"/>
        <v>-58.779619594142439</v>
      </c>
      <c r="G509" s="1">
        <f t="shared" si="45"/>
        <v>2.9671230808160148E-26</v>
      </c>
      <c r="H509" s="1">
        <f t="shared" si="42"/>
        <v>2.9124473848148563E-27</v>
      </c>
      <c r="I509">
        <f>IF($F$11&lt;=D509, IF(D509&lt;=$A$15,D509-$F$11,$C$11),0)</f>
        <v>60</v>
      </c>
      <c r="J509">
        <f t="shared" si="43"/>
        <v>422</v>
      </c>
      <c r="K509" s="5">
        <f>IF(D509&lt;$F$11,H509,0)</f>
        <v>0</v>
      </c>
      <c r="L509">
        <f>IF(D509&lt;$A$15,$D$11,$D$11*(1-$H$11))</f>
        <v>85</v>
      </c>
      <c r="M509">
        <f t="shared" si="44"/>
        <v>1</v>
      </c>
      <c r="N509">
        <f>IF(SUM(I509:J509)&lt;=($G$11/60*$F$11/($E$11/60)),1,0)</f>
        <v>0</v>
      </c>
    </row>
    <row r="510" spans="4:14" x14ac:dyDescent="0.2">
      <c r="D510">
        <f t="shared" si="46"/>
        <v>487</v>
      </c>
      <c r="E510" s="1">
        <f>IF($H$11=1,IF(D510&lt;=$A$15, E509+LN($D$11)-LN(60/$E$11)-LN(MIN(D510,$F$11)), E509-LN(60/$E$11)-LN(MIN(D510,$F$11))), IF(D510&lt;=$A$15, E509+LN($D$11)-LN(60/$E$11)-LN(MIN(D510,$F$11)), E509+LN($D$11)+LN(1-$H$11)-LN(60/$E$11)-LN(MIN(D510,$F$11))))</f>
        <v>-56.899283719920902</v>
      </c>
      <c r="F510" s="1">
        <f t="shared" si="47"/>
        <v>-58.90131652911996</v>
      </c>
      <c r="G510" s="1">
        <f t="shared" si="45"/>
        <v>2.6271402278058425E-26</v>
      </c>
      <c r="H510" s="1">
        <f t="shared" si="42"/>
        <v>2.5787294553048169E-27</v>
      </c>
      <c r="I510">
        <f>IF($F$11&lt;=D510, IF(D510&lt;=$A$15,D510-$F$11,$C$11),0)</f>
        <v>60</v>
      </c>
      <c r="J510">
        <f t="shared" si="43"/>
        <v>423</v>
      </c>
      <c r="K510" s="5">
        <f>IF(D510&lt;$F$11,H510,0)</f>
        <v>0</v>
      </c>
      <c r="L510">
        <f>IF(D510&lt;$A$15,$D$11,$D$11*(1-$H$11))</f>
        <v>85</v>
      </c>
      <c r="M510">
        <f t="shared" si="44"/>
        <v>1</v>
      </c>
      <c r="N510">
        <f>IF(SUM(I510:J510)&lt;=($G$11/60*$F$11/($E$11/60)),1,0)</f>
        <v>0</v>
      </c>
    </row>
    <row r="511" spans="4:14" x14ac:dyDescent="0.2">
      <c r="D511">
        <f t="shared" si="46"/>
        <v>488</v>
      </c>
      <c r="E511" s="1">
        <f>IF($H$11=1,IF(D511&lt;=$A$15, E510+LN($D$11)-LN(60/$E$11)-LN(MIN(D511,$F$11)), E510-LN(60/$E$11)-LN(MIN(D511,$F$11))), IF(D511&lt;=$A$15, E510+LN($D$11)-LN(60/$E$11)-LN(MIN(D511,$F$11)), E510+LN($D$11)+LN(1-$H$11)-LN(60/$E$11)-LN(MIN(D511,$F$11))))</f>
        <v>-57.020980654898423</v>
      </c>
      <c r="F511" s="1">
        <f t="shared" si="47"/>
        <v>-59.023013464097481</v>
      </c>
      <c r="G511" s="1">
        <f t="shared" si="45"/>
        <v>2.3261137433697533E-26</v>
      </c>
      <c r="H511" s="1">
        <f t="shared" si="42"/>
        <v>2.283250038551137E-27</v>
      </c>
      <c r="I511">
        <f>IF($F$11&lt;=D511, IF(D511&lt;=$A$15,D511-$F$11,$C$11),0)</f>
        <v>60</v>
      </c>
      <c r="J511">
        <f t="shared" si="43"/>
        <v>424</v>
      </c>
      <c r="K511" s="5">
        <f>IF(D511&lt;$F$11,H511,0)</f>
        <v>0</v>
      </c>
      <c r="L511">
        <f>IF(D511&lt;$A$15,$D$11,$D$11*(1-$H$11))</f>
        <v>85</v>
      </c>
      <c r="M511">
        <f t="shared" si="44"/>
        <v>1</v>
      </c>
      <c r="N511">
        <f>IF(SUM(I511:J511)&lt;=($G$11/60*$F$11/($E$11/60)),1,0)</f>
        <v>0</v>
      </c>
    </row>
    <row r="512" spans="4:14" x14ac:dyDescent="0.2">
      <c r="D512">
        <f t="shared" si="46"/>
        <v>489</v>
      </c>
      <c r="E512" s="1">
        <f>IF($H$11=1,IF(D512&lt;=$A$15, E511+LN($D$11)-LN(60/$E$11)-LN(MIN(D512,$F$11)), E511-LN(60/$E$11)-LN(MIN(D512,$F$11))), IF(D512&lt;=$A$15, E511+LN($D$11)-LN(60/$E$11)-LN(MIN(D512,$F$11)), E511+LN($D$11)+LN(1-$H$11)-LN(60/$E$11)-LN(MIN(D512,$F$11))))</f>
        <v>-57.142677589875944</v>
      </c>
      <c r="F512" s="1">
        <f t="shared" si="47"/>
        <v>-59.144710399075002</v>
      </c>
      <c r="G512" s="1">
        <f t="shared" si="45"/>
        <v>2.059579876941966E-26</v>
      </c>
      <c r="H512" s="1">
        <f t="shared" si="42"/>
        <v>2.0216276383004828E-27</v>
      </c>
      <c r="I512">
        <f>IF($F$11&lt;=D512, IF(D512&lt;=$A$15,D512-$F$11,$C$11),0)</f>
        <v>60</v>
      </c>
      <c r="J512">
        <f t="shared" si="43"/>
        <v>425</v>
      </c>
      <c r="K512" s="5">
        <f>IF(D512&lt;$F$11,H512,0)</f>
        <v>0</v>
      </c>
      <c r="L512">
        <f>IF(D512&lt;$A$15,$D$11,$D$11*(1-$H$11))</f>
        <v>85</v>
      </c>
      <c r="M512">
        <f t="shared" si="44"/>
        <v>1</v>
      </c>
      <c r="N512">
        <f>IF(SUM(I512:J512)&lt;=($G$11/60*$F$11/($E$11/60)),1,0)</f>
        <v>0</v>
      </c>
    </row>
    <row r="513" spans="4:14" x14ac:dyDescent="0.2">
      <c r="D513">
        <f t="shared" si="46"/>
        <v>490</v>
      </c>
      <c r="E513" s="1">
        <f>IF($H$11=1,IF(D513&lt;=$A$15, E512+LN($D$11)-LN(60/$E$11)-LN(MIN(D513,$F$11)), E512-LN(60/$E$11)-LN(MIN(D513,$F$11))), IF(D513&lt;=$A$15, E512+LN($D$11)-LN(60/$E$11)-LN(MIN(D513,$F$11)), E512+LN($D$11)+LN(1-$H$11)-LN(60/$E$11)-LN(MIN(D513,$F$11))))</f>
        <v>-57.264374524853466</v>
      </c>
      <c r="F513" s="1">
        <f t="shared" si="47"/>
        <v>-59.266407334052523</v>
      </c>
      <c r="G513" s="1">
        <f t="shared" si="45"/>
        <v>1.8235863493756966E-26</v>
      </c>
      <c r="H513" s="1">
        <f t="shared" si="42"/>
        <v>1.7899828047452168E-27</v>
      </c>
      <c r="I513">
        <f>IF($F$11&lt;=D513, IF(D513&lt;=$A$15,D513-$F$11,$C$11),0)</f>
        <v>60</v>
      </c>
      <c r="J513">
        <f t="shared" si="43"/>
        <v>426</v>
      </c>
      <c r="K513" s="5">
        <f>IF(D513&lt;$F$11,H513,0)</f>
        <v>0</v>
      </c>
      <c r="L513">
        <f>IF(D513&lt;$A$15,$D$11,$D$11*(1-$H$11))</f>
        <v>85</v>
      </c>
      <c r="M513">
        <f t="shared" si="44"/>
        <v>1</v>
      </c>
      <c r="N513">
        <f>IF(SUM(I513:J513)&lt;=($G$11/60*$F$11/($E$11/60)),1,0)</f>
        <v>0</v>
      </c>
    </row>
    <row r="514" spans="4:14" x14ac:dyDescent="0.2">
      <c r="D514">
        <f t="shared" si="46"/>
        <v>491</v>
      </c>
      <c r="E514" s="1">
        <f>IF($H$11=1,IF(D514&lt;=$A$15, E513+LN($D$11)-LN(60/$E$11)-LN(MIN(D514,$F$11)), E513-LN(60/$E$11)-LN(MIN(D514,$F$11))), IF(D514&lt;=$A$15, E513+LN($D$11)-LN(60/$E$11)-LN(MIN(D514,$F$11)), E513+LN($D$11)+LN(1-$H$11)-LN(60/$E$11)-LN(MIN(D514,$F$11))))</f>
        <v>-57.386071459830987</v>
      </c>
      <c r="F514" s="1">
        <f t="shared" si="47"/>
        <v>-59.388104269030045</v>
      </c>
      <c r="G514" s="1">
        <f t="shared" si="45"/>
        <v>1.6146337468430622E-26</v>
      </c>
      <c r="H514" s="1">
        <f t="shared" si="42"/>
        <v>1.5848806083681582E-27</v>
      </c>
      <c r="I514">
        <f>IF($F$11&lt;=D514, IF(D514&lt;=$A$15,D514-$F$11,$C$11),0)</f>
        <v>60</v>
      </c>
      <c r="J514">
        <f t="shared" si="43"/>
        <v>427</v>
      </c>
      <c r="K514" s="5">
        <f>IF(D514&lt;$F$11,H514,0)</f>
        <v>0</v>
      </c>
      <c r="L514">
        <f>IF(D514&lt;$A$15,$D$11,$D$11*(1-$H$11))</f>
        <v>85</v>
      </c>
      <c r="M514">
        <f t="shared" si="44"/>
        <v>1</v>
      </c>
      <c r="N514">
        <f>IF(SUM(I514:J514)&lt;=($G$11/60*$F$11/($E$11/60)),1,0)</f>
        <v>0</v>
      </c>
    </row>
    <row r="515" spans="4:14" x14ac:dyDescent="0.2">
      <c r="D515">
        <f t="shared" si="46"/>
        <v>492</v>
      </c>
      <c r="E515" s="1">
        <f>IF($H$11=1,IF(D515&lt;=$A$15, E514+LN($D$11)-LN(60/$E$11)-LN(MIN(D515,$F$11)), E514-LN(60/$E$11)-LN(MIN(D515,$F$11))), IF(D515&lt;=$A$15, E514+LN($D$11)-LN(60/$E$11)-LN(MIN(D515,$F$11)), E514+LN($D$11)+LN(1-$H$11)-LN(60/$E$11)-LN(MIN(D515,$F$11))))</f>
        <v>-57.507768394808508</v>
      </c>
      <c r="F515" s="1">
        <f t="shared" si="47"/>
        <v>-59.509801204007566</v>
      </c>
      <c r="G515" s="1">
        <f t="shared" si="45"/>
        <v>1.4296236300172927E-26</v>
      </c>
      <c r="H515" s="1">
        <f t="shared" si="42"/>
        <v>1.4032797053259716E-27</v>
      </c>
      <c r="I515">
        <f>IF($F$11&lt;=D515, IF(D515&lt;=$A$15,D515-$F$11,$C$11),0)</f>
        <v>60</v>
      </c>
      <c r="J515">
        <f t="shared" si="43"/>
        <v>428</v>
      </c>
      <c r="K515" s="5">
        <f>IF(D515&lt;$F$11,H515,0)</f>
        <v>0</v>
      </c>
      <c r="L515">
        <f>IF(D515&lt;$A$15,$D$11,$D$11*(1-$H$11))</f>
        <v>85</v>
      </c>
      <c r="M515">
        <f t="shared" si="44"/>
        <v>1</v>
      </c>
      <c r="N515">
        <f>IF(SUM(I515:J515)&lt;=($G$11/60*$F$11/($E$11/60)),1,0)</f>
        <v>0</v>
      </c>
    </row>
    <row r="516" spans="4:14" x14ac:dyDescent="0.2">
      <c r="D516">
        <f t="shared" si="46"/>
        <v>493</v>
      </c>
      <c r="E516" s="1">
        <f>IF($H$11=1,IF(D516&lt;=$A$15, E515+LN($D$11)-LN(60/$E$11)-LN(MIN(D516,$F$11)), E515-LN(60/$E$11)-LN(MIN(D516,$F$11))), IF(D516&lt;=$A$15, E515+LN($D$11)-LN(60/$E$11)-LN(MIN(D516,$F$11)), E515+LN($D$11)+LN(1-$H$11)-LN(60/$E$11)-LN(MIN(D516,$F$11))))</f>
        <v>-57.629465329786029</v>
      </c>
      <c r="F516" s="1">
        <f t="shared" si="47"/>
        <v>-59.631498138985087</v>
      </c>
      <c r="G516" s="1">
        <f t="shared" si="45"/>
        <v>1.2658125890778095E-26</v>
      </c>
      <c r="H516" s="1">
        <f t="shared" si="42"/>
        <v>1.2424872390907022E-27</v>
      </c>
      <c r="I516">
        <f>IF($F$11&lt;=D516, IF(D516&lt;=$A$15,D516-$F$11,$C$11),0)</f>
        <v>60</v>
      </c>
      <c r="J516">
        <f t="shared" si="43"/>
        <v>429</v>
      </c>
      <c r="K516" s="5">
        <f>IF(D516&lt;$F$11,H516,0)</f>
        <v>0</v>
      </c>
      <c r="L516">
        <f>IF(D516&lt;$A$15,$D$11,$D$11*(1-$H$11))</f>
        <v>85</v>
      </c>
      <c r="M516">
        <f t="shared" si="44"/>
        <v>1</v>
      </c>
      <c r="N516">
        <f>IF(SUM(I516:J516)&lt;=($G$11/60*$F$11/($E$11/60)),1,0)</f>
        <v>0</v>
      </c>
    </row>
    <row r="517" spans="4:14" x14ac:dyDescent="0.2">
      <c r="D517">
        <f t="shared" si="46"/>
        <v>494</v>
      </c>
      <c r="E517" s="1">
        <f>IF($H$11=1,IF(D517&lt;=$A$15, E516+LN($D$11)-LN(60/$E$11)-LN(MIN(D517,$F$11)), E516-LN(60/$E$11)-LN(MIN(D517,$F$11))), IF(D517&lt;=$A$15, E516+LN($D$11)-LN(60/$E$11)-LN(MIN(D517,$F$11)), E516+LN($D$11)+LN(1-$H$11)-LN(60/$E$11)-LN(MIN(D517,$F$11))))</f>
        <v>-57.751162264763551</v>
      </c>
      <c r="F517" s="1">
        <f t="shared" si="47"/>
        <v>-59.753195073962608</v>
      </c>
      <c r="G517" s="1">
        <f t="shared" si="45"/>
        <v>1.1207715632459756E-26</v>
      </c>
      <c r="H517" s="1">
        <f t="shared" si="42"/>
        <v>1.1001189096115576E-27</v>
      </c>
      <c r="I517">
        <f>IF($F$11&lt;=D517, IF(D517&lt;=$A$15,D517-$F$11,$C$11),0)</f>
        <v>60</v>
      </c>
      <c r="J517">
        <f t="shared" si="43"/>
        <v>430</v>
      </c>
      <c r="K517" s="5">
        <f>IF(D517&lt;$F$11,H517,0)</f>
        <v>0</v>
      </c>
      <c r="L517">
        <f>IF(D517&lt;$A$15,$D$11,$D$11*(1-$H$11))</f>
        <v>85</v>
      </c>
      <c r="M517">
        <f t="shared" si="44"/>
        <v>1</v>
      </c>
      <c r="N517">
        <f>IF(SUM(I517:J517)&lt;=($G$11/60*$F$11/($E$11/60)),1,0)</f>
        <v>0</v>
      </c>
    </row>
    <row r="518" spans="4:14" x14ac:dyDescent="0.2">
      <c r="D518">
        <f t="shared" si="46"/>
        <v>495</v>
      </c>
      <c r="E518" s="1">
        <f>IF($H$11=1,IF(D518&lt;=$A$15, E517+LN($D$11)-LN(60/$E$11)-LN(MIN(D518,$F$11)), E517-LN(60/$E$11)-LN(MIN(D518,$F$11))), IF(D518&lt;=$A$15, E517+LN($D$11)-LN(60/$E$11)-LN(MIN(D518,$F$11)), E517+LN($D$11)+LN(1-$H$11)-LN(60/$E$11)-LN(MIN(D518,$F$11))))</f>
        <v>-57.872859199741072</v>
      </c>
      <c r="F518" s="1">
        <f t="shared" si="47"/>
        <v>-59.87489200894013</v>
      </c>
      <c r="G518" s="1">
        <f t="shared" si="45"/>
        <v>9.9234982162403943E-27</v>
      </c>
      <c r="H518" s="1">
        <f t="shared" si="42"/>
        <v>9.7406361788523186E-28</v>
      </c>
      <c r="I518">
        <f>IF($F$11&lt;=D518, IF(D518&lt;=$A$15,D518-$F$11,$C$11),0)</f>
        <v>60</v>
      </c>
      <c r="J518">
        <f t="shared" si="43"/>
        <v>431</v>
      </c>
      <c r="K518" s="5">
        <f>IF(D518&lt;$F$11,H518,0)</f>
        <v>0</v>
      </c>
      <c r="L518">
        <f>IF(D518&lt;$A$15,$D$11,$D$11*(1-$H$11))</f>
        <v>85</v>
      </c>
      <c r="M518">
        <f t="shared" si="44"/>
        <v>1</v>
      </c>
      <c r="N518">
        <f>IF(SUM(I518:J518)&lt;=($G$11/60*$F$11/($E$11/60)),1,0)</f>
        <v>0</v>
      </c>
    </row>
    <row r="519" spans="4:14" x14ac:dyDescent="0.2">
      <c r="D519">
        <f t="shared" si="46"/>
        <v>496</v>
      </c>
      <c r="E519" s="1">
        <f>IF($H$11=1,IF(D519&lt;=$A$15, E518+LN($D$11)-LN(60/$E$11)-LN(MIN(D519,$F$11)), E518-LN(60/$E$11)-LN(MIN(D519,$F$11))), IF(D519&lt;=$A$15, E518+LN($D$11)-LN(60/$E$11)-LN(MIN(D519,$F$11)), E518+LN($D$11)+LN(1-$H$11)-LN(60/$E$11)-LN(MIN(D519,$F$11))))</f>
        <v>-57.994556134718593</v>
      </c>
      <c r="F519" s="1">
        <f t="shared" si="47"/>
        <v>-59.996588943917651</v>
      </c>
      <c r="G519" s="1">
        <f t="shared" si="45"/>
        <v>8.7864307122961693E-27</v>
      </c>
      <c r="H519" s="1">
        <f t="shared" si="42"/>
        <v>8.624521616692145E-28</v>
      </c>
      <c r="I519">
        <f>IF($F$11&lt;=D519, IF(D519&lt;=$A$15,D519-$F$11,$C$11),0)</f>
        <v>60</v>
      </c>
      <c r="J519">
        <f t="shared" si="43"/>
        <v>432</v>
      </c>
      <c r="K519" s="5">
        <f>IF(D519&lt;$F$11,H519,0)</f>
        <v>0</v>
      </c>
      <c r="L519">
        <f>IF(D519&lt;$A$15,$D$11,$D$11*(1-$H$11))</f>
        <v>85</v>
      </c>
      <c r="M519">
        <f t="shared" si="44"/>
        <v>1</v>
      </c>
      <c r="N519">
        <f>IF(SUM(I519:J519)&lt;=($G$11/60*$F$11/($E$11/60)),1,0)</f>
        <v>0</v>
      </c>
    </row>
    <row r="520" spans="4:14" x14ac:dyDescent="0.2">
      <c r="D520">
        <f t="shared" si="46"/>
        <v>497</v>
      </c>
      <c r="E520" s="1">
        <f>IF($H$11=1,IF(D520&lt;=$A$15, E519+LN($D$11)-LN(60/$E$11)-LN(MIN(D520,$F$11)), E519-LN(60/$E$11)-LN(MIN(D520,$F$11))), IF(D520&lt;=$A$15, E519+LN($D$11)-LN(60/$E$11)-LN(MIN(D520,$F$11)), E519+LN($D$11)+LN(1-$H$11)-LN(60/$E$11)-LN(MIN(D520,$F$11))))</f>
        <v>-58.116253069696114</v>
      </c>
      <c r="F520" s="1">
        <f t="shared" si="47"/>
        <v>-60.118285878895172</v>
      </c>
      <c r="G520" s="1">
        <f t="shared" si="45"/>
        <v>7.7796521931788895E-27</v>
      </c>
      <c r="H520" s="1">
        <f t="shared" si="42"/>
        <v>7.6362951814461597E-28</v>
      </c>
      <c r="I520">
        <f>IF($F$11&lt;=D520, IF(D520&lt;=$A$15,D520-$F$11,$C$11),0)</f>
        <v>60</v>
      </c>
      <c r="J520">
        <f t="shared" si="43"/>
        <v>433</v>
      </c>
      <c r="K520" s="5">
        <f>IF(D520&lt;$F$11,H520,0)</f>
        <v>0</v>
      </c>
      <c r="L520">
        <f>IF(D520&lt;$A$15,$D$11,$D$11*(1-$H$11))</f>
        <v>85</v>
      </c>
      <c r="M520">
        <f t="shared" si="44"/>
        <v>1</v>
      </c>
      <c r="N520">
        <f>IF(SUM(I520:J520)&lt;=($G$11/60*$F$11/($E$11/60)),1,0)</f>
        <v>0</v>
      </c>
    </row>
    <row r="521" spans="4:14" x14ac:dyDescent="0.2">
      <c r="D521">
        <f t="shared" si="46"/>
        <v>498</v>
      </c>
      <c r="E521" s="1">
        <f>IF($H$11=1,IF(D521&lt;=$A$15, E520+LN($D$11)-LN(60/$E$11)-LN(MIN(D521,$F$11)), E520-LN(60/$E$11)-LN(MIN(D521,$F$11))), IF(D521&lt;=$A$15, E520+LN($D$11)-LN(60/$E$11)-LN(MIN(D521,$F$11)), E520+LN($D$11)+LN(1-$H$11)-LN(60/$E$11)-LN(MIN(D521,$F$11))))</f>
        <v>-58.237950004673635</v>
      </c>
      <c r="F521" s="1">
        <f t="shared" si="47"/>
        <v>-60.239982813872693</v>
      </c>
      <c r="G521" s="1">
        <f t="shared" si="45"/>
        <v>6.8882337127104651E-27</v>
      </c>
      <c r="H521" s="1">
        <f t="shared" si="42"/>
        <v>6.7613030252387773E-28</v>
      </c>
      <c r="I521">
        <f>IF($F$11&lt;=D521, IF(D521&lt;=$A$15,D521-$F$11,$C$11),0)</f>
        <v>60</v>
      </c>
      <c r="J521">
        <f t="shared" si="43"/>
        <v>434</v>
      </c>
      <c r="K521" s="5">
        <f>IF(D521&lt;$F$11,H521,0)</f>
        <v>0</v>
      </c>
      <c r="L521">
        <f>IF(D521&lt;$A$15,$D$11,$D$11*(1-$H$11))</f>
        <v>85</v>
      </c>
      <c r="M521">
        <f t="shared" si="44"/>
        <v>1</v>
      </c>
      <c r="N521">
        <f>IF(SUM(I521:J521)&lt;=($G$11/60*$F$11/($E$11/60)),1,0)</f>
        <v>0</v>
      </c>
    </row>
    <row r="522" spans="4:14" x14ac:dyDescent="0.2">
      <c r="D522">
        <f t="shared" si="46"/>
        <v>499</v>
      </c>
      <c r="E522" s="1">
        <f>IF($H$11=1,IF(D522&lt;=$A$15, E521+LN($D$11)-LN(60/$E$11)-LN(MIN(D522,$F$11)), E521-LN(60/$E$11)-LN(MIN(D522,$F$11))), IF(D522&lt;=$A$15, E521+LN($D$11)-LN(60/$E$11)-LN(MIN(D522,$F$11)), E521+LN($D$11)+LN(1-$H$11)-LN(60/$E$11)-LN(MIN(D522,$F$11))))</f>
        <v>-58.359646939651157</v>
      </c>
      <c r="F522" s="1">
        <f t="shared" si="47"/>
        <v>-60.361679748850214</v>
      </c>
      <c r="G522" s="1">
        <f t="shared" si="45"/>
        <v>6.0989569331290487E-27</v>
      </c>
      <c r="H522" s="1">
        <f t="shared" si="42"/>
        <v>5.9865703869301591E-28</v>
      </c>
      <c r="I522">
        <f>IF($F$11&lt;=D522, IF(D522&lt;=$A$15,D522-$F$11,$C$11),0)</f>
        <v>60</v>
      </c>
      <c r="J522">
        <f t="shared" si="43"/>
        <v>435</v>
      </c>
      <c r="K522" s="5">
        <f>IF(D522&lt;$F$11,H522,0)</f>
        <v>0</v>
      </c>
      <c r="L522">
        <f>IF(D522&lt;$A$15,$D$11,$D$11*(1-$H$11))</f>
        <v>85</v>
      </c>
      <c r="M522">
        <f t="shared" si="44"/>
        <v>1</v>
      </c>
      <c r="N522">
        <f>IF(SUM(I522:J522)&lt;=($G$11/60*$F$11/($E$11/60)),1,0)</f>
        <v>0</v>
      </c>
    </row>
    <row r="523" spans="4:14" x14ac:dyDescent="0.2">
      <c r="D523">
        <f t="shared" si="46"/>
        <v>500</v>
      </c>
      <c r="E523" s="1">
        <f>IF($H$11=1,IF(D523&lt;=$A$15, E522+LN($D$11)-LN(60/$E$11)-LN(MIN(D523,$F$11)), E522-LN(60/$E$11)-LN(MIN(D523,$F$11))), IF(D523&lt;=$A$15, E522+LN($D$11)-LN(60/$E$11)-LN(MIN(D523,$F$11)), E522+LN($D$11)+LN(1-$H$11)-LN(60/$E$11)-LN(MIN(D523,$F$11))))</f>
        <v>-58.481343874628678</v>
      </c>
      <c r="F523" s="1">
        <f t="shared" si="47"/>
        <v>-60.483376683827736</v>
      </c>
      <c r="G523" s="1">
        <f t="shared" si="45"/>
        <v>5.4001181178746709E-27</v>
      </c>
      <c r="H523" s="1">
        <f t="shared" si="42"/>
        <v>5.3006091967610702E-28</v>
      </c>
      <c r="I523">
        <f>IF($F$11&lt;=D523, IF(D523&lt;=$A$15,D523-$F$11,$C$11),0)</f>
        <v>60</v>
      </c>
      <c r="J523">
        <f t="shared" si="43"/>
        <v>436</v>
      </c>
      <c r="K523" s="5">
        <f>IF(D523&lt;$F$11,H523,0)</f>
        <v>0</v>
      </c>
      <c r="L523">
        <f>IF(D523&lt;$A$15,$D$11,$D$11*(1-$H$11))</f>
        <v>85</v>
      </c>
      <c r="M523">
        <f t="shared" si="44"/>
        <v>1</v>
      </c>
      <c r="N523">
        <f>IF(SUM(I523:J523)&lt;=($G$11/60*$F$11/($E$11/60)),1,0)</f>
        <v>0</v>
      </c>
    </row>
    <row r="524" spans="4:14" x14ac:dyDescent="0.2">
      <c r="D524">
        <f t="shared" si="46"/>
        <v>501</v>
      </c>
      <c r="E524" s="1">
        <f>IF($H$11=1,IF(D524&lt;=$A$15, E523+LN($D$11)-LN(60/$E$11)-LN(MIN(D524,$F$11)), E523-LN(60/$E$11)-LN(MIN(D524,$F$11))), IF(D524&lt;=$A$15, E523+LN($D$11)-LN(60/$E$11)-LN(MIN(D524,$F$11)), E523+LN($D$11)+LN(1-$H$11)-LN(60/$E$11)-LN(MIN(D524,$F$11))))</f>
        <v>-58.603040809606199</v>
      </c>
      <c r="F524" s="1">
        <f t="shared" si="47"/>
        <v>-60.605073618805257</v>
      </c>
      <c r="G524" s="1">
        <f t="shared" si="45"/>
        <v>4.7813545835348582E-27</v>
      </c>
      <c r="H524" s="1">
        <f t="shared" si="42"/>
        <v>4.6932477262988579E-28</v>
      </c>
      <c r="I524">
        <f>IF($F$11&lt;=D524, IF(D524&lt;=$A$15,D524-$F$11,$C$11),0)</f>
        <v>60</v>
      </c>
      <c r="J524">
        <f t="shared" si="43"/>
        <v>437</v>
      </c>
      <c r="K524" s="5">
        <f>IF(D524&lt;$F$11,H524,0)</f>
        <v>0</v>
      </c>
      <c r="L524">
        <f>IF(D524&lt;$A$15,$D$11,$D$11*(1-$H$11))</f>
        <v>85</v>
      </c>
      <c r="M524">
        <f t="shared" si="44"/>
        <v>1</v>
      </c>
      <c r="N524">
        <f>IF(SUM(I524:J524)&lt;=($G$11/60*$F$11/($E$11/60)),1,0)</f>
        <v>0</v>
      </c>
    </row>
    <row r="525" spans="4:14" x14ac:dyDescent="0.2">
      <c r="D525">
        <f t="shared" si="46"/>
        <v>502</v>
      </c>
      <c r="E525" s="1">
        <f>IF($H$11=1,IF(D525&lt;=$A$15, E524+LN($D$11)-LN(60/$E$11)-LN(MIN(D525,$F$11)), E524-LN(60/$E$11)-LN(MIN(D525,$F$11))), IF(D525&lt;=$A$15, E524+LN($D$11)-LN(60/$E$11)-LN(MIN(D525,$F$11)), E524+LN($D$11)+LN(1-$H$11)-LN(60/$E$11)-LN(MIN(D525,$F$11))))</f>
        <v>-58.72473774458372</v>
      </c>
      <c r="F525" s="1">
        <f t="shared" si="47"/>
        <v>-60.726770553782778</v>
      </c>
      <c r="G525" s="1">
        <f t="shared" si="45"/>
        <v>4.233491037504816E-27</v>
      </c>
      <c r="H525" s="1">
        <f t="shared" si="42"/>
        <v>4.1554797576604411E-28</v>
      </c>
      <c r="I525">
        <f>IF($F$11&lt;=D525, IF(D525&lt;=$A$15,D525-$F$11,$C$11),0)</f>
        <v>60</v>
      </c>
      <c r="J525">
        <f t="shared" si="43"/>
        <v>438</v>
      </c>
      <c r="K525" s="5">
        <f>IF(D525&lt;$F$11,H525,0)</f>
        <v>0</v>
      </c>
      <c r="L525">
        <f>IF(D525&lt;$A$15,$D$11,$D$11*(1-$H$11))</f>
        <v>85</v>
      </c>
      <c r="M525">
        <f t="shared" si="44"/>
        <v>1</v>
      </c>
      <c r="N525">
        <f>IF(SUM(I525:J525)&lt;=($G$11/60*$F$11/($E$11/60)),1,0)</f>
        <v>0</v>
      </c>
    </row>
    <row r="526" spans="4:14" x14ac:dyDescent="0.2">
      <c r="D526">
        <f t="shared" si="46"/>
        <v>503</v>
      </c>
      <c r="E526" s="1">
        <f>IF($H$11=1,IF(D526&lt;=$A$15, E525+LN($D$11)-LN(60/$E$11)-LN(MIN(D526,$F$11)), E525-LN(60/$E$11)-LN(MIN(D526,$F$11))), IF(D526&lt;=$A$15, E525+LN($D$11)-LN(60/$E$11)-LN(MIN(D526,$F$11)), E525+LN($D$11)+LN(1-$H$11)-LN(60/$E$11)-LN(MIN(D526,$F$11))))</f>
        <v>-58.846434679561241</v>
      </c>
      <c r="F526" s="1">
        <f t="shared" si="47"/>
        <v>-60.848467488760299</v>
      </c>
      <c r="G526" s="1">
        <f t="shared" si="45"/>
        <v>3.7484035227907176E-27</v>
      </c>
      <c r="H526" s="1">
        <f t="shared" si="42"/>
        <v>3.6793310354285104E-28</v>
      </c>
      <c r="I526">
        <f>IF($F$11&lt;=D526, IF(D526&lt;=$A$15,D526-$F$11,$C$11),0)</f>
        <v>60</v>
      </c>
      <c r="J526">
        <f t="shared" si="43"/>
        <v>439</v>
      </c>
      <c r="K526" s="5">
        <f>IF(D526&lt;$F$11,H526,0)</f>
        <v>0</v>
      </c>
      <c r="L526">
        <f>IF(D526&lt;$A$15,$D$11,$D$11*(1-$H$11))</f>
        <v>85</v>
      </c>
      <c r="M526">
        <f t="shared" si="44"/>
        <v>1</v>
      </c>
      <c r="N526">
        <f>IF(SUM(I526:J526)&lt;=($G$11/60*$F$11/($E$11/60)),1,0)</f>
        <v>0</v>
      </c>
    </row>
    <row r="527" spans="4:14" x14ac:dyDescent="0.2">
      <c r="D527">
        <f t="shared" si="46"/>
        <v>504</v>
      </c>
      <c r="E527" s="1">
        <f>IF($H$11=1,IF(D527&lt;=$A$15, E526+LN($D$11)-LN(60/$E$11)-LN(MIN(D527,$F$11)), E526-LN(60/$E$11)-LN(MIN(D527,$F$11))), IF(D527&lt;=$A$15, E526+LN($D$11)-LN(60/$E$11)-LN(MIN(D527,$F$11)), E526+LN($D$11)+LN(1-$H$11)-LN(60/$E$11)-LN(MIN(D527,$F$11))))</f>
        <v>-58.968131614538763</v>
      </c>
      <c r="F527" s="1">
        <f t="shared" si="47"/>
        <v>-60.97016442373782</v>
      </c>
      <c r="G527" s="1">
        <f t="shared" si="45"/>
        <v>3.3188989524709433E-27</v>
      </c>
      <c r="H527" s="1">
        <f t="shared" si="42"/>
        <v>3.2577410209523227E-28</v>
      </c>
      <c r="I527">
        <f>IF($F$11&lt;=D527, IF(D527&lt;=$A$15,D527-$F$11,$C$11),0)</f>
        <v>60</v>
      </c>
      <c r="J527">
        <f t="shared" si="43"/>
        <v>440</v>
      </c>
      <c r="K527" s="5">
        <f>IF(D527&lt;$F$11,H527,0)</f>
        <v>0</v>
      </c>
      <c r="L527">
        <f>IF(D527&lt;$A$15,$D$11,$D$11*(1-$H$11))</f>
        <v>85</v>
      </c>
      <c r="M527">
        <f t="shared" si="44"/>
        <v>1</v>
      </c>
      <c r="N527">
        <f>IF(SUM(I527:J527)&lt;=($G$11/60*$F$11/($E$11/60)),1,0)</f>
        <v>0</v>
      </c>
    </row>
    <row r="528" spans="4:14" x14ac:dyDescent="0.2">
      <c r="D528">
        <f t="shared" si="46"/>
        <v>505</v>
      </c>
      <c r="E528" s="1">
        <f>IF($H$11=1,IF(D528&lt;=$A$15, E527+LN($D$11)-LN(60/$E$11)-LN(MIN(D528,$F$11)), E527-LN(60/$E$11)-LN(MIN(D528,$F$11))), IF(D528&lt;=$A$15, E527+LN($D$11)-LN(60/$E$11)-LN(MIN(D528,$F$11)), E527+LN($D$11)+LN(1-$H$11)-LN(60/$E$11)-LN(MIN(D528,$F$11))))</f>
        <v>-59.089828549516284</v>
      </c>
      <c r="F528" s="1">
        <f t="shared" si="47"/>
        <v>-61.091861358715342</v>
      </c>
      <c r="G528" s="1">
        <f t="shared" si="45"/>
        <v>2.9386084475003099E-27</v>
      </c>
      <c r="H528" s="1">
        <f t="shared" si="42"/>
        <v>2.8844581956348645E-28</v>
      </c>
      <c r="I528">
        <f>IF($F$11&lt;=D528, IF(D528&lt;=$A$15,D528-$F$11,$C$11),0)</f>
        <v>60</v>
      </c>
      <c r="J528">
        <f t="shared" si="43"/>
        <v>441</v>
      </c>
      <c r="K528" s="5">
        <f>IF(D528&lt;$F$11,H528,0)</f>
        <v>0</v>
      </c>
      <c r="L528">
        <f>IF(D528&lt;$A$15,$D$11,$D$11*(1-$H$11))</f>
        <v>85</v>
      </c>
      <c r="M528">
        <f t="shared" si="44"/>
        <v>1</v>
      </c>
      <c r="N528">
        <f>IF(SUM(I528:J528)&lt;=($G$11/60*$F$11/($E$11/60)),1,0)</f>
        <v>0</v>
      </c>
    </row>
    <row r="529" spans="4:14" x14ac:dyDescent="0.2">
      <c r="D529">
        <f t="shared" si="46"/>
        <v>506</v>
      </c>
      <c r="E529" s="1">
        <f>IF($H$11=1,IF(D529&lt;=$A$15, E528+LN($D$11)-LN(60/$E$11)-LN(MIN(D529,$F$11)), E528-LN(60/$E$11)-LN(MIN(D529,$F$11))), IF(D529&lt;=$A$15, E528+LN($D$11)-LN(60/$E$11)-LN(MIN(D529,$F$11)), E528+LN($D$11)+LN(1-$H$11)-LN(60/$E$11)-LN(MIN(D529,$F$11))))</f>
        <v>-59.211525484493805</v>
      </c>
      <c r="F529" s="1">
        <f t="shared" si="47"/>
        <v>-61.213558293692863</v>
      </c>
      <c r="G529" s="1">
        <f t="shared" si="45"/>
        <v>2.6018928962242292E-27</v>
      </c>
      <c r="H529" s="1">
        <f t="shared" si="42"/>
        <v>2.5539473607183661E-28</v>
      </c>
      <c r="I529">
        <f>IF($F$11&lt;=D529, IF(D529&lt;=$A$15,D529-$F$11,$C$11),0)</f>
        <v>60</v>
      </c>
      <c r="J529">
        <f t="shared" si="43"/>
        <v>442</v>
      </c>
      <c r="K529" s="5">
        <f>IF(D529&lt;$F$11,H529,0)</f>
        <v>0</v>
      </c>
      <c r="L529">
        <f>IF(D529&lt;$A$15,$D$11,$D$11*(1-$H$11))</f>
        <v>85</v>
      </c>
      <c r="M529">
        <f t="shared" si="44"/>
        <v>1</v>
      </c>
      <c r="N529">
        <f>IF(SUM(I529:J529)&lt;=($G$11/60*$F$11/($E$11/60)),1,0)</f>
        <v>0</v>
      </c>
    </row>
    <row r="530" spans="4:14" x14ac:dyDescent="0.2">
      <c r="D530">
        <f t="shared" si="46"/>
        <v>507</v>
      </c>
      <c r="E530" s="1">
        <f>IF($H$11=1,IF(D530&lt;=$A$15, E529+LN($D$11)-LN(60/$E$11)-LN(MIN(D530,$F$11)), E529-LN(60/$E$11)-LN(MIN(D530,$F$11))), IF(D530&lt;=$A$15, E529+LN($D$11)-LN(60/$E$11)-LN(MIN(D530,$F$11)), E529+LN($D$11)+LN(1-$H$11)-LN(60/$E$11)-LN(MIN(D530,$F$11))))</f>
        <v>-59.333222419471326</v>
      </c>
      <c r="F530" s="1">
        <f t="shared" si="47"/>
        <v>-61.335255228670384</v>
      </c>
      <c r="G530" s="1">
        <f t="shared" si="45"/>
        <v>2.3037593351985329E-27</v>
      </c>
      <c r="H530" s="1">
        <f t="shared" si="42"/>
        <v>2.2613075589693834E-28</v>
      </c>
      <c r="I530">
        <f>IF($F$11&lt;=D530, IF(D530&lt;=$A$15,D530-$F$11,$C$11),0)</f>
        <v>60</v>
      </c>
      <c r="J530">
        <f t="shared" si="43"/>
        <v>443</v>
      </c>
      <c r="K530" s="5">
        <f>IF(D530&lt;$F$11,H530,0)</f>
        <v>0</v>
      </c>
      <c r="L530">
        <f>IF(D530&lt;$A$15,$D$11,$D$11*(1-$H$11))</f>
        <v>85</v>
      </c>
      <c r="M530">
        <f t="shared" si="44"/>
        <v>1</v>
      </c>
      <c r="N530">
        <f>IF(SUM(I530:J530)&lt;=($G$11/60*$F$11/($E$11/60)),1,0)</f>
        <v>0</v>
      </c>
    </row>
    <row r="531" spans="4:14" x14ac:dyDescent="0.2">
      <c r="D531">
        <f t="shared" si="46"/>
        <v>508</v>
      </c>
      <c r="E531" s="1">
        <f>IF($H$11=1,IF(D531&lt;=$A$15, E530+LN($D$11)-LN(60/$E$11)-LN(MIN(D531,$F$11)), E530-LN(60/$E$11)-LN(MIN(D531,$F$11))), IF(D531&lt;=$A$15, E530+LN($D$11)-LN(60/$E$11)-LN(MIN(D531,$F$11)), E530+LN($D$11)+LN(1-$H$11)-LN(60/$E$11)-LN(MIN(D531,$F$11))))</f>
        <v>-59.454919354448847</v>
      </c>
      <c r="F531" s="1">
        <f t="shared" si="47"/>
        <v>-61.456952163647905</v>
      </c>
      <c r="G531" s="1">
        <f t="shared" si="45"/>
        <v>2.0397869113736981E-27</v>
      </c>
      <c r="H531" s="1">
        <f t="shared" si="42"/>
        <v>2.0021994011708055E-28</v>
      </c>
      <c r="I531">
        <f>IF($F$11&lt;=D531, IF(D531&lt;=$A$15,D531-$F$11,$C$11),0)</f>
        <v>60</v>
      </c>
      <c r="J531">
        <f t="shared" si="43"/>
        <v>444</v>
      </c>
      <c r="K531" s="5">
        <f>IF(D531&lt;$F$11,H531,0)</f>
        <v>0</v>
      </c>
      <c r="L531">
        <f>IF(D531&lt;$A$15,$D$11,$D$11*(1-$H$11))</f>
        <v>85</v>
      </c>
      <c r="M531">
        <f t="shared" si="44"/>
        <v>1</v>
      </c>
      <c r="N531">
        <f>IF(SUM(I531:J531)&lt;=($G$11/60*$F$11/($E$11/60)),1,0)</f>
        <v>0</v>
      </c>
    </row>
    <row r="532" spans="4:14" x14ac:dyDescent="0.2">
      <c r="D532">
        <f t="shared" si="46"/>
        <v>509</v>
      </c>
      <c r="E532" s="1">
        <f>IF($H$11=1,IF(D532&lt;=$A$15, E531+LN($D$11)-LN(60/$E$11)-LN(MIN(D532,$F$11)), E531-LN(60/$E$11)-LN(MIN(D532,$F$11))), IF(D532&lt;=$A$15, E531+LN($D$11)-LN(60/$E$11)-LN(MIN(D532,$F$11)), E531+LN($D$11)+LN(1-$H$11)-LN(60/$E$11)-LN(MIN(D532,$F$11))))</f>
        <v>-59.576616289426369</v>
      </c>
      <c r="F532" s="1">
        <f t="shared" si="47"/>
        <v>-61.578649098625426</v>
      </c>
      <c r="G532" s="1">
        <f t="shared" si="45"/>
        <v>1.8060613277787926E-27</v>
      </c>
      <c r="H532" s="1">
        <f t="shared" si="42"/>
        <v>1.7727807197866481E-28</v>
      </c>
      <c r="I532">
        <f>IF($F$11&lt;=D532, IF(D532&lt;=$A$15,D532-$F$11,$C$11),0)</f>
        <v>60</v>
      </c>
      <c r="J532">
        <f t="shared" si="43"/>
        <v>445</v>
      </c>
      <c r="K532" s="5">
        <f>IF(D532&lt;$F$11,H532,0)</f>
        <v>0</v>
      </c>
      <c r="L532">
        <f>IF(D532&lt;$A$15,$D$11,$D$11*(1-$H$11))</f>
        <v>85</v>
      </c>
      <c r="M532">
        <f t="shared" si="44"/>
        <v>1</v>
      </c>
      <c r="N532">
        <f>IF(SUM(I532:J532)&lt;=($G$11/60*$F$11/($E$11/60)),1,0)</f>
        <v>0</v>
      </c>
    </row>
    <row r="533" spans="4:14" x14ac:dyDescent="0.2">
      <c r="D533">
        <f t="shared" si="46"/>
        <v>510</v>
      </c>
      <c r="E533" s="1">
        <f>IF($H$11=1,IF(D533&lt;=$A$15, E532+LN($D$11)-LN(60/$E$11)-LN(MIN(D533,$F$11)), E532-LN(60/$E$11)-LN(MIN(D533,$F$11))), IF(D533&lt;=$A$15, E532+LN($D$11)-LN(60/$E$11)-LN(MIN(D533,$F$11)), E532+LN($D$11)+LN(1-$H$11)-LN(60/$E$11)-LN(MIN(D533,$F$11))))</f>
        <v>-59.69831322440389</v>
      </c>
      <c r="F533" s="1">
        <f t="shared" si="47"/>
        <v>-61.700346033602948</v>
      </c>
      <c r="G533" s="1">
        <f t="shared" si="45"/>
        <v>1.5991168006374704E-27</v>
      </c>
      <c r="H533" s="1">
        <f t="shared" si="42"/>
        <v>1.5696495956444259E-28</v>
      </c>
      <c r="I533">
        <f>IF($F$11&lt;=D533, IF(D533&lt;=$A$15,D533-$F$11,$C$11),0)</f>
        <v>60</v>
      </c>
      <c r="J533">
        <f t="shared" si="43"/>
        <v>446</v>
      </c>
      <c r="K533" s="5">
        <f>IF(D533&lt;$F$11,H533,0)</f>
        <v>0</v>
      </c>
      <c r="L533">
        <f>IF(D533&lt;$A$15,$D$11,$D$11*(1-$H$11))</f>
        <v>85</v>
      </c>
      <c r="M533">
        <f t="shared" si="44"/>
        <v>1</v>
      </c>
      <c r="N533">
        <f>IF(SUM(I533:J533)&lt;=($G$11/60*$F$11/($E$11/60)),1,0)</f>
        <v>0</v>
      </c>
    </row>
    <row r="534" spans="4:14" x14ac:dyDescent="0.2">
      <c r="D534">
        <f t="shared" si="46"/>
        <v>511</v>
      </c>
      <c r="E534" s="1">
        <f>IF($H$11=1,IF(D534&lt;=$A$15, E533+LN($D$11)-LN(60/$E$11)-LN(MIN(D534,$F$11)), E533-LN(60/$E$11)-LN(MIN(D534,$F$11))), IF(D534&lt;=$A$15, E533+LN($D$11)-LN(60/$E$11)-LN(MIN(D534,$F$11)), E533+LN($D$11)+LN(1-$H$11)-LN(60/$E$11)-LN(MIN(D534,$F$11))))</f>
        <v>-59.820010159381411</v>
      </c>
      <c r="F534" s="1">
        <f t="shared" si="47"/>
        <v>-61.822042968580469</v>
      </c>
      <c r="G534" s="1">
        <f t="shared" si="45"/>
        <v>1.4158846672310915E-27</v>
      </c>
      <c r="H534" s="1">
        <f t="shared" si="42"/>
        <v>1.3897939128101666E-28</v>
      </c>
      <c r="I534">
        <f>IF($F$11&lt;=D534, IF(D534&lt;=$A$15,D534-$F$11,$C$11),0)</f>
        <v>60</v>
      </c>
      <c r="J534">
        <f t="shared" si="43"/>
        <v>447</v>
      </c>
      <c r="K534" s="5">
        <f>IF(D534&lt;$F$11,H534,0)</f>
        <v>0</v>
      </c>
      <c r="L534">
        <f>IF(D534&lt;$A$15,$D$11,$D$11*(1-$H$11))</f>
        <v>85</v>
      </c>
      <c r="M534">
        <f t="shared" si="44"/>
        <v>1</v>
      </c>
      <c r="N534">
        <f>IF(SUM(I534:J534)&lt;=($G$11/60*$F$11/($E$11/60)),1,0)</f>
        <v>0</v>
      </c>
    </row>
    <row r="535" spans="4:14" x14ac:dyDescent="0.2">
      <c r="D535">
        <f t="shared" si="46"/>
        <v>512</v>
      </c>
      <c r="E535" s="1">
        <f>IF($H$11=1,IF(D535&lt;=$A$15, E534+LN($D$11)-LN(60/$E$11)-LN(MIN(D535,$F$11)), E534-LN(60/$E$11)-LN(MIN(D535,$F$11))), IF(D535&lt;=$A$15, E534+LN($D$11)-LN(60/$E$11)-LN(MIN(D535,$F$11)), E534+LN($D$11)+LN(1-$H$11)-LN(60/$E$11)-LN(MIN(D535,$F$11))))</f>
        <v>-59.941707094358932</v>
      </c>
      <c r="F535" s="1">
        <f t="shared" si="47"/>
        <v>-61.94373990355799</v>
      </c>
      <c r="G535" s="1">
        <f t="shared" si="45"/>
        <v>1.2536478824441939E-27</v>
      </c>
      <c r="H535" s="1">
        <f t="shared" ref="H535:H598" si="48">G535/$G$21</f>
        <v>1.230546693634E-28</v>
      </c>
      <c r="I535">
        <f>IF($F$11&lt;=D535, IF(D535&lt;=$A$15,D535-$F$11,$C$11),0)</f>
        <v>60</v>
      </c>
      <c r="J535">
        <f t="shared" ref="J535:J598" si="49">IF(D535&lt;=$A$15,0,D535-$A$15)</f>
        <v>448</v>
      </c>
      <c r="K535" s="5">
        <f>IF(D535&lt;$F$11,H535,0)</f>
        <v>0</v>
      </c>
      <c r="L535">
        <f>IF(D535&lt;$A$15,$D$11,$D$11*(1-$H$11))</f>
        <v>85</v>
      </c>
      <c r="M535">
        <f t="shared" ref="M535:M598" si="50">IF(D535&lt;$A$15,0,1)</f>
        <v>1</v>
      </c>
      <c r="N535">
        <f>IF(SUM(I535:J535)&lt;=($G$11/60*$F$11/($E$11/60)),1,0)</f>
        <v>0</v>
      </c>
    </row>
    <row r="536" spans="4:14" x14ac:dyDescent="0.2">
      <c r="D536">
        <f t="shared" si="46"/>
        <v>513</v>
      </c>
      <c r="E536" s="1">
        <f>IF($H$11=1,IF(D536&lt;=$A$15, E535+LN($D$11)-LN(60/$E$11)-LN(MIN(D536,$F$11)), E535-LN(60/$E$11)-LN(MIN(D536,$F$11))), IF(D536&lt;=$A$15, E535+LN($D$11)-LN(60/$E$11)-LN(MIN(D536,$F$11)), E535+LN($D$11)+LN(1-$H$11)-LN(60/$E$11)-LN(MIN(D536,$F$11))))</f>
        <v>-60.063404029336454</v>
      </c>
      <c r="F536" s="1">
        <f t="shared" si="47"/>
        <v>-62.065436838535511</v>
      </c>
      <c r="G536" s="1">
        <f t="shared" ref="G536:G599" si="51">EXP(F536)</f>
        <v>1.1100007292474616E-27</v>
      </c>
      <c r="H536" s="1">
        <f t="shared" si="48"/>
        <v>1.0895465516551025E-28</v>
      </c>
      <c r="I536">
        <f>IF($F$11&lt;=D536, IF(D536&lt;=$A$15,D536-$F$11,$C$11),0)</f>
        <v>60</v>
      </c>
      <c r="J536">
        <f t="shared" si="49"/>
        <v>449</v>
      </c>
      <c r="K536" s="5">
        <f>IF(D536&lt;$F$11,H536,0)</f>
        <v>0</v>
      </c>
      <c r="L536">
        <f>IF(D536&lt;$A$15,$D$11,$D$11*(1-$H$11))</f>
        <v>85</v>
      </c>
      <c r="M536">
        <f t="shared" si="50"/>
        <v>1</v>
      </c>
      <c r="N536">
        <f>IF(SUM(I536:J536)&lt;=($G$11/60*$F$11/($E$11/60)),1,0)</f>
        <v>0</v>
      </c>
    </row>
    <row r="537" spans="4:14" x14ac:dyDescent="0.2">
      <c r="D537">
        <f t="shared" ref="D537:D600" si="52">1+D536</f>
        <v>514</v>
      </c>
      <c r="E537" s="1">
        <f>IF($H$11=1,IF(D537&lt;=$A$15, E536+LN($D$11)-LN(60/$E$11)-LN(MIN(D537,$F$11)), E536-LN(60/$E$11)-LN(MIN(D537,$F$11))), IF(D537&lt;=$A$15, E536+LN($D$11)-LN(60/$E$11)-LN(MIN(D537,$F$11)), E536+LN($D$11)+LN(1-$H$11)-LN(60/$E$11)-LN(MIN(D537,$F$11))))</f>
        <v>-60.185100964313975</v>
      </c>
      <c r="F537" s="1">
        <f t="shared" ref="F537:F600" si="53">E537-$E$21</f>
        <v>-62.187133773513033</v>
      </c>
      <c r="G537" s="1">
        <f t="shared" si="51"/>
        <v>9.8281314568785526E-28</v>
      </c>
      <c r="H537" s="1">
        <f t="shared" si="48"/>
        <v>9.6470267594462064E-29</v>
      </c>
      <c r="I537">
        <f>IF($F$11&lt;=D537, IF(D537&lt;=$A$15,D537-$F$11,$C$11),0)</f>
        <v>60</v>
      </c>
      <c r="J537">
        <f t="shared" si="49"/>
        <v>450</v>
      </c>
      <c r="K537" s="5">
        <f>IF(D537&lt;$F$11,H537,0)</f>
        <v>0</v>
      </c>
      <c r="L537">
        <f>IF(D537&lt;$A$15,$D$11,$D$11*(1-$H$11))</f>
        <v>85</v>
      </c>
      <c r="M537">
        <f t="shared" si="50"/>
        <v>1</v>
      </c>
      <c r="N537">
        <f>IF(SUM(I537:J537)&lt;=($G$11/60*$F$11/($E$11/60)),1,0)</f>
        <v>0</v>
      </c>
    </row>
    <row r="538" spans="4:14" x14ac:dyDescent="0.2">
      <c r="D538">
        <f t="shared" si="52"/>
        <v>515</v>
      </c>
      <c r="E538" s="1">
        <f>IF($H$11=1,IF(D538&lt;=$A$15, E537+LN($D$11)-LN(60/$E$11)-LN(MIN(D538,$F$11)), E537-LN(60/$E$11)-LN(MIN(D538,$F$11))), IF(D538&lt;=$A$15, E537+LN($D$11)-LN(60/$E$11)-LN(MIN(D538,$F$11)), E537+LN($D$11)+LN(1-$H$11)-LN(60/$E$11)-LN(MIN(D538,$F$11))))</f>
        <v>-60.306797899291496</v>
      </c>
      <c r="F538" s="1">
        <f t="shared" si="53"/>
        <v>-62.308830708490554</v>
      </c>
      <c r="G538" s="1">
        <f t="shared" si="51"/>
        <v>8.701991394111206E-28</v>
      </c>
      <c r="H538" s="1">
        <f t="shared" si="48"/>
        <v>8.5416382765929829E-29</v>
      </c>
      <c r="I538">
        <f>IF($F$11&lt;=D538, IF(D538&lt;=$A$15,D538-$F$11,$C$11),0)</f>
        <v>60</v>
      </c>
      <c r="J538">
        <f t="shared" si="49"/>
        <v>451</v>
      </c>
      <c r="K538" s="5">
        <f>IF(D538&lt;$F$11,H538,0)</f>
        <v>0</v>
      </c>
      <c r="L538">
        <f>IF(D538&lt;$A$15,$D$11,$D$11*(1-$H$11))</f>
        <v>85</v>
      </c>
      <c r="M538">
        <f t="shared" si="50"/>
        <v>1</v>
      </c>
      <c r="N538">
        <f>IF(SUM(I538:J538)&lt;=($G$11/60*$F$11/($E$11/60)),1,0)</f>
        <v>0</v>
      </c>
    </row>
    <row r="539" spans="4:14" x14ac:dyDescent="0.2">
      <c r="D539">
        <f t="shared" si="52"/>
        <v>516</v>
      </c>
      <c r="E539" s="1">
        <f>IF($H$11=1,IF(D539&lt;=$A$15, E538+LN($D$11)-LN(60/$E$11)-LN(MIN(D539,$F$11)), E538-LN(60/$E$11)-LN(MIN(D539,$F$11))), IF(D539&lt;=$A$15, E538+LN($D$11)-LN(60/$E$11)-LN(MIN(D539,$F$11)), E538+LN($D$11)+LN(1-$H$11)-LN(60/$E$11)-LN(MIN(D539,$F$11))))</f>
        <v>-60.428494834269017</v>
      </c>
      <c r="F539" s="1">
        <f t="shared" si="53"/>
        <v>-62.430527643468075</v>
      </c>
      <c r="G539" s="1">
        <f t="shared" si="51"/>
        <v>7.7048882135359532E-28</v>
      </c>
      <c r="H539" s="1">
        <f t="shared" si="48"/>
        <v>7.5629088907333605E-29</v>
      </c>
      <c r="I539">
        <f>IF($F$11&lt;=D539, IF(D539&lt;=$A$15,D539-$F$11,$C$11),0)</f>
        <v>60</v>
      </c>
      <c r="J539">
        <f t="shared" si="49"/>
        <v>452</v>
      </c>
      <c r="K539" s="5">
        <f>IF(D539&lt;$F$11,H539,0)</f>
        <v>0</v>
      </c>
      <c r="L539">
        <f>IF(D539&lt;$A$15,$D$11,$D$11*(1-$H$11))</f>
        <v>85</v>
      </c>
      <c r="M539">
        <f t="shared" si="50"/>
        <v>1</v>
      </c>
      <c r="N539">
        <f>IF(SUM(I539:J539)&lt;=($G$11/60*$F$11/($E$11/60)),1,0)</f>
        <v>0</v>
      </c>
    </row>
    <row r="540" spans="4:14" x14ac:dyDescent="0.2">
      <c r="D540">
        <f t="shared" si="52"/>
        <v>517</v>
      </c>
      <c r="E540" s="1">
        <f>IF($H$11=1,IF(D540&lt;=$A$15, E539+LN($D$11)-LN(60/$E$11)-LN(MIN(D540,$F$11)), E539-LN(60/$E$11)-LN(MIN(D540,$F$11))), IF(D540&lt;=$A$15, E539+LN($D$11)-LN(60/$E$11)-LN(MIN(D540,$F$11)), E539+LN($D$11)+LN(1-$H$11)-LN(60/$E$11)-LN(MIN(D540,$F$11))))</f>
        <v>-60.550191769246538</v>
      </c>
      <c r="F540" s="1">
        <f t="shared" si="53"/>
        <v>-62.552224578445596</v>
      </c>
      <c r="G540" s="1">
        <f t="shared" si="51"/>
        <v>6.822036439068282E-28</v>
      </c>
      <c r="H540" s="1">
        <f t="shared" si="48"/>
        <v>6.6963255803368199E-29</v>
      </c>
      <c r="I540">
        <f>IF($F$11&lt;=D540, IF(D540&lt;=$A$15,D540-$F$11,$C$11),0)</f>
        <v>60</v>
      </c>
      <c r="J540">
        <f t="shared" si="49"/>
        <v>453</v>
      </c>
      <c r="K540" s="5">
        <f>IF(D540&lt;$F$11,H540,0)</f>
        <v>0</v>
      </c>
      <c r="L540">
        <f>IF(D540&lt;$A$15,$D$11,$D$11*(1-$H$11))</f>
        <v>85</v>
      </c>
      <c r="M540">
        <f t="shared" si="50"/>
        <v>1</v>
      </c>
      <c r="N540">
        <f>IF(SUM(I540:J540)&lt;=($G$11/60*$F$11/($E$11/60)),1,0)</f>
        <v>0</v>
      </c>
    </row>
    <row r="541" spans="4:14" x14ac:dyDescent="0.2">
      <c r="D541">
        <f t="shared" si="52"/>
        <v>518</v>
      </c>
      <c r="E541" s="1">
        <f>IF($H$11=1,IF(D541&lt;=$A$15, E540+LN($D$11)-LN(60/$E$11)-LN(MIN(D541,$F$11)), E540-LN(60/$E$11)-LN(MIN(D541,$F$11))), IF(D541&lt;=$A$15, E540+LN($D$11)-LN(60/$E$11)-LN(MIN(D541,$F$11)), E540+LN($D$11)+LN(1-$H$11)-LN(60/$E$11)-LN(MIN(D541,$F$11))))</f>
        <v>-60.67188870422406</v>
      </c>
      <c r="F541" s="1">
        <f t="shared" si="53"/>
        <v>-62.673921513423117</v>
      </c>
      <c r="G541" s="1">
        <f t="shared" si="51"/>
        <v>6.0403447637583664E-28</v>
      </c>
      <c r="H541" s="1">
        <f t="shared" si="48"/>
        <v>5.9290382742565512E-29</v>
      </c>
      <c r="I541">
        <f>IF($F$11&lt;=D541, IF(D541&lt;=$A$15,D541-$F$11,$C$11),0)</f>
        <v>60</v>
      </c>
      <c r="J541">
        <f t="shared" si="49"/>
        <v>454</v>
      </c>
      <c r="K541" s="5">
        <f>IF(D541&lt;$F$11,H541,0)</f>
        <v>0</v>
      </c>
      <c r="L541">
        <f>IF(D541&lt;$A$15,$D$11,$D$11*(1-$H$11))</f>
        <v>85</v>
      </c>
      <c r="M541">
        <f t="shared" si="50"/>
        <v>1</v>
      </c>
      <c r="N541">
        <f>IF(SUM(I541:J541)&lt;=($G$11/60*$F$11/($E$11/60)),1,0)</f>
        <v>0</v>
      </c>
    </row>
    <row r="542" spans="4:14" x14ac:dyDescent="0.2">
      <c r="D542">
        <f t="shared" si="52"/>
        <v>519</v>
      </c>
      <c r="E542" s="1">
        <f>IF($H$11=1,IF(D542&lt;=$A$15, E541+LN($D$11)-LN(60/$E$11)-LN(MIN(D542,$F$11)), E541-LN(60/$E$11)-LN(MIN(D542,$F$11))), IF(D542&lt;=$A$15, E541+LN($D$11)-LN(60/$E$11)-LN(MIN(D542,$F$11)), E541+LN($D$11)+LN(1-$H$11)-LN(60/$E$11)-LN(MIN(D542,$F$11))))</f>
        <v>-60.793585639201581</v>
      </c>
      <c r="F542" s="1">
        <f t="shared" si="53"/>
        <v>-62.795618448400639</v>
      </c>
      <c r="G542" s="1">
        <f t="shared" si="51"/>
        <v>5.3482219262443792E-28</v>
      </c>
      <c r="H542" s="1">
        <f t="shared" si="48"/>
        <v>5.2496693053313132E-29</v>
      </c>
      <c r="I542">
        <f>IF($F$11&lt;=D542, IF(D542&lt;=$A$15,D542-$F$11,$C$11),0)</f>
        <v>60</v>
      </c>
      <c r="J542">
        <f t="shared" si="49"/>
        <v>455</v>
      </c>
      <c r="K542" s="5">
        <f>IF(D542&lt;$F$11,H542,0)</f>
        <v>0</v>
      </c>
      <c r="L542">
        <f>IF(D542&lt;$A$15,$D$11,$D$11*(1-$H$11))</f>
        <v>85</v>
      </c>
      <c r="M542">
        <f t="shared" si="50"/>
        <v>1</v>
      </c>
      <c r="N542">
        <f>IF(SUM(I542:J542)&lt;=($G$11/60*$F$11/($E$11/60)),1,0)</f>
        <v>0</v>
      </c>
    </row>
    <row r="543" spans="4:14" x14ac:dyDescent="0.2">
      <c r="D543">
        <f t="shared" si="52"/>
        <v>520</v>
      </c>
      <c r="E543" s="1">
        <f>IF($H$11=1,IF(D543&lt;=$A$15, E542+LN($D$11)-LN(60/$E$11)-LN(MIN(D543,$F$11)), E542-LN(60/$E$11)-LN(MIN(D543,$F$11))), IF(D543&lt;=$A$15, E542+LN($D$11)-LN(60/$E$11)-LN(MIN(D543,$F$11)), E542+LN($D$11)+LN(1-$H$11)-LN(60/$E$11)-LN(MIN(D543,$F$11))))</f>
        <v>-60.915282574179102</v>
      </c>
      <c r="F543" s="1">
        <f t="shared" si="53"/>
        <v>-62.91731538337816</v>
      </c>
      <c r="G543" s="1">
        <f t="shared" si="51"/>
        <v>4.7354048305288701E-28</v>
      </c>
      <c r="H543" s="1">
        <f t="shared" si="48"/>
        <v>4.6481446974287602E-29</v>
      </c>
      <c r="I543">
        <f>IF($F$11&lt;=D543, IF(D543&lt;=$A$15,D543-$F$11,$C$11),0)</f>
        <v>60</v>
      </c>
      <c r="J543">
        <f t="shared" si="49"/>
        <v>456</v>
      </c>
      <c r="K543" s="5">
        <f>IF(D543&lt;$F$11,H543,0)</f>
        <v>0</v>
      </c>
      <c r="L543">
        <f>IF(D543&lt;$A$15,$D$11,$D$11*(1-$H$11))</f>
        <v>85</v>
      </c>
      <c r="M543">
        <f t="shared" si="50"/>
        <v>1</v>
      </c>
      <c r="N543">
        <f>IF(SUM(I543:J543)&lt;=($G$11/60*$F$11/($E$11/60)),1,0)</f>
        <v>0</v>
      </c>
    </row>
    <row r="544" spans="4:14" x14ac:dyDescent="0.2">
      <c r="D544">
        <f t="shared" si="52"/>
        <v>521</v>
      </c>
      <c r="E544" s="1">
        <f>IF($H$11=1,IF(D544&lt;=$A$15, E543+LN($D$11)-LN(60/$E$11)-LN(MIN(D544,$F$11)), E543-LN(60/$E$11)-LN(MIN(D544,$F$11))), IF(D544&lt;=$A$15, E543+LN($D$11)-LN(60/$E$11)-LN(MIN(D544,$F$11)), E543+LN($D$11)+LN(1-$H$11)-LN(60/$E$11)-LN(MIN(D544,$F$11))))</f>
        <v>-61.036979509156623</v>
      </c>
      <c r="F544" s="1">
        <f t="shared" si="53"/>
        <v>-63.039012318355681</v>
      </c>
      <c r="G544" s="1">
        <f t="shared" si="51"/>
        <v>4.1928063603640982E-28</v>
      </c>
      <c r="H544" s="1">
        <f t="shared" si="48"/>
        <v>4.1155447841817092E-29</v>
      </c>
      <c r="I544">
        <f>IF($F$11&lt;=D544, IF(D544&lt;=$A$15,D544-$F$11,$C$11),0)</f>
        <v>60</v>
      </c>
      <c r="J544">
        <f t="shared" si="49"/>
        <v>457</v>
      </c>
      <c r="K544" s="5">
        <f>IF(D544&lt;$F$11,H544,0)</f>
        <v>0</v>
      </c>
      <c r="L544">
        <f>IF(D544&lt;$A$15,$D$11,$D$11*(1-$H$11))</f>
        <v>85</v>
      </c>
      <c r="M544">
        <f t="shared" si="50"/>
        <v>1</v>
      </c>
      <c r="N544">
        <f>IF(SUM(I544:J544)&lt;=($G$11/60*$F$11/($E$11/60)),1,0)</f>
        <v>0</v>
      </c>
    </row>
    <row r="545" spans="4:14" x14ac:dyDescent="0.2">
      <c r="D545">
        <f t="shared" si="52"/>
        <v>522</v>
      </c>
      <c r="E545" s="1">
        <f>IF($H$11=1,IF(D545&lt;=$A$15, E544+LN($D$11)-LN(60/$E$11)-LN(MIN(D545,$F$11)), E544-LN(60/$E$11)-LN(MIN(D545,$F$11))), IF(D545&lt;=$A$15, E544+LN($D$11)-LN(60/$E$11)-LN(MIN(D545,$F$11)), E544+LN($D$11)+LN(1-$H$11)-LN(60/$E$11)-LN(MIN(D545,$F$11))))</f>
        <v>-61.158676444134144</v>
      </c>
      <c r="F545" s="1">
        <f t="shared" si="53"/>
        <v>-63.160709253333202</v>
      </c>
      <c r="G545" s="1">
        <f t="shared" si="51"/>
        <v>3.712380631572373E-28</v>
      </c>
      <c r="H545" s="1">
        <f t="shared" si="48"/>
        <v>3.6439719443275496E-29</v>
      </c>
      <c r="I545">
        <f>IF($F$11&lt;=D545, IF(D545&lt;=$A$15,D545-$F$11,$C$11),0)</f>
        <v>60</v>
      </c>
      <c r="J545">
        <f t="shared" si="49"/>
        <v>458</v>
      </c>
      <c r="K545" s="5">
        <f>IF(D545&lt;$F$11,H545,0)</f>
        <v>0</v>
      </c>
      <c r="L545">
        <f>IF(D545&lt;$A$15,$D$11,$D$11*(1-$H$11))</f>
        <v>85</v>
      </c>
      <c r="M545">
        <f t="shared" si="50"/>
        <v>1</v>
      </c>
      <c r="N545">
        <f>IF(SUM(I545:J545)&lt;=($G$11/60*$F$11/($E$11/60)),1,0)</f>
        <v>0</v>
      </c>
    </row>
    <row r="546" spans="4:14" x14ac:dyDescent="0.2">
      <c r="D546">
        <f t="shared" si="52"/>
        <v>523</v>
      </c>
      <c r="E546" s="1">
        <f>IF($H$11=1,IF(D546&lt;=$A$15, E545+LN($D$11)-LN(60/$E$11)-LN(MIN(D546,$F$11)), E545-LN(60/$E$11)-LN(MIN(D546,$F$11))), IF(D546&lt;=$A$15, E545+LN($D$11)-LN(60/$E$11)-LN(MIN(D546,$F$11)), E545+LN($D$11)+LN(1-$H$11)-LN(60/$E$11)-LN(MIN(D546,$F$11))))</f>
        <v>-61.280373379111666</v>
      </c>
      <c r="F546" s="1">
        <f t="shared" si="53"/>
        <v>-63.282406188310723</v>
      </c>
      <c r="G546" s="1">
        <f t="shared" si="51"/>
        <v>3.2870036842047008E-28</v>
      </c>
      <c r="H546" s="1">
        <f t="shared" si="48"/>
        <v>3.2264334923733466E-29</v>
      </c>
      <c r="I546">
        <f>IF($F$11&lt;=D546, IF(D546&lt;=$A$15,D546-$F$11,$C$11),0)</f>
        <v>60</v>
      </c>
      <c r="J546">
        <f t="shared" si="49"/>
        <v>459</v>
      </c>
      <c r="K546" s="5">
        <f>IF(D546&lt;$F$11,H546,0)</f>
        <v>0</v>
      </c>
      <c r="L546">
        <f>IF(D546&lt;$A$15,$D$11,$D$11*(1-$H$11))</f>
        <v>85</v>
      </c>
      <c r="M546">
        <f t="shared" si="50"/>
        <v>1</v>
      </c>
      <c r="N546">
        <f>IF(SUM(I546:J546)&lt;=($G$11/60*$F$11/($E$11/60)),1,0)</f>
        <v>0</v>
      </c>
    </row>
    <row r="547" spans="4:14" x14ac:dyDescent="0.2">
      <c r="D547">
        <f t="shared" si="52"/>
        <v>524</v>
      </c>
      <c r="E547" s="1">
        <f>IF($H$11=1,IF(D547&lt;=$A$15, E546+LN($D$11)-LN(60/$E$11)-LN(MIN(D547,$F$11)), E546-LN(60/$E$11)-LN(MIN(D547,$F$11))), IF(D547&lt;=$A$15, E546+LN($D$11)-LN(60/$E$11)-LN(MIN(D547,$F$11)), E546+LN($D$11)+LN(1-$H$11)-LN(60/$E$11)-LN(MIN(D547,$F$11))))</f>
        <v>-61.402070314089187</v>
      </c>
      <c r="F547" s="1">
        <f t="shared" si="53"/>
        <v>-63.404103123288245</v>
      </c>
      <c r="G547" s="1">
        <f t="shared" si="51"/>
        <v>2.9103678453895746E-28</v>
      </c>
      <c r="H547" s="1">
        <f t="shared" si="48"/>
        <v>2.8567379880388963E-29</v>
      </c>
      <c r="I547">
        <f>IF($F$11&lt;=D547, IF(D547&lt;=$A$15,D547-$F$11,$C$11),0)</f>
        <v>60</v>
      </c>
      <c r="J547">
        <f t="shared" si="49"/>
        <v>460</v>
      </c>
      <c r="K547" s="5">
        <f>IF(D547&lt;$F$11,H547,0)</f>
        <v>0</v>
      </c>
      <c r="L547">
        <f>IF(D547&lt;$A$15,$D$11,$D$11*(1-$H$11))</f>
        <v>85</v>
      </c>
      <c r="M547">
        <f t="shared" si="50"/>
        <v>1</v>
      </c>
      <c r="N547">
        <f>IF(SUM(I547:J547)&lt;=($G$11/60*$F$11/($E$11/60)),1,0)</f>
        <v>0</v>
      </c>
    </row>
    <row r="548" spans="4:14" x14ac:dyDescent="0.2">
      <c r="D548">
        <f t="shared" si="52"/>
        <v>525</v>
      </c>
      <c r="E548" s="1">
        <f>IF($H$11=1,IF(D548&lt;=$A$15, E547+LN($D$11)-LN(60/$E$11)-LN(MIN(D548,$F$11)), E547-LN(60/$E$11)-LN(MIN(D548,$F$11))), IF(D548&lt;=$A$15, E547+LN($D$11)-LN(60/$E$11)-LN(MIN(D548,$F$11)), E547+LN($D$11)+LN(1-$H$11)-LN(60/$E$11)-LN(MIN(D548,$F$11))))</f>
        <v>-61.523767249066708</v>
      </c>
      <c r="F548" s="1">
        <f t="shared" si="53"/>
        <v>-63.525800058265766</v>
      </c>
      <c r="G548" s="1">
        <f t="shared" si="51"/>
        <v>2.5768881964386822E-28</v>
      </c>
      <c r="H548" s="1">
        <f t="shared" si="48"/>
        <v>2.5294034269094362E-29</v>
      </c>
      <c r="I548">
        <f>IF($F$11&lt;=D548, IF(D548&lt;=$A$15,D548-$F$11,$C$11),0)</f>
        <v>60</v>
      </c>
      <c r="J548">
        <f t="shared" si="49"/>
        <v>461</v>
      </c>
      <c r="K548" s="5">
        <f>IF(D548&lt;$F$11,H548,0)</f>
        <v>0</v>
      </c>
      <c r="L548">
        <f>IF(D548&lt;$A$15,$D$11,$D$11*(1-$H$11))</f>
        <v>85</v>
      </c>
      <c r="M548">
        <f t="shared" si="50"/>
        <v>1</v>
      </c>
      <c r="N548">
        <f>IF(SUM(I548:J548)&lt;=($G$11/60*$F$11/($E$11/60)),1,0)</f>
        <v>0</v>
      </c>
    </row>
    <row r="549" spans="4:14" x14ac:dyDescent="0.2">
      <c r="D549">
        <f t="shared" si="52"/>
        <v>526</v>
      </c>
      <c r="E549" s="1">
        <f>IF($H$11=1,IF(D549&lt;=$A$15, E548+LN($D$11)-LN(60/$E$11)-LN(MIN(D549,$F$11)), E548-LN(60/$E$11)-LN(MIN(D549,$F$11))), IF(D549&lt;=$A$15, E548+LN($D$11)-LN(60/$E$11)-LN(MIN(D549,$F$11)), E548+LN($D$11)+LN(1-$H$11)-LN(60/$E$11)-LN(MIN(D549,$F$11))))</f>
        <v>-61.645464184044229</v>
      </c>
      <c r="F549" s="1">
        <f t="shared" si="53"/>
        <v>-63.647496993243287</v>
      </c>
      <c r="G549" s="1">
        <f t="shared" si="51"/>
        <v>2.2816197572634133E-28</v>
      </c>
      <c r="H549" s="1">
        <f t="shared" si="48"/>
        <v>2.2395759509093935E-29</v>
      </c>
      <c r="I549">
        <f>IF($F$11&lt;=D549, IF(D549&lt;=$A$15,D549-$F$11,$C$11),0)</f>
        <v>60</v>
      </c>
      <c r="J549">
        <f t="shared" si="49"/>
        <v>462</v>
      </c>
      <c r="K549" s="5">
        <f>IF(D549&lt;$F$11,H549,0)</f>
        <v>0</v>
      </c>
      <c r="L549">
        <f>IF(D549&lt;$A$15,$D$11,$D$11*(1-$H$11))</f>
        <v>85</v>
      </c>
      <c r="M549">
        <f t="shared" si="50"/>
        <v>1</v>
      </c>
      <c r="N549">
        <f>IF(SUM(I549:J549)&lt;=($G$11/60*$F$11/($E$11/60)),1,0)</f>
        <v>0</v>
      </c>
    </row>
    <row r="550" spans="4:14" x14ac:dyDescent="0.2">
      <c r="D550">
        <f t="shared" si="52"/>
        <v>527</v>
      </c>
      <c r="E550" s="1">
        <f>IF($H$11=1,IF(D550&lt;=$A$15, E549+LN($D$11)-LN(60/$E$11)-LN(MIN(D550,$F$11)), E549-LN(60/$E$11)-LN(MIN(D550,$F$11))), IF(D550&lt;=$A$15, E549+LN($D$11)-LN(60/$E$11)-LN(MIN(D550,$F$11)), E549+LN($D$11)+LN(1-$H$11)-LN(60/$E$11)-LN(MIN(D550,$F$11))))</f>
        <v>-61.76716111902175</v>
      </c>
      <c r="F550" s="1">
        <f t="shared" si="53"/>
        <v>-63.769193928220808</v>
      </c>
      <c r="G550" s="1">
        <f t="shared" si="51"/>
        <v>2.0201841600769777E-28</v>
      </c>
      <c r="H550" s="1">
        <f t="shared" si="48"/>
        <v>1.9829578732010226E-29</v>
      </c>
      <c r="I550">
        <f>IF($F$11&lt;=D550, IF(D550&lt;=$A$15,D550-$F$11,$C$11),0)</f>
        <v>60</v>
      </c>
      <c r="J550">
        <f t="shared" si="49"/>
        <v>463</v>
      </c>
      <c r="K550" s="5">
        <f>IF(D550&lt;$F$11,H550,0)</f>
        <v>0</v>
      </c>
      <c r="L550">
        <f>IF(D550&lt;$A$15,$D$11,$D$11*(1-$H$11))</f>
        <v>85</v>
      </c>
      <c r="M550">
        <f t="shared" si="50"/>
        <v>1</v>
      </c>
      <c r="N550">
        <f>IF(SUM(I550:J550)&lt;=($G$11/60*$F$11/($E$11/60)),1,0)</f>
        <v>0</v>
      </c>
    </row>
    <row r="551" spans="4:14" x14ac:dyDescent="0.2">
      <c r="D551">
        <f t="shared" si="52"/>
        <v>528</v>
      </c>
      <c r="E551" s="1">
        <f>IF($H$11=1,IF(D551&lt;=$A$15, E550+LN($D$11)-LN(60/$E$11)-LN(MIN(D551,$F$11)), E550-LN(60/$E$11)-LN(MIN(D551,$F$11))), IF(D551&lt;=$A$15, E550+LN($D$11)-LN(60/$E$11)-LN(MIN(D551,$F$11)), E550+LN($D$11)+LN(1-$H$11)-LN(60/$E$11)-LN(MIN(D551,$F$11))))</f>
        <v>-61.888858053999272</v>
      </c>
      <c r="F551" s="1">
        <f t="shared" si="53"/>
        <v>-63.890890863198329</v>
      </c>
      <c r="G551" s="1">
        <f t="shared" si="51"/>
        <v>1.7887047250681547E-28</v>
      </c>
      <c r="H551" s="1">
        <f t="shared" si="48"/>
        <v>1.7557439502300695E-29</v>
      </c>
      <c r="I551">
        <f>IF($F$11&lt;=D551, IF(D551&lt;=$A$15,D551-$F$11,$C$11),0)</f>
        <v>60</v>
      </c>
      <c r="J551">
        <f t="shared" si="49"/>
        <v>464</v>
      </c>
      <c r="K551" s="5">
        <f>IF(D551&lt;$F$11,H551,0)</f>
        <v>0</v>
      </c>
      <c r="L551">
        <f>IF(D551&lt;$A$15,$D$11,$D$11*(1-$H$11))</f>
        <v>85</v>
      </c>
      <c r="M551">
        <f t="shared" si="50"/>
        <v>1</v>
      </c>
      <c r="N551">
        <f>IF(SUM(I551:J551)&lt;=($G$11/60*$F$11/($E$11/60)),1,0)</f>
        <v>0</v>
      </c>
    </row>
    <row r="552" spans="4:14" x14ac:dyDescent="0.2">
      <c r="D552">
        <f t="shared" si="52"/>
        <v>529</v>
      </c>
      <c r="E552" s="1">
        <f>IF($H$11=1,IF(D552&lt;=$A$15, E551+LN($D$11)-LN(60/$E$11)-LN(MIN(D552,$F$11)), E551-LN(60/$E$11)-LN(MIN(D552,$F$11))), IF(D552&lt;=$A$15, E551+LN($D$11)-LN(60/$E$11)-LN(MIN(D552,$F$11)), E551+LN($D$11)+LN(1-$H$11)-LN(60/$E$11)-LN(MIN(D552,$F$11))))</f>
        <v>-62.010554988976793</v>
      </c>
      <c r="F552" s="1">
        <f t="shared" si="53"/>
        <v>-64.012587798175858</v>
      </c>
      <c r="G552" s="1">
        <f t="shared" si="51"/>
        <v>1.5837489753207484E-28</v>
      </c>
      <c r="H552" s="1">
        <f t="shared" si="48"/>
        <v>1.5545649559328607E-29</v>
      </c>
      <c r="I552">
        <f>IF($F$11&lt;=D552, IF(D552&lt;=$A$15,D552-$F$11,$C$11),0)</f>
        <v>60</v>
      </c>
      <c r="J552">
        <f t="shared" si="49"/>
        <v>465</v>
      </c>
      <c r="K552" s="5">
        <f>IF(D552&lt;$F$11,H552,0)</f>
        <v>0</v>
      </c>
      <c r="L552">
        <f>IF(D552&lt;$A$15,$D$11,$D$11*(1-$H$11))</f>
        <v>85</v>
      </c>
      <c r="M552">
        <f t="shared" si="50"/>
        <v>1</v>
      </c>
      <c r="N552">
        <f>IF(SUM(I552:J552)&lt;=($G$11/60*$F$11/($E$11/60)),1,0)</f>
        <v>0</v>
      </c>
    </row>
    <row r="553" spans="4:14" x14ac:dyDescent="0.2">
      <c r="D553">
        <f t="shared" si="52"/>
        <v>530</v>
      </c>
      <c r="E553" s="1">
        <f>IF($H$11=1,IF(D553&lt;=$A$15, E552+LN($D$11)-LN(60/$E$11)-LN(MIN(D553,$F$11)), E552-LN(60/$E$11)-LN(MIN(D553,$F$11))), IF(D553&lt;=$A$15, E552+LN($D$11)-LN(60/$E$11)-LN(MIN(D553,$F$11)), E552+LN($D$11)+LN(1-$H$11)-LN(60/$E$11)-LN(MIN(D553,$F$11))))</f>
        <v>-62.132251923954314</v>
      </c>
      <c r="F553" s="1">
        <f t="shared" si="53"/>
        <v>-64.134284733153379</v>
      </c>
      <c r="G553" s="1">
        <f t="shared" si="51"/>
        <v>1.402277738565244E-28</v>
      </c>
      <c r="H553" s="1">
        <f t="shared" si="48"/>
        <v>1.3764377213988851E-29</v>
      </c>
      <c r="I553">
        <f>IF($F$11&lt;=D553, IF(D553&lt;=$A$15,D553-$F$11,$C$11),0)</f>
        <v>60</v>
      </c>
      <c r="J553">
        <f t="shared" si="49"/>
        <v>466</v>
      </c>
      <c r="K553" s="5">
        <f>IF(D553&lt;$F$11,H553,0)</f>
        <v>0</v>
      </c>
      <c r="L553">
        <f>IF(D553&lt;$A$15,$D$11,$D$11*(1-$H$11))</f>
        <v>85</v>
      </c>
      <c r="M553">
        <f t="shared" si="50"/>
        <v>1</v>
      </c>
      <c r="N553">
        <f>IF(SUM(I553:J553)&lt;=($G$11/60*$F$11/($E$11/60)),1,0)</f>
        <v>0</v>
      </c>
    </row>
    <row r="554" spans="4:14" x14ac:dyDescent="0.2">
      <c r="D554">
        <f t="shared" si="52"/>
        <v>531</v>
      </c>
      <c r="E554" s="1">
        <f>IF($H$11=1,IF(D554&lt;=$A$15, E553+LN($D$11)-LN(60/$E$11)-LN(MIN(D554,$F$11)), E553-LN(60/$E$11)-LN(MIN(D554,$F$11))), IF(D554&lt;=$A$15, E553+LN($D$11)-LN(60/$E$11)-LN(MIN(D554,$F$11)), E553+LN($D$11)+LN(1-$H$11)-LN(60/$E$11)-LN(MIN(D554,$F$11))))</f>
        <v>-62.253948858931835</v>
      </c>
      <c r="F554" s="1">
        <f t="shared" si="53"/>
        <v>-64.2559816681309</v>
      </c>
      <c r="G554" s="1">
        <f t="shared" si="51"/>
        <v>1.2416000810213081E-28</v>
      </c>
      <c r="H554" s="1">
        <f t="shared" si="48"/>
        <v>1.2187208991552612E-29</v>
      </c>
      <c r="I554">
        <f>IF($F$11&lt;=D554, IF(D554&lt;=$A$15,D554-$F$11,$C$11),0)</f>
        <v>60</v>
      </c>
      <c r="J554">
        <f t="shared" si="49"/>
        <v>467</v>
      </c>
      <c r="K554" s="5">
        <f>IF(D554&lt;$F$11,H554,0)</f>
        <v>0</v>
      </c>
      <c r="L554">
        <f>IF(D554&lt;$A$15,$D$11,$D$11*(1-$H$11))</f>
        <v>85</v>
      </c>
      <c r="M554">
        <f t="shared" si="50"/>
        <v>1</v>
      </c>
      <c r="N554">
        <f>IF(SUM(I554:J554)&lt;=($G$11/60*$F$11/($E$11/60)),1,0)</f>
        <v>0</v>
      </c>
    </row>
    <row r="555" spans="4:14" x14ac:dyDescent="0.2">
      <c r="D555">
        <f t="shared" si="52"/>
        <v>532</v>
      </c>
      <c r="E555" s="1">
        <f>IF($H$11=1,IF(D555&lt;=$A$15, E554+LN($D$11)-LN(60/$E$11)-LN(MIN(D555,$F$11)), E554-LN(60/$E$11)-LN(MIN(D555,$F$11))), IF(D555&lt;=$A$15, E554+LN($D$11)-LN(60/$E$11)-LN(MIN(D555,$F$11)), E554+LN($D$11)+LN(1-$H$11)-LN(60/$E$11)-LN(MIN(D555,$F$11))))</f>
        <v>-62.375645793909356</v>
      </c>
      <c r="F555" s="1">
        <f t="shared" si="53"/>
        <v>-64.377678603108421</v>
      </c>
      <c r="G555" s="1">
        <f t="shared" si="51"/>
        <v>1.0993334050709483E-28</v>
      </c>
      <c r="H555" s="1">
        <f t="shared" si="48"/>
        <v>1.0790757961270526E-29</v>
      </c>
      <c r="I555">
        <f>IF($F$11&lt;=D555, IF(D555&lt;=$A$15,D555-$F$11,$C$11),0)</f>
        <v>60</v>
      </c>
      <c r="J555">
        <f t="shared" si="49"/>
        <v>468</v>
      </c>
      <c r="K555" s="5">
        <f>IF(D555&lt;$F$11,H555,0)</f>
        <v>0</v>
      </c>
      <c r="L555">
        <f>IF(D555&lt;$A$15,$D$11,$D$11*(1-$H$11))</f>
        <v>85</v>
      </c>
      <c r="M555">
        <f t="shared" si="50"/>
        <v>1</v>
      </c>
      <c r="N555">
        <f>IF(SUM(I555:J555)&lt;=($G$11/60*$F$11/($E$11/60)),1,0)</f>
        <v>0</v>
      </c>
    </row>
    <row r="556" spans="4:14" x14ac:dyDescent="0.2">
      <c r="D556">
        <f t="shared" si="52"/>
        <v>533</v>
      </c>
      <c r="E556" s="1">
        <f>IF($H$11=1,IF(D556&lt;=$A$15, E555+LN($D$11)-LN(60/$E$11)-LN(MIN(D556,$F$11)), E555-LN(60/$E$11)-LN(MIN(D556,$F$11))), IF(D556&lt;=$A$15, E555+LN($D$11)-LN(60/$E$11)-LN(MIN(D556,$F$11)), E555+LN($D$11)+LN(1-$H$11)-LN(60/$E$11)-LN(MIN(D556,$F$11))))</f>
        <v>-62.497342728886878</v>
      </c>
      <c r="F556" s="1">
        <f t="shared" si="53"/>
        <v>-64.499375538085943</v>
      </c>
      <c r="G556" s="1">
        <f t="shared" si="51"/>
        <v>9.7336811907323414E-29</v>
      </c>
      <c r="H556" s="1">
        <f t="shared" si="48"/>
        <v>9.5543169448749331E-30</v>
      </c>
      <c r="I556">
        <f>IF($F$11&lt;=D556, IF(D556&lt;=$A$15,D556-$F$11,$C$11),0)</f>
        <v>60</v>
      </c>
      <c r="J556">
        <f t="shared" si="49"/>
        <v>469</v>
      </c>
      <c r="K556" s="5">
        <f>IF(D556&lt;$F$11,H556,0)</f>
        <v>0</v>
      </c>
      <c r="L556">
        <f>IF(D556&lt;$A$15,$D$11,$D$11*(1-$H$11))</f>
        <v>85</v>
      </c>
      <c r="M556">
        <f t="shared" si="50"/>
        <v>1</v>
      </c>
      <c r="N556">
        <f>IF(SUM(I556:J556)&lt;=($G$11/60*$F$11/($E$11/60)),1,0)</f>
        <v>0</v>
      </c>
    </row>
    <row r="557" spans="4:14" x14ac:dyDescent="0.2">
      <c r="D557">
        <f t="shared" si="52"/>
        <v>534</v>
      </c>
      <c r="E557" s="1">
        <f>IF($H$11=1,IF(D557&lt;=$A$15, E556+LN($D$11)-LN(60/$E$11)-LN(MIN(D557,$F$11)), E556-LN(60/$E$11)-LN(MIN(D557,$F$11))), IF(D557&lt;=$A$15, E556+LN($D$11)-LN(60/$E$11)-LN(MIN(D557,$F$11)), E556+LN($D$11)+LN(1-$H$11)-LN(60/$E$11)-LN(MIN(D557,$F$11))))</f>
        <v>-62.619039663864399</v>
      </c>
      <c r="F557" s="1">
        <f t="shared" si="53"/>
        <v>-64.621072473063464</v>
      </c>
      <c r="G557" s="1">
        <f t="shared" si="51"/>
        <v>8.6183635542942473E-29</v>
      </c>
      <c r="H557" s="1">
        <f t="shared" si="48"/>
        <v>8.4595514616079996E-30</v>
      </c>
      <c r="I557">
        <f>IF($F$11&lt;=D557, IF(D557&lt;=$A$15,D557-$F$11,$C$11),0)</f>
        <v>60</v>
      </c>
      <c r="J557">
        <f t="shared" si="49"/>
        <v>470</v>
      </c>
      <c r="K557" s="5">
        <f>IF(D557&lt;$F$11,H557,0)</f>
        <v>0</v>
      </c>
      <c r="L557">
        <f>IF(D557&lt;$A$15,$D$11,$D$11*(1-$H$11))</f>
        <v>85</v>
      </c>
      <c r="M557">
        <f t="shared" si="50"/>
        <v>1</v>
      </c>
      <c r="N557">
        <f>IF(SUM(I557:J557)&lt;=($G$11/60*$F$11/($E$11/60)),1,0)</f>
        <v>0</v>
      </c>
    </row>
    <row r="558" spans="4:14" x14ac:dyDescent="0.2">
      <c r="D558">
        <f t="shared" si="52"/>
        <v>535</v>
      </c>
      <c r="E558" s="1">
        <f>IF($H$11=1,IF(D558&lt;=$A$15, E557+LN($D$11)-LN(60/$E$11)-LN(MIN(D558,$F$11)), E557-LN(60/$E$11)-LN(MIN(D558,$F$11))), IF(D558&lt;=$A$15, E557+LN($D$11)-LN(60/$E$11)-LN(MIN(D558,$F$11)), E557+LN($D$11)+LN(1-$H$11)-LN(60/$E$11)-LN(MIN(D558,$F$11))))</f>
        <v>-62.74073659884192</v>
      </c>
      <c r="F558" s="1">
        <f t="shared" si="53"/>
        <v>-64.742769408040985</v>
      </c>
      <c r="G558" s="1">
        <f t="shared" si="51"/>
        <v>7.6308427303646879E-29</v>
      </c>
      <c r="H558" s="1">
        <f t="shared" si="48"/>
        <v>7.4902278566320734E-30</v>
      </c>
      <c r="I558">
        <f>IF($F$11&lt;=D558, IF(D558&lt;=$A$15,D558-$F$11,$C$11),0)</f>
        <v>60</v>
      </c>
      <c r="J558">
        <f t="shared" si="49"/>
        <v>471</v>
      </c>
      <c r="K558" s="5">
        <f>IF(D558&lt;$F$11,H558,0)</f>
        <v>0</v>
      </c>
      <c r="L558">
        <f>IF(D558&lt;$A$15,$D$11,$D$11*(1-$H$11))</f>
        <v>85</v>
      </c>
      <c r="M558">
        <f t="shared" si="50"/>
        <v>1</v>
      </c>
      <c r="N558">
        <f>IF(SUM(I558:J558)&lt;=($G$11/60*$F$11/($E$11/60)),1,0)</f>
        <v>0</v>
      </c>
    </row>
    <row r="559" spans="4:14" x14ac:dyDescent="0.2">
      <c r="D559">
        <f t="shared" si="52"/>
        <v>536</v>
      </c>
      <c r="E559" s="1">
        <f>IF($H$11=1,IF(D559&lt;=$A$15, E558+LN($D$11)-LN(60/$E$11)-LN(MIN(D559,$F$11)), E558-LN(60/$E$11)-LN(MIN(D559,$F$11))), IF(D559&lt;=$A$15, E558+LN($D$11)-LN(60/$E$11)-LN(MIN(D559,$F$11)), E558+LN($D$11)+LN(1-$H$11)-LN(60/$E$11)-LN(MIN(D559,$F$11))))</f>
        <v>-62.862433533819441</v>
      </c>
      <c r="F559" s="1">
        <f t="shared" si="53"/>
        <v>-64.864466343018506</v>
      </c>
      <c r="G559" s="1">
        <f t="shared" si="51"/>
        <v>6.7564753341770574E-29</v>
      </c>
      <c r="H559" s="1">
        <f t="shared" si="48"/>
        <v>6.631972581392972E-30</v>
      </c>
      <c r="I559">
        <f>IF($F$11&lt;=D559, IF(D559&lt;=$A$15,D559-$F$11,$C$11),0)</f>
        <v>60</v>
      </c>
      <c r="J559">
        <f t="shared" si="49"/>
        <v>472</v>
      </c>
      <c r="K559" s="5">
        <f>IF(D559&lt;$F$11,H559,0)</f>
        <v>0</v>
      </c>
      <c r="L559">
        <f>IF(D559&lt;$A$15,$D$11,$D$11*(1-$H$11))</f>
        <v>85</v>
      </c>
      <c r="M559">
        <f t="shared" si="50"/>
        <v>1</v>
      </c>
      <c r="N559">
        <f>IF(SUM(I559:J559)&lt;=($G$11/60*$F$11/($E$11/60)),1,0)</f>
        <v>0</v>
      </c>
    </row>
    <row r="560" spans="4:14" x14ac:dyDescent="0.2">
      <c r="D560">
        <f t="shared" si="52"/>
        <v>537</v>
      </c>
      <c r="E560" s="1">
        <f>IF($H$11=1,IF(D560&lt;=$A$15, E559+LN($D$11)-LN(60/$E$11)-LN(MIN(D560,$F$11)), E559-LN(60/$E$11)-LN(MIN(D560,$F$11))), IF(D560&lt;=$A$15, E559+LN($D$11)-LN(60/$E$11)-LN(MIN(D560,$F$11)), E559+LN($D$11)+LN(1-$H$11)-LN(60/$E$11)-LN(MIN(D560,$F$11))))</f>
        <v>-62.984130468796963</v>
      </c>
      <c r="F560" s="1">
        <f t="shared" si="53"/>
        <v>-64.986163277996027</v>
      </c>
      <c r="G560" s="1">
        <f t="shared" si="51"/>
        <v>5.9822958688025949E-29</v>
      </c>
      <c r="H560" s="1">
        <f t="shared" si="48"/>
        <v>5.8720590564416859E-30</v>
      </c>
      <c r="I560">
        <f>IF($F$11&lt;=D560, IF(D560&lt;=$A$15,D560-$F$11,$C$11),0)</f>
        <v>60</v>
      </c>
      <c r="J560">
        <f t="shared" si="49"/>
        <v>473</v>
      </c>
      <c r="K560" s="5">
        <f>IF(D560&lt;$F$11,H560,0)</f>
        <v>0</v>
      </c>
      <c r="L560">
        <f>IF(D560&lt;$A$15,$D$11,$D$11*(1-$H$11))</f>
        <v>85</v>
      </c>
      <c r="M560">
        <f t="shared" si="50"/>
        <v>1</v>
      </c>
      <c r="N560">
        <f>IF(SUM(I560:J560)&lt;=($G$11/60*$F$11/($E$11/60)),1,0)</f>
        <v>0</v>
      </c>
    </row>
    <row r="561" spans="4:14" x14ac:dyDescent="0.2">
      <c r="D561">
        <f t="shared" si="52"/>
        <v>538</v>
      </c>
      <c r="E561" s="1">
        <f>IF($H$11=1,IF(D561&lt;=$A$15, E560+LN($D$11)-LN(60/$E$11)-LN(MIN(D561,$F$11)), E560-LN(60/$E$11)-LN(MIN(D561,$F$11))), IF(D561&lt;=$A$15, E560+LN($D$11)-LN(60/$E$11)-LN(MIN(D561,$F$11)), E560+LN($D$11)+LN(1-$H$11)-LN(60/$E$11)-LN(MIN(D561,$F$11))))</f>
        <v>-63.105827403774484</v>
      </c>
      <c r="F561" s="1">
        <f t="shared" si="53"/>
        <v>-65.107860212973549</v>
      </c>
      <c r="G561" s="1">
        <f t="shared" si="51"/>
        <v>5.2968244671689561E-29</v>
      </c>
      <c r="H561" s="1">
        <f t="shared" si="48"/>
        <v>5.1992189562244015E-30</v>
      </c>
      <c r="I561">
        <f>IF($F$11&lt;=D561, IF(D561&lt;=$A$15,D561-$F$11,$C$11),0)</f>
        <v>60</v>
      </c>
      <c r="J561">
        <f t="shared" si="49"/>
        <v>474</v>
      </c>
      <c r="K561" s="5">
        <f>IF(D561&lt;$F$11,H561,0)</f>
        <v>0</v>
      </c>
      <c r="L561">
        <f>IF(D561&lt;$A$15,$D$11,$D$11*(1-$H$11))</f>
        <v>85</v>
      </c>
      <c r="M561">
        <f t="shared" si="50"/>
        <v>1</v>
      </c>
      <c r="N561">
        <f>IF(SUM(I561:J561)&lt;=($G$11/60*$F$11/($E$11/60)),1,0)</f>
        <v>0</v>
      </c>
    </row>
    <row r="562" spans="4:14" x14ac:dyDescent="0.2">
      <c r="D562">
        <f t="shared" si="52"/>
        <v>539</v>
      </c>
      <c r="E562" s="1">
        <f>IF($H$11=1,IF(D562&lt;=$A$15, E561+LN($D$11)-LN(60/$E$11)-LN(MIN(D562,$F$11)), E561-LN(60/$E$11)-LN(MIN(D562,$F$11))), IF(D562&lt;=$A$15, E561+LN($D$11)-LN(60/$E$11)-LN(MIN(D562,$F$11)), E561+LN($D$11)+LN(1-$H$11)-LN(60/$E$11)-LN(MIN(D562,$F$11))))</f>
        <v>-63.227524338752005</v>
      </c>
      <c r="F562" s="1">
        <f t="shared" si="53"/>
        <v>-65.22955714795107</v>
      </c>
      <c r="G562" s="1">
        <f t="shared" si="51"/>
        <v>4.6898966636391735E-29</v>
      </c>
      <c r="H562" s="1">
        <f t="shared" si="48"/>
        <v>4.6034751174903496E-30</v>
      </c>
      <c r="I562">
        <f>IF($F$11&lt;=D562, IF(D562&lt;=$A$15,D562-$F$11,$C$11),0)</f>
        <v>60</v>
      </c>
      <c r="J562">
        <f t="shared" si="49"/>
        <v>475</v>
      </c>
      <c r="K562" s="5">
        <f>IF(D562&lt;$F$11,H562,0)</f>
        <v>0</v>
      </c>
      <c r="L562">
        <f>IF(D562&lt;$A$15,$D$11,$D$11*(1-$H$11))</f>
        <v>85</v>
      </c>
      <c r="M562">
        <f t="shared" si="50"/>
        <v>1</v>
      </c>
      <c r="N562">
        <f>IF(SUM(I562:J562)&lt;=($G$11/60*$F$11/($E$11/60)),1,0)</f>
        <v>0</v>
      </c>
    </row>
    <row r="563" spans="4:14" x14ac:dyDescent="0.2">
      <c r="D563">
        <f t="shared" si="52"/>
        <v>540</v>
      </c>
      <c r="E563" s="1">
        <f>IF($H$11=1,IF(D563&lt;=$A$15, E562+LN($D$11)-LN(60/$E$11)-LN(MIN(D563,$F$11)), E562-LN(60/$E$11)-LN(MIN(D563,$F$11))), IF(D563&lt;=$A$15, E562+LN($D$11)-LN(60/$E$11)-LN(MIN(D563,$F$11)), E562+LN($D$11)+LN(1-$H$11)-LN(60/$E$11)-LN(MIN(D563,$F$11))))</f>
        <v>-63.349221273729526</v>
      </c>
      <c r="F563" s="1">
        <f t="shared" si="53"/>
        <v>-65.351254082928591</v>
      </c>
      <c r="G563" s="1">
        <f t="shared" si="51"/>
        <v>4.1525126709305125E-29</v>
      </c>
      <c r="H563" s="1">
        <f t="shared" si="48"/>
        <v>4.0759935936112413E-30</v>
      </c>
      <c r="I563">
        <f>IF($F$11&lt;=D563, IF(D563&lt;=$A$15,D563-$F$11,$C$11),0)</f>
        <v>60</v>
      </c>
      <c r="J563">
        <f t="shared" si="49"/>
        <v>476</v>
      </c>
      <c r="K563" s="5">
        <f>IF(D563&lt;$F$11,H563,0)</f>
        <v>0</v>
      </c>
      <c r="L563">
        <f>IF(D563&lt;$A$15,$D$11,$D$11*(1-$H$11))</f>
        <v>85</v>
      </c>
      <c r="M563">
        <f t="shared" si="50"/>
        <v>1</v>
      </c>
      <c r="N563">
        <f>IF(SUM(I563:J563)&lt;=($G$11/60*$F$11/($E$11/60)),1,0)</f>
        <v>0</v>
      </c>
    </row>
    <row r="564" spans="4:14" x14ac:dyDescent="0.2">
      <c r="D564">
        <f t="shared" si="52"/>
        <v>541</v>
      </c>
      <c r="E564" s="1">
        <f>IF($H$11=1,IF(D564&lt;=$A$15, E563+LN($D$11)-LN(60/$E$11)-LN(MIN(D564,$F$11)), E563-LN(60/$E$11)-LN(MIN(D564,$F$11))), IF(D564&lt;=$A$15, E563+LN($D$11)-LN(60/$E$11)-LN(MIN(D564,$F$11)), E563+LN($D$11)+LN(1-$H$11)-LN(60/$E$11)-LN(MIN(D564,$F$11))))</f>
        <v>-63.470918208707047</v>
      </c>
      <c r="F564" s="1">
        <f t="shared" si="53"/>
        <v>-65.472951017906112</v>
      </c>
      <c r="G564" s="1">
        <f t="shared" si="51"/>
        <v>3.6767039273863857E-29</v>
      </c>
      <c r="H564" s="1">
        <f t="shared" si="48"/>
        <v>3.6089526610099477E-30</v>
      </c>
      <c r="I564">
        <f>IF($F$11&lt;=D564, IF(D564&lt;=$A$15,D564-$F$11,$C$11),0)</f>
        <v>60</v>
      </c>
      <c r="J564">
        <f t="shared" si="49"/>
        <v>477</v>
      </c>
      <c r="K564" s="5">
        <f>IF(D564&lt;$F$11,H564,0)</f>
        <v>0</v>
      </c>
      <c r="L564">
        <f>IF(D564&lt;$A$15,$D$11,$D$11*(1-$H$11))</f>
        <v>85</v>
      </c>
      <c r="M564">
        <f t="shared" si="50"/>
        <v>1</v>
      </c>
      <c r="N564">
        <f>IF(SUM(I564:J564)&lt;=($G$11/60*$F$11/($E$11/60)),1,0)</f>
        <v>0</v>
      </c>
    </row>
    <row r="565" spans="4:14" x14ac:dyDescent="0.2">
      <c r="D565">
        <f t="shared" si="52"/>
        <v>542</v>
      </c>
      <c r="E565" s="1">
        <f>IF($H$11=1,IF(D565&lt;=$A$15, E564+LN($D$11)-LN(60/$E$11)-LN(MIN(D565,$F$11)), E564-LN(60/$E$11)-LN(MIN(D565,$F$11))), IF(D565&lt;=$A$15, E564+LN($D$11)-LN(60/$E$11)-LN(MIN(D565,$F$11)), E564+LN($D$11)+LN(1-$H$11)-LN(60/$E$11)-LN(MIN(D565,$F$11))))</f>
        <v>-63.592615143684569</v>
      </c>
      <c r="F565" s="1">
        <f t="shared" si="53"/>
        <v>-65.594647952883633</v>
      </c>
      <c r="G565" s="1">
        <f t="shared" si="51"/>
        <v>3.2554149357066914E-29</v>
      </c>
      <c r="H565" s="1">
        <f t="shared" si="48"/>
        <v>3.1954268352692203E-30</v>
      </c>
      <c r="I565">
        <f>IF($F$11&lt;=D565, IF(D565&lt;=$A$15,D565-$F$11,$C$11),0)</f>
        <v>60</v>
      </c>
      <c r="J565">
        <f t="shared" si="49"/>
        <v>478</v>
      </c>
      <c r="K565" s="5">
        <f>IF(D565&lt;$F$11,H565,0)</f>
        <v>0</v>
      </c>
      <c r="L565">
        <f>IF(D565&lt;$A$15,$D$11,$D$11*(1-$H$11))</f>
        <v>85</v>
      </c>
      <c r="M565">
        <f t="shared" si="50"/>
        <v>1</v>
      </c>
      <c r="N565">
        <f>IF(SUM(I565:J565)&lt;=($G$11/60*$F$11/($E$11/60)),1,0)</f>
        <v>0</v>
      </c>
    </row>
    <row r="566" spans="4:14" x14ac:dyDescent="0.2">
      <c r="D566">
        <f t="shared" si="52"/>
        <v>543</v>
      </c>
      <c r="E566" s="1">
        <f>IF($H$11=1,IF(D566&lt;=$A$15, E565+LN($D$11)-LN(60/$E$11)-LN(MIN(D566,$F$11)), E565-LN(60/$E$11)-LN(MIN(D566,$F$11))), IF(D566&lt;=$A$15, E565+LN($D$11)-LN(60/$E$11)-LN(MIN(D566,$F$11)), E565+LN($D$11)+LN(1-$H$11)-LN(60/$E$11)-LN(MIN(D566,$F$11))))</f>
        <v>-63.71431207866209</v>
      </c>
      <c r="F566" s="1">
        <f t="shared" si="53"/>
        <v>-65.716344887861155</v>
      </c>
      <c r="G566" s="1">
        <f t="shared" si="51"/>
        <v>2.8823986409902955E-29</v>
      </c>
      <c r="H566" s="1">
        <f t="shared" si="48"/>
        <v>2.8292841770612847E-30</v>
      </c>
      <c r="I566">
        <f>IF($F$11&lt;=D566, IF(D566&lt;=$A$15,D566-$F$11,$C$11),0)</f>
        <v>60</v>
      </c>
      <c r="J566">
        <f t="shared" si="49"/>
        <v>479</v>
      </c>
      <c r="K566" s="5">
        <f>IF(D566&lt;$F$11,H566,0)</f>
        <v>0</v>
      </c>
      <c r="L566">
        <f>IF(D566&lt;$A$15,$D$11,$D$11*(1-$H$11))</f>
        <v>85</v>
      </c>
      <c r="M566">
        <f t="shared" si="50"/>
        <v>1</v>
      </c>
      <c r="N566">
        <f>IF(SUM(I566:J566)&lt;=($G$11/60*$F$11/($E$11/60)),1,0)</f>
        <v>0</v>
      </c>
    </row>
    <row r="567" spans="4:14" x14ac:dyDescent="0.2">
      <c r="D567">
        <f t="shared" si="52"/>
        <v>544</v>
      </c>
      <c r="E567" s="1">
        <f>IF($H$11=1,IF(D567&lt;=$A$15, E566+LN($D$11)-LN(60/$E$11)-LN(MIN(D567,$F$11)), E566-LN(60/$E$11)-LN(MIN(D567,$F$11))), IF(D567&lt;=$A$15, E566+LN($D$11)-LN(60/$E$11)-LN(MIN(D567,$F$11)), E566+LN($D$11)+LN(1-$H$11)-LN(60/$E$11)-LN(MIN(D567,$F$11))))</f>
        <v>-63.836009013639611</v>
      </c>
      <c r="F567" s="1">
        <f t="shared" si="53"/>
        <v>-65.838041822838676</v>
      </c>
      <c r="G567" s="1">
        <f t="shared" si="51"/>
        <v>2.5521237967101535E-29</v>
      </c>
      <c r="H567" s="1">
        <f t="shared" si="48"/>
        <v>2.5050953651063418E-30</v>
      </c>
      <c r="I567">
        <f>IF($F$11&lt;=D567, IF(D567&lt;=$A$15,D567-$F$11,$C$11),0)</f>
        <v>60</v>
      </c>
      <c r="J567">
        <f t="shared" si="49"/>
        <v>480</v>
      </c>
      <c r="K567" s="5">
        <f>IF(D567&lt;$F$11,H567,0)</f>
        <v>0</v>
      </c>
      <c r="L567">
        <f>IF(D567&lt;$A$15,$D$11,$D$11*(1-$H$11))</f>
        <v>85</v>
      </c>
      <c r="M567">
        <f t="shared" si="50"/>
        <v>1</v>
      </c>
      <c r="N567">
        <f>IF(SUM(I567:J567)&lt;=($G$11/60*$F$11/($E$11/60)),1,0)</f>
        <v>0</v>
      </c>
    </row>
    <row r="568" spans="4:14" x14ac:dyDescent="0.2">
      <c r="D568">
        <f t="shared" si="52"/>
        <v>545</v>
      </c>
      <c r="E568" s="1">
        <f>IF($H$11=1,IF(D568&lt;=$A$15, E567+LN($D$11)-LN(60/$E$11)-LN(MIN(D568,$F$11)), E567-LN(60/$E$11)-LN(MIN(D568,$F$11))), IF(D568&lt;=$A$15, E567+LN($D$11)-LN(60/$E$11)-LN(MIN(D568,$F$11)), E567+LN($D$11)+LN(1-$H$11)-LN(60/$E$11)-LN(MIN(D568,$F$11))))</f>
        <v>-63.957705948617132</v>
      </c>
      <c r="F568" s="1">
        <f t="shared" si="53"/>
        <v>-65.959738757816197</v>
      </c>
      <c r="G568" s="1">
        <f t="shared" si="51"/>
        <v>2.2596929450037788E-29</v>
      </c>
      <c r="H568" s="1">
        <f t="shared" si="48"/>
        <v>2.2180531878545707E-30</v>
      </c>
      <c r="I568">
        <f>IF($F$11&lt;=D568, IF(D568&lt;=$A$15,D568-$F$11,$C$11),0)</f>
        <v>60</v>
      </c>
      <c r="J568">
        <f t="shared" si="49"/>
        <v>481</v>
      </c>
      <c r="K568" s="5">
        <f>IF(D568&lt;$F$11,H568,0)</f>
        <v>0</v>
      </c>
      <c r="L568">
        <f>IF(D568&lt;$A$15,$D$11,$D$11*(1-$H$11))</f>
        <v>85</v>
      </c>
      <c r="M568">
        <f t="shared" si="50"/>
        <v>1</v>
      </c>
      <c r="N568">
        <f>IF(SUM(I568:J568)&lt;=($G$11/60*$F$11/($E$11/60)),1,0)</f>
        <v>0</v>
      </c>
    </row>
    <row r="569" spans="4:14" x14ac:dyDescent="0.2">
      <c r="D569">
        <f t="shared" si="52"/>
        <v>546</v>
      </c>
      <c r="E569" s="1">
        <f>IF($H$11=1,IF(D569&lt;=$A$15, E568+LN($D$11)-LN(60/$E$11)-LN(MIN(D569,$F$11)), E568-LN(60/$E$11)-LN(MIN(D569,$F$11))), IF(D569&lt;=$A$15, E568+LN($D$11)-LN(60/$E$11)-LN(MIN(D569,$F$11)), E568+LN($D$11)+LN(1-$H$11)-LN(60/$E$11)-LN(MIN(D569,$F$11))))</f>
        <v>-64.079402883594653</v>
      </c>
      <c r="F569" s="1">
        <f t="shared" si="53"/>
        <v>-66.081435692793718</v>
      </c>
      <c r="G569" s="1">
        <f t="shared" si="51"/>
        <v>2.0007697950554262E-29</v>
      </c>
      <c r="H569" s="1">
        <f t="shared" si="48"/>
        <v>1.9639012600795647E-30</v>
      </c>
      <c r="I569">
        <f>IF($F$11&lt;=D569, IF(D569&lt;=$A$15,D569-$F$11,$C$11),0)</f>
        <v>60</v>
      </c>
      <c r="J569">
        <f t="shared" si="49"/>
        <v>482</v>
      </c>
      <c r="K569" s="5">
        <f>IF(D569&lt;$F$11,H569,0)</f>
        <v>0</v>
      </c>
      <c r="L569">
        <f>IF(D569&lt;$A$15,$D$11,$D$11*(1-$H$11))</f>
        <v>85</v>
      </c>
      <c r="M569">
        <f t="shared" si="50"/>
        <v>1</v>
      </c>
      <c r="N569">
        <f>IF(SUM(I569:J569)&lt;=($G$11/60*$F$11/($E$11/60)),1,0)</f>
        <v>0</v>
      </c>
    </row>
    <row r="570" spans="4:14" x14ac:dyDescent="0.2">
      <c r="D570">
        <f t="shared" si="52"/>
        <v>547</v>
      </c>
      <c r="E570" s="1">
        <f>IF($H$11=1,IF(D570&lt;=$A$15, E569+LN($D$11)-LN(60/$E$11)-LN(MIN(D570,$F$11)), E569-LN(60/$E$11)-LN(MIN(D570,$F$11))), IF(D570&lt;=$A$15, E569+LN($D$11)-LN(60/$E$11)-LN(MIN(D570,$F$11)), E569+LN($D$11)+LN(1-$H$11)-LN(60/$E$11)-LN(MIN(D570,$F$11))))</f>
        <v>-64.201099818572175</v>
      </c>
      <c r="F570" s="1">
        <f t="shared" si="53"/>
        <v>-66.20313262777124</v>
      </c>
      <c r="G570" s="1">
        <f t="shared" si="51"/>
        <v>1.7715149227053228E-29</v>
      </c>
      <c r="H570" s="1">
        <f t="shared" si="48"/>
        <v>1.7388709073621122E-30</v>
      </c>
      <c r="I570">
        <f>IF($F$11&lt;=D570, IF(D570&lt;=$A$15,D570-$F$11,$C$11),0)</f>
        <v>60</v>
      </c>
      <c r="J570">
        <f t="shared" si="49"/>
        <v>483</v>
      </c>
      <c r="K570" s="5">
        <f>IF(D570&lt;$F$11,H570,0)</f>
        <v>0</v>
      </c>
      <c r="L570">
        <f>IF(D570&lt;$A$15,$D$11,$D$11*(1-$H$11))</f>
        <v>85</v>
      </c>
      <c r="M570">
        <f t="shared" si="50"/>
        <v>1</v>
      </c>
      <c r="N570">
        <f>IF(SUM(I570:J570)&lt;=($G$11/60*$F$11/($E$11/60)),1,0)</f>
        <v>0</v>
      </c>
    </row>
    <row r="571" spans="4:14" x14ac:dyDescent="0.2">
      <c r="D571">
        <f t="shared" si="52"/>
        <v>548</v>
      </c>
      <c r="E571" s="1">
        <f>IF($H$11=1,IF(D571&lt;=$A$15, E570+LN($D$11)-LN(60/$E$11)-LN(MIN(D571,$F$11)), E570-LN(60/$E$11)-LN(MIN(D571,$F$11))), IF(D571&lt;=$A$15, E570+LN($D$11)-LN(60/$E$11)-LN(MIN(D571,$F$11)), E570+LN($D$11)+LN(1-$H$11)-LN(60/$E$11)-LN(MIN(D571,$F$11))))</f>
        <v>-64.322796753549696</v>
      </c>
      <c r="F571" s="1">
        <f t="shared" si="53"/>
        <v>-66.324829562748761</v>
      </c>
      <c r="G571" s="1">
        <f t="shared" si="51"/>
        <v>1.5685288378120024E-29</v>
      </c>
      <c r="H571" s="1">
        <f t="shared" si="48"/>
        <v>1.5396252825602014E-30</v>
      </c>
      <c r="I571">
        <f>IF($F$11&lt;=D571, IF(D571&lt;=$A$15,D571-$F$11,$C$11),0)</f>
        <v>60</v>
      </c>
      <c r="J571">
        <f t="shared" si="49"/>
        <v>484</v>
      </c>
      <c r="K571" s="5">
        <f>IF(D571&lt;$F$11,H571,0)</f>
        <v>0</v>
      </c>
      <c r="L571">
        <f>IF(D571&lt;$A$15,$D$11,$D$11*(1-$H$11))</f>
        <v>85</v>
      </c>
      <c r="M571">
        <f t="shared" si="50"/>
        <v>1</v>
      </c>
      <c r="N571">
        <f>IF(SUM(I571:J571)&lt;=($G$11/60*$F$11/($E$11/60)),1,0)</f>
        <v>0</v>
      </c>
    </row>
    <row r="572" spans="4:14" x14ac:dyDescent="0.2">
      <c r="D572">
        <f t="shared" si="52"/>
        <v>549</v>
      </c>
      <c r="E572" s="1">
        <f>IF($H$11=1,IF(D572&lt;=$A$15, E571+LN($D$11)-LN(60/$E$11)-LN(MIN(D572,$F$11)), E571-LN(60/$E$11)-LN(MIN(D572,$F$11))), IF(D572&lt;=$A$15, E571+LN($D$11)-LN(60/$E$11)-LN(MIN(D572,$F$11)), E571+LN($D$11)+LN(1-$H$11)-LN(60/$E$11)-LN(MIN(D572,$F$11))))</f>
        <v>-64.444493688527217</v>
      </c>
      <c r="F572" s="1">
        <f t="shared" si="53"/>
        <v>-66.446526497726282</v>
      </c>
      <c r="G572" s="1">
        <f t="shared" si="51"/>
        <v>1.3888015751460417E-29</v>
      </c>
      <c r="H572" s="1">
        <f t="shared" si="48"/>
        <v>1.3632098856001764E-30</v>
      </c>
      <c r="I572">
        <f>IF($F$11&lt;=D572, IF(D572&lt;=$A$15,D572-$F$11,$C$11),0)</f>
        <v>60</v>
      </c>
      <c r="J572">
        <f t="shared" si="49"/>
        <v>485</v>
      </c>
      <c r="K572" s="5">
        <f>IF(D572&lt;$F$11,H572,0)</f>
        <v>0</v>
      </c>
      <c r="L572">
        <f>IF(D572&lt;$A$15,$D$11,$D$11*(1-$H$11))</f>
        <v>85</v>
      </c>
      <c r="M572">
        <f t="shared" si="50"/>
        <v>1</v>
      </c>
      <c r="N572">
        <f>IF(SUM(I572:J572)&lt;=($G$11/60*$F$11/($E$11/60)),1,0)</f>
        <v>0</v>
      </c>
    </row>
    <row r="573" spans="4:14" x14ac:dyDescent="0.2">
      <c r="D573">
        <f t="shared" si="52"/>
        <v>550</v>
      </c>
      <c r="E573" s="1">
        <f>IF($H$11=1,IF(D573&lt;=$A$15, E572+LN($D$11)-LN(60/$E$11)-LN(MIN(D573,$F$11)), E572-LN(60/$E$11)-LN(MIN(D573,$F$11))), IF(D573&lt;=$A$15, E572+LN($D$11)-LN(60/$E$11)-LN(MIN(D573,$F$11)), E572+LN($D$11)+LN(1-$H$11)-LN(60/$E$11)-LN(MIN(D573,$F$11))))</f>
        <v>-64.566190623504738</v>
      </c>
      <c r="F573" s="1">
        <f t="shared" si="53"/>
        <v>-66.568223432703803</v>
      </c>
      <c r="G573" s="1">
        <f t="shared" si="51"/>
        <v>1.2296680613272227E-29</v>
      </c>
      <c r="H573" s="1">
        <f t="shared" si="48"/>
        <v>1.2070087528751544E-30</v>
      </c>
      <c r="I573">
        <f>IF($F$11&lt;=D573, IF(D573&lt;=$A$15,D573-$F$11,$C$11),0)</f>
        <v>60</v>
      </c>
      <c r="J573">
        <f t="shared" si="49"/>
        <v>486</v>
      </c>
      <c r="K573" s="5">
        <f>IF(D573&lt;$F$11,H573,0)</f>
        <v>0</v>
      </c>
      <c r="L573">
        <f>IF(D573&lt;$A$15,$D$11,$D$11*(1-$H$11))</f>
        <v>85</v>
      </c>
      <c r="M573">
        <f t="shared" si="50"/>
        <v>1</v>
      </c>
      <c r="N573">
        <f>IF(SUM(I573:J573)&lt;=($G$11/60*$F$11/($E$11/60)),1,0)</f>
        <v>0</v>
      </c>
    </row>
    <row r="574" spans="4:14" x14ac:dyDescent="0.2">
      <c r="D574">
        <f t="shared" si="52"/>
        <v>551</v>
      </c>
      <c r="E574" s="1">
        <f>IF($H$11=1,IF(D574&lt;=$A$15, E573+LN($D$11)-LN(60/$E$11)-LN(MIN(D574,$F$11)), E573-LN(60/$E$11)-LN(MIN(D574,$F$11))), IF(D574&lt;=$A$15, E573+LN($D$11)-LN(60/$E$11)-LN(MIN(D574,$F$11)), E573+LN($D$11)+LN(1-$H$11)-LN(60/$E$11)-LN(MIN(D574,$F$11))))</f>
        <v>-64.687887558482259</v>
      </c>
      <c r="F574" s="1">
        <f t="shared" si="53"/>
        <v>-66.689920367681324</v>
      </c>
      <c r="G574" s="1">
        <f t="shared" si="51"/>
        <v>1.0887685959668101E-29</v>
      </c>
      <c r="H574" s="1">
        <f t="shared" si="48"/>
        <v>1.0687056666082081E-30</v>
      </c>
      <c r="I574">
        <f>IF($F$11&lt;=D574, IF(D574&lt;=$A$15,D574-$F$11,$C$11),0)</f>
        <v>60</v>
      </c>
      <c r="J574">
        <f t="shared" si="49"/>
        <v>487</v>
      </c>
      <c r="K574" s="5">
        <f>IF(D574&lt;$F$11,H574,0)</f>
        <v>0</v>
      </c>
      <c r="L574">
        <f>IF(D574&lt;$A$15,$D$11,$D$11*(1-$H$11))</f>
        <v>85</v>
      </c>
      <c r="M574">
        <f t="shared" si="50"/>
        <v>1</v>
      </c>
      <c r="N574">
        <f>IF(SUM(I574:J574)&lt;=($G$11/60*$F$11/($E$11/60)),1,0)</f>
        <v>0</v>
      </c>
    </row>
    <row r="575" spans="4:14" x14ac:dyDescent="0.2">
      <c r="D575">
        <f t="shared" si="52"/>
        <v>552</v>
      </c>
      <c r="E575" s="1">
        <f>IF($H$11=1,IF(D575&lt;=$A$15, E574+LN($D$11)-LN(60/$E$11)-LN(MIN(D575,$F$11)), E574-LN(60/$E$11)-LN(MIN(D575,$F$11))), IF(D575&lt;=$A$15, E574+LN($D$11)-LN(60/$E$11)-LN(MIN(D575,$F$11)), E574+LN($D$11)+LN(1-$H$11)-LN(60/$E$11)-LN(MIN(D575,$F$11))))</f>
        <v>-64.809584493459781</v>
      </c>
      <c r="F575" s="1">
        <f t="shared" si="53"/>
        <v>-66.811617302658846</v>
      </c>
      <c r="G575" s="1">
        <f t="shared" si="51"/>
        <v>9.6401386101227851E-30</v>
      </c>
      <c r="H575" s="1">
        <f t="shared" si="48"/>
        <v>9.4624980897601626E-31</v>
      </c>
      <c r="I575">
        <f>IF($F$11&lt;=D575, IF(D575&lt;=$A$15,D575-$F$11,$C$11),0)</f>
        <v>60</v>
      </c>
      <c r="J575">
        <f t="shared" si="49"/>
        <v>488</v>
      </c>
      <c r="K575" s="5">
        <f>IF(D575&lt;$F$11,H575,0)</f>
        <v>0</v>
      </c>
      <c r="L575">
        <f>IF(D575&lt;$A$15,$D$11,$D$11*(1-$H$11))</f>
        <v>85</v>
      </c>
      <c r="M575">
        <f t="shared" si="50"/>
        <v>1</v>
      </c>
      <c r="N575">
        <f>IF(SUM(I575:J575)&lt;=($G$11/60*$F$11/($E$11/60)),1,0)</f>
        <v>0</v>
      </c>
    </row>
    <row r="576" spans="4:14" x14ac:dyDescent="0.2">
      <c r="D576">
        <f t="shared" si="52"/>
        <v>553</v>
      </c>
      <c r="E576" s="1">
        <f>IF($H$11=1,IF(D576&lt;=$A$15, E575+LN($D$11)-LN(60/$E$11)-LN(MIN(D576,$F$11)), E575-LN(60/$E$11)-LN(MIN(D576,$F$11))), IF(D576&lt;=$A$15, E575+LN($D$11)-LN(60/$E$11)-LN(MIN(D576,$F$11)), E575+LN($D$11)+LN(1-$H$11)-LN(60/$E$11)-LN(MIN(D576,$F$11))))</f>
        <v>-64.931281428437302</v>
      </c>
      <c r="F576" s="1">
        <f t="shared" si="53"/>
        <v>-66.933314237636367</v>
      </c>
      <c r="G576" s="1">
        <f t="shared" si="51"/>
        <v>8.5355393943795368E-30</v>
      </c>
      <c r="H576" s="1">
        <f t="shared" si="48"/>
        <v>8.3782535169751314E-31</v>
      </c>
      <c r="I576">
        <f>IF($F$11&lt;=D576, IF(D576&lt;=$A$15,D576-$F$11,$C$11),0)</f>
        <v>60</v>
      </c>
      <c r="J576">
        <f t="shared" si="49"/>
        <v>489</v>
      </c>
      <c r="K576" s="5">
        <f>IF(D576&lt;$F$11,H576,0)</f>
        <v>0</v>
      </c>
      <c r="L576">
        <f>IF(D576&lt;$A$15,$D$11,$D$11*(1-$H$11))</f>
        <v>85</v>
      </c>
      <c r="M576">
        <f t="shared" si="50"/>
        <v>1</v>
      </c>
      <c r="N576">
        <f>IF(SUM(I576:J576)&lt;=($G$11/60*$F$11/($E$11/60)),1,0)</f>
        <v>0</v>
      </c>
    </row>
    <row r="577" spans="4:14" x14ac:dyDescent="0.2">
      <c r="D577">
        <f t="shared" si="52"/>
        <v>554</v>
      </c>
      <c r="E577" s="1">
        <f>IF($H$11=1,IF(D577&lt;=$A$15, E576+LN($D$11)-LN(60/$E$11)-LN(MIN(D577,$F$11)), E576-LN(60/$E$11)-LN(MIN(D577,$F$11))), IF(D577&lt;=$A$15, E576+LN($D$11)-LN(60/$E$11)-LN(MIN(D577,$F$11)), E576+LN($D$11)+LN(1-$H$11)-LN(60/$E$11)-LN(MIN(D577,$F$11))))</f>
        <v>-65.052978363414823</v>
      </c>
      <c r="F577" s="1">
        <f t="shared" si="53"/>
        <v>-67.055011172613888</v>
      </c>
      <c r="G577" s="1">
        <f t="shared" si="51"/>
        <v>7.5575088387735378E-30</v>
      </c>
      <c r="H577" s="1">
        <f t="shared" si="48"/>
        <v>7.4182453014883875E-31</v>
      </c>
      <c r="I577">
        <f>IF($F$11&lt;=D577, IF(D577&lt;=$A$15,D577-$F$11,$C$11),0)</f>
        <v>60</v>
      </c>
      <c r="J577">
        <f t="shared" si="49"/>
        <v>490</v>
      </c>
      <c r="K577" s="5">
        <f>IF(D577&lt;$F$11,H577,0)</f>
        <v>0</v>
      </c>
      <c r="L577">
        <f>IF(D577&lt;$A$15,$D$11,$D$11*(1-$H$11))</f>
        <v>85</v>
      </c>
      <c r="M577">
        <f t="shared" si="50"/>
        <v>1</v>
      </c>
      <c r="N577">
        <f>IF(SUM(I577:J577)&lt;=($G$11/60*$F$11/($E$11/60)),1,0)</f>
        <v>0</v>
      </c>
    </row>
    <row r="578" spans="4:14" x14ac:dyDescent="0.2">
      <c r="D578">
        <f t="shared" si="52"/>
        <v>555</v>
      </c>
      <c r="E578" s="1">
        <f>IF($H$11=1,IF(D578&lt;=$A$15, E577+LN($D$11)-LN(60/$E$11)-LN(MIN(D578,$F$11)), E577-LN(60/$E$11)-LN(MIN(D578,$F$11))), IF(D578&lt;=$A$15, E577+LN($D$11)-LN(60/$E$11)-LN(MIN(D578,$F$11)), E577+LN($D$11)+LN(1-$H$11)-LN(60/$E$11)-LN(MIN(D578,$F$11))))</f>
        <v>-65.174675298392344</v>
      </c>
      <c r="F578" s="1">
        <f t="shared" si="53"/>
        <v>-67.176708107591409</v>
      </c>
      <c r="G578" s="1">
        <f t="shared" si="51"/>
        <v>6.6915442843307272E-30</v>
      </c>
      <c r="H578" s="1">
        <f t="shared" si="48"/>
        <v>6.5682380273595005E-31</v>
      </c>
      <c r="I578">
        <f>IF($F$11&lt;=D578, IF(D578&lt;=$A$15,D578-$F$11,$C$11),0)</f>
        <v>60</v>
      </c>
      <c r="J578">
        <f t="shared" si="49"/>
        <v>491</v>
      </c>
      <c r="K578" s="5">
        <f>IF(D578&lt;$F$11,H578,0)</f>
        <v>0</v>
      </c>
      <c r="L578">
        <f>IF(D578&lt;$A$15,$D$11,$D$11*(1-$H$11))</f>
        <v>85</v>
      </c>
      <c r="M578">
        <f t="shared" si="50"/>
        <v>1</v>
      </c>
      <c r="N578">
        <f>IF(SUM(I578:J578)&lt;=($G$11/60*$F$11/($E$11/60)),1,0)</f>
        <v>0</v>
      </c>
    </row>
    <row r="579" spans="4:14" x14ac:dyDescent="0.2">
      <c r="D579">
        <f t="shared" si="52"/>
        <v>556</v>
      </c>
      <c r="E579" s="1">
        <f>IF($H$11=1,IF(D579&lt;=$A$15, E578+LN($D$11)-LN(60/$E$11)-LN(MIN(D579,$F$11)), E578-LN(60/$E$11)-LN(MIN(D579,$F$11))), IF(D579&lt;=$A$15, E578+LN($D$11)-LN(60/$E$11)-LN(MIN(D579,$F$11)), E578+LN($D$11)+LN(1-$H$11)-LN(60/$E$11)-LN(MIN(D579,$F$11))))</f>
        <v>-65.296372233369866</v>
      </c>
      <c r="F579" s="1">
        <f t="shared" si="53"/>
        <v>-67.29840504256893</v>
      </c>
      <c r="G579" s="1">
        <f t="shared" si="51"/>
        <v>5.924804835084489E-30</v>
      </c>
      <c r="H579" s="1">
        <f t="shared" si="48"/>
        <v>5.815627420057882E-31</v>
      </c>
      <c r="I579">
        <f>IF($F$11&lt;=D579, IF(D579&lt;=$A$15,D579-$F$11,$C$11),0)</f>
        <v>60</v>
      </c>
      <c r="J579">
        <f t="shared" si="49"/>
        <v>492</v>
      </c>
      <c r="K579" s="5">
        <f>IF(D579&lt;$F$11,H579,0)</f>
        <v>0</v>
      </c>
      <c r="L579">
        <f>IF(D579&lt;$A$15,$D$11,$D$11*(1-$H$11))</f>
        <v>85</v>
      </c>
      <c r="M579">
        <f t="shared" si="50"/>
        <v>1</v>
      </c>
      <c r="N579">
        <f>IF(SUM(I579:J579)&lt;=($G$11/60*$F$11/($E$11/60)),1,0)</f>
        <v>0</v>
      </c>
    </row>
    <row r="580" spans="4:14" x14ac:dyDescent="0.2">
      <c r="D580">
        <f t="shared" si="52"/>
        <v>557</v>
      </c>
      <c r="E580" s="1">
        <f>IF($H$11=1,IF(D580&lt;=$A$15, E579+LN($D$11)-LN(60/$E$11)-LN(MIN(D580,$F$11)), E579-LN(60/$E$11)-LN(MIN(D580,$F$11))), IF(D580&lt;=$A$15, E579+LN($D$11)-LN(60/$E$11)-LN(MIN(D580,$F$11)), E579+LN($D$11)+LN(1-$H$11)-LN(60/$E$11)-LN(MIN(D580,$F$11))))</f>
        <v>-65.418069168347387</v>
      </c>
      <c r="F580" s="1">
        <f t="shared" si="53"/>
        <v>-67.420101977546452</v>
      </c>
      <c r="G580" s="1">
        <f t="shared" si="51"/>
        <v>5.2459209477310504E-30</v>
      </c>
      <c r="H580" s="1">
        <f t="shared" si="48"/>
        <v>5.149253444842909E-31</v>
      </c>
      <c r="I580">
        <f>IF($F$11&lt;=D580, IF(D580&lt;=$A$15,D580-$F$11,$C$11),0)</f>
        <v>60</v>
      </c>
      <c r="J580">
        <f t="shared" si="49"/>
        <v>493</v>
      </c>
      <c r="K580" s="5">
        <f>IF(D580&lt;$F$11,H580,0)</f>
        <v>0</v>
      </c>
      <c r="L580">
        <f>IF(D580&lt;$A$15,$D$11,$D$11*(1-$H$11))</f>
        <v>85</v>
      </c>
      <c r="M580">
        <f t="shared" si="50"/>
        <v>1</v>
      </c>
      <c r="N580">
        <f>IF(SUM(I580:J580)&lt;=($G$11/60*$F$11/($E$11/60)),1,0)</f>
        <v>0</v>
      </c>
    </row>
    <row r="581" spans="4:14" x14ac:dyDescent="0.2">
      <c r="D581">
        <f t="shared" si="52"/>
        <v>558</v>
      </c>
      <c r="E581" s="1">
        <f>IF($H$11=1,IF(D581&lt;=$A$15, E580+LN($D$11)-LN(60/$E$11)-LN(MIN(D581,$F$11)), E580-LN(60/$E$11)-LN(MIN(D581,$F$11))), IF(D581&lt;=$A$15, E580+LN($D$11)-LN(60/$E$11)-LN(MIN(D581,$F$11)), E580+LN($D$11)+LN(1-$H$11)-LN(60/$E$11)-LN(MIN(D581,$F$11))))</f>
        <v>-65.539766103324908</v>
      </c>
      <c r="F581" s="1">
        <f t="shared" si="53"/>
        <v>-67.541798912523973</v>
      </c>
      <c r="G581" s="1">
        <f t="shared" si="51"/>
        <v>4.6448258391368611E-30</v>
      </c>
      <c r="H581" s="1">
        <f t="shared" si="48"/>
        <v>4.5592348209546531E-31</v>
      </c>
      <c r="I581">
        <f>IF($F$11&lt;=D581, IF(D581&lt;=$A$15,D581-$F$11,$C$11),0)</f>
        <v>60</v>
      </c>
      <c r="J581">
        <f t="shared" si="49"/>
        <v>494</v>
      </c>
      <c r="K581" s="5">
        <f>IF(D581&lt;$F$11,H581,0)</f>
        <v>0</v>
      </c>
      <c r="L581">
        <f>IF(D581&lt;$A$15,$D$11,$D$11*(1-$H$11))</f>
        <v>85</v>
      </c>
      <c r="M581">
        <f t="shared" si="50"/>
        <v>1</v>
      </c>
      <c r="N581">
        <f>IF(SUM(I581:J581)&lt;=($G$11/60*$F$11/($E$11/60)),1,0)</f>
        <v>0</v>
      </c>
    </row>
    <row r="582" spans="4:14" x14ac:dyDescent="0.2">
      <c r="D582">
        <f t="shared" si="52"/>
        <v>559</v>
      </c>
      <c r="E582" s="1">
        <f>IF($H$11=1,IF(D582&lt;=$A$15, E581+LN($D$11)-LN(60/$E$11)-LN(MIN(D582,$F$11)), E581-LN(60/$E$11)-LN(MIN(D582,$F$11))), IF(D582&lt;=$A$15, E581+LN($D$11)-LN(60/$E$11)-LN(MIN(D582,$F$11)), E581+LN($D$11)+LN(1-$H$11)-LN(60/$E$11)-LN(MIN(D582,$F$11))))</f>
        <v>-65.661463038302429</v>
      </c>
      <c r="F582" s="1">
        <f t="shared" si="53"/>
        <v>-67.663495847501494</v>
      </c>
      <c r="G582" s="1">
        <f t="shared" si="51"/>
        <v>4.1126062117357567E-30</v>
      </c>
      <c r="H582" s="1">
        <f t="shared" si="48"/>
        <v>4.0368224977202601E-31</v>
      </c>
      <c r="I582">
        <f>IF($F$11&lt;=D582, IF(D582&lt;=$A$15,D582-$F$11,$C$11),0)</f>
        <v>60</v>
      </c>
      <c r="J582">
        <f t="shared" si="49"/>
        <v>495</v>
      </c>
      <c r="K582" s="5">
        <f>IF(D582&lt;$F$11,H582,0)</f>
        <v>0</v>
      </c>
      <c r="L582">
        <f>IF(D582&lt;$A$15,$D$11,$D$11*(1-$H$11))</f>
        <v>85</v>
      </c>
      <c r="M582">
        <f t="shared" si="50"/>
        <v>1</v>
      </c>
      <c r="N582">
        <f>IF(SUM(I582:J582)&lt;=($G$11/60*$F$11/($E$11/60)),1,0)</f>
        <v>0</v>
      </c>
    </row>
    <row r="583" spans="4:14" x14ac:dyDescent="0.2">
      <c r="D583">
        <f t="shared" si="52"/>
        <v>560</v>
      </c>
      <c r="E583" s="1">
        <f>IF($H$11=1,IF(D583&lt;=$A$15, E582+LN($D$11)-LN(60/$E$11)-LN(MIN(D583,$F$11)), E582-LN(60/$E$11)-LN(MIN(D583,$F$11))), IF(D583&lt;=$A$15, E582+LN($D$11)-LN(60/$E$11)-LN(MIN(D583,$F$11)), E582+LN($D$11)+LN(1-$H$11)-LN(60/$E$11)-LN(MIN(D583,$F$11))))</f>
        <v>-65.78315997327995</v>
      </c>
      <c r="F583" s="1">
        <f t="shared" si="53"/>
        <v>-67.785192782479015</v>
      </c>
      <c r="G583" s="1">
        <f t="shared" si="51"/>
        <v>3.641370083307696E-30</v>
      </c>
      <c r="H583" s="1">
        <f t="shared" si="48"/>
        <v>3.5742699198564749E-31</v>
      </c>
      <c r="I583">
        <f>IF($F$11&lt;=D583, IF(D583&lt;=$A$15,D583-$F$11,$C$11),0)</f>
        <v>60</v>
      </c>
      <c r="J583">
        <f t="shared" si="49"/>
        <v>496</v>
      </c>
      <c r="K583" s="5">
        <f>IF(D583&lt;$F$11,H583,0)</f>
        <v>0</v>
      </c>
      <c r="L583">
        <f>IF(D583&lt;$A$15,$D$11,$D$11*(1-$H$11))</f>
        <v>85</v>
      </c>
      <c r="M583">
        <f t="shared" si="50"/>
        <v>1</v>
      </c>
      <c r="N583">
        <f>IF(SUM(I583:J583)&lt;=($G$11/60*$F$11/($E$11/60)),1,0)</f>
        <v>0</v>
      </c>
    </row>
    <row r="584" spans="4:14" x14ac:dyDescent="0.2">
      <c r="D584">
        <f t="shared" si="52"/>
        <v>561</v>
      </c>
      <c r="E584" s="1">
        <f>IF($H$11=1,IF(D584&lt;=$A$15, E583+LN($D$11)-LN(60/$E$11)-LN(MIN(D584,$F$11)), E583-LN(60/$E$11)-LN(MIN(D584,$F$11))), IF(D584&lt;=$A$15, E583+LN($D$11)-LN(60/$E$11)-LN(MIN(D584,$F$11)), E583+LN($D$11)+LN(1-$H$11)-LN(60/$E$11)-LN(MIN(D584,$F$11))))</f>
        <v>-65.904856908257472</v>
      </c>
      <c r="F584" s="1">
        <f t="shared" si="53"/>
        <v>-67.906889717456536</v>
      </c>
      <c r="G584" s="1">
        <f t="shared" si="51"/>
        <v>3.2241297612620177E-30</v>
      </c>
      <c r="H584" s="1">
        <f t="shared" si="48"/>
        <v>3.1647181582062494E-31</v>
      </c>
      <c r="I584">
        <f>IF($F$11&lt;=D584, IF(D584&lt;=$A$15,D584-$F$11,$C$11),0)</f>
        <v>60</v>
      </c>
      <c r="J584">
        <f t="shared" si="49"/>
        <v>497</v>
      </c>
      <c r="K584" s="5">
        <f>IF(D584&lt;$F$11,H584,0)</f>
        <v>0</v>
      </c>
      <c r="L584">
        <f>IF(D584&lt;$A$15,$D$11,$D$11*(1-$H$11))</f>
        <v>85</v>
      </c>
      <c r="M584">
        <f t="shared" si="50"/>
        <v>1</v>
      </c>
      <c r="N584">
        <f>IF(SUM(I584:J584)&lt;=($G$11/60*$F$11/($E$11/60)),1,0)</f>
        <v>0</v>
      </c>
    </row>
    <row r="585" spans="4:14" x14ac:dyDescent="0.2">
      <c r="D585">
        <f t="shared" si="52"/>
        <v>562</v>
      </c>
      <c r="E585" s="1">
        <f>IF($H$11=1,IF(D585&lt;=$A$15, E584+LN($D$11)-LN(60/$E$11)-LN(MIN(D585,$F$11)), E584-LN(60/$E$11)-LN(MIN(D585,$F$11))), IF(D585&lt;=$A$15, E584+LN($D$11)-LN(60/$E$11)-LN(MIN(D585,$F$11)), E584+LN($D$11)+LN(1-$H$11)-LN(60/$E$11)-LN(MIN(D585,$F$11))))</f>
        <v>-66.026553843234993</v>
      </c>
      <c r="F585" s="1">
        <f t="shared" si="53"/>
        <v>-68.028586652434058</v>
      </c>
      <c r="G585" s="1">
        <f t="shared" si="51"/>
        <v>2.8546982261174076E-30</v>
      </c>
      <c r="H585" s="1">
        <f t="shared" si="48"/>
        <v>2.8020942025784461E-31</v>
      </c>
      <c r="I585">
        <f>IF($F$11&lt;=D585, IF(D585&lt;=$A$15,D585-$F$11,$C$11),0)</f>
        <v>60</v>
      </c>
      <c r="J585">
        <f t="shared" si="49"/>
        <v>498</v>
      </c>
      <c r="K585" s="5">
        <f>IF(D585&lt;$F$11,H585,0)</f>
        <v>0</v>
      </c>
      <c r="L585">
        <f>IF(D585&lt;$A$15,$D$11,$D$11*(1-$H$11))</f>
        <v>85</v>
      </c>
      <c r="M585">
        <f t="shared" si="50"/>
        <v>1</v>
      </c>
      <c r="N585">
        <f>IF(SUM(I585:J585)&lt;=($G$11/60*$F$11/($E$11/60)),1,0)</f>
        <v>0</v>
      </c>
    </row>
    <row r="586" spans="4:14" x14ac:dyDescent="0.2">
      <c r="D586">
        <f t="shared" si="52"/>
        <v>563</v>
      </c>
      <c r="E586" s="1">
        <f>IF($H$11=1,IF(D586&lt;=$A$15, E585+LN($D$11)-LN(60/$E$11)-LN(MIN(D586,$F$11)), E585-LN(60/$E$11)-LN(MIN(D586,$F$11))), IF(D586&lt;=$A$15, E585+LN($D$11)-LN(60/$E$11)-LN(MIN(D586,$F$11)), E585+LN($D$11)+LN(1-$H$11)-LN(60/$E$11)-LN(MIN(D586,$F$11))))</f>
        <v>-66.148250778212514</v>
      </c>
      <c r="F586" s="1">
        <f t="shared" si="53"/>
        <v>-68.150283587411579</v>
      </c>
      <c r="G586" s="1">
        <f t="shared" si="51"/>
        <v>2.5275973877081177E-30</v>
      </c>
      <c r="H586" s="1">
        <f t="shared" si="48"/>
        <v>2.4810209085329957E-31</v>
      </c>
      <c r="I586">
        <f>IF($F$11&lt;=D586, IF(D586&lt;=$A$15,D586-$F$11,$C$11),0)</f>
        <v>60</v>
      </c>
      <c r="J586">
        <f t="shared" si="49"/>
        <v>499</v>
      </c>
      <c r="K586" s="5">
        <f>IF(D586&lt;$F$11,H586,0)</f>
        <v>0</v>
      </c>
      <c r="L586">
        <f>IF(D586&lt;$A$15,$D$11,$D$11*(1-$H$11))</f>
        <v>85</v>
      </c>
      <c r="M586">
        <f t="shared" si="50"/>
        <v>1</v>
      </c>
      <c r="N586">
        <f>IF(SUM(I586:J586)&lt;=($G$11/60*$F$11/($E$11/60)),1,0)</f>
        <v>0</v>
      </c>
    </row>
    <row r="587" spans="4:14" x14ac:dyDescent="0.2">
      <c r="D587">
        <f t="shared" si="52"/>
        <v>564</v>
      </c>
      <c r="E587" s="1">
        <f>IF($H$11=1,IF(D587&lt;=$A$15, E586+LN($D$11)-LN(60/$E$11)-LN(MIN(D587,$F$11)), E586-LN(60/$E$11)-LN(MIN(D587,$F$11))), IF(D587&lt;=$A$15, E586+LN($D$11)-LN(60/$E$11)-LN(MIN(D587,$F$11)), E586+LN($D$11)+LN(1-$H$11)-LN(60/$E$11)-LN(MIN(D587,$F$11))))</f>
        <v>-66.269947713190035</v>
      </c>
      <c r="F587" s="1">
        <f t="shared" si="53"/>
        <v>-68.2719805223891</v>
      </c>
      <c r="G587" s="1">
        <f t="shared" si="51"/>
        <v>2.2379768536998928E-30</v>
      </c>
      <c r="H587" s="1">
        <f t="shared" si="48"/>
        <v>2.1967372627635867E-31</v>
      </c>
      <c r="I587">
        <f>IF($F$11&lt;=D587, IF(D587&lt;=$A$15,D587-$F$11,$C$11),0)</f>
        <v>60</v>
      </c>
      <c r="J587">
        <f t="shared" si="49"/>
        <v>500</v>
      </c>
      <c r="K587" s="5">
        <f>IF(D587&lt;$F$11,H587,0)</f>
        <v>0</v>
      </c>
      <c r="L587">
        <f>IF(D587&lt;$A$15,$D$11,$D$11*(1-$H$11))</f>
        <v>85</v>
      </c>
      <c r="M587">
        <f t="shared" si="50"/>
        <v>1</v>
      </c>
      <c r="N587">
        <f>IF(SUM(I587:J587)&lt;=($G$11/60*$F$11/($E$11/60)),1,0)</f>
        <v>0</v>
      </c>
    </row>
    <row r="588" spans="4:14" x14ac:dyDescent="0.2">
      <c r="D588">
        <f t="shared" si="52"/>
        <v>565</v>
      </c>
      <c r="E588" s="1">
        <f>IF($H$11=1,IF(D588&lt;=$A$15, E587+LN($D$11)-LN(60/$E$11)-LN(MIN(D588,$F$11)), E587-LN(60/$E$11)-LN(MIN(D588,$F$11))), IF(D588&lt;=$A$15, E587+LN($D$11)-LN(60/$E$11)-LN(MIN(D588,$F$11)), E587+LN($D$11)+LN(1-$H$11)-LN(60/$E$11)-LN(MIN(D588,$F$11))))</f>
        <v>-66.391644648167556</v>
      </c>
      <c r="F588" s="1">
        <f t="shared" si="53"/>
        <v>-68.393677457366621</v>
      </c>
      <c r="G588" s="1">
        <f t="shared" si="51"/>
        <v>1.9815420058801106E-30</v>
      </c>
      <c r="H588" s="1">
        <f t="shared" si="48"/>
        <v>1.9450277847385897E-31</v>
      </c>
      <c r="I588">
        <f>IF($F$11&lt;=D588, IF(D588&lt;=$A$15,D588-$F$11,$C$11),0)</f>
        <v>60</v>
      </c>
      <c r="J588">
        <f t="shared" si="49"/>
        <v>501</v>
      </c>
      <c r="K588" s="5">
        <f>IF(D588&lt;$F$11,H588,0)</f>
        <v>0</v>
      </c>
      <c r="L588">
        <f>IF(D588&lt;$A$15,$D$11,$D$11*(1-$H$11))</f>
        <v>85</v>
      </c>
      <c r="M588">
        <f t="shared" si="50"/>
        <v>1</v>
      </c>
      <c r="N588">
        <f>IF(SUM(I588:J588)&lt;=($G$11/60*$F$11/($E$11/60)),1,0)</f>
        <v>0</v>
      </c>
    </row>
    <row r="589" spans="4:14" x14ac:dyDescent="0.2">
      <c r="D589">
        <f t="shared" si="52"/>
        <v>566</v>
      </c>
      <c r="E589" s="1">
        <f>IF($H$11=1,IF(D589&lt;=$A$15, E588+LN($D$11)-LN(60/$E$11)-LN(MIN(D589,$F$11)), E588-LN(60/$E$11)-LN(MIN(D589,$F$11))), IF(D589&lt;=$A$15, E588+LN($D$11)-LN(60/$E$11)-LN(MIN(D589,$F$11)), E588+LN($D$11)+LN(1-$H$11)-LN(60/$E$11)-LN(MIN(D589,$F$11))))</f>
        <v>-66.513341583145078</v>
      </c>
      <c r="F589" s="1">
        <f t="shared" si="53"/>
        <v>-68.515374392344143</v>
      </c>
      <c r="G589" s="1">
        <f t="shared" si="51"/>
        <v>1.7544903177063454E-30</v>
      </c>
      <c r="H589" s="1">
        <f t="shared" si="48"/>
        <v>1.7221600177372905E-31</v>
      </c>
      <c r="I589">
        <f>IF($F$11&lt;=D589, IF(D589&lt;=$A$15,D589-$F$11,$C$11),0)</f>
        <v>60</v>
      </c>
      <c r="J589">
        <f t="shared" si="49"/>
        <v>502</v>
      </c>
      <c r="K589" s="5">
        <f>IF(D589&lt;$F$11,H589,0)</f>
        <v>0</v>
      </c>
      <c r="L589">
        <f>IF(D589&lt;$A$15,$D$11,$D$11*(1-$H$11))</f>
        <v>85</v>
      </c>
      <c r="M589">
        <f t="shared" si="50"/>
        <v>1</v>
      </c>
      <c r="N589">
        <f>IF(SUM(I589:J589)&lt;=($G$11/60*$F$11/($E$11/60)),1,0)</f>
        <v>0</v>
      </c>
    </row>
    <row r="590" spans="4:14" x14ac:dyDescent="0.2">
      <c r="D590">
        <f t="shared" si="52"/>
        <v>567</v>
      </c>
      <c r="E590" s="1">
        <f>IF($H$11=1,IF(D590&lt;=$A$15, E589+LN($D$11)-LN(60/$E$11)-LN(MIN(D590,$F$11)), E589-LN(60/$E$11)-LN(MIN(D590,$F$11))), IF(D590&lt;=$A$15, E589+LN($D$11)-LN(60/$E$11)-LN(MIN(D590,$F$11)), E589+LN($D$11)+LN(1-$H$11)-LN(60/$E$11)-LN(MIN(D590,$F$11))))</f>
        <v>-66.635038518122599</v>
      </c>
      <c r="F590" s="1">
        <f t="shared" si="53"/>
        <v>-68.637071327321664</v>
      </c>
      <c r="G590" s="1">
        <f t="shared" si="51"/>
        <v>1.5534549688024911E-30</v>
      </c>
      <c r="H590" s="1">
        <f t="shared" si="48"/>
        <v>1.524829182371557E-31</v>
      </c>
      <c r="I590">
        <f>IF($F$11&lt;=D590, IF(D590&lt;=$A$15,D590-$F$11,$C$11),0)</f>
        <v>60</v>
      </c>
      <c r="J590">
        <f t="shared" si="49"/>
        <v>503</v>
      </c>
      <c r="K590" s="5">
        <f>IF(D590&lt;$F$11,H590,0)</f>
        <v>0</v>
      </c>
      <c r="L590">
        <f>IF(D590&lt;$A$15,$D$11,$D$11*(1-$H$11))</f>
        <v>85</v>
      </c>
      <c r="M590">
        <f t="shared" si="50"/>
        <v>1</v>
      </c>
      <c r="N590">
        <f>IF(SUM(I590:J590)&lt;=($G$11/60*$F$11/($E$11/60)),1,0)</f>
        <v>0</v>
      </c>
    </row>
    <row r="591" spans="4:14" x14ac:dyDescent="0.2">
      <c r="D591">
        <f t="shared" si="52"/>
        <v>568</v>
      </c>
      <c r="E591" s="1">
        <f>IF($H$11=1,IF(D591&lt;=$A$15, E590+LN($D$11)-LN(60/$E$11)-LN(MIN(D591,$F$11)), E590-LN(60/$E$11)-LN(MIN(D591,$F$11))), IF(D591&lt;=$A$15, E590+LN($D$11)-LN(60/$E$11)-LN(MIN(D591,$F$11)), E590+LN($D$11)+LN(1-$H$11)-LN(60/$E$11)-LN(MIN(D591,$F$11))))</f>
        <v>-66.75673545310012</v>
      </c>
      <c r="F591" s="1">
        <f t="shared" si="53"/>
        <v>-68.758768262299185</v>
      </c>
      <c r="G591" s="1">
        <f t="shared" si="51"/>
        <v>1.3754549202938702E-30</v>
      </c>
      <c r="H591" s="1">
        <f t="shared" si="48"/>
        <v>1.3501091718914809E-31</v>
      </c>
      <c r="I591">
        <f>IF($F$11&lt;=D591, IF(D591&lt;=$A$15,D591-$F$11,$C$11),0)</f>
        <v>60</v>
      </c>
      <c r="J591">
        <f t="shared" si="49"/>
        <v>504</v>
      </c>
      <c r="K591" s="5">
        <f>IF(D591&lt;$F$11,H591,0)</f>
        <v>0</v>
      </c>
      <c r="L591">
        <f>IF(D591&lt;$A$15,$D$11,$D$11*(1-$H$11))</f>
        <v>85</v>
      </c>
      <c r="M591">
        <f t="shared" si="50"/>
        <v>1</v>
      </c>
      <c r="N591">
        <f>IF(SUM(I591:J591)&lt;=($G$11/60*$F$11/($E$11/60)),1,0)</f>
        <v>0</v>
      </c>
    </row>
    <row r="592" spans="4:14" x14ac:dyDescent="0.2">
      <c r="D592">
        <f t="shared" si="52"/>
        <v>569</v>
      </c>
      <c r="E592" s="1">
        <f>IF($H$11=1,IF(D592&lt;=$A$15, E591+LN($D$11)-LN(60/$E$11)-LN(MIN(D592,$F$11)), E591-LN(60/$E$11)-LN(MIN(D592,$F$11))), IF(D592&lt;=$A$15, E591+LN($D$11)-LN(60/$E$11)-LN(MIN(D592,$F$11)), E591+LN($D$11)+LN(1-$H$11)-LN(60/$E$11)-LN(MIN(D592,$F$11))))</f>
        <v>-66.878432388077641</v>
      </c>
      <c r="F592" s="1">
        <f t="shared" si="53"/>
        <v>-68.880465197276706</v>
      </c>
      <c r="G592" s="1">
        <f t="shared" si="51"/>
        <v>1.2178507106768627E-30</v>
      </c>
      <c r="H592" s="1">
        <f t="shared" si="48"/>
        <v>1.195409162612247E-31</v>
      </c>
      <c r="I592">
        <f>IF($F$11&lt;=D592, IF(D592&lt;=$A$15,D592-$F$11,$C$11),0)</f>
        <v>60</v>
      </c>
      <c r="J592">
        <f t="shared" si="49"/>
        <v>505</v>
      </c>
      <c r="K592" s="5">
        <f>IF(D592&lt;$F$11,H592,0)</f>
        <v>0</v>
      </c>
      <c r="L592">
        <f>IF(D592&lt;$A$15,$D$11,$D$11*(1-$H$11))</f>
        <v>85</v>
      </c>
      <c r="M592">
        <f t="shared" si="50"/>
        <v>1</v>
      </c>
      <c r="N592">
        <f>IF(SUM(I592:J592)&lt;=($G$11/60*$F$11/($E$11/60)),1,0)</f>
        <v>0</v>
      </c>
    </row>
    <row r="593" spans="4:14" x14ac:dyDescent="0.2">
      <c r="D593">
        <f t="shared" si="52"/>
        <v>570</v>
      </c>
      <c r="E593" s="1">
        <f>IF($H$11=1,IF(D593&lt;=$A$15, E592+LN($D$11)-LN(60/$E$11)-LN(MIN(D593,$F$11)), E592-LN(60/$E$11)-LN(MIN(D593,$F$11))), IF(D593&lt;=$A$15, E592+LN($D$11)-LN(60/$E$11)-LN(MIN(D593,$F$11)), E592+LN($D$11)+LN(1-$H$11)-LN(60/$E$11)-LN(MIN(D593,$F$11))))</f>
        <v>-67.000129323055162</v>
      </c>
      <c r="F593" s="1">
        <f t="shared" si="53"/>
        <v>-69.002162132254227</v>
      </c>
      <c r="G593" s="1">
        <f t="shared" si="51"/>
        <v>1.0783053167451372E-30</v>
      </c>
      <c r="H593" s="1">
        <f t="shared" si="48"/>
        <v>1.0584351960629255E-31</v>
      </c>
      <c r="I593">
        <f>IF($F$11&lt;=D593, IF(D593&lt;=$A$15,D593-$F$11,$C$11),0)</f>
        <v>60</v>
      </c>
      <c r="J593">
        <f t="shared" si="49"/>
        <v>506</v>
      </c>
      <c r="K593" s="5">
        <f>IF(D593&lt;$F$11,H593,0)</f>
        <v>0</v>
      </c>
      <c r="L593">
        <f>IF(D593&lt;$A$15,$D$11,$D$11*(1-$H$11))</f>
        <v>85</v>
      </c>
      <c r="M593">
        <f t="shared" si="50"/>
        <v>1</v>
      </c>
      <c r="N593">
        <f>IF(SUM(I593:J593)&lt;=($G$11/60*$F$11/($E$11/60)),1,0)</f>
        <v>0</v>
      </c>
    </row>
    <row r="594" spans="4:14" x14ac:dyDescent="0.2">
      <c r="D594">
        <f t="shared" si="52"/>
        <v>571</v>
      </c>
      <c r="E594" s="1">
        <f>IF($H$11=1,IF(D594&lt;=$A$15, E593+LN($D$11)-LN(60/$E$11)-LN(MIN(D594,$F$11)), E593-LN(60/$E$11)-LN(MIN(D594,$F$11))), IF(D594&lt;=$A$15, E593+LN($D$11)-LN(60/$E$11)-LN(MIN(D594,$F$11)), E593+LN($D$11)+LN(1-$H$11)-LN(60/$E$11)-LN(MIN(D594,$F$11))))</f>
        <v>-67.121826258032684</v>
      </c>
      <c r="F594" s="1">
        <f t="shared" si="53"/>
        <v>-69.123859067231749</v>
      </c>
      <c r="G594" s="1">
        <f t="shared" si="51"/>
        <v>9.5474949920142219E-31</v>
      </c>
      <c r="H594" s="1">
        <f t="shared" si="48"/>
        <v>9.3715616318071387E-32</v>
      </c>
      <c r="I594">
        <f>IF($F$11&lt;=D594, IF(D594&lt;=$A$15,D594-$F$11,$C$11),0)</f>
        <v>60</v>
      </c>
      <c r="J594">
        <f t="shared" si="49"/>
        <v>507</v>
      </c>
      <c r="K594" s="5">
        <f>IF(D594&lt;$F$11,H594,0)</f>
        <v>0</v>
      </c>
      <c r="L594">
        <f>IF(D594&lt;$A$15,$D$11,$D$11*(1-$H$11))</f>
        <v>85</v>
      </c>
      <c r="M594">
        <f t="shared" si="50"/>
        <v>1</v>
      </c>
      <c r="N594">
        <f>IF(SUM(I594:J594)&lt;=($G$11/60*$F$11/($E$11/60)),1,0)</f>
        <v>0</v>
      </c>
    </row>
    <row r="595" spans="4:14" x14ac:dyDescent="0.2">
      <c r="D595">
        <f t="shared" si="52"/>
        <v>572</v>
      </c>
      <c r="E595" s="1">
        <f>IF($H$11=1,IF(D595&lt;=$A$15, E594+LN($D$11)-LN(60/$E$11)-LN(MIN(D595,$F$11)), E594-LN(60/$E$11)-LN(MIN(D595,$F$11))), IF(D595&lt;=$A$15, E594+LN($D$11)-LN(60/$E$11)-LN(MIN(D595,$F$11)), E594+LN($D$11)+LN(1-$H$11)-LN(60/$E$11)-LN(MIN(D595,$F$11))))</f>
        <v>-67.243523193010205</v>
      </c>
      <c r="F595" s="1">
        <f t="shared" si="53"/>
        <v>-69.24555600220927</v>
      </c>
      <c r="G595" s="1">
        <f t="shared" si="51"/>
        <v>8.4535111908459143E-31</v>
      </c>
      <c r="H595" s="1">
        <f t="shared" si="48"/>
        <v>8.297736861495893E-32</v>
      </c>
      <c r="I595">
        <f>IF($F$11&lt;=D595, IF(D595&lt;=$A$15,D595-$F$11,$C$11),0)</f>
        <v>60</v>
      </c>
      <c r="J595">
        <f t="shared" si="49"/>
        <v>508</v>
      </c>
      <c r="K595" s="5">
        <f>IF(D595&lt;$F$11,H595,0)</f>
        <v>0</v>
      </c>
      <c r="L595">
        <f>IF(D595&lt;$A$15,$D$11,$D$11*(1-$H$11))</f>
        <v>85</v>
      </c>
      <c r="M595">
        <f t="shared" si="50"/>
        <v>1</v>
      </c>
      <c r="N595">
        <f>IF(SUM(I595:J595)&lt;=($G$11/60*$F$11/($E$11/60)),1,0)</f>
        <v>0</v>
      </c>
    </row>
    <row r="596" spans="4:14" x14ac:dyDescent="0.2">
      <c r="D596">
        <f t="shared" si="52"/>
        <v>573</v>
      </c>
      <c r="E596" s="1">
        <f>IF($H$11=1,IF(D596&lt;=$A$15, E595+LN($D$11)-LN(60/$E$11)-LN(MIN(D596,$F$11)), E595-LN(60/$E$11)-LN(MIN(D596,$F$11))), IF(D596&lt;=$A$15, E595+LN($D$11)-LN(60/$E$11)-LN(MIN(D596,$F$11)), E595+LN($D$11)+LN(1-$H$11)-LN(60/$E$11)-LN(MIN(D596,$F$11))))</f>
        <v>-67.365220127987726</v>
      </c>
      <c r="F596" s="1">
        <f t="shared" si="53"/>
        <v>-69.367252937186791</v>
      </c>
      <c r="G596" s="1">
        <f t="shared" si="51"/>
        <v>7.4848797002281421E-31</v>
      </c>
      <c r="H596" s="1">
        <f t="shared" si="48"/>
        <v>7.3469545127828118E-32</v>
      </c>
      <c r="I596">
        <f>IF($F$11&lt;=D596, IF(D596&lt;=$A$15,D596-$F$11,$C$11),0)</f>
        <v>60</v>
      </c>
      <c r="J596">
        <f t="shared" si="49"/>
        <v>509</v>
      </c>
      <c r="K596" s="5">
        <f>IF(D596&lt;$F$11,H596,0)</f>
        <v>0</v>
      </c>
      <c r="L596">
        <f>IF(D596&lt;$A$15,$D$11,$D$11*(1-$H$11))</f>
        <v>85</v>
      </c>
      <c r="M596">
        <f t="shared" si="50"/>
        <v>1</v>
      </c>
      <c r="N596">
        <f>IF(SUM(I596:J596)&lt;=($G$11/60*$F$11/($E$11/60)),1,0)</f>
        <v>0</v>
      </c>
    </row>
    <row r="597" spans="4:14" x14ac:dyDescent="0.2">
      <c r="D597">
        <f t="shared" si="52"/>
        <v>574</v>
      </c>
      <c r="E597" s="1">
        <f>IF($H$11=1,IF(D597&lt;=$A$15, E596+LN($D$11)-LN(60/$E$11)-LN(MIN(D597,$F$11)), E596-LN(60/$E$11)-LN(MIN(D597,$F$11))), IF(D597&lt;=$A$15, E596+LN($D$11)-LN(60/$E$11)-LN(MIN(D597,$F$11)), E596+LN($D$11)+LN(1-$H$11)-LN(60/$E$11)-LN(MIN(D597,$F$11))))</f>
        <v>-67.486917062965247</v>
      </c>
      <c r="F597" s="1">
        <f t="shared" si="53"/>
        <v>-69.488949872164312</v>
      </c>
      <c r="G597" s="1">
        <f t="shared" si="51"/>
        <v>6.6272372345769916E-31</v>
      </c>
      <c r="H597" s="1">
        <f t="shared" si="48"/>
        <v>6.5051159748597721E-32</v>
      </c>
      <c r="I597">
        <f>IF($F$11&lt;=D597, IF(D597&lt;=$A$15,D597-$F$11,$C$11),0)</f>
        <v>60</v>
      </c>
      <c r="J597">
        <f t="shared" si="49"/>
        <v>510</v>
      </c>
      <c r="K597" s="5">
        <f>IF(D597&lt;$F$11,H597,0)</f>
        <v>0</v>
      </c>
      <c r="L597">
        <f>IF(D597&lt;$A$15,$D$11,$D$11*(1-$H$11))</f>
        <v>85</v>
      </c>
      <c r="M597">
        <f t="shared" si="50"/>
        <v>1</v>
      </c>
      <c r="N597">
        <f>IF(SUM(I597:J597)&lt;=($G$11/60*$F$11/($E$11/60)),1,0)</f>
        <v>0</v>
      </c>
    </row>
    <row r="598" spans="4:14" x14ac:dyDescent="0.2">
      <c r="D598">
        <f t="shared" si="52"/>
        <v>575</v>
      </c>
      <c r="E598" s="1">
        <f>IF($H$11=1,IF(D598&lt;=$A$15, E597+LN($D$11)-LN(60/$E$11)-LN(MIN(D598,$F$11)), E597-LN(60/$E$11)-LN(MIN(D598,$F$11))), IF(D598&lt;=$A$15, E597+LN($D$11)-LN(60/$E$11)-LN(MIN(D598,$F$11)), E597+LN($D$11)+LN(1-$H$11)-LN(60/$E$11)-LN(MIN(D598,$F$11))))</f>
        <v>-67.608613997942768</v>
      </c>
      <c r="F598" s="1">
        <f t="shared" si="53"/>
        <v>-69.610646807141833</v>
      </c>
      <c r="G598" s="1">
        <f t="shared" si="51"/>
        <v>5.8678663014483696E-31</v>
      </c>
      <c r="H598" s="1">
        <f t="shared" si="48"/>
        <v>5.7597381027404144E-32</v>
      </c>
      <c r="I598">
        <f>IF($F$11&lt;=D598, IF(D598&lt;=$A$15,D598-$F$11,$C$11),0)</f>
        <v>60</v>
      </c>
      <c r="J598">
        <f t="shared" si="49"/>
        <v>511</v>
      </c>
      <c r="K598" s="5">
        <f>IF(D598&lt;$F$11,H598,0)</f>
        <v>0</v>
      </c>
      <c r="L598">
        <f>IF(D598&lt;$A$15,$D$11,$D$11*(1-$H$11))</f>
        <v>85</v>
      </c>
      <c r="M598">
        <f t="shared" si="50"/>
        <v>1</v>
      </c>
      <c r="N598">
        <f>IF(SUM(I598:J598)&lt;=($G$11/60*$F$11/($E$11/60)),1,0)</f>
        <v>0</v>
      </c>
    </row>
    <row r="599" spans="4:14" x14ac:dyDescent="0.2">
      <c r="D599">
        <f t="shared" si="52"/>
        <v>576</v>
      </c>
      <c r="E599" s="1">
        <f>IF($H$11=1,IF(D599&lt;=$A$15, E598+LN($D$11)-LN(60/$E$11)-LN(MIN(D599,$F$11)), E598-LN(60/$E$11)-LN(MIN(D599,$F$11))), IF(D599&lt;=$A$15, E598+LN($D$11)-LN(60/$E$11)-LN(MIN(D599,$F$11)), E598+LN($D$11)+LN(1-$H$11)-LN(60/$E$11)-LN(MIN(D599,$F$11))))</f>
        <v>-67.73031093292029</v>
      </c>
      <c r="F599" s="1">
        <f t="shared" si="53"/>
        <v>-69.732343742119355</v>
      </c>
      <c r="G599" s="1">
        <f t="shared" si="51"/>
        <v>5.1955066210740697E-31</v>
      </c>
      <c r="H599" s="1">
        <f t="shared" ref="H599:H662" si="54">G599/$G$21</f>
        <v>5.0997681118014013E-32</v>
      </c>
      <c r="I599">
        <f>IF($F$11&lt;=D599, IF(D599&lt;=$A$15,D599-$F$11,$C$11),0)</f>
        <v>60</v>
      </c>
      <c r="J599">
        <f t="shared" ref="J599:J662" si="55">IF(D599&lt;=$A$15,0,D599-$A$15)</f>
        <v>512</v>
      </c>
      <c r="K599" s="5">
        <f>IF(D599&lt;$F$11,H599,0)</f>
        <v>0</v>
      </c>
      <c r="L599">
        <f>IF(D599&lt;$A$15,$D$11,$D$11*(1-$H$11))</f>
        <v>85</v>
      </c>
      <c r="M599">
        <f t="shared" ref="M599:M662" si="56">IF(D599&lt;$A$15,0,1)</f>
        <v>1</v>
      </c>
      <c r="N599">
        <f>IF(SUM(I599:J599)&lt;=($G$11/60*$F$11/($E$11/60)),1,0)</f>
        <v>0</v>
      </c>
    </row>
    <row r="600" spans="4:14" x14ac:dyDescent="0.2">
      <c r="D600">
        <f t="shared" si="52"/>
        <v>577</v>
      </c>
      <c r="E600" s="1">
        <f>IF($H$11=1,IF(D600&lt;=$A$15, E599+LN($D$11)-LN(60/$E$11)-LN(MIN(D600,$F$11)), E599-LN(60/$E$11)-LN(MIN(D600,$F$11))), IF(D600&lt;=$A$15, E599+LN($D$11)-LN(60/$E$11)-LN(MIN(D600,$F$11)), E599+LN($D$11)+LN(1-$H$11)-LN(60/$E$11)-LN(MIN(D600,$F$11))))</f>
        <v>-67.852007867897811</v>
      </c>
      <c r="F600" s="1">
        <f t="shared" si="53"/>
        <v>-69.854040677096876</v>
      </c>
      <c r="G600" s="1">
        <f t="shared" ref="G600:G663" si="57">EXP(F600)</f>
        <v>4.6001881540759923E-31</v>
      </c>
      <c r="H600" s="1">
        <f t="shared" si="54"/>
        <v>4.5154196823241509E-32</v>
      </c>
      <c r="I600">
        <f>IF($F$11&lt;=D600, IF(D600&lt;=$A$15,D600-$F$11,$C$11),0)</f>
        <v>60</v>
      </c>
      <c r="J600">
        <f t="shared" si="55"/>
        <v>513</v>
      </c>
      <c r="K600" s="5">
        <f>IF(D600&lt;$F$11,H600,0)</f>
        <v>0</v>
      </c>
      <c r="L600">
        <f>IF(D600&lt;$A$15,$D$11,$D$11*(1-$H$11))</f>
        <v>85</v>
      </c>
      <c r="M600">
        <f t="shared" si="56"/>
        <v>1</v>
      </c>
      <c r="N600">
        <f>IF(SUM(I600:J600)&lt;=($G$11/60*$F$11/($E$11/60)),1,0)</f>
        <v>0</v>
      </c>
    </row>
    <row r="601" spans="4:14" x14ac:dyDescent="0.2">
      <c r="D601">
        <f t="shared" ref="D601:D664" si="58">1+D600</f>
        <v>578</v>
      </c>
      <c r="E601" s="1">
        <f>IF($H$11=1,IF(D601&lt;=$A$15, E600+LN($D$11)-LN(60/$E$11)-LN(MIN(D601,$F$11)), E600-LN(60/$E$11)-LN(MIN(D601,$F$11))), IF(D601&lt;=$A$15, E600+LN($D$11)-LN(60/$E$11)-LN(MIN(D601,$F$11)), E600+LN($D$11)+LN(1-$H$11)-LN(60/$E$11)-LN(MIN(D601,$F$11))))</f>
        <v>-67.973704802875332</v>
      </c>
      <c r="F601" s="1">
        <f t="shared" ref="F601:F664" si="59">E601-$E$21</f>
        <v>-69.975737612074397</v>
      </c>
      <c r="G601" s="1">
        <f t="shared" si="57"/>
        <v>4.0730832614214461E-31</v>
      </c>
      <c r="H601" s="1">
        <f t="shared" si="54"/>
        <v>3.9980278437245033E-32</v>
      </c>
      <c r="I601">
        <f>IF($F$11&lt;=D601, IF(D601&lt;=$A$15,D601-$F$11,$C$11),0)</f>
        <v>60</v>
      </c>
      <c r="J601">
        <f t="shared" si="55"/>
        <v>514</v>
      </c>
      <c r="K601" s="5">
        <f>IF(D601&lt;$F$11,H601,0)</f>
        <v>0</v>
      </c>
      <c r="L601">
        <f>IF(D601&lt;$A$15,$D$11,$D$11*(1-$H$11))</f>
        <v>85</v>
      </c>
      <c r="M601">
        <f t="shared" si="56"/>
        <v>1</v>
      </c>
      <c r="N601">
        <f>IF(SUM(I601:J601)&lt;=($G$11/60*$F$11/($E$11/60)),1,0)</f>
        <v>0</v>
      </c>
    </row>
    <row r="602" spans="4:14" x14ac:dyDescent="0.2">
      <c r="D602">
        <f t="shared" si="58"/>
        <v>579</v>
      </c>
      <c r="E602" s="1">
        <f>IF($H$11=1,IF(D602&lt;=$A$15, E601+LN($D$11)-LN(60/$E$11)-LN(MIN(D602,$F$11)), E601-LN(60/$E$11)-LN(MIN(D602,$F$11))), IF(D602&lt;=$A$15, E601+LN($D$11)-LN(60/$E$11)-LN(MIN(D602,$F$11)), E601+LN($D$11)+LN(1-$H$11)-LN(60/$E$11)-LN(MIN(D602,$F$11))))</f>
        <v>-68.095401737852853</v>
      </c>
      <c r="F602" s="1">
        <f t="shared" si="59"/>
        <v>-70.097434547051918</v>
      </c>
      <c r="G602" s="1">
        <f t="shared" si="57"/>
        <v>3.6063758043835671E-31</v>
      </c>
      <c r="H602" s="1">
        <f t="shared" si="54"/>
        <v>3.5399204866310655E-32</v>
      </c>
      <c r="I602">
        <f>IF($F$11&lt;=D602, IF(D602&lt;=$A$15,D602-$F$11,$C$11),0)</f>
        <v>60</v>
      </c>
      <c r="J602">
        <f t="shared" si="55"/>
        <v>515</v>
      </c>
      <c r="K602" s="5">
        <f>IF(D602&lt;$F$11,H602,0)</f>
        <v>0</v>
      </c>
      <c r="L602">
        <f>IF(D602&lt;$A$15,$D$11,$D$11*(1-$H$11))</f>
        <v>85</v>
      </c>
      <c r="M602">
        <f t="shared" si="56"/>
        <v>1</v>
      </c>
      <c r="N602">
        <f>IF(SUM(I602:J602)&lt;=($G$11/60*$F$11/($E$11/60)),1,0)</f>
        <v>0</v>
      </c>
    </row>
    <row r="603" spans="4:14" x14ac:dyDescent="0.2">
      <c r="D603">
        <f t="shared" si="58"/>
        <v>580</v>
      </c>
      <c r="E603" s="1">
        <f>IF($H$11=1,IF(D603&lt;=$A$15, E602+LN($D$11)-LN(60/$E$11)-LN(MIN(D603,$F$11)), E602-LN(60/$E$11)-LN(MIN(D603,$F$11))), IF(D603&lt;=$A$15, E602+LN($D$11)-LN(60/$E$11)-LN(MIN(D603,$F$11)), E602+LN($D$11)+LN(1-$H$11)-LN(60/$E$11)-LN(MIN(D603,$F$11))))</f>
        <v>-68.217098672830375</v>
      </c>
      <c r="F603" s="1">
        <f t="shared" si="59"/>
        <v>-70.219131482029439</v>
      </c>
      <c r="G603" s="1">
        <f t="shared" si="57"/>
        <v>3.1931452434646121E-31</v>
      </c>
      <c r="H603" s="1">
        <f t="shared" si="54"/>
        <v>3.1343045975379181E-32</v>
      </c>
      <c r="I603">
        <f>IF($F$11&lt;=D603, IF(D603&lt;=$A$15,D603-$F$11,$C$11),0)</f>
        <v>60</v>
      </c>
      <c r="J603">
        <f t="shared" si="55"/>
        <v>516</v>
      </c>
      <c r="K603" s="5">
        <f>IF(D603&lt;$F$11,H603,0)</f>
        <v>0</v>
      </c>
      <c r="L603">
        <f>IF(D603&lt;$A$15,$D$11,$D$11*(1-$H$11))</f>
        <v>85</v>
      </c>
      <c r="M603">
        <f t="shared" si="56"/>
        <v>1</v>
      </c>
      <c r="N603">
        <f>IF(SUM(I603:J603)&lt;=($G$11/60*$F$11/($E$11/60)),1,0)</f>
        <v>0</v>
      </c>
    </row>
    <row r="604" spans="4:14" x14ac:dyDescent="0.2">
      <c r="D604">
        <f t="shared" si="58"/>
        <v>581</v>
      </c>
      <c r="E604" s="1">
        <f>IF($H$11=1,IF(D604&lt;=$A$15, E603+LN($D$11)-LN(60/$E$11)-LN(MIN(D604,$F$11)), E603-LN(60/$E$11)-LN(MIN(D604,$F$11))), IF(D604&lt;=$A$15, E603+LN($D$11)-LN(60/$E$11)-LN(MIN(D604,$F$11)), E603+LN($D$11)+LN(1-$H$11)-LN(60/$E$11)-LN(MIN(D604,$F$11))))</f>
        <v>-68.338795607807896</v>
      </c>
      <c r="F604" s="1">
        <f t="shared" si="59"/>
        <v>-70.340828417006961</v>
      </c>
      <c r="G604" s="1">
        <f t="shared" si="57"/>
        <v>2.8272640176509544E-31</v>
      </c>
      <c r="H604" s="1">
        <f t="shared" si="54"/>
        <v>2.7751655290700273E-32</v>
      </c>
      <c r="I604">
        <f>IF($F$11&lt;=D604, IF(D604&lt;=$A$15,D604-$F$11,$C$11),0)</f>
        <v>60</v>
      </c>
      <c r="J604">
        <f t="shared" si="55"/>
        <v>517</v>
      </c>
      <c r="K604" s="5">
        <f>IF(D604&lt;$F$11,H604,0)</f>
        <v>0</v>
      </c>
      <c r="L604">
        <f>IF(D604&lt;$A$15,$D$11,$D$11*(1-$H$11))</f>
        <v>85</v>
      </c>
      <c r="M604">
        <f t="shared" si="56"/>
        <v>1</v>
      </c>
      <c r="N604">
        <f>IF(SUM(I604:J604)&lt;=($G$11/60*$F$11/($E$11/60)),1,0)</f>
        <v>0</v>
      </c>
    </row>
    <row r="605" spans="4:14" x14ac:dyDescent="0.2">
      <c r="D605">
        <f t="shared" si="58"/>
        <v>582</v>
      </c>
      <c r="E605" s="1">
        <f>IF($H$11=1,IF(D605&lt;=$A$15, E604+LN($D$11)-LN(60/$E$11)-LN(MIN(D605,$F$11)), E604-LN(60/$E$11)-LN(MIN(D605,$F$11))), IF(D605&lt;=$A$15, E604+LN($D$11)-LN(60/$E$11)-LN(MIN(D605,$F$11)), E604+LN($D$11)+LN(1-$H$11)-LN(60/$E$11)-LN(MIN(D605,$F$11))))</f>
        <v>-68.460492542785417</v>
      </c>
      <c r="F605" s="1">
        <f t="shared" si="59"/>
        <v>-70.462525351984482</v>
      </c>
      <c r="G605" s="1">
        <f t="shared" si="57"/>
        <v>2.5033066822951125E-31</v>
      </c>
      <c r="H605" s="1">
        <f t="shared" si="54"/>
        <v>2.457177812197417E-32</v>
      </c>
      <c r="I605">
        <f>IF($F$11&lt;=D605, IF(D605&lt;=$A$15,D605-$F$11,$C$11),0)</f>
        <v>60</v>
      </c>
      <c r="J605">
        <f t="shared" si="55"/>
        <v>518</v>
      </c>
      <c r="K605" s="5">
        <f>IF(D605&lt;$F$11,H605,0)</f>
        <v>0</v>
      </c>
      <c r="L605">
        <f>IF(D605&lt;$A$15,$D$11,$D$11*(1-$H$11))</f>
        <v>85</v>
      </c>
      <c r="M605">
        <f t="shared" si="56"/>
        <v>1</v>
      </c>
      <c r="N605">
        <f>IF(SUM(I605:J605)&lt;=($G$11/60*$F$11/($E$11/60)),1,0)</f>
        <v>0</v>
      </c>
    </row>
    <row r="606" spans="4:14" x14ac:dyDescent="0.2">
      <c r="D606">
        <f t="shared" si="58"/>
        <v>583</v>
      </c>
      <c r="E606" s="1">
        <f>IF($H$11=1,IF(D606&lt;=$A$15, E605+LN($D$11)-LN(60/$E$11)-LN(MIN(D606,$F$11)), E605-LN(60/$E$11)-LN(MIN(D606,$F$11))), IF(D606&lt;=$A$15, E605+LN($D$11)-LN(60/$E$11)-LN(MIN(D606,$F$11)), E605+LN($D$11)+LN(1-$H$11)-LN(60/$E$11)-LN(MIN(D606,$F$11))))</f>
        <v>-68.582189477762938</v>
      </c>
      <c r="F606" s="1">
        <f t="shared" si="59"/>
        <v>-70.584222286962003</v>
      </c>
      <c r="G606" s="1">
        <f t="shared" si="57"/>
        <v>2.2164694582821277E-31</v>
      </c>
      <c r="H606" s="1">
        <f t="shared" si="54"/>
        <v>2.1756261878831265E-32</v>
      </c>
      <c r="I606">
        <f>IF($F$11&lt;=D606, IF(D606&lt;=$A$15,D606-$F$11,$C$11),0)</f>
        <v>60</v>
      </c>
      <c r="J606">
        <f t="shared" si="55"/>
        <v>519</v>
      </c>
      <c r="K606" s="5">
        <f>IF(D606&lt;$F$11,H606,0)</f>
        <v>0</v>
      </c>
      <c r="L606">
        <f>IF(D606&lt;$A$15,$D$11,$D$11*(1-$H$11))</f>
        <v>85</v>
      </c>
      <c r="M606">
        <f t="shared" si="56"/>
        <v>1</v>
      </c>
      <c r="N606">
        <f>IF(SUM(I606:J606)&lt;=($G$11/60*$F$11/($E$11/60)),1,0)</f>
        <v>0</v>
      </c>
    </row>
    <row r="607" spans="4:14" x14ac:dyDescent="0.2">
      <c r="D607">
        <f t="shared" si="58"/>
        <v>584</v>
      </c>
      <c r="E607" s="1">
        <f>IF($H$11=1,IF(D607&lt;=$A$15, E606+LN($D$11)-LN(60/$E$11)-LN(MIN(D607,$F$11)), E606-LN(60/$E$11)-LN(MIN(D607,$F$11))), IF(D607&lt;=$A$15, E606+LN($D$11)-LN(60/$E$11)-LN(MIN(D607,$F$11)), E606+LN($D$11)+LN(1-$H$11)-LN(60/$E$11)-LN(MIN(D607,$F$11))))</f>
        <v>-68.703886412740459</v>
      </c>
      <c r="F607" s="1">
        <f t="shared" si="59"/>
        <v>-70.705919221939524</v>
      </c>
      <c r="G607" s="1">
        <f t="shared" si="57"/>
        <v>1.962498999520631E-31</v>
      </c>
      <c r="H607" s="1">
        <f t="shared" si="54"/>
        <v>1.926335687188182E-32</v>
      </c>
      <c r="I607">
        <f>IF($F$11&lt;=D607, IF(D607&lt;=$A$15,D607-$F$11,$C$11),0)</f>
        <v>60</v>
      </c>
      <c r="J607">
        <f t="shared" si="55"/>
        <v>520</v>
      </c>
      <c r="K607" s="5">
        <f>IF(D607&lt;$F$11,H607,0)</f>
        <v>0</v>
      </c>
      <c r="L607">
        <f>IF(D607&lt;$A$15,$D$11,$D$11*(1-$H$11))</f>
        <v>85</v>
      </c>
      <c r="M607">
        <f t="shared" si="56"/>
        <v>1</v>
      </c>
      <c r="N607">
        <f>IF(SUM(I607:J607)&lt;=($G$11/60*$F$11/($E$11/60)),1,0)</f>
        <v>0</v>
      </c>
    </row>
    <row r="608" spans="4:14" x14ac:dyDescent="0.2">
      <c r="D608">
        <f t="shared" si="58"/>
        <v>585</v>
      </c>
      <c r="E608" s="1">
        <f>IF($H$11=1,IF(D608&lt;=$A$15, E607+LN($D$11)-LN(60/$E$11)-LN(MIN(D608,$F$11)), E607-LN(60/$E$11)-LN(MIN(D608,$F$11))), IF(D608&lt;=$A$15, E607+LN($D$11)-LN(60/$E$11)-LN(MIN(D608,$F$11)), E607+LN($D$11)+LN(1-$H$11)-LN(60/$E$11)-LN(MIN(D608,$F$11))))</f>
        <v>-68.825583347717981</v>
      </c>
      <c r="F608" s="1">
        <f t="shared" si="59"/>
        <v>-70.827616156917045</v>
      </c>
      <c r="G608" s="1">
        <f t="shared" si="57"/>
        <v>1.7376293224922228E-31</v>
      </c>
      <c r="H608" s="1">
        <f t="shared" si="54"/>
        <v>1.7056097230312004E-32</v>
      </c>
      <c r="I608">
        <f>IF($F$11&lt;=D608, IF(D608&lt;=$A$15,D608-$F$11,$C$11),0)</f>
        <v>60</v>
      </c>
      <c r="J608">
        <f t="shared" si="55"/>
        <v>521</v>
      </c>
      <c r="K608" s="5">
        <f>IF(D608&lt;$F$11,H608,0)</f>
        <v>0</v>
      </c>
      <c r="L608">
        <f>IF(D608&lt;$A$15,$D$11,$D$11*(1-$H$11))</f>
        <v>85</v>
      </c>
      <c r="M608">
        <f t="shared" si="56"/>
        <v>1</v>
      </c>
      <c r="N608">
        <f>IF(SUM(I608:J608)&lt;=($G$11/60*$F$11/($E$11/60)),1,0)</f>
        <v>0</v>
      </c>
    </row>
    <row r="609" spans="4:14" x14ac:dyDescent="0.2">
      <c r="D609">
        <f t="shared" si="58"/>
        <v>586</v>
      </c>
      <c r="E609" s="1">
        <f>IF($H$11=1,IF(D609&lt;=$A$15, E608+LN($D$11)-LN(60/$E$11)-LN(MIN(D609,$F$11)), E608-LN(60/$E$11)-LN(MIN(D609,$F$11))), IF(D609&lt;=$A$15, E608+LN($D$11)-LN(60/$E$11)-LN(MIN(D609,$F$11)), E608+LN($D$11)+LN(1-$H$11)-LN(60/$E$11)-LN(MIN(D609,$F$11))))</f>
        <v>-68.947280282695502</v>
      </c>
      <c r="F609" s="1">
        <f t="shared" si="59"/>
        <v>-70.949313091894567</v>
      </c>
      <c r="G609" s="1">
        <f t="shared" si="57"/>
        <v>1.5385259626233202E-31</v>
      </c>
      <c r="H609" s="1">
        <f t="shared" si="54"/>
        <v>1.51017527560054E-32</v>
      </c>
      <c r="I609">
        <f>IF($F$11&lt;=D609, IF(D609&lt;=$A$15,D609-$F$11,$C$11),0)</f>
        <v>60</v>
      </c>
      <c r="J609">
        <f t="shared" si="55"/>
        <v>522</v>
      </c>
      <c r="K609" s="5">
        <f>IF(D609&lt;$F$11,H609,0)</f>
        <v>0</v>
      </c>
      <c r="L609">
        <f>IF(D609&lt;$A$15,$D$11,$D$11*(1-$H$11))</f>
        <v>85</v>
      </c>
      <c r="M609">
        <f t="shared" si="56"/>
        <v>1</v>
      </c>
      <c r="N609">
        <f>IF(SUM(I609:J609)&lt;=($G$11/60*$F$11/($E$11/60)),1,0)</f>
        <v>0</v>
      </c>
    </row>
    <row r="610" spans="4:14" x14ac:dyDescent="0.2">
      <c r="D610">
        <f t="shared" si="58"/>
        <v>587</v>
      </c>
      <c r="E610" s="1">
        <f>IF($H$11=1,IF(D610&lt;=$A$15, E609+LN($D$11)-LN(60/$E$11)-LN(MIN(D610,$F$11)), E609-LN(60/$E$11)-LN(MIN(D610,$F$11))), IF(D610&lt;=$A$15, E609+LN($D$11)-LN(60/$E$11)-LN(MIN(D610,$F$11)), E609+LN($D$11)+LN(1-$H$11)-LN(60/$E$11)-LN(MIN(D610,$F$11))))</f>
        <v>-69.068977217673023</v>
      </c>
      <c r="F610" s="1">
        <f t="shared" si="59"/>
        <v>-71.071010026872088</v>
      </c>
      <c r="G610" s="1">
        <f t="shared" si="57"/>
        <v>1.3622365294060627E-31</v>
      </c>
      <c r="H610" s="1">
        <f t="shared" si="54"/>
        <v>1.3371343586046427E-32</v>
      </c>
      <c r="I610">
        <f>IF($F$11&lt;=D610, IF(D610&lt;=$A$15,D610-$F$11,$C$11),0)</f>
        <v>60</v>
      </c>
      <c r="J610">
        <f t="shared" si="55"/>
        <v>523</v>
      </c>
      <c r="K610" s="5">
        <f>IF(D610&lt;$F$11,H610,0)</f>
        <v>0</v>
      </c>
      <c r="L610">
        <f>IF(D610&lt;$A$15,$D$11,$D$11*(1-$H$11))</f>
        <v>85</v>
      </c>
      <c r="M610">
        <f t="shared" si="56"/>
        <v>1</v>
      </c>
      <c r="N610">
        <f>IF(SUM(I610:J610)&lt;=($G$11/60*$F$11/($E$11/60)),1,0)</f>
        <v>0</v>
      </c>
    </row>
    <row r="611" spans="4:14" x14ac:dyDescent="0.2">
      <c r="D611">
        <f t="shared" si="58"/>
        <v>588</v>
      </c>
      <c r="E611" s="1">
        <f>IF($H$11=1,IF(D611&lt;=$A$15, E610+LN($D$11)-LN(60/$E$11)-LN(MIN(D611,$F$11)), E610-LN(60/$E$11)-LN(MIN(D611,$F$11))), IF(D611&lt;=$A$15, E610+LN($D$11)-LN(60/$E$11)-LN(MIN(D611,$F$11)), E610+LN($D$11)+LN(1-$H$11)-LN(60/$E$11)-LN(MIN(D611,$F$11))))</f>
        <v>-69.190674152650544</v>
      </c>
      <c r="F611" s="1">
        <f t="shared" si="59"/>
        <v>-71.192706961849609</v>
      </c>
      <c r="G611" s="1">
        <f t="shared" si="57"/>
        <v>1.206146927078283E-31</v>
      </c>
      <c r="H611" s="1">
        <f t="shared" si="54"/>
        <v>1.1839210466811925E-32</v>
      </c>
      <c r="I611">
        <f>IF($F$11&lt;=D611, IF(D611&lt;=$A$15,D611-$F$11,$C$11),0)</f>
        <v>60</v>
      </c>
      <c r="J611">
        <f t="shared" si="55"/>
        <v>524</v>
      </c>
      <c r="K611" s="5">
        <f>IF(D611&lt;$F$11,H611,0)</f>
        <v>0</v>
      </c>
      <c r="L611">
        <f>IF(D611&lt;$A$15,$D$11,$D$11*(1-$H$11))</f>
        <v>85</v>
      </c>
      <c r="M611">
        <f t="shared" si="56"/>
        <v>1</v>
      </c>
      <c r="N611">
        <f>IF(SUM(I611:J611)&lt;=($G$11/60*$F$11/($E$11/60)),1,0)</f>
        <v>0</v>
      </c>
    </row>
    <row r="612" spans="4:14" x14ac:dyDescent="0.2">
      <c r="D612">
        <f t="shared" si="58"/>
        <v>589</v>
      </c>
      <c r="E612" s="1">
        <f>IF($H$11=1,IF(D612&lt;=$A$15, E611+LN($D$11)-LN(60/$E$11)-LN(MIN(D612,$F$11)), E611-LN(60/$E$11)-LN(MIN(D612,$F$11))), IF(D612&lt;=$A$15, E611+LN($D$11)-LN(60/$E$11)-LN(MIN(D612,$F$11)), E611+LN($D$11)+LN(1-$H$11)-LN(60/$E$11)-LN(MIN(D612,$F$11))))</f>
        <v>-69.312371087628065</v>
      </c>
      <c r="F612" s="1">
        <f t="shared" si="59"/>
        <v>-71.31440389682713</v>
      </c>
      <c r="G612" s="1">
        <f t="shared" si="57"/>
        <v>1.067942591683895E-31</v>
      </c>
      <c r="H612" s="1">
        <f t="shared" si="54"/>
        <v>1.048263426748971E-32</v>
      </c>
      <c r="I612">
        <f>IF($F$11&lt;=D612, IF(D612&lt;=$A$15,D612-$F$11,$C$11),0)</f>
        <v>60</v>
      </c>
      <c r="J612">
        <f t="shared" si="55"/>
        <v>525</v>
      </c>
      <c r="K612" s="5">
        <f>IF(D612&lt;$F$11,H612,0)</f>
        <v>0</v>
      </c>
      <c r="L612">
        <f>IF(D612&lt;$A$15,$D$11,$D$11*(1-$H$11))</f>
        <v>85</v>
      </c>
      <c r="M612">
        <f t="shared" si="56"/>
        <v>1</v>
      </c>
      <c r="N612">
        <f>IF(SUM(I612:J612)&lt;=($G$11/60*$F$11/($E$11/60)),1,0)</f>
        <v>0</v>
      </c>
    </row>
    <row r="613" spans="4:14" x14ac:dyDescent="0.2">
      <c r="D613">
        <f t="shared" si="58"/>
        <v>590</v>
      </c>
      <c r="E613" s="1">
        <f>IF($H$11=1,IF(D613&lt;=$A$15, E612+LN($D$11)-LN(60/$E$11)-LN(MIN(D613,$F$11)), E612-LN(60/$E$11)-LN(MIN(D613,$F$11))), IF(D613&lt;=$A$15, E612+LN($D$11)-LN(60/$E$11)-LN(MIN(D613,$F$11)), E612+LN($D$11)+LN(1-$H$11)-LN(60/$E$11)-LN(MIN(D613,$F$11))))</f>
        <v>-69.434068022605587</v>
      </c>
      <c r="F613" s="1">
        <f t="shared" si="59"/>
        <v>-71.436100831804652</v>
      </c>
      <c r="G613" s="1">
        <f t="shared" si="57"/>
        <v>9.4557416972011399E-32</v>
      </c>
      <c r="H613" s="1">
        <f t="shared" si="54"/>
        <v>9.2814990910065008E-33</v>
      </c>
      <c r="I613">
        <f>IF($F$11&lt;=D613, IF(D613&lt;=$A$15,D613-$F$11,$C$11),0)</f>
        <v>60</v>
      </c>
      <c r="J613">
        <f t="shared" si="55"/>
        <v>526</v>
      </c>
      <c r="K613" s="5">
        <f>IF(D613&lt;$F$11,H613,0)</f>
        <v>0</v>
      </c>
      <c r="L613">
        <f>IF(D613&lt;$A$15,$D$11,$D$11*(1-$H$11))</f>
        <v>85</v>
      </c>
      <c r="M613">
        <f t="shared" si="56"/>
        <v>1</v>
      </c>
      <c r="N613">
        <f>IF(SUM(I613:J613)&lt;=($G$11/60*$F$11/($E$11/60)),1,0)</f>
        <v>0</v>
      </c>
    </row>
    <row r="614" spans="4:14" x14ac:dyDescent="0.2">
      <c r="D614">
        <f t="shared" si="58"/>
        <v>591</v>
      </c>
      <c r="E614" s="1">
        <f>IF($H$11=1,IF(D614&lt;=$A$15, E613+LN($D$11)-LN(60/$E$11)-LN(MIN(D614,$F$11)), E613-LN(60/$E$11)-LN(MIN(D614,$F$11))), IF(D614&lt;=$A$15, E613+LN($D$11)-LN(60/$E$11)-LN(MIN(D614,$F$11)), E613+LN($D$11)+LN(1-$H$11)-LN(60/$E$11)-LN(MIN(D614,$F$11))))</f>
        <v>-69.555764957583108</v>
      </c>
      <c r="F614" s="1">
        <f t="shared" si="59"/>
        <v>-71.557797766782173</v>
      </c>
      <c r="G614" s="1">
        <f t="shared" si="57"/>
        <v>8.3722712943968299E-32</v>
      </c>
      <c r="H614" s="1">
        <f t="shared" si="54"/>
        <v>8.2179939868286605E-33</v>
      </c>
      <c r="I614">
        <f>IF($F$11&lt;=D614, IF(D614&lt;=$A$15,D614-$F$11,$C$11),0)</f>
        <v>60</v>
      </c>
      <c r="J614">
        <f t="shared" si="55"/>
        <v>527</v>
      </c>
      <c r="K614" s="5">
        <f>IF(D614&lt;$F$11,H614,0)</f>
        <v>0</v>
      </c>
      <c r="L614">
        <f>IF(D614&lt;$A$15,$D$11,$D$11*(1-$H$11))</f>
        <v>85</v>
      </c>
      <c r="M614">
        <f t="shared" si="56"/>
        <v>1</v>
      </c>
      <c r="N614">
        <f>IF(SUM(I614:J614)&lt;=($G$11/60*$F$11/($E$11/60)),1,0)</f>
        <v>0</v>
      </c>
    </row>
    <row r="615" spans="4:14" x14ac:dyDescent="0.2">
      <c r="D615">
        <f t="shared" si="58"/>
        <v>592</v>
      </c>
      <c r="E615" s="1">
        <f>IF($H$11=1,IF(D615&lt;=$A$15, E614+LN($D$11)-LN(60/$E$11)-LN(MIN(D615,$F$11)), E614-LN(60/$E$11)-LN(MIN(D615,$F$11))), IF(D615&lt;=$A$15, E614+LN($D$11)-LN(60/$E$11)-LN(MIN(D615,$F$11)), E614+LN($D$11)+LN(1-$H$11)-LN(60/$E$11)-LN(MIN(D615,$F$11))))</f>
        <v>-69.677461892560629</v>
      </c>
      <c r="F615" s="1">
        <f t="shared" si="59"/>
        <v>-71.679494701759694</v>
      </c>
      <c r="G615" s="1">
        <f t="shared" si="57"/>
        <v>7.4129485419138497E-32</v>
      </c>
      <c r="H615" s="1">
        <f t="shared" si="54"/>
        <v>7.2763488425045335E-33</v>
      </c>
      <c r="I615">
        <f>IF($F$11&lt;=D615, IF(D615&lt;=$A$15,D615-$F$11,$C$11),0)</f>
        <v>60</v>
      </c>
      <c r="J615">
        <f t="shared" si="55"/>
        <v>528</v>
      </c>
      <c r="K615" s="5">
        <f>IF(D615&lt;$F$11,H615,0)</f>
        <v>0</v>
      </c>
      <c r="L615">
        <f>IF(D615&lt;$A$15,$D$11,$D$11*(1-$H$11))</f>
        <v>85</v>
      </c>
      <c r="M615">
        <f t="shared" si="56"/>
        <v>1</v>
      </c>
      <c r="N615">
        <f>IF(SUM(I615:J615)&lt;=($G$11/60*$F$11/($E$11/60)),1,0)</f>
        <v>0</v>
      </c>
    </row>
    <row r="616" spans="4:14" x14ac:dyDescent="0.2">
      <c r="D616">
        <f t="shared" si="58"/>
        <v>593</v>
      </c>
      <c r="E616" s="1">
        <f>IF($H$11=1,IF(D616&lt;=$A$15, E615+LN($D$11)-LN(60/$E$11)-LN(MIN(D616,$F$11)), E615-LN(60/$E$11)-LN(MIN(D616,$F$11))), IF(D616&lt;=$A$15, E615+LN($D$11)-LN(60/$E$11)-LN(MIN(D616,$F$11)), E615+LN($D$11)+LN(1-$H$11)-LN(60/$E$11)-LN(MIN(D616,$F$11))))</f>
        <v>-69.79915882753815</v>
      </c>
      <c r="F616" s="1">
        <f t="shared" si="59"/>
        <v>-71.801191636737215</v>
      </c>
      <c r="G616" s="1">
        <f t="shared" si="57"/>
        <v>6.5635481881528788E-32</v>
      </c>
      <c r="H616" s="1">
        <f t="shared" si="54"/>
        <v>6.4426005376342132E-33</v>
      </c>
      <c r="I616">
        <f>IF($F$11&lt;=D616, IF(D616&lt;=$A$15,D616-$F$11,$C$11),0)</f>
        <v>60</v>
      </c>
      <c r="J616">
        <f t="shared" si="55"/>
        <v>529</v>
      </c>
      <c r="K616" s="5">
        <f>IF(D616&lt;$F$11,H616,0)</f>
        <v>0</v>
      </c>
      <c r="L616">
        <f>IF(D616&lt;$A$15,$D$11,$D$11*(1-$H$11))</f>
        <v>85</v>
      </c>
      <c r="M616">
        <f t="shared" si="56"/>
        <v>1</v>
      </c>
      <c r="N616">
        <f>IF(SUM(I616:J616)&lt;=($G$11/60*$F$11/($E$11/60)),1,0)</f>
        <v>0</v>
      </c>
    </row>
    <row r="617" spans="4:14" x14ac:dyDescent="0.2">
      <c r="D617">
        <f t="shared" si="58"/>
        <v>594</v>
      </c>
      <c r="E617" s="1">
        <f>IF($H$11=1,IF(D617&lt;=$A$15, E616+LN($D$11)-LN(60/$E$11)-LN(MIN(D617,$F$11)), E616-LN(60/$E$11)-LN(MIN(D617,$F$11))), IF(D617&lt;=$A$15, E616+LN($D$11)-LN(60/$E$11)-LN(MIN(D617,$F$11)), E616+LN($D$11)+LN(1-$H$11)-LN(60/$E$11)-LN(MIN(D617,$F$11))))</f>
        <v>-69.920855762515671</v>
      </c>
      <c r="F617" s="1">
        <f t="shared" si="59"/>
        <v>-71.922888571714736</v>
      </c>
      <c r="G617" s="1">
        <f t="shared" si="57"/>
        <v>5.8114749582603529E-32</v>
      </c>
      <c r="H617" s="1">
        <f t="shared" si="54"/>
        <v>5.7043858926969516E-33</v>
      </c>
      <c r="I617">
        <f>IF($F$11&lt;=D617, IF(D617&lt;=$A$15,D617-$F$11,$C$11),0)</f>
        <v>60</v>
      </c>
      <c r="J617">
        <f t="shared" si="55"/>
        <v>530</v>
      </c>
      <c r="K617" s="5">
        <f>IF(D617&lt;$F$11,H617,0)</f>
        <v>0</v>
      </c>
      <c r="L617">
        <f>IF(D617&lt;$A$15,$D$11,$D$11*(1-$H$11))</f>
        <v>85</v>
      </c>
      <c r="M617">
        <f t="shared" si="56"/>
        <v>1</v>
      </c>
      <c r="N617">
        <f>IF(SUM(I617:J617)&lt;=($G$11/60*$F$11/($E$11/60)),1,0)</f>
        <v>0</v>
      </c>
    </row>
    <row r="618" spans="4:14" x14ac:dyDescent="0.2">
      <c r="D618">
        <f t="shared" si="58"/>
        <v>595</v>
      </c>
      <c r="E618" s="1">
        <f>IF($H$11=1,IF(D618&lt;=$A$15, E617+LN($D$11)-LN(60/$E$11)-LN(MIN(D618,$F$11)), E617-LN(60/$E$11)-LN(MIN(D618,$F$11))), IF(D618&lt;=$A$15, E617+LN($D$11)-LN(60/$E$11)-LN(MIN(D618,$F$11)), E617+LN($D$11)+LN(1-$H$11)-LN(60/$E$11)-LN(MIN(D618,$F$11))))</f>
        <v>-70.042552697493193</v>
      </c>
      <c r="F618" s="1">
        <f t="shared" si="59"/>
        <v>-72.044585506692258</v>
      </c>
      <c r="G618" s="1">
        <f t="shared" si="57"/>
        <v>5.1455767859596797E-32</v>
      </c>
      <c r="H618" s="1">
        <f t="shared" si="54"/>
        <v>5.0507583424920846E-33</v>
      </c>
      <c r="I618">
        <f>IF($F$11&lt;=D618, IF(D618&lt;=$A$15,D618-$F$11,$C$11),0)</f>
        <v>60</v>
      </c>
      <c r="J618">
        <f t="shared" si="55"/>
        <v>531</v>
      </c>
      <c r="K618" s="5">
        <f>IF(D618&lt;$F$11,H618,0)</f>
        <v>0</v>
      </c>
      <c r="L618">
        <f>IF(D618&lt;$A$15,$D$11,$D$11*(1-$H$11))</f>
        <v>85</v>
      </c>
      <c r="M618">
        <f t="shared" si="56"/>
        <v>1</v>
      </c>
      <c r="N618">
        <f>IF(SUM(I618:J618)&lt;=($G$11/60*$F$11/($E$11/60)),1,0)</f>
        <v>0</v>
      </c>
    </row>
    <row r="619" spans="4:14" x14ac:dyDescent="0.2">
      <c r="D619">
        <f t="shared" si="58"/>
        <v>596</v>
      </c>
      <c r="E619" s="1">
        <f>IF($H$11=1,IF(D619&lt;=$A$15, E618+LN($D$11)-LN(60/$E$11)-LN(MIN(D619,$F$11)), E618-LN(60/$E$11)-LN(MIN(D619,$F$11))), IF(D619&lt;=$A$15, E618+LN($D$11)-LN(60/$E$11)-LN(MIN(D619,$F$11)), E618+LN($D$11)+LN(1-$H$11)-LN(60/$E$11)-LN(MIN(D619,$F$11))))</f>
        <v>-70.164249632470714</v>
      </c>
      <c r="F619" s="1">
        <f t="shared" si="59"/>
        <v>-72.166282441669779</v>
      </c>
      <c r="G619" s="1">
        <f t="shared" si="57"/>
        <v>4.5559794459017936E-32</v>
      </c>
      <c r="H619" s="1">
        <f t="shared" si="54"/>
        <v>4.4720256157481941E-33</v>
      </c>
      <c r="I619">
        <f>IF($F$11&lt;=D619, IF(D619&lt;=$A$15,D619-$F$11,$C$11),0)</f>
        <v>60</v>
      </c>
      <c r="J619">
        <f t="shared" si="55"/>
        <v>532</v>
      </c>
      <c r="K619" s="5">
        <f>IF(D619&lt;$F$11,H619,0)</f>
        <v>0</v>
      </c>
      <c r="L619">
        <f>IF(D619&lt;$A$15,$D$11,$D$11*(1-$H$11))</f>
        <v>85</v>
      </c>
      <c r="M619">
        <f t="shared" si="56"/>
        <v>1</v>
      </c>
      <c r="N619">
        <f>IF(SUM(I619:J619)&lt;=($G$11/60*$F$11/($E$11/60)),1,0)</f>
        <v>0</v>
      </c>
    </row>
    <row r="620" spans="4:14" x14ac:dyDescent="0.2">
      <c r="D620">
        <f t="shared" si="58"/>
        <v>597</v>
      </c>
      <c r="E620" s="1">
        <f>IF($H$11=1,IF(D620&lt;=$A$15, E619+LN($D$11)-LN(60/$E$11)-LN(MIN(D620,$F$11)), E619-LN(60/$E$11)-LN(MIN(D620,$F$11))), IF(D620&lt;=$A$15, E619+LN($D$11)-LN(60/$E$11)-LN(MIN(D620,$F$11)), E619+LN($D$11)+LN(1-$H$11)-LN(60/$E$11)-LN(MIN(D620,$F$11))))</f>
        <v>-70.285946567448235</v>
      </c>
      <c r="F620" s="1">
        <f t="shared" si="59"/>
        <v>-72.2879793766473</v>
      </c>
      <c r="G620" s="1">
        <f t="shared" si="57"/>
        <v>4.0339401343922073E-32</v>
      </c>
      <c r="H620" s="1">
        <f t="shared" si="54"/>
        <v>3.9596060139437078E-33</v>
      </c>
      <c r="I620">
        <f>IF($F$11&lt;=D620, IF(D620&lt;=$A$15,D620-$F$11,$C$11),0)</f>
        <v>60</v>
      </c>
      <c r="J620">
        <f t="shared" si="55"/>
        <v>533</v>
      </c>
      <c r="K620" s="5">
        <f>IF(D620&lt;$F$11,H620,0)</f>
        <v>0</v>
      </c>
      <c r="L620">
        <f>IF(D620&lt;$A$15,$D$11,$D$11*(1-$H$11))</f>
        <v>85</v>
      </c>
      <c r="M620">
        <f t="shared" si="56"/>
        <v>1</v>
      </c>
      <c r="N620">
        <f>IF(SUM(I620:J620)&lt;=($G$11/60*$F$11/($E$11/60)),1,0)</f>
        <v>0</v>
      </c>
    </row>
    <row r="621" spans="4:14" x14ac:dyDescent="0.2">
      <c r="D621">
        <f t="shared" si="58"/>
        <v>598</v>
      </c>
      <c r="E621" s="1">
        <f>IF($H$11=1,IF(D621&lt;=$A$15, E620+LN($D$11)-LN(60/$E$11)-LN(MIN(D621,$F$11)), E620-LN(60/$E$11)-LN(MIN(D621,$F$11))), IF(D621&lt;=$A$15, E620+LN($D$11)-LN(60/$E$11)-LN(MIN(D621,$F$11)), E620+LN($D$11)+LN(1-$H$11)-LN(60/$E$11)-LN(MIN(D621,$F$11))))</f>
        <v>-70.407643502425756</v>
      </c>
      <c r="F621" s="1">
        <f t="shared" si="59"/>
        <v>-72.409676311624821</v>
      </c>
      <c r="G621" s="1">
        <f t="shared" si="57"/>
        <v>3.5717178273264285E-32</v>
      </c>
      <c r="H621" s="1">
        <f t="shared" si="54"/>
        <v>3.5059011581793193E-33</v>
      </c>
      <c r="I621">
        <f>IF($F$11&lt;=D621, IF(D621&lt;=$A$15,D621-$F$11,$C$11),0)</f>
        <v>60</v>
      </c>
      <c r="J621">
        <f t="shared" si="55"/>
        <v>534</v>
      </c>
      <c r="K621" s="5">
        <f>IF(D621&lt;$F$11,H621,0)</f>
        <v>0</v>
      </c>
      <c r="L621">
        <f>IF(D621&lt;$A$15,$D$11,$D$11*(1-$H$11))</f>
        <v>85</v>
      </c>
      <c r="M621">
        <f t="shared" si="56"/>
        <v>1</v>
      </c>
      <c r="N621">
        <f>IF(SUM(I621:J621)&lt;=($G$11/60*$F$11/($E$11/60)),1,0)</f>
        <v>0</v>
      </c>
    </row>
    <row r="622" spans="4:14" x14ac:dyDescent="0.2">
      <c r="D622">
        <f t="shared" si="58"/>
        <v>599</v>
      </c>
      <c r="E622" s="1">
        <f>IF($H$11=1,IF(D622&lt;=$A$15, E621+LN($D$11)-LN(60/$E$11)-LN(MIN(D622,$F$11)), E621-LN(60/$E$11)-LN(MIN(D622,$F$11))), IF(D622&lt;=$A$15, E621+LN($D$11)-LN(60/$E$11)-LN(MIN(D622,$F$11)), E621+LN($D$11)+LN(1-$H$11)-LN(60/$E$11)-LN(MIN(D622,$F$11))))</f>
        <v>-70.529340437403278</v>
      </c>
      <c r="F622" s="1">
        <f t="shared" si="59"/>
        <v>-72.531373246602342</v>
      </c>
      <c r="G622" s="1">
        <f t="shared" si="57"/>
        <v>3.1624584929452707E-32</v>
      </c>
      <c r="H622" s="1">
        <f t="shared" si="54"/>
        <v>3.1041833171379347E-33</v>
      </c>
      <c r="I622">
        <f>IF($F$11&lt;=D622, IF(D622&lt;=$A$15,D622-$F$11,$C$11),0)</f>
        <v>60</v>
      </c>
      <c r="J622">
        <f t="shared" si="55"/>
        <v>535</v>
      </c>
      <c r="K622" s="5">
        <f>IF(D622&lt;$F$11,H622,0)</f>
        <v>0</v>
      </c>
      <c r="L622">
        <f>IF(D622&lt;$A$15,$D$11,$D$11*(1-$H$11))</f>
        <v>85</v>
      </c>
      <c r="M622">
        <f t="shared" si="56"/>
        <v>1</v>
      </c>
      <c r="N622">
        <f>IF(SUM(I622:J622)&lt;=($G$11/60*$F$11/($E$11/60)),1,0)</f>
        <v>0</v>
      </c>
    </row>
    <row r="623" spans="4:14" x14ac:dyDescent="0.2">
      <c r="D623">
        <f t="shared" si="58"/>
        <v>600</v>
      </c>
      <c r="E623" s="1">
        <f>IF($H$11=1,IF(D623&lt;=$A$15, E622+LN($D$11)-LN(60/$E$11)-LN(MIN(D623,$F$11)), E622-LN(60/$E$11)-LN(MIN(D623,$F$11))), IF(D623&lt;=$A$15, E622+LN($D$11)-LN(60/$E$11)-LN(MIN(D623,$F$11)), E622+LN($D$11)+LN(1-$H$11)-LN(60/$E$11)-LN(MIN(D623,$F$11))))</f>
        <v>-70.651037372380799</v>
      </c>
      <c r="F623" s="1">
        <f t="shared" si="59"/>
        <v>-72.653070181579864</v>
      </c>
      <c r="G623" s="1">
        <f t="shared" si="57"/>
        <v>2.8000934572952879E-32</v>
      </c>
      <c r="H623" s="1">
        <f t="shared" si="54"/>
        <v>2.7484956453825428E-33</v>
      </c>
      <c r="I623">
        <f>IF($F$11&lt;=D623, IF(D623&lt;=$A$15,D623-$F$11,$C$11),0)</f>
        <v>60</v>
      </c>
      <c r="J623">
        <f t="shared" si="55"/>
        <v>536</v>
      </c>
      <c r="K623" s="5">
        <f>IF(D623&lt;$F$11,H623,0)</f>
        <v>0</v>
      </c>
      <c r="L623">
        <f>IF(D623&lt;$A$15,$D$11,$D$11*(1-$H$11))</f>
        <v>85</v>
      </c>
      <c r="M623">
        <f t="shared" si="56"/>
        <v>1</v>
      </c>
      <c r="N623">
        <f>IF(SUM(I623:J623)&lt;=($G$11/60*$F$11/($E$11/60)),1,0)</f>
        <v>0</v>
      </c>
    </row>
    <row r="624" spans="4:14" x14ac:dyDescent="0.2">
      <c r="D624">
        <f t="shared" si="58"/>
        <v>601</v>
      </c>
      <c r="E624" s="1">
        <f>IF($H$11=1,IF(D624&lt;=$A$15, E623+LN($D$11)-LN(60/$E$11)-LN(MIN(D624,$F$11)), E623-LN(60/$E$11)-LN(MIN(D624,$F$11))), IF(D624&lt;=$A$15, E623+LN($D$11)-LN(60/$E$11)-LN(MIN(D624,$F$11)), E623+LN($D$11)+LN(1-$H$11)-LN(60/$E$11)-LN(MIN(D624,$F$11))))</f>
        <v>-70.77273430735832</v>
      </c>
      <c r="F624" s="1">
        <f t="shared" si="59"/>
        <v>-72.774767116557385</v>
      </c>
      <c r="G624" s="1">
        <f t="shared" si="57"/>
        <v>2.4792494153135323E-32</v>
      </c>
      <c r="H624" s="1">
        <f t="shared" si="54"/>
        <v>2.4335638526824559E-33</v>
      </c>
      <c r="I624">
        <f>IF($F$11&lt;=D624, IF(D624&lt;=$A$15,D624-$F$11,$C$11),0)</f>
        <v>60</v>
      </c>
      <c r="J624">
        <f t="shared" si="55"/>
        <v>537</v>
      </c>
      <c r="K624" s="5">
        <f>IF(D624&lt;$F$11,H624,0)</f>
        <v>0</v>
      </c>
      <c r="L624">
        <f>IF(D624&lt;$A$15,$D$11,$D$11*(1-$H$11))</f>
        <v>85</v>
      </c>
      <c r="M624">
        <f t="shared" si="56"/>
        <v>1</v>
      </c>
      <c r="N624">
        <f>IF(SUM(I624:J624)&lt;=($G$11/60*$F$11/($E$11/60)),1,0)</f>
        <v>0</v>
      </c>
    </row>
    <row r="625" spans="4:14" x14ac:dyDescent="0.2">
      <c r="D625">
        <f t="shared" si="58"/>
        <v>602</v>
      </c>
      <c r="E625" s="1">
        <f>IF($H$11=1,IF(D625&lt;=$A$15, E624+LN($D$11)-LN(60/$E$11)-LN(MIN(D625,$F$11)), E624-LN(60/$E$11)-LN(MIN(D625,$F$11))), IF(D625&lt;=$A$15, E624+LN($D$11)-LN(60/$E$11)-LN(MIN(D625,$F$11)), E624+LN($D$11)+LN(1-$H$11)-LN(60/$E$11)-LN(MIN(D625,$F$11))))</f>
        <v>-70.894431242335841</v>
      </c>
      <c r="F625" s="1">
        <f t="shared" si="59"/>
        <v>-72.896464051534906</v>
      </c>
      <c r="G625" s="1">
        <f t="shared" si="57"/>
        <v>2.1951687531421872E-32</v>
      </c>
      <c r="H625" s="1">
        <f t="shared" si="54"/>
        <v>2.1547179945625884E-33</v>
      </c>
      <c r="I625">
        <f>IF($F$11&lt;=D625, IF(D625&lt;=$A$15,D625-$F$11,$C$11),0)</f>
        <v>60</v>
      </c>
      <c r="J625">
        <f t="shared" si="55"/>
        <v>538</v>
      </c>
      <c r="K625" s="5">
        <f>IF(D625&lt;$F$11,H625,0)</f>
        <v>0</v>
      </c>
      <c r="L625">
        <f>IF(D625&lt;$A$15,$D$11,$D$11*(1-$H$11))</f>
        <v>85</v>
      </c>
      <c r="M625">
        <f t="shared" si="56"/>
        <v>1</v>
      </c>
      <c r="N625">
        <f>IF(SUM(I625:J625)&lt;=($G$11/60*$F$11/($E$11/60)),1,0)</f>
        <v>0</v>
      </c>
    </row>
    <row r="626" spans="4:14" x14ac:dyDescent="0.2">
      <c r="D626">
        <f t="shared" si="58"/>
        <v>603</v>
      </c>
      <c r="E626" s="1">
        <f>IF($H$11=1,IF(D626&lt;=$A$15, E625+LN($D$11)-LN(60/$E$11)-LN(MIN(D626,$F$11)), E625-LN(60/$E$11)-LN(MIN(D626,$F$11))), IF(D626&lt;=$A$15, E625+LN($D$11)-LN(60/$E$11)-LN(MIN(D626,$F$11)), E625+LN($D$11)+LN(1-$H$11)-LN(60/$E$11)-LN(MIN(D626,$F$11))))</f>
        <v>-71.016128177313362</v>
      </c>
      <c r="F626" s="1">
        <f t="shared" si="59"/>
        <v>-73.018160986512427</v>
      </c>
      <c r="G626" s="1">
        <f t="shared" si="57"/>
        <v>1.9436390001779753E-32</v>
      </c>
      <c r="H626" s="1">
        <f t="shared" si="54"/>
        <v>1.9078232243522887E-33</v>
      </c>
      <c r="I626">
        <f>IF($F$11&lt;=D626, IF(D626&lt;=$A$15,D626-$F$11,$C$11),0)</f>
        <v>60</v>
      </c>
      <c r="J626">
        <f t="shared" si="55"/>
        <v>539</v>
      </c>
      <c r="K626" s="5">
        <f>IF(D626&lt;$F$11,H626,0)</f>
        <v>0</v>
      </c>
      <c r="L626">
        <f>IF(D626&lt;$A$15,$D$11,$D$11*(1-$H$11))</f>
        <v>85</v>
      </c>
      <c r="M626">
        <f t="shared" si="56"/>
        <v>1</v>
      </c>
      <c r="N626">
        <f>IF(SUM(I626:J626)&lt;=($G$11/60*$F$11/($E$11/60)),1,0)</f>
        <v>0</v>
      </c>
    </row>
    <row r="627" spans="4:14" x14ac:dyDescent="0.2">
      <c r="D627">
        <f t="shared" si="58"/>
        <v>604</v>
      </c>
      <c r="E627" s="1">
        <f>IF($H$11=1,IF(D627&lt;=$A$15, E626+LN($D$11)-LN(60/$E$11)-LN(MIN(D627,$F$11)), E626-LN(60/$E$11)-LN(MIN(D627,$F$11))), IF(D627&lt;=$A$15, E626+LN($D$11)-LN(60/$E$11)-LN(MIN(D627,$F$11)), E626+LN($D$11)+LN(1-$H$11)-LN(60/$E$11)-LN(MIN(D627,$F$11))))</f>
        <v>-71.137825112290884</v>
      </c>
      <c r="F627" s="1">
        <f t="shared" si="59"/>
        <v>-73.139857921489948</v>
      </c>
      <c r="G627" s="1">
        <f t="shared" si="57"/>
        <v>1.7209303647409133E-32</v>
      </c>
      <c r="H627" s="1">
        <f t="shared" si="54"/>
        <v>1.6892184798952536E-33</v>
      </c>
      <c r="I627">
        <f>IF($F$11&lt;=D627, IF(D627&lt;=$A$15,D627-$F$11,$C$11),0)</f>
        <v>60</v>
      </c>
      <c r="J627">
        <f t="shared" si="55"/>
        <v>540</v>
      </c>
      <c r="K627" s="5">
        <f>IF(D627&lt;$F$11,H627,0)</f>
        <v>0</v>
      </c>
      <c r="L627">
        <f>IF(D627&lt;$A$15,$D$11,$D$11*(1-$H$11))</f>
        <v>85</v>
      </c>
      <c r="M627">
        <f t="shared" si="56"/>
        <v>1</v>
      </c>
      <c r="N627">
        <f>IF(SUM(I627:J627)&lt;=($G$11/60*$F$11/($E$11/60)),1,0)</f>
        <v>0</v>
      </c>
    </row>
    <row r="628" spans="4:14" x14ac:dyDescent="0.2">
      <c r="D628">
        <f t="shared" si="58"/>
        <v>605</v>
      </c>
      <c r="E628" s="1">
        <f>IF($H$11=1,IF(D628&lt;=$A$15, E627+LN($D$11)-LN(60/$E$11)-LN(MIN(D628,$F$11)), E627-LN(60/$E$11)-LN(MIN(D628,$F$11))), IF(D628&lt;=$A$15, E627+LN($D$11)-LN(60/$E$11)-LN(MIN(D628,$F$11)), E627+LN($D$11)+LN(1-$H$11)-LN(60/$E$11)-LN(MIN(D628,$F$11))))</f>
        <v>-71.259522047268405</v>
      </c>
      <c r="F628" s="1">
        <f t="shared" si="59"/>
        <v>-73.26155485646747</v>
      </c>
      <c r="G628" s="1">
        <f t="shared" si="57"/>
        <v>1.5237404271143482E-32</v>
      </c>
      <c r="H628" s="1">
        <f t="shared" si="54"/>
        <v>1.495662195740587E-33</v>
      </c>
      <c r="I628">
        <f>IF($F$11&lt;=D628, IF(D628&lt;=$A$15,D628-$F$11,$C$11),0)</f>
        <v>60</v>
      </c>
      <c r="J628">
        <f t="shared" si="55"/>
        <v>541</v>
      </c>
      <c r="K628" s="5">
        <f>IF(D628&lt;$F$11,H628,0)</f>
        <v>0</v>
      </c>
      <c r="L628">
        <f>IF(D628&lt;$A$15,$D$11,$D$11*(1-$H$11))</f>
        <v>85</v>
      </c>
      <c r="M628">
        <f t="shared" si="56"/>
        <v>1</v>
      </c>
      <c r="N628">
        <f>IF(SUM(I628:J628)&lt;=($G$11/60*$F$11/($E$11/60)),1,0)</f>
        <v>0</v>
      </c>
    </row>
    <row r="629" spans="4:14" x14ac:dyDescent="0.2">
      <c r="D629">
        <f t="shared" si="58"/>
        <v>606</v>
      </c>
      <c r="E629" s="1">
        <f>IF($H$11=1,IF(D629&lt;=$A$15, E628+LN($D$11)-LN(60/$E$11)-LN(MIN(D629,$F$11)), E628-LN(60/$E$11)-LN(MIN(D629,$F$11))), IF(D629&lt;=$A$15, E628+LN($D$11)-LN(60/$E$11)-LN(MIN(D629,$F$11)), E628+LN($D$11)+LN(1-$H$11)-LN(60/$E$11)-LN(MIN(D629,$F$11))))</f>
        <v>-71.381218982245926</v>
      </c>
      <c r="F629" s="1">
        <f t="shared" si="59"/>
        <v>-73.383251791444991</v>
      </c>
      <c r="G629" s="1">
        <f t="shared" si="57"/>
        <v>1.3491451698408272E-32</v>
      </c>
      <c r="H629" s="1">
        <f t="shared" si="54"/>
        <v>1.324284235811976E-33</v>
      </c>
      <c r="I629">
        <f>IF($F$11&lt;=D629, IF(D629&lt;=$A$15,D629-$F$11,$C$11),0)</f>
        <v>60</v>
      </c>
      <c r="J629">
        <f t="shared" si="55"/>
        <v>542</v>
      </c>
      <c r="K629" s="5">
        <f>IF(D629&lt;$F$11,H629,0)</f>
        <v>0</v>
      </c>
      <c r="L629">
        <f>IF(D629&lt;$A$15,$D$11,$D$11*(1-$H$11))</f>
        <v>85</v>
      </c>
      <c r="M629">
        <f t="shared" si="56"/>
        <v>1</v>
      </c>
      <c r="N629">
        <f>IF(SUM(I629:J629)&lt;=($G$11/60*$F$11/($E$11/60)),1,0)</f>
        <v>0</v>
      </c>
    </row>
    <row r="630" spans="4:14" x14ac:dyDescent="0.2">
      <c r="D630">
        <f t="shared" si="58"/>
        <v>607</v>
      </c>
      <c r="E630" s="1">
        <f>IF($H$11=1,IF(D630&lt;=$A$15, E629+LN($D$11)-LN(60/$E$11)-LN(MIN(D630,$F$11)), E629-LN(60/$E$11)-LN(MIN(D630,$F$11))), IF(D630&lt;=$A$15, E629+LN($D$11)-LN(60/$E$11)-LN(MIN(D630,$F$11)), E629+LN($D$11)+LN(1-$H$11)-LN(60/$E$11)-LN(MIN(D630,$F$11))))</f>
        <v>-71.502915917223447</v>
      </c>
      <c r="F630" s="1">
        <f t="shared" si="59"/>
        <v>-73.504948726422512</v>
      </c>
      <c r="G630" s="1">
        <f t="shared" si="57"/>
        <v>1.1945556191298973E-32</v>
      </c>
      <c r="H630" s="1">
        <f t="shared" si="54"/>
        <v>1.1725433337918521E-33</v>
      </c>
      <c r="I630">
        <f>IF($F$11&lt;=D630, IF(D630&lt;=$A$15,D630-$F$11,$C$11),0)</f>
        <v>60</v>
      </c>
      <c r="J630">
        <f t="shared" si="55"/>
        <v>543</v>
      </c>
      <c r="K630" s="5">
        <f>IF(D630&lt;$F$11,H630,0)</f>
        <v>0</v>
      </c>
      <c r="L630">
        <f>IF(D630&lt;$A$15,$D$11,$D$11*(1-$H$11))</f>
        <v>85</v>
      </c>
      <c r="M630">
        <f t="shared" si="56"/>
        <v>1</v>
      </c>
      <c r="N630">
        <f>IF(SUM(I630:J630)&lt;=($G$11/60*$F$11/($E$11/60)),1,0)</f>
        <v>0</v>
      </c>
    </row>
    <row r="631" spans="4:14" x14ac:dyDescent="0.2">
      <c r="D631">
        <f t="shared" si="58"/>
        <v>608</v>
      </c>
      <c r="E631" s="1">
        <f>IF($H$11=1,IF(D631&lt;=$A$15, E630+LN($D$11)-LN(60/$E$11)-LN(MIN(D631,$F$11)), E630-LN(60/$E$11)-LN(MIN(D631,$F$11))), IF(D631&lt;=$A$15, E630+LN($D$11)-LN(60/$E$11)-LN(MIN(D631,$F$11)), E630+LN($D$11)+LN(1-$H$11)-LN(60/$E$11)-LN(MIN(D631,$F$11))))</f>
        <v>-71.624612852200968</v>
      </c>
      <c r="F631" s="1">
        <f t="shared" si="59"/>
        <v>-73.626645661400033</v>
      </c>
      <c r="G631" s="1">
        <f t="shared" si="57"/>
        <v>1.0576794544379283E-32</v>
      </c>
      <c r="H631" s="1">
        <f t="shared" si="54"/>
        <v>1.0381894101282008E-33</v>
      </c>
      <c r="I631">
        <f>IF($F$11&lt;=D631, IF(D631&lt;=$A$15,D631-$F$11,$C$11),0)</f>
        <v>60</v>
      </c>
      <c r="J631">
        <f t="shared" si="55"/>
        <v>544</v>
      </c>
      <c r="K631" s="5">
        <f>IF(D631&lt;$F$11,H631,0)</f>
        <v>0</v>
      </c>
      <c r="L631">
        <f>IF(D631&lt;$A$15,$D$11,$D$11*(1-$H$11))</f>
        <v>85</v>
      </c>
      <c r="M631">
        <f t="shared" si="56"/>
        <v>1</v>
      </c>
      <c r="N631">
        <f>IF(SUM(I631:J631)&lt;=($G$11/60*$F$11/($E$11/60)),1,0)</f>
        <v>0</v>
      </c>
    </row>
    <row r="632" spans="4:14" x14ac:dyDescent="0.2">
      <c r="D632">
        <f t="shared" si="58"/>
        <v>609</v>
      </c>
      <c r="E632" s="1">
        <f>IF($H$11=1,IF(D632&lt;=$A$15, E631+LN($D$11)-LN(60/$E$11)-LN(MIN(D632,$F$11)), E631-LN(60/$E$11)-LN(MIN(D632,$F$11))), IF(D632&lt;=$A$15, E631+LN($D$11)-LN(60/$E$11)-LN(MIN(D632,$F$11)), E631+LN($D$11)+LN(1-$H$11)-LN(60/$E$11)-LN(MIN(D632,$F$11))))</f>
        <v>-71.74630978717849</v>
      </c>
      <c r="F632" s="1">
        <f t="shared" si="59"/>
        <v>-73.748342596377555</v>
      </c>
      <c r="G632" s="1">
        <f t="shared" si="57"/>
        <v>9.364870169502478E-33</v>
      </c>
      <c r="H632" s="1">
        <f t="shared" si="54"/>
        <v>9.1923020688434322E-34</v>
      </c>
      <c r="I632">
        <f>IF($F$11&lt;=D632, IF(D632&lt;=$A$15,D632-$F$11,$C$11),0)</f>
        <v>60</v>
      </c>
      <c r="J632">
        <f t="shared" si="55"/>
        <v>545</v>
      </c>
      <c r="K632" s="5">
        <f>IF(D632&lt;$F$11,H632,0)</f>
        <v>0</v>
      </c>
      <c r="L632">
        <f>IF(D632&lt;$A$15,$D$11,$D$11*(1-$H$11))</f>
        <v>85</v>
      </c>
      <c r="M632">
        <f t="shared" si="56"/>
        <v>1</v>
      </c>
      <c r="N632">
        <f>IF(SUM(I632:J632)&lt;=($G$11/60*$F$11/($E$11/60)),1,0)</f>
        <v>0</v>
      </c>
    </row>
    <row r="633" spans="4:14" x14ac:dyDescent="0.2">
      <c r="D633">
        <f t="shared" si="58"/>
        <v>610</v>
      </c>
      <c r="E633" s="1">
        <f>IF($H$11=1,IF(D633&lt;=$A$15, E632+LN($D$11)-LN(60/$E$11)-LN(MIN(D633,$F$11)), E632-LN(60/$E$11)-LN(MIN(D633,$F$11))), IF(D633&lt;=$A$15, E632+LN($D$11)-LN(60/$E$11)-LN(MIN(D633,$F$11)), E632+LN($D$11)+LN(1-$H$11)-LN(60/$E$11)-LN(MIN(D633,$F$11))))</f>
        <v>-71.868006722156011</v>
      </c>
      <c r="F633" s="1">
        <f t="shared" si="59"/>
        <v>-73.870039531355076</v>
      </c>
      <c r="G633" s="1">
        <f t="shared" si="57"/>
        <v>8.2918121292469734E-33</v>
      </c>
      <c r="H633" s="1">
        <f t="shared" si="54"/>
        <v>8.1390174567884441E-34</v>
      </c>
      <c r="I633">
        <f>IF($F$11&lt;=D633, IF(D633&lt;=$A$15,D633-$F$11,$C$11),0)</f>
        <v>60</v>
      </c>
      <c r="J633">
        <f t="shared" si="55"/>
        <v>546</v>
      </c>
      <c r="K633" s="5">
        <f>IF(D633&lt;$F$11,H633,0)</f>
        <v>0</v>
      </c>
      <c r="L633">
        <f>IF(D633&lt;$A$15,$D$11,$D$11*(1-$H$11))</f>
        <v>85</v>
      </c>
      <c r="M633">
        <f t="shared" si="56"/>
        <v>1</v>
      </c>
      <c r="N633">
        <f>IF(SUM(I633:J633)&lt;=($G$11/60*$F$11/($E$11/60)),1,0)</f>
        <v>0</v>
      </c>
    </row>
    <row r="634" spans="4:14" x14ac:dyDescent="0.2">
      <c r="D634">
        <f t="shared" si="58"/>
        <v>611</v>
      </c>
      <c r="E634" s="1">
        <f>IF($H$11=1,IF(D634&lt;=$A$15, E633+LN($D$11)-LN(60/$E$11)-LN(MIN(D634,$F$11)), E633-LN(60/$E$11)-LN(MIN(D634,$F$11))), IF(D634&lt;=$A$15, E633+LN($D$11)-LN(60/$E$11)-LN(MIN(D634,$F$11)), E633+LN($D$11)+LN(1-$H$11)-LN(60/$E$11)-LN(MIN(D634,$F$11))))</f>
        <v>-71.989703657133532</v>
      </c>
      <c r="F634" s="1">
        <f t="shared" si="59"/>
        <v>-73.991736466332597</v>
      </c>
      <c r="G634" s="1">
        <f t="shared" si="57"/>
        <v>7.3417086561040801E-33</v>
      </c>
      <c r="H634" s="1">
        <f t="shared" si="54"/>
        <v>7.2064217065314243E-34</v>
      </c>
      <c r="I634">
        <f>IF($F$11&lt;=D634, IF(D634&lt;=$A$15,D634-$F$11,$C$11),0)</f>
        <v>60</v>
      </c>
      <c r="J634">
        <f t="shared" si="55"/>
        <v>547</v>
      </c>
      <c r="K634" s="5">
        <f>IF(D634&lt;$F$11,H634,0)</f>
        <v>0</v>
      </c>
      <c r="L634">
        <f>IF(D634&lt;$A$15,$D$11,$D$11*(1-$H$11))</f>
        <v>85</v>
      </c>
      <c r="M634">
        <f t="shared" si="56"/>
        <v>1</v>
      </c>
      <c r="N634">
        <f>IF(SUM(I634:J634)&lt;=($G$11/60*$F$11/($E$11/60)),1,0)</f>
        <v>0</v>
      </c>
    </row>
    <row r="635" spans="4:14" x14ac:dyDescent="0.2">
      <c r="D635">
        <f t="shared" si="58"/>
        <v>612</v>
      </c>
      <c r="E635" s="1">
        <f>IF($H$11=1,IF(D635&lt;=$A$15, E634+LN($D$11)-LN(60/$E$11)-LN(MIN(D635,$F$11)), E634-LN(60/$E$11)-LN(MIN(D635,$F$11))), IF(D635&lt;=$A$15, E634+LN($D$11)-LN(60/$E$11)-LN(MIN(D635,$F$11)), E634+LN($D$11)+LN(1-$H$11)-LN(60/$E$11)-LN(MIN(D635,$F$11))))</f>
        <v>-72.111400592111053</v>
      </c>
      <c r="F635" s="1">
        <f t="shared" si="59"/>
        <v>-74.113433401310118</v>
      </c>
      <c r="G635" s="1">
        <f t="shared" si="57"/>
        <v>6.5004712059254786E-33</v>
      </c>
      <c r="H635" s="1">
        <f t="shared" si="54"/>
        <v>6.3806858859913562E-34</v>
      </c>
      <c r="I635">
        <f>IF($F$11&lt;=D635, IF(D635&lt;=$A$15,D635-$F$11,$C$11),0)</f>
        <v>60</v>
      </c>
      <c r="J635">
        <f t="shared" si="55"/>
        <v>548</v>
      </c>
      <c r="K635" s="5">
        <f>IF(D635&lt;$F$11,H635,0)</f>
        <v>0</v>
      </c>
      <c r="L635">
        <f>IF(D635&lt;$A$15,$D$11,$D$11*(1-$H$11))</f>
        <v>85</v>
      </c>
      <c r="M635">
        <f t="shared" si="56"/>
        <v>1</v>
      </c>
      <c r="N635">
        <f>IF(SUM(I635:J635)&lt;=($G$11/60*$F$11/($E$11/60)),1,0)</f>
        <v>0</v>
      </c>
    </row>
    <row r="636" spans="4:14" x14ac:dyDescent="0.2">
      <c r="D636">
        <f t="shared" si="58"/>
        <v>613</v>
      </c>
      <c r="E636" s="1">
        <f>IF($H$11=1,IF(D636&lt;=$A$15, E635+LN($D$11)-LN(60/$E$11)-LN(MIN(D636,$F$11)), E635-LN(60/$E$11)-LN(MIN(D636,$F$11))), IF(D636&lt;=$A$15, E635+LN($D$11)-LN(60/$E$11)-LN(MIN(D636,$F$11)), E635+LN($D$11)+LN(1-$H$11)-LN(60/$E$11)-LN(MIN(D636,$F$11))))</f>
        <v>-72.233097527088574</v>
      </c>
      <c r="F636" s="1">
        <f t="shared" si="59"/>
        <v>-74.235130336287639</v>
      </c>
      <c r="G636" s="1">
        <f t="shared" si="57"/>
        <v>5.7556255469131765E-33</v>
      </c>
      <c r="H636" s="1">
        <f t="shared" si="54"/>
        <v>5.6495656282215054E-34</v>
      </c>
      <c r="I636">
        <f>IF($F$11&lt;=D636, IF(D636&lt;=$A$15,D636-$F$11,$C$11),0)</f>
        <v>60</v>
      </c>
      <c r="J636">
        <f t="shared" si="55"/>
        <v>549</v>
      </c>
      <c r="K636" s="5">
        <f>IF(D636&lt;$F$11,H636,0)</f>
        <v>0</v>
      </c>
      <c r="L636">
        <f>IF(D636&lt;$A$15,$D$11,$D$11*(1-$H$11))</f>
        <v>85</v>
      </c>
      <c r="M636">
        <f t="shared" si="56"/>
        <v>1</v>
      </c>
      <c r="N636">
        <f>IF(SUM(I636:J636)&lt;=($G$11/60*$F$11/($E$11/60)),1,0)</f>
        <v>0</v>
      </c>
    </row>
    <row r="637" spans="4:14" x14ac:dyDescent="0.2">
      <c r="D637">
        <f t="shared" si="58"/>
        <v>614</v>
      </c>
      <c r="E637" s="1">
        <f>IF($H$11=1,IF(D637&lt;=$A$15, E636+LN($D$11)-LN(60/$E$11)-LN(MIN(D637,$F$11)), E636-LN(60/$E$11)-LN(MIN(D637,$F$11))), IF(D637&lt;=$A$15, E636+LN($D$11)-LN(60/$E$11)-LN(MIN(D637,$F$11)), E636+LN($D$11)+LN(1-$H$11)-LN(60/$E$11)-LN(MIN(D637,$F$11))))</f>
        <v>-72.354794462066096</v>
      </c>
      <c r="F637" s="1">
        <f t="shared" si="59"/>
        <v>-74.356827271265161</v>
      </c>
      <c r="G637" s="1">
        <f t="shared" si="57"/>
        <v>5.0961267863293675E-33</v>
      </c>
      <c r="H637" s="1">
        <f t="shared" si="54"/>
        <v>5.0022195666544511E-34</v>
      </c>
      <c r="I637">
        <f>IF($F$11&lt;=D637, IF(D637&lt;=$A$15,D637-$F$11,$C$11),0)</f>
        <v>60</v>
      </c>
      <c r="J637">
        <f t="shared" si="55"/>
        <v>550</v>
      </c>
      <c r="K637" s="5">
        <f>IF(D637&lt;$F$11,H637,0)</f>
        <v>0</v>
      </c>
      <c r="L637">
        <f>IF(D637&lt;$A$15,$D$11,$D$11*(1-$H$11))</f>
        <v>85</v>
      </c>
      <c r="M637">
        <f t="shared" si="56"/>
        <v>1</v>
      </c>
      <c r="N637">
        <f>IF(SUM(I637:J637)&lt;=($G$11/60*$F$11/($E$11/60)),1,0)</f>
        <v>0</v>
      </c>
    </row>
    <row r="638" spans="4:14" x14ac:dyDescent="0.2">
      <c r="D638">
        <f t="shared" si="58"/>
        <v>615</v>
      </c>
      <c r="E638" s="1">
        <f>IF($H$11=1,IF(D638&lt;=$A$15, E637+LN($D$11)-LN(60/$E$11)-LN(MIN(D638,$F$11)), E637-LN(60/$E$11)-LN(MIN(D638,$F$11))), IF(D638&lt;=$A$15, E637+LN($D$11)-LN(60/$E$11)-LN(MIN(D638,$F$11)), E637+LN($D$11)+LN(1-$H$11)-LN(60/$E$11)-LN(MIN(D638,$F$11))))</f>
        <v>-72.476491397043617</v>
      </c>
      <c r="F638" s="1">
        <f t="shared" si="59"/>
        <v>-74.478524206242682</v>
      </c>
      <c r="G638" s="1">
        <f t="shared" si="57"/>
        <v>4.5121955920624544E-33</v>
      </c>
      <c r="H638" s="1">
        <f t="shared" si="54"/>
        <v>4.4290485746419557E-34</v>
      </c>
      <c r="I638">
        <f>IF($F$11&lt;=D638, IF(D638&lt;=$A$15,D638-$F$11,$C$11),0)</f>
        <v>60</v>
      </c>
      <c r="J638">
        <f t="shared" si="55"/>
        <v>551</v>
      </c>
      <c r="K638" s="5">
        <f>IF(D638&lt;$F$11,H638,0)</f>
        <v>0</v>
      </c>
      <c r="L638">
        <f>IF(D638&lt;$A$15,$D$11,$D$11*(1-$H$11))</f>
        <v>85</v>
      </c>
      <c r="M638">
        <f t="shared" si="56"/>
        <v>1</v>
      </c>
      <c r="N638">
        <f>IF(SUM(I638:J638)&lt;=($G$11/60*$F$11/($E$11/60)),1,0)</f>
        <v>0</v>
      </c>
    </row>
    <row r="639" spans="4:14" x14ac:dyDescent="0.2">
      <c r="D639">
        <f t="shared" si="58"/>
        <v>616</v>
      </c>
      <c r="E639" s="1">
        <f>IF($H$11=1,IF(D639&lt;=$A$15, E638+LN($D$11)-LN(60/$E$11)-LN(MIN(D639,$F$11)), E638-LN(60/$E$11)-LN(MIN(D639,$F$11))), IF(D639&lt;=$A$15, E638+LN($D$11)-LN(60/$E$11)-LN(MIN(D639,$F$11)), E638+LN($D$11)+LN(1-$H$11)-LN(60/$E$11)-LN(MIN(D639,$F$11))))</f>
        <v>-72.598188332021138</v>
      </c>
      <c r="F639" s="1">
        <f t="shared" si="59"/>
        <v>-74.600221141220203</v>
      </c>
      <c r="G639" s="1">
        <f t="shared" si="57"/>
        <v>3.995173180471959E-33</v>
      </c>
      <c r="H639" s="1">
        <f t="shared" si="54"/>
        <v>3.9215534254642253E-34</v>
      </c>
      <c r="I639">
        <f>IF($F$11&lt;=D639, IF(D639&lt;=$A$15,D639-$F$11,$C$11),0)</f>
        <v>60</v>
      </c>
      <c r="J639">
        <f t="shared" si="55"/>
        <v>552</v>
      </c>
      <c r="K639" s="5">
        <f>IF(D639&lt;$F$11,H639,0)</f>
        <v>0</v>
      </c>
      <c r="L639">
        <f>IF(D639&lt;$A$15,$D$11,$D$11*(1-$H$11))</f>
        <v>85</v>
      </c>
      <c r="M639">
        <f t="shared" si="56"/>
        <v>1</v>
      </c>
      <c r="N639">
        <f>IF(SUM(I639:J639)&lt;=($G$11/60*$F$11/($E$11/60)),1,0)</f>
        <v>0</v>
      </c>
    </row>
    <row r="640" spans="4:14" x14ac:dyDescent="0.2">
      <c r="D640">
        <f t="shared" si="58"/>
        <v>617</v>
      </c>
      <c r="E640" s="1">
        <f>IF($H$11=1,IF(D640&lt;=$A$15, E639+LN($D$11)-LN(60/$E$11)-LN(MIN(D640,$F$11)), E639-LN(60/$E$11)-LN(MIN(D640,$F$11))), IF(D640&lt;=$A$15, E639+LN($D$11)-LN(60/$E$11)-LN(MIN(D640,$F$11)), E639+LN($D$11)+LN(1-$H$11)-LN(60/$E$11)-LN(MIN(D640,$F$11))))</f>
        <v>-72.719885266998659</v>
      </c>
      <c r="F640" s="1">
        <f t="shared" si="59"/>
        <v>-74.721918076197724</v>
      </c>
      <c r="G640" s="1">
        <f t="shared" si="57"/>
        <v>3.5373929202095422E-33</v>
      </c>
      <c r="H640" s="1">
        <f t="shared" si="54"/>
        <v>3.4722087621297784E-34</v>
      </c>
      <c r="I640">
        <f>IF($F$11&lt;=D640, IF(D640&lt;=$A$15,D640-$F$11,$C$11),0)</f>
        <v>60</v>
      </c>
      <c r="J640">
        <f t="shared" si="55"/>
        <v>553</v>
      </c>
      <c r="K640" s="5">
        <f>IF(D640&lt;$F$11,H640,0)</f>
        <v>0</v>
      </c>
      <c r="L640">
        <f>IF(D640&lt;$A$15,$D$11,$D$11*(1-$H$11))</f>
        <v>85</v>
      </c>
      <c r="M640">
        <f t="shared" si="56"/>
        <v>1</v>
      </c>
      <c r="N640">
        <f>IF(SUM(I640:J640)&lt;=($G$11/60*$F$11/($E$11/60)),1,0)</f>
        <v>0</v>
      </c>
    </row>
    <row r="641" spans="4:14" x14ac:dyDescent="0.2">
      <c r="D641">
        <f t="shared" si="58"/>
        <v>618</v>
      </c>
      <c r="E641" s="1">
        <f>IF($H$11=1,IF(D641&lt;=$A$15, E640+LN($D$11)-LN(60/$E$11)-LN(MIN(D641,$F$11)), E640-LN(60/$E$11)-LN(MIN(D641,$F$11))), IF(D641&lt;=$A$15, E640+LN($D$11)-LN(60/$E$11)-LN(MIN(D641,$F$11)), E640+LN($D$11)+LN(1-$H$11)-LN(60/$E$11)-LN(MIN(D641,$F$11))))</f>
        <v>-72.84158220197618</v>
      </c>
      <c r="F641" s="1">
        <f t="shared" si="59"/>
        <v>-74.843615011175245</v>
      </c>
      <c r="G641" s="1">
        <f t="shared" si="57"/>
        <v>3.1320666481021944E-33</v>
      </c>
      <c r="H641" s="1">
        <f t="shared" si="54"/>
        <v>3.0743515081357368E-34</v>
      </c>
      <c r="I641">
        <f>IF($F$11&lt;=D641, IF(D641&lt;=$A$15,D641-$F$11,$C$11),0)</f>
        <v>60</v>
      </c>
      <c r="J641">
        <f t="shared" si="55"/>
        <v>554</v>
      </c>
      <c r="K641" s="5">
        <f>IF(D641&lt;$F$11,H641,0)</f>
        <v>0</v>
      </c>
      <c r="L641">
        <f>IF(D641&lt;$A$15,$D$11,$D$11*(1-$H$11))</f>
        <v>85</v>
      </c>
      <c r="M641">
        <f t="shared" si="56"/>
        <v>1</v>
      </c>
      <c r="N641">
        <f>IF(SUM(I641:J641)&lt;=($G$11/60*$F$11/($E$11/60)),1,0)</f>
        <v>0</v>
      </c>
    </row>
    <row r="642" spans="4:14" x14ac:dyDescent="0.2">
      <c r="D642">
        <f t="shared" si="58"/>
        <v>619</v>
      </c>
      <c r="E642" s="1">
        <f>IF($H$11=1,IF(D642&lt;=$A$15, E641+LN($D$11)-LN(60/$E$11)-LN(MIN(D642,$F$11)), E641-LN(60/$E$11)-LN(MIN(D642,$F$11))), IF(D642&lt;=$A$15, E641+LN($D$11)-LN(60/$E$11)-LN(MIN(D642,$F$11)), E641+LN($D$11)+LN(1-$H$11)-LN(60/$E$11)-LN(MIN(D642,$F$11))))</f>
        <v>-72.963279136953702</v>
      </c>
      <c r="F642" s="1">
        <f t="shared" si="59"/>
        <v>-74.965311946152767</v>
      </c>
      <c r="G642" s="1">
        <f t="shared" si="57"/>
        <v>2.7731840113404805E-33</v>
      </c>
      <c r="H642" s="1">
        <f t="shared" si="54"/>
        <v>2.7220820644951795E-34</v>
      </c>
      <c r="I642">
        <f>IF($F$11&lt;=D642, IF(D642&lt;=$A$15,D642-$F$11,$C$11),0)</f>
        <v>60</v>
      </c>
      <c r="J642">
        <f t="shared" si="55"/>
        <v>555</v>
      </c>
      <c r="K642" s="5">
        <f>IF(D642&lt;$F$11,H642,0)</f>
        <v>0</v>
      </c>
      <c r="L642">
        <f>IF(D642&lt;$A$15,$D$11,$D$11*(1-$H$11))</f>
        <v>85</v>
      </c>
      <c r="M642">
        <f t="shared" si="56"/>
        <v>1</v>
      </c>
      <c r="N642">
        <f>IF(SUM(I642:J642)&lt;=($G$11/60*$F$11/($E$11/60)),1,0)</f>
        <v>0</v>
      </c>
    </row>
    <row r="643" spans="4:14" x14ac:dyDescent="0.2">
      <c r="D643">
        <f t="shared" si="58"/>
        <v>620</v>
      </c>
      <c r="E643" s="1">
        <f>IF($H$11=1,IF(D643&lt;=$A$15, E642+LN($D$11)-LN(60/$E$11)-LN(MIN(D643,$F$11)), E642-LN(60/$E$11)-LN(MIN(D643,$F$11))), IF(D643&lt;=$A$15, E642+LN($D$11)-LN(60/$E$11)-LN(MIN(D643,$F$11)), E642+LN($D$11)+LN(1-$H$11)-LN(60/$E$11)-LN(MIN(D643,$F$11))))</f>
        <v>-73.084976071931223</v>
      </c>
      <c r="F643" s="1">
        <f t="shared" si="59"/>
        <v>-75.087008881130288</v>
      </c>
      <c r="G643" s="1">
        <f t="shared" si="57"/>
        <v>2.4554233433743802E-33</v>
      </c>
      <c r="H643" s="1">
        <f t="shared" si="54"/>
        <v>2.410176827938437E-34</v>
      </c>
      <c r="I643">
        <f>IF($F$11&lt;=D643, IF(D643&lt;=$A$15,D643-$F$11,$C$11),0)</f>
        <v>60</v>
      </c>
      <c r="J643">
        <f t="shared" si="55"/>
        <v>556</v>
      </c>
      <c r="K643" s="5">
        <f>IF(D643&lt;$F$11,H643,0)</f>
        <v>0</v>
      </c>
      <c r="L643">
        <f>IF(D643&lt;$A$15,$D$11,$D$11*(1-$H$11))</f>
        <v>85</v>
      </c>
      <c r="M643">
        <f t="shared" si="56"/>
        <v>1</v>
      </c>
      <c r="N643">
        <f>IF(SUM(I643:J643)&lt;=($G$11/60*$F$11/($E$11/60)),1,0)</f>
        <v>0</v>
      </c>
    </row>
    <row r="644" spans="4:14" x14ac:dyDescent="0.2">
      <c r="D644">
        <f t="shared" si="58"/>
        <v>621</v>
      </c>
      <c r="E644" s="1">
        <f>IF($H$11=1,IF(D644&lt;=$A$15, E643+LN($D$11)-LN(60/$E$11)-LN(MIN(D644,$F$11)), E643-LN(60/$E$11)-LN(MIN(D644,$F$11))), IF(D644&lt;=$A$15, E643+LN($D$11)-LN(60/$E$11)-LN(MIN(D644,$F$11)), E643+LN($D$11)+LN(1-$H$11)-LN(60/$E$11)-LN(MIN(D644,$F$11))))</f>
        <v>-73.206673006908744</v>
      </c>
      <c r="F644" s="1">
        <f t="shared" si="59"/>
        <v>-75.208705816107809</v>
      </c>
      <c r="G644" s="1">
        <f t="shared" si="57"/>
        <v>2.1740727519460626E-33</v>
      </c>
      <c r="H644" s="1">
        <f t="shared" si="54"/>
        <v>2.1340107330704877E-34</v>
      </c>
      <c r="I644">
        <f>IF($F$11&lt;=D644, IF(D644&lt;=$A$15,D644-$F$11,$C$11),0)</f>
        <v>60</v>
      </c>
      <c r="J644">
        <f t="shared" si="55"/>
        <v>557</v>
      </c>
      <c r="K644" s="5">
        <f>IF(D644&lt;$F$11,H644,0)</f>
        <v>0</v>
      </c>
      <c r="L644">
        <f>IF(D644&lt;$A$15,$D$11,$D$11*(1-$H$11))</f>
        <v>85</v>
      </c>
      <c r="M644">
        <f t="shared" si="56"/>
        <v>1</v>
      </c>
      <c r="N644">
        <f>IF(SUM(I644:J644)&lt;=($G$11/60*$F$11/($E$11/60)),1,0)</f>
        <v>0</v>
      </c>
    </row>
    <row r="645" spans="4:14" x14ac:dyDescent="0.2">
      <c r="D645">
        <f t="shared" si="58"/>
        <v>622</v>
      </c>
      <c r="E645" s="1">
        <f>IF($H$11=1,IF(D645&lt;=$A$15, E644+LN($D$11)-LN(60/$E$11)-LN(MIN(D645,$F$11)), E644-LN(60/$E$11)-LN(MIN(D645,$F$11))), IF(D645&lt;=$A$15, E644+LN($D$11)-LN(60/$E$11)-LN(MIN(D645,$F$11)), E644+LN($D$11)+LN(1-$H$11)-LN(60/$E$11)-LN(MIN(D645,$F$11))))</f>
        <v>-73.328369941886265</v>
      </c>
      <c r="F645" s="1">
        <f t="shared" si="59"/>
        <v>-75.33040275108533</v>
      </c>
      <c r="G645" s="1">
        <f t="shared" si="57"/>
        <v>1.9249602491189071E-33</v>
      </c>
      <c r="H645" s="1">
        <f t="shared" si="54"/>
        <v>1.8894886699061585E-34</v>
      </c>
      <c r="I645">
        <f>IF($F$11&lt;=D645, IF(D645&lt;=$A$15,D645-$F$11,$C$11),0)</f>
        <v>60</v>
      </c>
      <c r="J645">
        <f t="shared" si="55"/>
        <v>558</v>
      </c>
      <c r="K645" s="5">
        <f>IF(D645&lt;$F$11,H645,0)</f>
        <v>0</v>
      </c>
      <c r="L645">
        <f>IF(D645&lt;$A$15,$D$11,$D$11*(1-$H$11))</f>
        <v>85</v>
      </c>
      <c r="M645">
        <f t="shared" si="56"/>
        <v>1</v>
      </c>
      <c r="N645">
        <f>IF(SUM(I645:J645)&lt;=($G$11/60*$F$11/($E$11/60)),1,0)</f>
        <v>0</v>
      </c>
    </row>
    <row r="646" spans="4:14" x14ac:dyDescent="0.2">
      <c r="D646">
        <f t="shared" si="58"/>
        <v>623</v>
      </c>
      <c r="E646" s="1">
        <f>IF($H$11=1,IF(D646&lt;=$A$15, E645+LN($D$11)-LN(60/$E$11)-LN(MIN(D646,$F$11)), E645-LN(60/$E$11)-LN(MIN(D646,$F$11))), IF(D646&lt;=$A$15, E645+LN($D$11)-LN(60/$E$11)-LN(MIN(D646,$F$11)), E645+LN($D$11)+LN(1-$H$11)-LN(60/$E$11)-LN(MIN(D646,$F$11))))</f>
        <v>-73.450066876863787</v>
      </c>
      <c r="F646" s="1">
        <f t="shared" si="59"/>
        <v>-75.452099686062851</v>
      </c>
      <c r="G646" s="1">
        <f t="shared" si="57"/>
        <v>1.7043918872406964E-33</v>
      </c>
      <c r="H646" s="1">
        <f t="shared" si="54"/>
        <v>1.6729847598127421E-34</v>
      </c>
      <c r="I646">
        <f>IF($F$11&lt;=D646, IF(D646&lt;=$A$15,D646-$F$11,$C$11),0)</f>
        <v>60</v>
      </c>
      <c r="J646">
        <f t="shared" si="55"/>
        <v>559</v>
      </c>
      <c r="K646" s="5">
        <f>IF(D646&lt;$F$11,H646,0)</f>
        <v>0</v>
      </c>
      <c r="L646">
        <f>IF(D646&lt;$A$15,$D$11,$D$11*(1-$H$11))</f>
        <v>85</v>
      </c>
      <c r="M646">
        <f t="shared" si="56"/>
        <v>1</v>
      </c>
      <c r="N646">
        <f>IF(SUM(I646:J646)&lt;=($G$11/60*$F$11/($E$11/60)),1,0)</f>
        <v>0</v>
      </c>
    </row>
    <row r="647" spans="4:14" x14ac:dyDescent="0.2">
      <c r="D647">
        <f t="shared" si="58"/>
        <v>624</v>
      </c>
      <c r="E647" s="1">
        <f>IF($H$11=1,IF(D647&lt;=$A$15, E646+LN($D$11)-LN(60/$E$11)-LN(MIN(D647,$F$11)), E646-LN(60/$E$11)-LN(MIN(D647,$F$11))), IF(D647&lt;=$A$15, E646+LN($D$11)-LN(60/$E$11)-LN(MIN(D647,$F$11)), E646+LN($D$11)+LN(1-$H$11)-LN(60/$E$11)-LN(MIN(D647,$F$11))))</f>
        <v>-73.571763811841308</v>
      </c>
      <c r="F647" s="1">
        <f t="shared" si="59"/>
        <v>-75.573796621040373</v>
      </c>
      <c r="G647" s="1">
        <f t="shared" si="57"/>
        <v>1.5090969834943645E-33</v>
      </c>
      <c r="H647" s="1">
        <f t="shared" si="54"/>
        <v>1.4812885894175298E-34</v>
      </c>
      <c r="I647">
        <f>IF($F$11&lt;=D647, IF(D647&lt;=$A$15,D647-$F$11,$C$11),0)</f>
        <v>60</v>
      </c>
      <c r="J647">
        <f t="shared" si="55"/>
        <v>560</v>
      </c>
      <c r="K647" s="5">
        <f>IF(D647&lt;$F$11,H647,0)</f>
        <v>0</v>
      </c>
      <c r="L647">
        <f>IF(D647&lt;$A$15,$D$11,$D$11*(1-$H$11))</f>
        <v>85</v>
      </c>
      <c r="M647">
        <f t="shared" si="56"/>
        <v>1</v>
      </c>
      <c r="N647">
        <f>IF(SUM(I647:J647)&lt;=($G$11/60*$F$11/($E$11/60)),1,0)</f>
        <v>0</v>
      </c>
    </row>
    <row r="648" spans="4:14" x14ac:dyDescent="0.2">
      <c r="D648">
        <f t="shared" si="58"/>
        <v>625</v>
      </c>
      <c r="E648" s="1">
        <f>IF($H$11=1,IF(D648&lt;=$A$15, E647+LN($D$11)-LN(60/$E$11)-LN(MIN(D648,$F$11)), E647-LN(60/$E$11)-LN(MIN(D648,$F$11))), IF(D648&lt;=$A$15, E647+LN($D$11)-LN(60/$E$11)-LN(MIN(D648,$F$11)), E647+LN($D$11)+LN(1-$H$11)-LN(60/$E$11)-LN(MIN(D648,$F$11))))</f>
        <v>-73.693460746818829</v>
      </c>
      <c r="F648" s="1">
        <f t="shared" si="59"/>
        <v>-75.695493556017894</v>
      </c>
      <c r="G648" s="1">
        <f t="shared" si="57"/>
        <v>1.3361796208023E-33</v>
      </c>
      <c r="H648" s="1">
        <f t="shared" si="54"/>
        <v>1.3115576052134362E-34</v>
      </c>
      <c r="I648">
        <f>IF($F$11&lt;=D648, IF(D648&lt;=$A$15,D648-$F$11,$C$11),0)</f>
        <v>60</v>
      </c>
      <c r="J648">
        <f t="shared" si="55"/>
        <v>561</v>
      </c>
      <c r="K648" s="5">
        <f>IF(D648&lt;$F$11,H648,0)</f>
        <v>0</v>
      </c>
      <c r="L648">
        <f>IF(D648&lt;$A$15,$D$11,$D$11*(1-$H$11))</f>
        <v>85</v>
      </c>
      <c r="M648">
        <f t="shared" si="56"/>
        <v>1</v>
      </c>
      <c r="N648">
        <f>IF(SUM(I648:J648)&lt;=($G$11/60*$F$11/($E$11/60)),1,0)</f>
        <v>0</v>
      </c>
    </row>
    <row r="649" spans="4:14" x14ac:dyDescent="0.2">
      <c r="D649">
        <f t="shared" si="58"/>
        <v>626</v>
      </c>
      <c r="E649" s="1">
        <f>IF($H$11=1,IF(D649&lt;=$A$15, E648+LN($D$11)-LN(60/$E$11)-LN(MIN(D649,$F$11)), E648-LN(60/$E$11)-LN(MIN(D649,$F$11))), IF(D649&lt;=$A$15, E648+LN($D$11)-LN(60/$E$11)-LN(MIN(D649,$F$11)), E648+LN($D$11)+LN(1-$H$11)-LN(60/$E$11)-LN(MIN(D649,$F$11))))</f>
        <v>-73.81515768179635</v>
      </c>
      <c r="F649" s="1">
        <f t="shared" si="59"/>
        <v>-75.817190490995415</v>
      </c>
      <c r="G649" s="1">
        <f t="shared" si="57"/>
        <v>1.1830757059187015E-33</v>
      </c>
      <c r="H649" s="1">
        <f t="shared" si="54"/>
        <v>1.161274962949395E-34</v>
      </c>
      <c r="I649">
        <f>IF($F$11&lt;=D649, IF(D649&lt;=$A$15,D649-$F$11,$C$11),0)</f>
        <v>60</v>
      </c>
      <c r="J649">
        <f t="shared" si="55"/>
        <v>562</v>
      </c>
      <c r="K649" s="5">
        <f>IF(D649&lt;$F$11,H649,0)</f>
        <v>0</v>
      </c>
      <c r="L649">
        <f>IF(D649&lt;$A$15,$D$11,$D$11*(1-$H$11))</f>
        <v>85</v>
      </c>
      <c r="M649">
        <f t="shared" si="56"/>
        <v>1</v>
      </c>
      <c r="N649">
        <f>IF(SUM(I649:J649)&lt;=($G$11/60*$F$11/($E$11/60)),1,0)</f>
        <v>0</v>
      </c>
    </row>
    <row r="650" spans="4:14" x14ac:dyDescent="0.2">
      <c r="D650">
        <f t="shared" si="58"/>
        <v>627</v>
      </c>
      <c r="E650" s="1">
        <f>IF($H$11=1,IF(D650&lt;=$A$15, E649+LN($D$11)-LN(60/$E$11)-LN(MIN(D650,$F$11)), E649-LN(60/$E$11)-LN(MIN(D650,$F$11))), IF(D650&lt;=$A$15, E649+LN($D$11)-LN(60/$E$11)-LN(MIN(D650,$F$11)), E649+LN($D$11)+LN(1-$H$11)-LN(60/$E$11)-LN(MIN(D650,$F$11))))</f>
        <v>-73.936854616773871</v>
      </c>
      <c r="F650" s="1">
        <f t="shared" si="59"/>
        <v>-75.938887425972936</v>
      </c>
      <c r="G650" s="1">
        <f t="shared" si="57"/>
        <v>1.0475149479488488E-33</v>
      </c>
      <c r="H650" s="1">
        <f t="shared" si="54"/>
        <v>1.0282122067781086E-34</v>
      </c>
      <c r="I650">
        <f>IF($F$11&lt;=D650, IF(D650&lt;=$A$15,D650-$F$11,$C$11),0)</f>
        <v>60</v>
      </c>
      <c r="J650">
        <f t="shared" si="55"/>
        <v>563</v>
      </c>
      <c r="K650" s="5">
        <f>IF(D650&lt;$F$11,H650,0)</f>
        <v>0</v>
      </c>
      <c r="L650">
        <f>IF(D650&lt;$A$15,$D$11,$D$11*(1-$H$11))</f>
        <v>85</v>
      </c>
      <c r="M650">
        <f t="shared" si="56"/>
        <v>1</v>
      </c>
      <c r="N650">
        <f>IF(SUM(I650:J650)&lt;=($G$11/60*$F$11/($E$11/60)),1,0)</f>
        <v>0</v>
      </c>
    </row>
    <row r="651" spans="4:14" x14ac:dyDescent="0.2">
      <c r="D651">
        <f t="shared" si="58"/>
        <v>628</v>
      </c>
      <c r="E651" s="1">
        <f>IF($H$11=1,IF(D651&lt;=$A$15, E650+LN($D$11)-LN(60/$E$11)-LN(MIN(D651,$F$11)), E650-LN(60/$E$11)-LN(MIN(D651,$F$11))), IF(D651&lt;=$A$15, E650+LN($D$11)-LN(60/$E$11)-LN(MIN(D651,$F$11)), E650+LN($D$11)+LN(1-$H$11)-LN(60/$E$11)-LN(MIN(D651,$F$11))))</f>
        <v>-74.058551551751393</v>
      </c>
      <c r="F651" s="1">
        <f t="shared" si="59"/>
        <v>-76.060584360950457</v>
      </c>
      <c r="G651" s="1">
        <f t="shared" si="57"/>
        <v>9.2748719349637515E-34</v>
      </c>
      <c r="H651" s="1">
        <f t="shared" si="54"/>
        <v>9.1039622475144905E-35</v>
      </c>
      <c r="I651">
        <f>IF($F$11&lt;=D651, IF(D651&lt;=$A$15,D651-$F$11,$C$11),0)</f>
        <v>60</v>
      </c>
      <c r="J651">
        <f t="shared" si="55"/>
        <v>564</v>
      </c>
      <c r="K651" s="5">
        <f>IF(D651&lt;$F$11,H651,0)</f>
        <v>0</v>
      </c>
      <c r="L651">
        <f>IF(D651&lt;$A$15,$D$11,$D$11*(1-$H$11))</f>
        <v>85</v>
      </c>
      <c r="M651">
        <f t="shared" si="56"/>
        <v>1</v>
      </c>
      <c r="N651">
        <f>IF(SUM(I651:J651)&lt;=($G$11/60*$F$11/($E$11/60)),1,0)</f>
        <v>0</v>
      </c>
    </row>
    <row r="652" spans="4:14" x14ac:dyDescent="0.2">
      <c r="D652">
        <f t="shared" si="58"/>
        <v>629</v>
      </c>
      <c r="E652" s="1">
        <f>IF($H$11=1,IF(D652&lt;=$A$15, E651+LN($D$11)-LN(60/$E$11)-LN(MIN(D652,$F$11)), E651-LN(60/$E$11)-LN(MIN(D652,$F$11))), IF(D652&lt;=$A$15, E651+LN($D$11)-LN(60/$E$11)-LN(MIN(D652,$F$11)), E651+LN($D$11)+LN(1-$H$11)-LN(60/$E$11)-LN(MIN(D652,$F$11))))</f>
        <v>-74.180248486728914</v>
      </c>
      <c r="F652" s="1">
        <f t="shared" si="59"/>
        <v>-76.182281295927979</v>
      </c>
      <c r="G652" s="1">
        <f t="shared" si="57"/>
        <v>8.2121261924158101E-34</v>
      </c>
      <c r="H652" s="1">
        <f t="shared" si="54"/>
        <v>8.0607999066534434E-35</v>
      </c>
      <c r="I652">
        <f>IF($F$11&lt;=D652, IF(D652&lt;=$A$15,D652-$F$11,$C$11),0)</f>
        <v>60</v>
      </c>
      <c r="J652">
        <f t="shared" si="55"/>
        <v>565</v>
      </c>
      <c r="K652" s="5">
        <f>IF(D652&lt;$F$11,H652,0)</f>
        <v>0</v>
      </c>
      <c r="L652">
        <f>IF(D652&lt;$A$15,$D$11,$D$11*(1-$H$11))</f>
        <v>85</v>
      </c>
      <c r="M652">
        <f t="shared" si="56"/>
        <v>1</v>
      </c>
      <c r="N652">
        <f>IF(SUM(I652:J652)&lt;=($G$11/60*$F$11/($E$11/60)),1,0)</f>
        <v>0</v>
      </c>
    </row>
    <row r="653" spans="4:14" x14ac:dyDescent="0.2">
      <c r="D653">
        <f t="shared" si="58"/>
        <v>630</v>
      </c>
      <c r="E653" s="1">
        <f>IF($H$11=1,IF(D653&lt;=$A$15, E652+LN($D$11)-LN(60/$E$11)-LN(MIN(D653,$F$11)), E652-LN(60/$E$11)-LN(MIN(D653,$F$11))), IF(D653&lt;=$A$15, E652+LN($D$11)-LN(60/$E$11)-LN(MIN(D653,$F$11)), E652+LN($D$11)+LN(1-$H$11)-LN(60/$E$11)-LN(MIN(D653,$F$11))))</f>
        <v>-74.301945421706435</v>
      </c>
      <c r="F653" s="1">
        <f t="shared" si="59"/>
        <v>-76.3039782309055</v>
      </c>
      <c r="G653" s="1">
        <f t="shared" si="57"/>
        <v>7.2711533995348215E-34</v>
      </c>
      <c r="H653" s="1">
        <f t="shared" si="54"/>
        <v>7.1371665840160594E-35</v>
      </c>
      <c r="I653">
        <f>IF($F$11&lt;=D653, IF(D653&lt;=$A$15,D653-$F$11,$C$11),0)</f>
        <v>60</v>
      </c>
      <c r="J653">
        <f t="shared" si="55"/>
        <v>566</v>
      </c>
      <c r="K653" s="5">
        <f>IF(D653&lt;$F$11,H653,0)</f>
        <v>0</v>
      </c>
      <c r="L653">
        <f>IF(D653&lt;$A$15,$D$11,$D$11*(1-$H$11))</f>
        <v>85</v>
      </c>
      <c r="M653">
        <f t="shared" si="56"/>
        <v>1</v>
      </c>
      <c r="N653">
        <f>IF(SUM(I653:J653)&lt;=($G$11/60*$F$11/($E$11/60)),1,0)</f>
        <v>0</v>
      </c>
    </row>
    <row r="654" spans="4:14" x14ac:dyDescent="0.2">
      <c r="D654">
        <f t="shared" si="58"/>
        <v>631</v>
      </c>
      <c r="E654" s="1">
        <f>IF($H$11=1,IF(D654&lt;=$A$15, E653+LN($D$11)-LN(60/$E$11)-LN(MIN(D654,$F$11)), E653-LN(60/$E$11)-LN(MIN(D654,$F$11))), IF(D654&lt;=$A$15, E653+LN($D$11)-LN(60/$E$11)-LN(MIN(D654,$F$11)), E653+LN($D$11)+LN(1-$H$11)-LN(60/$E$11)-LN(MIN(D654,$F$11))))</f>
        <v>-74.423642356683956</v>
      </c>
      <c r="F654" s="1">
        <f t="shared" si="59"/>
        <v>-76.425675165883021</v>
      </c>
      <c r="G654" s="1">
        <f t="shared" si="57"/>
        <v>6.4380004058381141E-34</v>
      </c>
      <c r="H654" s="1">
        <f t="shared" si="54"/>
        <v>6.3193662462642108E-35</v>
      </c>
      <c r="I654">
        <f>IF($F$11&lt;=D654, IF(D654&lt;=$A$15,D654-$F$11,$C$11),0)</f>
        <v>60</v>
      </c>
      <c r="J654">
        <f t="shared" si="55"/>
        <v>567</v>
      </c>
      <c r="K654" s="5">
        <f>IF(D654&lt;$F$11,H654,0)</f>
        <v>0</v>
      </c>
      <c r="L654">
        <f>IF(D654&lt;$A$15,$D$11,$D$11*(1-$H$11))</f>
        <v>85</v>
      </c>
      <c r="M654">
        <f t="shared" si="56"/>
        <v>1</v>
      </c>
      <c r="N654">
        <f>IF(SUM(I654:J654)&lt;=($G$11/60*$F$11/($E$11/60)),1,0)</f>
        <v>0</v>
      </c>
    </row>
    <row r="655" spans="4:14" x14ac:dyDescent="0.2">
      <c r="D655">
        <f t="shared" si="58"/>
        <v>632</v>
      </c>
      <c r="E655" s="1">
        <f>IF($H$11=1,IF(D655&lt;=$A$15, E654+LN($D$11)-LN(60/$E$11)-LN(MIN(D655,$F$11)), E654-LN(60/$E$11)-LN(MIN(D655,$F$11))), IF(D655&lt;=$A$15, E654+LN($D$11)-LN(60/$E$11)-LN(MIN(D655,$F$11)), E654+LN($D$11)+LN(1-$H$11)-LN(60/$E$11)-LN(MIN(D655,$F$11))))</f>
        <v>-74.545339291661477</v>
      </c>
      <c r="F655" s="1">
        <f t="shared" si="59"/>
        <v>-76.547372100860542</v>
      </c>
      <c r="G655" s="1">
        <f t="shared" si="57"/>
        <v>5.7003128593358222E-34</v>
      </c>
      <c r="H655" s="1">
        <f t="shared" si="54"/>
        <v>5.5952721972130951E-35</v>
      </c>
      <c r="I655">
        <f>IF($F$11&lt;=D655, IF(D655&lt;=$A$15,D655-$F$11,$C$11),0)</f>
        <v>60</v>
      </c>
      <c r="J655">
        <f t="shared" si="55"/>
        <v>568</v>
      </c>
      <c r="K655" s="5">
        <f>IF(D655&lt;$F$11,H655,0)</f>
        <v>0</v>
      </c>
      <c r="L655">
        <f>IF(D655&lt;$A$15,$D$11,$D$11*(1-$H$11))</f>
        <v>85</v>
      </c>
      <c r="M655">
        <f t="shared" si="56"/>
        <v>1</v>
      </c>
      <c r="N655">
        <f>IF(SUM(I655:J655)&lt;=($G$11/60*$F$11/($E$11/60)),1,0)</f>
        <v>0</v>
      </c>
    </row>
    <row r="656" spans="4:14" x14ac:dyDescent="0.2">
      <c r="D656">
        <f t="shared" si="58"/>
        <v>633</v>
      </c>
      <c r="E656" s="1">
        <f>IF($H$11=1,IF(D656&lt;=$A$15, E655+LN($D$11)-LN(60/$E$11)-LN(MIN(D656,$F$11)), E655-LN(60/$E$11)-LN(MIN(D656,$F$11))), IF(D656&lt;=$A$15, E655+LN($D$11)-LN(60/$E$11)-LN(MIN(D656,$F$11)), E655+LN($D$11)+LN(1-$H$11)-LN(60/$E$11)-LN(MIN(D656,$F$11))))</f>
        <v>-74.667036226638999</v>
      </c>
      <c r="F656" s="1">
        <f t="shared" si="59"/>
        <v>-76.669069035838064</v>
      </c>
      <c r="G656" s="1">
        <f t="shared" si="57"/>
        <v>5.0471520108702521E-34</v>
      </c>
      <c r="H656" s="1">
        <f t="shared" si="54"/>
        <v>4.9541472579490881E-35</v>
      </c>
      <c r="I656">
        <f>IF($F$11&lt;=D656, IF(D656&lt;=$A$15,D656-$F$11,$C$11),0)</f>
        <v>60</v>
      </c>
      <c r="J656">
        <f t="shared" si="55"/>
        <v>569</v>
      </c>
      <c r="K656" s="5">
        <f>IF(D656&lt;$F$11,H656,0)</f>
        <v>0</v>
      </c>
      <c r="L656">
        <f>IF(D656&lt;$A$15,$D$11,$D$11*(1-$H$11))</f>
        <v>85</v>
      </c>
      <c r="M656">
        <f t="shared" si="56"/>
        <v>1</v>
      </c>
      <c r="N656">
        <f>IF(SUM(I656:J656)&lt;=($G$11/60*$F$11/($E$11/60)),1,0)</f>
        <v>0</v>
      </c>
    </row>
    <row r="657" spans="4:14" x14ac:dyDescent="0.2">
      <c r="D657">
        <f t="shared" si="58"/>
        <v>634</v>
      </c>
      <c r="E657" s="1">
        <f>IF($H$11=1,IF(D657&lt;=$A$15, E656+LN($D$11)-LN(60/$E$11)-LN(MIN(D657,$F$11)), E656-LN(60/$E$11)-LN(MIN(D657,$F$11))), IF(D657&lt;=$A$15, E656+LN($D$11)-LN(60/$E$11)-LN(MIN(D657,$F$11)), E656+LN($D$11)+LN(1-$H$11)-LN(60/$E$11)-LN(MIN(D657,$F$11))))</f>
        <v>-74.78873316161652</v>
      </c>
      <c r="F657" s="1">
        <f t="shared" si="59"/>
        <v>-76.790765970815585</v>
      </c>
      <c r="G657" s="1">
        <f t="shared" si="57"/>
        <v>4.468832509624696E-34</v>
      </c>
      <c r="H657" s="1">
        <f t="shared" si="54"/>
        <v>4.386484551309082E-35</v>
      </c>
      <c r="I657">
        <f>IF($F$11&lt;=D657, IF(D657&lt;=$A$15,D657-$F$11,$C$11),0)</f>
        <v>60</v>
      </c>
      <c r="J657">
        <f t="shared" si="55"/>
        <v>570</v>
      </c>
      <c r="K657" s="5">
        <f>IF(D657&lt;$F$11,H657,0)</f>
        <v>0</v>
      </c>
      <c r="L657">
        <f>IF(D657&lt;$A$15,$D$11,$D$11*(1-$H$11))</f>
        <v>85</v>
      </c>
      <c r="M657">
        <f t="shared" si="56"/>
        <v>1</v>
      </c>
      <c r="N657">
        <f>IF(SUM(I657:J657)&lt;=($G$11/60*$F$11/($E$11/60)),1,0)</f>
        <v>0</v>
      </c>
    </row>
    <row r="658" spans="4:14" x14ac:dyDescent="0.2">
      <c r="D658">
        <f t="shared" si="58"/>
        <v>635</v>
      </c>
      <c r="E658" s="1">
        <f>IF($H$11=1,IF(D658&lt;=$A$15, E657+LN($D$11)-LN(60/$E$11)-LN(MIN(D658,$F$11)), E657-LN(60/$E$11)-LN(MIN(D658,$F$11))), IF(D658&lt;=$A$15, E657+LN($D$11)-LN(60/$E$11)-LN(MIN(D658,$F$11)), E657+LN($D$11)+LN(1-$H$11)-LN(60/$E$11)-LN(MIN(D658,$F$11))))</f>
        <v>-74.910430096594041</v>
      </c>
      <c r="F658" s="1">
        <f t="shared" si="59"/>
        <v>-76.912462905793106</v>
      </c>
      <c r="G658" s="1">
        <f t="shared" si="57"/>
        <v>3.9567787845635272E-34</v>
      </c>
      <c r="H658" s="1">
        <f t="shared" si="54"/>
        <v>3.8838665298049105E-35</v>
      </c>
      <c r="I658">
        <f>IF($F$11&lt;=D658, IF(D658&lt;=$A$15,D658-$F$11,$C$11),0)</f>
        <v>60</v>
      </c>
      <c r="J658">
        <f t="shared" si="55"/>
        <v>571</v>
      </c>
      <c r="K658" s="5">
        <f>IF(D658&lt;$F$11,H658,0)</f>
        <v>0</v>
      </c>
      <c r="L658">
        <f>IF(D658&lt;$A$15,$D$11,$D$11*(1-$H$11))</f>
        <v>85</v>
      </c>
      <c r="M658">
        <f t="shared" si="56"/>
        <v>1</v>
      </c>
      <c r="N658">
        <f>IF(SUM(I658:J658)&lt;=($G$11/60*$F$11/($E$11/60)),1,0)</f>
        <v>0</v>
      </c>
    </row>
    <row r="659" spans="4:14" x14ac:dyDescent="0.2">
      <c r="D659">
        <f t="shared" si="58"/>
        <v>636</v>
      </c>
      <c r="E659" s="1">
        <f>IF($H$11=1,IF(D659&lt;=$A$15, E658+LN($D$11)-LN(60/$E$11)-LN(MIN(D659,$F$11)), E658-LN(60/$E$11)-LN(MIN(D659,$F$11))), IF(D659&lt;=$A$15, E658+LN($D$11)-LN(60/$E$11)-LN(MIN(D659,$F$11)), E658+LN($D$11)+LN(1-$H$11)-LN(60/$E$11)-LN(MIN(D659,$F$11))))</f>
        <v>-75.032127031571562</v>
      </c>
      <c r="F659" s="1">
        <f t="shared" si="59"/>
        <v>-77.034159840770627</v>
      </c>
      <c r="G659" s="1">
        <f t="shared" si="57"/>
        <v>3.5033978821656178E-34</v>
      </c>
      <c r="H659" s="1">
        <f t="shared" si="54"/>
        <v>3.4388401565980927E-35</v>
      </c>
      <c r="I659">
        <f>IF($F$11&lt;=D659, IF(D659&lt;=$A$15,D659-$F$11,$C$11),0)</f>
        <v>60</v>
      </c>
      <c r="J659">
        <f t="shared" si="55"/>
        <v>572</v>
      </c>
      <c r="K659" s="5">
        <f>IF(D659&lt;$F$11,H659,0)</f>
        <v>0</v>
      </c>
      <c r="L659">
        <f>IF(D659&lt;$A$15,$D$11,$D$11*(1-$H$11))</f>
        <v>85</v>
      </c>
      <c r="M659">
        <f t="shared" si="56"/>
        <v>1</v>
      </c>
      <c r="N659">
        <f>IF(SUM(I659:J659)&lt;=($G$11/60*$F$11/($E$11/60)),1,0)</f>
        <v>0</v>
      </c>
    </row>
    <row r="660" spans="4:14" x14ac:dyDescent="0.2">
      <c r="D660">
        <f t="shared" si="58"/>
        <v>637</v>
      </c>
      <c r="E660" s="1">
        <f>IF($H$11=1,IF(D660&lt;=$A$15, E659+LN($D$11)-LN(60/$E$11)-LN(MIN(D660,$F$11)), E659-LN(60/$E$11)-LN(MIN(D660,$F$11))), IF(D660&lt;=$A$15, E659+LN($D$11)-LN(60/$E$11)-LN(MIN(D660,$F$11)), E659+LN($D$11)+LN(1-$H$11)-LN(60/$E$11)-LN(MIN(D660,$F$11))))</f>
        <v>-75.153823966549083</v>
      </c>
      <c r="F660" s="1">
        <f t="shared" si="59"/>
        <v>-77.155856775748148</v>
      </c>
      <c r="G660" s="1">
        <f t="shared" si="57"/>
        <v>3.1019668748341364E-34</v>
      </c>
      <c r="H660" s="1">
        <f t="shared" si="54"/>
        <v>3.0448063886545572E-35</v>
      </c>
      <c r="I660">
        <f>IF($F$11&lt;=D660, IF(D660&lt;=$A$15,D660-$F$11,$C$11),0)</f>
        <v>60</v>
      </c>
      <c r="J660">
        <f t="shared" si="55"/>
        <v>573</v>
      </c>
      <c r="K660" s="5">
        <f>IF(D660&lt;$F$11,H660,0)</f>
        <v>0</v>
      </c>
      <c r="L660">
        <f>IF(D660&lt;$A$15,$D$11,$D$11*(1-$H$11))</f>
        <v>85</v>
      </c>
      <c r="M660">
        <f t="shared" si="56"/>
        <v>1</v>
      </c>
      <c r="N660">
        <f>IF(SUM(I660:J660)&lt;=($G$11/60*$F$11/($E$11/60)),1,0)</f>
        <v>0</v>
      </c>
    </row>
    <row r="661" spans="4:14" x14ac:dyDescent="0.2">
      <c r="D661">
        <f t="shared" si="58"/>
        <v>638</v>
      </c>
      <c r="E661" s="1">
        <f>IF($H$11=1,IF(D661&lt;=$A$15, E660+LN($D$11)-LN(60/$E$11)-LN(MIN(D661,$F$11)), E660-LN(60/$E$11)-LN(MIN(D661,$F$11))), IF(D661&lt;=$A$15, E660+LN($D$11)-LN(60/$E$11)-LN(MIN(D661,$F$11)), E660+LN($D$11)+LN(1-$H$11)-LN(60/$E$11)-LN(MIN(D661,$F$11))))</f>
        <v>-75.275520901526605</v>
      </c>
      <c r="F661" s="1">
        <f t="shared" si="59"/>
        <v>-77.27755371072567</v>
      </c>
      <c r="G661" s="1">
        <f t="shared" si="57"/>
        <v>2.7465331704260544E-34</v>
      </c>
      <c r="H661" s="1">
        <f t="shared" si="54"/>
        <v>2.695922323287885E-35</v>
      </c>
      <c r="I661">
        <f>IF($F$11&lt;=D661, IF(D661&lt;=$A$15,D661-$F$11,$C$11),0)</f>
        <v>60</v>
      </c>
      <c r="J661">
        <f t="shared" si="55"/>
        <v>574</v>
      </c>
      <c r="K661" s="5">
        <f>IF(D661&lt;$F$11,H661,0)</f>
        <v>0</v>
      </c>
      <c r="L661">
        <f>IF(D661&lt;$A$15,$D$11,$D$11*(1-$H$11))</f>
        <v>85</v>
      </c>
      <c r="M661">
        <f t="shared" si="56"/>
        <v>1</v>
      </c>
      <c r="N661">
        <f>IF(SUM(I661:J661)&lt;=($G$11/60*$F$11/($E$11/60)),1,0)</f>
        <v>0</v>
      </c>
    </row>
    <row r="662" spans="4:14" x14ac:dyDescent="0.2">
      <c r="D662">
        <f t="shared" si="58"/>
        <v>639</v>
      </c>
      <c r="E662" s="1">
        <f>IF($H$11=1,IF(D662&lt;=$A$15, E661+LN($D$11)-LN(60/$E$11)-LN(MIN(D662,$F$11)), E661-LN(60/$E$11)-LN(MIN(D662,$F$11))), IF(D662&lt;=$A$15, E661+LN($D$11)-LN(60/$E$11)-LN(MIN(D662,$F$11)), E661+LN($D$11)+LN(1-$H$11)-LN(60/$E$11)-LN(MIN(D662,$F$11))))</f>
        <v>-75.397217836504126</v>
      </c>
      <c r="F662" s="1">
        <f t="shared" si="59"/>
        <v>-77.399250645703191</v>
      </c>
      <c r="G662" s="1">
        <f t="shared" si="57"/>
        <v>2.4318262446480656E-34</v>
      </c>
      <c r="H662" s="1">
        <f t="shared" si="54"/>
        <v>2.3870145570778117E-35</v>
      </c>
      <c r="I662">
        <f>IF($F$11&lt;=D662, IF(D662&lt;=$A$15,D662-$F$11,$C$11),0)</f>
        <v>60</v>
      </c>
      <c r="J662">
        <f t="shared" si="55"/>
        <v>575</v>
      </c>
      <c r="K662" s="5">
        <f>IF(D662&lt;$F$11,H662,0)</f>
        <v>0</v>
      </c>
      <c r="L662">
        <f>IF(D662&lt;$A$15,$D$11,$D$11*(1-$H$11))</f>
        <v>85</v>
      </c>
      <c r="M662">
        <f t="shared" si="56"/>
        <v>1</v>
      </c>
      <c r="N662">
        <f>IF(SUM(I662:J662)&lt;=($G$11/60*$F$11/($E$11/60)),1,0)</f>
        <v>0</v>
      </c>
    </row>
    <row r="663" spans="4:14" x14ac:dyDescent="0.2">
      <c r="D663">
        <f t="shared" si="58"/>
        <v>640</v>
      </c>
      <c r="E663" s="1">
        <f>IF($H$11=1,IF(D663&lt;=$A$15, E662+LN($D$11)-LN(60/$E$11)-LN(MIN(D663,$F$11)), E662-LN(60/$E$11)-LN(MIN(D663,$F$11))), IF(D663&lt;=$A$15, E662+LN($D$11)-LN(60/$E$11)-LN(MIN(D663,$F$11)), E662+LN($D$11)+LN(1-$H$11)-LN(60/$E$11)-LN(MIN(D663,$F$11))))</f>
        <v>-75.518914771481647</v>
      </c>
      <c r="F663" s="1">
        <f t="shared" si="59"/>
        <v>-77.520947580680712</v>
      </c>
      <c r="G663" s="1">
        <f t="shared" si="57"/>
        <v>2.1531794874488052E-34</v>
      </c>
      <c r="H663" s="1">
        <f t="shared" ref="H663:H726" si="60">G663/$G$21</f>
        <v>2.1135024724126429E-35</v>
      </c>
      <c r="I663">
        <f>IF($F$11&lt;=D663, IF(D663&lt;=$A$15,D663-$F$11,$C$11),0)</f>
        <v>60</v>
      </c>
      <c r="J663">
        <f t="shared" ref="J663:J726" si="61">IF(D663&lt;=$A$15,0,D663-$A$15)</f>
        <v>576</v>
      </c>
      <c r="K663" s="5">
        <f>IF(D663&lt;$F$11,H663,0)</f>
        <v>0</v>
      </c>
      <c r="L663">
        <f>IF(D663&lt;$A$15,$D$11,$D$11*(1-$H$11))</f>
        <v>85</v>
      </c>
      <c r="M663">
        <f t="shared" ref="M663:M726" si="62">IF(D663&lt;$A$15,0,1)</f>
        <v>1</v>
      </c>
      <c r="N663">
        <f>IF(SUM(I663:J663)&lt;=($G$11/60*$F$11/($E$11/60)),1,0)</f>
        <v>0</v>
      </c>
    </row>
    <row r="664" spans="4:14" x14ac:dyDescent="0.2">
      <c r="D664">
        <f t="shared" si="58"/>
        <v>641</v>
      </c>
      <c r="E664" s="1">
        <f>IF($H$11=1,IF(D664&lt;=$A$15, E663+LN($D$11)-LN(60/$E$11)-LN(MIN(D664,$F$11)), E663-LN(60/$E$11)-LN(MIN(D664,$F$11))), IF(D664&lt;=$A$15, E663+LN($D$11)-LN(60/$E$11)-LN(MIN(D664,$F$11)), E663+LN($D$11)+LN(1-$H$11)-LN(60/$E$11)-LN(MIN(D664,$F$11))))</f>
        <v>-75.640611706459168</v>
      </c>
      <c r="F664" s="1">
        <f t="shared" si="59"/>
        <v>-77.642644515658233</v>
      </c>
      <c r="G664" s="1">
        <f t="shared" ref="G664:G727" si="63">EXP(F664)</f>
        <v>1.90646100451196E-34</v>
      </c>
      <c r="H664" s="1">
        <f t="shared" si="60"/>
        <v>1.8713303141153582E-35</v>
      </c>
      <c r="I664">
        <f>IF($F$11&lt;=D664, IF(D664&lt;=$A$15,D664-$F$11,$C$11),0)</f>
        <v>60</v>
      </c>
      <c r="J664">
        <f t="shared" si="61"/>
        <v>577</v>
      </c>
      <c r="K664" s="5">
        <f>IF(D664&lt;$F$11,H664,0)</f>
        <v>0</v>
      </c>
      <c r="L664">
        <f>IF(D664&lt;$A$15,$D$11,$D$11*(1-$H$11))</f>
        <v>85</v>
      </c>
      <c r="M664">
        <f t="shared" si="62"/>
        <v>1</v>
      </c>
      <c r="N664">
        <f>IF(SUM(I664:J664)&lt;=($G$11/60*$F$11/($E$11/60)),1,0)</f>
        <v>0</v>
      </c>
    </row>
    <row r="665" spans="4:14" x14ac:dyDescent="0.2">
      <c r="D665">
        <f t="shared" ref="D665:D728" si="64">1+D664</f>
        <v>642</v>
      </c>
      <c r="E665" s="1">
        <f>IF($H$11=1,IF(D665&lt;=$A$15, E664+LN($D$11)-LN(60/$E$11)-LN(MIN(D665,$F$11)), E664-LN(60/$E$11)-LN(MIN(D665,$F$11))), IF(D665&lt;=$A$15, E664+LN($D$11)-LN(60/$E$11)-LN(MIN(D665,$F$11)), E664+LN($D$11)+LN(1-$H$11)-LN(60/$E$11)-LN(MIN(D665,$F$11))))</f>
        <v>-75.76230864143669</v>
      </c>
      <c r="F665" s="1">
        <f t="shared" ref="F665:F728" si="65">E665-$E$21</f>
        <v>-77.764341450635754</v>
      </c>
      <c r="G665" s="1">
        <f t="shared" si="63"/>
        <v>1.6880123477449622E-34</v>
      </c>
      <c r="H665" s="1">
        <f t="shared" si="60"/>
        <v>1.6569070489563042E-35</v>
      </c>
      <c r="I665">
        <f>IF($F$11&lt;=D665, IF(D665&lt;=$A$15,D665-$F$11,$C$11),0)</f>
        <v>60</v>
      </c>
      <c r="J665">
        <f t="shared" si="61"/>
        <v>578</v>
      </c>
      <c r="K665" s="5">
        <f>IF(D665&lt;$F$11,H665,0)</f>
        <v>0</v>
      </c>
      <c r="L665">
        <f>IF(D665&lt;$A$15,$D$11,$D$11*(1-$H$11))</f>
        <v>85</v>
      </c>
      <c r="M665">
        <f t="shared" si="62"/>
        <v>1</v>
      </c>
      <c r="N665">
        <f>IF(SUM(I665:J665)&lt;=($G$11/60*$F$11/($E$11/60)),1,0)</f>
        <v>0</v>
      </c>
    </row>
    <row r="666" spans="4:14" x14ac:dyDescent="0.2">
      <c r="D666">
        <f t="shared" si="64"/>
        <v>643</v>
      </c>
      <c r="E666" s="1">
        <f>IF($H$11=1,IF(D666&lt;=$A$15, E665+LN($D$11)-LN(60/$E$11)-LN(MIN(D666,$F$11)), E665-LN(60/$E$11)-LN(MIN(D666,$F$11))), IF(D666&lt;=$A$15, E665+LN($D$11)-LN(60/$E$11)-LN(MIN(D666,$F$11)), E665+LN($D$11)+LN(1-$H$11)-LN(60/$E$11)-LN(MIN(D666,$F$11))))</f>
        <v>-75.884005576414211</v>
      </c>
      <c r="F666" s="1">
        <f t="shared" si="65"/>
        <v>-77.886038385613276</v>
      </c>
      <c r="G666" s="1">
        <f t="shared" si="63"/>
        <v>1.4945942662325164E-34</v>
      </c>
      <c r="H666" s="1">
        <f t="shared" si="60"/>
        <v>1.4670531162633922E-35</v>
      </c>
      <c r="I666">
        <f>IF($F$11&lt;=D666, IF(D666&lt;=$A$15,D666-$F$11,$C$11),0)</f>
        <v>60</v>
      </c>
      <c r="J666">
        <f t="shared" si="61"/>
        <v>579</v>
      </c>
      <c r="K666" s="5">
        <f>IF(D666&lt;$F$11,H666,0)</f>
        <v>0</v>
      </c>
      <c r="L666">
        <f>IF(D666&lt;$A$15,$D$11,$D$11*(1-$H$11))</f>
        <v>85</v>
      </c>
      <c r="M666">
        <f t="shared" si="62"/>
        <v>1</v>
      </c>
      <c r="N666">
        <f>IF(SUM(I666:J666)&lt;=($G$11/60*$F$11/($E$11/60)),1,0)</f>
        <v>0</v>
      </c>
    </row>
    <row r="667" spans="4:14" x14ac:dyDescent="0.2">
      <c r="D667">
        <f t="shared" si="64"/>
        <v>644</v>
      </c>
      <c r="E667" s="1">
        <f>IF($H$11=1,IF(D667&lt;=$A$15, E666+LN($D$11)-LN(60/$E$11)-LN(MIN(D667,$F$11)), E666-LN(60/$E$11)-LN(MIN(D667,$F$11))), IF(D667&lt;=$A$15, E666+LN($D$11)-LN(60/$E$11)-LN(MIN(D667,$F$11)), E666+LN($D$11)+LN(1-$H$11)-LN(60/$E$11)-LN(MIN(D667,$F$11))))</f>
        <v>-76.005702511391732</v>
      </c>
      <c r="F667" s="1">
        <f t="shared" si="65"/>
        <v>-78.007735320590797</v>
      </c>
      <c r="G667" s="1">
        <f t="shared" si="63"/>
        <v>1.3233386732267054E-34</v>
      </c>
      <c r="H667" s="1">
        <f t="shared" si="60"/>
        <v>1.2989532800248768E-35</v>
      </c>
      <c r="I667">
        <f>IF($F$11&lt;=D667, IF(D667&lt;=$A$15,D667-$F$11,$C$11),0)</f>
        <v>60</v>
      </c>
      <c r="J667">
        <f t="shared" si="61"/>
        <v>580</v>
      </c>
      <c r="K667" s="5">
        <f>IF(D667&lt;$F$11,H667,0)</f>
        <v>0</v>
      </c>
      <c r="L667">
        <f>IF(D667&lt;$A$15,$D$11,$D$11*(1-$H$11))</f>
        <v>85</v>
      </c>
      <c r="M667">
        <f t="shared" si="62"/>
        <v>1</v>
      </c>
      <c r="N667">
        <f>IF(SUM(I667:J667)&lt;=($G$11/60*$F$11/($E$11/60)),1,0)</f>
        <v>0</v>
      </c>
    </row>
    <row r="668" spans="4:14" x14ac:dyDescent="0.2">
      <c r="D668">
        <f t="shared" si="64"/>
        <v>645</v>
      </c>
      <c r="E668" s="1">
        <f>IF($H$11=1,IF(D668&lt;=$A$15, E667+LN($D$11)-LN(60/$E$11)-LN(MIN(D668,$F$11)), E667-LN(60/$E$11)-LN(MIN(D668,$F$11))), IF(D668&lt;=$A$15, E667+LN($D$11)-LN(60/$E$11)-LN(MIN(D668,$F$11)), E667+LN($D$11)+LN(1-$H$11)-LN(60/$E$11)-LN(MIN(D668,$F$11))))</f>
        <v>-76.127399446369253</v>
      </c>
      <c r="F668" s="1">
        <f t="shared" si="65"/>
        <v>-78.129432255568318</v>
      </c>
      <c r="G668" s="1">
        <f t="shared" si="63"/>
        <v>1.171706116919477E-34</v>
      </c>
      <c r="H668" s="1">
        <f t="shared" si="60"/>
        <v>1.150114883355358E-35</v>
      </c>
      <c r="I668">
        <f>IF($F$11&lt;=D668, IF(D668&lt;=$A$15,D668-$F$11,$C$11),0)</f>
        <v>60</v>
      </c>
      <c r="J668">
        <f t="shared" si="61"/>
        <v>581</v>
      </c>
      <c r="K668" s="5">
        <f>IF(D668&lt;$F$11,H668,0)</f>
        <v>0</v>
      </c>
      <c r="L668">
        <f>IF(D668&lt;$A$15,$D$11,$D$11*(1-$H$11))</f>
        <v>85</v>
      </c>
      <c r="M668">
        <f t="shared" si="62"/>
        <v>1</v>
      </c>
      <c r="N668">
        <f>IF(SUM(I668:J668)&lt;=($G$11/60*$F$11/($E$11/60)),1,0)</f>
        <v>0</v>
      </c>
    </row>
    <row r="669" spans="4:14" x14ac:dyDescent="0.2">
      <c r="D669">
        <f t="shared" si="64"/>
        <v>646</v>
      </c>
      <c r="E669" s="1">
        <f>IF($H$11=1,IF(D669&lt;=$A$15, E668+LN($D$11)-LN(60/$E$11)-LN(MIN(D669,$F$11)), E668-LN(60/$E$11)-LN(MIN(D669,$F$11))), IF(D669&lt;=$A$15, E668+LN($D$11)-LN(60/$E$11)-LN(MIN(D669,$F$11)), E668+LN($D$11)+LN(1-$H$11)-LN(60/$E$11)-LN(MIN(D669,$F$11))))</f>
        <v>-76.249096381346774</v>
      </c>
      <c r="F669" s="1">
        <f t="shared" si="65"/>
        <v>-78.251129190545839</v>
      </c>
      <c r="G669" s="1">
        <f t="shared" si="63"/>
        <v>1.0374481243557855E-34</v>
      </c>
      <c r="H669" s="1">
        <f t="shared" si="60"/>
        <v>1.0183308863042217E-35</v>
      </c>
      <c r="I669">
        <f>IF($F$11&lt;=D669, IF(D669&lt;=$A$15,D669-$F$11,$C$11),0)</f>
        <v>60</v>
      </c>
      <c r="J669">
        <f t="shared" si="61"/>
        <v>582</v>
      </c>
      <c r="K669" s="5">
        <f>IF(D669&lt;$F$11,H669,0)</f>
        <v>0</v>
      </c>
      <c r="L669">
        <f>IF(D669&lt;$A$15,$D$11,$D$11*(1-$H$11))</f>
        <v>85</v>
      </c>
      <c r="M669">
        <f t="shared" si="62"/>
        <v>1</v>
      </c>
      <c r="N669">
        <f>IF(SUM(I669:J669)&lt;=($G$11/60*$F$11/($E$11/60)),1,0)</f>
        <v>0</v>
      </c>
    </row>
    <row r="670" spans="4:14" x14ac:dyDescent="0.2">
      <c r="D670">
        <f t="shared" si="64"/>
        <v>647</v>
      </c>
      <c r="E670" s="1">
        <f>IF($H$11=1,IF(D670&lt;=$A$15, E669+LN($D$11)-LN(60/$E$11)-LN(MIN(D670,$F$11)), E669-LN(60/$E$11)-LN(MIN(D670,$F$11))), IF(D670&lt;=$A$15, E669+LN($D$11)-LN(60/$E$11)-LN(MIN(D670,$F$11)), E669+LN($D$11)+LN(1-$H$11)-LN(60/$E$11)-LN(MIN(D670,$F$11))))</f>
        <v>-76.370793316324296</v>
      </c>
      <c r="F670" s="1">
        <f t="shared" si="65"/>
        <v>-78.37282612552336</v>
      </c>
      <c r="G670" s="1">
        <f t="shared" si="63"/>
        <v>9.1857386010668377E-35</v>
      </c>
      <c r="H670" s="1">
        <f t="shared" si="60"/>
        <v>9.0164713891519505E-36</v>
      </c>
      <c r="I670">
        <f>IF($F$11&lt;=D670, IF(D670&lt;=$A$15,D670-$F$11,$C$11),0)</f>
        <v>60</v>
      </c>
      <c r="J670">
        <f t="shared" si="61"/>
        <v>583</v>
      </c>
      <c r="K670" s="5">
        <f>IF(D670&lt;$F$11,H670,0)</f>
        <v>0</v>
      </c>
      <c r="L670">
        <f>IF(D670&lt;$A$15,$D$11,$D$11*(1-$H$11))</f>
        <v>85</v>
      </c>
      <c r="M670">
        <f t="shared" si="62"/>
        <v>1</v>
      </c>
      <c r="N670">
        <f>IF(SUM(I670:J670)&lt;=($G$11/60*$F$11/($E$11/60)),1,0)</f>
        <v>0</v>
      </c>
    </row>
    <row r="671" spans="4:14" x14ac:dyDescent="0.2">
      <c r="D671">
        <f t="shared" si="64"/>
        <v>648</v>
      </c>
      <c r="E671" s="1">
        <f>IF($H$11=1,IF(D671&lt;=$A$15, E670+LN($D$11)-LN(60/$E$11)-LN(MIN(D671,$F$11)), E670-LN(60/$E$11)-LN(MIN(D671,$F$11))), IF(D671&lt;=$A$15, E670+LN($D$11)-LN(60/$E$11)-LN(MIN(D671,$F$11)), E670+LN($D$11)+LN(1-$H$11)-LN(60/$E$11)-LN(MIN(D671,$F$11))))</f>
        <v>-76.492490251301817</v>
      </c>
      <c r="F671" s="1">
        <f t="shared" si="65"/>
        <v>-78.494523060500882</v>
      </c>
      <c r="G671" s="1">
        <f t="shared" si="63"/>
        <v>8.1332060530279179E-35</v>
      </c>
      <c r="H671" s="1">
        <f t="shared" si="60"/>
        <v>7.9833340424782791E-36</v>
      </c>
      <c r="I671">
        <f>IF($F$11&lt;=D671, IF(D671&lt;=$A$15,D671-$F$11,$C$11),0)</f>
        <v>60</v>
      </c>
      <c r="J671">
        <f t="shared" si="61"/>
        <v>584</v>
      </c>
      <c r="K671" s="5">
        <f>IF(D671&lt;$F$11,H671,0)</f>
        <v>0</v>
      </c>
      <c r="L671">
        <f>IF(D671&lt;$A$15,$D$11,$D$11*(1-$H$11))</f>
        <v>85</v>
      </c>
      <c r="M671">
        <f t="shared" si="62"/>
        <v>1</v>
      </c>
      <c r="N671">
        <f>IF(SUM(I671:J671)&lt;=($G$11/60*$F$11/($E$11/60)),1,0)</f>
        <v>0</v>
      </c>
    </row>
    <row r="672" spans="4:14" x14ac:dyDescent="0.2">
      <c r="D672">
        <f t="shared" si="64"/>
        <v>649</v>
      </c>
      <c r="E672" s="1">
        <f>IF($H$11=1,IF(D672&lt;=$A$15, E671+LN($D$11)-LN(60/$E$11)-LN(MIN(D672,$F$11)), E671-LN(60/$E$11)-LN(MIN(D672,$F$11))), IF(D672&lt;=$A$15, E671+LN($D$11)-LN(60/$E$11)-LN(MIN(D672,$F$11)), E671+LN($D$11)+LN(1-$H$11)-LN(60/$E$11)-LN(MIN(D672,$F$11))))</f>
        <v>-76.614187186279338</v>
      </c>
      <c r="F672" s="1">
        <f t="shared" si="65"/>
        <v>-78.616219995478403</v>
      </c>
      <c r="G672" s="1">
        <f t="shared" si="63"/>
        <v>7.2012761927851249E-35</v>
      </c>
      <c r="H672" s="1">
        <f t="shared" si="60"/>
        <v>7.0685770167776315E-36</v>
      </c>
      <c r="I672">
        <f>IF($F$11&lt;=D672, IF(D672&lt;=$A$15,D672-$F$11,$C$11),0)</f>
        <v>60</v>
      </c>
      <c r="J672">
        <f t="shared" si="61"/>
        <v>585</v>
      </c>
      <c r="K672" s="5">
        <f>IF(D672&lt;$F$11,H672,0)</f>
        <v>0</v>
      </c>
      <c r="L672">
        <f>IF(D672&lt;$A$15,$D$11,$D$11*(1-$H$11))</f>
        <v>85</v>
      </c>
      <c r="M672">
        <f t="shared" si="62"/>
        <v>1</v>
      </c>
      <c r="N672">
        <f>IF(SUM(I672:J672)&lt;=($G$11/60*$F$11/($E$11/60)),1,0)</f>
        <v>0</v>
      </c>
    </row>
    <row r="673" spans="4:14" x14ac:dyDescent="0.2">
      <c r="D673">
        <f t="shared" si="64"/>
        <v>650</v>
      </c>
      <c r="E673" s="1">
        <f>IF($H$11=1,IF(D673&lt;=$A$15, E672+LN($D$11)-LN(60/$E$11)-LN(MIN(D673,$F$11)), E672-LN(60/$E$11)-LN(MIN(D673,$F$11))), IF(D673&lt;=$A$15, E672+LN($D$11)-LN(60/$E$11)-LN(MIN(D673,$F$11)), E672+LN($D$11)+LN(1-$H$11)-LN(60/$E$11)-LN(MIN(D673,$F$11))))</f>
        <v>-76.735884121256859</v>
      </c>
      <c r="F673" s="1">
        <f t="shared" si="65"/>
        <v>-78.737916930455924</v>
      </c>
      <c r="G673" s="1">
        <f t="shared" si="63"/>
        <v>6.3761299623618209E-35</v>
      </c>
      <c r="H673" s="1">
        <f t="shared" si="60"/>
        <v>6.2586359002718533E-36</v>
      </c>
      <c r="I673">
        <f>IF($F$11&lt;=D673, IF(D673&lt;=$A$15,D673-$F$11,$C$11),0)</f>
        <v>60</v>
      </c>
      <c r="J673">
        <f t="shared" si="61"/>
        <v>586</v>
      </c>
      <c r="K673" s="5">
        <f>IF(D673&lt;$F$11,H673,0)</f>
        <v>0</v>
      </c>
      <c r="L673">
        <f>IF(D673&lt;$A$15,$D$11,$D$11*(1-$H$11))</f>
        <v>85</v>
      </c>
      <c r="M673">
        <f t="shared" si="62"/>
        <v>1</v>
      </c>
      <c r="N673">
        <f>IF(SUM(I673:J673)&lt;=($G$11/60*$F$11/($E$11/60)),1,0)</f>
        <v>0</v>
      </c>
    </row>
    <row r="674" spans="4:14" x14ac:dyDescent="0.2">
      <c r="D674">
        <f t="shared" si="64"/>
        <v>651</v>
      </c>
      <c r="E674" s="1">
        <f>IF($H$11=1,IF(D674&lt;=$A$15, E673+LN($D$11)-LN(60/$E$11)-LN(MIN(D674,$F$11)), E673-LN(60/$E$11)-LN(MIN(D674,$F$11))), IF(D674&lt;=$A$15, E673+LN($D$11)-LN(60/$E$11)-LN(MIN(D674,$F$11)), E673+LN($D$11)+LN(1-$H$11)-LN(60/$E$11)-LN(MIN(D674,$F$11))))</f>
        <v>-76.85758105623438</v>
      </c>
      <c r="F674" s="1">
        <f t="shared" si="65"/>
        <v>-78.859613865433445</v>
      </c>
      <c r="G674" s="1">
        <f t="shared" si="63"/>
        <v>5.6455317375078543E-35</v>
      </c>
      <c r="H674" s="1">
        <f t="shared" si="60"/>
        <v>5.5415005366990289E-36</v>
      </c>
      <c r="I674">
        <f>IF($F$11&lt;=D674, IF(D674&lt;=$A$15,D674-$F$11,$C$11),0)</f>
        <v>60</v>
      </c>
      <c r="J674">
        <f t="shared" si="61"/>
        <v>587</v>
      </c>
      <c r="K674" s="5">
        <f>IF(D674&lt;$F$11,H674,0)</f>
        <v>0</v>
      </c>
      <c r="L674">
        <f>IF(D674&lt;$A$15,$D$11,$D$11*(1-$H$11))</f>
        <v>85</v>
      </c>
      <c r="M674">
        <f t="shared" si="62"/>
        <v>1</v>
      </c>
      <c r="N674">
        <f>IF(SUM(I674:J674)&lt;=($G$11/60*$F$11/($E$11/60)),1,0)</f>
        <v>0</v>
      </c>
    </row>
    <row r="675" spans="4:14" x14ac:dyDescent="0.2">
      <c r="D675">
        <f t="shared" si="64"/>
        <v>652</v>
      </c>
      <c r="E675" s="1">
        <f>IF($H$11=1,IF(D675&lt;=$A$15, E674+LN($D$11)-LN(60/$E$11)-LN(MIN(D675,$F$11)), E674-LN(60/$E$11)-LN(MIN(D675,$F$11))), IF(D675&lt;=$A$15, E674+LN($D$11)-LN(60/$E$11)-LN(MIN(D675,$F$11)), E674+LN($D$11)+LN(1-$H$11)-LN(60/$E$11)-LN(MIN(D675,$F$11))))</f>
        <v>-76.979277991211902</v>
      </c>
      <c r="F675" s="1">
        <f t="shared" si="65"/>
        <v>-78.981310800410967</v>
      </c>
      <c r="G675" s="1">
        <f t="shared" si="63"/>
        <v>4.998647892585072E-35</v>
      </c>
      <c r="H675" s="1">
        <f t="shared" si="60"/>
        <v>4.9065369335355914E-36</v>
      </c>
      <c r="I675">
        <f>IF($F$11&lt;=D675, IF(D675&lt;=$A$15,D675-$F$11,$C$11),0)</f>
        <v>60</v>
      </c>
      <c r="J675">
        <f t="shared" si="61"/>
        <v>588</v>
      </c>
      <c r="K675" s="5">
        <f>IF(D675&lt;$F$11,H675,0)</f>
        <v>0</v>
      </c>
      <c r="L675">
        <f>IF(D675&lt;$A$15,$D$11,$D$11*(1-$H$11))</f>
        <v>85</v>
      </c>
      <c r="M675">
        <f t="shared" si="62"/>
        <v>1</v>
      </c>
      <c r="N675">
        <f>IF(SUM(I675:J675)&lt;=($G$11/60*$F$11/($E$11/60)),1,0)</f>
        <v>0</v>
      </c>
    </row>
    <row r="676" spans="4:14" x14ac:dyDescent="0.2">
      <c r="D676">
        <f t="shared" si="64"/>
        <v>653</v>
      </c>
      <c r="E676" s="1">
        <f>IF($H$11=1,IF(D676&lt;=$A$15, E675+LN($D$11)-LN(60/$E$11)-LN(MIN(D676,$F$11)), E675-LN(60/$E$11)-LN(MIN(D676,$F$11))), IF(D676&lt;=$A$15, E675+LN($D$11)-LN(60/$E$11)-LN(MIN(D676,$F$11)), E675+LN($D$11)+LN(1-$H$11)-LN(60/$E$11)-LN(MIN(D676,$F$11))))</f>
        <v>-77.100974926189423</v>
      </c>
      <c r="F676" s="1">
        <f t="shared" si="65"/>
        <v>-79.103007735388488</v>
      </c>
      <c r="G676" s="1">
        <f t="shared" si="63"/>
        <v>4.4258861548930262E-35</v>
      </c>
      <c r="H676" s="1">
        <f t="shared" si="60"/>
        <v>4.3443295765679653E-36</v>
      </c>
      <c r="I676">
        <f>IF($F$11&lt;=D676, IF(D676&lt;=$A$15,D676-$F$11,$C$11),0)</f>
        <v>60</v>
      </c>
      <c r="J676">
        <f t="shared" si="61"/>
        <v>589</v>
      </c>
      <c r="K676" s="5">
        <f>IF(D676&lt;$F$11,H676,0)</f>
        <v>0</v>
      </c>
      <c r="L676">
        <f>IF(D676&lt;$A$15,$D$11,$D$11*(1-$H$11))</f>
        <v>85</v>
      </c>
      <c r="M676">
        <f t="shared" si="62"/>
        <v>1</v>
      </c>
      <c r="N676">
        <f>IF(SUM(I676:J676)&lt;=($G$11/60*$F$11/($E$11/60)),1,0)</f>
        <v>0</v>
      </c>
    </row>
    <row r="677" spans="4:14" x14ac:dyDescent="0.2">
      <c r="D677">
        <f t="shared" si="64"/>
        <v>654</v>
      </c>
      <c r="E677" s="1">
        <f>IF($H$11=1,IF(D677&lt;=$A$15, E676+LN($D$11)-LN(60/$E$11)-LN(MIN(D677,$F$11)), E676-LN(60/$E$11)-LN(MIN(D677,$F$11))), IF(D677&lt;=$A$15, E676+LN($D$11)-LN(60/$E$11)-LN(MIN(D677,$F$11)), E676+LN($D$11)+LN(1-$H$11)-LN(60/$E$11)-LN(MIN(D677,$F$11))))</f>
        <v>-77.222671861166944</v>
      </c>
      <c r="F677" s="1">
        <f t="shared" si="65"/>
        <v>-79.224704670366009</v>
      </c>
      <c r="G677" s="1">
        <f t="shared" si="63"/>
        <v>3.9187533663115281E-35</v>
      </c>
      <c r="H677" s="1">
        <f t="shared" si="60"/>
        <v>3.8465418125862136E-36</v>
      </c>
      <c r="I677">
        <f>IF($F$11&lt;=D677, IF(D677&lt;=$A$15,D677-$F$11,$C$11),0)</f>
        <v>60</v>
      </c>
      <c r="J677">
        <f t="shared" si="61"/>
        <v>590</v>
      </c>
      <c r="K677" s="5">
        <f>IF(D677&lt;$F$11,H677,0)</f>
        <v>0</v>
      </c>
      <c r="L677">
        <f>IF(D677&lt;$A$15,$D$11,$D$11*(1-$H$11))</f>
        <v>85</v>
      </c>
      <c r="M677">
        <f t="shared" si="62"/>
        <v>1</v>
      </c>
      <c r="N677">
        <f>IF(SUM(I677:J677)&lt;=($G$11/60*$F$11/($E$11/60)),1,0)</f>
        <v>0</v>
      </c>
    </row>
    <row r="678" spans="4:14" x14ac:dyDescent="0.2">
      <c r="D678">
        <f t="shared" si="64"/>
        <v>655</v>
      </c>
      <c r="E678" s="1">
        <f>IF($H$11=1,IF(D678&lt;=$A$15, E677+LN($D$11)-LN(60/$E$11)-LN(MIN(D678,$F$11)), E677-LN(60/$E$11)-LN(MIN(D678,$F$11))), IF(D678&lt;=$A$15, E677+LN($D$11)-LN(60/$E$11)-LN(MIN(D678,$F$11)), E677+LN($D$11)+LN(1-$H$11)-LN(60/$E$11)-LN(MIN(D678,$F$11))))</f>
        <v>-77.344368796144465</v>
      </c>
      <c r="F678" s="1">
        <f t="shared" si="65"/>
        <v>-79.34640160534353</v>
      </c>
      <c r="G678" s="1">
        <f t="shared" si="63"/>
        <v>3.4697295430883274E-35</v>
      </c>
      <c r="H678" s="1">
        <f t="shared" si="60"/>
        <v>3.405792229894039E-36</v>
      </c>
      <c r="I678">
        <f>IF($F$11&lt;=D678, IF(D678&lt;=$A$15,D678-$F$11,$C$11),0)</f>
        <v>60</v>
      </c>
      <c r="J678">
        <f t="shared" si="61"/>
        <v>591</v>
      </c>
      <c r="K678" s="5">
        <f>IF(D678&lt;$F$11,H678,0)</f>
        <v>0</v>
      </c>
      <c r="L678">
        <f>IF(D678&lt;$A$15,$D$11,$D$11*(1-$H$11))</f>
        <v>85</v>
      </c>
      <c r="M678">
        <f t="shared" si="62"/>
        <v>1</v>
      </c>
      <c r="N678">
        <f>IF(SUM(I678:J678)&lt;=($G$11/60*$F$11/($E$11/60)),1,0)</f>
        <v>0</v>
      </c>
    </row>
    <row r="679" spans="4:14" x14ac:dyDescent="0.2">
      <c r="D679">
        <f t="shared" si="64"/>
        <v>656</v>
      </c>
      <c r="E679" s="1">
        <f>IF($H$11=1,IF(D679&lt;=$A$15, E678+LN($D$11)-LN(60/$E$11)-LN(MIN(D679,$F$11)), E678-LN(60/$E$11)-LN(MIN(D679,$F$11))), IF(D679&lt;=$A$15, E678+LN($D$11)-LN(60/$E$11)-LN(MIN(D679,$F$11)), E678+LN($D$11)+LN(1-$H$11)-LN(60/$E$11)-LN(MIN(D679,$F$11))))</f>
        <v>-77.466065731121986</v>
      </c>
      <c r="F679" s="1">
        <f t="shared" si="65"/>
        <v>-79.468098540321051</v>
      </c>
      <c r="G679" s="1">
        <f t="shared" si="63"/>
        <v>3.0721563662761188E-35</v>
      </c>
      <c r="H679" s="1">
        <f t="shared" si="60"/>
        <v>3.0155452035520092E-36</v>
      </c>
      <c r="I679">
        <f>IF($F$11&lt;=D679, IF(D679&lt;=$A$15,D679-$F$11,$C$11),0)</f>
        <v>60</v>
      </c>
      <c r="J679">
        <f t="shared" si="61"/>
        <v>592</v>
      </c>
      <c r="K679" s="5">
        <f>IF(D679&lt;$F$11,H679,0)</f>
        <v>0</v>
      </c>
      <c r="L679">
        <f>IF(D679&lt;$A$15,$D$11,$D$11*(1-$H$11))</f>
        <v>85</v>
      </c>
      <c r="M679">
        <f t="shared" si="62"/>
        <v>1</v>
      </c>
      <c r="N679">
        <f>IF(SUM(I679:J679)&lt;=($G$11/60*$F$11/($E$11/60)),1,0)</f>
        <v>0</v>
      </c>
    </row>
    <row r="680" spans="4:14" x14ac:dyDescent="0.2">
      <c r="D680">
        <f t="shared" si="64"/>
        <v>657</v>
      </c>
      <c r="E680" s="1">
        <f>IF($H$11=1,IF(D680&lt;=$A$15, E679+LN($D$11)-LN(60/$E$11)-LN(MIN(D680,$F$11)), E679-LN(60/$E$11)-LN(MIN(D680,$F$11))), IF(D680&lt;=$A$15, E679+LN($D$11)-LN(60/$E$11)-LN(MIN(D680,$F$11)), E679+LN($D$11)+LN(1-$H$11)-LN(60/$E$11)-LN(MIN(D680,$F$11))))</f>
        <v>-77.587762666099508</v>
      </c>
      <c r="F680" s="1">
        <f t="shared" si="65"/>
        <v>-79.589795475298573</v>
      </c>
      <c r="G680" s="1">
        <f t="shared" si="63"/>
        <v>2.7201384493069763E-35</v>
      </c>
      <c r="H680" s="1">
        <f t="shared" si="60"/>
        <v>2.670013982311671E-36</v>
      </c>
      <c r="I680">
        <f>IF($F$11&lt;=D680, IF(D680&lt;=$A$15,D680-$F$11,$C$11),0)</f>
        <v>60</v>
      </c>
      <c r="J680">
        <f t="shared" si="61"/>
        <v>593</v>
      </c>
      <c r="K680" s="5">
        <f>IF(D680&lt;$F$11,H680,0)</f>
        <v>0</v>
      </c>
      <c r="L680">
        <f>IF(D680&lt;$A$15,$D$11,$D$11*(1-$H$11))</f>
        <v>85</v>
      </c>
      <c r="M680">
        <f t="shared" si="62"/>
        <v>1</v>
      </c>
      <c r="N680">
        <f>IF(SUM(I680:J680)&lt;=($G$11/60*$F$11/($E$11/60)),1,0)</f>
        <v>0</v>
      </c>
    </row>
    <row r="681" spans="4:14" x14ac:dyDescent="0.2">
      <c r="D681">
        <f t="shared" si="64"/>
        <v>658</v>
      </c>
      <c r="E681" s="1">
        <f>IF($H$11=1,IF(D681&lt;=$A$15, E680+LN($D$11)-LN(60/$E$11)-LN(MIN(D681,$F$11)), E680-LN(60/$E$11)-LN(MIN(D681,$F$11))), IF(D681&lt;=$A$15, E680+LN($D$11)-LN(60/$E$11)-LN(MIN(D681,$F$11)), E680+LN($D$11)+LN(1-$H$11)-LN(60/$E$11)-LN(MIN(D681,$F$11))))</f>
        <v>-77.709459601077029</v>
      </c>
      <c r="F681" s="1">
        <f t="shared" si="65"/>
        <v>-79.711492410276094</v>
      </c>
      <c r="G681" s="1">
        <f t="shared" si="63"/>
        <v>2.4084559186572149E-35</v>
      </c>
      <c r="H681" s="1">
        <f t="shared" si="60"/>
        <v>2.3640748801717883E-36</v>
      </c>
      <c r="I681">
        <f>IF($F$11&lt;=D681, IF(D681&lt;=$A$15,D681-$F$11,$C$11),0)</f>
        <v>60</v>
      </c>
      <c r="J681">
        <f t="shared" si="61"/>
        <v>594</v>
      </c>
      <c r="K681" s="5">
        <f>IF(D681&lt;$F$11,H681,0)</f>
        <v>0</v>
      </c>
      <c r="L681">
        <f>IF(D681&lt;$A$15,$D$11,$D$11*(1-$H$11))</f>
        <v>85</v>
      </c>
      <c r="M681">
        <f t="shared" si="62"/>
        <v>1</v>
      </c>
      <c r="N681">
        <f>IF(SUM(I681:J681)&lt;=($G$11/60*$F$11/($E$11/60)),1,0)</f>
        <v>0</v>
      </c>
    </row>
    <row r="682" spans="4:14" x14ac:dyDescent="0.2">
      <c r="D682">
        <f t="shared" si="64"/>
        <v>659</v>
      </c>
      <c r="E682" s="1">
        <f>IF($H$11=1,IF(D682&lt;=$A$15, E681+LN($D$11)-LN(60/$E$11)-LN(MIN(D682,$F$11)), E681-LN(60/$E$11)-LN(MIN(D682,$F$11))), IF(D682&lt;=$A$15, E681+LN($D$11)-LN(60/$E$11)-LN(MIN(D682,$F$11)), E681+LN($D$11)+LN(1-$H$11)-LN(60/$E$11)-LN(MIN(D682,$F$11))))</f>
        <v>-77.83115653605455</v>
      </c>
      <c r="F682" s="1">
        <f t="shared" si="65"/>
        <v>-79.833189345253615</v>
      </c>
      <c r="G682" s="1">
        <f t="shared" si="63"/>
        <v>2.1324870113110727E-35</v>
      </c>
      <c r="H682" s="1">
        <f t="shared" si="60"/>
        <v>2.0931913001521014E-36</v>
      </c>
      <c r="I682">
        <f>IF($F$11&lt;=D682, IF(D682&lt;=$A$15,D682-$F$11,$C$11),0)</f>
        <v>60</v>
      </c>
      <c r="J682">
        <f t="shared" si="61"/>
        <v>595</v>
      </c>
      <c r="K682" s="5">
        <f>IF(D682&lt;$F$11,H682,0)</f>
        <v>0</v>
      </c>
      <c r="L682">
        <f>IF(D682&lt;$A$15,$D$11,$D$11*(1-$H$11))</f>
        <v>85</v>
      </c>
      <c r="M682">
        <f t="shared" si="62"/>
        <v>1</v>
      </c>
      <c r="N682">
        <f>IF(SUM(I682:J682)&lt;=($G$11/60*$F$11/($E$11/60)),1,0)</f>
        <v>0</v>
      </c>
    </row>
    <row r="683" spans="4:14" x14ac:dyDescent="0.2">
      <c r="D683">
        <f t="shared" si="64"/>
        <v>660</v>
      </c>
      <c r="E683" s="1">
        <f>IF($H$11=1,IF(D683&lt;=$A$15, E682+LN($D$11)-LN(60/$E$11)-LN(MIN(D683,$F$11)), E682-LN(60/$E$11)-LN(MIN(D683,$F$11))), IF(D683&lt;=$A$15, E682+LN($D$11)-LN(60/$E$11)-LN(MIN(D683,$F$11)), E682+LN($D$11)+LN(1-$H$11)-LN(60/$E$11)-LN(MIN(D683,$F$11))))</f>
        <v>-77.952853471032071</v>
      </c>
      <c r="F683" s="1">
        <f t="shared" si="65"/>
        <v>-79.954886280231136</v>
      </c>
      <c r="G683" s="1">
        <f t="shared" si="63"/>
        <v>1.8881395412650097E-35</v>
      </c>
      <c r="H683" s="1">
        <f t="shared" si="60"/>
        <v>1.8533464636763373E-36</v>
      </c>
      <c r="I683">
        <f>IF($F$11&lt;=D683, IF(D683&lt;=$A$15,D683-$F$11,$C$11),0)</f>
        <v>60</v>
      </c>
      <c r="J683">
        <f t="shared" si="61"/>
        <v>596</v>
      </c>
      <c r="K683" s="5">
        <f>IF(D683&lt;$F$11,H683,0)</f>
        <v>0</v>
      </c>
      <c r="L683">
        <f>IF(D683&lt;$A$15,$D$11,$D$11*(1-$H$11))</f>
        <v>85</v>
      </c>
      <c r="M683">
        <f t="shared" si="62"/>
        <v>1</v>
      </c>
      <c r="N683">
        <f>IF(SUM(I683:J683)&lt;=($G$11/60*$F$11/($E$11/60)),1,0)</f>
        <v>0</v>
      </c>
    </row>
    <row r="684" spans="4:14" x14ac:dyDescent="0.2">
      <c r="D684">
        <f t="shared" si="64"/>
        <v>661</v>
      </c>
      <c r="E684" s="1">
        <f>IF($H$11=1,IF(D684&lt;=$A$15, E683+LN($D$11)-LN(60/$E$11)-LN(MIN(D684,$F$11)), E683-LN(60/$E$11)-LN(MIN(D684,$F$11))), IF(D684&lt;=$A$15, E683+LN($D$11)-LN(60/$E$11)-LN(MIN(D684,$F$11)), E683+LN($D$11)+LN(1-$H$11)-LN(60/$E$11)-LN(MIN(D684,$F$11))))</f>
        <v>-78.074550406009593</v>
      </c>
      <c r="F684" s="1">
        <f t="shared" si="65"/>
        <v>-80.076583215208657</v>
      </c>
      <c r="G684" s="1">
        <f t="shared" si="63"/>
        <v>1.6717902188283916E-35</v>
      </c>
      <c r="H684" s="1">
        <f t="shared" si="60"/>
        <v>1.6409838480467546E-36</v>
      </c>
      <c r="I684">
        <f>IF($F$11&lt;=D684, IF(D684&lt;=$A$15,D684-$F$11,$C$11),0)</f>
        <v>60</v>
      </c>
      <c r="J684">
        <f t="shared" si="61"/>
        <v>597</v>
      </c>
      <c r="K684" s="5">
        <f>IF(D684&lt;$F$11,H684,0)</f>
        <v>0</v>
      </c>
      <c r="L684">
        <f>IF(D684&lt;$A$15,$D$11,$D$11*(1-$H$11))</f>
        <v>85</v>
      </c>
      <c r="M684">
        <f t="shared" si="62"/>
        <v>1</v>
      </c>
      <c r="N684">
        <f>IF(SUM(I684:J684)&lt;=($G$11/60*$F$11/($E$11/60)),1,0)</f>
        <v>0</v>
      </c>
    </row>
    <row r="685" spans="4:14" x14ac:dyDescent="0.2">
      <c r="D685">
        <f t="shared" si="64"/>
        <v>662</v>
      </c>
      <c r="E685" s="1">
        <f>IF($H$11=1,IF(D685&lt;=$A$15, E684+LN($D$11)-LN(60/$E$11)-LN(MIN(D685,$F$11)), E684-LN(60/$E$11)-LN(MIN(D685,$F$11))), IF(D685&lt;=$A$15, E684+LN($D$11)-LN(60/$E$11)-LN(MIN(D685,$F$11)), E684+LN($D$11)+LN(1-$H$11)-LN(60/$E$11)-LN(MIN(D685,$F$11))))</f>
        <v>-78.196247340987114</v>
      </c>
      <c r="F685" s="1">
        <f t="shared" si="65"/>
        <v>-80.198280150186179</v>
      </c>
      <c r="G685" s="1">
        <f t="shared" si="63"/>
        <v>1.4802309229209695E-35</v>
      </c>
      <c r="H685" s="1">
        <f t="shared" si="60"/>
        <v>1.4529544487913951E-36</v>
      </c>
      <c r="I685">
        <f>IF($F$11&lt;=D685, IF(D685&lt;=$A$15,D685-$F$11,$C$11),0)</f>
        <v>60</v>
      </c>
      <c r="J685">
        <f t="shared" si="61"/>
        <v>598</v>
      </c>
      <c r="K685" s="5">
        <f>IF(D685&lt;$F$11,H685,0)</f>
        <v>0</v>
      </c>
      <c r="L685">
        <f>IF(D685&lt;$A$15,$D$11,$D$11*(1-$H$11))</f>
        <v>85</v>
      </c>
      <c r="M685">
        <f t="shared" si="62"/>
        <v>1</v>
      </c>
      <c r="N685">
        <f>IF(SUM(I685:J685)&lt;=($G$11/60*$F$11/($E$11/60)),1,0)</f>
        <v>0</v>
      </c>
    </row>
    <row r="686" spans="4:14" x14ac:dyDescent="0.2">
      <c r="D686">
        <f t="shared" si="64"/>
        <v>663</v>
      </c>
      <c r="E686" s="1">
        <f>IF($H$11=1,IF(D686&lt;=$A$15, E685+LN($D$11)-LN(60/$E$11)-LN(MIN(D686,$F$11)), E685-LN(60/$E$11)-LN(MIN(D686,$F$11))), IF(D686&lt;=$A$15, E685+LN($D$11)-LN(60/$E$11)-LN(MIN(D686,$F$11)), E685+LN($D$11)+LN(1-$H$11)-LN(60/$E$11)-LN(MIN(D686,$F$11))))</f>
        <v>-78.317944275964635</v>
      </c>
      <c r="F686" s="1">
        <f t="shared" si="65"/>
        <v>-80.3199770851637</v>
      </c>
      <c r="G686" s="1">
        <f t="shared" si="63"/>
        <v>1.3106211296696067E-35</v>
      </c>
      <c r="H686" s="1">
        <f t="shared" si="60"/>
        <v>1.2864700848673794E-36</v>
      </c>
      <c r="I686">
        <f>IF($F$11&lt;=D686, IF(D686&lt;=$A$15,D686-$F$11,$C$11),0)</f>
        <v>60</v>
      </c>
      <c r="J686">
        <f t="shared" si="61"/>
        <v>599</v>
      </c>
      <c r="K686" s="5">
        <f>IF(D686&lt;$F$11,H686,0)</f>
        <v>0</v>
      </c>
      <c r="L686">
        <f>IF(D686&lt;$A$15,$D$11,$D$11*(1-$H$11))</f>
        <v>85</v>
      </c>
      <c r="M686">
        <f t="shared" si="62"/>
        <v>1</v>
      </c>
      <c r="N686">
        <f>IF(SUM(I686:J686)&lt;=($G$11/60*$F$11/($E$11/60)),1,0)</f>
        <v>0</v>
      </c>
    </row>
    <row r="687" spans="4:14" x14ac:dyDescent="0.2">
      <c r="D687">
        <f t="shared" si="64"/>
        <v>664</v>
      </c>
      <c r="E687" s="1">
        <f>IF($H$11=1,IF(D687&lt;=$A$15, E686+LN($D$11)-LN(60/$E$11)-LN(MIN(D687,$F$11)), E686-LN(60/$E$11)-LN(MIN(D687,$F$11))), IF(D687&lt;=$A$15, E686+LN($D$11)-LN(60/$E$11)-LN(MIN(D687,$F$11)), E686+LN($D$11)+LN(1-$H$11)-LN(60/$E$11)-LN(MIN(D687,$F$11))))</f>
        <v>-78.439641210942156</v>
      </c>
      <c r="F687" s="1">
        <f t="shared" si="65"/>
        <v>-80.441674020141221</v>
      </c>
      <c r="G687" s="1">
        <f t="shared" si="63"/>
        <v>1.1604457918949625E-35</v>
      </c>
      <c r="H687" s="1">
        <f t="shared" si="60"/>
        <v>1.1390620543096571E-36</v>
      </c>
      <c r="I687">
        <f>IF($F$11&lt;=D687, IF(D687&lt;=$A$15,D687-$F$11,$C$11),0)</f>
        <v>60</v>
      </c>
      <c r="J687">
        <f t="shared" si="61"/>
        <v>600</v>
      </c>
      <c r="K687" s="5">
        <f>IF(D687&lt;$F$11,H687,0)</f>
        <v>0</v>
      </c>
      <c r="L687">
        <f>IF(D687&lt;$A$15,$D$11,$D$11*(1-$H$11))</f>
        <v>85</v>
      </c>
      <c r="M687">
        <f t="shared" si="62"/>
        <v>1</v>
      </c>
      <c r="N687">
        <f>IF(SUM(I687:J687)&lt;=($G$11/60*$F$11/($E$11/60)),1,0)</f>
        <v>0</v>
      </c>
    </row>
    <row r="688" spans="4:14" x14ac:dyDescent="0.2">
      <c r="D688">
        <f t="shared" si="64"/>
        <v>665</v>
      </c>
      <c r="E688" s="1">
        <f>IF($H$11=1,IF(D688&lt;=$A$15, E687+LN($D$11)-LN(60/$E$11)-LN(MIN(D688,$F$11)), E687-LN(60/$E$11)-LN(MIN(D688,$F$11))), IF(D688&lt;=$A$15, E687+LN($D$11)-LN(60/$E$11)-LN(MIN(D688,$F$11)), E687+LN($D$11)+LN(1-$H$11)-LN(60/$E$11)-LN(MIN(D688,$F$11))))</f>
        <v>-78.561338145919677</v>
      </c>
      <c r="F688" s="1">
        <f t="shared" si="65"/>
        <v>-80.563370955118742</v>
      </c>
      <c r="G688" s="1">
        <f t="shared" si="63"/>
        <v>1.0274780449069966E-35</v>
      </c>
      <c r="H688" s="1">
        <f t="shared" si="60"/>
        <v>1.0085445272533407E-36</v>
      </c>
      <c r="I688">
        <f>IF($F$11&lt;=D688, IF(D688&lt;=$A$15,D688-$F$11,$C$11),0)</f>
        <v>60</v>
      </c>
      <c r="J688">
        <f t="shared" si="61"/>
        <v>601</v>
      </c>
      <c r="K688" s="5">
        <f>IF(D688&lt;$F$11,H688,0)</f>
        <v>0</v>
      </c>
      <c r="L688">
        <f>IF(D688&lt;$A$15,$D$11,$D$11*(1-$H$11))</f>
        <v>85</v>
      </c>
      <c r="M688">
        <f t="shared" si="62"/>
        <v>1</v>
      </c>
      <c r="N688">
        <f>IF(SUM(I688:J688)&lt;=($G$11/60*$F$11/($E$11/60)),1,0)</f>
        <v>0</v>
      </c>
    </row>
    <row r="689" spans="4:14" x14ac:dyDescent="0.2">
      <c r="D689">
        <f t="shared" si="64"/>
        <v>666</v>
      </c>
      <c r="E689" s="1">
        <f>IF($H$11=1,IF(D689&lt;=$A$15, E688+LN($D$11)-LN(60/$E$11)-LN(MIN(D689,$F$11)), E688-LN(60/$E$11)-LN(MIN(D689,$F$11))), IF(D689&lt;=$A$15, E688+LN($D$11)-LN(60/$E$11)-LN(MIN(D689,$F$11)), E688+LN($D$11)+LN(1-$H$11)-LN(60/$E$11)-LN(MIN(D689,$F$11))))</f>
        <v>-78.683035080897199</v>
      </c>
      <c r="F689" s="1">
        <f t="shared" si="65"/>
        <v>-80.685067890096263</v>
      </c>
      <c r="G689" s="1">
        <f t="shared" si="63"/>
        <v>9.0974618559473523E-36</v>
      </c>
      <c r="H689" s="1">
        <f t="shared" si="60"/>
        <v>8.9298213350556084E-37</v>
      </c>
      <c r="I689">
        <f>IF($F$11&lt;=D689, IF(D689&lt;=$A$15,D689-$F$11,$C$11),0)</f>
        <v>60</v>
      </c>
      <c r="J689">
        <f t="shared" si="61"/>
        <v>602</v>
      </c>
      <c r="K689" s="5">
        <f>IF(D689&lt;$F$11,H689,0)</f>
        <v>0</v>
      </c>
      <c r="L689">
        <f>IF(D689&lt;$A$15,$D$11,$D$11*(1-$H$11))</f>
        <v>85</v>
      </c>
      <c r="M689">
        <f t="shared" si="62"/>
        <v>1</v>
      </c>
      <c r="N689">
        <f>IF(SUM(I689:J689)&lt;=($G$11/60*$F$11/($E$11/60)),1,0)</f>
        <v>0</v>
      </c>
    </row>
    <row r="690" spans="4:14" x14ac:dyDescent="0.2">
      <c r="D690">
        <f t="shared" si="64"/>
        <v>667</v>
      </c>
      <c r="E690" s="1">
        <f>IF($H$11=1,IF(D690&lt;=$A$15, E689+LN($D$11)-LN(60/$E$11)-LN(MIN(D690,$F$11)), E689-LN(60/$E$11)-LN(MIN(D690,$F$11))), IF(D690&lt;=$A$15, E689+LN($D$11)-LN(60/$E$11)-LN(MIN(D690,$F$11)), E689+LN($D$11)+LN(1-$H$11)-LN(60/$E$11)-LN(MIN(D690,$F$11))))</f>
        <v>-78.80473201587472</v>
      </c>
      <c r="F690" s="1">
        <f t="shared" si="65"/>
        <v>-80.806764825073785</v>
      </c>
      <c r="G690" s="1">
        <f t="shared" si="63"/>
        <v>8.0550443516200405E-36</v>
      </c>
      <c r="H690" s="1">
        <f t="shared" si="60"/>
        <v>7.9066126404138095E-37</v>
      </c>
      <c r="I690">
        <f>IF($F$11&lt;=D690, IF(D690&lt;=$A$15,D690-$F$11,$C$11),0)</f>
        <v>60</v>
      </c>
      <c r="J690">
        <f t="shared" si="61"/>
        <v>603</v>
      </c>
      <c r="K690" s="5">
        <f>IF(D690&lt;$F$11,H690,0)</f>
        <v>0</v>
      </c>
      <c r="L690">
        <f>IF(D690&lt;$A$15,$D$11,$D$11*(1-$H$11))</f>
        <v>85</v>
      </c>
      <c r="M690">
        <f t="shared" si="62"/>
        <v>1</v>
      </c>
      <c r="N690">
        <f>IF(SUM(I690:J690)&lt;=($G$11/60*$F$11/($E$11/60)),1,0)</f>
        <v>0</v>
      </c>
    </row>
    <row r="691" spans="4:14" x14ac:dyDescent="0.2">
      <c r="D691">
        <f t="shared" si="64"/>
        <v>668</v>
      </c>
      <c r="E691" s="1">
        <f>IF($H$11=1,IF(D691&lt;=$A$15, E690+LN($D$11)-LN(60/$E$11)-LN(MIN(D691,$F$11)), E690-LN(60/$E$11)-LN(MIN(D691,$F$11))), IF(D691&lt;=$A$15, E690+LN($D$11)-LN(60/$E$11)-LN(MIN(D691,$F$11)), E690+LN($D$11)+LN(1-$H$11)-LN(60/$E$11)-LN(MIN(D691,$F$11))))</f>
        <v>-78.926428950852241</v>
      </c>
      <c r="F691" s="1">
        <f t="shared" si="65"/>
        <v>-80.928461760051306</v>
      </c>
      <c r="G691" s="1">
        <f t="shared" si="63"/>
        <v>7.1320705196635675E-36</v>
      </c>
      <c r="H691" s="1">
        <f t="shared" si="60"/>
        <v>7.000646608699717E-37</v>
      </c>
      <c r="I691">
        <f>IF($F$11&lt;=D691, IF(D691&lt;=$A$15,D691-$F$11,$C$11),0)</f>
        <v>60</v>
      </c>
      <c r="J691">
        <f t="shared" si="61"/>
        <v>604</v>
      </c>
      <c r="K691" s="5">
        <f>IF(D691&lt;$F$11,H691,0)</f>
        <v>0</v>
      </c>
      <c r="L691">
        <f>IF(D691&lt;$A$15,$D$11,$D$11*(1-$H$11))</f>
        <v>85</v>
      </c>
      <c r="M691">
        <f t="shared" si="62"/>
        <v>1</v>
      </c>
      <c r="N691">
        <f>IF(SUM(I691:J691)&lt;=($G$11/60*$F$11/($E$11/60)),1,0)</f>
        <v>0</v>
      </c>
    </row>
    <row r="692" spans="4:14" x14ac:dyDescent="0.2">
      <c r="D692">
        <f t="shared" si="64"/>
        <v>669</v>
      </c>
      <c r="E692" s="1">
        <f>IF($H$11=1,IF(D692&lt;=$A$15, E691+LN($D$11)-LN(60/$E$11)-LN(MIN(D692,$F$11)), E691-LN(60/$E$11)-LN(MIN(D692,$F$11))), IF(D692&lt;=$A$15, E691+LN($D$11)-LN(60/$E$11)-LN(MIN(D692,$F$11)), E691+LN($D$11)+LN(1-$H$11)-LN(60/$E$11)-LN(MIN(D692,$F$11))))</f>
        <v>-79.048125885829762</v>
      </c>
      <c r="F692" s="1">
        <f t="shared" si="65"/>
        <v>-81.050158695028827</v>
      </c>
      <c r="G692" s="1">
        <f t="shared" si="63"/>
        <v>6.3148541059521082E-36</v>
      </c>
      <c r="H692" s="1">
        <f t="shared" si="60"/>
        <v>6.1984891847861991E-37</v>
      </c>
      <c r="I692">
        <f>IF($F$11&lt;=D692, IF(D692&lt;=$A$15,D692-$F$11,$C$11),0)</f>
        <v>60</v>
      </c>
      <c r="J692">
        <f t="shared" si="61"/>
        <v>605</v>
      </c>
      <c r="K692" s="5">
        <f>IF(D692&lt;$F$11,H692,0)</f>
        <v>0</v>
      </c>
      <c r="L692">
        <f>IF(D692&lt;$A$15,$D$11,$D$11*(1-$H$11))</f>
        <v>85</v>
      </c>
      <c r="M692">
        <f t="shared" si="62"/>
        <v>1</v>
      </c>
      <c r="N692">
        <f>IF(SUM(I692:J692)&lt;=($G$11/60*$F$11/($E$11/60)),1,0)</f>
        <v>0</v>
      </c>
    </row>
    <row r="693" spans="4:14" x14ac:dyDescent="0.2">
      <c r="D693">
        <f t="shared" si="64"/>
        <v>670</v>
      </c>
      <c r="E693" s="1">
        <f>IF($H$11=1,IF(D693&lt;=$A$15, E692+LN($D$11)-LN(60/$E$11)-LN(MIN(D693,$F$11)), E692-LN(60/$E$11)-LN(MIN(D693,$F$11))), IF(D693&lt;=$A$15, E692+LN($D$11)-LN(60/$E$11)-LN(MIN(D693,$F$11)), E692+LN($D$11)+LN(1-$H$11)-LN(60/$E$11)-LN(MIN(D693,$F$11))))</f>
        <v>-79.169822820807283</v>
      </c>
      <c r="F693" s="1">
        <f t="shared" si="65"/>
        <v>-81.171855630006348</v>
      </c>
      <c r="G693" s="1">
        <f t="shared" si="63"/>
        <v>5.5912770729784207E-36</v>
      </c>
      <c r="H693" s="1">
        <f t="shared" si="60"/>
        <v>5.4882456323627721E-37</v>
      </c>
      <c r="I693">
        <f>IF($F$11&lt;=D693, IF(D693&lt;=$A$15,D693-$F$11,$C$11),0)</f>
        <v>60</v>
      </c>
      <c r="J693">
        <f t="shared" si="61"/>
        <v>606</v>
      </c>
      <c r="K693" s="5">
        <f>IF(D693&lt;$F$11,H693,0)</f>
        <v>0</v>
      </c>
      <c r="L693">
        <f>IF(D693&lt;$A$15,$D$11,$D$11*(1-$H$11))</f>
        <v>85</v>
      </c>
      <c r="M693">
        <f t="shared" si="62"/>
        <v>1</v>
      </c>
      <c r="N693">
        <f>IF(SUM(I693:J693)&lt;=($G$11/60*$F$11/($E$11/60)),1,0)</f>
        <v>0</v>
      </c>
    </row>
    <row r="694" spans="4:14" x14ac:dyDescent="0.2">
      <c r="D694">
        <f t="shared" si="64"/>
        <v>671</v>
      </c>
      <c r="E694" s="1">
        <f>IF($H$11=1,IF(D694&lt;=$A$15, E693+LN($D$11)-LN(60/$E$11)-LN(MIN(D694,$F$11)), E693-LN(60/$E$11)-LN(MIN(D694,$F$11))), IF(D694&lt;=$A$15, E693+LN($D$11)-LN(60/$E$11)-LN(MIN(D694,$F$11)), E693+LN($D$11)+LN(1-$H$11)-LN(60/$E$11)-LN(MIN(D694,$F$11))))</f>
        <v>-79.291519755784805</v>
      </c>
      <c r="F694" s="1">
        <f t="shared" si="65"/>
        <v>-81.29355256498387</v>
      </c>
      <c r="G694" s="1">
        <f t="shared" si="63"/>
        <v>4.9506099083663032E-36</v>
      </c>
      <c r="H694" s="1">
        <f t="shared" si="60"/>
        <v>4.8593841536545311E-37</v>
      </c>
      <c r="I694">
        <f>IF($F$11&lt;=D694, IF(D694&lt;=$A$15,D694-$F$11,$C$11),0)</f>
        <v>60</v>
      </c>
      <c r="J694">
        <f t="shared" si="61"/>
        <v>607</v>
      </c>
      <c r="K694" s="5">
        <f>IF(D694&lt;$F$11,H694,0)</f>
        <v>0</v>
      </c>
      <c r="L694">
        <f>IF(D694&lt;$A$15,$D$11,$D$11*(1-$H$11))</f>
        <v>85</v>
      </c>
      <c r="M694">
        <f t="shared" si="62"/>
        <v>1</v>
      </c>
      <c r="N694">
        <f>IF(SUM(I694:J694)&lt;=($G$11/60*$F$11/($E$11/60)),1,0)</f>
        <v>0</v>
      </c>
    </row>
    <row r="695" spans="4:14" x14ac:dyDescent="0.2">
      <c r="D695">
        <f t="shared" si="64"/>
        <v>672</v>
      </c>
      <c r="E695" s="1">
        <f>IF($H$11=1,IF(D695&lt;=$A$15, E694+LN($D$11)-LN(60/$E$11)-LN(MIN(D695,$F$11)), E694-LN(60/$E$11)-LN(MIN(D695,$F$11))), IF(D695&lt;=$A$15, E694+LN($D$11)-LN(60/$E$11)-LN(MIN(D695,$F$11)), E694+LN($D$11)+LN(1-$H$11)-LN(60/$E$11)-LN(MIN(D695,$F$11))))</f>
        <v>-79.413216690762326</v>
      </c>
      <c r="F695" s="1">
        <f t="shared" si="65"/>
        <v>-81.415249499961391</v>
      </c>
      <c r="G695" s="1">
        <f t="shared" si="63"/>
        <v>4.3833525230326583E-36</v>
      </c>
      <c r="H695" s="1">
        <f t="shared" si="60"/>
        <v>4.3025797193816103E-37</v>
      </c>
      <c r="I695">
        <f>IF($F$11&lt;=D695, IF(D695&lt;=$A$15,D695-$F$11,$C$11),0)</f>
        <v>60</v>
      </c>
      <c r="J695">
        <f t="shared" si="61"/>
        <v>608</v>
      </c>
      <c r="K695" s="5">
        <f>IF(D695&lt;$F$11,H695,0)</f>
        <v>0</v>
      </c>
      <c r="L695">
        <f>IF(D695&lt;$A$15,$D$11,$D$11*(1-$H$11))</f>
        <v>85</v>
      </c>
      <c r="M695">
        <f t="shared" si="62"/>
        <v>1</v>
      </c>
      <c r="N695">
        <f>IF(SUM(I695:J695)&lt;=($G$11/60*$F$11/($E$11/60)),1,0)</f>
        <v>0</v>
      </c>
    </row>
    <row r="696" spans="4:14" x14ac:dyDescent="0.2">
      <c r="D696">
        <f t="shared" si="64"/>
        <v>673</v>
      </c>
      <c r="E696" s="1">
        <f>IF($H$11=1,IF(D696&lt;=$A$15, E695+LN($D$11)-LN(60/$E$11)-LN(MIN(D696,$F$11)), E695-LN(60/$E$11)-LN(MIN(D696,$F$11))), IF(D696&lt;=$A$15, E695+LN($D$11)-LN(60/$E$11)-LN(MIN(D696,$F$11)), E695+LN($D$11)+LN(1-$H$11)-LN(60/$E$11)-LN(MIN(D696,$F$11))))</f>
        <v>-79.534913625739847</v>
      </c>
      <c r="F696" s="1">
        <f t="shared" si="65"/>
        <v>-81.536946434938912</v>
      </c>
      <c r="G696" s="1">
        <f t="shared" si="63"/>
        <v>3.8810933797684936E-36</v>
      </c>
      <c r="H696" s="1">
        <f t="shared" si="60"/>
        <v>3.8095757932024617E-37</v>
      </c>
      <c r="I696">
        <f>IF($F$11&lt;=D696, IF(D696&lt;=$A$15,D696-$F$11,$C$11),0)</f>
        <v>60</v>
      </c>
      <c r="J696">
        <f t="shared" si="61"/>
        <v>609</v>
      </c>
      <c r="K696" s="5">
        <f>IF(D696&lt;$F$11,H696,0)</f>
        <v>0</v>
      </c>
      <c r="L696">
        <f>IF(D696&lt;$A$15,$D$11,$D$11*(1-$H$11))</f>
        <v>85</v>
      </c>
      <c r="M696">
        <f t="shared" si="62"/>
        <v>1</v>
      </c>
      <c r="N696">
        <f>IF(SUM(I696:J696)&lt;=($G$11/60*$F$11/($E$11/60)),1,0)</f>
        <v>0</v>
      </c>
    </row>
    <row r="697" spans="4:14" x14ac:dyDescent="0.2">
      <c r="D697">
        <f t="shared" si="64"/>
        <v>674</v>
      </c>
      <c r="E697" s="1">
        <f>IF($H$11=1,IF(D697&lt;=$A$15, E696+LN($D$11)-LN(60/$E$11)-LN(MIN(D697,$F$11)), E696-LN(60/$E$11)-LN(MIN(D697,$F$11))), IF(D697&lt;=$A$15, E696+LN($D$11)-LN(60/$E$11)-LN(MIN(D697,$F$11)), E696+LN($D$11)+LN(1-$H$11)-LN(60/$E$11)-LN(MIN(D697,$F$11))))</f>
        <v>-79.656610560717368</v>
      </c>
      <c r="F697" s="1">
        <f t="shared" si="65"/>
        <v>-81.658643369916433</v>
      </c>
      <c r="G697" s="1">
        <f t="shared" si="63"/>
        <v>3.4363847633366822E-36</v>
      </c>
      <c r="H697" s="1">
        <f t="shared" si="60"/>
        <v>3.3730619002313416E-37</v>
      </c>
      <c r="I697">
        <f>IF($F$11&lt;=D697, IF(D697&lt;=$A$15,D697-$F$11,$C$11),0)</f>
        <v>60</v>
      </c>
      <c r="J697">
        <f t="shared" si="61"/>
        <v>610</v>
      </c>
      <c r="K697" s="5">
        <f>IF(D697&lt;$F$11,H697,0)</f>
        <v>0</v>
      </c>
      <c r="L697">
        <f>IF(D697&lt;$A$15,$D$11,$D$11*(1-$H$11))</f>
        <v>85</v>
      </c>
      <c r="M697">
        <f t="shared" si="62"/>
        <v>1</v>
      </c>
      <c r="N697">
        <f>IF(SUM(I697:J697)&lt;=($G$11/60*$F$11/($E$11/60)),1,0)</f>
        <v>0</v>
      </c>
    </row>
    <row r="698" spans="4:14" x14ac:dyDescent="0.2">
      <c r="D698">
        <f t="shared" si="64"/>
        <v>675</v>
      </c>
      <c r="E698" s="1">
        <f>IF($H$11=1,IF(D698&lt;=$A$15, E697+LN($D$11)-LN(60/$E$11)-LN(MIN(D698,$F$11)), E697-LN(60/$E$11)-LN(MIN(D698,$F$11))), IF(D698&lt;=$A$15, E697+LN($D$11)-LN(60/$E$11)-LN(MIN(D698,$F$11)), E697+LN($D$11)+LN(1-$H$11)-LN(60/$E$11)-LN(MIN(D698,$F$11))))</f>
        <v>-79.778307495694889</v>
      </c>
      <c r="F698" s="1">
        <f t="shared" si="65"/>
        <v>-81.780340304893954</v>
      </c>
      <c r="G698" s="1">
        <f t="shared" si="63"/>
        <v>3.0426323425376829E-36</v>
      </c>
      <c r="H698" s="1">
        <f t="shared" si="60"/>
        <v>2.9865652241631624E-37</v>
      </c>
      <c r="I698">
        <f>IF($F$11&lt;=D698, IF(D698&lt;=$A$15,D698-$F$11,$C$11),0)</f>
        <v>60</v>
      </c>
      <c r="J698">
        <f t="shared" si="61"/>
        <v>611</v>
      </c>
      <c r="K698" s="5">
        <f>IF(D698&lt;$F$11,H698,0)</f>
        <v>0</v>
      </c>
      <c r="L698">
        <f>IF(D698&lt;$A$15,$D$11,$D$11*(1-$H$11))</f>
        <v>85</v>
      </c>
      <c r="M698">
        <f t="shared" si="62"/>
        <v>1</v>
      </c>
      <c r="N698">
        <f>IF(SUM(I698:J698)&lt;=($G$11/60*$F$11/($E$11/60)),1,0)</f>
        <v>0</v>
      </c>
    </row>
    <row r="699" spans="4:14" x14ac:dyDescent="0.2">
      <c r="D699">
        <f t="shared" si="64"/>
        <v>676</v>
      </c>
      <c r="E699" s="1">
        <f>IF($H$11=1,IF(D699&lt;=$A$15, E698+LN($D$11)-LN(60/$E$11)-LN(MIN(D699,$F$11)), E698-LN(60/$E$11)-LN(MIN(D699,$F$11))), IF(D699&lt;=$A$15, E698+LN($D$11)-LN(60/$E$11)-LN(MIN(D699,$F$11)), E698+LN($D$11)+LN(1-$H$11)-LN(60/$E$11)-LN(MIN(D699,$F$11))))</f>
        <v>-79.900004430672411</v>
      </c>
      <c r="F699" s="1">
        <f t="shared" si="65"/>
        <v>-81.902037239871476</v>
      </c>
      <c r="G699" s="1">
        <f t="shared" si="63"/>
        <v>2.6939973866219032E-36</v>
      </c>
      <c r="H699" s="1">
        <f t="shared" si="60"/>
        <v>2.6443546255611301E-37</v>
      </c>
      <c r="I699">
        <f>IF($F$11&lt;=D699, IF(D699&lt;=$A$15,D699-$F$11,$C$11),0)</f>
        <v>60</v>
      </c>
      <c r="J699">
        <f t="shared" si="61"/>
        <v>612</v>
      </c>
      <c r="K699" s="5">
        <f>IF(D699&lt;$F$11,H699,0)</f>
        <v>0</v>
      </c>
      <c r="L699">
        <f>IF(D699&lt;$A$15,$D$11,$D$11*(1-$H$11))</f>
        <v>85</v>
      </c>
      <c r="M699">
        <f t="shared" si="62"/>
        <v>1</v>
      </c>
      <c r="N699">
        <f>IF(SUM(I699:J699)&lt;=($G$11/60*$F$11/($E$11/60)),1,0)</f>
        <v>0</v>
      </c>
    </row>
    <row r="700" spans="4:14" x14ac:dyDescent="0.2">
      <c r="D700">
        <f t="shared" si="64"/>
        <v>677</v>
      </c>
      <c r="E700" s="1">
        <f>IF($H$11=1,IF(D700&lt;=$A$15, E699+LN($D$11)-LN(60/$E$11)-LN(MIN(D700,$F$11)), E699-LN(60/$E$11)-LN(MIN(D700,$F$11))), IF(D700&lt;=$A$15, E699+LN($D$11)-LN(60/$E$11)-LN(MIN(D700,$F$11)), E699+LN($D$11)+LN(1-$H$11)-LN(60/$E$11)-LN(MIN(D700,$F$11))))</f>
        <v>-80.021701365649932</v>
      </c>
      <c r="F700" s="1">
        <f t="shared" si="65"/>
        <v>-82.023734174848997</v>
      </c>
      <c r="G700" s="1">
        <f t="shared" si="63"/>
        <v>2.3853101860714734E-36</v>
      </c>
      <c r="H700" s="1">
        <f t="shared" si="60"/>
        <v>2.3413556580489141E-37</v>
      </c>
      <c r="I700">
        <f>IF($F$11&lt;=D700, IF(D700&lt;=$A$15,D700-$F$11,$C$11),0)</f>
        <v>60</v>
      </c>
      <c r="J700">
        <f t="shared" si="61"/>
        <v>613</v>
      </c>
      <c r="K700" s="5">
        <f>IF(D700&lt;$F$11,H700,0)</f>
        <v>0</v>
      </c>
      <c r="L700">
        <f>IF(D700&lt;$A$15,$D$11,$D$11*(1-$H$11))</f>
        <v>85</v>
      </c>
      <c r="M700">
        <f t="shared" si="62"/>
        <v>1</v>
      </c>
      <c r="N700">
        <f>IF(SUM(I700:J700)&lt;=($G$11/60*$F$11/($E$11/60)),1,0)</f>
        <v>0</v>
      </c>
    </row>
    <row r="701" spans="4:14" x14ac:dyDescent="0.2">
      <c r="D701">
        <f t="shared" si="64"/>
        <v>678</v>
      </c>
      <c r="E701" s="1">
        <f>IF($H$11=1,IF(D701&lt;=$A$15, E700+LN($D$11)-LN(60/$E$11)-LN(MIN(D701,$F$11)), E700-LN(60/$E$11)-LN(MIN(D701,$F$11))), IF(D701&lt;=$A$15, E700+LN($D$11)-LN(60/$E$11)-LN(MIN(D701,$F$11)), E700+LN($D$11)+LN(1-$H$11)-LN(60/$E$11)-LN(MIN(D701,$F$11))))</f>
        <v>-80.143398300627453</v>
      </c>
      <c r="F701" s="1">
        <f t="shared" si="65"/>
        <v>-82.145431109826518</v>
      </c>
      <c r="G701" s="1">
        <f t="shared" si="63"/>
        <v>2.1119933939174473E-36</v>
      </c>
      <c r="H701" s="1">
        <f t="shared" si="60"/>
        <v>2.073075322230806E-37</v>
      </c>
      <c r="I701">
        <f>IF($F$11&lt;=D701, IF(D701&lt;=$A$15,D701-$F$11,$C$11),0)</f>
        <v>60</v>
      </c>
      <c r="J701">
        <f t="shared" si="61"/>
        <v>614</v>
      </c>
      <c r="K701" s="5">
        <f>IF(D701&lt;$F$11,H701,0)</f>
        <v>0</v>
      </c>
      <c r="L701">
        <f>IF(D701&lt;$A$15,$D$11,$D$11*(1-$H$11))</f>
        <v>85</v>
      </c>
      <c r="M701">
        <f t="shared" si="62"/>
        <v>1</v>
      </c>
      <c r="N701">
        <f>IF(SUM(I701:J701)&lt;=($G$11/60*$F$11/($E$11/60)),1,0)</f>
        <v>0</v>
      </c>
    </row>
    <row r="702" spans="4:14" x14ac:dyDescent="0.2">
      <c r="D702">
        <f t="shared" si="64"/>
        <v>679</v>
      </c>
      <c r="E702" s="1">
        <f>IF($H$11=1,IF(D702&lt;=$A$15, E701+LN($D$11)-LN(60/$E$11)-LN(MIN(D702,$F$11)), E701-LN(60/$E$11)-LN(MIN(D702,$F$11))), IF(D702&lt;=$A$15, E701+LN($D$11)-LN(60/$E$11)-LN(MIN(D702,$F$11)), E701+LN($D$11)+LN(1-$H$11)-LN(60/$E$11)-LN(MIN(D702,$F$11))))</f>
        <v>-80.265095235604974</v>
      </c>
      <c r="F702" s="1">
        <f t="shared" si="65"/>
        <v>-82.267128044804039</v>
      </c>
      <c r="G702" s="1">
        <f t="shared" si="63"/>
        <v>1.8699941508644038E-36</v>
      </c>
      <c r="H702" s="1">
        <f t="shared" si="60"/>
        <v>1.8355354415585235E-37</v>
      </c>
      <c r="I702">
        <f>IF($F$11&lt;=D702, IF(D702&lt;=$A$15,D702-$F$11,$C$11),0)</f>
        <v>60</v>
      </c>
      <c r="J702">
        <f t="shared" si="61"/>
        <v>615</v>
      </c>
      <c r="K702" s="5">
        <f>IF(D702&lt;$F$11,H702,0)</f>
        <v>0</v>
      </c>
      <c r="L702">
        <f>IF(D702&lt;$A$15,$D$11,$D$11*(1-$H$11))</f>
        <v>85</v>
      </c>
      <c r="M702">
        <f t="shared" si="62"/>
        <v>1</v>
      </c>
      <c r="N702">
        <f>IF(SUM(I702:J702)&lt;=($G$11/60*$F$11/($E$11/60)),1,0)</f>
        <v>0</v>
      </c>
    </row>
    <row r="703" spans="4:14" x14ac:dyDescent="0.2">
      <c r="D703">
        <f t="shared" si="64"/>
        <v>680</v>
      </c>
      <c r="E703" s="1">
        <f>IF($H$11=1,IF(D703&lt;=$A$15, E702+LN($D$11)-LN(60/$E$11)-LN(MIN(D703,$F$11)), E702-LN(60/$E$11)-LN(MIN(D703,$F$11))), IF(D703&lt;=$A$15, E702+LN($D$11)-LN(60/$E$11)-LN(MIN(D703,$F$11)), E702+LN($D$11)+LN(1-$H$11)-LN(60/$E$11)-LN(MIN(D703,$F$11))))</f>
        <v>-80.386792170582495</v>
      </c>
      <c r="F703" s="1">
        <f t="shared" si="65"/>
        <v>-82.38882497978156</v>
      </c>
      <c r="G703" s="1">
        <f t="shared" si="63"/>
        <v>1.6557239877445218E-36</v>
      </c>
      <c r="H703" s="1">
        <f t="shared" si="60"/>
        <v>1.6252136722132738E-37</v>
      </c>
      <c r="I703">
        <f>IF($F$11&lt;=D703, IF(D703&lt;=$A$15,D703-$F$11,$C$11),0)</f>
        <v>60</v>
      </c>
      <c r="J703">
        <f t="shared" si="61"/>
        <v>616</v>
      </c>
      <c r="K703" s="5">
        <f>IF(D703&lt;$F$11,H703,0)</f>
        <v>0</v>
      </c>
      <c r="L703">
        <f>IF(D703&lt;$A$15,$D$11,$D$11*(1-$H$11))</f>
        <v>85</v>
      </c>
      <c r="M703">
        <f t="shared" si="62"/>
        <v>1</v>
      </c>
      <c r="N703">
        <f>IF(SUM(I703:J703)&lt;=($G$11/60*$F$11/($E$11/60)),1,0)</f>
        <v>0</v>
      </c>
    </row>
    <row r="704" spans="4:14" x14ac:dyDescent="0.2">
      <c r="D704">
        <f t="shared" si="64"/>
        <v>681</v>
      </c>
      <c r="E704" s="1">
        <f>IF($H$11=1,IF(D704&lt;=$A$15, E703+LN($D$11)-LN(60/$E$11)-LN(MIN(D704,$F$11)), E703-LN(60/$E$11)-LN(MIN(D704,$F$11))), IF(D704&lt;=$A$15, E703+LN($D$11)-LN(60/$E$11)-LN(MIN(D704,$F$11)), E703+LN($D$11)+LN(1-$H$11)-LN(60/$E$11)-LN(MIN(D704,$F$11))))</f>
        <v>-80.508489105560017</v>
      </c>
      <c r="F704" s="1">
        <f t="shared" si="65"/>
        <v>-82.510521914759082</v>
      </c>
      <c r="G704" s="1">
        <f t="shared" si="63"/>
        <v>1.4660056141487933E-36</v>
      </c>
      <c r="H704" s="1">
        <f t="shared" si="60"/>
        <v>1.4389912722721675E-37</v>
      </c>
      <c r="I704">
        <f>IF($F$11&lt;=D704, IF(D704&lt;=$A$15,D704-$F$11,$C$11),0)</f>
        <v>60</v>
      </c>
      <c r="J704">
        <f t="shared" si="61"/>
        <v>617</v>
      </c>
      <c r="K704" s="5">
        <f>IF(D704&lt;$F$11,H704,0)</f>
        <v>0</v>
      </c>
      <c r="L704">
        <f>IF(D704&lt;$A$15,$D$11,$D$11*(1-$H$11))</f>
        <v>85</v>
      </c>
      <c r="M704">
        <f t="shared" si="62"/>
        <v>1</v>
      </c>
      <c r="N704">
        <f>IF(SUM(I704:J704)&lt;=($G$11/60*$F$11/($E$11/60)),1,0)</f>
        <v>0</v>
      </c>
    </row>
    <row r="705" spans="4:14" x14ac:dyDescent="0.2">
      <c r="D705">
        <f t="shared" si="64"/>
        <v>682</v>
      </c>
      <c r="E705" s="1">
        <f>IF($H$11=1,IF(D705&lt;=$A$15, E704+LN($D$11)-LN(60/$E$11)-LN(MIN(D705,$F$11)), E704-LN(60/$E$11)-LN(MIN(D705,$F$11))), IF(D705&lt;=$A$15, E704+LN($D$11)-LN(60/$E$11)-LN(MIN(D705,$F$11)), E704+LN($D$11)+LN(1-$H$11)-LN(60/$E$11)-LN(MIN(D705,$F$11))))</f>
        <v>-80.630186040537538</v>
      </c>
      <c r="F705" s="1">
        <f t="shared" si="65"/>
        <v>-82.632218849736603</v>
      </c>
      <c r="G705" s="1">
        <f t="shared" si="63"/>
        <v>1.2980258041942422E-36</v>
      </c>
      <c r="H705" s="1">
        <f t="shared" si="60"/>
        <v>1.2741068556576465E-37</v>
      </c>
      <c r="I705">
        <f>IF($F$11&lt;=D705, IF(D705&lt;=$A$15,D705-$F$11,$C$11),0)</f>
        <v>60</v>
      </c>
      <c r="J705">
        <f t="shared" si="61"/>
        <v>618</v>
      </c>
      <c r="K705" s="5">
        <f>IF(D705&lt;$F$11,H705,0)</f>
        <v>0</v>
      </c>
      <c r="L705">
        <f>IF(D705&lt;$A$15,$D$11,$D$11*(1-$H$11))</f>
        <v>85</v>
      </c>
      <c r="M705">
        <f t="shared" si="62"/>
        <v>1</v>
      </c>
      <c r="N705">
        <f>IF(SUM(I705:J705)&lt;=($G$11/60*$F$11/($E$11/60)),1,0)</f>
        <v>0</v>
      </c>
    </row>
    <row r="706" spans="4:14" x14ac:dyDescent="0.2">
      <c r="D706">
        <f t="shared" si="64"/>
        <v>683</v>
      </c>
      <c r="E706" s="1">
        <f>IF($H$11=1,IF(D706&lt;=$A$15, E705+LN($D$11)-LN(60/$E$11)-LN(MIN(D706,$F$11)), E705-LN(60/$E$11)-LN(MIN(D706,$F$11))), IF(D706&lt;=$A$15, E705+LN($D$11)-LN(60/$E$11)-LN(MIN(D706,$F$11)), E705+LN($D$11)+LN(1-$H$11)-LN(60/$E$11)-LN(MIN(D706,$F$11))))</f>
        <v>-80.751882975515059</v>
      </c>
      <c r="F706" s="1">
        <f t="shared" si="65"/>
        <v>-82.753915784714124</v>
      </c>
      <c r="G706" s="1">
        <f t="shared" si="63"/>
        <v>1.1492936807969836E-36</v>
      </c>
      <c r="H706" s="1">
        <f t="shared" si="60"/>
        <v>1.1281154451135394E-37</v>
      </c>
      <c r="I706">
        <f>IF($F$11&lt;=D706, IF(D706&lt;=$A$15,D706-$F$11,$C$11),0)</f>
        <v>60</v>
      </c>
      <c r="J706">
        <f t="shared" si="61"/>
        <v>619</v>
      </c>
      <c r="K706" s="5">
        <f>IF(D706&lt;$F$11,H706,0)</f>
        <v>0</v>
      </c>
      <c r="L706">
        <f>IF(D706&lt;$A$15,$D$11,$D$11*(1-$H$11))</f>
        <v>85</v>
      </c>
      <c r="M706">
        <f t="shared" si="62"/>
        <v>1</v>
      </c>
      <c r="N706">
        <f>IF(SUM(I706:J706)&lt;=($G$11/60*$F$11/($E$11/60)),1,0)</f>
        <v>0</v>
      </c>
    </row>
    <row r="707" spans="4:14" x14ac:dyDescent="0.2">
      <c r="D707">
        <f t="shared" si="64"/>
        <v>684</v>
      </c>
      <c r="E707" s="1">
        <f>IF($H$11=1,IF(D707&lt;=$A$15, E706+LN($D$11)-LN(60/$E$11)-LN(MIN(D707,$F$11)), E706-LN(60/$E$11)-LN(MIN(D707,$F$11))), IF(D707&lt;=$A$15, E706+LN($D$11)-LN(60/$E$11)-LN(MIN(D707,$F$11)), E706+LN($D$11)+LN(1-$H$11)-LN(60/$E$11)-LN(MIN(D707,$F$11))))</f>
        <v>-80.87357991049258</v>
      </c>
      <c r="F707" s="1">
        <f t="shared" si="65"/>
        <v>-82.875612719691645</v>
      </c>
      <c r="G707" s="1">
        <f t="shared" si="63"/>
        <v>1.0176037798723277E-36</v>
      </c>
      <c r="H707" s="1">
        <f t="shared" si="60"/>
        <v>9.9885221702761155E-38</v>
      </c>
      <c r="I707">
        <f>IF($F$11&lt;=D707, IF(D707&lt;=$A$15,D707-$F$11,$C$11),0)</f>
        <v>60</v>
      </c>
      <c r="J707">
        <f t="shared" si="61"/>
        <v>620</v>
      </c>
      <c r="K707" s="5">
        <f>IF(D707&lt;$F$11,H707,0)</f>
        <v>0</v>
      </c>
      <c r="L707">
        <f>IF(D707&lt;$A$15,$D$11,$D$11*(1-$H$11))</f>
        <v>85</v>
      </c>
      <c r="M707">
        <f t="shared" si="62"/>
        <v>1</v>
      </c>
      <c r="N707">
        <f>IF(SUM(I707:J707)&lt;=($G$11/60*$F$11/($E$11/60)),1,0)</f>
        <v>0</v>
      </c>
    </row>
    <row r="708" spans="4:14" x14ac:dyDescent="0.2">
      <c r="D708">
        <f t="shared" si="64"/>
        <v>685</v>
      </c>
      <c r="E708" s="1">
        <f>IF($H$11=1,IF(D708&lt;=$A$15, E707+LN($D$11)-LN(60/$E$11)-LN(MIN(D708,$F$11)), E707-LN(60/$E$11)-LN(MIN(D708,$F$11))), IF(D708&lt;=$A$15, E707+LN($D$11)-LN(60/$E$11)-LN(MIN(D708,$F$11)), E707+LN($D$11)+LN(1-$H$11)-LN(60/$E$11)-LN(MIN(D708,$F$11))))</f>
        <v>-80.995276845470102</v>
      </c>
      <c r="F708" s="1">
        <f t="shared" si="65"/>
        <v>-82.997309654669166</v>
      </c>
      <c r="G708" s="1">
        <f t="shared" si="63"/>
        <v>9.0100334676195563E-37</v>
      </c>
      <c r="H708" s="1">
        <f t="shared" si="60"/>
        <v>8.8440040049319662E-38</v>
      </c>
      <c r="I708">
        <f>IF($F$11&lt;=D708, IF(D708&lt;=$A$15,D708-$F$11,$C$11),0)</f>
        <v>60</v>
      </c>
      <c r="J708">
        <f t="shared" si="61"/>
        <v>621</v>
      </c>
      <c r="K708" s="5">
        <f>IF(D708&lt;$F$11,H708,0)</f>
        <v>0</v>
      </c>
      <c r="L708">
        <f>IF(D708&lt;$A$15,$D$11,$D$11*(1-$H$11))</f>
        <v>85</v>
      </c>
      <c r="M708">
        <f t="shared" si="62"/>
        <v>1</v>
      </c>
      <c r="N708">
        <f>IF(SUM(I708:J708)&lt;=($G$11/60*$F$11/($E$11/60)),1,0)</f>
        <v>0</v>
      </c>
    </row>
    <row r="709" spans="4:14" x14ac:dyDescent="0.2">
      <c r="D709">
        <f t="shared" si="64"/>
        <v>686</v>
      </c>
      <c r="E709" s="1">
        <f>IF($H$11=1,IF(D709&lt;=$A$15, E708+LN($D$11)-LN(60/$E$11)-LN(MIN(D709,$F$11)), E708-LN(60/$E$11)-LN(MIN(D709,$F$11))), IF(D709&lt;=$A$15, E708+LN($D$11)-LN(60/$E$11)-LN(MIN(D709,$F$11)), E708+LN($D$11)+LN(1-$H$11)-LN(60/$E$11)-LN(MIN(D709,$F$11))))</f>
        <v>-81.116973780447623</v>
      </c>
      <c r="F709" s="1">
        <f t="shared" si="65"/>
        <v>-83.119006589646688</v>
      </c>
      <c r="G709" s="1">
        <f t="shared" si="63"/>
        <v>7.9776337994548042E-37</v>
      </c>
      <c r="H709" s="1">
        <f t="shared" si="60"/>
        <v>7.8306285460335006E-38</v>
      </c>
      <c r="I709">
        <f>IF($F$11&lt;=D709, IF(D709&lt;=$A$15,D709-$F$11,$C$11),0)</f>
        <v>60</v>
      </c>
      <c r="J709">
        <f t="shared" si="61"/>
        <v>622</v>
      </c>
      <c r="K709" s="5">
        <f>IF(D709&lt;$F$11,H709,0)</f>
        <v>0</v>
      </c>
      <c r="L709">
        <f>IF(D709&lt;$A$15,$D$11,$D$11*(1-$H$11))</f>
        <v>85</v>
      </c>
      <c r="M709">
        <f t="shared" si="62"/>
        <v>1</v>
      </c>
      <c r="N709">
        <f>IF(SUM(I709:J709)&lt;=($G$11/60*$F$11/($E$11/60)),1,0)</f>
        <v>0</v>
      </c>
    </row>
    <row r="710" spans="4:14" x14ac:dyDescent="0.2">
      <c r="D710">
        <f t="shared" si="64"/>
        <v>687</v>
      </c>
      <c r="E710" s="1">
        <f>IF($H$11=1,IF(D710&lt;=$A$15, E709+LN($D$11)-LN(60/$E$11)-LN(MIN(D710,$F$11)), E709-LN(60/$E$11)-LN(MIN(D710,$F$11))), IF(D710&lt;=$A$15, E709+LN($D$11)-LN(60/$E$11)-LN(MIN(D710,$F$11)), E709+LN($D$11)+LN(1-$H$11)-LN(60/$E$11)-LN(MIN(D710,$F$11))))</f>
        <v>-81.238670715425144</v>
      </c>
      <c r="F710" s="1">
        <f t="shared" si="65"/>
        <v>-83.240703524624209</v>
      </c>
      <c r="G710" s="1">
        <f t="shared" si="63"/>
        <v>7.0635299266005978E-37</v>
      </c>
      <c r="H710" s="1">
        <f t="shared" si="60"/>
        <v>6.9333690251338181E-38</v>
      </c>
      <c r="I710">
        <f>IF($F$11&lt;=D710, IF(D710&lt;=$A$15,D710-$F$11,$C$11),0)</f>
        <v>60</v>
      </c>
      <c r="J710">
        <f t="shared" si="61"/>
        <v>623</v>
      </c>
      <c r="K710" s="5">
        <f>IF(D710&lt;$F$11,H710,0)</f>
        <v>0</v>
      </c>
      <c r="L710">
        <f>IF(D710&lt;$A$15,$D$11,$D$11*(1-$H$11))</f>
        <v>85</v>
      </c>
      <c r="M710">
        <f t="shared" si="62"/>
        <v>1</v>
      </c>
      <c r="N710">
        <f>IF(SUM(I710:J710)&lt;=($G$11/60*$F$11/($E$11/60)),1,0)</f>
        <v>0</v>
      </c>
    </row>
    <row r="711" spans="4:14" x14ac:dyDescent="0.2">
      <c r="D711">
        <f t="shared" si="64"/>
        <v>688</v>
      </c>
      <c r="E711" s="1">
        <f>IF($H$11=1,IF(D711&lt;=$A$15, E710+LN($D$11)-LN(60/$E$11)-LN(MIN(D711,$F$11)), E710-LN(60/$E$11)-LN(MIN(D711,$F$11))), IF(D711&lt;=$A$15, E710+LN($D$11)-LN(60/$E$11)-LN(MIN(D711,$F$11)), E710+LN($D$11)+LN(1-$H$11)-LN(60/$E$11)-LN(MIN(D711,$F$11))))</f>
        <v>-81.360367650402665</v>
      </c>
      <c r="F711" s="1">
        <f t="shared" si="65"/>
        <v>-83.36240045960173</v>
      </c>
      <c r="G711" s="1">
        <f t="shared" si="63"/>
        <v>6.254167122510937E-37</v>
      </c>
      <c r="H711" s="1">
        <f t="shared" si="60"/>
        <v>6.1389204910038931E-38</v>
      </c>
      <c r="I711">
        <f>IF($F$11&lt;=D711, IF(D711&lt;=$A$15,D711-$F$11,$C$11),0)</f>
        <v>60</v>
      </c>
      <c r="J711">
        <f t="shared" si="61"/>
        <v>624</v>
      </c>
      <c r="K711" s="5">
        <f>IF(D711&lt;$F$11,H711,0)</f>
        <v>0</v>
      </c>
      <c r="L711">
        <f>IF(D711&lt;$A$15,$D$11,$D$11*(1-$H$11))</f>
        <v>85</v>
      </c>
      <c r="M711">
        <f t="shared" si="62"/>
        <v>1</v>
      </c>
      <c r="N711">
        <f>IF(SUM(I711:J711)&lt;=($G$11/60*$F$11/($E$11/60)),1,0)</f>
        <v>0</v>
      </c>
    </row>
    <row r="712" spans="4:14" x14ac:dyDescent="0.2">
      <c r="D712">
        <f t="shared" si="64"/>
        <v>689</v>
      </c>
      <c r="E712" s="1">
        <f>IF($H$11=1,IF(D712&lt;=$A$15, E711+LN($D$11)-LN(60/$E$11)-LN(MIN(D712,$F$11)), E711-LN(60/$E$11)-LN(MIN(D712,$F$11))), IF(D712&lt;=$A$15, E711+LN($D$11)-LN(60/$E$11)-LN(MIN(D712,$F$11)), E711+LN($D$11)+LN(1-$H$11)-LN(60/$E$11)-LN(MIN(D712,$F$11))))</f>
        <v>-81.482064585380186</v>
      </c>
      <c r="F712" s="1">
        <f t="shared" si="65"/>
        <v>-83.484097394579251</v>
      </c>
      <c r="G712" s="1">
        <f t="shared" si="63"/>
        <v>5.5375438063898842E-37</v>
      </c>
      <c r="H712" s="1">
        <f t="shared" si="60"/>
        <v>5.4355025180763562E-38</v>
      </c>
      <c r="I712">
        <f>IF($F$11&lt;=D712, IF(D712&lt;=$A$15,D712-$F$11,$C$11),0)</f>
        <v>60</v>
      </c>
      <c r="J712">
        <f t="shared" si="61"/>
        <v>625</v>
      </c>
      <c r="K712" s="5">
        <f>IF(D712&lt;$F$11,H712,0)</f>
        <v>0</v>
      </c>
      <c r="L712">
        <f>IF(D712&lt;$A$15,$D$11,$D$11*(1-$H$11))</f>
        <v>85</v>
      </c>
      <c r="M712">
        <f t="shared" si="62"/>
        <v>1</v>
      </c>
      <c r="N712">
        <f>IF(SUM(I712:J712)&lt;=($G$11/60*$F$11/($E$11/60)),1,0)</f>
        <v>0</v>
      </c>
    </row>
    <row r="713" spans="4:14" x14ac:dyDescent="0.2">
      <c r="D713">
        <f t="shared" si="64"/>
        <v>690</v>
      </c>
      <c r="E713" s="1">
        <f>IF($H$11=1,IF(D713&lt;=$A$15, E712+LN($D$11)-LN(60/$E$11)-LN(MIN(D713,$F$11)), E712-LN(60/$E$11)-LN(MIN(D713,$F$11))), IF(D713&lt;=$A$15, E712+LN($D$11)-LN(60/$E$11)-LN(MIN(D713,$F$11)), E712+LN($D$11)+LN(1-$H$11)-LN(60/$E$11)-LN(MIN(D713,$F$11))))</f>
        <v>-81.603761520357708</v>
      </c>
      <c r="F713" s="1">
        <f t="shared" si="65"/>
        <v>-83.605794329556772</v>
      </c>
      <c r="G713" s="1">
        <f t="shared" si="63"/>
        <v>4.9030335785743698E-37</v>
      </c>
      <c r="H713" s="1">
        <f t="shared" si="60"/>
        <v>4.8126845212134334E-38</v>
      </c>
      <c r="I713">
        <f>IF($F$11&lt;=D713, IF(D713&lt;=$A$15,D713-$F$11,$C$11),0)</f>
        <v>60</v>
      </c>
      <c r="J713">
        <f t="shared" si="61"/>
        <v>626</v>
      </c>
      <c r="K713" s="5">
        <f>IF(D713&lt;$F$11,H713,0)</f>
        <v>0</v>
      </c>
      <c r="L713">
        <f>IF(D713&lt;$A$15,$D$11,$D$11*(1-$H$11))</f>
        <v>85</v>
      </c>
      <c r="M713">
        <f t="shared" si="62"/>
        <v>1</v>
      </c>
      <c r="N713">
        <f>IF(SUM(I713:J713)&lt;=($G$11/60*$F$11/($E$11/60)),1,0)</f>
        <v>0</v>
      </c>
    </row>
    <row r="714" spans="4:14" x14ac:dyDescent="0.2">
      <c r="D714">
        <f t="shared" si="64"/>
        <v>691</v>
      </c>
      <c r="E714" s="1">
        <f>IF($H$11=1,IF(D714&lt;=$A$15, E713+LN($D$11)-LN(60/$E$11)-LN(MIN(D714,$F$11)), E713-LN(60/$E$11)-LN(MIN(D714,$F$11))), IF(D714&lt;=$A$15, E713+LN($D$11)-LN(60/$E$11)-LN(MIN(D714,$F$11)), E713+LN($D$11)+LN(1-$H$11)-LN(60/$E$11)-LN(MIN(D714,$F$11))))</f>
        <v>-81.725458455335229</v>
      </c>
      <c r="F714" s="1">
        <f t="shared" si="65"/>
        <v>-83.727491264534294</v>
      </c>
      <c r="G714" s="1">
        <f t="shared" si="63"/>
        <v>4.34122764769605E-37</v>
      </c>
      <c r="H714" s="1">
        <f t="shared" si="60"/>
        <v>4.2612310864910541E-38</v>
      </c>
      <c r="I714">
        <f>IF($F$11&lt;=D714, IF(D714&lt;=$A$15,D714-$F$11,$C$11),0)</f>
        <v>60</v>
      </c>
      <c r="J714">
        <f t="shared" si="61"/>
        <v>627</v>
      </c>
      <c r="K714" s="5">
        <f>IF(D714&lt;$F$11,H714,0)</f>
        <v>0</v>
      </c>
      <c r="L714">
        <f>IF(D714&lt;$A$15,$D$11,$D$11*(1-$H$11))</f>
        <v>85</v>
      </c>
      <c r="M714">
        <f t="shared" si="62"/>
        <v>1</v>
      </c>
      <c r="N714">
        <f>IF(SUM(I714:J714)&lt;=($G$11/60*$F$11/($E$11/60)),1,0)</f>
        <v>0</v>
      </c>
    </row>
    <row r="715" spans="4:14" x14ac:dyDescent="0.2">
      <c r="D715">
        <f t="shared" si="64"/>
        <v>692</v>
      </c>
      <c r="E715" s="1">
        <f>IF($H$11=1,IF(D715&lt;=$A$15, E714+LN($D$11)-LN(60/$E$11)-LN(MIN(D715,$F$11)), E714-LN(60/$E$11)-LN(MIN(D715,$F$11))), IF(D715&lt;=$A$15, E714+LN($D$11)-LN(60/$E$11)-LN(MIN(D715,$F$11)), E714+LN($D$11)+LN(1-$H$11)-LN(60/$E$11)-LN(MIN(D715,$F$11))))</f>
        <v>-81.84715539031275</v>
      </c>
      <c r="F715" s="1">
        <f t="shared" si="65"/>
        <v>-83.849188199511815</v>
      </c>
      <c r="G715" s="1">
        <f t="shared" si="63"/>
        <v>3.8437953130642057E-37</v>
      </c>
      <c r="H715" s="1">
        <f t="shared" si="60"/>
        <v>3.7729650244972827E-38</v>
      </c>
      <c r="I715">
        <f>IF($F$11&lt;=D715, IF(D715&lt;=$A$15,D715-$F$11,$C$11),0)</f>
        <v>60</v>
      </c>
      <c r="J715">
        <f t="shared" si="61"/>
        <v>628</v>
      </c>
      <c r="K715" s="5">
        <f>IF(D715&lt;$F$11,H715,0)</f>
        <v>0</v>
      </c>
      <c r="L715">
        <f>IF(D715&lt;$A$15,$D$11,$D$11*(1-$H$11))</f>
        <v>85</v>
      </c>
      <c r="M715">
        <f t="shared" si="62"/>
        <v>1</v>
      </c>
      <c r="N715">
        <f>IF(SUM(I715:J715)&lt;=($G$11/60*$F$11/($E$11/60)),1,0)</f>
        <v>0</v>
      </c>
    </row>
    <row r="716" spans="4:14" x14ac:dyDescent="0.2">
      <c r="D716">
        <f t="shared" si="64"/>
        <v>693</v>
      </c>
      <c r="E716" s="1">
        <f>IF($H$11=1,IF(D716&lt;=$A$15, E715+LN($D$11)-LN(60/$E$11)-LN(MIN(D716,$F$11)), E715-LN(60/$E$11)-LN(MIN(D716,$F$11))), IF(D716&lt;=$A$15, E715+LN($D$11)-LN(60/$E$11)-LN(MIN(D716,$F$11)), E715+LN($D$11)+LN(1-$H$11)-LN(60/$E$11)-LN(MIN(D716,$F$11))))</f>
        <v>-81.968852325290271</v>
      </c>
      <c r="F716" s="1">
        <f t="shared" si="65"/>
        <v>-83.970885134489336</v>
      </c>
      <c r="G716" s="1">
        <f t="shared" si="63"/>
        <v>3.4033604334422608E-37</v>
      </c>
      <c r="H716" s="1">
        <f t="shared" si="60"/>
        <v>3.3406461154402977E-38</v>
      </c>
      <c r="I716">
        <f>IF($F$11&lt;=D716, IF(D716&lt;=$A$15,D716-$F$11,$C$11),0)</f>
        <v>60</v>
      </c>
      <c r="J716">
        <f t="shared" si="61"/>
        <v>629</v>
      </c>
      <c r="K716" s="5">
        <f>IF(D716&lt;$F$11,H716,0)</f>
        <v>0</v>
      </c>
      <c r="L716">
        <f>IF(D716&lt;$A$15,$D$11,$D$11*(1-$H$11))</f>
        <v>85</v>
      </c>
      <c r="M716">
        <f t="shared" si="62"/>
        <v>1</v>
      </c>
      <c r="N716">
        <f>IF(SUM(I716:J716)&lt;=($G$11/60*$F$11/($E$11/60)),1,0)</f>
        <v>0</v>
      </c>
    </row>
    <row r="717" spans="4:14" x14ac:dyDescent="0.2">
      <c r="D717">
        <f t="shared" si="64"/>
        <v>694</v>
      </c>
      <c r="E717" s="1">
        <f>IF($H$11=1,IF(D717&lt;=$A$15, E716+LN($D$11)-LN(60/$E$11)-LN(MIN(D717,$F$11)), E716-LN(60/$E$11)-LN(MIN(D717,$F$11))), IF(D717&lt;=$A$15, E716+LN($D$11)-LN(60/$E$11)-LN(MIN(D717,$F$11)), E716+LN($D$11)+LN(1-$H$11)-LN(60/$E$11)-LN(MIN(D717,$F$11))))</f>
        <v>-82.090549260267792</v>
      </c>
      <c r="F717" s="1">
        <f t="shared" si="65"/>
        <v>-84.092582069466857</v>
      </c>
      <c r="G717" s="1">
        <f t="shared" si="63"/>
        <v>3.013392050443664E-37</v>
      </c>
      <c r="H717" s="1">
        <f t="shared" si="60"/>
        <v>2.9578637480460924E-38</v>
      </c>
      <c r="I717">
        <f>IF($F$11&lt;=D717, IF(D717&lt;=$A$15,D717-$F$11,$C$11),0)</f>
        <v>60</v>
      </c>
      <c r="J717">
        <f t="shared" si="61"/>
        <v>630</v>
      </c>
      <c r="K717" s="5">
        <f>IF(D717&lt;$F$11,H717,0)</f>
        <v>0</v>
      </c>
      <c r="L717">
        <f>IF(D717&lt;$A$15,$D$11,$D$11*(1-$H$11))</f>
        <v>85</v>
      </c>
      <c r="M717">
        <f t="shared" si="62"/>
        <v>1</v>
      </c>
      <c r="N717">
        <f>IF(SUM(I717:J717)&lt;=($G$11/60*$F$11/($E$11/60)),1,0)</f>
        <v>0</v>
      </c>
    </row>
    <row r="718" spans="4:14" x14ac:dyDescent="0.2">
      <c r="D718">
        <f t="shared" si="64"/>
        <v>695</v>
      </c>
      <c r="E718" s="1">
        <f>IF($H$11=1,IF(D718&lt;=$A$15, E717+LN($D$11)-LN(60/$E$11)-LN(MIN(D718,$F$11)), E717-LN(60/$E$11)-LN(MIN(D718,$F$11))), IF(D718&lt;=$A$15, E717+LN($D$11)-LN(60/$E$11)-LN(MIN(D718,$F$11)), E717+LN($D$11)+LN(1-$H$11)-LN(60/$E$11)-LN(MIN(D718,$F$11))))</f>
        <v>-82.212246195245314</v>
      </c>
      <c r="F718" s="1">
        <f t="shared" si="65"/>
        <v>-84.214279004444379</v>
      </c>
      <c r="G718" s="1">
        <f t="shared" si="63"/>
        <v>2.6681075446636569E-37</v>
      </c>
      <c r="H718" s="1">
        <f t="shared" si="60"/>
        <v>2.6189418602491407E-38</v>
      </c>
      <c r="I718">
        <f>IF($F$11&lt;=D718, IF(D718&lt;=$A$15,D718-$F$11,$C$11),0)</f>
        <v>60</v>
      </c>
      <c r="J718">
        <f t="shared" si="61"/>
        <v>631</v>
      </c>
      <c r="K718" s="5">
        <f>IF(D718&lt;$F$11,H718,0)</f>
        <v>0</v>
      </c>
      <c r="L718">
        <f>IF(D718&lt;$A$15,$D$11,$D$11*(1-$H$11))</f>
        <v>85</v>
      </c>
      <c r="M718">
        <f t="shared" si="62"/>
        <v>1</v>
      </c>
      <c r="N718">
        <f>IF(SUM(I718:J718)&lt;=($G$11/60*$F$11/($E$11/60)),1,0)</f>
        <v>0</v>
      </c>
    </row>
    <row r="719" spans="4:14" x14ac:dyDescent="0.2">
      <c r="D719">
        <f t="shared" si="64"/>
        <v>696</v>
      </c>
      <c r="E719" s="1">
        <f>IF($H$11=1,IF(D719&lt;=$A$15, E718+LN($D$11)-LN(60/$E$11)-LN(MIN(D719,$F$11)), E718-LN(60/$E$11)-LN(MIN(D719,$F$11))), IF(D719&lt;=$A$15, E718+LN($D$11)-LN(60/$E$11)-LN(MIN(D719,$F$11)), E718+LN($D$11)+LN(1-$H$11)-LN(60/$E$11)-LN(MIN(D719,$F$11))))</f>
        <v>-82.333943130222835</v>
      </c>
      <c r="F719" s="1">
        <f t="shared" si="65"/>
        <v>-84.3359759394219</v>
      </c>
      <c r="G719" s="1">
        <f t="shared" si="63"/>
        <v>2.362386888504276E-37</v>
      </c>
      <c r="H719" s="1">
        <f t="shared" si="60"/>
        <v>2.3188547720955898E-38</v>
      </c>
      <c r="I719">
        <f>IF($F$11&lt;=D719, IF(D719&lt;=$A$15,D719-$F$11,$C$11),0)</f>
        <v>60</v>
      </c>
      <c r="J719">
        <f t="shared" si="61"/>
        <v>632</v>
      </c>
      <c r="K719" s="5">
        <f>IF(D719&lt;$F$11,H719,0)</f>
        <v>0</v>
      </c>
      <c r="L719">
        <f>IF(D719&lt;$A$15,$D$11,$D$11*(1-$H$11))</f>
        <v>85</v>
      </c>
      <c r="M719">
        <f t="shared" si="62"/>
        <v>1</v>
      </c>
      <c r="N719">
        <f>IF(SUM(I719:J719)&lt;=($G$11/60*$F$11/($E$11/60)),1,0)</f>
        <v>0</v>
      </c>
    </row>
    <row r="720" spans="4:14" x14ac:dyDescent="0.2">
      <c r="D720">
        <f t="shared" si="64"/>
        <v>697</v>
      </c>
      <c r="E720" s="1">
        <f>IF($H$11=1,IF(D720&lt;=$A$15, E719+LN($D$11)-LN(60/$E$11)-LN(MIN(D720,$F$11)), E719-LN(60/$E$11)-LN(MIN(D720,$F$11))), IF(D720&lt;=$A$15, E719+LN($D$11)-LN(60/$E$11)-LN(MIN(D720,$F$11)), E719+LN($D$11)+LN(1-$H$11)-LN(60/$E$11)-LN(MIN(D720,$F$11))))</f>
        <v>-82.455640065200356</v>
      </c>
      <c r="F720" s="1">
        <f t="shared" si="65"/>
        <v>-84.457672874399421</v>
      </c>
      <c r="G720" s="1">
        <f t="shared" si="63"/>
        <v>2.0916967241964914E-37</v>
      </c>
      <c r="H720" s="1">
        <f t="shared" si="60"/>
        <v>2.0531526627929673E-38</v>
      </c>
      <c r="I720">
        <f>IF($F$11&lt;=D720, IF(D720&lt;=$A$15,D720-$F$11,$C$11),0)</f>
        <v>60</v>
      </c>
      <c r="J720">
        <f t="shared" si="61"/>
        <v>633</v>
      </c>
      <c r="K720" s="5">
        <f>IF(D720&lt;$F$11,H720,0)</f>
        <v>0</v>
      </c>
      <c r="L720">
        <f>IF(D720&lt;$A$15,$D$11,$D$11*(1-$H$11))</f>
        <v>85</v>
      </c>
      <c r="M720">
        <f t="shared" si="62"/>
        <v>1</v>
      </c>
      <c r="N720">
        <f>IF(SUM(I720:J720)&lt;=($G$11/60*$F$11/($E$11/60)),1,0)</f>
        <v>0</v>
      </c>
    </row>
    <row r="721" spans="4:14" x14ac:dyDescent="0.2">
      <c r="D721">
        <f t="shared" si="64"/>
        <v>698</v>
      </c>
      <c r="E721" s="1">
        <f>IF($H$11=1,IF(D721&lt;=$A$15, E720+LN($D$11)-LN(60/$E$11)-LN(MIN(D721,$F$11)), E720-LN(60/$E$11)-LN(MIN(D721,$F$11))), IF(D721&lt;=$A$15, E720+LN($D$11)-LN(60/$E$11)-LN(MIN(D721,$F$11)), E720+LN($D$11)+LN(1-$H$11)-LN(60/$E$11)-LN(MIN(D721,$F$11))))</f>
        <v>-82.577337000177877</v>
      </c>
      <c r="F721" s="1">
        <f t="shared" si="65"/>
        <v>-84.579369809376942</v>
      </c>
      <c r="G721" s="1">
        <f t="shared" si="63"/>
        <v>1.8520231412156409E-37</v>
      </c>
      <c r="H721" s="1">
        <f t="shared" si="60"/>
        <v>1.8178955868479372E-38</v>
      </c>
      <c r="I721">
        <f>IF($F$11&lt;=D721, IF(D721&lt;=$A$15,D721-$F$11,$C$11),0)</f>
        <v>60</v>
      </c>
      <c r="J721">
        <f t="shared" si="61"/>
        <v>634</v>
      </c>
      <c r="K721" s="5">
        <f>IF(D721&lt;$F$11,H721,0)</f>
        <v>0</v>
      </c>
      <c r="L721">
        <f>IF(D721&lt;$A$15,$D$11,$D$11*(1-$H$11))</f>
        <v>85</v>
      </c>
      <c r="M721">
        <f t="shared" si="62"/>
        <v>1</v>
      </c>
      <c r="N721">
        <f>IF(SUM(I721:J721)&lt;=($G$11/60*$F$11/($E$11/60)),1,0)</f>
        <v>0</v>
      </c>
    </row>
    <row r="722" spans="4:14" x14ac:dyDescent="0.2">
      <c r="D722">
        <f t="shared" si="64"/>
        <v>699</v>
      </c>
      <c r="E722" s="1">
        <f>IF($H$11=1,IF(D722&lt;=$A$15, E721+LN($D$11)-LN(60/$E$11)-LN(MIN(D722,$F$11)), E721-LN(60/$E$11)-LN(MIN(D722,$F$11))), IF(D722&lt;=$A$15, E721+LN($D$11)-LN(60/$E$11)-LN(MIN(D722,$F$11)), E721+LN($D$11)+LN(1-$H$11)-LN(60/$E$11)-LN(MIN(D722,$F$11))))</f>
        <v>-82.699033935155398</v>
      </c>
      <c r="F722" s="1">
        <f t="shared" si="65"/>
        <v>-84.701066744354463</v>
      </c>
      <c r="G722" s="1">
        <f t="shared" si="63"/>
        <v>1.6398121562846797E-37</v>
      </c>
      <c r="H722" s="1">
        <f t="shared" si="60"/>
        <v>1.6095950508549421E-38</v>
      </c>
      <c r="I722">
        <f>IF($F$11&lt;=D722, IF(D722&lt;=$A$15,D722-$F$11,$C$11),0)</f>
        <v>60</v>
      </c>
      <c r="J722">
        <f t="shared" si="61"/>
        <v>635</v>
      </c>
      <c r="K722" s="5">
        <f>IF(D722&lt;$F$11,H722,0)</f>
        <v>0</v>
      </c>
      <c r="L722">
        <f>IF(D722&lt;$A$15,$D$11,$D$11*(1-$H$11))</f>
        <v>85</v>
      </c>
      <c r="M722">
        <f t="shared" si="62"/>
        <v>1</v>
      </c>
      <c r="N722">
        <f>IF(SUM(I722:J722)&lt;=($G$11/60*$F$11/($E$11/60)),1,0)</f>
        <v>0</v>
      </c>
    </row>
    <row r="723" spans="4:14" x14ac:dyDescent="0.2">
      <c r="D723">
        <f t="shared" si="64"/>
        <v>700</v>
      </c>
      <c r="E723" s="1">
        <f>IF($H$11=1,IF(D723&lt;=$A$15, E722+LN($D$11)-LN(60/$E$11)-LN(MIN(D723,$F$11)), E722-LN(60/$E$11)-LN(MIN(D723,$F$11))), IF(D723&lt;=$A$15, E722+LN($D$11)-LN(60/$E$11)-LN(MIN(D723,$F$11)), E722+LN($D$11)+LN(1-$H$11)-LN(60/$E$11)-LN(MIN(D723,$F$11))))</f>
        <v>-82.82073087013292</v>
      </c>
      <c r="F723" s="1">
        <f t="shared" si="65"/>
        <v>-84.822763679331985</v>
      </c>
      <c r="G723" s="1">
        <f t="shared" si="63"/>
        <v>1.4519170133770582E-37</v>
      </c>
      <c r="H723" s="1">
        <f t="shared" si="60"/>
        <v>1.4251622846111447E-38</v>
      </c>
      <c r="I723">
        <f>IF($F$11&lt;=D723, IF(D723&lt;=$A$15,D723-$F$11,$C$11),0)</f>
        <v>60</v>
      </c>
      <c r="J723">
        <f t="shared" si="61"/>
        <v>636</v>
      </c>
      <c r="K723" s="5">
        <f>IF(D723&lt;$F$11,H723,0)</f>
        <v>0</v>
      </c>
      <c r="L723">
        <f>IF(D723&lt;$A$15,$D$11,$D$11*(1-$H$11))</f>
        <v>85</v>
      </c>
      <c r="M723">
        <f t="shared" si="62"/>
        <v>1</v>
      </c>
      <c r="N723">
        <f>IF(SUM(I723:J723)&lt;=($G$11/60*$F$11/($E$11/60)),1,0)</f>
        <v>0</v>
      </c>
    </row>
    <row r="724" spans="4:14" x14ac:dyDescent="0.2">
      <c r="D724">
        <f t="shared" si="64"/>
        <v>701</v>
      </c>
      <c r="E724" s="1">
        <f>IF($H$11=1,IF(D724&lt;=$A$15, E723+LN($D$11)-LN(60/$E$11)-LN(MIN(D724,$F$11)), E723-LN(60/$E$11)-LN(MIN(D724,$F$11))), IF(D724&lt;=$A$15, E723+LN($D$11)-LN(60/$E$11)-LN(MIN(D724,$F$11)), E723+LN($D$11)+LN(1-$H$11)-LN(60/$E$11)-LN(MIN(D724,$F$11))))</f>
        <v>-82.942427805110441</v>
      </c>
      <c r="F724" s="1">
        <f t="shared" si="65"/>
        <v>-84.944460614309506</v>
      </c>
      <c r="G724" s="1">
        <f t="shared" si="63"/>
        <v>1.285551522260935E-37</v>
      </c>
      <c r="H724" s="1">
        <f t="shared" si="60"/>
        <v>1.2618624394994492E-38</v>
      </c>
      <c r="I724">
        <f>IF($F$11&lt;=D724, IF(D724&lt;=$A$15,D724-$F$11,$C$11),0)</f>
        <v>60</v>
      </c>
      <c r="J724">
        <f t="shared" si="61"/>
        <v>637</v>
      </c>
      <c r="K724" s="5">
        <f>IF(D724&lt;$F$11,H724,0)</f>
        <v>0</v>
      </c>
      <c r="L724">
        <f>IF(D724&lt;$A$15,$D$11,$D$11*(1-$H$11))</f>
        <v>85</v>
      </c>
      <c r="M724">
        <f t="shared" si="62"/>
        <v>1</v>
      </c>
      <c r="N724">
        <f>IF(SUM(I724:J724)&lt;=($G$11/60*$F$11/($E$11/60)),1,0)</f>
        <v>0</v>
      </c>
    </row>
    <row r="725" spans="4:14" x14ac:dyDescent="0.2">
      <c r="D725">
        <f t="shared" si="64"/>
        <v>702</v>
      </c>
      <c r="E725" s="1">
        <f>IF($H$11=1,IF(D725&lt;=$A$15, E724+LN($D$11)-LN(60/$E$11)-LN(MIN(D725,$F$11)), E724-LN(60/$E$11)-LN(MIN(D725,$F$11))), IF(D725&lt;=$A$15, E724+LN($D$11)-LN(60/$E$11)-LN(MIN(D725,$F$11)), E724+LN($D$11)+LN(1-$H$11)-LN(60/$E$11)-LN(MIN(D725,$F$11))))</f>
        <v>-83.064124740087962</v>
      </c>
      <c r="F725" s="1">
        <f t="shared" si="65"/>
        <v>-85.066157549287027</v>
      </c>
      <c r="G725" s="1">
        <f t="shared" si="63"/>
        <v>1.1382487436685346E-37</v>
      </c>
      <c r="H725" s="1">
        <f t="shared" si="60"/>
        <v>1.117274034973469E-38</v>
      </c>
      <c r="I725">
        <f>IF($F$11&lt;=D725, IF(D725&lt;=$A$15,D725-$F$11,$C$11),0)</f>
        <v>60</v>
      </c>
      <c r="J725">
        <f t="shared" si="61"/>
        <v>638</v>
      </c>
      <c r="K725" s="5">
        <f>IF(D725&lt;$F$11,H725,0)</f>
        <v>0</v>
      </c>
      <c r="L725">
        <f>IF(D725&lt;$A$15,$D$11,$D$11*(1-$H$11))</f>
        <v>85</v>
      </c>
      <c r="M725">
        <f t="shared" si="62"/>
        <v>1</v>
      </c>
      <c r="N725">
        <f>IF(SUM(I725:J725)&lt;=($G$11/60*$F$11/($E$11/60)),1,0)</f>
        <v>0</v>
      </c>
    </row>
    <row r="726" spans="4:14" x14ac:dyDescent="0.2">
      <c r="D726">
        <f t="shared" si="64"/>
        <v>703</v>
      </c>
      <c r="E726" s="1">
        <f>IF($H$11=1,IF(D726&lt;=$A$15, E725+LN($D$11)-LN(60/$E$11)-LN(MIN(D726,$F$11)), E725-LN(60/$E$11)-LN(MIN(D726,$F$11))), IF(D726&lt;=$A$15, E725+LN($D$11)-LN(60/$E$11)-LN(MIN(D726,$F$11)), E725+LN($D$11)+LN(1-$H$11)-LN(60/$E$11)-LN(MIN(D726,$F$11))))</f>
        <v>-83.185821675065483</v>
      </c>
      <c r="F726" s="1">
        <f t="shared" si="65"/>
        <v>-85.187854484264548</v>
      </c>
      <c r="G726" s="1">
        <f t="shared" si="63"/>
        <v>1.0078244084565136E-37</v>
      </c>
      <c r="H726" s="1">
        <f t="shared" si="60"/>
        <v>9.8925305179942436E-39</v>
      </c>
      <c r="I726">
        <f>IF($F$11&lt;=D726, IF(D726&lt;=$A$15,D726-$F$11,$C$11),0)</f>
        <v>60</v>
      </c>
      <c r="J726">
        <f t="shared" si="61"/>
        <v>639</v>
      </c>
      <c r="K726" s="5">
        <f>IF(D726&lt;$F$11,H726,0)</f>
        <v>0</v>
      </c>
      <c r="L726">
        <f>IF(D726&lt;$A$15,$D$11,$D$11*(1-$H$11))</f>
        <v>85</v>
      </c>
      <c r="M726">
        <f t="shared" si="62"/>
        <v>1</v>
      </c>
      <c r="N726">
        <f>IF(SUM(I726:J726)&lt;=($G$11/60*$F$11/($E$11/60)),1,0)</f>
        <v>0</v>
      </c>
    </row>
    <row r="727" spans="4:14" x14ac:dyDescent="0.2">
      <c r="D727">
        <f t="shared" si="64"/>
        <v>704</v>
      </c>
      <c r="E727" s="1">
        <f>IF($H$11=1,IF(D727&lt;=$A$15, E726+LN($D$11)-LN(60/$E$11)-LN(MIN(D727,$F$11)), E726-LN(60/$E$11)-LN(MIN(D727,$F$11))), IF(D727&lt;=$A$15, E726+LN($D$11)-LN(60/$E$11)-LN(MIN(D727,$F$11)), E726+LN($D$11)+LN(1-$H$11)-LN(60/$E$11)-LN(MIN(D727,$F$11))))</f>
        <v>-83.307518610043005</v>
      </c>
      <c r="F727" s="1">
        <f t="shared" si="65"/>
        <v>-85.309551419242069</v>
      </c>
      <c r="G727" s="1">
        <f t="shared" si="63"/>
        <v>8.9234452832087011E-38</v>
      </c>
      <c r="H727" s="1">
        <f t="shared" ref="H727:H790" si="66">G727/$G$21</f>
        <v>8.7590113961407233E-39</v>
      </c>
      <c r="I727">
        <f>IF($F$11&lt;=D727, IF(D727&lt;=$A$15,D727-$F$11,$C$11),0)</f>
        <v>60</v>
      </c>
      <c r="J727">
        <f t="shared" ref="J727:J790" si="67">IF(D727&lt;=$A$15,0,D727-$A$15)</f>
        <v>640</v>
      </c>
      <c r="K727" s="5">
        <f>IF(D727&lt;$F$11,H727,0)</f>
        <v>0</v>
      </c>
      <c r="L727">
        <f>IF(D727&lt;$A$15,$D$11,$D$11*(1-$H$11))</f>
        <v>85</v>
      </c>
      <c r="M727">
        <f t="shared" ref="M727:M790" si="68">IF(D727&lt;$A$15,0,1)</f>
        <v>1</v>
      </c>
      <c r="N727">
        <f>IF(SUM(I727:J727)&lt;=($G$11/60*$F$11/($E$11/60)),1,0)</f>
        <v>0</v>
      </c>
    </row>
    <row r="728" spans="4:14" x14ac:dyDescent="0.2">
      <c r="D728">
        <f t="shared" si="64"/>
        <v>705</v>
      </c>
      <c r="E728" s="1">
        <f>IF($H$11=1,IF(D728&lt;=$A$15, E727+LN($D$11)-LN(60/$E$11)-LN(MIN(D728,$F$11)), E727-LN(60/$E$11)-LN(MIN(D728,$F$11))), IF(D728&lt;=$A$15, E727+LN($D$11)-LN(60/$E$11)-LN(MIN(D728,$F$11)), E727+LN($D$11)+LN(1-$H$11)-LN(60/$E$11)-LN(MIN(D728,$F$11))))</f>
        <v>-83.429215545020526</v>
      </c>
      <c r="F728" s="1">
        <f t="shared" si="65"/>
        <v>-85.431248354219591</v>
      </c>
      <c r="G728" s="1">
        <f t="shared" ref="G728:G791" si="69">EXP(F728)</f>
        <v>7.9009671778410269E-38</v>
      </c>
      <c r="H728" s="1">
        <f t="shared" si="66"/>
        <v>7.7553746736662552E-39</v>
      </c>
      <c r="I728">
        <f>IF($F$11&lt;=D728, IF(D728&lt;=$A$15,D728-$F$11,$C$11),0)</f>
        <v>60</v>
      </c>
      <c r="J728">
        <f t="shared" si="67"/>
        <v>641</v>
      </c>
      <c r="K728" s="5">
        <f>IF(D728&lt;$F$11,H728,0)</f>
        <v>0</v>
      </c>
      <c r="L728">
        <f>IF(D728&lt;$A$15,$D$11,$D$11*(1-$H$11))</f>
        <v>85</v>
      </c>
      <c r="M728">
        <f t="shared" si="68"/>
        <v>1</v>
      </c>
      <c r="N728">
        <f>IF(SUM(I728:J728)&lt;=($G$11/60*$F$11/($E$11/60)),1,0)</f>
        <v>0</v>
      </c>
    </row>
    <row r="729" spans="4:14" x14ac:dyDescent="0.2">
      <c r="D729">
        <f t="shared" ref="D729:D792" si="70">1+D728</f>
        <v>706</v>
      </c>
      <c r="E729" s="1">
        <f>IF($H$11=1,IF(D729&lt;=$A$15, E728+LN($D$11)-LN(60/$E$11)-LN(MIN(D729,$F$11)), E728-LN(60/$E$11)-LN(MIN(D729,$F$11))), IF(D729&lt;=$A$15, E728+LN($D$11)-LN(60/$E$11)-LN(MIN(D729,$F$11)), E728+LN($D$11)+LN(1-$H$11)-LN(60/$E$11)-LN(MIN(D729,$F$11))))</f>
        <v>-83.550912479998047</v>
      </c>
      <c r="F729" s="1">
        <f t="shared" ref="F729:F792" si="71">E729-$E$21</f>
        <v>-85.552945289197112</v>
      </c>
      <c r="G729" s="1">
        <f t="shared" si="69"/>
        <v>6.9956480220467324E-38</v>
      </c>
      <c r="H729" s="1">
        <f t="shared" si="66"/>
        <v>6.8667379923086537E-39</v>
      </c>
      <c r="I729">
        <f>IF($F$11&lt;=D729, IF(D729&lt;=$A$15,D729-$F$11,$C$11),0)</f>
        <v>60</v>
      </c>
      <c r="J729">
        <f t="shared" si="67"/>
        <v>642</v>
      </c>
      <c r="K729" s="5">
        <f>IF(D729&lt;$F$11,H729,0)</f>
        <v>0</v>
      </c>
      <c r="L729">
        <f>IF(D729&lt;$A$15,$D$11,$D$11*(1-$H$11))</f>
        <v>85</v>
      </c>
      <c r="M729">
        <f t="shared" si="68"/>
        <v>1</v>
      </c>
      <c r="N729">
        <f>IF(SUM(I729:J729)&lt;=($G$11/60*$F$11/($E$11/60)),1,0)</f>
        <v>0</v>
      </c>
    </row>
    <row r="730" spans="4:14" x14ac:dyDescent="0.2">
      <c r="D730">
        <f t="shared" si="70"/>
        <v>707</v>
      </c>
      <c r="E730" s="1">
        <f>IF($H$11=1,IF(D730&lt;=$A$15, E729+LN($D$11)-LN(60/$E$11)-LN(MIN(D730,$F$11)), E729-LN(60/$E$11)-LN(MIN(D730,$F$11))), IF(D730&lt;=$A$15, E729+LN($D$11)-LN(60/$E$11)-LN(MIN(D730,$F$11)), E729+LN($D$11)+LN(1-$H$11)-LN(60/$E$11)-LN(MIN(D730,$F$11))))</f>
        <v>-83.672609414975568</v>
      </c>
      <c r="F730" s="1">
        <f t="shared" si="71"/>
        <v>-85.674642224174633</v>
      </c>
      <c r="G730" s="1">
        <f t="shared" si="69"/>
        <v>6.1940633528538692E-38</v>
      </c>
      <c r="H730" s="1">
        <f t="shared" si="66"/>
        <v>6.0799242640232789E-39</v>
      </c>
      <c r="I730">
        <f>IF($F$11&lt;=D730, IF(D730&lt;=$A$15,D730-$F$11,$C$11),0)</f>
        <v>60</v>
      </c>
      <c r="J730">
        <f t="shared" si="67"/>
        <v>643</v>
      </c>
      <c r="K730" s="5">
        <f>IF(D730&lt;$F$11,H730,0)</f>
        <v>0</v>
      </c>
      <c r="L730">
        <f>IF(D730&lt;$A$15,$D$11,$D$11*(1-$H$11))</f>
        <v>85</v>
      </c>
      <c r="M730">
        <f t="shared" si="68"/>
        <v>1</v>
      </c>
      <c r="N730">
        <f>IF(SUM(I730:J730)&lt;=($G$11/60*$F$11/($E$11/60)),1,0)</f>
        <v>0</v>
      </c>
    </row>
    <row r="731" spans="4:14" x14ac:dyDescent="0.2">
      <c r="D731">
        <f t="shared" si="70"/>
        <v>708</v>
      </c>
      <c r="E731" s="1">
        <f>IF($H$11=1,IF(D731&lt;=$A$15, E730+LN($D$11)-LN(60/$E$11)-LN(MIN(D731,$F$11)), E730-LN(60/$E$11)-LN(MIN(D731,$F$11))), IF(D731&lt;=$A$15, E730+LN($D$11)-LN(60/$E$11)-LN(MIN(D731,$F$11)), E730+LN($D$11)+LN(1-$H$11)-LN(60/$E$11)-LN(MIN(D731,$F$11))))</f>
        <v>-83.794306349953089</v>
      </c>
      <c r="F731" s="1">
        <f t="shared" si="71"/>
        <v>-85.796339159152154</v>
      </c>
      <c r="G731" s="1">
        <f t="shared" si="69"/>
        <v>5.4843269270060216E-38</v>
      </c>
      <c r="H731" s="1">
        <f t="shared" si="66"/>
        <v>5.3832662754372699E-39</v>
      </c>
      <c r="I731">
        <f>IF($F$11&lt;=D731, IF(D731&lt;=$A$15,D731-$F$11,$C$11),0)</f>
        <v>60</v>
      </c>
      <c r="J731">
        <f t="shared" si="67"/>
        <v>644</v>
      </c>
      <c r="K731" s="5">
        <f>IF(D731&lt;$F$11,H731,0)</f>
        <v>0</v>
      </c>
      <c r="L731">
        <f>IF(D731&lt;$A$15,$D$11,$D$11*(1-$H$11))</f>
        <v>85</v>
      </c>
      <c r="M731">
        <f t="shared" si="68"/>
        <v>1</v>
      </c>
      <c r="N731">
        <f>IF(SUM(I731:J731)&lt;=($G$11/60*$F$11/($E$11/60)),1,0)</f>
        <v>0</v>
      </c>
    </row>
    <row r="732" spans="4:14" x14ac:dyDescent="0.2">
      <c r="D732">
        <f t="shared" si="70"/>
        <v>709</v>
      </c>
      <c r="E732" s="1">
        <f>IF($H$11=1,IF(D732&lt;=$A$15, E731+LN($D$11)-LN(60/$E$11)-LN(MIN(D732,$F$11)), E731-LN(60/$E$11)-LN(MIN(D732,$F$11))), IF(D732&lt;=$A$15, E731+LN($D$11)-LN(60/$E$11)-LN(MIN(D732,$F$11)), E731+LN($D$11)+LN(1-$H$11)-LN(60/$E$11)-LN(MIN(D732,$F$11))))</f>
        <v>-83.916003284930611</v>
      </c>
      <c r="F732" s="1">
        <f t="shared" si="71"/>
        <v>-85.918036094129675</v>
      </c>
      <c r="G732" s="1">
        <f t="shared" si="69"/>
        <v>4.8559144666199077E-38</v>
      </c>
      <c r="H732" s="1">
        <f t="shared" si="66"/>
        <v>4.766433681376742E-39</v>
      </c>
      <c r="I732">
        <f>IF($F$11&lt;=D732, IF(D732&lt;=$A$15,D732-$F$11,$C$11),0)</f>
        <v>60</v>
      </c>
      <c r="J732">
        <f t="shared" si="67"/>
        <v>645</v>
      </c>
      <c r="K732" s="5">
        <f>IF(D732&lt;$F$11,H732,0)</f>
        <v>0</v>
      </c>
      <c r="L732">
        <f>IF(D732&lt;$A$15,$D$11,$D$11*(1-$H$11))</f>
        <v>85</v>
      </c>
      <c r="M732">
        <f t="shared" si="68"/>
        <v>1</v>
      </c>
      <c r="N732">
        <f>IF(SUM(I732:J732)&lt;=($G$11/60*$F$11/($E$11/60)),1,0)</f>
        <v>0</v>
      </c>
    </row>
    <row r="733" spans="4:14" x14ac:dyDescent="0.2">
      <c r="D733">
        <f t="shared" si="70"/>
        <v>710</v>
      </c>
      <c r="E733" s="1">
        <f>IF($H$11=1,IF(D733&lt;=$A$15, E732+LN($D$11)-LN(60/$E$11)-LN(MIN(D733,$F$11)), E732-LN(60/$E$11)-LN(MIN(D733,$F$11))), IF(D733&lt;=$A$15, E732+LN($D$11)-LN(60/$E$11)-LN(MIN(D733,$F$11)), E732+LN($D$11)+LN(1-$H$11)-LN(60/$E$11)-LN(MIN(D733,$F$11))))</f>
        <v>-84.037700219908132</v>
      </c>
      <c r="F733" s="1">
        <f t="shared" si="71"/>
        <v>-86.039733029107197</v>
      </c>
      <c r="G733" s="1">
        <f t="shared" si="69"/>
        <v>4.2995076006530375E-38</v>
      </c>
      <c r="H733" s="1">
        <f t="shared" si="66"/>
        <v>4.2202798220523178E-39</v>
      </c>
      <c r="I733">
        <f>IF($F$11&lt;=D733, IF(D733&lt;=$A$15,D733-$F$11,$C$11),0)</f>
        <v>60</v>
      </c>
      <c r="J733">
        <f t="shared" si="67"/>
        <v>646</v>
      </c>
      <c r="K733" s="5">
        <f>IF(D733&lt;$F$11,H733,0)</f>
        <v>0</v>
      </c>
      <c r="L733">
        <f>IF(D733&lt;$A$15,$D$11,$D$11*(1-$H$11))</f>
        <v>85</v>
      </c>
      <c r="M733">
        <f t="shared" si="68"/>
        <v>1</v>
      </c>
      <c r="N733">
        <f>IF(SUM(I733:J733)&lt;=($G$11/60*$F$11/($E$11/60)),1,0)</f>
        <v>0</v>
      </c>
    </row>
    <row r="734" spans="4:14" x14ac:dyDescent="0.2">
      <c r="D734">
        <f t="shared" si="70"/>
        <v>711</v>
      </c>
      <c r="E734" s="1">
        <f>IF($H$11=1,IF(D734&lt;=$A$15, E733+LN($D$11)-LN(60/$E$11)-LN(MIN(D734,$F$11)), E733-LN(60/$E$11)-LN(MIN(D734,$F$11))), IF(D734&lt;=$A$15, E733+LN($D$11)-LN(60/$E$11)-LN(MIN(D734,$F$11)), E733+LN($D$11)+LN(1-$H$11)-LN(60/$E$11)-LN(MIN(D734,$F$11))))</f>
        <v>-84.159397154885653</v>
      </c>
      <c r="F734" s="1">
        <f t="shared" si="71"/>
        <v>-86.161429964084718</v>
      </c>
      <c r="G734" s="1">
        <f t="shared" si="69"/>
        <v>3.8068556880782051E-38</v>
      </c>
      <c r="H734" s="1">
        <f t="shared" si="66"/>
        <v>3.7367060924421515E-39</v>
      </c>
      <c r="I734">
        <f>IF($F$11&lt;=D734, IF(D734&lt;=$A$15,D734-$F$11,$C$11),0)</f>
        <v>60</v>
      </c>
      <c r="J734">
        <f t="shared" si="67"/>
        <v>647</v>
      </c>
      <c r="K734" s="5">
        <f>IF(D734&lt;$F$11,H734,0)</f>
        <v>0</v>
      </c>
      <c r="L734">
        <f>IF(D734&lt;$A$15,$D$11,$D$11*(1-$H$11))</f>
        <v>85</v>
      </c>
      <c r="M734">
        <f t="shared" si="68"/>
        <v>1</v>
      </c>
      <c r="N734">
        <f>IF(SUM(I734:J734)&lt;=($G$11/60*$F$11/($E$11/60)),1,0)</f>
        <v>0</v>
      </c>
    </row>
    <row r="735" spans="4:14" x14ac:dyDescent="0.2">
      <c r="D735">
        <f t="shared" si="70"/>
        <v>712</v>
      </c>
      <c r="E735" s="1">
        <f>IF($H$11=1,IF(D735&lt;=$A$15, E734+LN($D$11)-LN(60/$E$11)-LN(MIN(D735,$F$11)), E734-LN(60/$E$11)-LN(MIN(D735,$F$11))), IF(D735&lt;=$A$15, E734+LN($D$11)-LN(60/$E$11)-LN(MIN(D735,$F$11)), E734+LN($D$11)+LN(1-$H$11)-LN(60/$E$11)-LN(MIN(D735,$F$11))))</f>
        <v>-84.281094089863174</v>
      </c>
      <c r="F735" s="1">
        <f t="shared" si="71"/>
        <v>-86.283126899062239</v>
      </c>
      <c r="G735" s="1">
        <f t="shared" si="69"/>
        <v>3.3706534738192394E-38</v>
      </c>
      <c r="H735" s="1">
        <f t="shared" si="66"/>
        <v>3.30854185268315E-39</v>
      </c>
      <c r="I735">
        <f>IF($F$11&lt;=D735, IF(D735&lt;=$A$15,D735-$F$11,$C$11),0)</f>
        <v>60</v>
      </c>
      <c r="J735">
        <f t="shared" si="67"/>
        <v>648</v>
      </c>
      <c r="K735" s="5">
        <f>IF(D735&lt;$F$11,H735,0)</f>
        <v>0</v>
      </c>
      <c r="L735">
        <f>IF(D735&lt;$A$15,$D$11,$D$11*(1-$H$11))</f>
        <v>85</v>
      </c>
      <c r="M735">
        <f t="shared" si="68"/>
        <v>1</v>
      </c>
      <c r="N735">
        <f>IF(SUM(I735:J735)&lt;=($G$11/60*$F$11/($E$11/60)),1,0)</f>
        <v>0</v>
      </c>
    </row>
    <row r="736" spans="4:14" x14ac:dyDescent="0.2">
      <c r="D736">
        <f t="shared" si="70"/>
        <v>713</v>
      </c>
      <c r="E736" s="1">
        <f>IF($H$11=1,IF(D736&lt;=$A$15, E735+LN($D$11)-LN(60/$E$11)-LN(MIN(D736,$F$11)), E735-LN(60/$E$11)-LN(MIN(D736,$F$11))), IF(D736&lt;=$A$15, E735+LN($D$11)-LN(60/$E$11)-LN(MIN(D736,$F$11)), E735+LN($D$11)+LN(1-$H$11)-LN(60/$E$11)-LN(MIN(D736,$F$11))))</f>
        <v>-84.402791024840695</v>
      </c>
      <c r="F736" s="1">
        <f t="shared" si="71"/>
        <v>-86.40482383403976</v>
      </c>
      <c r="G736" s="1">
        <f t="shared" si="69"/>
        <v>2.984432763277447E-38</v>
      </c>
      <c r="H736" s="1">
        <f t="shared" si="66"/>
        <v>2.9294380987298682E-39</v>
      </c>
      <c r="I736">
        <f>IF($F$11&lt;=D736, IF(D736&lt;=$A$15,D736-$F$11,$C$11),0)</f>
        <v>60</v>
      </c>
      <c r="J736">
        <f t="shared" si="67"/>
        <v>649</v>
      </c>
      <c r="K736" s="5">
        <f>IF(D736&lt;$F$11,H736,0)</f>
        <v>0</v>
      </c>
      <c r="L736">
        <f>IF(D736&lt;$A$15,$D$11,$D$11*(1-$H$11))</f>
        <v>85</v>
      </c>
      <c r="M736">
        <f t="shared" si="68"/>
        <v>1</v>
      </c>
      <c r="N736">
        <f>IF(SUM(I736:J736)&lt;=($G$11/60*$F$11/($E$11/60)),1,0)</f>
        <v>0</v>
      </c>
    </row>
    <row r="737" spans="4:14" x14ac:dyDescent="0.2">
      <c r="D737">
        <f t="shared" si="70"/>
        <v>714</v>
      </c>
      <c r="E737" s="1">
        <f>IF($H$11=1,IF(D737&lt;=$A$15, E736+LN($D$11)-LN(60/$E$11)-LN(MIN(D737,$F$11)), E736-LN(60/$E$11)-LN(MIN(D737,$F$11))), IF(D737&lt;=$A$15, E736+LN($D$11)-LN(60/$E$11)-LN(MIN(D737,$F$11)), E736+LN($D$11)+LN(1-$H$11)-LN(60/$E$11)-LN(MIN(D737,$F$11))))</f>
        <v>-84.524487959818217</v>
      </c>
      <c r="F737" s="1">
        <f t="shared" si="71"/>
        <v>-86.526520769017282</v>
      </c>
      <c r="G737" s="1">
        <f t="shared" si="69"/>
        <v>2.6424665091519027E-38</v>
      </c>
      <c r="H737" s="1">
        <f t="shared" si="66"/>
        <v>2.5937733165837341E-39</v>
      </c>
      <c r="I737">
        <f>IF($F$11&lt;=D737, IF(D737&lt;=$A$15,D737-$F$11,$C$11),0)</f>
        <v>60</v>
      </c>
      <c r="J737">
        <f t="shared" si="67"/>
        <v>650</v>
      </c>
      <c r="K737" s="5">
        <f>IF(D737&lt;$F$11,H737,0)</f>
        <v>0</v>
      </c>
      <c r="L737">
        <f>IF(D737&lt;$A$15,$D$11,$D$11*(1-$H$11))</f>
        <v>85</v>
      </c>
      <c r="M737">
        <f t="shared" si="68"/>
        <v>1</v>
      </c>
      <c r="N737">
        <f>IF(SUM(I737:J737)&lt;=($G$11/60*$F$11/($E$11/60)),1,0)</f>
        <v>0</v>
      </c>
    </row>
    <row r="738" spans="4:14" x14ac:dyDescent="0.2">
      <c r="D738">
        <f t="shared" si="70"/>
        <v>715</v>
      </c>
      <c r="E738" s="1">
        <f>IF($H$11=1,IF(D738&lt;=$A$15, E737+LN($D$11)-LN(60/$E$11)-LN(MIN(D738,$F$11)), E737-LN(60/$E$11)-LN(MIN(D738,$F$11))), IF(D738&lt;=$A$15, E737+LN($D$11)-LN(60/$E$11)-LN(MIN(D738,$F$11)), E737+LN($D$11)+LN(1-$H$11)-LN(60/$E$11)-LN(MIN(D738,$F$11))))</f>
        <v>-84.646184894795738</v>
      </c>
      <c r="F738" s="1">
        <f t="shared" si="71"/>
        <v>-86.648217703994803</v>
      </c>
      <c r="G738" s="1">
        <f t="shared" si="69"/>
        <v>2.3396838883115769E-38</v>
      </c>
      <c r="H738" s="1">
        <f t="shared" si="66"/>
        <v>2.2965701240585111E-39</v>
      </c>
      <c r="I738">
        <f>IF($F$11&lt;=D738, IF(D738&lt;=$A$15,D738-$F$11,$C$11),0)</f>
        <v>60</v>
      </c>
      <c r="J738">
        <f t="shared" si="67"/>
        <v>651</v>
      </c>
      <c r="K738" s="5">
        <f>IF(D738&lt;$F$11,H738,0)</f>
        <v>0</v>
      </c>
      <c r="L738">
        <f>IF(D738&lt;$A$15,$D$11,$D$11*(1-$H$11))</f>
        <v>85</v>
      </c>
      <c r="M738">
        <f t="shared" si="68"/>
        <v>1</v>
      </c>
      <c r="N738">
        <f>IF(SUM(I738:J738)&lt;=($G$11/60*$F$11/($E$11/60)),1,0)</f>
        <v>0</v>
      </c>
    </row>
    <row r="739" spans="4:14" x14ac:dyDescent="0.2">
      <c r="D739">
        <f t="shared" si="70"/>
        <v>716</v>
      </c>
      <c r="E739" s="1">
        <f>IF($H$11=1,IF(D739&lt;=$A$15, E738+LN($D$11)-LN(60/$E$11)-LN(MIN(D739,$F$11)), E738-LN(60/$E$11)-LN(MIN(D739,$F$11))), IF(D739&lt;=$A$15, E738+LN($D$11)-LN(60/$E$11)-LN(MIN(D739,$F$11)), E738+LN($D$11)+LN(1-$H$11)-LN(60/$E$11)-LN(MIN(D739,$F$11))))</f>
        <v>-84.767881829773259</v>
      </c>
      <c r="F739" s="1">
        <f t="shared" si="71"/>
        <v>-86.769914638972324</v>
      </c>
      <c r="G739" s="1">
        <f t="shared" si="69"/>
        <v>2.0715951094425392E-38</v>
      </c>
      <c r="H739" s="1">
        <f t="shared" si="66"/>
        <v>2.0334214640101374E-39</v>
      </c>
      <c r="I739">
        <f>IF($F$11&lt;=D739, IF(D739&lt;=$A$15,D739-$F$11,$C$11),0)</f>
        <v>60</v>
      </c>
      <c r="J739">
        <f t="shared" si="67"/>
        <v>652</v>
      </c>
      <c r="K739" s="5">
        <f>IF(D739&lt;$F$11,H739,0)</f>
        <v>0</v>
      </c>
      <c r="L739">
        <f>IF(D739&lt;$A$15,$D$11,$D$11*(1-$H$11))</f>
        <v>85</v>
      </c>
      <c r="M739">
        <f t="shared" si="68"/>
        <v>1</v>
      </c>
      <c r="N739">
        <f>IF(SUM(I739:J739)&lt;=($G$11/60*$F$11/($E$11/60)),1,0)</f>
        <v>0</v>
      </c>
    </row>
    <row r="740" spans="4:14" x14ac:dyDescent="0.2">
      <c r="D740">
        <f t="shared" si="70"/>
        <v>717</v>
      </c>
      <c r="E740" s="1">
        <f>IF($H$11=1,IF(D740&lt;=$A$15, E739+LN($D$11)-LN(60/$E$11)-LN(MIN(D740,$F$11)), E739-LN(60/$E$11)-LN(MIN(D740,$F$11))), IF(D740&lt;=$A$15, E739+LN($D$11)-LN(60/$E$11)-LN(MIN(D740,$F$11)), E739+LN($D$11)+LN(1-$H$11)-LN(60/$E$11)-LN(MIN(D740,$F$11))))</f>
        <v>-84.88957876475078</v>
      </c>
      <c r="F740" s="1">
        <f t="shared" si="71"/>
        <v>-86.891611573949845</v>
      </c>
      <c r="G740" s="1">
        <f t="shared" si="69"/>
        <v>1.834224836485579E-38</v>
      </c>
      <c r="H740" s="1">
        <f t="shared" si="66"/>
        <v>1.8004252545923066E-39</v>
      </c>
      <c r="I740">
        <f>IF($F$11&lt;=D740, IF(D740&lt;=$A$15,D740-$F$11,$C$11),0)</f>
        <v>60</v>
      </c>
      <c r="J740">
        <f t="shared" si="67"/>
        <v>653</v>
      </c>
      <c r="K740" s="5">
        <f>IF(D740&lt;$F$11,H740,0)</f>
        <v>0</v>
      </c>
      <c r="L740">
        <f>IF(D740&lt;$A$15,$D$11,$D$11*(1-$H$11))</f>
        <v>85</v>
      </c>
      <c r="M740">
        <f t="shared" si="68"/>
        <v>1</v>
      </c>
      <c r="N740">
        <f>IF(SUM(I740:J740)&lt;=($G$11/60*$F$11/($E$11/60)),1,0)</f>
        <v>0</v>
      </c>
    </row>
    <row r="741" spans="4:14" x14ac:dyDescent="0.2">
      <c r="D741">
        <f t="shared" si="70"/>
        <v>718</v>
      </c>
      <c r="E741" s="1">
        <f>IF($H$11=1,IF(D741&lt;=$A$15, E740+LN($D$11)-LN(60/$E$11)-LN(MIN(D741,$F$11)), E740-LN(60/$E$11)-LN(MIN(D741,$F$11))), IF(D741&lt;=$A$15, E740+LN($D$11)-LN(60/$E$11)-LN(MIN(D741,$F$11)), E740+LN($D$11)+LN(1-$H$11)-LN(60/$E$11)-LN(MIN(D741,$F$11))))</f>
        <v>-85.011275699728301</v>
      </c>
      <c r="F741" s="1">
        <f t="shared" si="71"/>
        <v>-87.013308508927366</v>
      </c>
      <c r="G741" s="1">
        <f t="shared" si="69"/>
        <v>1.6240532406382708E-38</v>
      </c>
      <c r="H741" s="1">
        <f t="shared" si="66"/>
        <v>1.5941265275036025E-39</v>
      </c>
      <c r="I741">
        <f>IF($F$11&lt;=D741, IF(D741&lt;=$A$15,D741-$F$11,$C$11),0)</f>
        <v>60</v>
      </c>
      <c r="J741">
        <f t="shared" si="67"/>
        <v>654</v>
      </c>
      <c r="K741" s="5">
        <f>IF(D741&lt;$F$11,H741,0)</f>
        <v>0</v>
      </c>
      <c r="L741">
        <f>IF(D741&lt;$A$15,$D$11,$D$11*(1-$H$11))</f>
        <v>85</v>
      </c>
      <c r="M741">
        <f t="shared" si="68"/>
        <v>1</v>
      </c>
      <c r="N741">
        <f>IF(SUM(I741:J741)&lt;=($G$11/60*$F$11/($E$11/60)),1,0)</f>
        <v>0</v>
      </c>
    </row>
    <row r="742" spans="4:14" x14ac:dyDescent="0.2">
      <c r="D742">
        <f t="shared" si="70"/>
        <v>719</v>
      </c>
      <c r="E742" s="1">
        <f>IF($H$11=1,IF(D742&lt;=$A$15, E741+LN($D$11)-LN(60/$E$11)-LN(MIN(D742,$F$11)), E741-LN(60/$E$11)-LN(MIN(D742,$F$11))), IF(D742&lt;=$A$15, E741+LN($D$11)-LN(60/$E$11)-LN(MIN(D742,$F$11)), E741+LN($D$11)+LN(1-$H$11)-LN(60/$E$11)-LN(MIN(D742,$F$11))))</f>
        <v>-85.132972634705823</v>
      </c>
      <c r="F742" s="1">
        <f t="shared" si="71"/>
        <v>-87.135005443904888</v>
      </c>
      <c r="G742" s="1">
        <f t="shared" si="69"/>
        <v>1.4379638068151334E-38</v>
      </c>
      <c r="H742" s="1">
        <f t="shared" si="66"/>
        <v>1.4114661962271459E-39</v>
      </c>
      <c r="I742">
        <f>IF($F$11&lt;=D742, IF(D742&lt;=$A$15,D742-$F$11,$C$11),0)</f>
        <v>60</v>
      </c>
      <c r="J742">
        <f t="shared" si="67"/>
        <v>655</v>
      </c>
      <c r="K742" s="5">
        <f>IF(D742&lt;$F$11,H742,0)</f>
        <v>0</v>
      </c>
      <c r="L742">
        <f>IF(D742&lt;$A$15,$D$11,$D$11*(1-$H$11))</f>
        <v>85</v>
      </c>
      <c r="M742">
        <f t="shared" si="68"/>
        <v>1</v>
      </c>
      <c r="N742">
        <f>IF(SUM(I742:J742)&lt;=($G$11/60*$F$11/($E$11/60)),1,0)</f>
        <v>0</v>
      </c>
    </row>
    <row r="743" spans="4:14" x14ac:dyDescent="0.2">
      <c r="D743">
        <f t="shared" si="70"/>
        <v>720</v>
      </c>
      <c r="E743" s="1">
        <f>IF($H$11=1,IF(D743&lt;=$A$15, E742+LN($D$11)-LN(60/$E$11)-LN(MIN(D743,$F$11)), E742-LN(60/$E$11)-LN(MIN(D743,$F$11))), IF(D743&lt;=$A$15, E742+LN($D$11)-LN(60/$E$11)-LN(MIN(D743,$F$11)), E742+LN($D$11)+LN(1-$H$11)-LN(60/$E$11)-LN(MIN(D743,$F$11))))</f>
        <v>-85.254669569683344</v>
      </c>
      <c r="F743" s="1">
        <f t="shared" si="71"/>
        <v>-87.256702378882409</v>
      </c>
      <c r="G743" s="1">
        <f t="shared" si="69"/>
        <v>1.2731971206175642E-38</v>
      </c>
      <c r="H743" s="1">
        <f t="shared" si="66"/>
        <v>1.2497356945761169E-39</v>
      </c>
      <c r="I743">
        <f>IF($F$11&lt;=D743, IF(D743&lt;=$A$15,D743-$F$11,$C$11),0)</f>
        <v>60</v>
      </c>
      <c r="J743">
        <f t="shared" si="67"/>
        <v>656</v>
      </c>
      <c r="K743" s="5">
        <f>IF(D743&lt;$F$11,H743,0)</f>
        <v>0</v>
      </c>
      <c r="L743">
        <f>IF(D743&lt;$A$15,$D$11,$D$11*(1-$H$11))</f>
        <v>85</v>
      </c>
      <c r="M743">
        <f t="shared" si="68"/>
        <v>1</v>
      </c>
      <c r="N743">
        <f>IF(SUM(I743:J743)&lt;=($G$11/60*$F$11/($E$11/60)),1,0)</f>
        <v>0</v>
      </c>
    </row>
    <row r="744" spans="4:14" x14ac:dyDescent="0.2">
      <c r="D744">
        <f t="shared" si="70"/>
        <v>721</v>
      </c>
      <c r="E744" s="1">
        <f>IF($H$11=1,IF(D744&lt;=$A$15, E743+LN($D$11)-LN(60/$E$11)-LN(MIN(D744,$F$11)), E743-LN(60/$E$11)-LN(MIN(D744,$F$11))), IF(D744&lt;=$A$15, E743+LN($D$11)-LN(60/$E$11)-LN(MIN(D744,$F$11)), E743+LN($D$11)+LN(1-$H$11)-LN(60/$E$11)-LN(MIN(D744,$F$11))))</f>
        <v>-85.376366504660865</v>
      </c>
      <c r="F744" s="1">
        <f t="shared" si="71"/>
        <v>-87.37839931385993</v>
      </c>
      <c r="G744" s="1">
        <f t="shared" si="69"/>
        <v>1.1273099505468001E-38</v>
      </c>
      <c r="H744" s="1">
        <f t="shared" si="66"/>
        <v>1.1065368129059353E-39</v>
      </c>
      <c r="I744">
        <f>IF($F$11&lt;=D744, IF(D744&lt;=$A$15,D744-$F$11,$C$11),0)</f>
        <v>60</v>
      </c>
      <c r="J744">
        <f t="shared" si="67"/>
        <v>657</v>
      </c>
      <c r="K744" s="5">
        <f>IF(D744&lt;$F$11,H744,0)</f>
        <v>0</v>
      </c>
      <c r="L744">
        <f>IF(D744&lt;$A$15,$D$11,$D$11*(1-$H$11))</f>
        <v>85</v>
      </c>
      <c r="M744">
        <f t="shared" si="68"/>
        <v>1</v>
      </c>
      <c r="N744">
        <f>IF(SUM(I744:J744)&lt;=($G$11/60*$F$11/($E$11/60)),1,0)</f>
        <v>0</v>
      </c>
    </row>
    <row r="745" spans="4:14" x14ac:dyDescent="0.2">
      <c r="D745">
        <f t="shared" si="70"/>
        <v>722</v>
      </c>
      <c r="E745" s="1">
        <f>IF($H$11=1,IF(D745&lt;=$A$15, E744+LN($D$11)-LN(60/$E$11)-LN(MIN(D745,$F$11)), E744-LN(60/$E$11)-LN(MIN(D745,$F$11))), IF(D745&lt;=$A$15, E744+LN($D$11)-LN(60/$E$11)-LN(MIN(D745,$F$11)), E744+LN($D$11)+LN(1-$H$11)-LN(60/$E$11)-LN(MIN(D745,$F$11))))</f>
        <v>-85.498063439638386</v>
      </c>
      <c r="F745" s="1">
        <f t="shared" si="71"/>
        <v>-87.500096248837451</v>
      </c>
      <c r="G745" s="1">
        <f t="shared" si="69"/>
        <v>9.9813901871331119E-39</v>
      </c>
      <c r="H745" s="1">
        <f t="shared" si="66"/>
        <v>9.7974613642712884E-40</v>
      </c>
      <c r="I745">
        <f>IF($F$11&lt;=D745, IF(D745&lt;=$A$15,D745-$F$11,$C$11),0)</f>
        <v>60</v>
      </c>
      <c r="J745">
        <f t="shared" si="67"/>
        <v>658</v>
      </c>
      <c r="K745" s="5">
        <f>IF(D745&lt;$F$11,H745,0)</f>
        <v>0</v>
      </c>
      <c r="L745">
        <f>IF(D745&lt;$A$15,$D$11,$D$11*(1-$H$11))</f>
        <v>85</v>
      </c>
      <c r="M745">
        <f t="shared" si="68"/>
        <v>1</v>
      </c>
      <c r="N745">
        <f>IF(SUM(I745:J745)&lt;=($G$11/60*$F$11/($E$11/60)),1,0)</f>
        <v>0</v>
      </c>
    </row>
    <row r="746" spans="4:14" x14ac:dyDescent="0.2">
      <c r="D746">
        <f t="shared" si="70"/>
        <v>723</v>
      </c>
      <c r="E746" s="1">
        <f>IF($H$11=1,IF(D746&lt;=$A$15, E745+LN($D$11)-LN(60/$E$11)-LN(MIN(D746,$F$11)), E745-LN(60/$E$11)-LN(MIN(D746,$F$11))), IF(D746&lt;=$A$15, E745+LN($D$11)-LN(60/$E$11)-LN(MIN(D746,$F$11)), E745+LN($D$11)+LN(1-$H$11)-LN(60/$E$11)-LN(MIN(D746,$F$11))))</f>
        <v>-85.619760374615907</v>
      </c>
      <c r="F746" s="1">
        <f t="shared" si="71"/>
        <v>-87.621793183814972</v>
      </c>
      <c r="G746" s="1">
        <f t="shared" si="69"/>
        <v>8.8376892281907635E-39</v>
      </c>
      <c r="H746" s="1">
        <f t="shared" si="66"/>
        <v>8.6748355829485246E-40</v>
      </c>
      <c r="I746">
        <f>IF($F$11&lt;=D746, IF(D746&lt;=$A$15,D746-$F$11,$C$11),0)</f>
        <v>60</v>
      </c>
      <c r="J746">
        <f t="shared" si="67"/>
        <v>659</v>
      </c>
      <c r="K746" s="5">
        <f>IF(D746&lt;$F$11,H746,0)</f>
        <v>0</v>
      </c>
      <c r="L746">
        <f>IF(D746&lt;$A$15,$D$11,$D$11*(1-$H$11))</f>
        <v>85</v>
      </c>
      <c r="M746">
        <f t="shared" si="68"/>
        <v>1</v>
      </c>
      <c r="N746">
        <f>IF(SUM(I746:J746)&lt;=($G$11/60*$F$11/($E$11/60)),1,0)</f>
        <v>0</v>
      </c>
    </row>
    <row r="747" spans="4:14" x14ac:dyDescent="0.2">
      <c r="D747">
        <f t="shared" si="70"/>
        <v>724</v>
      </c>
      <c r="E747" s="1">
        <f>IF($H$11=1,IF(D747&lt;=$A$15, E746+LN($D$11)-LN(60/$E$11)-LN(MIN(D747,$F$11)), E746-LN(60/$E$11)-LN(MIN(D747,$F$11))), IF(D747&lt;=$A$15, E746+LN($D$11)-LN(60/$E$11)-LN(MIN(D747,$F$11)), E746+LN($D$11)+LN(1-$H$11)-LN(60/$E$11)-LN(MIN(D747,$F$11))))</f>
        <v>-85.741457309593429</v>
      </c>
      <c r="F747" s="1">
        <f t="shared" si="71"/>
        <v>-87.743490118792494</v>
      </c>
      <c r="G747" s="1">
        <f t="shared" si="69"/>
        <v>7.8250373374605601E-39</v>
      </c>
      <c r="H747" s="1">
        <f t="shared" si="66"/>
        <v>7.6808440057356612E-40</v>
      </c>
      <c r="I747">
        <f>IF($F$11&lt;=D747, IF(D747&lt;=$A$15,D747-$F$11,$C$11),0)</f>
        <v>60</v>
      </c>
      <c r="J747">
        <f t="shared" si="67"/>
        <v>660</v>
      </c>
      <c r="K747" s="5">
        <f>IF(D747&lt;$F$11,H747,0)</f>
        <v>0</v>
      </c>
      <c r="L747">
        <f>IF(D747&lt;$A$15,$D$11,$D$11*(1-$H$11))</f>
        <v>85</v>
      </c>
      <c r="M747">
        <f t="shared" si="68"/>
        <v>1</v>
      </c>
      <c r="N747">
        <f>IF(SUM(I747:J747)&lt;=($G$11/60*$F$11/($E$11/60)),1,0)</f>
        <v>0</v>
      </c>
    </row>
    <row r="748" spans="4:14" x14ac:dyDescent="0.2">
      <c r="D748">
        <f t="shared" si="70"/>
        <v>725</v>
      </c>
      <c r="E748" s="1">
        <f>IF($H$11=1,IF(D748&lt;=$A$15, E747+LN($D$11)-LN(60/$E$11)-LN(MIN(D748,$F$11)), E747-LN(60/$E$11)-LN(MIN(D748,$F$11))), IF(D748&lt;=$A$15, E747+LN($D$11)-LN(60/$E$11)-LN(MIN(D748,$F$11)), E747+LN($D$11)+LN(1-$H$11)-LN(60/$E$11)-LN(MIN(D748,$F$11))))</f>
        <v>-85.86315424457095</v>
      </c>
      <c r="F748" s="1">
        <f t="shared" si="71"/>
        <v>-87.865187053770015</v>
      </c>
      <c r="G748" s="1">
        <f t="shared" si="69"/>
        <v>6.9284184758765286E-39</v>
      </c>
      <c r="H748" s="1">
        <f t="shared" si="66"/>
        <v>6.8007472967451075E-40</v>
      </c>
      <c r="I748">
        <f>IF($F$11&lt;=D748, IF(D748&lt;=$A$15,D748-$F$11,$C$11),0)</f>
        <v>60</v>
      </c>
      <c r="J748">
        <f t="shared" si="67"/>
        <v>661</v>
      </c>
      <c r="K748" s="5">
        <f>IF(D748&lt;$F$11,H748,0)</f>
        <v>0</v>
      </c>
      <c r="L748">
        <f>IF(D748&lt;$A$15,$D$11,$D$11*(1-$H$11))</f>
        <v>85</v>
      </c>
      <c r="M748">
        <f t="shared" si="68"/>
        <v>1</v>
      </c>
      <c r="N748">
        <f>IF(SUM(I748:J748)&lt;=($G$11/60*$F$11/($E$11/60)),1,0)</f>
        <v>0</v>
      </c>
    </row>
    <row r="749" spans="4:14" x14ac:dyDescent="0.2">
      <c r="D749">
        <f t="shared" si="70"/>
        <v>726</v>
      </c>
      <c r="E749" s="1">
        <f>IF($H$11=1,IF(D749&lt;=$A$15, E748+LN($D$11)-LN(60/$E$11)-LN(MIN(D749,$F$11)), E748-LN(60/$E$11)-LN(MIN(D749,$F$11))), IF(D749&lt;=$A$15, E748+LN($D$11)-LN(60/$E$11)-LN(MIN(D749,$F$11)), E748+LN($D$11)+LN(1-$H$11)-LN(60/$E$11)-LN(MIN(D749,$F$11))))</f>
        <v>-85.984851179548471</v>
      </c>
      <c r="F749" s="1">
        <f t="shared" si="71"/>
        <v>-87.986883988747536</v>
      </c>
      <c r="G749" s="1">
        <f t="shared" si="69"/>
        <v>6.1345371921823333E-39</v>
      </c>
      <c r="H749" s="1">
        <f t="shared" si="66"/>
        <v>6.0214950023263882E-40</v>
      </c>
      <c r="I749">
        <f>IF($F$11&lt;=D749, IF(D749&lt;=$A$15,D749-$F$11,$C$11),0)</f>
        <v>60</v>
      </c>
      <c r="J749">
        <f t="shared" si="67"/>
        <v>662</v>
      </c>
      <c r="K749" s="5">
        <f>IF(D749&lt;$F$11,H749,0)</f>
        <v>0</v>
      </c>
      <c r="L749">
        <f>IF(D749&lt;$A$15,$D$11,$D$11*(1-$H$11))</f>
        <v>85</v>
      </c>
      <c r="M749">
        <f t="shared" si="68"/>
        <v>1</v>
      </c>
      <c r="N749">
        <f>IF(SUM(I749:J749)&lt;=($G$11/60*$F$11/($E$11/60)),1,0)</f>
        <v>0</v>
      </c>
    </row>
    <row r="750" spans="4:14" x14ac:dyDescent="0.2">
      <c r="D750">
        <f t="shared" si="70"/>
        <v>727</v>
      </c>
      <c r="E750" s="1">
        <f>IF($H$11=1,IF(D750&lt;=$A$15, E749+LN($D$11)-LN(60/$E$11)-LN(MIN(D750,$F$11)), E749-LN(60/$E$11)-LN(MIN(D750,$F$11))), IF(D750&lt;=$A$15, E749+LN($D$11)-LN(60/$E$11)-LN(MIN(D750,$F$11)), E749+LN($D$11)+LN(1-$H$11)-LN(60/$E$11)-LN(MIN(D750,$F$11))))</f>
        <v>-86.106548114525992</v>
      </c>
      <c r="F750" s="1">
        <f t="shared" si="71"/>
        <v>-88.108580923725057</v>
      </c>
      <c r="G750" s="1">
        <f t="shared" si="69"/>
        <v>5.4316214722447672E-39</v>
      </c>
      <c r="H750" s="1">
        <f t="shared" si="66"/>
        <v>5.3315320333098153E-40</v>
      </c>
      <c r="I750">
        <f>IF($F$11&lt;=D750, IF(D750&lt;=$A$15,D750-$F$11,$C$11),0)</f>
        <v>60</v>
      </c>
      <c r="J750">
        <f t="shared" si="67"/>
        <v>663</v>
      </c>
      <c r="K750" s="5">
        <f>IF(D750&lt;$F$11,H750,0)</f>
        <v>0</v>
      </c>
      <c r="L750">
        <f>IF(D750&lt;$A$15,$D$11,$D$11*(1-$H$11))</f>
        <v>85</v>
      </c>
      <c r="M750">
        <f t="shared" si="68"/>
        <v>1</v>
      </c>
      <c r="N750">
        <f>IF(SUM(I750:J750)&lt;=($G$11/60*$F$11/($E$11/60)),1,0)</f>
        <v>0</v>
      </c>
    </row>
    <row r="751" spans="4:14" x14ac:dyDescent="0.2">
      <c r="D751">
        <f t="shared" si="70"/>
        <v>728</v>
      </c>
      <c r="E751" s="1">
        <f>IF($H$11=1,IF(D751&lt;=$A$15, E750+LN($D$11)-LN(60/$E$11)-LN(MIN(D751,$F$11)), E750-LN(60/$E$11)-LN(MIN(D751,$F$11))), IF(D751&lt;=$A$15, E750+LN($D$11)-LN(60/$E$11)-LN(MIN(D751,$F$11)), E750+LN($D$11)+LN(1-$H$11)-LN(60/$E$11)-LN(MIN(D751,$F$11))))</f>
        <v>-86.228245049503514</v>
      </c>
      <c r="F751" s="1">
        <f t="shared" si="71"/>
        <v>-88.230277858702578</v>
      </c>
      <c r="G751" s="1">
        <f t="shared" si="69"/>
        <v>4.8092481785500469E-39</v>
      </c>
      <c r="H751" s="1">
        <f t="shared" si="66"/>
        <v>4.7206273211597251E-40</v>
      </c>
      <c r="I751">
        <f>IF($F$11&lt;=D751, IF(D751&lt;=$A$15,D751-$F$11,$C$11),0)</f>
        <v>60</v>
      </c>
      <c r="J751">
        <f t="shared" si="67"/>
        <v>664</v>
      </c>
      <c r="K751" s="5">
        <f>IF(D751&lt;$F$11,H751,0)</f>
        <v>0</v>
      </c>
      <c r="L751">
        <f>IF(D751&lt;$A$15,$D$11,$D$11*(1-$H$11))</f>
        <v>85</v>
      </c>
      <c r="M751">
        <f t="shared" si="68"/>
        <v>1</v>
      </c>
      <c r="N751">
        <f>IF(SUM(I751:J751)&lt;=($G$11/60*$F$11/($E$11/60)),1,0)</f>
        <v>0</v>
      </c>
    </row>
    <row r="752" spans="4:14" x14ac:dyDescent="0.2">
      <c r="D752">
        <f t="shared" si="70"/>
        <v>729</v>
      </c>
      <c r="E752" s="1">
        <f>IF($H$11=1,IF(D752&lt;=$A$15, E751+LN($D$11)-LN(60/$E$11)-LN(MIN(D752,$F$11)), E751-LN(60/$E$11)-LN(MIN(D752,$F$11))), IF(D752&lt;=$A$15, E751+LN($D$11)-LN(60/$E$11)-LN(MIN(D752,$F$11)), E751+LN($D$11)+LN(1-$H$11)-LN(60/$E$11)-LN(MIN(D752,$F$11))))</f>
        <v>-86.349941984481035</v>
      </c>
      <c r="F752" s="1">
        <f t="shared" si="71"/>
        <v>-88.3519747936801</v>
      </c>
      <c r="G752" s="1">
        <f t="shared" si="69"/>
        <v>4.2581884914245147E-39</v>
      </c>
      <c r="H752" s="1">
        <f t="shared" si="66"/>
        <v>4.1797221072768344E-40</v>
      </c>
      <c r="I752">
        <f>IF($F$11&lt;=D752, IF(D752&lt;=$A$15,D752-$F$11,$C$11),0)</f>
        <v>60</v>
      </c>
      <c r="J752">
        <f t="shared" si="67"/>
        <v>665</v>
      </c>
      <c r="K752" s="5">
        <f>IF(D752&lt;$F$11,H752,0)</f>
        <v>0</v>
      </c>
      <c r="L752">
        <f>IF(D752&lt;$A$15,$D$11,$D$11*(1-$H$11))</f>
        <v>85</v>
      </c>
      <c r="M752">
        <f t="shared" si="68"/>
        <v>1</v>
      </c>
      <c r="N752">
        <f>IF(SUM(I752:J752)&lt;=($G$11/60*$F$11/($E$11/60)),1,0)</f>
        <v>0</v>
      </c>
    </row>
    <row r="753" spans="4:14" x14ac:dyDescent="0.2">
      <c r="D753">
        <f t="shared" si="70"/>
        <v>730</v>
      </c>
      <c r="E753" s="1">
        <f>IF($H$11=1,IF(D753&lt;=$A$15, E752+LN($D$11)-LN(60/$E$11)-LN(MIN(D753,$F$11)), E752-LN(60/$E$11)-LN(MIN(D753,$F$11))), IF(D753&lt;=$A$15, E752+LN($D$11)-LN(60/$E$11)-LN(MIN(D753,$F$11)), E752+LN($D$11)+LN(1-$H$11)-LN(60/$E$11)-LN(MIN(D753,$F$11))))</f>
        <v>-86.471638919458556</v>
      </c>
      <c r="F753" s="1">
        <f t="shared" si="71"/>
        <v>-88.473671728657621</v>
      </c>
      <c r="G753" s="1">
        <f t="shared" si="69"/>
        <v>3.7702710601154508E-39</v>
      </c>
      <c r="H753" s="1">
        <f t="shared" si="66"/>
        <v>3.7007956158180254E-40</v>
      </c>
      <c r="I753">
        <f>IF($F$11&lt;=D753, IF(D753&lt;=$A$15,D753-$F$11,$C$11),0)</f>
        <v>60</v>
      </c>
      <c r="J753">
        <f t="shared" si="67"/>
        <v>666</v>
      </c>
      <c r="K753" s="5">
        <f>IF(D753&lt;$F$11,H753,0)</f>
        <v>0</v>
      </c>
      <c r="L753">
        <f>IF(D753&lt;$A$15,$D$11,$D$11*(1-$H$11))</f>
        <v>85</v>
      </c>
      <c r="M753">
        <f t="shared" si="68"/>
        <v>1</v>
      </c>
      <c r="N753">
        <f>IF(SUM(I753:J753)&lt;=($G$11/60*$F$11/($E$11/60)),1,0)</f>
        <v>0</v>
      </c>
    </row>
    <row r="754" spans="4:14" x14ac:dyDescent="0.2">
      <c r="D754">
        <f t="shared" si="70"/>
        <v>731</v>
      </c>
      <c r="E754" s="1">
        <f>IF($H$11=1,IF(D754&lt;=$A$15, E753+LN($D$11)-LN(60/$E$11)-LN(MIN(D754,$F$11)), E753-LN(60/$E$11)-LN(MIN(D754,$F$11))), IF(D754&lt;=$A$15, E753+LN($D$11)-LN(60/$E$11)-LN(MIN(D754,$F$11)), E753+LN($D$11)+LN(1-$H$11)-LN(60/$E$11)-LN(MIN(D754,$F$11))))</f>
        <v>-86.593335854436077</v>
      </c>
      <c r="F754" s="1">
        <f t="shared" si="71"/>
        <v>-88.595368663635142</v>
      </c>
      <c r="G754" s="1">
        <f t="shared" si="69"/>
        <v>3.3382608344772169E-39</v>
      </c>
      <c r="H754" s="1">
        <f t="shared" si="66"/>
        <v>3.276746118172205E-40</v>
      </c>
      <c r="I754">
        <f>IF($F$11&lt;=D754, IF(D754&lt;=$A$15,D754-$F$11,$C$11),0)</f>
        <v>60</v>
      </c>
      <c r="J754">
        <f t="shared" si="67"/>
        <v>667</v>
      </c>
      <c r="K754" s="5">
        <f>IF(D754&lt;$F$11,H754,0)</f>
        <v>0</v>
      </c>
      <c r="L754">
        <f>IF(D754&lt;$A$15,$D$11,$D$11*(1-$H$11))</f>
        <v>85</v>
      </c>
      <c r="M754">
        <f t="shared" si="68"/>
        <v>1</v>
      </c>
      <c r="N754">
        <f>IF(SUM(I754:J754)&lt;=($G$11/60*$F$11/($E$11/60)),1,0)</f>
        <v>0</v>
      </c>
    </row>
    <row r="755" spans="4:14" x14ac:dyDescent="0.2">
      <c r="D755">
        <f t="shared" si="70"/>
        <v>732</v>
      </c>
      <c r="E755" s="1">
        <f>IF($H$11=1,IF(D755&lt;=$A$15, E754+LN($D$11)-LN(60/$E$11)-LN(MIN(D755,$F$11)), E754-LN(60/$E$11)-LN(MIN(D755,$F$11))), IF(D755&lt;=$A$15, E754+LN($D$11)-LN(60/$E$11)-LN(MIN(D755,$F$11)), E754+LN($D$11)+LN(1-$H$11)-LN(60/$E$11)-LN(MIN(D755,$F$11))))</f>
        <v>-86.715032789413598</v>
      </c>
      <c r="F755" s="1">
        <f t="shared" si="71"/>
        <v>-88.717065598612663</v>
      </c>
      <c r="G755" s="1">
        <f t="shared" si="69"/>
        <v>2.9557517805266986E-39</v>
      </c>
      <c r="H755" s="1">
        <f t="shared" si="66"/>
        <v>2.9012856254649694E-40</v>
      </c>
      <c r="I755">
        <f>IF($F$11&lt;=D755, IF(D755&lt;=$A$15,D755-$F$11,$C$11),0)</f>
        <v>60</v>
      </c>
      <c r="J755">
        <f t="shared" si="67"/>
        <v>668</v>
      </c>
      <c r="K755" s="5">
        <f>IF(D755&lt;$F$11,H755,0)</f>
        <v>0</v>
      </c>
      <c r="L755">
        <f>IF(D755&lt;$A$15,$D$11,$D$11*(1-$H$11))</f>
        <v>85</v>
      </c>
      <c r="M755">
        <f t="shared" si="68"/>
        <v>1</v>
      </c>
      <c r="N755">
        <f>IF(SUM(I755:J755)&lt;=($G$11/60*$F$11/($E$11/60)),1,0)</f>
        <v>0</v>
      </c>
    </row>
    <row r="756" spans="4:14" x14ac:dyDescent="0.2">
      <c r="D756">
        <f t="shared" si="70"/>
        <v>733</v>
      </c>
      <c r="E756" s="1">
        <f>IF($H$11=1,IF(D756&lt;=$A$15, E755+LN($D$11)-LN(60/$E$11)-LN(MIN(D756,$F$11)), E755-LN(60/$E$11)-LN(MIN(D756,$F$11))), IF(D756&lt;=$A$15, E755+LN($D$11)-LN(60/$E$11)-LN(MIN(D756,$F$11)), E755+LN($D$11)+LN(1-$H$11)-LN(60/$E$11)-LN(MIN(D756,$F$11))))</f>
        <v>-86.83672972439112</v>
      </c>
      <c r="F756" s="1">
        <f t="shared" si="71"/>
        <v>-88.838762533590184</v>
      </c>
      <c r="G756" s="1">
        <f t="shared" si="69"/>
        <v>2.6170718890080105E-39</v>
      </c>
      <c r="H756" s="1">
        <f t="shared" si="66"/>
        <v>2.5688466475471043E-40</v>
      </c>
      <c r="I756">
        <f>IF($F$11&lt;=D756, IF(D756&lt;=$A$15,D756-$F$11,$C$11),0)</f>
        <v>60</v>
      </c>
      <c r="J756">
        <f t="shared" si="67"/>
        <v>669</v>
      </c>
      <c r="K756" s="5">
        <f>IF(D756&lt;$F$11,H756,0)</f>
        <v>0</v>
      </c>
      <c r="L756">
        <f>IF(D756&lt;$A$15,$D$11,$D$11*(1-$H$11))</f>
        <v>85</v>
      </c>
      <c r="M756">
        <f t="shared" si="68"/>
        <v>1</v>
      </c>
      <c r="N756">
        <f>IF(SUM(I756:J756)&lt;=($G$11/60*$F$11/($E$11/60)),1,0)</f>
        <v>0</v>
      </c>
    </row>
    <row r="757" spans="4:14" x14ac:dyDescent="0.2">
      <c r="D757">
        <f t="shared" si="70"/>
        <v>734</v>
      </c>
      <c r="E757" s="1">
        <f>IF($H$11=1,IF(D757&lt;=$A$15, E756+LN($D$11)-LN(60/$E$11)-LN(MIN(D757,$F$11)), E756-LN(60/$E$11)-LN(MIN(D757,$F$11))), IF(D757&lt;=$A$15, E756+LN($D$11)-LN(60/$E$11)-LN(MIN(D757,$F$11)), E756+LN($D$11)+LN(1-$H$11)-LN(60/$E$11)-LN(MIN(D757,$F$11))))</f>
        <v>-86.958426659368641</v>
      </c>
      <c r="F757" s="1">
        <f t="shared" si="71"/>
        <v>-88.960459468567706</v>
      </c>
      <c r="G757" s="1">
        <f t="shared" si="69"/>
        <v>2.3171990683925058E-39</v>
      </c>
      <c r="H757" s="1">
        <f t="shared" si="66"/>
        <v>2.2744996358489952E-40</v>
      </c>
      <c r="I757">
        <f>IF($F$11&lt;=D757, IF(D757&lt;=$A$15,D757-$F$11,$C$11),0)</f>
        <v>60</v>
      </c>
      <c r="J757">
        <f t="shared" si="67"/>
        <v>670</v>
      </c>
      <c r="K757" s="5">
        <f>IF(D757&lt;$F$11,H757,0)</f>
        <v>0</v>
      </c>
      <c r="L757">
        <f>IF(D757&lt;$A$15,$D$11,$D$11*(1-$H$11))</f>
        <v>85</v>
      </c>
      <c r="M757">
        <f t="shared" si="68"/>
        <v>1</v>
      </c>
      <c r="N757">
        <f>IF(SUM(I757:J757)&lt;=($G$11/60*$F$11/($E$11/60)),1,0)</f>
        <v>0</v>
      </c>
    </row>
    <row r="758" spans="4:14" x14ac:dyDescent="0.2">
      <c r="D758">
        <f t="shared" si="70"/>
        <v>735</v>
      </c>
      <c r="E758" s="1">
        <f>IF($H$11=1,IF(D758&lt;=$A$15, E757+LN($D$11)-LN(60/$E$11)-LN(MIN(D758,$F$11)), E757-LN(60/$E$11)-LN(MIN(D758,$F$11))), IF(D758&lt;=$A$15, E757+LN($D$11)-LN(60/$E$11)-LN(MIN(D758,$F$11)), E757+LN($D$11)+LN(1-$H$11)-LN(60/$E$11)-LN(MIN(D758,$F$11))))</f>
        <v>-87.080123594346162</v>
      </c>
      <c r="F758" s="1">
        <f t="shared" si="71"/>
        <v>-89.082156403545227</v>
      </c>
      <c r="G758" s="1">
        <f t="shared" si="69"/>
        <v>2.0516866751391951E-39</v>
      </c>
      <c r="H758" s="1">
        <f t="shared" si="66"/>
        <v>2.0138798859079621E-40</v>
      </c>
      <c r="I758">
        <f>IF($F$11&lt;=D758, IF(D758&lt;=$A$15,D758-$F$11,$C$11),0)</f>
        <v>60</v>
      </c>
      <c r="J758">
        <f t="shared" si="67"/>
        <v>671</v>
      </c>
      <c r="K758" s="5">
        <f>IF(D758&lt;$F$11,H758,0)</f>
        <v>0</v>
      </c>
      <c r="L758">
        <f>IF(D758&lt;$A$15,$D$11,$D$11*(1-$H$11))</f>
        <v>85</v>
      </c>
      <c r="M758">
        <f t="shared" si="68"/>
        <v>1</v>
      </c>
      <c r="N758">
        <f>IF(SUM(I758:J758)&lt;=($G$11/60*$F$11/($E$11/60)),1,0)</f>
        <v>0</v>
      </c>
    </row>
    <row r="759" spans="4:14" x14ac:dyDescent="0.2">
      <c r="D759">
        <f t="shared" si="70"/>
        <v>736</v>
      </c>
      <c r="E759" s="1">
        <f>IF($H$11=1,IF(D759&lt;=$A$15, E758+LN($D$11)-LN(60/$E$11)-LN(MIN(D759,$F$11)), E758-LN(60/$E$11)-LN(MIN(D759,$F$11))), IF(D759&lt;=$A$15, E758+LN($D$11)-LN(60/$E$11)-LN(MIN(D759,$F$11)), E758+LN($D$11)+LN(1-$H$11)-LN(60/$E$11)-LN(MIN(D759,$F$11))))</f>
        <v>-87.201820529323683</v>
      </c>
      <c r="F759" s="1">
        <f t="shared" si="71"/>
        <v>-89.203853338522748</v>
      </c>
      <c r="G759" s="1">
        <f t="shared" si="69"/>
        <v>1.8165975769461596E-39</v>
      </c>
      <c r="H759" s="1">
        <f t="shared" si="66"/>
        <v>1.7831228156476719E-40</v>
      </c>
      <c r="I759">
        <f>IF($F$11&lt;=D759, IF(D759&lt;=$A$15,D759-$F$11,$C$11),0)</f>
        <v>60</v>
      </c>
      <c r="J759">
        <f t="shared" si="67"/>
        <v>672</v>
      </c>
      <c r="K759" s="5">
        <f>IF(D759&lt;$F$11,H759,0)</f>
        <v>0</v>
      </c>
      <c r="L759">
        <f>IF(D759&lt;$A$15,$D$11,$D$11*(1-$H$11))</f>
        <v>85</v>
      </c>
      <c r="M759">
        <f t="shared" si="68"/>
        <v>1</v>
      </c>
      <c r="N759">
        <f>IF(SUM(I759:J759)&lt;=($G$11/60*$F$11/($E$11/60)),1,0)</f>
        <v>0</v>
      </c>
    </row>
    <row r="760" spans="4:14" x14ac:dyDescent="0.2">
      <c r="D760">
        <f t="shared" si="70"/>
        <v>737</v>
      </c>
      <c r="E760" s="1">
        <f>IF($H$11=1,IF(D760&lt;=$A$15, E759+LN($D$11)-LN(60/$E$11)-LN(MIN(D760,$F$11)), E759-LN(60/$E$11)-LN(MIN(D760,$F$11))), IF(D760&lt;=$A$15, E759+LN($D$11)-LN(60/$E$11)-LN(MIN(D760,$F$11)), E759+LN($D$11)+LN(1-$H$11)-LN(60/$E$11)-LN(MIN(D760,$F$11))))</f>
        <v>-87.323517464301204</v>
      </c>
      <c r="F760" s="1">
        <f t="shared" si="71"/>
        <v>-89.325550273500269</v>
      </c>
      <c r="G760" s="1">
        <f t="shared" si="69"/>
        <v>1.6084457712544098E-39</v>
      </c>
      <c r="H760" s="1">
        <f t="shared" si="66"/>
        <v>1.5788066596880405E-40</v>
      </c>
      <c r="I760">
        <f>IF($F$11&lt;=D760, IF(D760&lt;=$A$15,D760-$F$11,$C$11),0)</f>
        <v>60</v>
      </c>
      <c r="J760">
        <f t="shared" si="67"/>
        <v>673</v>
      </c>
      <c r="K760" s="5">
        <f>IF(D760&lt;$F$11,H760,0)</f>
        <v>0</v>
      </c>
      <c r="L760">
        <f>IF(D760&lt;$A$15,$D$11,$D$11*(1-$H$11))</f>
        <v>85</v>
      </c>
      <c r="M760">
        <f t="shared" si="68"/>
        <v>1</v>
      </c>
      <c r="N760">
        <f>IF(SUM(I760:J760)&lt;=($G$11/60*$F$11/($E$11/60)),1,0)</f>
        <v>0</v>
      </c>
    </row>
    <row r="761" spans="4:14" x14ac:dyDescent="0.2">
      <c r="D761">
        <f t="shared" si="70"/>
        <v>738</v>
      </c>
      <c r="E761" s="1">
        <f>IF($H$11=1,IF(D761&lt;=$A$15, E760+LN($D$11)-LN(60/$E$11)-LN(MIN(D761,$F$11)), E760-LN(60/$E$11)-LN(MIN(D761,$F$11))), IF(D761&lt;=$A$15, E760+LN($D$11)-LN(60/$E$11)-LN(MIN(D761,$F$11)), E760+LN($D$11)+LN(1-$H$11)-LN(60/$E$11)-LN(MIN(D761,$F$11))))</f>
        <v>-87.445214399278726</v>
      </c>
      <c r="F761" s="1">
        <f t="shared" si="71"/>
        <v>-89.447247208477791</v>
      </c>
      <c r="G761" s="1">
        <f t="shared" si="69"/>
        <v>1.4241446932981735E-39</v>
      </c>
      <c r="H761" s="1">
        <f t="shared" si="66"/>
        <v>1.3979017299321174E-40</v>
      </c>
      <c r="I761">
        <f>IF($F$11&lt;=D761, IF(D761&lt;=$A$15,D761-$F$11,$C$11),0)</f>
        <v>60</v>
      </c>
      <c r="J761">
        <f t="shared" si="67"/>
        <v>674</v>
      </c>
      <c r="K761" s="5">
        <f>IF(D761&lt;$F$11,H761,0)</f>
        <v>0</v>
      </c>
      <c r="L761">
        <f>IF(D761&lt;$A$15,$D$11,$D$11*(1-$H$11))</f>
        <v>85</v>
      </c>
      <c r="M761">
        <f t="shared" si="68"/>
        <v>1</v>
      </c>
      <c r="N761">
        <f>IF(SUM(I761:J761)&lt;=($G$11/60*$F$11/($E$11/60)),1,0)</f>
        <v>0</v>
      </c>
    </row>
    <row r="762" spans="4:14" x14ac:dyDescent="0.2">
      <c r="D762">
        <f t="shared" si="70"/>
        <v>739</v>
      </c>
      <c r="E762" s="1">
        <f>IF($H$11=1,IF(D762&lt;=$A$15, E761+LN($D$11)-LN(60/$E$11)-LN(MIN(D762,$F$11)), E761-LN(60/$E$11)-LN(MIN(D762,$F$11))), IF(D762&lt;=$A$15, E761+LN($D$11)-LN(60/$E$11)-LN(MIN(D762,$F$11)), E761+LN($D$11)+LN(1-$H$11)-LN(60/$E$11)-LN(MIN(D762,$F$11))))</f>
        <v>-87.566911334256247</v>
      </c>
      <c r="F762" s="1">
        <f t="shared" si="71"/>
        <v>-89.568944143455312</v>
      </c>
      <c r="G762" s="1">
        <f t="shared" si="69"/>
        <v>1.2609614471910892E-39</v>
      </c>
      <c r="H762" s="1">
        <f t="shared" si="66"/>
        <v>1.2377254900440604E-40</v>
      </c>
      <c r="I762">
        <f>IF($F$11&lt;=D762, IF(D762&lt;=$A$15,D762-$F$11,$C$11),0)</f>
        <v>60</v>
      </c>
      <c r="J762">
        <f t="shared" si="67"/>
        <v>675</v>
      </c>
      <c r="K762" s="5">
        <f>IF(D762&lt;$F$11,H762,0)</f>
        <v>0</v>
      </c>
      <c r="L762">
        <f>IF(D762&lt;$A$15,$D$11,$D$11*(1-$H$11))</f>
        <v>85</v>
      </c>
      <c r="M762">
        <f t="shared" si="68"/>
        <v>1</v>
      </c>
      <c r="N762">
        <f>IF(SUM(I762:J762)&lt;=($G$11/60*$F$11/($E$11/60)),1,0)</f>
        <v>0</v>
      </c>
    </row>
    <row r="763" spans="4:14" x14ac:dyDescent="0.2">
      <c r="D763">
        <f t="shared" si="70"/>
        <v>740</v>
      </c>
      <c r="E763" s="1">
        <f>IF($H$11=1,IF(D763&lt;=$A$15, E762+LN($D$11)-LN(60/$E$11)-LN(MIN(D763,$F$11)), E762-LN(60/$E$11)-LN(MIN(D763,$F$11))), IF(D763&lt;=$A$15, E762+LN($D$11)-LN(60/$E$11)-LN(MIN(D763,$F$11)), E762+LN($D$11)+LN(1-$H$11)-LN(60/$E$11)-LN(MIN(D763,$F$11))))</f>
        <v>-87.688608269233768</v>
      </c>
      <c r="F763" s="1">
        <f t="shared" si="71"/>
        <v>-89.690641078432833</v>
      </c>
      <c r="G763" s="1">
        <f t="shared" si="69"/>
        <v>1.1164762813671087E-39</v>
      </c>
      <c r="H763" s="1">
        <f t="shared" si="66"/>
        <v>1.0959027776431769E-40</v>
      </c>
      <c r="I763">
        <f>IF($F$11&lt;=D763, IF(D763&lt;=$A$15,D763-$F$11,$C$11),0)</f>
        <v>60</v>
      </c>
      <c r="J763">
        <f t="shared" si="67"/>
        <v>676</v>
      </c>
      <c r="K763" s="5">
        <f>IF(D763&lt;$F$11,H763,0)</f>
        <v>0</v>
      </c>
      <c r="L763">
        <f>IF(D763&lt;$A$15,$D$11,$D$11*(1-$H$11))</f>
        <v>85</v>
      </c>
      <c r="M763">
        <f t="shared" si="68"/>
        <v>1</v>
      </c>
      <c r="N763">
        <f>IF(SUM(I763:J763)&lt;=($G$11/60*$F$11/($E$11/60)),1,0)</f>
        <v>0</v>
      </c>
    </row>
    <row r="764" spans="4:14" x14ac:dyDescent="0.2">
      <c r="D764">
        <f t="shared" si="70"/>
        <v>741</v>
      </c>
      <c r="E764" s="1">
        <f>IF($H$11=1,IF(D764&lt;=$A$15, E763+LN($D$11)-LN(60/$E$11)-LN(MIN(D764,$F$11)), E763-LN(60/$E$11)-LN(MIN(D764,$F$11))), IF(D764&lt;=$A$15, E763+LN($D$11)-LN(60/$E$11)-LN(MIN(D764,$F$11)), E763+LN($D$11)+LN(1-$H$11)-LN(60/$E$11)-LN(MIN(D764,$F$11))))</f>
        <v>-87.810305204211289</v>
      </c>
      <c r="F764" s="1">
        <f t="shared" si="71"/>
        <v>-89.812338013410354</v>
      </c>
      <c r="G764" s="1">
        <f t="shared" si="69"/>
        <v>9.8854670746045934E-40</v>
      </c>
      <c r="H764" s="1">
        <f t="shared" si="66"/>
        <v>9.7033058437156161E-41</v>
      </c>
      <c r="I764">
        <f>IF($F$11&lt;=D764, IF(D764&lt;=$A$15,D764-$F$11,$C$11),0)</f>
        <v>60</v>
      </c>
      <c r="J764">
        <f t="shared" si="67"/>
        <v>677</v>
      </c>
      <c r="K764" s="5">
        <f>IF(D764&lt;$F$11,H764,0)</f>
        <v>0</v>
      </c>
      <c r="L764">
        <f>IF(D764&lt;$A$15,$D$11,$D$11*(1-$H$11))</f>
        <v>85</v>
      </c>
      <c r="M764">
        <f t="shared" si="68"/>
        <v>1</v>
      </c>
      <c r="N764">
        <f>IF(SUM(I764:J764)&lt;=($G$11/60*$F$11/($E$11/60)),1,0)</f>
        <v>0</v>
      </c>
    </row>
    <row r="765" spans="4:14" x14ac:dyDescent="0.2">
      <c r="D765">
        <f t="shared" si="70"/>
        <v>742</v>
      </c>
      <c r="E765" s="1">
        <f>IF($H$11=1,IF(D765&lt;=$A$15, E764+LN($D$11)-LN(60/$E$11)-LN(MIN(D765,$F$11)), E764-LN(60/$E$11)-LN(MIN(D765,$F$11))), IF(D765&lt;=$A$15, E764+LN($D$11)-LN(60/$E$11)-LN(MIN(D765,$F$11)), E764+LN($D$11)+LN(1-$H$11)-LN(60/$E$11)-LN(MIN(D765,$F$11))))</f>
        <v>-87.93200213918881</v>
      </c>
      <c r="F765" s="1">
        <f t="shared" si="71"/>
        <v>-89.934034948387875</v>
      </c>
      <c r="G765" s="1">
        <f t="shared" si="69"/>
        <v>8.7527573056394719E-40</v>
      </c>
      <c r="H765" s="1">
        <f t="shared" si="66"/>
        <v>8.5914687157898561E-41</v>
      </c>
      <c r="I765">
        <f>IF($F$11&lt;=D765, IF(D765&lt;=$A$15,D765-$F$11,$C$11),0)</f>
        <v>60</v>
      </c>
      <c r="J765">
        <f t="shared" si="67"/>
        <v>678</v>
      </c>
      <c r="K765" s="5">
        <f>IF(D765&lt;$F$11,H765,0)</f>
        <v>0</v>
      </c>
      <c r="L765">
        <f>IF(D765&lt;$A$15,$D$11,$D$11*(1-$H$11))</f>
        <v>85</v>
      </c>
      <c r="M765">
        <f t="shared" si="68"/>
        <v>1</v>
      </c>
      <c r="N765">
        <f>IF(SUM(I765:J765)&lt;=($G$11/60*$F$11/($E$11/60)),1,0)</f>
        <v>0</v>
      </c>
    </row>
    <row r="766" spans="4:14" x14ac:dyDescent="0.2">
      <c r="D766">
        <f t="shared" si="70"/>
        <v>743</v>
      </c>
      <c r="E766" s="1">
        <f>IF($H$11=1,IF(D766&lt;=$A$15, E765+LN($D$11)-LN(60/$E$11)-LN(MIN(D766,$F$11)), E765-LN(60/$E$11)-LN(MIN(D766,$F$11))), IF(D766&lt;=$A$15, E765+LN($D$11)-LN(60/$E$11)-LN(MIN(D766,$F$11)), E765+LN($D$11)+LN(1-$H$11)-LN(60/$E$11)-LN(MIN(D766,$F$11))))</f>
        <v>-88.053699074166332</v>
      </c>
      <c r="F766" s="1">
        <f t="shared" si="71"/>
        <v>-90.055731883365397</v>
      </c>
      <c r="G766" s="1">
        <f t="shared" si="69"/>
        <v>7.7498371977016046E-40</v>
      </c>
      <c r="H766" s="1">
        <f t="shared" si="66"/>
        <v>7.6070295921055911E-41</v>
      </c>
      <c r="I766">
        <f>IF($F$11&lt;=D766, IF(D766&lt;=$A$15,D766-$F$11,$C$11),0)</f>
        <v>60</v>
      </c>
      <c r="J766">
        <f t="shared" si="67"/>
        <v>679</v>
      </c>
      <c r="K766" s="5">
        <f>IF(D766&lt;$F$11,H766,0)</f>
        <v>0</v>
      </c>
      <c r="L766">
        <f>IF(D766&lt;$A$15,$D$11,$D$11*(1-$H$11))</f>
        <v>85</v>
      </c>
      <c r="M766">
        <f t="shared" si="68"/>
        <v>1</v>
      </c>
      <c r="N766">
        <f>IF(SUM(I766:J766)&lt;=($G$11/60*$F$11/($E$11/60)),1,0)</f>
        <v>0</v>
      </c>
    </row>
    <row r="767" spans="4:14" x14ac:dyDescent="0.2">
      <c r="D767">
        <f t="shared" si="70"/>
        <v>744</v>
      </c>
      <c r="E767" s="1">
        <f>IF($H$11=1,IF(D767&lt;=$A$15, E766+LN($D$11)-LN(60/$E$11)-LN(MIN(D767,$F$11)), E766-LN(60/$E$11)-LN(MIN(D767,$F$11))), IF(D767&lt;=$A$15, E766+LN($D$11)-LN(60/$E$11)-LN(MIN(D767,$F$11)), E766+LN($D$11)+LN(1-$H$11)-LN(60/$E$11)-LN(MIN(D767,$F$11))))</f>
        <v>-88.175396009143853</v>
      </c>
      <c r="F767" s="1">
        <f t="shared" si="71"/>
        <v>-90.177428818342918</v>
      </c>
      <c r="G767" s="1">
        <f t="shared" si="69"/>
        <v>6.8618350187982862E-40</v>
      </c>
      <c r="H767" s="1">
        <f t="shared" si="66"/>
        <v>6.7353907846768157E-41</v>
      </c>
      <c r="I767">
        <f>IF($F$11&lt;=D767, IF(D767&lt;=$A$15,D767-$F$11,$C$11),0)</f>
        <v>60</v>
      </c>
      <c r="J767">
        <f t="shared" si="67"/>
        <v>680</v>
      </c>
      <c r="K767" s="5">
        <f>IF(D767&lt;$F$11,H767,0)</f>
        <v>0</v>
      </c>
      <c r="L767">
        <f>IF(D767&lt;$A$15,$D$11,$D$11*(1-$H$11))</f>
        <v>85</v>
      </c>
      <c r="M767">
        <f t="shared" si="68"/>
        <v>1</v>
      </c>
      <c r="N767">
        <f>IF(SUM(I767:J767)&lt;=($G$11/60*$F$11/($E$11/60)),1,0)</f>
        <v>0</v>
      </c>
    </row>
    <row r="768" spans="4:14" x14ac:dyDescent="0.2">
      <c r="D768">
        <f t="shared" si="70"/>
        <v>745</v>
      </c>
      <c r="E768" s="1">
        <f>IF($H$11=1,IF(D768&lt;=$A$15, E767+LN($D$11)-LN(60/$E$11)-LN(MIN(D768,$F$11)), E767-LN(60/$E$11)-LN(MIN(D768,$F$11))), IF(D768&lt;=$A$15, E767+LN($D$11)-LN(60/$E$11)-LN(MIN(D768,$F$11)), E767+LN($D$11)+LN(1-$H$11)-LN(60/$E$11)-LN(MIN(D768,$F$11))))</f>
        <v>-88.297092944121374</v>
      </c>
      <c r="F768" s="1">
        <f t="shared" si="71"/>
        <v>-90.299125753320439</v>
      </c>
      <c r="G768" s="1">
        <f t="shared" si="69"/>
        <v>6.0755830895609737E-40</v>
      </c>
      <c r="H768" s="1">
        <f t="shared" si="66"/>
        <v>5.9636272572659223E-41</v>
      </c>
      <c r="I768">
        <f>IF($F$11&lt;=D768, IF(D768&lt;=$A$15,D768-$F$11,$C$11),0)</f>
        <v>60</v>
      </c>
      <c r="J768">
        <f t="shared" si="67"/>
        <v>681</v>
      </c>
      <c r="K768" s="5">
        <f>IF(D768&lt;$F$11,H768,0)</f>
        <v>0</v>
      </c>
      <c r="L768">
        <f>IF(D768&lt;$A$15,$D$11,$D$11*(1-$H$11))</f>
        <v>85</v>
      </c>
      <c r="M768">
        <f t="shared" si="68"/>
        <v>1</v>
      </c>
      <c r="N768">
        <f>IF(SUM(I768:J768)&lt;=($G$11/60*$F$11/($E$11/60)),1,0)</f>
        <v>0</v>
      </c>
    </row>
    <row r="769" spans="4:14" x14ac:dyDescent="0.2">
      <c r="D769">
        <f t="shared" si="70"/>
        <v>746</v>
      </c>
      <c r="E769" s="1">
        <f>IF($H$11=1,IF(D769&lt;=$A$15, E768+LN($D$11)-LN(60/$E$11)-LN(MIN(D769,$F$11)), E768-LN(60/$E$11)-LN(MIN(D769,$F$11))), IF(D769&lt;=$A$15, E768+LN($D$11)-LN(60/$E$11)-LN(MIN(D769,$F$11)), E768+LN($D$11)+LN(1-$H$11)-LN(60/$E$11)-LN(MIN(D769,$F$11))))</f>
        <v>-88.418789879098895</v>
      </c>
      <c r="F769" s="1">
        <f t="shared" si="71"/>
        <v>-90.42082268829796</v>
      </c>
      <c r="G769" s="1">
        <f t="shared" si="69"/>
        <v>5.3794225272154376E-40</v>
      </c>
      <c r="H769" s="1">
        <f t="shared" si="66"/>
        <v>5.2802949673708603E-41</v>
      </c>
      <c r="I769">
        <f>IF($F$11&lt;=D769, IF(D769&lt;=$A$15,D769-$F$11,$C$11),0)</f>
        <v>60</v>
      </c>
      <c r="J769">
        <f t="shared" si="67"/>
        <v>682</v>
      </c>
      <c r="K769" s="5">
        <f>IF(D769&lt;$F$11,H769,0)</f>
        <v>0</v>
      </c>
      <c r="L769">
        <f>IF(D769&lt;$A$15,$D$11,$D$11*(1-$H$11))</f>
        <v>85</v>
      </c>
      <c r="M769">
        <f t="shared" si="68"/>
        <v>1</v>
      </c>
      <c r="N769">
        <f>IF(SUM(I769:J769)&lt;=($G$11/60*$F$11/($E$11/60)),1,0)</f>
        <v>0</v>
      </c>
    </row>
    <row r="770" spans="4:14" x14ac:dyDescent="0.2">
      <c r="D770">
        <f t="shared" si="70"/>
        <v>747</v>
      </c>
      <c r="E770" s="1">
        <f>IF($H$11=1,IF(D770&lt;=$A$15, E769+LN($D$11)-LN(60/$E$11)-LN(MIN(D770,$F$11)), E769-LN(60/$E$11)-LN(MIN(D770,$F$11))), IF(D770&lt;=$A$15, E769+LN($D$11)-LN(60/$E$11)-LN(MIN(D770,$F$11)), E769+LN($D$11)+LN(1-$H$11)-LN(60/$E$11)-LN(MIN(D770,$F$11))))</f>
        <v>-88.540486814076417</v>
      </c>
      <c r="F770" s="1">
        <f t="shared" si="71"/>
        <v>-90.542519623275481</v>
      </c>
      <c r="G770" s="1">
        <f t="shared" si="69"/>
        <v>4.7630303626386623E-40</v>
      </c>
      <c r="H770" s="1">
        <f t="shared" si="66"/>
        <v>4.6752611690262762E-41</v>
      </c>
      <c r="I770">
        <f>IF($F$11&lt;=D770, IF(D770&lt;=$A$15,D770-$F$11,$C$11),0)</f>
        <v>60</v>
      </c>
      <c r="J770">
        <f t="shared" si="67"/>
        <v>683</v>
      </c>
      <c r="K770" s="5">
        <f>IF(D770&lt;$F$11,H770,0)</f>
        <v>0</v>
      </c>
      <c r="L770">
        <f>IF(D770&lt;$A$15,$D$11,$D$11*(1-$H$11))</f>
        <v>85</v>
      </c>
      <c r="M770">
        <f t="shared" si="68"/>
        <v>1</v>
      </c>
      <c r="N770">
        <f>IF(SUM(I770:J770)&lt;=($G$11/60*$F$11/($E$11/60)),1,0)</f>
        <v>0</v>
      </c>
    </row>
    <row r="771" spans="4:14" x14ac:dyDescent="0.2">
      <c r="D771">
        <f t="shared" si="70"/>
        <v>748</v>
      </c>
      <c r="E771" s="1">
        <f>IF($H$11=1,IF(D771&lt;=$A$15, E770+LN($D$11)-LN(60/$E$11)-LN(MIN(D771,$F$11)), E770-LN(60/$E$11)-LN(MIN(D771,$F$11))), IF(D771&lt;=$A$15, E770+LN($D$11)-LN(60/$E$11)-LN(MIN(D771,$F$11)), E770+LN($D$11)+LN(1-$H$11)-LN(60/$E$11)-LN(MIN(D771,$F$11))))</f>
        <v>-88.662183749053938</v>
      </c>
      <c r="F771" s="1">
        <f t="shared" si="71"/>
        <v>-90.664216558253003</v>
      </c>
      <c r="G771" s="1">
        <f t="shared" si="69"/>
        <v>4.2172664669196425E-40</v>
      </c>
      <c r="H771" s="1">
        <f t="shared" si="66"/>
        <v>4.1395541600753425E-41</v>
      </c>
      <c r="I771">
        <f>IF($F$11&lt;=D771, IF(D771&lt;=$A$15,D771-$F$11,$C$11),0)</f>
        <v>60</v>
      </c>
      <c r="J771">
        <f t="shared" si="67"/>
        <v>684</v>
      </c>
      <c r="K771" s="5">
        <f>IF(D771&lt;$F$11,H771,0)</f>
        <v>0</v>
      </c>
      <c r="L771">
        <f>IF(D771&lt;$A$15,$D$11,$D$11*(1-$H$11))</f>
        <v>85</v>
      </c>
      <c r="M771">
        <f t="shared" si="68"/>
        <v>1</v>
      </c>
      <c r="N771">
        <f>IF(SUM(I771:J771)&lt;=($G$11/60*$F$11/($E$11/60)),1,0)</f>
        <v>0</v>
      </c>
    </row>
    <row r="772" spans="4:14" x14ac:dyDescent="0.2">
      <c r="D772">
        <f t="shared" si="70"/>
        <v>749</v>
      </c>
      <c r="E772" s="1">
        <f>IF($H$11=1,IF(D772&lt;=$A$15, E771+LN($D$11)-LN(60/$E$11)-LN(MIN(D772,$F$11)), E771-LN(60/$E$11)-LN(MIN(D772,$F$11))), IF(D772&lt;=$A$15, E771+LN($D$11)-LN(60/$E$11)-LN(MIN(D772,$F$11)), E771+LN($D$11)+LN(1-$H$11)-LN(60/$E$11)-LN(MIN(D772,$F$11))))</f>
        <v>-88.783880684031459</v>
      </c>
      <c r="F772" s="1">
        <f t="shared" si="71"/>
        <v>-90.785913493230524</v>
      </c>
      <c r="G772" s="1">
        <f t="shared" si="69"/>
        <v>3.7340380175850948E-40</v>
      </c>
      <c r="H772" s="1">
        <f t="shared" si="66"/>
        <v>3.6652302459000376E-41</v>
      </c>
      <c r="I772">
        <f>IF($F$11&lt;=D772, IF(D772&lt;=$A$15,D772-$F$11,$C$11),0)</f>
        <v>60</v>
      </c>
      <c r="J772">
        <f t="shared" si="67"/>
        <v>685</v>
      </c>
      <c r="K772" s="5">
        <f>IF(D772&lt;$F$11,H772,0)</f>
        <v>0</v>
      </c>
      <c r="L772">
        <f>IF(D772&lt;$A$15,$D$11,$D$11*(1-$H$11))</f>
        <v>85</v>
      </c>
      <c r="M772">
        <f t="shared" si="68"/>
        <v>1</v>
      </c>
      <c r="N772">
        <f>IF(SUM(I772:J772)&lt;=($G$11/60*$F$11/($E$11/60)),1,0)</f>
        <v>0</v>
      </c>
    </row>
    <row r="773" spans="4:14" x14ac:dyDescent="0.2">
      <c r="D773">
        <f t="shared" si="70"/>
        <v>750</v>
      </c>
      <c r="E773" s="1">
        <f>IF($H$11=1,IF(D773&lt;=$A$15, E772+LN($D$11)-LN(60/$E$11)-LN(MIN(D773,$F$11)), E772-LN(60/$E$11)-LN(MIN(D773,$F$11))), IF(D773&lt;=$A$15, E772+LN($D$11)-LN(60/$E$11)-LN(MIN(D773,$F$11)), E772+LN($D$11)+LN(1-$H$11)-LN(60/$E$11)-LN(MIN(D773,$F$11))))</f>
        <v>-88.90557761900898</v>
      </c>
      <c r="F773" s="1">
        <f t="shared" si="71"/>
        <v>-90.907610428208045</v>
      </c>
      <c r="G773" s="1">
        <f t="shared" si="69"/>
        <v>3.3061794947367981E-40</v>
      </c>
      <c r="H773" s="1">
        <f t="shared" si="66"/>
        <v>3.245255946890654E-41</v>
      </c>
      <c r="I773">
        <f>IF($F$11&lt;=D773, IF(D773&lt;=$A$15,D773-$F$11,$C$11),0)</f>
        <v>60</v>
      </c>
      <c r="J773">
        <f t="shared" si="67"/>
        <v>686</v>
      </c>
      <c r="K773" s="5">
        <f>IF(D773&lt;$F$11,H773,0)</f>
        <v>0</v>
      </c>
      <c r="L773">
        <f>IF(D773&lt;$A$15,$D$11,$D$11*(1-$H$11))</f>
        <v>85</v>
      </c>
      <c r="M773">
        <f t="shared" si="68"/>
        <v>1</v>
      </c>
      <c r="N773">
        <f>IF(SUM(I773:J773)&lt;=($G$11/60*$F$11/($E$11/60)),1,0)</f>
        <v>0</v>
      </c>
    </row>
    <row r="774" spans="4:14" x14ac:dyDescent="0.2">
      <c r="D774">
        <f t="shared" si="70"/>
        <v>751</v>
      </c>
      <c r="E774" s="1">
        <f>IF($H$11=1,IF(D774&lt;=$A$15, E773+LN($D$11)-LN(60/$E$11)-LN(MIN(D774,$F$11)), E773-LN(60/$E$11)-LN(MIN(D774,$F$11))), IF(D774&lt;=$A$15, E773+LN($D$11)-LN(60/$E$11)-LN(MIN(D774,$F$11)), E773+LN($D$11)+LN(1-$H$11)-LN(60/$E$11)-LN(MIN(D774,$F$11))))</f>
        <v>-89.027274553986501</v>
      </c>
      <c r="F774" s="1">
        <f t="shared" si="71"/>
        <v>-91.029307363185566</v>
      </c>
      <c r="G774" s="1">
        <f t="shared" si="69"/>
        <v>2.9273464276315359E-40</v>
      </c>
      <c r="H774" s="1">
        <f t="shared" si="66"/>
        <v>2.8734037029760959E-41</v>
      </c>
      <c r="I774">
        <f>IF($F$11&lt;=D774, IF(D774&lt;=$A$15,D774-$F$11,$C$11),0)</f>
        <v>60</v>
      </c>
      <c r="J774">
        <f t="shared" si="67"/>
        <v>687</v>
      </c>
      <c r="K774" s="5">
        <f>IF(D774&lt;$F$11,H774,0)</f>
        <v>0</v>
      </c>
      <c r="L774">
        <f>IF(D774&lt;$A$15,$D$11,$D$11*(1-$H$11))</f>
        <v>85</v>
      </c>
      <c r="M774">
        <f t="shared" si="68"/>
        <v>1</v>
      </c>
      <c r="N774">
        <f>IF(SUM(I774:J774)&lt;=($G$11/60*$F$11/($E$11/60)),1,0)</f>
        <v>0</v>
      </c>
    </row>
    <row r="775" spans="4:14" x14ac:dyDescent="0.2">
      <c r="D775">
        <f t="shared" si="70"/>
        <v>752</v>
      </c>
      <c r="E775" s="1">
        <f>IF($H$11=1,IF(D775&lt;=$A$15, E774+LN($D$11)-LN(60/$E$11)-LN(MIN(D775,$F$11)), E774-LN(60/$E$11)-LN(MIN(D775,$F$11))), IF(D775&lt;=$A$15, E774+LN($D$11)-LN(60/$E$11)-LN(MIN(D775,$F$11)), E774+LN($D$11)+LN(1-$H$11)-LN(60/$E$11)-LN(MIN(D775,$F$11))))</f>
        <v>-89.148971488964023</v>
      </c>
      <c r="F775" s="1">
        <f t="shared" si="71"/>
        <v>-91.151004298163087</v>
      </c>
      <c r="G775" s="1">
        <f t="shared" si="69"/>
        <v>2.5919213161320855E-40</v>
      </c>
      <c r="H775" s="1">
        <f t="shared" si="66"/>
        <v>2.5441595286767482E-41</v>
      </c>
      <c r="I775">
        <f>IF($F$11&lt;=D775, IF(D775&lt;=$A$15,D775-$F$11,$C$11),0)</f>
        <v>60</v>
      </c>
      <c r="J775">
        <f t="shared" si="67"/>
        <v>688</v>
      </c>
      <c r="K775" s="5">
        <f>IF(D775&lt;$F$11,H775,0)</f>
        <v>0</v>
      </c>
      <c r="L775">
        <f>IF(D775&lt;$A$15,$D$11,$D$11*(1-$H$11))</f>
        <v>85</v>
      </c>
      <c r="M775">
        <f t="shared" si="68"/>
        <v>1</v>
      </c>
      <c r="N775">
        <f>IF(SUM(I775:J775)&lt;=($G$11/60*$F$11/($E$11/60)),1,0)</f>
        <v>0</v>
      </c>
    </row>
    <row r="776" spans="4:14" x14ac:dyDescent="0.2">
      <c r="D776">
        <f t="shared" si="70"/>
        <v>753</v>
      </c>
      <c r="E776" s="1">
        <f>IF($H$11=1,IF(D776&lt;=$A$15, E775+LN($D$11)-LN(60/$E$11)-LN(MIN(D776,$F$11)), E775-LN(60/$E$11)-LN(MIN(D776,$F$11))), IF(D776&lt;=$A$15, E775+LN($D$11)-LN(60/$E$11)-LN(MIN(D776,$F$11)), E775+LN($D$11)+LN(1-$H$11)-LN(60/$E$11)-LN(MIN(D776,$F$11))))</f>
        <v>-89.270668423941544</v>
      </c>
      <c r="F776" s="1">
        <f t="shared" si="71"/>
        <v>-91.272701233140609</v>
      </c>
      <c r="G776" s="1">
        <f t="shared" si="69"/>
        <v>2.2949303319919473E-40</v>
      </c>
      <c r="H776" s="1">
        <f t="shared" si="66"/>
        <v>2.2526412493492006E-41</v>
      </c>
      <c r="I776">
        <f>IF($F$11&lt;=D776, IF(D776&lt;=$A$15,D776-$F$11,$C$11),0)</f>
        <v>60</v>
      </c>
      <c r="J776">
        <f t="shared" si="67"/>
        <v>689</v>
      </c>
      <c r="K776" s="5">
        <f>IF(D776&lt;$F$11,H776,0)</f>
        <v>0</v>
      </c>
      <c r="L776">
        <f>IF(D776&lt;$A$15,$D$11,$D$11*(1-$H$11))</f>
        <v>85</v>
      </c>
      <c r="M776">
        <f t="shared" si="68"/>
        <v>1</v>
      </c>
      <c r="N776">
        <f>IF(SUM(I776:J776)&lt;=($G$11/60*$F$11/($E$11/60)),1,0)</f>
        <v>0</v>
      </c>
    </row>
    <row r="777" spans="4:14" x14ac:dyDescent="0.2">
      <c r="D777">
        <f t="shared" si="70"/>
        <v>754</v>
      </c>
      <c r="E777" s="1">
        <f>IF($H$11=1,IF(D777&lt;=$A$15, E776+LN($D$11)-LN(60/$E$11)-LN(MIN(D777,$F$11)), E776-LN(60/$E$11)-LN(MIN(D777,$F$11))), IF(D777&lt;=$A$15, E776+LN($D$11)-LN(60/$E$11)-LN(MIN(D777,$F$11)), E776+LN($D$11)+LN(1-$H$11)-LN(60/$E$11)-LN(MIN(D777,$F$11))))</f>
        <v>-89.392365358919065</v>
      </c>
      <c r="F777" s="1">
        <f t="shared" si="71"/>
        <v>-91.39439816811813</v>
      </c>
      <c r="G777" s="1">
        <f t="shared" si="69"/>
        <v>2.0319695647845337E-40</v>
      </c>
      <c r="H777" s="1">
        <f t="shared" si="66"/>
        <v>1.9945261061946019E-41</v>
      </c>
      <c r="I777">
        <f>IF($F$11&lt;=D777, IF(D777&lt;=$A$15,D777-$F$11,$C$11),0)</f>
        <v>60</v>
      </c>
      <c r="J777">
        <f t="shared" si="67"/>
        <v>690</v>
      </c>
      <c r="K777" s="5">
        <f>IF(D777&lt;$F$11,H777,0)</f>
        <v>0</v>
      </c>
      <c r="L777">
        <f>IF(D777&lt;$A$15,$D$11,$D$11*(1-$H$11))</f>
        <v>85</v>
      </c>
      <c r="M777">
        <f t="shared" si="68"/>
        <v>1</v>
      </c>
      <c r="N777">
        <f>IF(SUM(I777:J777)&lt;=($G$11/60*$F$11/($E$11/60)),1,0)</f>
        <v>0</v>
      </c>
    </row>
    <row r="778" spans="4:14" x14ac:dyDescent="0.2">
      <c r="D778">
        <f t="shared" si="70"/>
        <v>755</v>
      </c>
      <c r="E778" s="1">
        <f>IF($H$11=1,IF(D778&lt;=$A$15, E777+LN($D$11)-LN(60/$E$11)-LN(MIN(D778,$F$11)), E777-LN(60/$E$11)-LN(MIN(D778,$F$11))), IF(D778&lt;=$A$15, E777+LN($D$11)-LN(60/$E$11)-LN(MIN(D778,$F$11)), E777+LN($D$11)+LN(1-$H$11)-LN(60/$E$11)-LN(MIN(D778,$F$11))))</f>
        <v>-89.514062293896586</v>
      </c>
      <c r="F778" s="1">
        <f t="shared" si="71"/>
        <v>-91.516095103095651</v>
      </c>
      <c r="G778" s="1">
        <f t="shared" si="69"/>
        <v>1.7991397188196368E-40</v>
      </c>
      <c r="H778" s="1">
        <f t="shared" si="66"/>
        <v>1.765986656526468E-41</v>
      </c>
      <c r="I778">
        <f>IF($F$11&lt;=D778, IF(D778&lt;=$A$15,D778-$F$11,$C$11),0)</f>
        <v>60</v>
      </c>
      <c r="J778">
        <f t="shared" si="67"/>
        <v>691</v>
      </c>
      <c r="K778" s="5">
        <f>IF(D778&lt;$F$11,H778,0)</f>
        <v>0</v>
      </c>
      <c r="L778">
        <f>IF(D778&lt;$A$15,$D$11,$D$11*(1-$H$11))</f>
        <v>85</v>
      </c>
      <c r="M778">
        <f t="shared" si="68"/>
        <v>1</v>
      </c>
      <c r="N778">
        <f>IF(SUM(I778:J778)&lt;=($G$11/60*$F$11/($E$11/60)),1,0)</f>
        <v>0</v>
      </c>
    </row>
    <row r="779" spans="4:14" x14ac:dyDescent="0.2">
      <c r="D779">
        <f t="shared" si="70"/>
        <v>756</v>
      </c>
      <c r="E779" s="1">
        <f>IF($H$11=1,IF(D779&lt;=$A$15, E778+LN($D$11)-LN(60/$E$11)-LN(MIN(D779,$F$11)), E778-LN(60/$E$11)-LN(MIN(D779,$F$11))), IF(D779&lt;=$A$15, E778+LN($D$11)-LN(60/$E$11)-LN(MIN(D779,$F$11)), E778+LN($D$11)+LN(1-$H$11)-LN(60/$E$11)-LN(MIN(D779,$F$11))))</f>
        <v>-89.635759228874107</v>
      </c>
      <c r="F779" s="1">
        <f t="shared" si="71"/>
        <v>-91.637792038073172</v>
      </c>
      <c r="G779" s="1">
        <f t="shared" si="69"/>
        <v>1.5929882927048844E-40</v>
      </c>
      <c r="H779" s="1">
        <f t="shared" si="66"/>
        <v>1.5636340187994746E-41</v>
      </c>
      <c r="I779">
        <f>IF($F$11&lt;=D779, IF(D779&lt;=$A$15,D779-$F$11,$C$11),0)</f>
        <v>60</v>
      </c>
      <c r="J779">
        <f t="shared" si="67"/>
        <v>692</v>
      </c>
      <c r="K779" s="5">
        <f>IF(D779&lt;$F$11,H779,0)</f>
        <v>0</v>
      </c>
      <c r="L779">
        <f>IF(D779&lt;$A$15,$D$11,$D$11*(1-$H$11))</f>
        <v>85</v>
      </c>
      <c r="M779">
        <f t="shared" si="68"/>
        <v>1</v>
      </c>
      <c r="N779">
        <f>IF(SUM(I779:J779)&lt;=($G$11/60*$F$11/($E$11/60)),1,0)</f>
        <v>0</v>
      </c>
    </row>
    <row r="780" spans="4:14" x14ac:dyDescent="0.2">
      <c r="D780">
        <f t="shared" si="70"/>
        <v>757</v>
      </c>
      <c r="E780" s="1">
        <f>IF($H$11=1,IF(D780&lt;=$A$15, E779+LN($D$11)-LN(60/$E$11)-LN(MIN(D780,$F$11)), E779-LN(60/$E$11)-LN(MIN(D780,$F$11))), IF(D780&lt;=$A$15, E779+LN($D$11)-LN(60/$E$11)-LN(MIN(D780,$F$11)), E779+LN($D$11)+LN(1-$H$11)-LN(60/$E$11)-LN(MIN(D780,$F$11))))</f>
        <v>-89.757456163851629</v>
      </c>
      <c r="F780" s="1">
        <f t="shared" si="71"/>
        <v>-91.759488973050694</v>
      </c>
      <c r="G780" s="1">
        <f t="shared" si="69"/>
        <v>1.410458384165781E-40</v>
      </c>
      <c r="H780" s="1">
        <f t="shared" si="66"/>
        <v>1.3844676208120328E-41</v>
      </c>
      <c r="I780">
        <f>IF($F$11&lt;=D780, IF(D780&lt;=$A$15,D780-$F$11,$C$11),0)</f>
        <v>60</v>
      </c>
      <c r="J780">
        <f t="shared" si="67"/>
        <v>693</v>
      </c>
      <c r="K780" s="5">
        <f>IF(D780&lt;$F$11,H780,0)</f>
        <v>0</v>
      </c>
      <c r="L780">
        <f>IF(D780&lt;$A$15,$D$11,$D$11*(1-$H$11))</f>
        <v>85</v>
      </c>
      <c r="M780">
        <f t="shared" si="68"/>
        <v>1</v>
      </c>
      <c r="N780">
        <f>IF(SUM(I780:J780)&lt;=($G$11/60*$F$11/($E$11/60)),1,0)</f>
        <v>0</v>
      </c>
    </row>
    <row r="781" spans="4:14" x14ac:dyDescent="0.2">
      <c r="D781">
        <f t="shared" si="70"/>
        <v>758</v>
      </c>
      <c r="E781" s="1">
        <f>IF($H$11=1,IF(D781&lt;=$A$15, E780+LN($D$11)-LN(60/$E$11)-LN(MIN(D781,$F$11)), E780-LN(60/$E$11)-LN(MIN(D781,$F$11))), IF(D781&lt;=$A$15, E780+LN($D$11)-LN(60/$E$11)-LN(MIN(D781,$F$11)), E780+LN($D$11)+LN(1-$H$11)-LN(60/$E$11)-LN(MIN(D781,$F$11))))</f>
        <v>-89.87915309882915</v>
      </c>
      <c r="F781" s="1">
        <f t="shared" si="71"/>
        <v>-91.881185908028215</v>
      </c>
      <c r="G781" s="1">
        <f t="shared" si="69"/>
        <v>1.2488433609801169E-40</v>
      </c>
      <c r="H781" s="1">
        <f t="shared" si="66"/>
        <v>1.2258307059273191E-41</v>
      </c>
      <c r="I781">
        <f>IF($F$11&lt;=D781, IF(D781&lt;=$A$15,D781-$F$11,$C$11),0)</f>
        <v>60</v>
      </c>
      <c r="J781">
        <f t="shared" si="67"/>
        <v>694</v>
      </c>
      <c r="K781" s="5">
        <f>IF(D781&lt;$F$11,H781,0)</f>
        <v>0</v>
      </c>
      <c r="L781">
        <f>IF(D781&lt;$A$15,$D$11,$D$11*(1-$H$11))</f>
        <v>85</v>
      </c>
      <c r="M781">
        <f t="shared" si="68"/>
        <v>1</v>
      </c>
      <c r="N781">
        <f>IF(SUM(I781:J781)&lt;=($G$11/60*$F$11/($E$11/60)),1,0)</f>
        <v>0</v>
      </c>
    </row>
    <row r="782" spans="4:14" x14ac:dyDescent="0.2">
      <c r="D782">
        <f t="shared" si="70"/>
        <v>759</v>
      </c>
      <c r="E782" s="1">
        <f>IF($H$11=1,IF(D782&lt;=$A$15, E781+LN($D$11)-LN(60/$E$11)-LN(MIN(D782,$F$11)), E781-LN(60/$E$11)-LN(MIN(D782,$F$11))), IF(D782&lt;=$A$15, E781+LN($D$11)-LN(60/$E$11)-LN(MIN(D782,$F$11)), E781+LN($D$11)+LN(1-$H$11)-LN(60/$E$11)-LN(MIN(D782,$F$11))))</f>
        <v>-90.000850033806671</v>
      </c>
      <c r="F782" s="1">
        <f t="shared" si="71"/>
        <v>-92.002882843005736</v>
      </c>
      <c r="G782" s="1">
        <f t="shared" si="69"/>
        <v>1.1057467258678103E-40</v>
      </c>
      <c r="H782" s="1">
        <f t="shared" si="66"/>
        <v>1.0853709375398122E-41</v>
      </c>
      <c r="I782">
        <f>IF($F$11&lt;=D782, IF(D782&lt;=$A$15,D782-$F$11,$C$11),0)</f>
        <v>60</v>
      </c>
      <c r="J782">
        <f t="shared" si="67"/>
        <v>695</v>
      </c>
      <c r="K782" s="5">
        <f>IF(D782&lt;$F$11,H782,0)</f>
        <v>0</v>
      </c>
      <c r="L782">
        <f>IF(D782&lt;$A$15,$D$11,$D$11*(1-$H$11))</f>
        <v>85</v>
      </c>
      <c r="M782">
        <f t="shared" si="68"/>
        <v>1</v>
      </c>
      <c r="N782">
        <f>IF(SUM(I782:J782)&lt;=($G$11/60*$F$11/($E$11/60)),1,0)</f>
        <v>0</v>
      </c>
    </row>
    <row r="783" spans="4:14" x14ac:dyDescent="0.2">
      <c r="D783">
        <f t="shared" si="70"/>
        <v>760</v>
      </c>
      <c r="E783" s="1">
        <f>IF($H$11=1,IF(D783&lt;=$A$15, E782+LN($D$11)-LN(60/$E$11)-LN(MIN(D783,$F$11)), E782-LN(60/$E$11)-LN(MIN(D783,$F$11))), IF(D783&lt;=$A$15, E782+LN($D$11)-LN(60/$E$11)-LN(MIN(D783,$F$11)), E782+LN($D$11)+LN(1-$H$11)-LN(60/$E$11)-LN(MIN(D783,$F$11))))</f>
        <v>-90.122546968784192</v>
      </c>
      <c r="F783" s="1">
        <f t="shared" si="71"/>
        <v>-92.124579777983257</v>
      </c>
      <c r="G783" s="1">
        <f t="shared" si="69"/>
        <v>9.7904658019545552E-41</v>
      </c>
      <c r="H783" s="1">
        <f t="shared" si="66"/>
        <v>9.6100551761337391E-42</v>
      </c>
      <c r="I783">
        <f>IF($F$11&lt;=D783, IF(D783&lt;=$A$15,D783-$F$11,$C$11),0)</f>
        <v>60</v>
      </c>
      <c r="J783">
        <f t="shared" si="67"/>
        <v>696</v>
      </c>
      <c r="K783" s="5">
        <f>IF(D783&lt;$F$11,H783,0)</f>
        <v>0</v>
      </c>
      <c r="L783">
        <f>IF(D783&lt;$A$15,$D$11,$D$11*(1-$H$11))</f>
        <v>85</v>
      </c>
      <c r="M783">
        <f t="shared" si="68"/>
        <v>1</v>
      </c>
      <c r="N783">
        <f>IF(SUM(I783:J783)&lt;=($G$11/60*$F$11/($E$11/60)),1,0)</f>
        <v>0</v>
      </c>
    </row>
    <row r="784" spans="4:14" x14ac:dyDescent="0.2">
      <c r="D784">
        <f t="shared" si="70"/>
        <v>761</v>
      </c>
      <c r="E784" s="1">
        <f>IF($H$11=1,IF(D784&lt;=$A$15, E783+LN($D$11)-LN(60/$E$11)-LN(MIN(D784,$F$11)), E783-LN(60/$E$11)-LN(MIN(D784,$F$11))), IF(D784&lt;=$A$15, E783+LN($D$11)-LN(60/$E$11)-LN(MIN(D784,$F$11)), E783+LN($D$11)+LN(1-$H$11)-LN(60/$E$11)-LN(MIN(D784,$F$11))))</f>
        <v>-90.244243903761713</v>
      </c>
      <c r="F784" s="1">
        <f t="shared" si="71"/>
        <v>-92.246276712960778</v>
      </c>
      <c r="G784" s="1">
        <f t="shared" si="69"/>
        <v>8.668641595480584E-41</v>
      </c>
      <c r="H784" s="1">
        <f t="shared" si="66"/>
        <v>8.5089030205350697E-42</v>
      </c>
      <c r="I784">
        <f>IF($F$11&lt;=D784, IF(D784&lt;=$A$15,D784-$F$11,$C$11),0)</f>
        <v>60</v>
      </c>
      <c r="J784">
        <f t="shared" si="67"/>
        <v>697</v>
      </c>
      <c r="K784" s="5">
        <f>IF(D784&lt;$F$11,H784,0)</f>
        <v>0</v>
      </c>
      <c r="L784">
        <f>IF(D784&lt;$A$15,$D$11,$D$11*(1-$H$11))</f>
        <v>85</v>
      </c>
      <c r="M784">
        <f t="shared" si="68"/>
        <v>1</v>
      </c>
      <c r="N784">
        <f>IF(SUM(I784:J784)&lt;=($G$11/60*$F$11/($E$11/60)),1,0)</f>
        <v>0</v>
      </c>
    </row>
    <row r="785" spans="4:14" x14ac:dyDescent="0.2">
      <c r="D785">
        <f t="shared" si="70"/>
        <v>762</v>
      </c>
      <c r="E785" s="1">
        <f>IF($H$11=1,IF(D785&lt;=$A$15, E784+LN($D$11)-LN(60/$E$11)-LN(MIN(D785,$F$11)), E784-LN(60/$E$11)-LN(MIN(D785,$F$11))), IF(D785&lt;=$A$15, E784+LN($D$11)-LN(60/$E$11)-LN(MIN(D785,$F$11)), E784+LN($D$11)+LN(1-$H$11)-LN(60/$E$11)-LN(MIN(D785,$F$11))))</f>
        <v>-90.365940838739235</v>
      </c>
      <c r="F785" s="1">
        <f t="shared" si="71"/>
        <v>-92.3679736479383</v>
      </c>
      <c r="G785" s="1">
        <f t="shared" si="69"/>
        <v>7.6753597459984233E-41</v>
      </c>
      <c r="H785" s="1">
        <f t="shared" si="66"/>
        <v>7.5339245494320822E-42</v>
      </c>
      <c r="I785">
        <f>IF($F$11&lt;=D785, IF(D785&lt;=$A$15,D785-$F$11,$C$11),0)</f>
        <v>60</v>
      </c>
      <c r="J785">
        <f t="shared" si="67"/>
        <v>698</v>
      </c>
      <c r="K785" s="5">
        <f>IF(D785&lt;$F$11,H785,0)</f>
        <v>0</v>
      </c>
      <c r="L785">
        <f>IF(D785&lt;$A$15,$D$11,$D$11*(1-$H$11))</f>
        <v>85</v>
      </c>
      <c r="M785">
        <f t="shared" si="68"/>
        <v>1</v>
      </c>
      <c r="N785">
        <f>IF(SUM(I785:J785)&lt;=($G$11/60*$F$11/($E$11/60)),1,0)</f>
        <v>0</v>
      </c>
    </row>
    <row r="786" spans="4:14" x14ac:dyDescent="0.2">
      <c r="D786">
        <f t="shared" si="70"/>
        <v>763</v>
      </c>
      <c r="E786" s="1">
        <f>IF($H$11=1,IF(D786&lt;=$A$15, E785+LN($D$11)-LN(60/$E$11)-LN(MIN(D786,$F$11)), E785-LN(60/$E$11)-LN(MIN(D786,$F$11))), IF(D786&lt;=$A$15, E785+LN($D$11)-LN(60/$E$11)-LN(MIN(D786,$F$11)), E785+LN($D$11)+LN(1-$H$11)-LN(60/$E$11)-LN(MIN(D786,$F$11))))</f>
        <v>-90.487637773716756</v>
      </c>
      <c r="F786" s="1">
        <f t="shared" si="71"/>
        <v>-92.489670582915821</v>
      </c>
      <c r="G786" s="1">
        <f t="shared" si="69"/>
        <v>6.7958914417694269E-41</v>
      </c>
      <c r="H786" s="1">
        <f t="shared" si="66"/>
        <v>6.6706623614763126E-42</v>
      </c>
      <c r="I786">
        <f>IF($F$11&lt;=D786, IF(D786&lt;=$A$15,D786-$F$11,$C$11),0)</f>
        <v>60</v>
      </c>
      <c r="J786">
        <f t="shared" si="67"/>
        <v>699</v>
      </c>
      <c r="K786" s="5">
        <f>IF(D786&lt;$F$11,H786,0)</f>
        <v>0</v>
      </c>
      <c r="L786">
        <f>IF(D786&lt;$A$15,$D$11,$D$11*(1-$H$11))</f>
        <v>85</v>
      </c>
      <c r="M786">
        <f t="shared" si="68"/>
        <v>1</v>
      </c>
      <c r="N786">
        <f>IF(SUM(I786:J786)&lt;=($G$11/60*$F$11/($E$11/60)),1,0)</f>
        <v>0</v>
      </c>
    </row>
    <row r="787" spans="4:14" x14ac:dyDescent="0.2">
      <c r="D787">
        <f t="shared" si="70"/>
        <v>764</v>
      </c>
      <c r="E787" s="1">
        <f>IF($H$11=1,IF(D787&lt;=$A$15, E786+LN($D$11)-LN(60/$E$11)-LN(MIN(D787,$F$11)), E786-LN(60/$E$11)-LN(MIN(D787,$F$11))), IF(D787&lt;=$A$15, E786+LN($D$11)-LN(60/$E$11)-LN(MIN(D787,$F$11)), E786+LN($D$11)+LN(1-$H$11)-LN(60/$E$11)-LN(MIN(D787,$F$11))))</f>
        <v>-90.609334708694277</v>
      </c>
      <c r="F787" s="1">
        <f t="shared" si="71"/>
        <v>-92.611367517893342</v>
      </c>
      <c r="G787" s="1">
        <f t="shared" si="69"/>
        <v>6.0171955474000051E-41</v>
      </c>
      <c r="H787" s="1">
        <f t="shared" si="66"/>
        <v>5.9063156325571437E-42</v>
      </c>
      <c r="I787">
        <f>IF($F$11&lt;=D787, IF(D787&lt;=$A$15,D787-$F$11,$C$11),0)</f>
        <v>60</v>
      </c>
      <c r="J787">
        <f t="shared" si="67"/>
        <v>700</v>
      </c>
      <c r="K787" s="5">
        <f>IF(D787&lt;$F$11,H787,0)</f>
        <v>0</v>
      </c>
      <c r="L787">
        <f>IF(D787&lt;$A$15,$D$11,$D$11*(1-$H$11))</f>
        <v>85</v>
      </c>
      <c r="M787">
        <f t="shared" si="68"/>
        <v>1</v>
      </c>
      <c r="N787">
        <f>IF(SUM(I787:J787)&lt;=($G$11/60*$F$11/($E$11/60)),1,0)</f>
        <v>0</v>
      </c>
    </row>
    <row r="788" spans="4:14" x14ac:dyDescent="0.2">
      <c r="D788">
        <f t="shared" si="70"/>
        <v>765</v>
      </c>
      <c r="E788" s="1">
        <f>IF($H$11=1,IF(D788&lt;=$A$15, E787+LN($D$11)-LN(60/$E$11)-LN(MIN(D788,$F$11)), E787-LN(60/$E$11)-LN(MIN(D788,$F$11))), IF(D788&lt;=$A$15, E787+LN($D$11)-LN(60/$E$11)-LN(MIN(D788,$F$11)), E787+LN($D$11)+LN(1-$H$11)-LN(60/$E$11)-LN(MIN(D788,$F$11))))</f>
        <v>-90.731031643671798</v>
      </c>
      <c r="F788" s="1">
        <f t="shared" si="71"/>
        <v>-92.733064452870863</v>
      </c>
      <c r="G788" s="1">
        <f t="shared" si="69"/>
        <v>5.3277252242604136E-41</v>
      </c>
      <c r="H788" s="1">
        <f t="shared" si="66"/>
        <v>5.2295502996599639E-42</v>
      </c>
      <c r="I788">
        <f>IF($F$11&lt;=D788, IF(D788&lt;=$A$15,D788-$F$11,$C$11),0)</f>
        <v>60</v>
      </c>
      <c r="J788">
        <f t="shared" si="67"/>
        <v>701</v>
      </c>
      <c r="K788" s="5">
        <f>IF(D788&lt;$F$11,H788,0)</f>
        <v>0</v>
      </c>
      <c r="L788">
        <f>IF(D788&lt;$A$15,$D$11,$D$11*(1-$H$11))</f>
        <v>85</v>
      </c>
      <c r="M788">
        <f t="shared" si="68"/>
        <v>1</v>
      </c>
      <c r="N788">
        <f>IF(SUM(I788:J788)&lt;=($G$11/60*$F$11/($E$11/60)),1,0)</f>
        <v>0</v>
      </c>
    </row>
    <row r="789" spans="4:14" x14ac:dyDescent="0.2">
      <c r="D789">
        <f t="shared" si="70"/>
        <v>766</v>
      </c>
      <c r="E789" s="1">
        <f>IF($H$11=1,IF(D789&lt;=$A$15, E788+LN($D$11)-LN(60/$E$11)-LN(MIN(D789,$F$11)), E788-LN(60/$E$11)-LN(MIN(D789,$F$11))), IF(D789&lt;=$A$15, E788+LN($D$11)-LN(60/$E$11)-LN(MIN(D789,$F$11)), E788+LN($D$11)+LN(1-$H$11)-LN(60/$E$11)-LN(MIN(D789,$F$11))))</f>
        <v>-90.85272857864932</v>
      </c>
      <c r="F789" s="1">
        <f t="shared" si="71"/>
        <v>-92.854761387848384</v>
      </c>
      <c r="G789" s="1">
        <f t="shared" si="69"/>
        <v>4.7172567089805682E-41</v>
      </c>
      <c r="H789" s="1">
        <f t="shared" si="66"/>
        <v>4.6303309944905865E-42</v>
      </c>
      <c r="I789">
        <f>IF($F$11&lt;=D789, IF(D789&lt;=$A$15,D789-$F$11,$C$11),0)</f>
        <v>60</v>
      </c>
      <c r="J789">
        <f t="shared" si="67"/>
        <v>702</v>
      </c>
      <c r="K789" s="5">
        <f>IF(D789&lt;$F$11,H789,0)</f>
        <v>0</v>
      </c>
      <c r="L789">
        <f>IF(D789&lt;$A$15,$D$11,$D$11*(1-$H$11))</f>
        <v>85</v>
      </c>
      <c r="M789">
        <f t="shared" si="68"/>
        <v>1</v>
      </c>
      <c r="N789">
        <f>IF(SUM(I789:J789)&lt;=($G$11/60*$F$11/($E$11/60)),1,0)</f>
        <v>0</v>
      </c>
    </row>
    <row r="790" spans="4:14" x14ac:dyDescent="0.2">
      <c r="D790">
        <f t="shared" si="70"/>
        <v>767</v>
      </c>
      <c r="E790" s="1">
        <f>IF($H$11=1,IF(D790&lt;=$A$15, E789+LN($D$11)-LN(60/$E$11)-LN(MIN(D790,$F$11)), E789-LN(60/$E$11)-LN(MIN(D790,$F$11))), IF(D790&lt;=$A$15, E789+LN($D$11)-LN(60/$E$11)-LN(MIN(D790,$F$11)), E789+LN($D$11)+LN(1-$H$11)-LN(60/$E$11)-LN(MIN(D790,$F$11))))</f>
        <v>-90.974425513626841</v>
      </c>
      <c r="F790" s="1">
        <f t="shared" si="71"/>
        <v>-92.976458322825906</v>
      </c>
      <c r="G790" s="1">
        <f t="shared" si="69"/>
        <v>4.1767377110765385E-41</v>
      </c>
      <c r="H790" s="1">
        <f t="shared" si="66"/>
        <v>4.0997722347052011E-42</v>
      </c>
      <c r="I790">
        <f>IF($F$11&lt;=D790, IF(D790&lt;=$A$15,D790-$F$11,$C$11),0)</f>
        <v>60</v>
      </c>
      <c r="J790">
        <f t="shared" si="67"/>
        <v>703</v>
      </c>
      <c r="K790" s="5">
        <f>IF(D790&lt;$F$11,H790,0)</f>
        <v>0</v>
      </c>
      <c r="L790">
        <f>IF(D790&lt;$A$15,$D$11,$D$11*(1-$H$11))</f>
        <v>85</v>
      </c>
      <c r="M790">
        <f t="shared" si="68"/>
        <v>1</v>
      </c>
      <c r="N790">
        <f>IF(SUM(I790:J790)&lt;=($G$11/60*$F$11/($E$11/60)),1,0)</f>
        <v>0</v>
      </c>
    </row>
    <row r="791" spans="4:14" x14ac:dyDescent="0.2">
      <c r="D791">
        <f t="shared" si="70"/>
        <v>768</v>
      </c>
      <c r="E791" s="1">
        <f>IF($H$11=1,IF(D791&lt;=$A$15, E790+LN($D$11)-LN(60/$E$11)-LN(MIN(D791,$F$11)), E790-LN(60/$E$11)-LN(MIN(D791,$F$11))), IF(D791&lt;=$A$15, E790+LN($D$11)-LN(60/$E$11)-LN(MIN(D791,$F$11)), E790+LN($D$11)+LN(1-$H$11)-LN(60/$E$11)-LN(MIN(D791,$F$11))))</f>
        <v>-91.096122448604362</v>
      </c>
      <c r="F791" s="1">
        <f t="shared" si="71"/>
        <v>-93.098155257803427</v>
      </c>
      <c r="G791" s="1">
        <f t="shared" si="69"/>
        <v>3.6981531816823465E-41</v>
      </c>
      <c r="H791" s="1">
        <f t="shared" ref="H791:H854" si="72">G791/$G$21</f>
        <v>3.6300066661452245E-42</v>
      </c>
      <c r="I791">
        <f>IF($F$11&lt;=D791, IF(D791&lt;=$A$15,D791-$F$11,$C$11),0)</f>
        <v>60</v>
      </c>
      <c r="J791">
        <f t="shared" ref="J791:J854" si="73">IF(D791&lt;=$A$15,0,D791-$A$15)</f>
        <v>704</v>
      </c>
      <c r="K791" s="5">
        <f>IF(D791&lt;$F$11,H791,0)</f>
        <v>0</v>
      </c>
      <c r="L791">
        <f>IF(D791&lt;$A$15,$D$11,$D$11*(1-$H$11))</f>
        <v>85</v>
      </c>
      <c r="M791">
        <f t="shared" ref="M791:M854" si="74">IF(D791&lt;$A$15,0,1)</f>
        <v>1</v>
      </c>
      <c r="N791">
        <f>IF(SUM(I791:J791)&lt;=($G$11/60*$F$11/($E$11/60)),1,0)</f>
        <v>0</v>
      </c>
    </row>
    <row r="792" spans="4:14" x14ac:dyDescent="0.2">
      <c r="D792">
        <f t="shared" si="70"/>
        <v>769</v>
      </c>
      <c r="E792" s="1">
        <f>IF($H$11=1,IF(D792&lt;=$A$15, E791+LN($D$11)-LN(60/$E$11)-LN(MIN(D792,$F$11)), E791-LN(60/$E$11)-LN(MIN(D792,$F$11))), IF(D792&lt;=$A$15, E791+LN($D$11)-LN(60/$E$11)-LN(MIN(D792,$F$11)), E791+LN($D$11)+LN(1-$H$11)-LN(60/$E$11)-LN(MIN(D792,$F$11))))</f>
        <v>-91.217819383581883</v>
      </c>
      <c r="F792" s="1">
        <f t="shared" si="71"/>
        <v>-93.219852192780948</v>
      </c>
      <c r="G792" s="1">
        <f t="shared" ref="G792:G855" si="75">EXP(F792)</f>
        <v>3.2744064629479065E-41</v>
      </c>
      <c r="H792" s="1">
        <f t="shared" si="72"/>
        <v>3.2140684023160803E-42</v>
      </c>
      <c r="I792">
        <f>IF($F$11&lt;=D792, IF(D792&lt;=$A$15,D792-$F$11,$C$11),0)</f>
        <v>60</v>
      </c>
      <c r="J792">
        <f t="shared" si="73"/>
        <v>705</v>
      </c>
      <c r="K792" s="5">
        <f>IF(D792&lt;$F$11,H792,0)</f>
        <v>0</v>
      </c>
      <c r="L792">
        <f>IF(D792&lt;$A$15,$D$11,$D$11*(1-$H$11))</f>
        <v>85</v>
      </c>
      <c r="M792">
        <f t="shared" si="74"/>
        <v>1</v>
      </c>
      <c r="N792">
        <f>IF(SUM(I792:J792)&lt;=($G$11/60*$F$11/($E$11/60)),1,0)</f>
        <v>0</v>
      </c>
    </row>
    <row r="793" spans="4:14" x14ac:dyDescent="0.2">
      <c r="D793">
        <f t="shared" ref="D793:D856" si="76">1+D792</f>
        <v>770</v>
      </c>
      <c r="E793" s="1">
        <f>IF($H$11=1,IF(D793&lt;=$A$15, E792+LN($D$11)-LN(60/$E$11)-LN(MIN(D793,$F$11)), E792-LN(60/$E$11)-LN(MIN(D793,$F$11))), IF(D793&lt;=$A$15, E792+LN($D$11)-LN(60/$E$11)-LN(MIN(D793,$F$11)), E792+LN($D$11)+LN(1-$H$11)-LN(60/$E$11)-LN(MIN(D793,$F$11))))</f>
        <v>-91.339516318559404</v>
      </c>
      <c r="F793" s="1">
        <f t="shared" ref="F793:F856" si="77">E793-$E$21</f>
        <v>-93.341549127758469</v>
      </c>
      <c r="G793" s="1">
        <f t="shared" si="75"/>
        <v>2.8992140557351213E-41</v>
      </c>
      <c r="H793" s="1">
        <f t="shared" si="72"/>
        <v>2.8457897312173584E-42</v>
      </c>
      <c r="I793">
        <f>IF($F$11&lt;=D793, IF(D793&lt;=$A$15,D793-$F$11,$C$11),0)</f>
        <v>60</v>
      </c>
      <c r="J793">
        <f t="shared" si="73"/>
        <v>706</v>
      </c>
      <c r="K793" s="5">
        <f>IF(D793&lt;$F$11,H793,0)</f>
        <v>0</v>
      </c>
      <c r="L793">
        <f>IF(D793&lt;$A$15,$D$11,$D$11*(1-$H$11))</f>
        <v>85</v>
      </c>
      <c r="M793">
        <f t="shared" si="74"/>
        <v>1</v>
      </c>
      <c r="N793">
        <f>IF(SUM(I793:J793)&lt;=($G$11/60*$F$11/($E$11/60)),1,0)</f>
        <v>0</v>
      </c>
    </row>
    <row r="794" spans="4:14" x14ac:dyDescent="0.2">
      <c r="D794">
        <f t="shared" si="76"/>
        <v>771</v>
      </c>
      <c r="E794" s="1">
        <f>IF($H$11=1,IF(D794&lt;=$A$15, E793+LN($D$11)-LN(60/$E$11)-LN(MIN(D794,$F$11)), E793-LN(60/$E$11)-LN(MIN(D794,$F$11))), IF(D794&lt;=$A$15, E793+LN($D$11)-LN(60/$E$11)-LN(MIN(D794,$F$11)), E793+LN($D$11)+LN(1-$H$11)-LN(60/$E$11)-LN(MIN(D794,$F$11))))</f>
        <v>-91.461213253536926</v>
      </c>
      <c r="F794" s="1">
        <f t="shared" si="77"/>
        <v>-93.46324606273599</v>
      </c>
      <c r="G794" s="1">
        <f t="shared" si="75"/>
        <v>2.5670124451821351E-41</v>
      </c>
      <c r="H794" s="1">
        <f t="shared" si="72"/>
        <v>2.5197096578486993E-42</v>
      </c>
      <c r="I794">
        <f>IF($F$11&lt;=D794, IF(D794&lt;=$A$15,D794-$F$11,$C$11),0)</f>
        <v>60</v>
      </c>
      <c r="J794">
        <f t="shared" si="73"/>
        <v>707</v>
      </c>
      <c r="K794" s="5">
        <f>IF(D794&lt;$F$11,H794,0)</f>
        <v>0</v>
      </c>
      <c r="L794">
        <f>IF(D794&lt;$A$15,$D$11,$D$11*(1-$H$11))</f>
        <v>85</v>
      </c>
      <c r="M794">
        <f t="shared" si="74"/>
        <v>1</v>
      </c>
      <c r="N794">
        <f>IF(SUM(I794:J794)&lt;=($G$11/60*$F$11/($E$11/60)),1,0)</f>
        <v>0</v>
      </c>
    </row>
    <row r="795" spans="4:14" x14ac:dyDescent="0.2">
      <c r="D795">
        <f t="shared" si="76"/>
        <v>772</v>
      </c>
      <c r="E795" s="1">
        <f>IF($H$11=1,IF(D795&lt;=$A$15, E794+LN($D$11)-LN(60/$E$11)-LN(MIN(D795,$F$11)), E794-LN(60/$E$11)-LN(MIN(D795,$F$11))), IF(D795&lt;=$A$15, E794+LN($D$11)-LN(60/$E$11)-LN(MIN(D795,$F$11)), E794+LN($D$11)+LN(1-$H$11)-LN(60/$E$11)-LN(MIN(D795,$F$11))))</f>
        <v>-91.582910188514447</v>
      </c>
      <c r="F795" s="1">
        <f t="shared" si="77"/>
        <v>-93.584942997713512</v>
      </c>
      <c r="G795" s="1">
        <f t="shared" si="75"/>
        <v>2.2728756025050121E-41</v>
      </c>
      <c r="H795" s="1">
        <f t="shared" si="72"/>
        <v>2.2309929262201993E-42</v>
      </c>
      <c r="I795">
        <f>IF($F$11&lt;=D795, IF(D795&lt;=$A$15,D795-$F$11,$C$11),0)</f>
        <v>60</v>
      </c>
      <c r="J795">
        <f t="shared" si="73"/>
        <v>708</v>
      </c>
      <c r="K795" s="5">
        <f>IF(D795&lt;$F$11,H795,0)</f>
        <v>0</v>
      </c>
      <c r="L795">
        <f>IF(D795&lt;$A$15,$D$11,$D$11*(1-$H$11))</f>
        <v>85</v>
      </c>
      <c r="M795">
        <f t="shared" si="74"/>
        <v>1</v>
      </c>
      <c r="N795">
        <f>IF(SUM(I795:J795)&lt;=($G$11/60*$F$11/($E$11/60)),1,0)</f>
        <v>0</v>
      </c>
    </row>
    <row r="796" spans="4:14" x14ac:dyDescent="0.2">
      <c r="D796">
        <f t="shared" si="76"/>
        <v>773</v>
      </c>
      <c r="E796" s="1">
        <f>IF($H$11=1,IF(D796&lt;=$A$15, E795+LN($D$11)-LN(60/$E$11)-LN(MIN(D796,$F$11)), E795-LN(60/$E$11)-LN(MIN(D796,$F$11))), IF(D796&lt;=$A$15, E795+LN($D$11)-LN(60/$E$11)-LN(MIN(D796,$F$11)), E795+LN($D$11)+LN(1-$H$11)-LN(60/$E$11)-LN(MIN(D796,$F$11))))</f>
        <v>-91.704607123491968</v>
      </c>
      <c r="F796" s="1">
        <f t="shared" si="77"/>
        <v>-93.706639932691033</v>
      </c>
      <c r="G796" s="1">
        <f t="shared" si="75"/>
        <v>2.0124419397179765E-41</v>
      </c>
      <c r="H796" s="1">
        <f t="shared" si="72"/>
        <v>1.9753583200907986E-42</v>
      </c>
      <c r="I796">
        <f>IF($F$11&lt;=D796, IF(D796&lt;=$A$15,D796-$F$11,$C$11),0)</f>
        <v>60</v>
      </c>
      <c r="J796">
        <f t="shared" si="73"/>
        <v>709</v>
      </c>
      <c r="K796" s="5">
        <f>IF(D796&lt;$F$11,H796,0)</f>
        <v>0</v>
      </c>
      <c r="L796">
        <f>IF(D796&lt;$A$15,$D$11,$D$11*(1-$H$11))</f>
        <v>85</v>
      </c>
      <c r="M796">
        <f t="shared" si="74"/>
        <v>1</v>
      </c>
      <c r="N796">
        <f>IF(SUM(I796:J796)&lt;=($G$11/60*$F$11/($E$11/60)),1,0)</f>
        <v>0</v>
      </c>
    </row>
    <row r="797" spans="4:14" x14ac:dyDescent="0.2">
      <c r="D797">
        <f t="shared" si="76"/>
        <v>774</v>
      </c>
      <c r="E797" s="1">
        <f>IF($H$11=1,IF(D797&lt;=$A$15, E796+LN($D$11)-LN(60/$E$11)-LN(MIN(D797,$F$11)), E796-LN(60/$E$11)-LN(MIN(D797,$F$11))), IF(D797&lt;=$A$15, E796+LN($D$11)-LN(60/$E$11)-LN(MIN(D797,$F$11)), E796+LN($D$11)+LN(1-$H$11)-LN(60/$E$11)-LN(MIN(D797,$F$11))))</f>
        <v>-91.826304058469489</v>
      </c>
      <c r="F797" s="1">
        <f t="shared" si="77"/>
        <v>-93.828336867668554</v>
      </c>
      <c r="G797" s="1">
        <f t="shared" si="75"/>
        <v>1.7818496341252891E-41</v>
      </c>
      <c r="H797" s="1">
        <f t="shared" si="72"/>
        <v>1.7490151792470586E-42</v>
      </c>
      <c r="I797">
        <f>IF($F$11&lt;=D797, IF(D797&lt;=$A$15,D797-$F$11,$C$11),0)</f>
        <v>60</v>
      </c>
      <c r="J797">
        <f t="shared" si="73"/>
        <v>710</v>
      </c>
      <c r="K797" s="5">
        <f>IF(D797&lt;$F$11,H797,0)</f>
        <v>0</v>
      </c>
      <c r="L797">
        <f>IF(D797&lt;$A$15,$D$11,$D$11*(1-$H$11))</f>
        <v>85</v>
      </c>
      <c r="M797">
        <f t="shared" si="74"/>
        <v>1</v>
      </c>
      <c r="N797">
        <f>IF(SUM(I797:J797)&lt;=($G$11/60*$F$11/($E$11/60)),1,0)</f>
        <v>0</v>
      </c>
    </row>
    <row r="798" spans="4:14" x14ac:dyDescent="0.2">
      <c r="D798">
        <f t="shared" si="76"/>
        <v>775</v>
      </c>
      <c r="E798" s="1">
        <f>IF($H$11=1,IF(D798&lt;=$A$15, E797+LN($D$11)-LN(60/$E$11)-LN(MIN(D798,$F$11)), E797-LN(60/$E$11)-LN(MIN(D798,$F$11))), IF(D798&lt;=$A$15, E797+LN($D$11)-LN(60/$E$11)-LN(MIN(D798,$F$11)), E797+LN($D$11)+LN(1-$H$11)-LN(60/$E$11)-LN(MIN(D798,$F$11))))</f>
        <v>-91.94800099344701</v>
      </c>
      <c r="F798" s="1">
        <f t="shared" si="77"/>
        <v>-93.950033802646075</v>
      </c>
      <c r="G798" s="1">
        <f t="shared" si="75"/>
        <v>1.5776793635484309E-41</v>
      </c>
      <c r="H798" s="1">
        <f t="shared" si="72"/>
        <v>1.5486071899583309E-42</v>
      </c>
      <c r="I798">
        <f>IF($F$11&lt;=D798, IF(D798&lt;=$A$15,D798-$F$11,$C$11),0)</f>
        <v>60</v>
      </c>
      <c r="J798">
        <f t="shared" si="73"/>
        <v>711</v>
      </c>
      <c r="K798" s="5">
        <f>IF(D798&lt;$F$11,H798,0)</f>
        <v>0</v>
      </c>
      <c r="L798">
        <f>IF(D798&lt;$A$15,$D$11,$D$11*(1-$H$11))</f>
        <v>85</v>
      </c>
      <c r="M798">
        <f t="shared" si="74"/>
        <v>1</v>
      </c>
      <c r="N798">
        <f>IF(SUM(I798:J798)&lt;=($G$11/60*$F$11/($E$11/60)),1,0)</f>
        <v>0</v>
      </c>
    </row>
    <row r="799" spans="4:14" x14ac:dyDescent="0.2">
      <c r="D799">
        <f t="shared" si="76"/>
        <v>776</v>
      </c>
      <c r="E799" s="1">
        <f>IF($H$11=1,IF(D799&lt;=$A$15, E798+LN($D$11)-LN(60/$E$11)-LN(MIN(D799,$F$11)), E798-LN(60/$E$11)-LN(MIN(D799,$F$11))), IF(D799&lt;=$A$15, E798+LN($D$11)-LN(60/$E$11)-LN(MIN(D799,$F$11)), E798+LN($D$11)+LN(1-$H$11)-LN(60/$E$11)-LN(MIN(D799,$F$11))))</f>
        <v>-92.069697928424532</v>
      </c>
      <c r="F799" s="1">
        <f t="shared" si="77"/>
        <v>-94.071730737623596</v>
      </c>
      <c r="G799" s="1">
        <f t="shared" si="75"/>
        <v>1.3969036031418379E-41</v>
      </c>
      <c r="H799" s="1">
        <f t="shared" si="72"/>
        <v>1.3711626161089369E-42</v>
      </c>
      <c r="I799">
        <f>IF($F$11&lt;=D799, IF(D799&lt;=$A$15,D799-$F$11,$C$11),0)</f>
        <v>60</v>
      </c>
      <c r="J799">
        <f t="shared" si="73"/>
        <v>712</v>
      </c>
      <c r="K799" s="5">
        <f>IF(D799&lt;$F$11,H799,0)</f>
        <v>0</v>
      </c>
      <c r="L799">
        <f>IF(D799&lt;$A$15,$D$11,$D$11*(1-$H$11))</f>
        <v>85</v>
      </c>
      <c r="M799">
        <f t="shared" si="74"/>
        <v>1</v>
      </c>
      <c r="N799">
        <f>IF(SUM(I799:J799)&lt;=($G$11/60*$F$11/($E$11/60)),1,0)</f>
        <v>0</v>
      </c>
    </row>
    <row r="800" spans="4:14" x14ac:dyDescent="0.2">
      <c r="D800">
        <f t="shared" si="76"/>
        <v>777</v>
      </c>
      <c r="E800" s="1">
        <f>IF($H$11=1,IF(D800&lt;=$A$15, E799+LN($D$11)-LN(60/$E$11)-LN(MIN(D800,$F$11)), E799-LN(60/$E$11)-LN(MIN(D800,$F$11))), IF(D800&lt;=$A$15, E799+LN($D$11)-LN(60/$E$11)-LN(MIN(D800,$F$11)), E799+LN($D$11)+LN(1-$H$11)-LN(60/$E$11)-LN(MIN(D800,$F$11))))</f>
        <v>-92.191394863402053</v>
      </c>
      <c r="F800" s="1">
        <f t="shared" si="77"/>
        <v>-94.193427672601118</v>
      </c>
      <c r="G800" s="1">
        <f t="shared" si="75"/>
        <v>1.2368417319485004E-41</v>
      </c>
      <c r="H800" s="1">
        <f t="shared" si="72"/>
        <v>1.2140502330131194E-42</v>
      </c>
      <c r="I800">
        <f>IF($F$11&lt;=D800, IF(D800&lt;=$A$15,D800-$F$11,$C$11),0)</f>
        <v>60</v>
      </c>
      <c r="J800">
        <f t="shared" si="73"/>
        <v>713</v>
      </c>
      <c r="K800" s="5">
        <f>IF(D800&lt;$F$11,H800,0)</f>
        <v>0</v>
      </c>
      <c r="L800">
        <f>IF(D800&lt;$A$15,$D$11,$D$11*(1-$H$11))</f>
        <v>85</v>
      </c>
      <c r="M800">
        <f t="shared" si="74"/>
        <v>1</v>
      </c>
      <c r="N800">
        <f>IF(SUM(I800:J800)&lt;=($G$11/60*$F$11/($E$11/60)),1,0)</f>
        <v>0</v>
      </c>
    </row>
    <row r="801" spans="4:14" x14ac:dyDescent="0.2">
      <c r="D801">
        <f t="shared" si="76"/>
        <v>778</v>
      </c>
      <c r="E801" s="1">
        <f>IF($H$11=1,IF(D801&lt;=$A$15, E800+LN($D$11)-LN(60/$E$11)-LN(MIN(D801,$F$11)), E800-LN(60/$E$11)-LN(MIN(D801,$F$11))), IF(D801&lt;=$A$15, E800+LN($D$11)-LN(60/$E$11)-LN(MIN(D801,$F$11)), E800+LN($D$11)+LN(1-$H$11)-LN(60/$E$11)-LN(MIN(D801,$F$11))))</f>
        <v>-92.313091798379574</v>
      </c>
      <c r="F801" s="1">
        <f t="shared" si="77"/>
        <v>-94.315124607578639</v>
      </c>
      <c r="G801" s="1">
        <f t="shared" si="75"/>
        <v>1.0951202834960666E-41</v>
      </c>
      <c r="H801" s="1">
        <f t="shared" si="72"/>
        <v>1.0749403104803648E-42</v>
      </c>
      <c r="I801">
        <f>IF($F$11&lt;=D801, IF(D801&lt;=$A$15,D801-$F$11,$C$11),0)</f>
        <v>60</v>
      </c>
      <c r="J801">
        <f t="shared" si="73"/>
        <v>714</v>
      </c>
      <c r="K801" s="5">
        <f>IF(D801&lt;$F$11,H801,0)</f>
        <v>0</v>
      </c>
      <c r="L801">
        <f>IF(D801&lt;$A$15,$D$11,$D$11*(1-$H$11))</f>
        <v>85</v>
      </c>
      <c r="M801">
        <f t="shared" si="74"/>
        <v>1</v>
      </c>
      <c r="N801">
        <f>IF(SUM(I801:J801)&lt;=($G$11/60*$F$11/($E$11/60)),1,0)</f>
        <v>0</v>
      </c>
    </row>
    <row r="802" spans="4:14" x14ac:dyDescent="0.2">
      <c r="D802">
        <f t="shared" si="76"/>
        <v>779</v>
      </c>
      <c r="E802" s="1">
        <f>IF($H$11=1,IF(D802&lt;=$A$15, E801+LN($D$11)-LN(60/$E$11)-LN(MIN(D802,$F$11)), E801-LN(60/$E$11)-LN(MIN(D802,$F$11))), IF(D802&lt;=$A$15, E801+LN($D$11)-LN(60/$E$11)-LN(MIN(D802,$F$11)), E801+LN($D$11)+LN(1-$H$11)-LN(60/$E$11)-LN(MIN(D802,$F$11))))</f>
        <v>-92.434788733357095</v>
      </c>
      <c r="F802" s="1">
        <f t="shared" si="77"/>
        <v>-94.43682154255616</v>
      </c>
      <c r="G802" s="1">
        <f t="shared" si="75"/>
        <v>9.6963775101214091E-42</v>
      </c>
      <c r="H802" s="1">
        <f t="shared" si="72"/>
        <v>9.5177006657115488E-43</v>
      </c>
      <c r="I802">
        <f>IF($F$11&lt;=D802, IF(D802&lt;=$A$15,D802-$F$11,$C$11),0)</f>
        <v>60</v>
      </c>
      <c r="J802">
        <f t="shared" si="73"/>
        <v>715</v>
      </c>
      <c r="K802" s="5">
        <f>IF(D802&lt;$F$11,H802,0)</f>
        <v>0</v>
      </c>
      <c r="L802">
        <f>IF(D802&lt;$A$15,$D$11,$D$11*(1-$H$11))</f>
        <v>85</v>
      </c>
      <c r="M802">
        <f t="shared" si="74"/>
        <v>1</v>
      </c>
      <c r="N802">
        <f>IF(SUM(I802:J802)&lt;=($G$11/60*$F$11/($E$11/60)),1,0)</f>
        <v>0</v>
      </c>
    </row>
    <row r="803" spans="4:14" x14ac:dyDescent="0.2">
      <c r="D803">
        <f t="shared" si="76"/>
        <v>780</v>
      </c>
      <c r="E803" s="1">
        <f>IF($H$11=1,IF(D803&lt;=$A$15, E802+LN($D$11)-LN(60/$E$11)-LN(MIN(D803,$F$11)), E802-LN(60/$E$11)-LN(MIN(D803,$F$11))), IF(D803&lt;=$A$15, E802+LN($D$11)-LN(60/$E$11)-LN(MIN(D803,$F$11)), E802+LN($D$11)+LN(1-$H$11)-LN(60/$E$11)-LN(MIN(D803,$F$11))))</f>
        <v>-92.556485668334616</v>
      </c>
      <c r="F803" s="1">
        <f t="shared" si="77"/>
        <v>-94.558518477533681</v>
      </c>
      <c r="G803" s="1">
        <f t="shared" si="75"/>
        <v>8.5853342537533189E-42</v>
      </c>
      <c r="H803" s="1">
        <f t="shared" si="72"/>
        <v>8.4271307977654214E-43</v>
      </c>
      <c r="I803">
        <f>IF($F$11&lt;=D803, IF(D803&lt;=$A$15,D803-$F$11,$C$11),0)</f>
        <v>60</v>
      </c>
      <c r="J803">
        <f t="shared" si="73"/>
        <v>716</v>
      </c>
      <c r="K803" s="5">
        <f>IF(D803&lt;$F$11,H803,0)</f>
        <v>0</v>
      </c>
      <c r="L803">
        <f>IF(D803&lt;$A$15,$D$11,$D$11*(1-$H$11))</f>
        <v>85</v>
      </c>
      <c r="M803">
        <f t="shared" si="74"/>
        <v>1</v>
      </c>
      <c r="N803">
        <f>IF(SUM(I803:J803)&lt;=($G$11/60*$F$11/($E$11/60)),1,0)</f>
        <v>0</v>
      </c>
    </row>
    <row r="804" spans="4:14" x14ac:dyDescent="0.2">
      <c r="D804">
        <f t="shared" si="76"/>
        <v>781</v>
      </c>
      <c r="E804" s="1">
        <f>IF($H$11=1,IF(D804&lt;=$A$15, E803+LN($D$11)-LN(60/$E$11)-LN(MIN(D804,$F$11)), E803-LN(60/$E$11)-LN(MIN(D804,$F$11))), IF(D804&lt;=$A$15, E803+LN($D$11)-LN(60/$E$11)-LN(MIN(D804,$F$11)), E803+LN($D$11)+LN(1-$H$11)-LN(60/$E$11)-LN(MIN(D804,$F$11))))</f>
        <v>-92.678182603312138</v>
      </c>
      <c r="F804" s="1">
        <f t="shared" si="77"/>
        <v>-94.680215412511203</v>
      </c>
      <c r="G804" s="1">
        <f t="shared" si="75"/>
        <v>7.601598037177407E-42</v>
      </c>
      <c r="H804" s="1">
        <f t="shared" si="72"/>
        <v>7.461522060521457E-43</v>
      </c>
      <c r="I804">
        <f>IF($F$11&lt;=D804, IF(D804&lt;=$A$15,D804-$F$11,$C$11),0)</f>
        <v>60</v>
      </c>
      <c r="J804">
        <f t="shared" si="73"/>
        <v>717</v>
      </c>
      <c r="K804" s="5">
        <f>IF(D804&lt;$F$11,H804,0)</f>
        <v>0</v>
      </c>
      <c r="L804">
        <f>IF(D804&lt;$A$15,$D$11,$D$11*(1-$H$11))</f>
        <v>85</v>
      </c>
      <c r="M804">
        <f t="shared" si="74"/>
        <v>1</v>
      </c>
      <c r="N804">
        <f>IF(SUM(I804:J804)&lt;=($G$11/60*$F$11/($E$11/60)),1,0)</f>
        <v>0</v>
      </c>
    </row>
    <row r="805" spans="4:14" x14ac:dyDescent="0.2">
      <c r="D805">
        <f t="shared" si="76"/>
        <v>782</v>
      </c>
      <c r="E805" s="1">
        <f>IF($H$11=1,IF(D805&lt;=$A$15, E804+LN($D$11)-LN(60/$E$11)-LN(MIN(D805,$F$11)), E804-LN(60/$E$11)-LN(MIN(D805,$F$11))), IF(D805&lt;=$A$15, E804+LN($D$11)-LN(60/$E$11)-LN(MIN(D805,$F$11)), E804+LN($D$11)+LN(1-$H$11)-LN(60/$E$11)-LN(MIN(D805,$F$11))))</f>
        <v>-92.799879538289659</v>
      </c>
      <c r="F805" s="1">
        <f t="shared" si="77"/>
        <v>-94.801912347488724</v>
      </c>
      <c r="G805" s="1">
        <f t="shared" si="75"/>
        <v>6.7305815954174867E-42</v>
      </c>
      <c r="H805" s="1">
        <f t="shared" si="72"/>
        <v>6.6065559910866973E-43</v>
      </c>
      <c r="I805">
        <f>IF($F$11&lt;=D805, IF(D805&lt;=$A$15,D805-$F$11,$C$11),0)</f>
        <v>60</v>
      </c>
      <c r="J805">
        <f t="shared" si="73"/>
        <v>718</v>
      </c>
      <c r="K805" s="5">
        <f>IF(D805&lt;$F$11,H805,0)</f>
        <v>0</v>
      </c>
      <c r="L805">
        <f>IF(D805&lt;$A$15,$D$11,$D$11*(1-$H$11))</f>
        <v>85</v>
      </c>
      <c r="M805">
        <f t="shared" si="74"/>
        <v>1</v>
      </c>
      <c r="N805">
        <f>IF(SUM(I805:J805)&lt;=($G$11/60*$F$11/($E$11/60)),1,0)</f>
        <v>0</v>
      </c>
    </row>
    <row r="806" spans="4:14" x14ac:dyDescent="0.2">
      <c r="D806">
        <f t="shared" si="76"/>
        <v>783</v>
      </c>
      <c r="E806" s="1">
        <f>IF($H$11=1,IF(D806&lt;=$A$15, E805+LN($D$11)-LN(60/$E$11)-LN(MIN(D806,$F$11)), E805-LN(60/$E$11)-LN(MIN(D806,$F$11))), IF(D806&lt;=$A$15, E805+LN($D$11)-LN(60/$E$11)-LN(MIN(D806,$F$11)), E805+LN($D$11)+LN(1-$H$11)-LN(60/$E$11)-LN(MIN(D806,$F$11))))</f>
        <v>-92.92157647326718</v>
      </c>
      <c r="F806" s="1">
        <f t="shared" si="77"/>
        <v>-94.923609282466245</v>
      </c>
      <c r="G806" s="1">
        <f t="shared" si="75"/>
        <v>5.9593691209425578E-42</v>
      </c>
      <c r="H806" s="1">
        <f t="shared" si="72"/>
        <v>5.8495547837746722E-43</v>
      </c>
      <c r="I806">
        <f>IF($F$11&lt;=D806, IF(D806&lt;=$A$15,D806-$F$11,$C$11),0)</f>
        <v>60</v>
      </c>
      <c r="J806">
        <f t="shared" si="73"/>
        <v>719</v>
      </c>
      <c r="K806" s="5">
        <f>IF(D806&lt;$F$11,H806,0)</f>
        <v>0</v>
      </c>
      <c r="L806">
        <f>IF(D806&lt;$A$15,$D$11,$D$11*(1-$H$11))</f>
        <v>85</v>
      </c>
      <c r="M806">
        <f t="shared" si="74"/>
        <v>1</v>
      </c>
      <c r="N806">
        <f>IF(SUM(I806:J806)&lt;=($G$11/60*$F$11/($E$11/60)),1,0)</f>
        <v>0</v>
      </c>
    </row>
    <row r="807" spans="4:14" x14ac:dyDescent="0.2">
      <c r="D807">
        <f t="shared" si="76"/>
        <v>784</v>
      </c>
      <c r="E807" s="1">
        <f>IF($H$11=1,IF(D807&lt;=$A$15, E806+LN($D$11)-LN(60/$E$11)-LN(MIN(D807,$F$11)), E806-LN(60/$E$11)-LN(MIN(D807,$F$11))), IF(D807&lt;=$A$15, E806+LN($D$11)-LN(60/$E$11)-LN(MIN(D807,$F$11)), E806+LN($D$11)+LN(1-$H$11)-LN(60/$E$11)-LN(MIN(D807,$F$11))))</f>
        <v>-93.043273408244701</v>
      </c>
      <c r="F807" s="1">
        <f t="shared" si="77"/>
        <v>-95.045306217443766</v>
      </c>
      <c r="G807" s="1">
        <f t="shared" si="75"/>
        <v>5.2765247425012151E-42</v>
      </c>
      <c r="H807" s="1">
        <f t="shared" si="72"/>
        <v>5.1792932981338165E-43</v>
      </c>
      <c r="I807">
        <f>IF($F$11&lt;=D807, IF(D807&lt;=$A$15,D807-$F$11,$C$11),0)</f>
        <v>60</v>
      </c>
      <c r="J807">
        <f t="shared" si="73"/>
        <v>720</v>
      </c>
      <c r="K807" s="5">
        <f>IF(D807&lt;$F$11,H807,0)</f>
        <v>0</v>
      </c>
      <c r="L807">
        <f>IF(D807&lt;$A$15,$D$11,$D$11*(1-$H$11))</f>
        <v>85</v>
      </c>
      <c r="M807">
        <f t="shared" si="74"/>
        <v>1</v>
      </c>
      <c r="N807">
        <f>IF(SUM(I807:J807)&lt;=($G$11/60*$F$11/($E$11/60)),1,0)</f>
        <v>0</v>
      </c>
    </row>
    <row r="808" spans="4:14" x14ac:dyDescent="0.2">
      <c r="D808">
        <f t="shared" si="76"/>
        <v>785</v>
      </c>
      <c r="E808" s="1">
        <f>IF($H$11=1,IF(D808&lt;=$A$15, E807+LN($D$11)-LN(60/$E$11)-LN(MIN(D808,$F$11)), E807-LN(60/$E$11)-LN(MIN(D808,$F$11))), IF(D808&lt;=$A$15, E807+LN($D$11)-LN(60/$E$11)-LN(MIN(D808,$F$11)), E807+LN($D$11)+LN(1-$H$11)-LN(60/$E$11)-LN(MIN(D808,$F$11))))</f>
        <v>-93.164970343222222</v>
      </c>
      <c r="F808" s="1">
        <f t="shared" si="77"/>
        <v>-95.167003152421287</v>
      </c>
      <c r="G808" s="1">
        <f t="shared" si="75"/>
        <v>4.6719229490896109E-42</v>
      </c>
      <c r="H808" s="1">
        <f t="shared" si="72"/>
        <v>4.585832607722643E-43</v>
      </c>
      <c r="I808">
        <f>IF($F$11&lt;=D808, IF(D808&lt;=$A$15,D808-$F$11,$C$11),0)</f>
        <v>60</v>
      </c>
      <c r="J808">
        <f t="shared" si="73"/>
        <v>721</v>
      </c>
      <c r="K808" s="5">
        <f>IF(D808&lt;$F$11,H808,0)</f>
        <v>0</v>
      </c>
      <c r="L808">
        <f>IF(D808&lt;$A$15,$D$11,$D$11*(1-$H$11))</f>
        <v>85</v>
      </c>
      <c r="M808">
        <f t="shared" si="74"/>
        <v>1</v>
      </c>
      <c r="N808">
        <f>IF(SUM(I808:J808)&lt;=($G$11/60*$F$11/($E$11/60)),1,0)</f>
        <v>0</v>
      </c>
    </row>
    <row r="809" spans="4:14" x14ac:dyDescent="0.2">
      <c r="D809">
        <f t="shared" si="76"/>
        <v>786</v>
      </c>
      <c r="E809" s="1">
        <f>IF($H$11=1,IF(D809&lt;=$A$15, E808+LN($D$11)-LN(60/$E$11)-LN(MIN(D809,$F$11)), E808-LN(60/$E$11)-LN(MIN(D809,$F$11))), IF(D809&lt;=$A$15, E808+LN($D$11)-LN(60/$E$11)-LN(MIN(D809,$F$11)), E808+LN($D$11)+LN(1-$H$11)-LN(60/$E$11)-LN(MIN(D809,$F$11))))</f>
        <v>-93.286667278199744</v>
      </c>
      <c r="F809" s="1">
        <f t="shared" si="77"/>
        <v>-95.288700087398809</v>
      </c>
      <c r="G809" s="1">
        <f t="shared" si="75"/>
        <v>4.1365984445064204E-42</v>
      </c>
      <c r="H809" s="1">
        <f t="shared" si="72"/>
        <v>4.0603726214210844E-43</v>
      </c>
      <c r="I809">
        <f>IF($F$11&lt;=D809, IF(D809&lt;=$A$15,D809-$F$11,$C$11),0)</f>
        <v>60</v>
      </c>
      <c r="J809">
        <f t="shared" si="73"/>
        <v>722</v>
      </c>
      <c r="K809" s="5">
        <f>IF(D809&lt;$F$11,H809,0)</f>
        <v>0</v>
      </c>
      <c r="L809">
        <f>IF(D809&lt;$A$15,$D$11,$D$11*(1-$H$11))</f>
        <v>85</v>
      </c>
      <c r="M809">
        <f t="shared" si="74"/>
        <v>1</v>
      </c>
      <c r="N809">
        <f>IF(SUM(I809:J809)&lt;=($G$11/60*$F$11/($E$11/60)),1,0)</f>
        <v>0</v>
      </c>
    </row>
    <row r="810" spans="4:14" x14ac:dyDescent="0.2">
      <c r="D810">
        <f t="shared" si="76"/>
        <v>787</v>
      </c>
      <c r="E810" s="1">
        <f>IF($H$11=1,IF(D810&lt;=$A$15, E809+LN($D$11)-LN(60/$E$11)-LN(MIN(D810,$F$11)), E809-LN(60/$E$11)-LN(MIN(D810,$F$11))), IF(D810&lt;=$A$15, E809+LN($D$11)-LN(60/$E$11)-LN(MIN(D810,$F$11)), E809+LN($D$11)+LN(1-$H$11)-LN(60/$E$11)-LN(MIN(D810,$F$11))))</f>
        <v>-93.408364213177265</v>
      </c>
      <c r="F810" s="1">
        <f t="shared" si="77"/>
        <v>-95.41039702237633</v>
      </c>
      <c r="G810" s="1">
        <f t="shared" si="75"/>
        <v>3.6626132060733876E-42</v>
      </c>
      <c r="H810" s="1">
        <f t="shared" si="72"/>
        <v>3.5951215918832468E-43</v>
      </c>
      <c r="I810">
        <f>IF($F$11&lt;=D810, IF(D810&lt;=$A$15,D810-$F$11,$C$11),0)</f>
        <v>60</v>
      </c>
      <c r="J810">
        <f t="shared" si="73"/>
        <v>723</v>
      </c>
      <c r="K810" s="5">
        <f>IF(D810&lt;$F$11,H810,0)</f>
        <v>0</v>
      </c>
      <c r="L810">
        <f>IF(D810&lt;$A$15,$D$11,$D$11*(1-$H$11))</f>
        <v>85</v>
      </c>
      <c r="M810">
        <f t="shared" si="74"/>
        <v>1</v>
      </c>
      <c r="N810">
        <f>IF(SUM(I810:J810)&lt;=($G$11/60*$F$11/($E$11/60)),1,0)</f>
        <v>0</v>
      </c>
    </row>
    <row r="811" spans="4:14" x14ac:dyDescent="0.2">
      <c r="D811">
        <f t="shared" si="76"/>
        <v>788</v>
      </c>
      <c r="E811" s="1">
        <f>IF($H$11=1,IF(D811&lt;=$A$15, E810+LN($D$11)-LN(60/$E$11)-LN(MIN(D811,$F$11)), E810-LN(60/$E$11)-LN(MIN(D811,$F$11))), IF(D811&lt;=$A$15, E810+LN($D$11)-LN(60/$E$11)-LN(MIN(D811,$F$11)), E810+LN($D$11)+LN(1-$H$11)-LN(60/$E$11)-LN(MIN(D811,$F$11))))</f>
        <v>-93.530061148154786</v>
      </c>
      <c r="F811" s="1">
        <f t="shared" si="77"/>
        <v>-95.532093957353851</v>
      </c>
      <c r="G811" s="1">
        <f t="shared" si="75"/>
        <v>3.2429387762108077E-42</v>
      </c>
      <c r="H811" s="1">
        <f t="shared" si="72"/>
        <v>3.1831805761466204E-43</v>
      </c>
      <c r="I811">
        <f>IF($F$11&lt;=D811, IF(D811&lt;=$A$15,D811-$F$11,$C$11),0)</f>
        <v>60</v>
      </c>
      <c r="J811">
        <f t="shared" si="73"/>
        <v>724</v>
      </c>
      <c r="K811" s="5">
        <f>IF(D811&lt;$F$11,H811,0)</f>
        <v>0</v>
      </c>
      <c r="L811">
        <f>IF(D811&lt;$A$15,$D$11,$D$11*(1-$H$11))</f>
        <v>85</v>
      </c>
      <c r="M811">
        <f t="shared" si="74"/>
        <v>1</v>
      </c>
      <c r="N811">
        <f>IF(SUM(I811:J811)&lt;=($G$11/60*$F$11/($E$11/60)),1,0)</f>
        <v>0</v>
      </c>
    </row>
    <row r="812" spans="4:14" x14ac:dyDescent="0.2">
      <c r="D812">
        <f t="shared" si="76"/>
        <v>789</v>
      </c>
      <c r="E812" s="1">
        <f>IF($H$11=1,IF(D812&lt;=$A$15, E811+LN($D$11)-LN(60/$E$11)-LN(MIN(D812,$F$11)), E811-LN(60/$E$11)-LN(MIN(D812,$F$11))), IF(D812&lt;=$A$15, E811+LN($D$11)-LN(60/$E$11)-LN(MIN(D812,$F$11)), E811+LN($D$11)+LN(1-$H$11)-LN(60/$E$11)-LN(MIN(D812,$F$11))))</f>
        <v>-93.651758083132307</v>
      </c>
      <c r="F812" s="1">
        <f t="shared" si="77"/>
        <v>-95.653790892331372</v>
      </c>
      <c r="G812" s="1">
        <f t="shared" si="75"/>
        <v>2.8713520414366481E-42</v>
      </c>
      <c r="H812" s="1">
        <f t="shared" si="72"/>
        <v>2.8184411351298157E-43</v>
      </c>
      <c r="I812">
        <f>IF($F$11&lt;=D812, IF(D812&lt;=$A$15,D812-$F$11,$C$11),0)</f>
        <v>60</v>
      </c>
      <c r="J812">
        <f t="shared" si="73"/>
        <v>725</v>
      </c>
      <c r="K812" s="5">
        <f>IF(D812&lt;$F$11,H812,0)</f>
        <v>0</v>
      </c>
      <c r="L812">
        <f>IF(D812&lt;$A$15,$D$11,$D$11*(1-$H$11))</f>
        <v>85</v>
      </c>
      <c r="M812">
        <f t="shared" si="74"/>
        <v>1</v>
      </c>
      <c r="N812">
        <f>IF(SUM(I812:J812)&lt;=($G$11/60*$F$11/($E$11/60)),1,0)</f>
        <v>0</v>
      </c>
    </row>
    <row r="813" spans="4:14" x14ac:dyDescent="0.2">
      <c r="D813">
        <f t="shared" si="76"/>
        <v>790</v>
      </c>
      <c r="E813" s="1">
        <f>IF($H$11=1,IF(D813&lt;=$A$15, E812+LN($D$11)-LN(60/$E$11)-LN(MIN(D813,$F$11)), E812-LN(60/$E$11)-LN(MIN(D813,$F$11))), IF(D813&lt;=$A$15, E812+LN($D$11)-LN(60/$E$11)-LN(MIN(D813,$F$11)), E812+LN($D$11)+LN(1-$H$11)-LN(60/$E$11)-LN(MIN(D813,$F$11))))</f>
        <v>-93.773455018109829</v>
      </c>
      <c r="F813" s="1">
        <f t="shared" si="77"/>
        <v>-95.775487827308893</v>
      </c>
      <c r="G813" s="1">
        <f t="shared" si="75"/>
        <v>2.542342953355362E-42</v>
      </c>
      <c r="H813" s="1">
        <f t="shared" si="72"/>
        <v>2.4954947550628543E-43</v>
      </c>
      <c r="I813">
        <f>IF($F$11&lt;=D813, IF(D813&lt;=$A$15,D813-$F$11,$C$11),0)</f>
        <v>60</v>
      </c>
      <c r="J813">
        <f t="shared" si="73"/>
        <v>726</v>
      </c>
      <c r="K813" s="5">
        <f>IF(D813&lt;$F$11,H813,0)</f>
        <v>0</v>
      </c>
      <c r="L813">
        <f>IF(D813&lt;$A$15,$D$11,$D$11*(1-$H$11))</f>
        <v>85</v>
      </c>
      <c r="M813">
        <f t="shared" si="74"/>
        <v>1</v>
      </c>
      <c r="N813">
        <f>IF(SUM(I813:J813)&lt;=($G$11/60*$F$11/($E$11/60)),1,0)</f>
        <v>0</v>
      </c>
    </row>
    <row r="814" spans="4:14" x14ac:dyDescent="0.2">
      <c r="D814">
        <f t="shared" si="76"/>
        <v>791</v>
      </c>
      <c r="E814" s="1">
        <f>IF($H$11=1,IF(D814&lt;=$A$15, E813+LN($D$11)-LN(60/$E$11)-LN(MIN(D814,$F$11)), E813-LN(60/$E$11)-LN(MIN(D814,$F$11))), IF(D814&lt;=$A$15, E813+LN($D$11)-LN(60/$E$11)-LN(MIN(D814,$F$11)), E813+LN($D$11)+LN(1-$H$11)-LN(60/$E$11)-LN(MIN(D814,$F$11))))</f>
        <v>-93.89515195308735</v>
      </c>
      <c r="F814" s="1">
        <f t="shared" si="77"/>
        <v>-95.897184762286415</v>
      </c>
      <c r="G814" s="1">
        <f t="shared" si="75"/>
        <v>2.2510328232833905E-42</v>
      </c>
      <c r="H814" s="1">
        <f t="shared" si="72"/>
        <v>2.2095526477118992E-43</v>
      </c>
      <c r="I814">
        <f>IF($F$11&lt;=D814, IF(D814&lt;=$A$15,D814-$F$11,$C$11),0)</f>
        <v>60</v>
      </c>
      <c r="J814">
        <f t="shared" si="73"/>
        <v>727</v>
      </c>
      <c r="K814" s="5">
        <f>IF(D814&lt;$F$11,H814,0)</f>
        <v>0</v>
      </c>
      <c r="L814">
        <f>IF(D814&lt;$A$15,$D$11,$D$11*(1-$H$11))</f>
        <v>85</v>
      </c>
      <c r="M814">
        <f t="shared" si="74"/>
        <v>1</v>
      </c>
      <c r="N814">
        <f>IF(SUM(I814:J814)&lt;=($G$11/60*$F$11/($E$11/60)),1,0)</f>
        <v>0</v>
      </c>
    </row>
    <row r="815" spans="4:14" x14ac:dyDescent="0.2">
      <c r="D815">
        <f t="shared" si="76"/>
        <v>792</v>
      </c>
      <c r="E815" s="1">
        <f>IF($H$11=1,IF(D815&lt;=$A$15, E814+LN($D$11)-LN(60/$E$11)-LN(MIN(D815,$F$11)), E814-LN(60/$E$11)-LN(MIN(D815,$F$11))), IF(D815&lt;=$A$15, E814+LN($D$11)-LN(60/$E$11)-LN(MIN(D815,$F$11)), E814+LN($D$11)+LN(1-$H$11)-LN(60/$E$11)-LN(MIN(D815,$F$11))))</f>
        <v>-94.016848888064871</v>
      </c>
      <c r="F815" s="1">
        <f t="shared" si="77"/>
        <v>-96.018881697263936</v>
      </c>
      <c r="G815" s="1">
        <f t="shared" si="75"/>
        <v>1.9931019789488325E-42</v>
      </c>
      <c r="H815" s="1">
        <f t="shared" si="72"/>
        <v>1.9563747401615747E-43</v>
      </c>
      <c r="I815">
        <f>IF($F$11&lt;=D815, IF(D815&lt;=$A$15,D815-$F$11,$C$11),0)</f>
        <v>60</v>
      </c>
      <c r="J815">
        <f t="shared" si="73"/>
        <v>728</v>
      </c>
      <c r="K815" s="5">
        <f>IF(D815&lt;$F$11,H815,0)</f>
        <v>0</v>
      </c>
      <c r="L815">
        <f>IF(D815&lt;$A$15,$D$11,$D$11*(1-$H$11))</f>
        <v>85</v>
      </c>
      <c r="M815">
        <f t="shared" si="74"/>
        <v>1</v>
      </c>
      <c r="N815">
        <f>IF(SUM(I815:J815)&lt;=($G$11/60*$F$11/($E$11/60)),1,0)</f>
        <v>0</v>
      </c>
    </row>
    <row r="816" spans="4:14" x14ac:dyDescent="0.2">
      <c r="D816">
        <f t="shared" si="76"/>
        <v>793</v>
      </c>
      <c r="E816" s="1">
        <f>IF($H$11=1,IF(D816&lt;=$A$15, E815+LN($D$11)-LN(60/$E$11)-LN(MIN(D816,$F$11)), E815-LN(60/$E$11)-LN(MIN(D816,$F$11))), IF(D816&lt;=$A$15, E815+LN($D$11)-LN(60/$E$11)-LN(MIN(D816,$F$11)), E815+LN($D$11)+LN(1-$H$11)-LN(60/$E$11)-LN(MIN(D816,$F$11))))</f>
        <v>-94.138545823042392</v>
      </c>
      <c r="F816" s="1">
        <f t="shared" si="77"/>
        <v>-96.140578632241457</v>
      </c>
      <c r="G816" s="1">
        <f t="shared" si="75"/>
        <v>1.7647257105276094E-42</v>
      </c>
      <c r="H816" s="1">
        <f t="shared" si="72"/>
        <v>1.7322068011847249E-43</v>
      </c>
      <c r="I816">
        <f>IF($F$11&lt;=D816, IF(D816&lt;=$A$15,D816-$F$11,$C$11),0)</f>
        <v>60</v>
      </c>
      <c r="J816">
        <f t="shared" si="73"/>
        <v>729</v>
      </c>
      <c r="K816" s="5">
        <f>IF(D816&lt;$F$11,H816,0)</f>
        <v>0</v>
      </c>
      <c r="L816">
        <f>IF(D816&lt;$A$15,$D$11,$D$11*(1-$H$11))</f>
        <v>85</v>
      </c>
      <c r="M816">
        <f t="shared" si="74"/>
        <v>1</v>
      </c>
      <c r="N816">
        <f>IF(SUM(I816:J816)&lt;=($G$11/60*$F$11/($E$11/60)),1,0)</f>
        <v>0</v>
      </c>
    </row>
    <row r="817" spans="4:14" x14ac:dyDescent="0.2">
      <c r="D817">
        <f t="shared" si="76"/>
        <v>794</v>
      </c>
      <c r="E817" s="1">
        <f>IF($H$11=1,IF(D817&lt;=$A$15, E816+LN($D$11)-LN(60/$E$11)-LN(MIN(D817,$F$11)), E816-LN(60/$E$11)-LN(MIN(D817,$F$11))), IF(D817&lt;=$A$15, E816+LN($D$11)-LN(60/$E$11)-LN(MIN(D817,$F$11)), E816+LN($D$11)+LN(1-$H$11)-LN(60/$E$11)-LN(MIN(D817,$F$11))))</f>
        <v>-94.260242758019913</v>
      </c>
      <c r="F817" s="1">
        <f t="shared" si="77"/>
        <v>-96.262275567218978</v>
      </c>
      <c r="G817" s="1">
        <f t="shared" si="75"/>
        <v>1.5625175561963188E-42</v>
      </c>
      <c r="H817" s="1">
        <f t="shared" si="72"/>
        <v>1.5337247718823065E-43</v>
      </c>
      <c r="I817">
        <f>IF($F$11&lt;=D817, IF(D817&lt;=$A$15,D817-$F$11,$C$11),0)</f>
        <v>60</v>
      </c>
      <c r="J817">
        <f t="shared" si="73"/>
        <v>730</v>
      </c>
      <c r="K817" s="5">
        <f>IF(D817&lt;$F$11,H817,0)</f>
        <v>0</v>
      </c>
      <c r="L817">
        <f>IF(D817&lt;$A$15,$D$11,$D$11*(1-$H$11))</f>
        <v>85</v>
      </c>
      <c r="M817">
        <f t="shared" si="74"/>
        <v>1</v>
      </c>
      <c r="N817">
        <f>IF(SUM(I817:J817)&lt;=($G$11/60*$F$11/($E$11/60)),1,0)</f>
        <v>0</v>
      </c>
    </row>
    <row r="818" spans="4:14" x14ac:dyDescent="0.2">
      <c r="D818">
        <f t="shared" si="76"/>
        <v>795</v>
      </c>
      <c r="E818" s="1">
        <f>IF($H$11=1,IF(D818&lt;=$A$15, E817+LN($D$11)-LN(60/$E$11)-LN(MIN(D818,$F$11)), E817-LN(60/$E$11)-LN(MIN(D818,$F$11))), IF(D818&lt;=$A$15, E817+LN($D$11)-LN(60/$E$11)-LN(MIN(D818,$F$11)), E817+LN($D$11)+LN(1-$H$11)-LN(60/$E$11)-LN(MIN(D818,$F$11))))</f>
        <v>-94.381939692997435</v>
      </c>
      <c r="F818" s="1">
        <f t="shared" si="77"/>
        <v>-96.383972502196499</v>
      </c>
      <c r="G818" s="1">
        <f t="shared" si="75"/>
        <v>1.3834790862154885E-42</v>
      </c>
      <c r="H818" s="1">
        <f t="shared" si="72"/>
        <v>1.3579854751041235E-43</v>
      </c>
      <c r="I818">
        <f>IF($F$11&lt;=D818, IF(D818&lt;=$A$15,D818-$F$11,$C$11),0)</f>
        <v>60</v>
      </c>
      <c r="J818">
        <f t="shared" si="73"/>
        <v>731</v>
      </c>
      <c r="K818" s="5">
        <f>IF(D818&lt;$F$11,H818,0)</f>
        <v>0</v>
      </c>
      <c r="L818">
        <f>IF(D818&lt;$A$15,$D$11,$D$11*(1-$H$11))</f>
        <v>85</v>
      </c>
      <c r="M818">
        <f t="shared" si="74"/>
        <v>1</v>
      </c>
      <c r="N818">
        <f>IF(SUM(I818:J818)&lt;=($G$11/60*$F$11/($E$11/60)),1,0)</f>
        <v>0</v>
      </c>
    </row>
    <row r="819" spans="4:14" x14ac:dyDescent="0.2">
      <c r="D819">
        <f t="shared" si="76"/>
        <v>796</v>
      </c>
      <c r="E819" s="1">
        <f>IF($H$11=1,IF(D819&lt;=$A$15, E818+LN($D$11)-LN(60/$E$11)-LN(MIN(D819,$F$11)), E818-LN(60/$E$11)-LN(MIN(D819,$F$11))), IF(D819&lt;=$A$15, E818+LN($D$11)-LN(60/$E$11)-LN(MIN(D819,$F$11)), E818+LN($D$11)+LN(1-$H$11)-LN(60/$E$11)-LN(MIN(D819,$F$11))))</f>
        <v>-94.503636627974956</v>
      </c>
      <c r="F819" s="1">
        <f t="shared" si="77"/>
        <v>-96.505669437174021</v>
      </c>
      <c r="G819" s="1">
        <f t="shared" si="75"/>
        <v>1.224955440919962E-42</v>
      </c>
      <c r="H819" s="1">
        <f t="shared" si="72"/>
        <v>1.202382972748441E-43</v>
      </c>
      <c r="I819">
        <f>IF($F$11&lt;=D819, IF(D819&lt;=$A$15,D819-$F$11,$C$11),0)</f>
        <v>60</v>
      </c>
      <c r="J819">
        <f t="shared" si="73"/>
        <v>732</v>
      </c>
      <c r="K819" s="5">
        <f>IF(D819&lt;$F$11,H819,0)</f>
        <v>0</v>
      </c>
      <c r="L819">
        <f>IF(D819&lt;$A$15,$D$11,$D$11*(1-$H$11))</f>
        <v>85</v>
      </c>
      <c r="M819">
        <f t="shared" si="74"/>
        <v>1</v>
      </c>
      <c r="N819">
        <f>IF(SUM(I819:J819)&lt;=($G$11/60*$F$11/($E$11/60)),1,0)</f>
        <v>0</v>
      </c>
    </row>
    <row r="820" spans="4:14" x14ac:dyDescent="0.2">
      <c r="D820">
        <f t="shared" si="76"/>
        <v>797</v>
      </c>
      <c r="E820" s="1">
        <f>IF($H$11=1,IF(D820&lt;=$A$15, E819+LN($D$11)-LN(60/$E$11)-LN(MIN(D820,$F$11)), E819-LN(60/$E$11)-LN(MIN(D820,$F$11))), IF(D820&lt;=$A$15, E819+LN($D$11)-LN(60/$E$11)-LN(MIN(D820,$F$11)), E819+LN($D$11)+LN(1-$H$11)-LN(60/$E$11)-LN(MIN(D820,$F$11))))</f>
        <v>-94.625333562952477</v>
      </c>
      <c r="F820" s="1">
        <f t="shared" si="77"/>
        <v>-96.627366372151542</v>
      </c>
      <c r="G820" s="1">
        <f t="shared" si="75"/>
        <v>1.0845959633145482E-42</v>
      </c>
      <c r="H820" s="1">
        <f t="shared" si="72"/>
        <v>1.0646099237876807E-43</v>
      </c>
      <c r="I820">
        <f>IF($F$11&lt;=D820, IF(D820&lt;=$A$15,D820-$F$11,$C$11),0)</f>
        <v>60</v>
      </c>
      <c r="J820">
        <f t="shared" si="73"/>
        <v>733</v>
      </c>
      <c r="K820" s="5">
        <f>IF(D820&lt;$F$11,H820,0)</f>
        <v>0</v>
      </c>
      <c r="L820">
        <f>IF(D820&lt;$A$15,$D$11,$D$11*(1-$H$11))</f>
        <v>85</v>
      </c>
      <c r="M820">
        <f t="shared" si="74"/>
        <v>1</v>
      </c>
      <c r="N820">
        <f>IF(SUM(I820:J820)&lt;=($G$11/60*$F$11/($E$11/60)),1,0)</f>
        <v>0</v>
      </c>
    </row>
    <row r="821" spans="4:14" x14ac:dyDescent="0.2">
      <c r="D821">
        <f t="shared" si="76"/>
        <v>798</v>
      </c>
      <c r="E821" s="1">
        <f>IF($H$11=1,IF(D821&lt;=$A$15, E820+LN($D$11)-LN(60/$E$11)-LN(MIN(D821,$F$11)), E820-LN(60/$E$11)-LN(MIN(D821,$F$11))), IF(D821&lt;=$A$15, E820+LN($D$11)-LN(60/$E$11)-LN(MIN(D821,$F$11)), E820+LN($D$11)+LN(1-$H$11)-LN(60/$E$11)-LN(MIN(D821,$F$11))))</f>
        <v>-94.747030497929998</v>
      </c>
      <c r="F821" s="1">
        <f t="shared" si="77"/>
        <v>-96.749063307129063</v>
      </c>
      <c r="G821" s="1">
        <f t="shared" si="75"/>
        <v>9.6031934251808808E-43</v>
      </c>
      <c r="H821" s="1">
        <f t="shared" si="72"/>
        <v>9.4262337002034079E-44</v>
      </c>
      <c r="I821">
        <f>IF($F$11&lt;=D821, IF(D821&lt;=$A$15,D821-$F$11,$C$11),0)</f>
        <v>60</v>
      </c>
      <c r="J821">
        <f t="shared" si="73"/>
        <v>734</v>
      </c>
      <c r="K821" s="5">
        <f>IF(D821&lt;$F$11,H821,0)</f>
        <v>0</v>
      </c>
      <c r="L821">
        <f>IF(D821&lt;$A$15,$D$11,$D$11*(1-$H$11))</f>
        <v>85</v>
      </c>
      <c r="M821">
        <f t="shared" si="74"/>
        <v>1</v>
      </c>
      <c r="N821">
        <f>IF(SUM(I821:J821)&lt;=($G$11/60*$F$11/($E$11/60)),1,0)</f>
        <v>0</v>
      </c>
    </row>
    <row r="822" spans="4:14" x14ac:dyDescent="0.2">
      <c r="D822">
        <f t="shared" si="76"/>
        <v>799</v>
      </c>
      <c r="E822" s="1">
        <f>IF($H$11=1,IF(D822&lt;=$A$15, E821+LN($D$11)-LN(60/$E$11)-LN(MIN(D822,$F$11)), E821-LN(60/$E$11)-LN(MIN(D822,$F$11))), IF(D822&lt;=$A$15, E821+LN($D$11)-LN(60/$E$11)-LN(MIN(D822,$F$11)), E821+LN($D$11)+LN(1-$H$11)-LN(60/$E$11)-LN(MIN(D822,$F$11))))</f>
        <v>-94.868727432907519</v>
      </c>
      <c r="F822" s="1">
        <f t="shared" si="77"/>
        <v>-96.870760242106584</v>
      </c>
      <c r="G822" s="1">
        <f t="shared" si="75"/>
        <v>8.5028275118788926E-43</v>
      </c>
      <c r="H822" s="1">
        <f t="shared" si="72"/>
        <v>8.3461444220550886E-44</v>
      </c>
      <c r="I822">
        <f>IF($F$11&lt;=D822, IF(D822&lt;=$A$15,D822-$F$11,$C$11),0)</f>
        <v>60</v>
      </c>
      <c r="J822">
        <f t="shared" si="73"/>
        <v>735</v>
      </c>
      <c r="K822" s="5">
        <f>IF(D822&lt;$F$11,H822,0)</f>
        <v>0</v>
      </c>
      <c r="L822">
        <f>IF(D822&lt;$A$15,$D$11,$D$11*(1-$H$11))</f>
        <v>85</v>
      </c>
      <c r="M822">
        <f t="shared" si="74"/>
        <v>1</v>
      </c>
      <c r="N822">
        <f>IF(SUM(I822:J822)&lt;=($G$11/60*$F$11/($E$11/60)),1,0)</f>
        <v>0</v>
      </c>
    </row>
    <row r="823" spans="4:14" x14ac:dyDescent="0.2">
      <c r="D823">
        <f t="shared" si="76"/>
        <v>800</v>
      </c>
      <c r="E823" s="1">
        <f>IF($H$11=1,IF(D823&lt;=$A$15, E822+LN($D$11)-LN(60/$E$11)-LN(MIN(D823,$F$11)), E822-LN(60/$E$11)-LN(MIN(D823,$F$11))), IF(D823&lt;=$A$15, E822+LN($D$11)-LN(60/$E$11)-LN(MIN(D823,$F$11)), E822+LN($D$11)+LN(1-$H$11)-LN(60/$E$11)-LN(MIN(D823,$F$11))))</f>
        <v>-94.990424367885041</v>
      </c>
      <c r="F823" s="1">
        <f t="shared" si="77"/>
        <v>-96.992457177084106</v>
      </c>
      <c r="G823" s="1">
        <f t="shared" si="75"/>
        <v>7.5285451928094258E-43</v>
      </c>
      <c r="H823" s="1">
        <f t="shared" si="72"/>
        <v>7.3898153736945996E-44</v>
      </c>
      <c r="I823">
        <f>IF($F$11&lt;=D823, IF(D823&lt;=$A$15,D823-$F$11,$C$11),0)</f>
        <v>60</v>
      </c>
      <c r="J823">
        <f t="shared" si="73"/>
        <v>736</v>
      </c>
      <c r="K823" s="5">
        <f>IF(D823&lt;$F$11,H823,0)</f>
        <v>0</v>
      </c>
      <c r="L823">
        <f>IF(D823&lt;$A$15,$D$11,$D$11*(1-$H$11))</f>
        <v>85</v>
      </c>
      <c r="M823">
        <f t="shared" si="74"/>
        <v>1</v>
      </c>
      <c r="N823">
        <f>IF(SUM(I823:J823)&lt;=($G$11/60*$F$11/($E$11/60)),1,0)</f>
        <v>0</v>
      </c>
    </row>
    <row r="824" spans="4:14" x14ac:dyDescent="0.2">
      <c r="D824">
        <f t="shared" si="76"/>
        <v>801</v>
      </c>
      <c r="E824" s="1">
        <f>IF($H$11=1,IF(D824&lt;=$A$15, E823+LN($D$11)-LN(60/$E$11)-LN(MIN(D824,$F$11)), E823-LN(60/$E$11)-LN(MIN(D824,$F$11))), IF(D824&lt;=$A$15, E823+LN($D$11)-LN(60/$E$11)-LN(MIN(D824,$F$11)), E823+LN($D$11)+LN(1-$H$11)-LN(60/$E$11)-LN(MIN(D824,$F$11))))</f>
        <v>-95.112121302862562</v>
      </c>
      <c r="F824" s="1">
        <f t="shared" si="77"/>
        <v>-97.114154112061627</v>
      </c>
      <c r="G824" s="1">
        <f t="shared" si="75"/>
        <v>6.66589938946667E-43</v>
      </c>
      <c r="H824" s="1">
        <f t="shared" si="72"/>
        <v>6.5430656954587514E-44</v>
      </c>
      <c r="I824">
        <f>IF($F$11&lt;=D824, IF(D824&lt;=$A$15,D824-$F$11,$C$11),0)</f>
        <v>60</v>
      </c>
      <c r="J824">
        <f t="shared" si="73"/>
        <v>737</v>
      </c>
      <c r="K824" s="5">
        <f>IF(D824&lt;$F$11,H824,0)</f>
        <v>0</v>
      </c>
      <c r="L824">
        <f>IF(D824&lt;$A$15,$D$11,$D$11*(1-$H$11))</f>
        <v>85</v>
      </c>
      <c r="M824">
        <f t="shared" si="74"/>
        <v>1</v>
      </c>
      <c r="N824">
        <f>IF(SUM(I824:J824)&lt;=($G$11/60*$F$11/($E$11/60)),1,0)</f>
        <v>0</v>
      </c>
    </row>
    <row r="825" spans="4:14" x14ac:dyDescent="0.2">
      <c r="D825">
        <f t="shared" si="76"/>
        <v>802</v>
      </c>
      <c r="E825" s="1">
        <f>IF($H$11=1,IF(D825&lt;=$A$15, E824+LN($D$11)-LN(60/$E$11)-LN(MIN(D825,$F$11)), E824-LN(60/$E$11)-LN(MIN(D825,$F$11))), IF(D825&lt;=$A$15, E824+LN($D$11)-LN(60/$E$11)-LN(MIN(D825,$F$11)), E824+LN($D$11)+LN(1-$H$11)-LN(60/$E$11)-LN(MIN(D825,$F$11))))</f>
        <v>-95.233818237840083</v>
      </c>
      <c r="F825" s="1">
        <f t="shared" si="77"/>
        <v>-97.235851047039148</v>
      </c>
      <c r="G825" s="1">
        <f t="shared" si="75"/>
        <v>5.9020984177569391E-43</v>
      </c>
      <c r="H825" s="1">
        <f t="shared" si="72"/>
        <v>5.7933394178540946E-44</v>
      </c>
      <c r="I825">
        <f>IF($F$11&lt;=D825, IF(D825&lt;=$A$15,D825-$F$11,$C$11),0)</f>
        <v>60</v>
      </c>
      <c r="J825">
        <f t="shared" si="73"/>
        <v>738</v>
      </c>
      <c r="K825" s="5">
        <f>IF(D825&lt;$F$11,H825,0)</f>
        <v>0</v>
      </c>
      <c r="L825">
        <f>IF(D825&lt;$A$15,$D$11,$D$11*(1-$H$11))</f>
        <v>85</v>
      </c>
      <c r="M825">
        <f t="shared" si="74"/>
        <v>1</v>
      </c>
      <c r="N825">
        <f>IF(SUM(I825:J825)&lt;=($G$11/60*$F$11/($E$11/60)),1,0)</f>
        <v>0</v>
      </c>
    </row>
    <row r="826" spans="4:14" x14ac:dyDescent="0.2">
      <c r="D826">
        <f t="shared" si="76"/>
        <v>803</v>
      </c>
      <c r="E826" s="1">
        <f>IF($H$11=1,IF(D826&lt;=$A$15, E825+LN($D$11)-LN(60/$E$11)-LN(MIN(D826,$F$11)), E825-LN(60/$E$11)-LN(MIN(D826,$F$11))), IF(D826&lt;=$A$15, E825+LN($D$11)-LN(60/$E$11)-LN(MIN(D826,$F$11)), E825+LN($D$11)+LN(1-$H$11)-LN(60/$E$11)-LN(MIN(D826,$F$11))))</f>
        <v>-95.355515172817604</v>
      </c>
      <c r="F826" s="1">
        <f t="shared" si="77"/>
        <v>-97.357547982016669</v>
      </c>
      <c r="G826" s="1">
        <f t="shared" si="75"/>
        <v>5.2258163073889486E-43</v>
      </c>
      <c r="H826" s="1">
        <f t="shared" si="72"/>
        <v>5.1295192762249716E-44</v>
      </c>
      <c r="I826">
        <f>IF($F$11&lt;=D826, IF(D826&lt;=$A$15,D826-$F$11,$C$11),0)</f>
        <v>60</v>
      </c>
      <c r="J826">
        <f t="shared" si="73"/>
        <v>739</v>
      </c>
      <c r="K826" s="5">
        <f>IF(D826&lt;$F$11,H826,0)</f>
        <v>0</v>
      </c>
      <c r="L826">
        <f>IF(D826&lt;$A$15,$D$11,$D$11*(1-$H$11))</f>
        <v>85</v>
      </c>
      <c r="M826">
        <f t="shared" si="74"/>
        <v>1</v>
      </c>
      <c r="N826">
        <f>IF(SUM(I826:J826)&lt;=($G$11/60*$F$11/($E$11/60)),1,0)</f>
        <v>0</v>
      </c>
    </row>
    <row r="827" spans="4:14" x14ac:dyDescent="0.2">
      <c r="D827">
        <f t="shared" si="76"/>
        <v>804</v>
      </c>
      <c r="E827" s="1">
        <f>IF($H$11=1,IF(D827&lt;=$A$15, E826+LN($D$11)-LN(60/$E$11)-LN(MIN(D827,$F$11)), E826-LN(60/$E$11)-LN(MIN(D827,$F$11))), IF(D827&lt;=$A$15, E826+LN($D$11)-LN(60/$E$11)-LN(MIN(D827,$F$11)), E826+LN($D$11)+LN(1-$H$11)-LN(60/$E$11)-LN(MIN(D827,$F$11))))</f>
        <v>-95.477212107795125</v>
      </c>
      <c r="F827" s="1">
        <f t="shared" si="77"/>
        <v>-97.47924491699419</v>
      </c>
      <c r="G827" s="1">
        <f t="shared" si="75"/>
        <v>4.6270248555006252E-43</v>
      </c>
      <c r="H827" s="1">
        <f t="shared" si="72"/>
        <v>4.541761859157521E-44</v>
      </c>
      <c r="I827">
        <f>IF($F$11&lt;=D827, IF(D827&lt;=$A$15,D827-$F$11,$C$11),0)</f>
        <v>60</v>
      </c>
      <c r="J827">
        <f t="shared" si="73"/>
        <v>740</v>
      </c>
      <c r="K827" s="5">
        <f>IF(D827&lt;$F$11,H827,0)</f>
        <v>0</v>
      </c>
      <c r="L827">
        <f>IF(D827&lt;$A$15,$D$11,$D$11*(1-$H$11))</f>
        <v>85</v>
      </c>
      <c r="M827">
        <f t="shared" si="74"/>
        <v>1</v>
      </c>
      <c r="N827">
        <f>IF(SUM(I827:J827)&lt;=($G$11/60*$F$11/($E$11/60)),1,0)</f>
        <v>0</v>
      </c>
    </row>
    <row r="828" spans="4:14" x14ac:dyDescent="0.2">
      <c r="D828">
        <f t="shared" si="76"/>
        <v>805</v>
      </c>
      <c r="E828" s="1">
        <f>IF($H$11=1,IF(D828&lt;=$A$15, E827+LN($D$11)-LN(60/$E$11)-LN(MIN(D828,$F$11)), E827-LN(60/$E$11)-LN(MIN(D828,$F$11))), IF(D828&lt;=$A$15, E827+LN($D$11)-LN(60/$E$11)-LN(MIN(D828,$F$11)), E827+LN($D$11)+LN(1-$H$11)-LN(60/$E$11)-LN(MIN(D828,$F$11))))</f>
        <v>-95.598909042772647</v>
      </c>
      <c r="F828" s="1">
        <f t="shared" si="77"/>
        <v>-97.600941851971712</v>
      </c>
      <c r="G828" s="1">
        <f t="shared" si="75"/>
        <v>4.0968449241411728E-43</v>
      </c>
      <c r="H828" s="1">
        <f t="shared" si="72"/>
        <v>4.0213516461290493E-44</v>
      </c>
      <c r="I828">
        <f>IF($F$11&lt;=D828, IF(D828&lt;=$A$15,D828-$F$11,$C$11),0)</f>
        <v>60</v>
      </c>
      <c r="J828">
        <f t="shared" si="73"/>
        <v>741</v>
      </c>
      <c r="K828" s="5">
        <f>IF(D828&lt;$F$11,H828,0)</f>
        <v>0</v>
      </c>
      <c r="L828">
        <f>IF(D828&lt;$A$15,$D$11,$D$11*(1-$H$11))</f>
        <v>85</v>
      </c>
      <c r="M828">
        <f t="shared" si="74"/>
        <v>1</v>
      </c>
      <c r="N828">
        <f>IF(SUM(I828:J828)&lt;=($G$11/60*$F$11/($E$11/60)),1,0)</f>
        <v>0</v>
      </c>
    </row>
    <row r="829" spans="4:14" x14ac:dyDescent="0.2">
      <c r="D829">
        <f t="shared" si="76"/>
        <v>806</v>
      </c>
      <c r="E829" s="1">
        <f>IF($H$11=1,IF(D829&lt;=$A$15, E828+LN($D$11)-LN(60/$E$11)-LN(MIN(D829,$F$11)), E828-LN(60/$E$11)-LN(MIN(D829,$F$11))), IF(D829&lt;=$A$15, E828+LN($D$11)-LN(60/$E$11)-LN(MIN(D829,$F$11)), E828+LN($D$11)+LN(1-$H$11)-LN(60/$E$11)-LN(MIN(D829,$F$11))))</f>
        <v>-95.720605977750168</v>
      </c>
      <c r="F829" s="1">
        <f t="shared" si="77"/>
        <v>-97.722638786949233</v>
      </c>
      <c r="G829" s="1">
        <f t="shared" si="75"/>
        <v>3.6274147765833245E-43</v>
      </c>
      <c r="H829" s="1">
        <f t="shared" si="72"/>
        <v>3.5605717700100902E-44</v>
      </c>
      <c r="I829">
        <f>IF($F$11&lt;=D829, IF(D829&lt;=$A$15,D829-$F$11,$C$11),0)</f>
        <v>60</v>
      </c>
      <c r="J829">
        <f t="shared" si="73"/>
        <v>742</v>
      </c>
      <c r="K829" s="5">
        <f>IF(D829&lt;$F$11,H829,0)</f>
        <v>0</v>
      </c>
      <c r="L829">
        <f>IF(D829&lt;$A$15,$D$11,$D$11*(1-$H$11))</f>
        <v>85</v>
      </c>
      <c r="M829">
        <f t="shared" si="74"/>
        <v>1</v>
      </c>
      <c r="N829">
        <f>IF(SUM(I829:J829)&lt;=($G$11/60*$F$11/($E$11/60)),1,0)</f>
        <v>0</v>
      </c>
    </row>
    <row r="830" spans="4:14" x14ac:dyDescent="0.2">
      <c r="D830">
        <f t="shared" si="76"/>
        <v>807</v>
      </c>
      <c r="E830" s="1">
        <f>IF($H$11=1,IF(D830&lt;=$A$15, E829+LN($D$11)-LN(60/$E$11)-LN(MIN(D830,$F$11)), E829-LN(60/$E$11)-LN(MIN(D830,$F$11))), IF(D830&lt;=$A$15, E829+LN($D$11)-LN(60/$E$11)-LN(MIN(D830,$F$11)), E829+LN($D$11)+LN(1-$H$11)-LN(60/$E$11)-LN(MIN(D830,$F$11))))</f>
        <v>-95.842302912727689</v>
      </c>
      <c r="F830" s="1">
        <f t="shared" si="77"/>
        <v>-97.844335721926754</v>
      </c>
      <c r="G830" s="1">
        <f t="shared" si="75"/>
        <v>3.2117735000998142E-43</v>
      </c>
      <c r="H830" s="1">
        <f t="shared" si="72"/>
        <v>3.152589588029763E-44</v>
      </c>
      <c r="I830">
        <f>IF($F$11&lt;=D830, IF(D830&lt;=$A$15,D830-$F$11,$C$11),0)</f>
        <v>60</v>
      </c>
      <c r="J830">
        <f t="shared" si="73"/>
        <v>743</v>
      </c>
      <c r="K830" s="5">
        <f>IF(D830&lt;$F$11,H830,0)</f>
        <v>0</v>
      </c>
      <c r="L830">
        <f>IF(D830&lt;$A$15,$D$11,$D$11*(1-$H$11))</f>
        <v>85</v>
      </c>
      <c r="M830">
        <f t="shared" si="74"/>
        <v>1</v>
      </c>
      <c r="N830">
        <f>IF(SUM(I830:J830)&lt;=($G$11/60*$F$11/($E$11/60)),1,0)</f>
        <v>0</v>
      </c>
    </row>
    <row r="831" spans="4:14" x14ac:dyDescent="0.2">
      <c r="D831">
        <f t="shared" si="76"/>
        <v>808</v>
      </c>
      <c r="E831" s="1">
        <f>IF($H$11=1,IF(D831&lt;=$A$15, E830+LN($D$11)-LN(60/$E$11)-LN(MIN(D831,$F$11)), E830-LN(60/$E$11)-LN(MIN(D831,$F$11))), IF(D831&lt;=$A$15, E830+LN($D$11)-LN(60/$E$11)-LN(MIN(D831,$F$11)), E830+LN($D$11)+LN(1-$H$11)-LN(60/$E$11)-LN(MIN(D831,$F$11))))</f>
        <v>-95.96399984770521</v>
      </c>
      <c r="F831" s="1">
        <f t="shared" si="77"/>
        <v>-97.966032656904275</v>
      </c>
      <c r="G831" s="1">
        <f t="shared" si="75"/>
        <v>2.8437577865467065E-43</v>
      </c>
      <c r="H831" s="1">
        <f t="shared" si="72"/>
        <v>2.7913553644013489E-44</v>
      </c>
      <c r="I831">
        <f>IF($F$11&lt;=D831, IF(D831&lt;=$A$15,D831-$F$11,$C$11),0)</f>
        <v>60</v>
      </c>
      <c r="J831">
        <f t="shared" si="73"/>
        <v>744</v>
      </c>
      <c r="K831" s="5">
        <f>IF(D831&lt;$F$11,H831,0)</f>
        <v>0</v>
      </c>
      <c r="L831">
        <f>IF(D831&lt;$A$15,$D$11,$D$11*(1-$H$11))</f>
        <v>85</v>
      </c>
      <c r="M831">
        <f t="shared" si="74"/>
        <v>1</v>
      </c>
      <c r="N831">
        <f>IF(SUM(I831:J831)&lt;=($G$11/60*$F$11/($E$11/60)),1,0)</f>
        <v>0</v>
      </c>
    </row>
    <row r="832" spans="4:14" x14ac:dyDescent="0.2">
      <c r="D832">
        <f t="shared" si="76"/>
        <v>809</v>
      </c>
      <c r="E832" s="1">
        <f>IF($H$11=1,IF(D832&lt;=$A$15, E831+LN($D$11)-LN(60/$E$11)-LN(MIN(D832,$F$11)), E831-LN(60/$E$11)-LN(MIN(D832,$F$11))), IF(D832&lt;=$A$15, E831+LN($D$11)-LN(60/$E$11)-LN(MIN(D832,$F$11)), E831+LN($D$11)+LN(1-$H$11)-LN(60/$E$11)-LN(MIN(D832,$F$11))))</f>
        <v>-96.085696782682732</v>
      </c>
      <c r="F832" s="1">
        <f t="shared" si="77"/>
        <v>-98.087729591881796</v>
      </c>
      <c r="G832" s="1">
        <f t="shared" si="75"/>
        <v>2.5179105401715594E-43</v>
      </c>
      <c r="H832" s="1">
        <f t="shared" si="72"/>
        <v>2.4715125622303571E-44</v>
      </c>
      <c r="I832">
        <f>IF($F$11&lt;=D832, IF(D832&lt;=$A$15,D832-$F$11,$C$11),0)</f>
        <v>60</v>
      </c>
      <c r="J832">
        <f t="shared" si="73"/>
        <v>745</v>
      </c>
      <c r="K832" s="5">
        <f>IF(D832&lt;$F$11,H832,0)</f>
        <v>0</v>
      </c>
      <c r="L832">
        <f>IF(D832&lt;$A$15,$D$11,$D$11*(1-$H$11))</f>
        <v>85</v>
      </c>
      <c r="M832">
        <f t="shared" si="74"/>
        <v>1</v>
      </c>
      <c r="N832">
        <f>IF(SUM(I832:J832)&lt;=($G$11/60*$F$11/($E$11/60)),1,0)</f>
        <v>0</v>
      </c>
    </row>
    <row r="833" spans="4:14" x14ac:dyDescent="0.2">
      <c r="D833">
        <f t="shared" si="76"/>
        <v>810</v>
      </c>
      <c r="E833" s="1">
        <f>IF($H$11=1,IF(D833&lt;=$A$15, E832+LN($D$11)-LN(60/$E$11)-LN(MIN(D833,$F$11)), E832-LN(60/$E$11)-LN(MIN(D833,$F$11))), IF(D833&lt;=$A$15, E832+LN($D$11)-LN(60/$E$11)-LN(MIN(D833,$F$11)), E832+LN($D$11)+LN(1-$H$11)-LN(60/$E$11)-LN(MIN(D833,$F$11))))</f>
        <v>-96.207393717660253</v>
      </c>
      <c r="F833" s="1">
        <f t="shared" si="77"/>
        <v>-98.209426526859318</v>
      </c>
      <c r="G833" s="1">
        <f t="shared" si="75"/>
        <v>2.2293999574435651E-43</v>
      </c>
      <c r="H833" s="1">
        <f t="shared" si="72"/>
        <v>2.1883184144747925E-44</v>
      </c>
      <c r="I833">
        <f>IF($F$11&lt;=D833, IF(D833&lt;=$A$15,D833-$F$11,$C$11),0)</f>
        <v>60</v>
      </c>
      <c r="J833">
        <f t="shared" si="73"/>
        <v>746</v>
      </c>
      <c r="K833" s="5">
        <f>IF(D833&lt;$F$11,H833,0)</f>
        <v>0</v>
      </c>
      <c r="L833">
        <f>IF(D833&lt;$A$15,$D$11,$D$11*(1-$H$11))</f>
        <v>85</v>
      </c>
      <c r="M833">
        <f t="shared" si="74"/>
        <v>1</v>
      </c>
      <c r="N833">
        <f>IF(SUM(I833:J833)&lt;=($G$11/60*$F$11/($E$11/60)),1,0)</f>
        <v>0</v>
      </c>
    </row>
    <row r="834" spans="4:14" x14ac:dyDescent="0.2">
      <c r="D834">
        <f t="shared" si="76"/>
        <v>811</v>
      </c>
      <c r="E834" s="1">
        <f>IF($H$11=1,IF(D834&lt;=$A$15, E833+LN($D$11)-LN(60/$E$11)-LN(MIN(D834,$F$11)), E833-LN(60/$E$11)-LN(MIN(D834,$F$11))), IF(D834&lt;=$A$15, E833+LN($D$11)-LN(60/$E$11)-LN(MIN(D834,$F$11)), E833+LN($D$11)+LN(1-$H$11)-LN(60/$E$11)-LN(MIN(D834,$F$11))))</f>
        <v>-96.329090652637774</v>
      </c>
      <c r="F834" s="1">
        <f t="shared" si="77"/>
        <v>-98.331123461836839</v>
      </c>
      <c r="G834" s="1">
        <f t="shared" si="75"/>
        <v>1.973947878986487E-43</v>
      </c>
      <c r="H834" s="1">
        <f t="shared" si="72"/>
        <v>1.9375735961495529E-44</v>
      </c>
      <c r="I834">
        <f>IF($F$11&lt;=D834, IF(D834&lt;=$A$15,D834-$F$11,$C$11),0)</f>
        <v>60</v>
      </c>
      <c r="J834">
        <f t="shared" si="73"/>
        <v>747</v>
      </c>
      <c r="K834" s="5">
        <f>IF(D834&lt;$F$11,H834,0)</f>
        <v>0</v>
      </c>
      <c r="L834">
        <f>IF(D834&lt;$A$15,$D$11,$D$11*(1-$H$11))</f>
        <v>85</v>
      </c>
      <c r="M834">
        <f t="shared" si="74"/>
        <v>1</v>
      </c>
      <c r="N834">
        <f>IF(SUM(I834:J834)&lt;=($G$11/60*$F$11/($E$11/60)),1,0)</f>
        <v>0</v>
      </c>
    </row>
    <row r="835" spans="4:14" x14ac:dyDescent="0.2">
      <c r="D835">
        <f t="shared" si="76"/>
        <v>812</v>
      </c>
      <c r="E835" s="1">
        <f>IF($H$11=1,IF(D835&lt;=$A$15, E834+LN($D$11)-LN(60/$E$11)-LN(MIN(D835,$F$11)), E834-LN(60/$E$11)-LN(MIN(D835,$F$11))), IF(D835&lt;=$A$15, E834+LN($D$11)-LN(60/$E$11)-LN(MIN(D835,$F$11)), E834+LN($D$11)+LN(1-$H$11)-LN(60/$E$11)-LN(MIN(D835,$F$11))))</f>
        <v>-96.450787587615295</v>
      </c>
      <c r="F835" s="1">
        <f t="shared" si="77"/>
        <v>-98.45282039681436</v>
      </c>
      <c r="G835" s="1">
        <f t="shared" si="75"/>
        <v>1.7477663511859496E-43</v>
      </c>
      <c r="H835" s="1">
        <f t="shared" si="72"/>
        <v>1.7155599549240811E-44</v>
      </c>
      <c r="I835">
        <f>IF($F$11&lt;=D835, IF(D835&lt;=$A$15,D835-$F$11,$C$11),0)</f>
        <v>60</v>
      </c>
      <c r="J835">
        <f t="shared" si="73"/>
        <v>748</v>
      </c>
      <c r="K835" s="5">
        <f>IF(D835&lt;$F$11,H835,0)</f>
        <v>0</v>
      </c>
      <c r="L835">
        <f>IF(D835&lt;$A$15,$D$11,$D$11*(1-$H$11))</f>
        <v>85</v>
      </c>
      <c r="M835">
        <f t="shared" si="74"/>
        <v>1</v>
      </c>
      <c r="N835">
        <f>IF(SUM(I835:J835)&lt;=($G$11/60*$F$11/($E$11/60)),1,0)</f>
        <v>0</v>
      </c>
    </row>
    <row r="836" spans="4:14" x14ac:dyDescent="0.2">
      <c r="D836">
        <f t="shared" si="76"/>
        <v>813</v>
      </c>
      <c r="E836" s="1">
        <f>IF($H$11=1,IF(D836&lt;=$A$15, E835+LN($D$11)-LN(60/$E$11)-LN(MIN(D836,$F$11)), E835-LN(60/$E$11)-LN(MIN(D836,$F$11))), IF(D836&lt;=$A$15, E835+LN($D$11)-LN(60/$E$11)-LN(MIN(D836,$F$11)), E835+LN($D$11)+LN(1-$H$11)-LN(60/$E$11)-LN(MIN(D836,$F$11))))</f>
        <v>-96.572484522592816</v>
      </c>
      <c r="F836" s="1">
        <f t="shared" si="77"/>
        <v>-98.574517331791881</v>
      </c>
      <c r="G836" s="1">
        <f t="shared" si="75"/>
        <v>1.547501456779224E-43</v>
      </c>
      <c r="H836" s="1">
        <f t="shared" si="72"/>
        <v>1.5189853767556945E-44</v>
      </c>
      <c r="I836">
        <f>IF($F$11&lt;=D836, IF(D836&lt;=$A$15,D836-$F$11,$C$11),0)</f>
        <v>60</v>
      </c>
      <c r="J836">
        <f t="shared" si="73"/>
        <v>749</v>
      </c>
      <c r="K836" s="5">
        <f>IF(D836&lt;$F$11,H836,0)</f>
        <v>0</v>
      </c>
      <c r="L836">
        <f>IF(D836&lt;$A$15,$D$11,$D$11*(1-$H$11))</f>
        <v>85</v>
      </c>
      <c r="M836">
        <f t="shared" si="74"/>
        <v>1</v>
      </c>
      <c r="N836">
        <f>IF(SUM(I836:J836)&lt;=($G$11/60*$F$11/($E$11/60)),1,0)</f>
        <v>0</v>
      </c>
    </row>
    <row r="837" spans="4:14" x14ac:dyDescent="0.2">
      <c r="D837">
        <f t="shared" si="76"/>
        <v>814</v>
      </c>
      <c r="E837" s="1">
        <f>IF($H$11=1,IF(D837&lt;=$A$15, E836+LN($D$11)-LN(60/$E$11)-LN(MIN(D837,$F$11)), E836-LN(60/$E$11)-LN(MIN(D837,$F$11))), IF(D837&lt;=$A$15, E836+LN($D$11)-LN(60/$E$11)-LN(MIN(D837,$F$11)), E836+LN($D$11)+LN(1-$H$11)-LN(60/$E$11)-LN(MIN(D837,$F$11))))</f>
        <v>-96.694181457570338</v>
      </c>
      <c r="F837" s="1">
        <f t="shared" si="77"/>
        <v>-98.696214266769402</v>
      </c>
      <c r="G837" s="1">
        <f t="shared" si="75"/>
        <v>1.3701835815232693E-43</v>
      </c>
      <c r="H837" s="1">
        <f t="shared" si="72"/>
        <v>1.3449349690024359E-44</v>
      </c>
      <c r="I837">
        <f>IF($F$11&lt;=D837, IF(D837&lt;=$A$15,D837-$F$11,$C$11),0)</f>
        <v>60</v>
      </c>
      <c r="J837">
        <f t="shared" si="73"/>
        <v>750</v>
      </c>
      <c r="K837" s="5">
        <f>IF(D837&lt;$F$11,H837,0)</f>
        <v>0</v>
      </c>
      <c r="L837">
        <f>IF(D837&lt;$A$15,$D$11,$D$11*(1-$H$11))</f>
        <v>85</v>
      </c>
      <c r="M837">
        <f t="shared" si="74"/>
        <v>1</v>
      </c>
      <c r="N837">
        <f>IF(SUM(I837:J837)&lt;=($G$11/60*$F$11/($E$11/60)),1,0)</f>
        <v>0</v>
      </c>
    </row>
    <row r="838" spans="4:14" x14ac:dyDescent="0.2">
      <c r="D838">
        <f t="shared" si="76"/>
        <v>815</v>
      </c>
      <c r="E838" s="1">
        <f>IF($H$11=1,IF(D838&lt;=$A$15, E837+LN($D$11)-LN(60/$E$11)-LN(MIN(D838,$F$11)), E837-LN(60/$E$11)-LN(MIN(D838,$F$11))), IF(D838&lt;=$A$15, E837+LN($D$11)-LN(60/$E$11)-LN(MIN(D838,$F$11)), E837+LN($D$11)+LN(1-$H$11)-LN(60/$E$11)-LN(MIN(D838,$F$11))))</f>
        <v>-96.815878392547859</v>
      </c>
      <c r="F838" s="1">
        <f t="shared" si="77"/>
        <v>-98.817911201746924</v>
      </c>
      <c r="G838" s="1">
        <f t="shared" si="75"/>
        <v>1.2131833794737262E-43</v>
      </c>
      <c r="H838" s="1">
        <f t="shared" si="72"/>
        <v>1.1908278371375717E-44</v>
      </c>
      <c r="I838">
        <f>IF($F$11&lt;=D838, IF(D838&lt;=$A$15,D838-$F$11,$C$11),0)</f>
        <v>60</v>
      </c>
      <c r="J838">
        <f t="shared" si="73"/>
        <v>751</v>
      </c>
      <c r="K838" s="5">
        <f>IF(D838&lt;$F$11,H838,0)</f>
        <v>0</v>
      </c>
      <c r="L838">
        <f>IF(D838&lt;$A$15,$D$11,$D$11*(1-$H$11))</f>
        <v>85</v>
      </c>
      <c r="M838">
        <f t="shared" si="74"/>
        <v>1</v>
      </c>
      <c r="N838">
        <f>IF(SUM(I838:J838)&lt;=($G$11/60*$F$11/($E$11/60)),1,0)</f>
        <v>0</v>
      </c>
    </row>
    <row r="839" spans="4:14" x14ac:dyDescent="0.2">
      <c r="D839">
        <f t="shared" si="76"/>
        <v>816</v>
      </c>
      <c r="E839" s="1">
        <f>IF($H$11=1,IF(D839&lt;=$A$15, E838+LN($D$11)-LN(60/$E$11)-LN(MIN(D839,$F$11)), E838-LN(60/$E$11)-LN(MIN(D839,$F$11))), IF(D839&lt;=$A$15, E838+LN($D$11)-LN(60/$E$11)-LN(MIN(D839,$F$11)), E838+LN($D$11)+LN(1-$H$11)-LN(60/$E$11)-LN(MIN(D839,$F$11))))</f>
        <v>-96.93757532752538</v>
      </c>
      <c r="F839" s="1">
        <f t="shared" si="77"/>
        <v>-98.939608136724445</v>
      </c>
      <c r="G839" s="1">
        <f t="shared" si="75"/>
        <v>1.0741727839090269E-43</v>
      </c>
      <c r="H839" s="1">
        <f t="shared" si="72"/>
        <v>1.0543788141322235E-44</v>
      </c>
      <c r="I839">
        <f>IF($F$11&lt;=D839, IF(D839&lt;=$A$15,D839-$F$11,$C$11),0)</f>
        <v>60</v>
      </c>
      <c r="J839">
        <f t="shared" si="73"/>
        <v>752</v>
      </c>
      <c r="K839" s="5">
        <f>IF(D839&lt;$F$11,H839,0)</f>
        <v>0</v>
      </c>
      <c r="L839">
        <f>IF(D839&lt;$A$15,$D$11,$D$11*(1-$H$11))</f>
        <v>85</v>
      </c>
      <c r="M839">
        <f t="shared" si="74"/>
        <v>1</v>
      </c>
      <c r="N839">
        <f>IF(SUM(I839:J839)&lt;=($G$11/60*$F$11/($E$11/60)),1,0)</f>
        <v>0</v>
      </c>
    </row>
    <row r="840" spans="4:14" x14ac:dyDescent="0.2">
      <c r="D840">
        <f t="shared" si="76"/>
        <v>817</v>
      </c>
      <c r="E840" s="1">
        <f>IF($H$11=1,IF(D840&lt;=$A$15, E839+LN($D$11)-LN(60/$E$11)-LN(MIN(D840,$F$11)), E839-LN(60/$E$11)-LN(MIN(D840,$F$11))), IF(D840&lt;=$A$15, E839+LN($D$11)-LN(60/$E$11)-LN(MIN(D840,$F$11)), E839+LN($D$11)+LN(1-$H$11)-LN(60/$E$11)-LN(MIN(D840,$F$11))))</f>
        <v>-97.059272262502901</v>
      </c>
      <c r="F840" s="1">
        <f t="shared" si="77"/>
        <v>-99.061305071701966</v>
      </c>
      <c r="G840" s="1">
        <f t="shared" si="75"/>
        <v>9.5109048575278294E-44</v>
      </c>
      <c r="H840" s="1">
        <f t="shared" si="72"/>
        <v>9.3356457501290489E-45</v>
      </c>
      <c r="I840">
        <f>IF($F$11&lt;=D840, IF(D840&lt;=$A$15,D840-$F$11,$C$11),0)</f>
        <v>60</v>
      </c>
      <c r="J840">
        <f t="shared" si="73"/>
        <v>753</v>
      </c>
      <c r="K840" s="5">
        <f>IF(D840&lt;$F$11,H840,0)</f>
        <v>0</v>
      </c>
      <c r="L840">
        <f>IF(D840&lt;$A$15,$D$11,$D$11*(1-$H$11))</f>
        <v>85</v>
      </c>
      <c r="M840">
        <f t="shared" si="74"/>
        <v>1</v>
      </c>
      <c r="N840">
        <f>IF(SUM(I840:J840)&lt;=($G$11/60*$F$11/($E$11/60)),1,0)</f>
        <v>0</v>
      </c>
    </row>
    <row r="841" spans="4:14" x14ac:dyDescent="0.2">
      <c r="D841">
        <f t="shared" si="76"/>
        <v>818</v>
      </c>
      <c r="E841" s="1">
        <f>IF($H$11=1,IF(D841&lt;=$A$15, E840+LN($D$11)-LN(60/$E$11)-LN(MIN(D841,$F$11)), E840-LN(60/$E$11)-LN(MIN(D841,$F$11))), IF(D841&lt;=$A$15, E840+LN($D$11)-LN(60/$E$11)-LN(MIN(D841,$F$11)), E840+LN($D$11)+LN(1-$H$11)-LN(60/$E$11)-LN(MIN(D841,$F$11))))</f>
        <v>-97.180969197480422</v>
      </c>
      <c r="F841" s="1">
        <f t="shared" si="77"/>
        <v>-99.183002006679487</v>
      </c>
      <c r="G841" s="1">
        <f t="shared" si="75"/>
        <v>8.4211136759360875E-44</v>
      </c>
      <c r="H841" s="1">
        <f t="shared" si="72"/>
        <v>8.2659363412600846E-45</v>
      </c>
      <c r="I841">
        <f>IF($F$11&lt;=D841, IF(D841&lt;=$A$15,D841-$F$11,$C$11),0)</f>
        <v>60</v>
      </c>
      <c r="J841">
        <f t="shared" si="73"/>
        <v>754</v>
      </c>
      <c r="K841" s="5">
        <f>IF(D841&lt;$F$11,H841,0)</f>
        <v>0</v>
      </c>
      <c r="L841">
        <f>IF(D841&lt;$A$15,$D$11,$D$11*(1-$H$11))</f>
        <v>85</v>
      </c>
      <c r="M841">
        <f t="shared" si="74"/>
        <v>1</v>
      </c>
      <c r="N841">
        <f>IF(SUM(I841:J841)&lt;=($G$11/60*$F$11/($E$11/60)),1,0)</f>
        <v>0</v>
      </c>
    </row>
    <row r="842" spans="4:14" x14ac:dyDescent="0.2">
      <c r="D842">
        <f t="shared" si="76"/>
        <v>819</v>
      </c>
      <c r="E842" s="1">
        <f>IF($H$11=1,IF(D842&lt;=$A$15, E841+LN($D$11)-LN(60/$E$11)-LN(MIN(D842,$F$11)), E841-LN(60/$E$11)-LN(MIN(D842,$F$11))), IF(D842&lt;=$A$15, E841+LN($D$11)-LN(60/$E$11)-LN(MIN(D842,$F$11)), E841+LN($D$11)+LN(1-$H$11)-LN(60/$E$11)-LN(MIN(D842,$F$11))))</f>
        <v>-97.302666132457944</v>
      </c>
      <c r="F842" s="1">
        <f t="shared" si="77"/>
        <v>-99.304698941657009</v>
      </c>
      <c r="G842" s="1">
        <f t="shared" si="75"/>
        <v>7.4561944005684001E-44</v>
      </c>
      <c r="H842" s="1">
        <f t="shared" si="72"/>
        <v>7.3187978021573559E-45</v>
      </c>
      <c r="I842">
        <f>IF($F$11&lt;=D842, IF(D842&lt;=$A$15,D842-$F$11,$C$11),0)</f>
        <v>60</v>
      </c>
      <c r="J842">
        <f t="shared" si="73"/>
        <v>755</v>
      </c>
      <c r="K842" s="5">
        <f>IF(D842&lt;$F$11,H842,0)</f>
        <v>0</v>
      </c>
      <c r="L842">
        <f>IF(D842&lt;$A$15,$D$11,$D$11*(1-$H$11))</f>
        <v>85</v>
      </c>
      <c r="M842">
        <f t="shared" si="74"/>
        <v>1</v>
      </c>
      <c r="N842">
        <f>IF(SUM(I842:J842)&lt;=($G$11/60*$F$11/($E$11/60)),1,0)</f>
        <v>0</v>
      </c>
    </row>
    <row r="843" spans="4:14" x14ac:dyDescent="0.2">
      <c r="D843">
        <f t="shared" si="76"/>
        <v>820</v>
      </c>
      <c r="E843" s="1">
        <f>IF($H$11=1,IF(D843&lt;=$A$15, E842+LN($D$11)-LN(60/$E$11)-LN(MIN(D843,$F$11)), E842-LN(60/$E$11)-LN(MIN(D843,$F$11))), IF(D843&lt;=$A$15, E842+LN($D$11)-LN(60/$E$11)-LN(MIN(D843,$F$11)), E842+LN($D$11)+LN(1-$H$11)-LN(60/$E$11)-LN(MIN(D843,$F$11))))</f>
        <v>-97.424363067435465</v>
      </c>
      <c r="F843" s="1">
        <f t="shared" si="77"/>
        <v>-99.42639587663453</v>
      </c>
      <c r="G843" s="1">
        <f t="shared" si="75"/>
        <v>6.6018387921699278E-44</v>
      </c>
      <c r="H843" s="1">
        <f t="shared" si="72"/>
        <v>6.4801855539934824E-45</v>
      </c>
      <c r="I843">
        <f>IF($F$11&lt;=D843, IF(D843&lt;=$A$15,D843-$F$11,$C$11),0)</f>
        <v>60</v>
      </c>
      <c r="J843">
        <f t="shared" si="73"/>
        <v>756</v>
      </c>
      <c r="K843" s="5">
        <f>IF(D843&lt;$F$11,H843,0)</f>
        <v>0</v>
      </c>
      <c r="L843">
        <f>IF(D843&lt;$A$15,$D$11,$D$11*(1-$H$11))</f>
        <v>85</v>
      </c>
      <c r="M843">
        <f t="shared" si="74"/>
        <v>1</v>
      </c>
      <c r="N843">
        <f>IF(SUM(I843:J843)&lt;=($G$11/60*$F$11/($E$11/60)),1,0)</f>
        <v>0</v>
      </c>
    </row>
    <row r="844" spans="4:14" x14ac:dyDescent="0.2">
      <c r="D844">
        <f t="shared" si="76"/>
        <v>821</v>
      </c>
      <c r="E844" s="1">
        <f>IF($H$11=1,IF(D844&lt;=$A$15, E843+LN($D$11)-LN(60/$E$11)-LN(MIN(D844,$F$11)), E843-LN(60/$E$11)-LN(MIN(D844,$F$11))), IF(D844&lt;=$A$15, E843+LN($D$11)-LN(60/$E$11)-LN(MIN(D844,$F$11)), E843+LN($D$11)+LN(1-$H$11)-LN(60/$E$11)-LN(MIN(D844,$F$11))))</f>
        <v>-97.546060002412986</v>
      </c>
      <c r="F844" s="1">
        <f t="shared" si="77"/>
        <v>-99.548092811612051</v>
      </c>
      <c r="G844" s="1">
        <f t="shared" si="75"/>
        <v>5.8453780972337823E-44</v>
      </c>
      <c r="H844" s="1">
        <f t="shared" si="72"/>
        <v>5.7376642925983889E-45</v>
      </c>
      <c r="I844">
        <f>IF($F$11&lt;=D844, IF(D844&lt;=$A$15,D844-$F$11,$C$11),0)</f>
        <v>60</v>
      </c>
      <c r="J844">
        <f t="shared" si="73"/>
        <v>757</v>
      </c>
      <c r="K844" s="5">
        <f>IF(D844&lt;$F$11,H844,0)</f>
        <v>0</v>
      </c>
      <c r="L844">
        <f>IF(D844&lt;$A$15,$D$11,$D$11*(1-$H$11))</f>
        <v>85</v>
      </c>
      <c r="M844">
        <f t="shared" si="74"/>
        <v>1</v>
      </c>
      <c r="N844">
        <f>IF(SUM(I844:J844)&lt;=($G$11/60*$F$11/($E$11/60)),1,0)</f>
        <v>0</v>
      </c>
    </row>
    <row r="845" spans="4:14" x14ac:dyDescent="0.2">
      <c r="D845">
        <f t="shared" si="76"/>
        <v>822</v>
      </c>
      <c r="E845" s="1">
        <f>IF($H$11=1,IF(D845&lt;=$A$15, E844+LN($D$11)-LN(60/$E$11)-LN(MIN(D845,$F$11)), E844-LN(60/$E$11)-LN(MIN(D845,$F$11))), IF(D845&lt;=$A$15, E844+LN($D$11)-LN(60/$E$11)-LN(MIN(D845,$F$11)), E844+LN($D$11)+LN(1-$H$11)-LN(60/$E$11)-LN(MIN(D845,$F$11))))</f>
        <v>-97.667756937390507</v>
      </c>
      <c r="F845" s="1">
        <f t="shared" si="77"/>
        <v>-99.669789746589572</v>
      </c>
      <c r="G845" s="1">
        <f t="shared" si="75"/>
        <v>5.1755951902590704E-44</v>
      </c>
      <c r="H845" s="1">
        <f t="shared" si="72"/>
        <v>5.0802235924048155E-45</v>
      </c>
      <c r="I845">
        <f>IF($F$11&lt;=D845, IF(D845&lt;=$A$15,D845-$F$11,$C$11),0)</f>
        <v>60</v>
      </c>
      <c r="J845">
        <f t="shared" si="73"/>
        <v>758</v>
      </c>
      <c r="K845" s="5">
        <f>IF(D845&lt;$F$11,H845,0)</f>
        <v>0</v>
      </c>
      <c r="L845">
        <f>IF(D845&lt;$A$15,$D$11,$D$11*(1-$H$11))</f>
        <v>85</v>
      </c>
      <c r="M845">
        <f t="shared" si="74"/>
        <v>1</v>
      </c>
      <c r="N845">
        <f>IF(SUM(I845:J845)&lt;=($G$11/60*$F$11/($E$11/60)),1,0)</f>
        <v>0</v>
      </c>
    </row>
    <row r="846" spans="4:14" x14ac:dyDescent="0.2">
      <c r="D846">
        <f t="shared" si="76"/>
        <v>823</v>
      </c>
      <c r="E846" s="1">
        <f>IF($H$11=1,IF(D846&lt;=$A$15, E845+LN($D$11)-LN(60/$E$11)-LN(MIN(D846,$F$11)), E845-LN(60/$E$11)-LN(MIN(D846,$F$11))), IF(D846&lt;=$A$15, E845+LN($D$11)-LN(60/$E$11)-LN(MIN(D846,$F$11)), E845+LN($D$11)+LN(1-$H$11)-LN(60/$E$11)-LN(MIN(D846,$F$11))))</f>
        <v>-97.789453872368028</v>
      </c>
      <c r="F846" s="1">
        <f t="shared" si="77"/>
        <v>-99.791486681567093</v>
      </c>
      <c r="G846" s="1">
        <f t="shared" si="75"/>
        <v>4.5825582413752123E-44</v>
      </c>
      <c r="H846" s="1">
        <f t="shared" si="72"/>
        <v>4.4981146391084242E-45</v>
      </c>
      <c r="I846">
        <f>IF($F$11&lt;=D846, IF(D846&lt;=$A$15,D846-$F$11,$C$11),0)</f>
        <v>60</v>
      </c>
      <c r="J846">
        <f t="shared" si="73"/>
        <v>759</v>
      </c>
      <c r="K846" s="5">
        <f>IF(D846&lt;$F$11,H846,0)</f>
        <v>0</v>
      </c>
      <c r="L846">
        <f>IF(D846&lt;$A$15,$D$11,$D$11*(1-$H$11))</f>
        <v>85</v>
      </c>
      <c r="M846">
        <f t="shared" si="74"/>
        <v>1</v>
      </c>
      <c r="N846">
        <f>IF(SUM(I846:J846)&lt;=($G$11/60*$F$11/($E$11/60)),1,0)</f>
        <v>0</v>
      </c>
    </row>
    <row r="847" spans="4:14" x14ac:dyDescent="0.2">
      <c r="D847">
        <f t="shared" si="76"/>
        <v>824</v>
      </c>
      <c r="E847" s="1">
        <f>IF($H$11=1,IF(D847&lt;=$A$15, E846+LN($D$11)-LN(60/$E$11)-LN(MIN(D847,$F$11)), E846-LN(60/$E$11)-LN(MIN(D847,$F$11))), IF(D847&lt;=$A$15, E846+LN($D$11)-LN(60/$E$11)-LN(MIN(D847,$F$11)), E846+LN($D$11)+LN(1-$H$11)-LN(60/$E$11)-LN(MIN(D847,$F$11))))</f>
        <v>-97.91115080734555</v>
      </c>
      <c r="F847" s="1">
        <f t="shared" si="77"/>
        <v>-99.913183616544615</v>
      </c>
      <c r="G847" s="1">
        <f t="shared" si="75"/>
        <v>4.0574734428842964E-44</v>
      </c>
      <c r="H847" s="1">
        <f t="shared" si="72"/>
        <v>3.9827056700439111E-45</v>
      </c>
      <c r="I847">
        <f>IF($F$11&lt;=D847, IF(D847&lt;=$A$15,D847-$F$11,$C$11),0)</f>
        <v>60</v>
      </c>
      <c r="J847">
        <f t="shared" si="73"/>
        <v>760</v>
      </c>
      <c r="K847" s="5">
        <f>IF(D847&lt;$F$11,H847,0)</f>
        <v>0</v>
      </c>
      <c r="L847">
        <f>IF(D847&lt;$A$15,$D$11,$D$11*(1-$H$11))</f>
        <v>85</v>
      </c>
      <c r="M847">
        <f t="shared" si="74"/>
        <v>1</v>
      </c>
      <c r="N847">
        <f>IF(SUM(I847:J847)&lt;=($G$11/60*$F$11/($E$11/60)),1,0)</f>
        <v>0</v>
      </c>
    </row>
    <row r="848" spans="4:14" x14ac:dyDescent="0.2">
      <c r="D848">
        <f t="shared" si="76"/>
        <v>825</v>
      </c>
      <c r="E848" s="1">
        <f>IF($H$11=1,IF(D848&lt;=$A$15, E847+LN($D$11)-LN(60/$E$11)-LN(MIN(D848,$F$11)), E847-LN(60/$E$11)-LN(MIN(D848,$F$11))), IF(D848&lt;=$A$15, E847+LN($D$11)-LN(60/$E$11)-LN(MIN(D848,$F$11)), E847+LN($D$11)+LN(1-$H$11)-LN(60/$E$11)-LN(MIN(D848,$F$11))))</f>
        <v>-98.032847742323071</v>
      </c>
      <c r="F848" s="1">
        <f t="shared" si="77"/>
        <v>-100.03488055152214</v>
      </c>
      <c r="G848" s="1">
        <f t="shared" si="75"/>
        <v>3.5925546108871324E-44</v>
      </c>
      <c r="H848" s="1">
        <f t="shared" si="72"/>
        <v>3.5263539786847082E-45</v>
      </c>
      <c r="I848">
        <f>IF($F$11&lt;=D848, IF(D848&lt;=$A$15,D848-$F$11,$C$11),0)</f>
        <v>60</v>
      </c>
      <c r="J848">
        <f t="shared" si="73"/>
        <v>761</v>
      </c>
      <c r="K848" s="5">
        <f>IF(D848&lt;$F$11,H848,0)</f>
        <v>0</v>
      </c>
      <c r="L848">
        <f>IF(D848&lt;$A$15,$D$11,$D$11*(1-$H$11))</f>
        <v>85</v>
      </c>
      <c r="M848">
        <f t="shared" si="74"/>
        <v>1</v>
      </c>
      <c r="N848">
        <f>IF(SUM(I848:J848)&lt;=($G$11/60*$F$11/($E$11/60)),1,0)</f>
        <v>0</v>
      </c>
    </row>
    <row r="849" spans="4:14" x14ac:dyDescent="0.2">
      <c r="D849">
        <f t="shared" si="76"/>
        <v>826</v>
      </c>
      <c r="E849" s="1">
        <f>IF($H$11=1,IF(D849&lt;=$A$15, E848+LN($D$11)-LN(60/$E$11)-LN(MIN(D849,$F$11)), E848-LN(60/$E$11)-LN(MIN(D849,$F$11))), IF(D849&lt;=$A$15, E848+LN($D$11)-LN(60/$E$11)-LN(MIN(D849,$F$11)), E848+LN($D$11)+LN(1-$H$11)-LN(60/$E$11)-LN(MIN(D849,$F$11))))</f>
        <v>-98.154544677300592</v>
      </c>
      <c r="F849" s="1">
        <f t="shared" si="77"/>
        <v>-100.15657748649966</v>
      </c>
      <c r="G849" s="1">
        <f t="shared" si="75"/>
        <v>3.1809077283896438E-44</v>
      </c>
      <c r="H849" s="1">
        <f t="shared" si="72"/>
        <v>3.1222925852937474E-45</v>
      </c>
      <c r="I849">
        <f>IF($F$11&lt;=D849, IF(D849&lt;=$A$15,D849-$F$11,$C$11),0)</f>
        <v>60</v>
      </c>
      <c r="J849">
        <f t="shared" si="73"/>
        <v>762</v>
      </c>
      <c r="K849" s="5">
        <f>IF(D849&lt;$F$11,H849,0)</f>
        <v>0</v>
      </c>
      <c r="L849">
        <f>IF(D849&lt;$A$15,$D$11,$D$11*(1-$H$11))</f>
        <v>85</v>
      </c>
      <c r="M849">
        <f t="shared" si="74"/>
        <v>1</v>
      </c>
      <c r="N849">
        <f>IF(SUM(I849:J849)&lt;=($G$11/60*$F$11/($E$11/60)),1,0)</f>
        <v>0</v>
      </c>
    </row>
    <row r="850" spans="4:14" x14ac:dyDescent="0.2">
      <c r="D850">
        <f t="shared" si="76"/>
        <v>827</v>
      </c>
      <c r="E850" s="1">
        <f>IF($H$11=1,IF(D850&lt;=$A$15, E849+LN($D$11)-LN(60/$E$11)-LN(MIN(D850,$F$11)), E849-LN(60/$E$11)-LN(MIN(D850,$F$11))), IF(D850&lt;=$A$15, E849+LN($D$11)-LN(60/$E$11)-LN(MIN(D850,$F$11)), E849+LN($D$11)+LN(1-$H$11)-LN(60/$E$11)-LN(MIN(D850,$F$11))))</f>
        <v>-98.276241612278113</v>
      </c>
      <c r="F850" s="1">
        <f t="shared" si="77"/>
        <v>-100.27827442147718</v>
      </c>
      <c r="G850" s="1">
        <f t="shared" si="75"/>
        <v>2.8164287178449931E-44</v>
      </c>
      <c r="H850" s="1">
        <f t="shared" si="72"/>
        <v>2.7645298932288348E-45</v>
      </c>
      <c r="I850">
        <f>IF($F$11&lt;=D850, IF(D850&lt;=$A$15,D850-$F$11,$C$11),0)</f>
        <v>60</v>
      </c>
      <c r="J850">
        <f t="shared" si="73"/>
        <v>763</v>
      </c>
      <c r="K850" s="5">
        <f>IF(D850&lt;$F$11,H850,0)</f>
        <v>0</v>
      </c>
      <c r="L850">
        <f>IF(D850&lt;$A$15,$D$11,$D$11*(1-$H$11))</f>
        <v>85</v>
      </c>
      <c r="M850">
        <f t="shared" si="74"/>
        <v>1</v>
      </c>
      <c r="N850">
        <f>IF(SUM(I850:J850)&lt;=($G$11/60*$F$11/($E$11/60)),1,0)</f>
        <v>0</v>
      </c>
    </row>
    <row r="851" spans="4:14" x14ac:dyDescent="0.2">
      <c r="D851">
        <f t="shared" si="76"/>
        <v>828</v>
      </c>
      <c r="E851" s="1">
        <f>IF($H$11=1,IF(D851&lt;=$A$15, E850+LN($D$11)-LN(60/$E$11)-LN(MIN(D851,$F$11)), E850-LN(60/$E$11)-LN(MIN(D851,$F$11))), IF(D851&lt;=$A$15, E850+LN($D$11)-LN(60/$E$11)-LN(MIN(D851,$F$11)), E850+LN($D$11)+LN(1-$H$11)-LN(60/$E$11)-LN(MIN(D851,$F$11))))</f>
        <v>-98.397938547255634</v>
      </c>
      <c r="F851" s="1">
        <f t="shared" si="77"/>
        <v>-100.3999713564547</v>
      </c>
      <c r="G851" s="1">
        <f t="shared" si="75"/>
        <v>2.4937129272585843E-44</v>
      </c>
      <c r="H851" s="1">
        <f t="shared" si="72"/>
        <v>2.4477608429630276E-45</v>
      </c>
      <c r="I851">
        <f>IF($F$11&lt;=D851, IF(D851&lt;=$A$15,D851-$F$11,$C$11),0)</f>
        <v>60</v>
      </c>
      <c r="J851">
        <f t="shared" si="73"/>
        <v>764</v>
      </c>
      <c r="K851" s="5">
        <f>IF(D851&lt;$F$11,H851,0)</f>
        <v>0</v>
      </c>
      <c r="L851">
        <f>IF(D851&lt;$A$15,$D$11,$D$11*(1-$H$11))</f>
        <v>85</v>
      </c>
      <c r="M851">
        <f t="shared" si="74"/>
        <v>1</v>
      </c>
      <c r="N851">
        <f>IF(SUM(I851:J851)&lt;=($G$11/60*$F$11/($E$11/60)),1,0)</f>
        <v>0</v>
      </c>
    </row>
    <row r="852" spans="4:14" x14ac:dyDescent="0.2">
      <c r="D852">
        <f t="shared" si="76"/>
        <v>829</v>
      </c>
      <c r="E852" s="1">
        <f>IF($H$11=1,IF(D852&lt;=$A$15, E851+LN($D$11)-LN(60/$E$11)-LN(MIN(D852,$F$11)), E851-LN(60/$E$11)-LN(MIN(D852,$F$11))), IF(D852&lt;=$A$15, E851+LN($D$11)-LN(60/$E$11)-LN(MIN(D852,$F$11)), E851+LN($D$11)+LN(1-$H$11)-LN(60/$E$11)-LN(MIN(D852,$F$11))))</f>
        <v>-98.519635482233156</v>
      </c>
      <c r="F852" s="1">
        <f t="shared" si="77"/>
        <v>-100.52166829143222</v>
      </c>
      <c r="G852" s="1">
        <f t="shared" si="75"/>
        <v>2.2079749876768682E-44</v>
      </c>
      <c r="H852" s="1">
        <f t="shared" si="72"/>
        <v>2.1672882463735107E-45</v>
      </c>
      <c r="I852">
        <f>IF($F$11&lt;=D852, IF(D852&lt;=$A$15,D852-$F$11,$C$11),0)</f>
        <v>60</v>
      </c>
      <c r="J852">
        <f t="shared" si="73"/>
        <v>765</v>
      </c>
      <c r="K852" s="5">
        <f>IF(D852&lt;$F$11,H852,0)</f>
        <v>0</v>
      </c>
      <c r="L852">
        <f>IF(D852&lt;$A$15,$D$11,$D$11*(1-$H$11))</f>
        <v>85</v>
      </c>
      <c r="M852">
        <f t="shared" si="74"/>
        <v>1</v>
      </c>
      <c r="N852">
        <f>IF(SUM(I852:J852)&lt;=($G$11/60*$F$11/($E$11/60)),1,0)</f>
        <v>0</v>
      </c>
    </row>
    <row r="853" spans="4:14" x14ac:dyDescent="0.2">
      <c r="D853">
        <f t="shared" si="76"/>
        <v>830</v>
      </c>
      <c r="E853" s="1">
        <f>IF($H$11=1,IF(D853&lt;=$A$15, E852+LN($D$11)-LN(60/$E$11)-LN(MIN(D853,$F$11)), E852-LN(60/$E$11)-LN(MIN(D853,$F$11))), IF(D853&lt;=$A$15, E852+LN($D$11)-LN(60/$E$11)-LN(MIN(D853,$F$11)), E852+LN($D$11)+LN(1-$H$11)-LN(60/$E$11)-LN(MIN(D853,$F$11))))</f>
        <v>-98.641332417210677</v>
      </c>
      <c r="F853" s="1">
        <f t="shared" si="77"/>
        <v>-100.64336522640974</v>
      </c>
      <c r="G853" s="1">
        <f t="shared" si="75"/>
        <v>1.9549778536722244E-44</v>
      </c>
      <c r="H853" s="1">
        <f t="shared" si="72"/>
        <v>1.9189531348098768E-45</v>
      </c>
      <c r="I853">
        <f>IF($F$11&lt;=D853, IF(D853&lt;=$A$15,D853-$F$11,$C$11),0)</f>
        <v>60</v>
      </c>
      <c r="J853">
        <f t="shared" si="73"/>
        <v>766</v>
      </c>
      <c r="K853" s="5">
        <f>IF(D853&lt;$F$11,H853,0)</f>
        <v>0</v>
      </c>
      <c r="L853">
        <f>IF(D853&lt;$A$15,$D$11,$D$11*(1-$H$11))</f>
        <v>85</v>
      </c>
      <c r="M853">
        <f t="shared" si="74"/>
        <v>1</v>
      </c>
      <c r="N853">
        <f>IF(SUM(I853:J853)&lt;=($G$11/60*$F$11/($E$11/60)),1,0)</f>
        <v>0</v>
      </c>
    </row>
    <row r="854" spans="4:14" x14ac:dyDescent="0.2">
      <c r="D854">
        <f t="shared" si="76"/>
        <v>831</v>
      </c>
      <c r="E854" s="1">
        <f>IF($H$11=1,IF(D854&lt;=$A$15, E853+LN($D$11)-LN(60/$E$11)-LN(MIN(D854,$F$11)), E853-LN(60/$E$11)-LN(MIN(D854,$F$11))), IF(D854&lt;=$A$15, E853+LN($D$11)-LN(60/$E$11)-LN(MIN(D854,$F$11)), E853+LN($D$11)+LN(1-$H$11)-LN(60/$E$11)-LN(MIN(D854,$F$11))))</f>
        <v>-98.763029352188198</v>
      </c>
      <c r="F854" s="1">
        <f t="shared" si="77"/>
        <v>-100.76506216138726</v>
      </c>
      <c r="G854" s="1">
        <f t="shared" si="75"/>
        <v>1.7309699746056129E-44</v>
      </c>
      <c r="H854" s="1">
        <f t="shared" si="72"/>
        <v>1.6990730881129093E-45</v>
      </c>
      <c r="I854">
        <f>IF($F$11&lt;=D854, IF(D854&lt;=$A$15,D854-$F$11,$C$11),0)</f>
        <v>60</v>
      </c>
      <c r="J854">
        <f t="shared" si="73"/>
        <v>767</v>
      </c>
      <c r="K854" s="5">
        <f>IF(D854&lt;$F$11,H854,0)</f>
        <v>0</v>
      </c>
      <c r="L854">
        <f>IF(D854&lt;$A$15,$D$11,$D$11*(1-$H$11))</f>
        <v>85</v>
      </c>
      <c r="M854">
        <f t="shared" si="74"/>
        <v>1</v>
      </c>
      <c r="N854">
        <f>IF(SUM(I854:J854)&lt;=($G$11/60*$F$11/($E$11/60)),1,0)</f>
        <v>0</v>
      </c>
    </row>
    <row r="855" spans="4:14" x14ac:dyDescent="0.2">
      <c r="D855">
        <f t="shared" si="76"/>
        <v>832</v>
      </c>
      <c r="E855" s="1">
        <f>IF($H$11=1,IF(D855&lt;=$A$15, E854+LN($D$11)-LN(60/$E$11)-LN(MIN(D855,$F$11)), E854-LN(60/$E$11)-LN(MIN(D855,$F$11))), IF(D855&lt;=$A$15, E854+LN($D$11)-LN(60/$E$11)-LN(MIN(D855,$F$11)), E854+LN($D$11)+LN(1-$H$11)-LN(60/$E$11)-LN(MIN(D855,$F$11))))</f>
        <v>-98.884726287165719</v>
      </c>
      <c r="F855" s="1">
        <f t="shared" si="77"/>
        <v>-100.88675909636478</v>
      </c>
      <c r="G855" s="1">
        <f t="shared" si="75"/>
        <v>1.5326296650153841E-44</v>
      </c>
      <c r="H855" s="1">
        <f t="shared" ref="H855:H918" si="78">G855/$G$21</f>
        <v>1.5043876300999696E-45</v>
      </c>
      <c r="I855">
        <f>IF($F$11&lt;=D855, IF(D855&lt;=$A$15,D855-$F$11,$C$11),0)</f>
        <v>60</v>
      </c>
      <c r="J855">
        <f t="shared" ref="J855:J918" si="79">IF(D855&lt;=$A$15,0,D855-$A$15)</f>
        <v>768</v>
      </c>
      <c r="K855" s="5">
        <f>IF(D855&lt;$F$11,H855,0)</f>
        <v>0</v>
      </c>
      <c r="L855">
        <f>IF(D855&lt;$A$15,$D$11,$D$11*(1-$H$11))</f>
        <v>85</v>
      </c>
      <c r="M855">
        <f t="shared" ref="M855:M918" si="80">IF(D855&lt;$A$15,0,1)</f>
        <v>1</v>
      </c>
      <c r="N855">
        <f>IF(SUM(I855:J855)&lt;=($G$11/60*$F$11/($E$11/60)),1,0)</f>
        <v>0</v>
      </c>
    </row>
    <row r="856" spans="4:14" x14ac:dyDescent="0.2">
      <c r="D856">
        <f t="shared" si="76"/>
        <v>833</v>
      </c>
      <c r="E856" s="1">
        <f>IF($H$11=1,IF(D856&lt;=$A$15, E855+LN($D$11)-LN(60/$E$11)-LN(MIN(D856,$F$11)), E855-LN(60/$E$11)-LN(MIN(D856,$F$11))), IF(D856&lt;=$A$15, E855+LN($D$11)-LN(60/$E$11)-LN(MIN(D856,$F$11)), E855+LN($D$11)+LN(1-$H$11)-LN(60/$E$11)-LN(MIN(D856,$F$11))))</f>
        <v>-99.006423222143241</v>
      </c>
      <c r="F856" s="1">
        <f t="shared" si="77"/>
        <v>-101.00845603134231</v>
      </c>
      <c r="G856" s="1">
        <f t="shared" ref="G856:G919" si="81">EXP(F856)</f>
        <v>1.3570158492323696E-44</v>
      </c>
      <c r="H856" s="1">
        <f t="shared" si="78"/>
        <v>1.3320098808176796E-45</v>
      </c>
      <c r="I856">
        <f>IF($F$11&lt;=D856, IF(D856&lt;=$A$15,D856-$F$11,$C$11),0)</f>
        <v>60</v>
      </c>
      <c r="J856">
        <f t="shared" si="79"/>
        <v>769</v>
      </c>
      <c r="K856" s="5">
        <f>IF(D856&lt;$F$11,H856,0)</f>
        <v>0</v>
      </c>
      <c r="L856">
        <f>IF(D856&lt;$A$15,$D$11,$D$11*(1-$H$11))</f>
        <v>85</v>
      </c>
      <c r="M856">
        <f t="shared" si="80"/>
        <v>1</v>
      </c>
      <c r="N856">
        <f>IF(SUM(I856:J856)&lt;=($G$11/60*$F$11/($E$11/60)),1,0)</f>
        <v>0</v>
      </c>
    </row>
    <row r="857" spans="4:14" x14ac:dyDescent="0.2">
      <c r="D857">
        <f t="shared" ref="D857:D920" si="82">1+D856</f>
        <v>834</v>
      </c>
      <c r="E857" s="1">
        <f>IF($H$11=1,IF(D857&lt;=$A$15, E856+LN($D$11)-LN(60/$E$11)-LN(MIN(D857,$F$11)), E856-LN(60/$E$11)-LN(MIN(D857,$F$11))), IF(D857&lt;=$A$15, E856+LN($D$11)-LN(60/$E$11)-LN(MIN(D857,$F$11)), E856+LN($D$11)+LN(1-$H$11)-LN(60/$E$11)-LN(MIN(D857,$F$11))))</f>
        <v>-99.128120157120762</v>
      </c>
      <c r="F857" s="1">
        <f t="shared" ref="F857:F920" si="83">E857-$E$21</f>
        <v>-101.13015296631983</v>
      </c>
      <c r="G857" s="1">
        <f t="shared" si="81"/>
        <v>1.2015244498411587E-44</v>
      </c>
      <c r="H857" s="1">
        <f t="shared" si="78"/>
        <v>1.1793837486406519E-45</v>
      </c>
      <c r="I857">
        <f>IF($F$11&lt;=D857, IF(D857&lt;=$A$15,D857-$F$11,$C$11),0)</f>
        <v>60</v>
      </c>
      <c r="J857">
        <f t="shared" si="79"/>
        <v>770</v>
      </c>
      <c r="K857" s="5">
        <f>IF(D857&lt;$F$11,H857,0)</f>
        <v>0</v>
      </c>
      <c r="L857">
        <f>IF(D857&lt;$A$15,$D$11,$D$11*(1-$H$11))</f>
        <v>85</v>
      </c>
      <c r="M857">
        <f t="shared" si="80"/>
        <v>1</v>
      </c>
      <c r="N857">
        <f>IF(SUM(I857:J857)&lt;=($G$11/60*$F$11/($E$11/60)),1,0)</f>
        <v>0</v>
      </c>
    </row>
    <row r="858" spans="4:14" x14ac:dyDescent="0.2">
      <c r="D858">
        <f t="shared" si="82"/>
        <v>835</v>
      </c>
      <c r="E858" s="1">
        <f>IF($H$11=1,IF(D858&lt;=$A$15, E857+LN($D$11)-LN(60/$E$11)-LN(MIN(D858,$F$11)), E857-LN(60/$E$11)-LN(MIN(D858,$F$11))), IF(D858&lt;=$A$15, E857+LN($D$11)-LN(60/$E$11)-LN(MIN(D858,$F$11)), E857+LN($D$11)+LN(1-$H$11)-LN(60/$E$11)-LN(MIN(D858,$F$11))))</f>
        <v>-99.249817092098283</v>
      </c>
      <c r="F858" s="1">
        <f t="shared" si="83"/>
        <v>-101.25184990129735</v>
      </c>
      <c r="G858" s="1">
        <f t="shared" si="81"/>
        <v>1.0638497732968578E-44</v>
      </c>
      <c r="H858" s="1">
        <f t="shared" si="78"/>
        <v>1.0442460274422425E-45</v>
      </c>
      <c r="I858">
        <f>IF($F$11&lt;=D858, IF(D858&lt;=$A$15,D858-$F$11,$C$11),0)</f>
        <v>60</v>
      </c>
      <c r="J858">
        <f t="shared" si="79"/>
        <v>771</v>
      </c>
      <c r="K858" s="5">
        <f>IF(D858&lt;$F$11,H858,0)</f>
        <v>0</v>
      </c>
      <c r="L858">
        <f>IF(D858&lt;$A$15,$D$11,$D$11*(1-$H$11))</f>
        <v>85</v>
      </c>
      <c r="M858">
        <f t="shared" si="80"/>
        <v>1</v>
      </c>
      <c r="N858">
        <f>IF(SUM(I858:J858)&lt;=($G$11/60*$F$11/($E$11/60)),1,0)</f>
        <v>0</v>
      </c>
    </row>
    <row r="859" spans="4:14" x14ac:dyDescent="0.2">
      <c r="D859">
        <f t="shared" si="82"/>
        <v>836</v>
      </c>
      <c r="E859" s="1">
        <f>IF($H$11=1,IF(D859&lt;=$A$15, E858+LN($D$11)-LN(60/$E$11)-LN(MIN(D859,$F$11)), E858-LN(60/$E$11)-LN(MIN(D859,$F$11))), IF(D859&lt;=$A$15, E858+LN($D$11)-LN(60/$E$11)-LN(MIN(D859,$F$11)), E858+LN($D$11)+LN(1-$H$11)-LN(60/$E$11)-LN(MIN(D859,$F$11))))</f>
        <v>-99.371514027075804</v>
      </c>
      <c r="F859" s="1">
        <f t="shared" si="83"/>
        <v>-101.37354683627487</v>
      </c>
      <c r="G859" s="1">
        <f t="shared" si="81"/>
        <v>9.4195032010659151E-45</v>
      </c>
      <c r="H859" s="1">
        <f t="shared" si="78"/>
        <v>9.2459283679781757E-46</v>
      </c>
      <c r="I859">
        <f>IF($F$11&lt;=D859, IF(D859&lt;=$A$15,D859-$F$11,$C$11),0)</f>
        <v>60</v>
      </c>
      <c r="J859">
        <f t="shared" si="79"/>
        <v>772</v>
      </c>
      <c r="K859" s="5">
        <f>IF(D859&lt;$F$11,H859,0)</f>
        <v>0</v>
      </c>
      <c r="L859">
        <f>IF(D859&lt;$A$15,$D$11,$D$11*(1-$H$11))</f>
        <v>85</v>
      </c>
      <c r="M859">
        <f t="shared" si="80"/>
        <v>1</v>
      </c>
      <c r="N859">
        <f>IF(SUM(I859:J859)&lt;=($G$11/60*$F$11/($E$11/60)),1,0)</f>
        <v>0</v>
      </c>
    </row>
    <row r="860" spans="4:14" x14ac:dyDescent="0.2">
      <c r="D860">
        <f t="shared" si="82"/>
        <v>837</v>
      </c>
      <c r="E860" s="1">
        <f>IF($H$11=1,IF(D860&lt;=$A$15, E859+LN($D$11)-LN(60/$E$11)-LN(MIN(D860,$F$11)), E859-LN(60/$E$11)-LN(MIN(D860,$F$11))), IF(D860&lt;=$A$15, E859+LN($D$11)-LN(60/$E$11)-LN(MIN(D860,$F$11)), E859+LN($D$11)+LN(1-$H$11)-LN(60/$E$11)-LN(MIN(D860,$F$11))))</f>
        <v>-99.493210962053325</v>
      </c>
      <c r="F860" s="1">
        <f t="shared" si="83"/>
        <v>-101.49524377125239</v>
      </c>
      <c r="G860" s="1">
        <f t="shared" si="81"/>
        <v>8.3401851259437673E-45</v>
      </c>
      <c r="H860" s="1">
        <f t="shared" si="78"/>
        <v>8.1864990758139981E-46</v>
      </c>
      <c r="I860">
        <f>IF($F$11&lt;=D860, IF(D860&lt;=$A$15,D860-$F$11,$C$11),0)</f>
        <v>60</v>
      </c>
      <c r="J860">
        <f t="shared" si="79"/>
        <v>773</v>
      </c>
      <c r="K860" s="5">
        <f>IF(D860&lt;$F$11,H860,0)</f>
        <v>0</v>
      </c>
      <c r="L860">
        <f>IF(D860&lt;$A$15,$D$11,$D$11*(1-$H$11))</f>
        <v>85</v>
      </c>
      <c r="M860">
        <f t="shared" si="80"/>
        <v>1</v>
      </c>
      <c r="N860">
        <f>IF(SUM(I860:J860)&lt;=($G$11/60*$F$11/($E$11/60)),1,0)</f>
        <v>0</v>
      </c>
    </row>
    <row r="861" spans="4:14" x14ac:dyDescent="0.2">
      <c r="D861">
        <f t="shared" si="82"/>
        <v>838</v>
      </c>
      <c r="E861" s="1">
        <f>IF($H$11=1,IF(D861&lt;=$A$15, E860+LN($D$11)-LN(60/$E$11)-LN(MIN(D861,$F$11)), E860-LN(60/$E$11)-LN(MIN(D861,$F$11))), IF(D861&lt;=$A$15, E860+LN($D$11)-LN(60/$E$11)-LN(MIN(D861,$F$11)), E860+LN($D$11)+LN(1-$H$11)-LN(60/$E$11)-LN(MIN(D861,$F$11))))</f>
        <v>-99.614907897030847</v>
      </c>
      <c r="F861" s="1">
        <f t="shared" si="83"/>
        <v>-101.61694070622991</v>
      </c>
      <c r="G861" s="1">
        <f t="shared" si="81"/>
        <v>7.384538913596033E-45</v>
      </c>
      <c r="H861" s="1">
        <f t="shared" si="78"/>
        <v>7.2484627233769668E-46</v>
      </c>
      <c r="I861">
        <f>IF($F$11&lt;=D861, IF(D861&lt;=$A$15,D861-$F$11,$C$11),0)</f>
        <v>60</v>
      </c>
      <c r="J861">
        <f t="shared" si="79"/>
        <v>774</v>
      </c>
      <c r="K861" s="5">
        <f>IF(D861&lt;$F$11,H861,0)</f>
        <v>0</v>
      </c>
      <c r="L861">
        <f>IF(D861&lt;$A$15,$D$11,$D$11*(1-$H$11))</f>
        <v>85</v>
      </c>
      <c r="M861">
        <f t="shared" si="80"/>
        <v>1</v>
      </c>
      <c r="N861">
        <f>IF(SUM(I861:J861)&lt;=($G$11/60*$F$11/($E$11/60)),1,0)</f>
        <v>0</v>
      </c>
    </row>
    <row r="862" spans="4:14" x14ac:dyDescent="0.2">
      <c r="D862">
        <f t="shared" si="82"/>
        <v>839</v>
      </c>
      <c r="E862" s="1">
        <f>IF($H$11=1,IF(D862&lt;=$A$15, E861+LN($D$11)-LN(60/$E$11)-LN(MIN(D862,$F$11)), E861-LN(60/$E$11)-LN(MIN(D862,$F$11))), IF(D862&lt;=$A$15, E861+LN($D$11)-LN(60/$E$11)-LN(MIN(D862,$F$11)), E861+LN($D$11)+LN(1-$H$11)-LN(60/$E$11)-LN(MIN(D862,$F$11))))</f>
        <v>-99.736604832008368</v>
      </c>
      <c r="F862" s="1">
        <f t="shared" si="83"/>
        <v>-101.73863764120743</v>
      </c>
      <c r="G862" s="1">
        <f t="shared" si="81"/>
        <v>6.5383938297464788E-45</v>
      </c>
      <c r="H862" s="1">
        <f t="shared" si="78"/>
        <v>6.4179097029900138E-46</v>
      </c>
      <c r="I862">
        <f>IF($F$11&lt;=D862, IF(D862&lt;=$A$15,D862-$F$11,$C$11),0)</f>
        <v>60</v>
      </c>
      <c r="J862">
        <f t="shared" si="79"/>
        <v>775</v>
      </c>
      <c r="K862" s="5">
        <f>IF(D862&lt;$F$11,H862,0)</f>
        <v>0</v>
      </c>
      <c r="L862">
        <f>IF(D862&lt;$A$15,$D$11,$D$11*(1-$H$11))</f>
        <v>85</v>
      </c>
      <c r="M862">
        <f t="shared" si="80"/>
        <v>1</v>
      </c>
      <c r="N862">
        <f>IF(SUM(I862:J862)&lt;=($G$11/60*$F$11/($E$11/60)),1,0)</f>
        <v>0</v>
      </c>
    </row>
    <row r="863" spans="4:14" x14ac:dyDescent="0.2">
      <c r="D863">
        <f t="shared" si="82"/>
        <v>840</v>
      </c>
      <c r="E863" s="1">
        <f>IF($H$11=1,IF(D863&lt;=$A$15, E862+LN($D$11)-LN(60/$E$11)-LN(MIN(D863,$F$11)), E862-LN(60/$E$11)-LN(MIN(D863,$F$11))), IF(D863&lt;=$A$15, E862+LN($D$11)-LN(60/$E$11)-LN(MIN(D863,$F$11)), E862+LN($D$11)+LN(1-$H$11)-LN(60/$E$11)-LN(MIN(D863,$F$11))))</f>
        <v>-99.858301766985889</v>
      </c>
      <c r="F863" s="1">
        <f t="shared" si="83"/>
        <v>-101.86033457618495</v>
      </c>
      <c r="G863" s="1">
        <f t="shared" si="81"/>
        <v>5.7892028700880199E-45</v>
      </c>
      <c r="H863" s="1">
        <f t="shared" si="78"/>
        <v>5.6825242161890672E-46</v>
      </c>
      <c r="I863">
        <f>IF($F$11&lt;=D863, IF(D863&lt;=$A$15,D863-$F$11,$C$11),0)</f>
        <v>60</v>
      </c>
      <c r="J863">
        <f t="shared" si="79"/>
        <v>776</v>
      </c>
      <c r="K863" s="5">
        <f>IF(D863&lt;$F$11,H863,0)</f>
        <v>0</v>
      </c>
      <c r="L863">
        <f>IF(D863&lt;$A$15,$D$11,$D$11*(1-$H$11))</f>
        <v>85</v>
      </c>
      <c r="M863">
        <f t="shared" si="80"/>
        <v>1</v>
      </c>
      <c r="N863">
        <f>IF(SUM(I863:J863)&lt;=($G$11/60*$F$11/($E$11/60)),1,0)</f>
        <v>0</v>
      </c>
    </row>
    <row r="864" spans="4:14" x14ac:dyDescent="0.2">
      <c r="D864">
        <f t="shared" si="82"/>
        <v>841</v>
      </c>
      <c r="E864" s="1">
        <f>IF($H$11=1,IF(D864&lt;=$A$15, E863+LN($D$11)-LN(60/$E$11)-LN(MIN(D864,$F$11)), E863-LN(60/$E$11)-LN(MIN(D864,$F$11))), IF(D864&lt;=$A$15, E863+LN($D$11)-LN(60/$E$11)-LN(MIN(D864,$F$11)), E863+LN($D$11)+LN(1-$H$11)-LN(60/$E$11)-LN(MIN(D864,$F$11))))</f>
        <v>-99.97999870196341</v>
      </c>
      <c r="F864" s="1">
        <f t="shared" si="83"/>
        <v>-101.98203151116248</v>
      </c>
      <c r="G864" s="1">
        <f t="shared" si="81"/>
        <v>5.1258567078904269E-45</v>
      </c>
      <c r="H864" s="1">
        <f t="shared" si="78"/>
        <v>5.0314016497507291E-46</v>
      </c>
      <c r="I864">
        <f>IF($F$11&lt;=D864, IF(D864&lt;=$A$15,D864-$F$11,$C$11),0)</f>
        <v>60</v>
      </c>
      <c r="J864">
        <f t="shared" si="79"/>
        <v>777</v>
      </c>
      <c r="K864" s="5">
        <f>IF(D864&lt;$F$11,H864,0)</f>
        <v>0</v>
      </c>
      <c r="L864">
        <f>IF(D864&lt;$A$15,$D$11,$D$11*(1-$H$11))</f>
        <v>85</v>
      </c>
      <c r="M864">
        <f t="shared" si="80"/>
        <v>1</v>
      </c>
      <c r="N864">
        <f>IF(SUM(I864:J864)&lt;=($G$11/60*$F$11/($E$11/60)),1,0)</f>
        <v>0</v>
      </c>
    </row>
    <row r="865" spans="4:14" x14ac:dyDescent="0.2">
      <c r="D865">
        <f t="shared" si="82"/>
        <v>842</v>
      </c>
      <c r="E865" s="1">
        <f>IF($H$11=1,IF(D865&lt;=$A$15, E864+LN($D$11)-LN(60/$E$11)-LN(MIN(D865,$F$11)), E864-LN(60/$E$11)-LN(MIN(D865,$F$11))), IF(D865&lt;=$A$15, E864+LN($D$11)-LN(60/$E$11)-LN(MIN(D865,$F$11)), E864+LN($D$11)+LN(1-$H$11)-LN(60/$E$11)-LN(MIN(D865,$F$11))))</f>
        <v>-100.10169563694093</v>
      </c>
      <c r="F865" s="1">
        <f t="shared" si="83"/>
        <v>-102.10372844614</v>
      </c>
      <c r="G865" s="1">
        <f t="shared" si="81"/>
        <v>4.5385189601113089E-45</v>
      </c>
      <c r="H865" s="1">
        <f t="shared" si="78"/>
        <v>4.4548868773834515E-46</v>
      </c>
      <c r="I865">
        <f>IF($F$11&lt;=D865, IF(D865&lt;=$A$15,D865-$F$11,$C$11),0)</f>
        <v>60</v>
      </c>
      <c r="J865">
        <f t="shared" si="79"/>
        <v>778</v>
      </c>
      <c r="K865" s="5">
        <f>IF(D865&lt;$F$11,H865,0)</f>
        <v>0</v>
      </c>
      <c r="L865">
        <f>IF(D865&lt;$A$15,$D$11,$D$11*(1-$H$11))</f>
        <v>85</v>
      </c>
      <c r="M865">
        <f t="shared" si="80"/>
        <v>1</v>
      </c>
      <c r="N865">
        <f>IF(SUM(I865:J865)&lt;=($G$11/60*$F$11/($E$11/60)),1,0)</f>
        <v>0</v>
      </c>
    </row>
    <row r="866" spans="4:14" x14ac:dyDescent="0.2">
      <c r="D866">
        <f t="shared" si="82"/>
        <v>843</v>
      </c>
      <c r="E866" s="1">
        <f>IF($H$11=1,IF(D866&lt;=$A$15, E865+LN($D$11)-LN(60/$E$11)-LN(MIN(D866,$F$11)), E865-LN(60/$E$11)-LN(MIN(D866,$F$11))), IF(D866&lt;=$A$15, E865+LN($D$11)-LN(60/$E$11)-LN(MIN(D866,$F$11)), E865+LN($D$11)+LN(1-$H$11)-LN(60/$E$11)-LN(MIN(D866,$F$11))))</f>
        <v>-100.22339257191845</v>
      </c>
      <c r="F866" s="1">
        <f t="shared" si="83"/>
        <v>-102.22542538111752</v>
      </c>
      <c r="G866" s="1">
        <f t="shared" si="81"/>
        <v>4.0184803292652157E-45</v>
      </c>
      <c r="H866" s="1">
        <f t="shared" si="78"/>
        <v>3.9444310893499253E-46</v>
      </c>
      <c r="I866">
        <f>IF($F$11&lt;=D866, IF(D866&lt;=$A$15,D866-$F$11,$C$11),0)</f>
        <v>60</v>
      </c>
      <c r="J866">
        <f t="shared" si="79"/>
        <v>779</v>
      </c>
      <c r="K866" s="5">
        <f>IF(D866&lt;$F$11,H866,0)</f>
        <v>0</v>
      </c>
      <c r="L866">
        <f>IF(D866&lt;$A$15,$D$11,$D$11*(1-$H$11))</f>
        <v>85</v>
      </c>
      <c r="M866">
        <f t="shared" si="80"/>
        <v>1</v>
      </c>
      <c r="N866">
        <f>IF(SUM(I866:J866)&lt;=($G$11/60*$F$11/($E$11/60)),1,0)</f>
        <v>0</v>
      </c>
    </row>
    <row r="867" spans="4:14" x14ac:dyDescent="0.2">
      <c r="D867">
        <f t="shared" si="82"/>
        <v>844</v>
      </c>
      <c r="E867" s="1">
        <f>IF($H$11=1,IF(D867&lt;=$A$15, E866+LN($D$11)-LN(60/$E$11)-LN(MIN(D867,$F$11)), E866-LN(60/$E$11)-LN(MIN(D867,$F$11))), IF(D867&lt;=$A$15, E866+LN($D$11)-LN(60/$E$11)-LN(MIN(D867,$F$11)), E866+LN($D$11)+LN(1-$H$11)-LN(60/$E$11)-LN(MIN(D867,$F$11))))</f>
        <v>-100.34508950689597</v>
      </c>
      <c r="F867" s="1">
        <f t="shared" si="83"/>
        <v>-102.34712231609504</v>
      </c>
      <c r="G867" s="1">
        <f t="shared" si="81"/>
        <v>3.5580294582035715E-45</v>
      </c>
      <c r="H867" s="1">
        <f t="shared" si="78"/>
        <v>3.492465027028575E-46</v>
      </c>
      <c r="I867">
        <f>IF($F$11&lt;=D867, IF(D867&lt;=$A$15,D867-$F$11,$C$11),0)</f>
        <v>60</v>
      </c>
      <c r="J867">
        <f t="shared" si="79"/>
        <v>780</v>
      </c>
      <c r="K867" s="5">
        <f>IF(D867&lt;$F$11,H867,0)</f>
        <v>0</v>
      </c>
      <c r="L867">
        <f>IF(D867&lt;$A$15,$D$11,$D$11*(1-$H$11))</f>
        <v>85</v>
      </c>
      <c r="M867">
        <f t="shared" si="80"/>
        <v>1</v>
      </c>
      <c r="N867">
        <f>IF(SUM(I867:J867)&lt;=($G$11/60*$F$11/($E$11/60)),1,0)</f>
        <v>0</v>
      </c>
    </row>
    <row r="868" spans="4:14" x14ac:dyDescent="0.2">
      <c r="D868">
        <f t="shared" si="82"/>
        <v>845</v>
      </c>
      <c r="E868" s="1">
        <f>IF($H$11=1,IF(D868&lt;=$A$15, E867+LN($D$11)-LN(60/$E$11)-LN(MIN(D868,$F$11)), E867-LN(60/$E$11)-LN(MIN(D868,$F$11))), IF(D868&lt;=$A$15, E867+LN($D$11)-LN(60/$E$11)-LN(MIN(D868,$F$11)), E867+LN($D$11)+LN(1-$H$11)-LN(60/$E$11)-LN(MIN(D868,$F$11))))</f>
        <v>-100.4667864418735</v>
      </c>
      <c r="F868" s="1">
        <f t="shared" si="83"/>
        <v>-102.46881925107256</v>
      </c>
      <c r="G868" s="1">
        <f t="shared" si="81"/>
        <v>3.1503385827844076E-45</v>
      </c>
      <c r="H868" s="1">
        <f t="shared" si="78"/>
        <v>3.0922867426815463E-46</v>
      </c>
      <c r="I868">
        <f>IF($F$11&lt;=D868, IF(D868&lt;=$A$15,D868-$F$11,$C$11),0)</f>
        <v>60</v>
      </c>
      <c r="J868">
        <f t="shared" si="79"/>
        <v>781</v>
      </c>
      <c r="K868" s="5">
        <f>IF(D868&lt;$F$11,H868,0)</f>
        <v>0</v>
      </c>
      <c r="L868">
        <f>IF(D868&lt;$A$15,$D$11,$D$11*(1-$H$11))</f>
        <v>85</v>
      </c>
      <c r="M868">
        <f t="shared" si="80"/>
        <v>1</v>
      </c>
      <c r="N868">
        <f>IF(SUM(I868:J868)&lt;=($G$11/60*$F$11/($E$11/60)),1,0)</f>
        <v>0</v>
      </c>
    </row>
    <row r="869" spans="4:14" x14ac:dyDescent="0.2">
      <c r="D869">
        <f t="shared" si="82"/>
        <v>846</v>
      </c>
      <c r="E869" s="1">
        <f>IF($H$11=1,IF(D869&lt;=$A$15, E868+LN($D$11)-LN(60/$E$11)-LN(MIN(D869,$F$11)), E868-LN(60/$E$11)-LN(MIN(D869,$F$11))), IF(D869&lt;=$A$15, E868+LN($D$11)-LN(60/$E$11)-LN(MIN(D869,$F$11)), E868+LN($D$11)+LN(1-$H$11)-LN(60/$E$11)-LN(MIN(D869,$F$11))))</f>
        <v>-100.58848337685102</v>
      </c>
      <c r="F869" s="1">
        <f t="shared" si="83"/>
        <v>-102.59051618605008</v>
      </c>
      <c r="G869" s="1">
        <f t="shared" si="81"/>
        <v>2.7893622868403567E-45</v>
      </c>
      <c r="H869" s="1">
        <f t="shared" si="78"/>
        <v>2.7379622200826151E-46</v>
      </c>
      <c r="I869">
        <f>IF($F$11&lt;=D869, IF(D869&lt;=$A$15,D869-$F$11,$C$11),0)</f>
        <v>60</v>
      </c>
      <c r="J869">
        <f t="shared" si="79"/>
        <v>782</v>
      </c>
      <c r="K869" s="5">
        <f>IF(D869&lt;$F$11,H869,0)</f>
        <v>0</v>
      </c>
      <c r="L869">
        <f>IF(D869&lt;$A$15,$D$11,$D$11*(1-$H$11))</f>
        <v>85</v>
      </c>
      <c r="M869">
        <f t="shared" si="80"/>
        <v>1</v>
      </c>
      <c r="N869">
        <f>IF(SUM(I869:J869)&lt;=($G$11/60*$F$11/($E$11/60)),1,0)</f>
        <v>0</v>
      </c>
    </row>
    <row r="870" spans="4:14" x14ac:dyDescent="0.2">
      <c r="D870">
        <f t="shared" si="82"/>
        <v>847</v>
      </c>
      <c r="E870" s="1">
        <f>IF($H$11=1,IF(D870&lt;=$A$15, E869+LN($D$11)-LN(60/$E$11)-LN(MIN(D870,$F$11)), E869-LN(60/$E$11)-LN(MIN(D870,$F$11))), IF(D870&lt;=$A$15, E869+LN($D$11)-LN(60/$E$11)-LN(MIN(D870,$F$11)), E869+LN($D$11)+LN(1-$H$11)-LN(60/$E$11)-LN(MIN(D870,$F$11))))</f>
        <v>-100.71018031182854</v>
      </c>
      <c r="F870" s="1">
        <f t="shared" si="83"/>
        <v>-102.7122131210276</v>
      </c>
      <c r="G870" s="1">
        <f t="shared" si="81"/>
        <v>2.4697478581398959E-45</v>
      </c>
      <c r="H870" s="1">
        <f t="shared" si="78"/>
        <v>2.424237382364812E-46</v>
      </c>
      <c r="I870">
        <f>IF($F$11&lt;=D870, IF(D870&lt;=$A$15,D870-$F$11,$C$11),0)</f>
        <v>60</v>
      </c>
      <c r="J870">
        <f t="shared" si="79"/>
        <v>783</v>
      </c>
      <c r="K870" s="5">
        <f>IF(D870&lt;$F$11,H870,0)</f>
        <v>0</v>
      </c>
      <c r="L870">
        <f>IF(D870&lt;$A$15,$D$11,$D$11*(1-$H$11))</f>
        <v>85</v>
      </c>
      <c r="M870">
        <f t="shared" si="80"/>
        <v>1</v>
      </c>
      <c r="N870">
        <f>IF(SUM(I870:J870)&lt;=($G$11/60*$F$11/($E$11/60)),1,0)</f>
        <v>0</v>
      </c>
    </row>
    <row r="871" spans="4:14" x14ac:dyDescent="0.2">
      <c r="D871">
        <f t="shared" si="82"/>
        <v>848</v>
      </c>
      <c r="E871" s="1">
        <f>IF($H$11=1,IF(D871&lt;=$A$15, E870+LN($D$11)-LN(60/$E$11)-LN(MIN(D871,$F$11)), E870-LN(60/$E$11)-LN(MIN(D871,$F$11))), IF(D871&lt;=$A$15, E870+LN($D$11)-LN(60/$E$11)-LN(MIN(D871,$F$11)), E870+LN($D$11)+LN(1-$H$11)-LN(60/$E$11)-LN(MIN(D871,$F$11))))</f>
        <v>-100.83187724680606</v>
      </c>
      <c r="F871" s="1">
        <f t="shared" si="83"/>
        <v>-102.83391005600512</v>
      </c>
      <c r="G871" s="1">
        <f t="shared" si="81"/>
        <v>2.1867559160613631E-45</v>
      </c>
      <c r="H871" s="1">
        <f t="shared" si="78"/>
        <v>2.1464601823021744E-46</v>
      </c>
      <c r="I871">
        <f>IF($F$11&lt;=D871, IF(D871&lt;=$A$15,D871-$F$11,$C$11),0)</f>
        <v>60</v>
      </c>
      <c r="J871">
        <f t="shared" si="79"/>
        <v>784</v>
      </c>
      <c r="K871" s="5">
        <f>IF(D871&lt;$F$11,H871,0)</f>
        <v>0</v>
      </c>
      <c r="L871">
        <f>IF(D871&lt;$A$15,$D$11,$D$11*(1-$H$11))</f>
        <v>85</v>
      </c>
      <c r="M871">
        <f t="shared" si="80"/>
        <v>1</v>
      </c>
      <c r="N871">
        <f>IF(SUM(I871:J871)&lt;=($G$11/60*$F$11/($E$11/60)),1,0)</f>
        <v>0</v>
      </c>
    </row>
    <row r="872" spans="4:14" x14ac:dyDescent="0.2">
      <c r="D872">
        <f t="shared" si="82"/>
        <v>849</v>
      </c>
      <c r="E872" s="1">
        <f>IF($H$11=1,IF(D872&lt;=$A$15, E871+LN($D$11)-LN(60/$E$11)-LN(MIN(D872,$F$11)), E871-LN(60/$E$11)-LN(MIN(D872,$F$11))), IF(D872&lt;=$A$15, E871+LN($D$11)-LN(60/$E$11)-LN(MIN(D872,$F$11)), E871+LN($D$11)+LN(1-$H$11)-LN(60/$E$11)-LN(MIN(D872,$F$11))))</f>
        <v>-100.95357418178358</v>
      </c>
      <c r="F872" s="1">
        <f t="shared" si="83"/>
        <v>-102.95560699098264</v>
      </c>
      <c r="G872" s="1">
        <f t="shared" si="81"/>
        <v>1.9361901340126624E-45</v>
      </c>
      <c r="H872" s="1">
        <f t="shared" si="78"/>
        <v>1.9005116197467141E-46</v>
      </c>
      <c r="I872">
        <f>IF($F$11&lt;=D872, IF(D872&lt;=$A$15,D872-$F$11,$C$11),0)</f>
        <v>60</v>
      </c>
      <c r="J872">
        <f t="shared" si="79"/>
        <v>785</v>
      </c>
      <c r="K872" s="5">
        <f>IF(D872&lt;$F$11,H872,0)</f>
        <v>0</v>
      </c>
      <c r="L872">
        <f>IF(D872&lt;$A$15,$D$11,$D$11*(1-$H$11))</f>
        <v>85</v>
      </c>
      <c r="M872">
        <f t="shared" si="80"/>
        <v>1</v>
      </c>
      <c r="N872">
        <f>IF(SUM(I872:J872)&lt;=($G$11/60*$F$11/($E$11/60)),1,0)</f>
        <v>0</v>
      </c>
    </row>
    <row r="873" spans="4:14" x14ac:dyDescent="0.2">
      <c r="D873">
        <f t="shared" si="82"/>
        <v>850</v>
      </c>
      <c r="E873" s="1">
        <f>IF($H$11=1,IF(D873&lt;=$A$15, E872+LN($D$11)-LN(60/$E$11)-LN(MIN(D873,$F$11)), E872-LN(60/$E$11)-LN(MIN(D873,$F$11))), IF(D873&lt;=$A$15, E872+LN($D$11)-LN(60/$E$11)-LN(MIN(D873,$F$11)), E872+LN($D$11)+LN(1-$H$11)-LN(60/$E$11)-LN(MIN(D873,$F$11))))</f>
        <v>-101.0752711167611</v>
      </c>
      <c r="F873" s="1">
        <f t="shared" si="83"/>
        <v>-103.07730392596017</v>
      </c>
      <c r="G873" s="1">
        <f t="shared" si="81"/>
        <v>1.7143350144903756E-45</v>
      </c>
      <c r="H873" s="1">
        <f t="shared" si="78"/>
        <v>1.6827446633174007E-46</v>
      </c>
      <c r="I873">
        <f>IF($F$11&lt;=D873, IF(D873&lt;=$A$15,D873-$F$11,$C$11),0)</f>
        <v>60</v>
      </c>
      <c r="J873">
        <f t="shared" si="79"/>
        <v>786</v>
      </c>
      <c r="K873" s="5">
        <f>IF(D873&lt;$F$11,H873,0)</f>
        <v>0</v>
      </c>
      <c r="L873">
        <f>IF(D873&lt;$A$15,$D$11,$D$11*(1-$H$11))</f>
        <v>85</v>
      </c>
      <c r="M873">
        <f t="shared" si="80"/>
        <v>1</v>
      </c>
      <c r="N873">
        <f>IF(SUM(I873:J873)&lt;=($G$11/60*$F$11/($E$11/60)),1,0)</f>
        <v>0</v>
      </c>
    </row>
    <row r="874" spans="4:14" x14ac:dyDescent="0.2">
      <c r="D874">
        <f t="shared" si="82"/>
        <v>851</v>
      </c>
      <c r="E874" s="1">
        <f>IF($H$11=1,IF(D874&lt;=$A$15, E873+LN($D$11)-LN(60/$E$11)-LN(MIN(D874,$F$11)), E873-LN(60/$E$11)-LN(MIN(D874,$F$11))), IF(D874&lt;=$A$15, E873+LN($D$11)-LN(60/$E$11)-LN(MIN(D874,$F$11)), E873+LN($D$11)+LN(1-$H$11)-LN(60/$E$11)-LN(MIN(D874,$F$11))))</f>
        <v>-101.19696805173862</v>
      </c>
      <c r="F874" s="1">
        <f t="shared" si="83"/>
        <v>-103.19900086093769</v>
      </c>
      <c r="G874" s="1">
        <f t="shared" si="81"/>
        <v>1.517900794080018E-45</v>
      </c>
      <c r="H874" s="1">
        <f t="shared" si="78"/>
        <v>1.4899301706456132E-46</v>
      </c>
      <c r="I874">
        <f>IF($F$11&lt;=D874, IF(D874&lt;=$A$15,D874-$F$11,$C$11),0)</f>
        <v>60</v>
      </c>
      <c r="J874">
        <f t="shared" si="79"/>
        <v>787</v>
      </c>
      <c r="K874" s="5">
        <f>IF(D874&lt;$F$11,H874,0)</f>
        <v>0</v>
      </c>
      <c r="L874">
        <f>IF(D874&lt;$A$15,$D$11,$D$11*(1-$H$11))</f>
        <v>85</v>
      </c>
      <c r="M874">
        <f t="shared" si="80"/>
        <v>1</v>
      </c>
      <c r="N874">
        <f>IF(SUM(I874:J874)&lt;=($G$11/60*$F$11/($E$11/60)),1,0)</f>
        <v>0</v>
      </c>
    </row>
    <row r="875" spans="4:14" x14ac:dyDescent="0.2">
      <c r="D875">
        <f t="shared" si="82"/>
        <v>852</v>
      </c>
      <c r="E875" s="1">
        <f>IF($H$11=1,IF(D875&lt;=$A$15, E874+LN($D$11)-LN(60/$E$11)-LN(MIN(D875,$F$11)), E874-LN(60/$E$11)-LN(MIN(D875,$F$11))), IF(D875&lt;=$A$15, E874+LN($D$11)-LN(60/$E$11)-LN(MIN(D875,$F$11)), E874+LN($D$11)+LN(1-$H$11)-LN(60/$E$11)-LN(MIN(D875,$F$11))))</f>
        <v>-101.31866498671614</v>
      </c>
      <c r="F875" s="1">
        <f t="shared" si="83"/>
        <v>-103.32069779591521</v>
      </c>
      <c r="G875" s="1">
        <f t="shared" si="81"/>
        <v>1.3439746614250139E-45</v>
      </c>
      <c r="H875" s="1">
        <f t="shared" si="78"/>
        <v>1.3192090052591347E-46</v>
      </c>
      <c r="I875">
        <f>IF($F$11&lt;=D875, IF(D875&lt;=$A$15,D875-$F$11,$C$11),0)</f>
        <v>60</v>
      </c>
      <c r="J875">
        <f t="shared" si="79"/>
        <v>788</v>
      </c>
      <c r="K875" s="5">
        <f>IF(D875&lt;$F$11,H875,0)</f>
        <v>0</v>
      </c>
      <c r="L875">
        <f>IF(D875&lt;$A$15,$D$11,$D$11*(1-$H$11))</f>
        <v>85</v>
      </c>
      <c r="M875">
        <f t="shared" si="80"/>
        <v>1</v>
      </c>
      <c r="N875">
        <f>IF(SUM(I875:J875)&lt;=($G$11/60*$F$11/($E$11/60)),1,0)</f>
        <v>0</v>
      </c>
    </row>
    <row r="876" spans="4:14" x14ac:dyDescent="0.2">
      <c r="D876">
        <f t="shared" si="82"/>
        <v>853</v>
      </c>
      <c r="E876" s="1">
        <f>IF($H$11=1,IF(D876&lt;=$A$15, E875+LN($D$11)-LN(60/$E$11)-LN(MIN(D876,$F$11)), E875-LN(60/$E$11)-LN(MIN(D876,$F$11))), IF(D876&lt;=$A$15, E875+LN($D$11)-LN(60/$E$11)-LN(MIN(D876,$F$11)), E875+LN($D$11)+LN(1-$H$11)-LN(60/$E$11)-LN(MIN(D876,$F$11))))</f>
        <v>-101.44036192169366</v>
      </c>
      <c r="F876" s="1">
        <f t="shared" si="83"/>
        <v>-103.44239473089273</v>
      </c>
      <c r="G876" s="1">
        <f t="shared" si="81"/>
        <v>1.1899775648033961E-45</v>
      </c>
      <c r="H876" s="1">
        <f t="shared" si="78"/>
        <v>1.1680496400731905E-46</v>
      </c>
      <c r="I876">
        <f>IF($F$11&lt;=D876, IF(D876&lt;=$A$15,D876-$F$11,$C$11),0)</f>
        <v>60</v>
      </c>
      <c r="J876">
        <f t="shared" si="79"/>
        <v>789</v>
      </c>
      <c r="K876" s="5">
        <f>IF(D876&lt;$F$11,H876,0)</f>
        <v>0</v>
      </c>
      <c r="L876">
        <f>IF(D876&lt;$A$15,$D$11,$D$11*(1-$H$11))</f>
        <v>85</v>
      </c>
      <c r="M876">
        <f t="shared" si="80"/>
        <v>1</v>
      </c>
      <c r="N876">
        <f>IF(SUM(I876:J876)&lt;=($G$11/60*$F$11/($E$11/60)),1,0)</f>
        <v>0</v>
      </c>
    </row>
    <row r="877" spans="4:14" x14ac:dyDescent="0.2">
      <c r="D877">
        <f t="shared" si="82"/>
        <v>854</v>
      </c>
      <c r="E877" s="1">
        <f>IF($H$11=1,IF(D877&lt;=$A$15, E876+LN($D$11)-LN(60/$E$11)-LN(MIN(D877,$F$11)), E876-LN(60/$E$11)-LN(MIN(D877,$F$11))), IF(D877&lt;=$A$15, E876+LN($D$11)-LN(60/$E$11)-LN(MIN(D877,$F$11)), E876+LN($D$11)+LN(1-$H$11)-LN(60/$E$11)-LN(MIN(D877,$F$11))))</f>
        <v>-101.56205885667119</v>
      </c>
      <c r="F877" s="1">
        <f t="shared" si="83"/>
        <v>-103.56409166587025</v>
      </c>
      <c r="G877" s="1">
        <f t="shared" si="81"/>
        <v>1.0536259688363387E-45</v>
      </c>
      <c r="H877" s="1">
        <f t="shared" si="78"/>
        <v>1.0342106188148025E-46</v>
      </c>
      <c r="I877">
        <f>IF($F$11&lt;=D877, IF(D877&lt;=$A$15,D877-$F$11,$C$11),0)</f>
        <v>60</v>
      </c>
      <c r="J877">
        <f t="shared" si="79"/>
        <v>790</v>
      </c>
      <c r="K877" s="5">
        <f>IF(D877&lt;$F$11,H877,0)</f>
        <v>0</v>
      </c>
      <c r="L877">
        <f>IF(D877&lt;$A$15,$D$11,$D$11*(1-$H$11))</f>
        <v>85</v>
      </c>
      <c r="M877">
        <f t="shared" si="80"/>
        <v>1</v>
      </c>
      <c r="N877">
        <f>IF(SUM(I877:J877)&lt;=($G$11/60*$F$11/($E$11/60)),1,0)</f>
        <v>0</v>
      </c>
    </row>
    <row r="878" spans="4:14" x14ac:dyDescent="0.2">
      <c r="D878">
        <f t="shared" si="82"/>
        <v>855</v>
      </c>
      <c r="E878" s="1">
        <f>IF($H$11=1,IF(D878&lt;=$A$15, E877+LN($D$11)-LN(60/$E$11)-LN(MIN(D878,$F$11)), E877-LN(60/$E$11)-LN(MIN(D878,$F$11))), IF(D878&lt;=$A$15, E877+LN($D$11)-LN(60/$E$11)-LN(MIN(D878,$F$11)), E877+LN($D$11)+LN(1-$H$11)-LN(60/$E$11)-LN(MIN(D878,$F$11))))</f>
        <v>-101.68375579164871</v>
      </c>
      <c r="F878" s="1">
        <f t="shared" si="83"/>
        <v>-103.68578860084777</v>
      </c>
      <c r="G878" s="1">
        <f t="shared" si="81"/>
        <v>9.3289799324050697E-46</v>
      </c>
      <c r="H878" s="1">
        <f t="shared" si="78"/>
        <v>9.1570731874227175E-47</v>
      </c>
      <c r="I878">
        <f>IF($F$11&lt;=D878, IF(D878&lt;=$A$15,D878-$F$11,$C$11),0)</f>
        <v>60</v>
      </c>
      <c r="J878">
        <f t="shared" si="79"/>
        <v>791</v>
      </c>
      <c r="K878" s="5">
        <f>IF(D878&lt;$F$11,H878,0)</f>
        <v>0</v>
      </c>
      <c r="L878">
        <f>IF(D878&lt;$A$15,$D$11,$D$11*(1-$H$11))</f>
        <v>85</v>
      </c>
      <c r="M878">
        <f t="shared" si="80"/>
        <v>1</v>
      </c>
      <c r="N878">
        <f>IF(SUM(I878:J878)&lt;=($G$11/60*$F$11/($E$11/60)),1,0)</f>
        <v>0</v>
      </c>
    </row>
    <row r="879" spans="4:14" x14ac:dyDescent="0.2">
      <c r="D879">
        <f t="shared" si="82"/>
        <v>856</v>
      </c>
      <c r="E879" s="1">
        <f>IF($H$11=1,IF(D879&lt;=$A$15, E878+LN($D$11)-LN(60/$E$11)-LN(MIN(D879,$F$11)), E878-LN(60/$E$11)-LN(MIN(D879,$F$11))), IF(D879&lt;=$A$15, E878+LN($D$11)-LN(60/$E$11)-LN(MIN(D879,$F$11)), E878+LN($D$11)+LN(1-$H$11)-LN(60/$E$11)-LN(MIN(D879,$F$11))))</f>
        <v>-101.80545272662623</v>
      </c>
      <c r="F879" s="1">
        <f t="shared" si="83"/>
        <v>-103.80748553582529</v>
      </c>
      <c r="G879" s="1">
        <f t="shared" si="81"/>
        <v>8.2600343151503101E-46</v>
      </c>
      <c r="H879" s="1">
        <f t="shared" si="78"/>
        <v>8.1078252180305204E-47</v>
      </c>
      <c r="I879">
        <f>IF($F$11&lt;=D879, IF(D879&lt;=$A$15,D879-$F$11,$C$11),0)</f>
        <v>60</v>
      </c>
      <c r="J879">
        <f t="shared" si="79"/>
        <v>792</v>
      </c>
      <c r="K879" s="5">
        <f>IF(D879&lt;$F$11,H879,0)</f>
        <v>0</v>
      </c>
      <c r="L879">
        <f>IF(D879&lt;$A$15,$D$11,$D$11*(1-$H$11))</f>
        <v>85</v>
      </c>
      <c r="M879">
        <f t="shared" si="80"/>
        <v>1</v>
      </c>
      <c r="N879">
        <f>IF(SUM(I879:J879)&lt;=($G$11/60*$F$11/($E$11/60)),1,0)</f>
        <v>0</v>
      </c>
    </row>
    <row r="880" spans="4:14" x14ac:dyDescent="0.2">
      <c r="D880">
        <f t="shared" si="82"/>
        <v>857</v>
      </c>
      <c r="E880" s="1">
        <f>IF($H$11=1,IF(D880&lt;=$A$15, E879+LN($D$11)-LN(60/$E$11)-LN(MIN(D880,$F$11)), E879-LN(60/$E$11)-LN(MIN(D880,$F$11))), IF(D880&lt;=$A$15, E879+LN($D$11)-LN(60/$E$11)-LN(MIN(D880,$F$11)), E879+LN($D$11)+LN(1-$H$11)-LN(60/$E$11)-LN(MIN(D880,$F$11))))</f>
        <v>-101.92714966160375</v>
      </c>
      <c r="F880" s="1">
        <f t="shared" si="83"/>
        <v>-103.92918247080281</v>
      </c>
      <c r="G880" s="1">
        <f t="shared" si="81"/>
        <v>7.3135720498726605E-46</v>
      </c>
      <c r="H880" s="1">
        <f t="shared" si="78"/>
        <v>7.1788035784645136E-47</v>
      </c>
      <c r="I880">
        <f>IF($F$11&lt;=D880, IF(D880&lt;=$A$15,D880-$F$11,$C$11),0)</f>
        <v>60</v>
      </c>
      <c r="J880">
        <f t="shared" si="79"/>
        <v>793</v>
      </c>
      <c r="K880" s="5">
        <f>IF(D880&lt;$F$11,H880,0)</f>
        <v>0</v>
      </c>
      <c r="L880">
        <f>IF(D880&lt;$A$15,$D$11,$D$11*(1-$H$11))</f>
        <v>85</v>
      </c>
      <c r="M880">
        <f t="shared" si="80"/>
        <v>1</v>
      </c>
      <c r="N880">
        <f>IF(SUM(I880:J880)&lt;=($G$11/60*$F$11/($E$11/60)),1,0)</f>
        <v>0</v>
      </c>
    </row>
    <row r="881" spans="4:14" x14ac:dyDescent="0.2">
      <c r="D881">
        <f t="shared" si="82"/>
        <v>858</v>
      </c>
      <c r="E881" s="1">
        <f>IF($H$11=1,IF(D881&lt;=$A$15, E880+LN($D$11)-LN(60/$E$11)-LN(MIN(D881,$F$11)), E880-LN(60/$E$11)-LN(MIN(D881,$F$11))), IF(D881&lt;=$A$15, E880+LN($D$11)-LN(60/$E$11)-LN(MIN(D881,$F$11)), E880+LN($D$11)+LN(1-$H$11)-LN(60/$E$11)-LN(MIN(D881,$F$11))))</f>
        <v>-102.04884659658127</v>
      </c>
      <c r="F881" s="1">
        <f t="shared" si="83"/>
        <v>-104.05087940578034</v>
      </c>
      <c r="G881" s="1">
        <f t="shared" si="81"/>
        <v>6.475558585824742E-46</v>
      </c>
      <c r="H881" s="1">
        <f t="shared" si="78"/>
        <v>6.3562323350987784E-47</v>
      </c>
      <c r="I881">
        <f>IF($F$11&lt;=D881, IF(D881&lt;=$A$15,D881-$F$11,$C$11),0)</f>
        <v>60</v>
      </c>
      <c r="J881">
        <f t="shared" si="79"/>
        <v>794</v>
      </c>
      <c r="K881" s="5">
        <f>IF(D881&lt;$F$11,H881,0)</f>
        <v>0</v>
      </c>
      <c r="L881">
        <f>IF(D881&lt;$A$15,$D$11,$D$11*(1-$H$11))</f>
        <v>85</v>
      </c>
      <c r="M881">
        <f t="shared" si="80"/>
        <v>1</v>
      </c>
      <c r="N881">
        <f>IF(SUM(I881:J881)&lt;=($G$11/60*$F$11/($E$11/60)),1,0)</f>
        <v>0</v>
      </c>
    </row>
    <row r="882" spans="4:14" x14ac:dyDescent="0.2">
      <c r="D882">
        <f t="shared" si="82"/>
        <v>859</v>
      </c>
      <c r="E882" s="1">
        <f>IF($H$11=1,IF(D882&lt;=$A$15, E881+LN($D$11)-LN(60/$E$11)-LN(MIN(D882,$F$11)), E881-LN(60/$E$11)-LN(MIN(D882,$F$11))), IF(D882&lt;=$A$15, E881+LN($D$11)-LN(60/$E$11)-LN(MIN(D882,$F$11)), E881+LN($D$11)+LN(1-$H$11)-LN(60/$E$11)-LN(MIN(D882,$F$11))))</f>
        <v>-102.17054353155879</v>
      </c>
      <c r="F882" s="1">
        <f t="shared" si="83"/>
        <v>-104.17257634075786</v>
      </c>
      <c r="G882" s="1">
        <f t="shared" si="81"/>
        <v>5.7335674978656492E-46</v>
      </c>
      <c r="H882" s="1">
        <f t="shared" si="78"/>
        <v>5.6279140467020356E-47</v>
      </c>
      <c r="I882">
        <f>IF($F$11&lt;=D882, IF(D882&lt;=$A$15,D882-$F$11,$C$11),0)</f>
        <v>60</v>
      </c>
      <c r="J882">
        <f t="shared" si="79"/>
        <v>795</v>
      </c>
      <c r="K882" s="5">
        <f>IF(D882&lt;$F$11,H882,0)</f>
        <v>0</v>
      </c>
      <c r="L882">
        <f>IF(D882&lt;$A$15,$D$11,$D$11*(1-$H$11))</f>
        <v>85</v>
      </c>
      <c r="M882">
        <f t="shared" si="80"/>
        <v>1</v>
      </c>
      <c r="N882">
        <f>IF(SUM(I882:J882)&lt;=($G$11/60*$F$11/($E$11/60)),1,0)</f>
        <v>0</v>
      </c>
    </row>
    <row r="883" spans="4:14" x14ac:dyDescent="0.2">
      <c r="D883">
        <f t="shared" si="82"/>
        <v>860</v>
      </c>
      <c r="E883" s="1">
        <f>IF($H$11=1,IF(D883&lt;=$A$15, E882+LN($D$11)-LN(60/$E$11)-LN(MIN(D883,$F$11)), E882-LN(60/$E$11)-LN(MIN(D883,$F$11))), IF(D883&lt;=$A$15, E882+LN($D$11)-LN(60/$E$11)-LN(MIN(D883,$F$11)), E882+LN($D$11)+LN(1-$H$11)-LN(60/$E$11)-LN(MIN(D883,$F$11))))</f>
        <v>-102.29224046653631</v>
      </c>
      <c r="F883" s="1">
        <f t="shared" si="83"/>
        <v>-104.29427327573538</v>
      </c>
      <c r="G883" s="1">
        <f t="shared" si="81"/>
        <v>5.0765962220685364E-46</v>
      </c>
      <c r="H883" s="1">
        <f t="shared" si="78"/>
        <v>4.9830488955174199E-47</v>
      </c>
      <c r="I883">
        <f>IF($F$11&lt;=D883, IF(D883&lt;=$A$15,D883-$F$11,$C$11),0)</f>
        <v>60</v>
      </c>
      <c r="J883">
        <f t="shared" si="79"/>
        <v>796</v>
      </c>
      <c r="K883" s="5">
        <f>IF(D883&lt;$F$11,H883,0)</f>
        <v>0</v>
      </c>
      <c r="L883">
        <f>IF(D883&lt;$A$15,$D$11,$D$11*(1-$H$11))</f>
        <v>85</v>
      </c>
      <c r="M883">
        <f t="shared" si="80"/>
        <v>1</v>
      </c>
      <c r="N883">
        <f>IF(SUM(I883:J883)&lt;=($G$11/60*$F$11/($E$11/60)),1,0)</f>
        <v>0</v>
      </c>
    </row>
    <row r="884" spans="4:14" x14ac:dyDescent="0.2">
      <c r="D884">
        <f t="shared" si="82"/>
        <v>861</v>
      </c>
      <c r="E884" s="1">
        <f>IF($H$11=1,IF(D884&lt;=$A$15, E883+LN($D$11)-LN(60/$E$11)-LN(MIN(D884,$F$11)), E883-LN(60/$E$11)-LN(MIN(D884,$F$11))), IF(D884&lt;=$A$15, E883+LN($D$11)-LN(60/$E$11)-LN(MIN(D884,$F$11)), E883+LN($D$11)+LN(1-$H$11)-LN(60/$E$11)-LN(MIN(D884,$F$11))))</f>
        <v>-102.41393740151383</v>
      </c>
      <c r="F884" s="1">
        <f t="shared" si="83"/>
        <v>-104.4159702107129</v>
      </c>
      <c r="G884" s="1">
        <f t="shared" si="81"/>
        <v>4.4949029049565095E-46</v>
      </c>
      <c r="H884" s="1">
        <f t="shared" si="78"/>
        <v>4.4120745429060423E-47</v>
      </c>
      <c r="I884">
        <f>IF($F$11&lt;=D884, IF(D884&lt;=$A$15,D884-$F$11,$C$11),0)</f>
        <v>60</v>
      </c>
      <c r="J884">
        <f t="shared" si="79"/>
        <v>797</v>
      </c>
      <c r="K884" s="5">
        <f>IF(D884&lt;$F$11,H884,0)</f>
        <v>0</v>
      </c>
      <c r="L884">
        <f>IF(D884&lt;$A$15,$D$11,$D$11*(1-$H$11))</f>
        <v>85</v>
      </c>
      <c r="M884">
        <f t="shared" si="80"/>
        <v>1</v>
      </c>
      <c r="N884">
        <f>IF(SUM(I884:J884)&lt;=($G$11/60*$F$11/($E$11/60)),1,0)</f>
        <v>0</v>
      </c>
    </row>
    <row r="885" spans="4:14" x14ac:dyDescent="0.2">
      <c r="D885">
        <f t="shared" si="82"/>
        <v>862</v>
      </c>
      <c r="E885" s="1">
        <f>IF($H$11=1,IF(D885&lt;=$A$15, E884+LN($D$11)-LN(60/$E$11)-LN(MIN(D885,$F$11)), E884-LN(60/$E$11)-LN(MIN(D885,$F$11))), IF(D885&lt;=$A$15, E884+LN($D$11)-LN(60/$E$11)-LN(MIN(D885,$F$11)), E884+LN($D$11)+LN(1-$H$11)-LN(60/$E$11)-LN(MIN(D885,$F$11))))</f>
        <v>-102.53563433649136</v>
      </c>
      <c r="F885" s="1">
        <f t="shared" si="83"/>
        <v>-104.53766714569042</v>
      </c>
      <c r="G885" s="1">
        <f t="shared" si="81"/>
        <v>3.9798619470969042E-46</v>
      </c>
      <c r="H885" s="1">
        <f t="shared" si="78"/>
        <v>3.9065243348647198E-47</v>
      </c>
      <c r="I885">
        <f>IF($F$11&lt;=D885, IF(D885&lt;=$A$15,D885-$F$11,$C$11),0)</f>
        <v>60</v>
      </c>
      <c r="J885">
        <f t="shared" si="79"/>
        <v>798</v>
      </c>
      <c r="K885" s="5">
        <f>IF(D885&lt;$F$11,H885,0)</f>
        <v>0</v>
      </c>
      <c r="L885">
        <f>IF(D885&lt;$A$15,$D$11,$D$11*(1-$H$11))</f>
        <v>85</v>
      </c>
      <c r="M885">
        <f t="shared" si="80"/>
        <v>1</v>
      </c>
      <c r="N885">
        <f>IF(SUM(I885:J885)&lt;=($G$11/60*$F$11/($E$11/60)),1,0)</f>
        <v>0</v>
      </c>
    </row>
    <row r="886" spans="4:14" x14ac:dyDescent="0.2">
      <c r="D886">
        <f t="shared" si="82"/>
        <v>863</v>
      </c>
      <c r="E886" s="1">
        <f>IF($H$11=1,IF(D886&lt;=$A$15, E885+LN($D$11)-LN(60/$E$11)-LN(MIN(D886,$F$11)), E885-LN(60/$E$11)-LN(MIN(D886,$F$11))), IF(D886&lt;=$A$15, E885+LN($D$11)-LN(60/$E$11)-LN(MIN(D886,$F$11)), E885+LN($D$11)+LN(1-$H$11)-LN(60/$E$11)-LN(MIN(D886,$F$11))))</f>
        <v>-102.65733127146888</v>
      </c>
      <c r="F886" s="1">
        <f t="shared" si="83"/>
        <v>-104.65936408066794</v>
      </c>
      <c r="G886" s="1">
        <f t="shared" si="81"/>
        <v>3.5238360989920457E-46</v>
      </c>
      <c r="H886" s="1">
        <f t="shared" si="78"/>
        <v>3.4589017548281324E-47</v>
      </c>
      <c r="I886">
        <f>IF($F$11&lt;=D886, IF(D886&lt;=$A$15,D886-$F$11,$C$11),0)</f>
        <v>60</v>
      </c>
      <c r="J886">
        <f t="shared" si="79"/>
        <v>799</v>
      </c>
      <c r="K886" s="5">
        <f>IF(D886&lt;$F$11,H886,0)</f>
        <v>0</v>
      </c>
      <c r="L886">
        <f>IF(D886&lt;$A$15,$D$11,$D$11*(1-$H$11))</f>
        <v>85</v>
      </c>
      <c r="M886">
        <f t="shared" si="80"/>
        <v>1</v>
      </c>
      <c r="N886">
        <f>IF(SUM(I886:J886)&lt;=($G$11/60*$F$11/($E$11/60)),1,0)</f>
        <v>0</v>
      </c>
    </row>
    <row r="887" spans="4:14" x14ac:dyDescent="0.2">
      <c r="D887">
        <f t="shared" si="82"/>
        <v>864</v>
      </c>
      <c r="E887" s="1">
        <f>IF($H$11=1,IF(D887&lt;=$A$15, E886+LN($D$11)-LN(60/$E$11)-LN(MIN(D887,$F$11)), E886-LN(60/$E$11)-LN(MIN(D887,$F$11))), IF(D887&lt;=$A$15, E886+LN($D$11)-LN(60/$E$11)-LN(MIN(D887,$F$11)), E886+LN($D$11)+LN(1-$H$11)-LN(60/$E$11)-LN(MIN(D887,$F$11))))</f>
        <v>-102.7790282064464</v>
      </c>
      <c r="F887" s="1">
        <f t="shared" si="83"/>
        <v>-104.78106101564546</v>
      </c>
      <c r="G887" s="1">
        <f t="shared" si="81"/>
        <v>3.1200632126492023E-46</v>
      </c>
      <c r="H887" s="1">
        <f t="shared" si="78"/>
        <v>3.0625692620874045E-47</v>
      </c>
      <c r="I887">
        <f>IF($F$11&lt;=D887, IF(D887&lt;=$A$15,D887-$F$11,$C$11),0)</f>
        <v>60</v>
      </c>
      <c r="J887">
        <f t="shared" si="79"/>
        <v>800</v>
      </c>
      <c r="K887" s="5">
        <f>IF(D887&lt;$F$11,H887,0)</f>
        <v>0</v>
      </c>
      <c r="L887">
        <f>IF(D887&lt;$A$15,$D$11,$D$11*(1-$H$11))</f>
        <v>85</v>
      </c>
      <c r="M887">
        <f t="shared" si="80"/>
        <v>1</v>
      </c>
      <c r="N887">
        <f>IF(SUM(I887:J887)&lt;=($G$11/60*$F$11/($E$11/60)),1,0)</f>
        <v>0</v>
      </c>
    </row>
    <row r="888" spans="4:14" x14ac:dyDescent="0.2">
      <c r="D888">
        <f t="shared" si="82"/>
        <v>865</v>
      </c>
      <c r="E888" s="1">
        <f>IF($H$11=1,IF(D888&lt;=$A$15, E887+LN($D$11)-LN(60/$E$11)-LN(MIN(D888,$F$11)), E887-LN(60/$E$11)-LN(MIN(D888,$F$11))), IF(D888&lt;=$A$15, E887+LN($D$11)-LN(60/$E$11)-LN(MIN(D888,$F$11)), E887+LN($D$11)+LN(1-$H$11)-LN(60/$E$11)-LN(MIN(D888,$F$11))))</f>
        <v>-102.90072514142392</v>
      </c>
      <c r="F888" s="1">
        <f t="shared" si="83"/>
        <v>-104.90275795062298</v>
      </c>
      <c r="G888" s="1">
        <f t="shared" si="81"/>
        <v>2.7625559695331441E-46</v>
      </c>
      <c r="H888" s="1">
        <f t="shared" si="78"/>
        <v>2.7116498674732191E-47</v>
      </c>
      <c r="I888">
        <f>IF($F$11&lt;=D888, IF(D888&lt;=$A$15,D888-$F$11,$C$11),0)</f>
        <v>60</v>
      </c>
      <c r="J888">
        <f t="shared" si="79"/>
        <v>801</v>
      </c>
      <c r="K888" s="5">
        <f>IF(D888&lt;$F$11,H888,0)</f>
        <v>0</v>
      </c>
      <c r="L888">
        <f>IF(D888&lt;$A$15,$D$11,$D$11*(1-$H$11))</f>
        <v>85</v>
      </c>
      <c r="M888">
        <f t="shared" si="80"/>
        <v>1</v>
      </c>
      <c r="N888">
        <f>IF(SUM(I888:J888)&lt;=($G$11/60*$F$11/($E$11/60)),1,0)</f>
        <v>0</v>
      </c>
    </row>
    <row r="889" spans="4:14" x14ac:dyDescent="0.2">
      <c r="D889">
        <f t="shared" si="82"/>
        <v>866</v>
      </c>
      <c r="E889" s="1">
        <f>IF($H$11=1,IF(D889&lt;=$A$15, E888+LN($D$11)-LN(60/$E$11)-LN(MIN(D889,$F$11)), E888-LN(60/$E$11)-LN(MIN(D889,$F$11))), IF(D889&lt;=$A$15, E888+LN($D$11)-LN(60/$E$11)-LN(MIN(D889,$F$11)), E888+LN($D$11)+LN(1-$H$11)-LN(60/$E$11)-LN(MIN(D889,$F$11))))</f>
        <v>-103.02242207640144</v>
      </c>
      <c r="F889" s="1">
        <f t="shared" si="83"/>
        <v>-105.02445488560051</v>
      </c>
      <c r="G889" s="1">
        <f t="shared" si="81"/>
        <v>2.4460130980241347E-46</v>
      </c>
      <c r="H889" s="1">
        <f t="shared" si="78"/>
        <v>2.4009399868252424E-47</v>
      </c>
      <c r="I889">
        <f>IF($F$11&lt;=D889, IF(D889&lt;=$A$15,D889-$F$11,$C$11),0)</f>
        <v>60</v>
      </c>
      <c r="J889">
        <f t="shared" si="79"/>
        <v>802</v>
      </c>
      <c r="K889" s="5">
        <f>IF(D889&lt;$F$11,H889,0)</f>
        <v>0</v>
      </c>
      <c r="L889">
        <f>IF(D889&lt;$A$15,$D$11,$D$11*(1-$H$11))</f>
        <v>85</v>
      </c>
      <c r="M889">
        <f t="shared" si="80"/>
        <v>1</v>
      </c>
      <c r="N889">
        <f>IF(SUM(I889:J889)&lt;=($G$11/60*$F$11/($E$11/60)),1,0)</f>
        <v>0</v>
      </c>
    </row>
    <row r="890" spans="4:14" x14ac:dyDescent="0.2">
      <c r="D890">
        <f t="shared" si="82"/>
        <v>867</v>
      </c>
      <c r="E890" s="1">
        <f>IF($H$11=1,IF(D890&lt;=$A$15, E889+LN($D$11)-LN(60/$E$11)-LN(MIN(D890,$F$11)), E889-LN(60/$E$11)-LN(MIN(D890,$F$11))), IF(D890&lt;=$A$15, E889+LN($D$11)-LN(60/$E$11)-LN(MIN(D890,$F$11)), E889+LN($D$11)+LN(1-$H$11)-LN(60/$E$11)-LN(MIN(D890,$F$11))))</f>
        <v>-103.14411901137896</v>
      </c>
      <c r="F890" s="1">
        <f t="shared" si="83"/>
        <v>-105.14615182057803</v>
      </c>
      <c r="G890" s="1">
        <f t="shared" si="81"/>
        <v>2.1657407638755326E-46</v>
      </c>
      <c r="H890" s="1">
        <f t="shared" si="78"/>
        <v>2.1258322800015136E-47</v>
      </c>
      <c r="I890">
        <f>IF($F$11&lt;=D890, IF(D890&lt;=$A$15,D890-$F$11,$C$11),0)</f>
        <v>60</v>
      </c>
      <c r="J890">
        <f t="shared" si="79"/>
        <v>803</v>
      </c>
      <c r="K890" s="5">
        <f>IF(D890&lt;$F$11,H890,0)</f>
        <v>0</v>
      </c>
      <c r="L890">
        <f>IF(D890&lt;$A$15,$D$11,$D$11*(1-$H$11))</f>
        <v>85</v>
      </c>
      <c r="M890">
        <f t="shared" si="80"/>
        <v>1</v>
      </c>
      <c r="N890">
        <f>IF(SUM(I890:J890)&lt;=($G$11/60*$F$11/($E$11/60)),1,0)</f>
        <v>0</v>
      </c>
    </row>
    <row r="891" spans="4:14" x14ac:dyDescent="0.2">
      <c r="D891">
        <f t="shared" si="82"/>
        <v>868</v>
      </c>
      <c r="E891" s="1">
        <f>IF($H$11=1,IF(D891&lt;=$A$15, E890+LN($D$11)-LN(60/$E$11)-LN(MIN(D891,$F$11)), E890-LN(60/$E$11)-LN(MIN(D891,$F$11))), IF(D891&lt;=$A$15, E890+LN($D$11)-LN(60/$E$11)-LN(MIN(D891,$F$11)), E890+LN($D$11)+LN(1-$H$11)-LN(60/$E$11)-LN(MIN(D891,$F$11))))</f>
        <v>-103.26581594635648</v>
      </c>
      <c r="F891" s="1">
        <f t="shared" si="83"/>
        <v>-105.26784875555555</v>
      </c>
      <c r="G891" s="1">
        <f t="shared" si="81"/>
        <v>1.9175829680147918E-46</v>
      </c>
      <c r="H891" s="1">
        <f t="shared" si="78"/>
        <v>1.8822473312513375E-47</v>
      </c>
      <c r="I891">
        <f>IF($F$11&lt;=D891, IF(D891&lt;=$A$15,D891-$F$11,$C$11),0)</f>
        <v>60</v>
      </c>
      <c r="J891">
        <f t="shared" si="79"/>
        <v>804</v>
      </c>
      <c r="K891" s="5">
        <f>IF(D891&lt;$F$11,H891,0)</f>
        <v>0</v>
      </c>
      <c r="L891">
        <f>IF(D891&lt;$A$15,$D$11,$D$11*(1-$H$11))</f>
        <v>85</v>
      </c>
      <c r="M891">
        <f t="shared" si="80"/>
        <v>1</v>
      </c>
      <c r="N891">
        <f>IF(SUM(I891:J891)&lt;=($G$11/60*$F$11/($E$11/60)),1,0)</f>
        <v>0</v>
      </c>
    </row>
    <row r="892" spans="4:14" x14ac:dyDescent="0.2">
      <c r="D892">
        <f t="shared" si="82"/>
        <v>869</v>
      </c>
      <c r="E892" s="1">
        <f>IF($H$11=1,IF(D892&lt;=$A$15, E891+LN($D$11)-LN(60/$E$11)-LN(MIN(D892,$F$11)), E891-LN(60/$E$11)-LN(MIN(D892,$F$11))), IF(D892&lt;=$A$15, E891+LN($D$11)-LN(60/$E$11)-LN(MIN(D892,$F$11)), E891+LN($D$11)+LN(1-$H$11)-LN(60/$E$11)-LN(MIN(D892,$F$11))))</f>
        <v>-103.387512881334</v>
      </c>
      <c r="F892" s="1">
        <f t="shared" si="83"/>
        <v>-105.38954569053307</v>
      </c>
      <c r="G892" s="1">
        <f t="shared" si="81"/>
        <v>1.6978599195964279E-46</v>
      </c>
      <c r="H892" s="1">
        <f t="shared" si="78"/>
        <v>1.6665731578787861E-47</v>
      </c>
      <c r="I892">
        <f>IF($F$11&lt;=D892, IF(D892&lt;=$A$15,D892-$F$11,$C$11),0)</f>
        <v>60</v>
      </c>
      <c r="J892">
        <f t="shared" si="79"/>
        <v>805</v>
      </c>
      <c r="K892" s="5">
        <f>IF(D892&lt;$F$11,H892,0)</f>
        <v>0</v>
      </c>
      <c r="L892">
        <f>IF(D892&lt;$A$15,$D$11,$D$11*(1-$H$11))</f>
        <v>85</v>
      </c>
      <c r="M892">
        <f t="shared" si="80"/>
        <v>1</v>
      </c>
      <c r="N892">
        <f>IF(SUM(I892:J892)&lt;=($G$11/60*$F$11/($E$11/60)),1,0)</f>
        <v>0</v>
      </c>
    </row>
    <row r="893" spans="4:14" x14ac:dyDescent="0.2">
      <c r="D893">
        <f t="shared" si="82"/>
        <v>870</v>
      </c>
      <c r="E893" s="1">
        <f>IF($H$11=1,IF(D893&lt;=$A$15, E892+LN($D$11)-LN(60/$E$11)-LN(MIN(D893,$F$11)), E892-LN(60/$E$11)-LN(MIN(D893,$F$11))), IF(D893&lt;=$A$15, E892+LN($D$11)-LN(60/$E$11)-LN(MIN(D893,$F$11)), E892+LN($D$11)+LN(1-$H$11)-LN(60/$E$11)-LN(MIN(D893,$F$11))))</f>
        <v>-103.50920981631153</v>
      </c>
      <c r="F893" s="1">
        <f t="shared" si="83"/>
        <v>-105.51124262551059</v>
      </c>
      <c r="G893" s="1">
        <f t="shared" si="81"/>
        <v>1.5033134704760017E-46</v>
      </c>
      <c r="H893" s="1">
        <f t="shared" si="78"/>
        <v>1.4756116502051733E-47</v>
      </c>
      <c r="I893">
        <f>IF($F$11&lt;=D893, IF(D893&lt;=$A$15,D893-$F$11,$C$11),0)</f>
        <v>60</v>
      </c>
      <c r="J893">
        <f t="shared" si="79"/>
        <v>806</v>
      </c>
      <c r="K893" s="5">
        <f>IF(D893&lt;$F$11,H893,0)</f>
        <v>0</v>
      </c>
      <c r="L893">
        <f>IF(D893&lt;$A$15,$D$11,$D$11*(1-$H$11))</f>
        <v>85</v>
      </c>
      <c r="M893">
        <f t="shared" si="80"/>
        <v>1</v>
      </c>
      <c r="N893">
        <f>IF(SUM(I893:J893)&lt;=($G$11/60*$F$11/($E$11/60)),1,0)</f>
        <v>0</v>
      </c>
    </row>
    <row r="894" spans="4:14" x14ac:dyDescent="0.2">
      <c r="D894">
        <f t="shared" si="82"/>
        <v>871</v>
      </c>
      <c r="E894" s="1">
        <f>IF($H$11=1,IF(D894&lt;=$A$15, E893+LN($D$11)-LN(60/$E$11)-LN(MIN(D894,$F$11)), E893-LN(60/$E$11)-LN(MIN(D894,$F$11))), IF(D894&lt;=$A$15, E893+LN($D$11)-LN(60/$E$11)-LN(MIN(D894,$F$11)), E893+LN($D$11)+LN(1-$H$11)-LN(60/$E$11)-LN(MIN(D894,$F$11))))</f>
        <v>-103.63090675128905</v>
      </c>
      <c r="F894" s="1">
        <f t="shared" si="83"/>
        <v>-105.63293956048811</v>
      </c>
      <c r="G894" s="1">
        <f t="shared" si="81"/>
        <v>1.3310588019839579E-46</v>
      </c>
      <c r="H894" s="1">
        <f t="shared" si="78"/>
        <v>1.3065311486191619E-47</v>
      </c>
      <c r="I894">
        <f>IF($F$11&lt;=D894, IF(D894&lt;=$A$15,D894-$F$11,$C$11),0)</f>
        <v>60</v>
      </c>
      <c r="J894">
        <f t="shared" si="79"/>
        <v>807</v>
      </c>
      <c r="K894" s="5">
        <f>IF(D894&lt;$F$11,H894,0)</f>
        <v>0</v>
      </c>
      <c r="L894">
        <f>IF(D894&lt;$A$15,$D$11,$D$11*(1-$H$11))</f>
        <v>85</v>
      </c>
      <c r="M894">
        <f t="shared" si="80"/>
        <v>1</v>
      </c>
      <c r="N894">
        <f>IF(SUM(I894:J894)&lt;=($G$11/60*$F$11/($E$11/60)),1,0)</f>
        <v>0</v>
      </c>
    </row>
    <row r="895" spans="4:14" x14ac:dyDescent="0.2">
      <c r="D895">
        <f t="shared" si="82"/>
        <v>872</v>
      </c>
      <c r="E895" s="1">
        <f>IF($H$11=1,IF(D895&lt;=$A$15, E894+LN($D$11)-LN(60/$E$11)-LN(MIN(D895,$F$11)), E894-LN(60/$E$11)-LN(MIN(D895,$F$11))), IF(D895&lt;=$A$15, E894+LN($D$11)-LN(60/$E$11)-LN(MIN(D895,$F$11)), E894+LN($D$11)+LN(1-$H$11)-LN(60/$E$11)-LN(MIN(D895,$F$11))))</f>
        <v>-103.75260368626657</v>
      </c>
      <c r="F895" s="1">
        <f t="shared" si="83"/>
        <v>-105.75463649546563</v>
      </c>
      <c r="G895" s="1">
        <f t="shared" si="81"/>
        <v>1.1785416475899612E-46</v>
      </c>
      <c r="H895" s="1">
        <f t="shared" si="78"/>
        <v>1.1568244545065479E-47</v>
      </c>
      <c r="I895">
        <f>IF($F$11&lt;=D895, IF(D895&lt;=$A$15,D895-$F$11,$C$11),0)</f>
        <v>60</v>
      </c>
      <c r="J895">
        <f t="shared" si="79"/>
        <v>808</v>
      </c>
      <c r="K895" s="5">
        <f>IF(D895&lt;$F$11,H895,0)</f>
        <v>0</v>
      </c>
      <c r="L895">
        <f>IF(D895&lt;$A$15,$D$11,$D$11*(1-$H$11))</f>
        <v>85</v>
      </c>
      <c r="M895">
        <f t="shared" si="80"/>
        <v>1</v>
      </c>
      <c r="N895">
        <f>IF(SUM(I895:J895)&lt;=($G$11/60*$F$11/($E$11/60)),1,0)</f>
        <v>0</v>
      </c>
    </row>
    <row r="896" spans="4:14" x14ac:dyDescent="0.2">
      <c r="D896">
        <f t="shared" si="82"/>
        <v>873</v>
      </c>
      <c r="E896" s="1">
        <f>IF($H$11=1,IF(D896&lt;=$A$15, E895+LN($D$11)-LN(60/$E$11)-LN(MIN(D896,$F$11)), E895-LN(60/$E$11)-LN(MIN(D896,$F$11))), IF(D896&lt;=$A$15, E895+LN($D$11)-LN(60/$E$11)-LN(MIN(D896,$F$11)), E895+LN($D$11)+LN(1-$H$11)-LN(60/$E$11)-LN(MIN(D896,$F$11))))</f>
        <v>-103.87430062124409</v>
      </c>
      <c r="F896" s="1">
        <f t="shared" si="83"/>
        <v>-105.87633343044315</v>
      </c>
      <c r="G896" s="1">
        <f t="shared" si="81"/>
        <v>1.0435004171369432E-46</v>
      </c>
      <c r="H896" s="1">
        <f t="shared" si="78"/>
        <v>1.0242716524276711E-47</v>
      </c>
      <c r="I896">
        <f>IF($F$11&lt;=D896, IF(D896&lt;=$A$15,D896-$F$11,$C$11),0)</f>
        <v>60</v>
      </c>
      <c r="J896">
        <f t="shared" si="79"/>
        <v>809</v>
      </c>
      <c r="K896" s="5">
        <f>IF(D896&lt;$F$11,H896,0)</f>
        <v>0</v>
      </c>
      <c r="L896">
        <f>IF(D896&lt;$A$15,$D$11,$D$11*(1-$H$11))</f>
        <v>85</v>
      </c>
      <c r="M896">
        <f t="shared" si="80"/>
        <v>1</v>
      </c>
      <c r="N896">
        <f>IF(SUM(I896:J896)&lt;=($G$11/60*$F$11/($E$11/60)),1,0)</f>
        <v>0</v>
      </c>
    </row>
    <row r="897" spans="4:14" x14ac:dyDescent="0.2">
      <c r="D897">
        <f t="shared" si="82"/>
        <v>874</v>
      </c>
      <c r="E897" s="1">
        <f>IF($H$11=1,IF(D897&lt;=$A$15, E896+LN($D$11)-LN(60/$E$11)-LN(MIN(D897,$F$11)), E896-LN(60/$E$11)-LN(MIN(D897,$F$11))), IF(D897&lt;=$A$15, E896+LN($D$11)-LN(60/$E$11)-LN(MIN(D897,$F$11)), E896+LN($D$11)+LN(1-$H$11)-LN(60/$E$11)-LN(MIN(D897,$F$11))))</f>
        <v>-103.99599755622161</v>
      </c>
      <c r="F897" s="1">
        <f t="shared" si="83"/>
        <v>-105.99803036542068</v>
      </c>
      <c r="G897" s="1">
        <f t="shared" si="81"/>
        <v>9.239326610066672E-47</v>
      </c>
      <c r="H897" s="1">
        <f t="shared" si="78"/>
        <v>9.0690719225366589E-48</v>
      </c>
      <c r="I897">
        <f>IF($F$11&lt;=D897, IF(D897&lt;=$A$15,D897-$F$11,$C$11),0)</f>
        <v>60</v>
      </c>
      <c r="J897">
        <f t="shared" si="79"/>
        <v>810</v>
      </c>
      <c r="K897" s="5">
        <f>IF(D897&lt;$F$11,H897,0)</f>
        <v>0</v>
      </c>
      <c r="L897">
        <f>IF(D897&lt;$A$15,$D$11,$D$11*(1-$H$11))</f>
        <v>85</v>
      </c>
      <c r="M897">
        <f t="shared" si="80"/>
        <v>1</v>
      </c>
      <c r="N897">
        <f>IF(SUM(I897:J897)&lt;=($G$11/60*$F$11/($E$11/60)),1,0)</f>
        <v>0</v>
      </c>
    </row>
    <row r="898" spans="4:14" x14ac:dyDescent="0.2">
      <c r="D898">
        <f t="shared" si="82"/>
        <v>875</v>
      </c>
      <c r="E898" s="1">
        <f>IF($H$11=1,IF(D898&lt;=$A$15, E897+LN($D$11)-LN(60/$E$11)-LN(MIN(D898,$F$11)), E897-LN(60/$E$11)-LN(MIN(D898,$F$11))), IF(D898&lt;=$A$15, E897+LN($D$11)-LN(60/$E$11)-LN(MIN(D898,$F$11)), E897+LN($D$11)+LN(1-$H$11)-LN(60/$E$11)-LN(MIN(D898,$F$11))))</f>
        <v>-104.11769449119913</v>
      </c>
      <c r="F898" s="1">
        <f t="shared" si="83"/>
        <v>-106.1197273003982</v>
      </c>
      <c r="G898" s="1">
        <f t="shared" si="81"/>
        <v>8.1806537693298534E-47</v>
      </c>
      <c r="H898" s="1">
        <f t="shared" si="78"/>
        <v>8.0299074314126553E-48</v>
      </c>
      <c r="I898">
        <f>IF($F$11&lt;=D898, IF(D898&lt;=$A$15,D898-$F$11,$C$11),0)</f>
        <v>60</v>
      </c>
      <c r="J898">
        <f t="shared" si="79"/>
        <v>811</v>
      </c>
      <c r="K898" s="5">
        <f>IF(D898&lt;$F$11,H898,0)</f>
        <v>0</v>
      </c>
      <c r="L898">
        <f>IF(D898&lt;$A$15,$D$11,$D$11*(1-$H$11))</f>
        <v>85</v>
      </c>
      <c r="M898">
        <f t="shared" si="80"/>
        <v>1</v>
      </c>
      <c r="N898">
        <f>IF(SUM(I898:J898)&lt;=($G$11/60*$F$11/($E$11/60)),1,0)</f>
        <v>0</v>
      </c>
    </row>
    <row r="899" spans="4:14" x14ac:dyDescent="0.2">
      <c r="D899">
        <f t="shared" si="82"/>
        <v>876</v>
      </c>
      <c r="E899" s="1">
        <f>IF($H$11=1,IF(D899&lt;=$A$15, E898+LN($D$11)-LN(60/$E$11)-LN(MIN(D899,$F$11)), E898-LN(60/$E$11)-LN(MIN(D899,$F$11))), IF(D899&lt;=$A$15, E898+LN($D$11)-LN(60/$E$11)-LN(MIN(D899,$F$11)), E898+LN($D$11)+LN(1-$H$11)-LN(60/$E$11)-LN(MIN(D899,$F$11))))</f>
        <v>-104.23939142617665</v>
      </c>
      <c r="F899" s="1">
        <f t="shared" si="83"/>
        <v>-106.24142423537572</v>
      </c>
      <c r="G899" s="1">
        <f t="shared" si="81"/>
        <v>7.2432871915941311E-47</v>
      </c>
      <c r="H899" s="1">
        <f t="shared" si="78"/>
        <v>7.1098138715632781E-48</v>
      </c>
      <c r="I899">
        <f>IF($F$11&lt;=D899, IF(D899&lt;=$A$15,D899-$F$11,$C$11),0)</f>
        <v>60</v>
      </c>
      <c r="J899">
        <f t="shared" si="79"/>
        <v>812</v>
      </c>
      <c r="K899" s="5">
        <f>IF(D899&lt;$F$11,H899,0)</f>
        <v>0</v>
      </c>
      <c r="L899">
        <f>IF(D899&lt;$A$15,$D$11,$D$11*(1-$H$11))</f>
        <v>85</v>
      </c>
      <c r="M899">
        <f t="shared" si="80"/>
        <v>1</v>
      </c>
      <c r="N899">
        <f>IF(SUM(I899:J899)&lt;=($G$11/60*$F$11/($E$11/60)),1,0)</f>
        <v>0</v>
      </c>
    </row>
    <row r="900" spans="4:14" x14ac:dyDescent="0.2">
      <c r="D900">
        <f t="shared" si="82"/>
        <v>877</v>
      </c>
      <c r="E900" s="1">
        <f>IF($H$11=1,IF(D900&lt;=$A$15, E899+LN($D$11)-LN(60/$E$11)-LN(MIN(D900,$F$11)), E899-LN(60/$E$11)-LN(MIN(D900,$F$11))), IF(D900&lt;=$A$15, E899+LN($D$11)-LN(60/$E$11)-LN(MIN(D900,$F$11)), E899+LN($D$11)+LN(1-$H$11)-LN(60/$E$11)-LN(MIN(D900,$F$11))))</f>
        <v>-104.36108836115417</v>
      </c>
      <c r="F900" s="1">
        <f t="shared" si="83"/>
        <v>-106.36312117035324</v>
      </c>
      <c r="G900" s="1">
        <f t="shared" si="81"/>
        <v>6.4133272008906281E-47</v>
      </c>
      <c r="H900" s="1">
        <f t="shared" si="78"/>
        <v>6.2951476987799776E-48</v>
      </c>
      <c r="I900">
        <f>IF($F$11&lt;=D900, IF(D900&lt;=$A$15,D900-$F$11,$C$11),0)</f>
        <v>60</v>
      </c>
      <c r="J900">
        <f t="shared" si="79"/>
        <v>813</v>
      </c>
      <c r="K900" s="5">
        <f>IF(D900&lt;$F$11,H900,0)</f>
        <v>0</v>
      </c>
      <c r="L900">
        <f>IF(D900&lt;$A$15,$D$11,$D$11*(1-$H$11))</f>
        <v>85</v>
      </c>
      <c r="M900">
        <f t="shared" si="80"/>
        <v>1</v>
      </c>
      <c r="N900">
        <f>IF(SUM(I900:J900)&lt;=($G$11/60*$F$11/($E$11/60)),1,0)</f>
        <v>0</v>
      </c>
    </row>
    <row r="901" spans="4:14" x14ac:dyDescent="0.2">
      <c r="D901">
        <f t="shared" si="82"/>
        <v>878</v>
      </c>
      <c r="E901" s="1">
        <f>IF($H$11=1,IF(D901&lt;=$A$15, E900+LN($D$11)-LN(60/$E$11)-LN(MIN(D901,$F$11)), E900-LN(60/$E$11)-LN(MIN(D901,$F$11))), IF(D901&lt;=$A$15, E900+LN($D$11)-LN(60/$E$11)-LN(MIN(D901,$F$11)), E900+LN($D$11)+LN(1-$H$11)-LN(60/$E$11)-LN(MIN(D901,$F$11))))</f>
        <v>-104.48278529613169</v>
      </c>
      <c r="F901" s="1">
        <f t="shared" si="83"/>
        <v>-106.48481810533076</v>
      </c>
      <c r="G901" s="1">
        <f t="shared" si="81"/>
        <v>5.6784667924552353E-47</v>
      </c>
      <c r="H901" s="1">
        <f t="shared" si="78"/>
        <v>5.5738286916280965E-48</v>
      </c>
      <c r="I901">
        <f>IF($F$11&lt;=D901, IF(D901&lt;=$A$15,D901-$F$11,$C$11),0)</f>
        <v>60</v>
      </c>
      <c r="J901">
        <f t="shared" si="79"/>
        <v>814</v>
      </c>
      <c r="K901" s="5">
        <f>IF(D901&lt;$F$11,H901,0)</f>
        <v>0</v>
      </c>
      <c r="L901">
        <f>IF(D901&lt;$A$15,$D$11,$D$11*(1-$H$11))</f>
        <v>85</v>
      </c>
      <c r="M901">
        <f t="shared" si="80"/>
        <v>1</v>
      </c>
      <c r="N901">
        <f>IF(SUM(I901:J901)&lt;=($G$11/60*$F$11/($E$11/60)),1,0)</f>
        <v>0</v>
      </c>
    </row>
    <row r="902" spans="4:14" x14ac:dyDescent="0.2">
      <c r="D902">
        <f t="shared" si="82"/>
        <v>879</v>
      </c>
      <c r="E902" s="1">
        <f>IF($H$11=1,IF(D902&lt;=$A$15, E901+LN($D$11)-LN(60/$E$11)-LN(MIN(D902,$F$11)), E901-LN(60/$E$11)-LN(MIN(D902,$F$11))), IF(D902&lt;=$A$15, E901+LN($D$11)-LN(60/$E$11)-LN(MIN(D902,$F$11)), E901+LN($D$11)+LN(1-$H$11)-LN(60/$E$11)-LN(MIN(D902,$F$11))))</f>
        <v>-104.60448223110922</v>
      </c>
      <c r="F902" s="1">
        <f t="shared" si="83"/>
        <v>-106.60651504030828</v>
      </c>
      <c r="G902" s="1">
        <f t="shared" si="81"/>
        <v>5.0278091391530656E-47</v>
      </c>
      <c r="H902" s="1">
        <f t="shared" si="78"/>
        <v>4.9351608207123704E-48</v>
      </c>
      <c r="I902">
        <f>IF($F$11&lt;=D902, IF(D902&lt;=$A$15,D902-$F$11,$C$11),0)</f>
        <v>60</v>
      </c>
      <c r="J902">
        <f t="shared" si="79"/>
        <v>815</v>
      </c>
      <c r="K902" s="5">
        <f>IF(D902&lt;$F$11,H902,0)</f>
        <v>0</v>
      </c>
      <c r="L902">
        <f>IF(D902&lt;$A$15,$D$11,$D$11*(1-$H$11))</f>
        <v>85</v>
      </c>
      <c r="M902">
        <f t="shared" si="80"/>
        <v>1</v>
      </c>
      <c r="N902">
        <f>IF(SUM(I902:J902)&lt;=($G$11/60*$F$11/($E$11/60)),1,0)</f>
        <v>0</v>
      </c>
    </row>
    <row r="903" spans="4:14" x14ac:dyDescent="0.2">
      <c r="D903">
        <f t="shared" si="82"/>
        <v>880</v>
      </c>
      <c r="E903" s="1">
        <f>IF($H$11=1,IF(D903&lt;=$A$15, E902+LN($D$11)-LN(60/$E$11)-LN(MIN(D903,$F$11)), E902-LN(60/$E$11)-LN(MIN(D903,$F$11))), IF(D903&lt;=$A$15, E902+LN($D$11)-LN(60/$E$11)-LN(MIN(D903,$F$11)), E902+LN($D$11)+LN(1-$H$11)-LN(60/$E$11)-LN(MIN(D903,$F$11))))</f>
        <v>-104.72617916608674</v>
      </c>
      <c r="F903" s="1">
        <f t="shared" si="83"/>
        <v>-106.7282119752858</v>
      </c>
      <c r="G903" s="1">
        <f t="shared" si="81"/>
        <v>4.451706008625104E-47</v>
      </c>
      <c r="H903" s="1">
        <f t="shared" si="78"/>
        <v>4.3696736433390718E-48</v>
      </c>
      <c r="I903">
        <f>IF($F$11&lt;=D903, IF(D903&lt;=$A$15,D903-$F$11,$C$11),0)</f>
        <v>60</v>
      </c>
      <c r="J903">
        <f t="shared" si="79"/>
        <v>816</v>
      </c>
      <c r="K903" s="5">
        <f>IF(D903&lt;$F$11,H903,0)</f>
        <v>0</v>
      </c>
      <c r="L903">
        <f>IF(D903&lt;$A$15,$D$11,$D$11*(1-$H$11))</f>
        <v>85</v>
      </c>
      <c r="M903">
        <f t="shared" si="80"/>
        <v>1</v>
      </c>
      <c r="N903">
        <f>IF(SUM(I903:J903)&lt;=($G$11/60*$F$11/($E$11/60)),1,0)</f>
        <v>0</v>
      </c>
    </row>
    <row r="904" spans="4:14" x14ac:dyDescent="0.2">
      <c r="D904">
        <f t="shared" si="82"/>
        <v>881</v>
      </c>
      <c r="E904" s="1">
        <f>IF($H$11=1,IF(D904&lt;=$A$15, E903+LN($D$11)-LN(60/$E$11)-LN(MIN(D904,$F$11)), E903-LN(60/$E$11)-LN(MIN(D904,$F$11))), IF(D904&lt;=$A$15, E903+LN($D$11)-LN(60/$E$11)-LN(MIN(D904,$F$11)), E903+LN($D$11)+LN(1-$H$11)-LN(60/$E$11)-LN(MIN(D904,$F$11))))</f>
        <v>-104.84787610106426</v>
      </c>
      <c r="F904" s="1">
        <f t="shared" si="83"/>
        <v>-106.84990891026332</v>
      </c>
      <c r="G904" s="1">
        <f t="shared" si="81"/>
        <v>3.941614695136805E-47</v>
      </c>
      <c r="H904" s="1">
        <f t="shared" si="78"/>
        <v>3.8689818717064639E-48</v>
      </c>
      <c r="I904">
        <f>IF($F$11&lt;=D904, IF(D904&lt;=$A$15,D904-$F$11,$C$11),0)</f>
        <v>60</v>
      </c>
      <c r="J904">
        <f t="shared" si="79"/>
        <v>817</v>
      </c>
      <c r="K904" s="5">
        <f>IF(D904&lt;$F$11,H904,0)</f>
        <v>0</v>
      </c>
      <c r="L904">
        <f>IF(D904&lt;$A$15,$D$11,$D$11*(1-$H$11))</f>
        <v>85</v>
      </c>
      <c r="M904">
        <f t="shared" si="80"/>
        <v>1</v>
      </c>
      <c r="N904">
        <f>IF(SUM(I904:J904)&lt;=($G$11/60*$F$11/($E$11/60)),1,0)</f>
        <v>0</v>
      </c>
    </row>
    <row r="905" spans="4:14" x14ac:dyDescent="0.2">
      <c r="D905">
        <f t="shared" si="82"/>
        <v>882</v>
      </c>
      <c r="E905" s="1">
        <f>IF($H$11=1,IF(D905&lt;=$A$15, E904+LN($D$11)-LN(60/$E$11)-LN(MIN(D905,$F$11)), E904-LN(60/$E$11)-LN(MIN(D905,$F$11))), IF(D905&lt;=$A$15, E904+LN($D$11)-LN(60/$E$11)-LN(MIN(D905,$F$11)), E904+LN($D$11)+LN(1-$H$11)-LN(60/$E$11)-LN(MIN(D905,$F$11))))</f>
        <v>-104.96957303604178</v>
      </c>
      <c r="F905" s="1">
        <f t="shared" si="83"/>
        <v>-106.97160584524084</v>
      </c>
      <c r="G905" s="1">
        <f t="shared" si="81"/>
        <v>3.4899713446523747E-47</v>
      </c>
      <c r="H905" s="1">
        <f t="shared" si="78"/>
        <v>3.4256610322400936E-48</v>
      </c>
      <c r="I905">
        <f>IF($F$11&lt;=D905, IF(D905&lt;=$A$15,D905-$F$11,$C$11),0)</f>
        <v>60</v>
      </c>
      <c r="J905">
        <f t="shared" si="79"/>
        <v>818</v>
      </c>
      <c r="K905" s="5">
        <f>IF(D905&lt;$F$11,H905,0)</f>
        <v>0</v>
      </c>
      <c r="L905">
        <f>IF(D905&lt;$A$15,$D$11,$D$11*(1-$H$11))</f>
        <v>85</v>
      </c>
      <c r="M905">
        <f t="shared" si="80"/>
        <v>1</v>
      </c>
      <c r="N905">
        <f>IF(SUM(I905:J905)&lt;=($G$11/60*$F$11/($E$11/60)),1,0)</f>
        <v>0</v>
      </c>
    </row>
    <row r="906" spans="4:14" x14ac:dyDescent="0.2">
      <c r="D906">
        <f t="shared" si="82"/>
        <v>883</v>
      </c>
      <c r="E906" s="1">
        <f>IF($H$11=1,IF(D906&lt;=$A$15, E905+LN($D$11)-LN(60/$E$11)-LN(MIN(D906,$F$11)), E905-LN(60/$E$11)-LN(MIN(D906,$F$11))), IF(D906&lt;=$A$15, E905+LN($D$11)-LN(60/$E$11)-LN(MIN(D906,$F$11)), E905+LN($D$11)+LN(1-$H$11)-LN(60/$E$11)-LN(MIN(D906,$F$11))))</f>
        <v>-105.0912699710193</v>
      </c>
      <c r="F906" s="1">
        <f t="shared" si="83"/>
        <v>-107.09330278021837</v>
      </c>
      <c r="G906" s="1">
        <f t="shared" si="81"/>
        <v>3.0900787947442856E-47</v>
      </c>
      <c r="H906" s="1">
        <f t="shared" si="78"/>
        <v>3.0331373722959121E-48</v>
      </c>
      <c r="I906">
        <f>IF($F$11&lt;=D906, IF(D906&lt;=$A$15,D906-$F$11,$C$11),0)</f>
        <v>60</v>
      </c>
      <c r="J906">
        <f t="shared" si="79"/>
        <v>819</v>
      </c>
      <c r="K906" s="5">
        <f>IF(D906&lt;$F$11,H906,0)</f>
        <v>0</v>
      </c>
      <c r="L906">
        <f>IF(D906&lt;$A$15,$D$11,$D$11*(1-$H$11))</f>
        <v>85</v>
      </c>
      <c r="M906">
        <f t="shared" si="80"/>
        <v>1</v>
      </c>
      <c r="N906">
        <f>IF(SUM(I906:J906)&lt;=($G$11/60*$F$11/($E$11/60)),1,0)</f>
        <v>0</v>
      </c>
    </row>
    <row r="907" spans="4:14" x14ac:dyDescent="0.2">
      <c r="D907">
        <f t="shared" si="82"/>
        <v>884</v>
      </c>
      <c r="E907" s="1">
        <f>IF($H$11=1,IF(D907&lt;=$A$15, E906+LN($D$11)-LN(60/$E$11)-LN(MIN(D907,$F$11)), E906-LN(60/$E$11)-LN(MIN(D907,$F$11))), IF(D907&lt;=$A$15, E906+LN($D$11)-LN(60/$E$11)-LN(MIN(D907,$F$11)), E906+LN($D$11)+LN(1-$H$11)-LN(60/$E$11)-LN(MIN(D907,$F$11))))</f>
        <v>-105.21296690599682</v>
      </c>
      <c r="F907" s="1">
        <f t="shared" si="83"/>
        <v>-107.21499971519589</v>
      </c>
      <c r="G907" s="1">
        <f t="shared" si="81"/>
        <v>2.7360072661798322E-47</v>
      </c>
      <c r="H907" s="1">
        <f t="shared" si="78"/>
        <v>2.6855903817203346E-48</v>
      </c>
      <c r="I907">
        <f>IF($F$11&lt;=D907, IF(D907&lt;=$A$15,D907-$F$11,$C$11),0)</f>
        <v>60</v>
      </c>
      <c r="J907">
        <f t="shared" si="79"/>
        <v>820</v>
      </c>
      <c r="K907" s="5">
        <f>IF(D907&lt;$F$11,H907,0)</f>
        <v>0</v>
      </c>
      <c r="L907">
        <f>IF(D907&lt;$A$15,$D$11,$D$11*(1-$H$11))</f>
        <v>85</v>
      </c>
      <c r="M907">
        <f t="shared" si="80"/>
        <v>1</v>
      </c>
      <c r="N907">
        <f>IF(SUM(I907:J907)&lt;=($G$11/60*$F$11/($E$11/60)),1,0)</f>
        <v>0</v>
      </c>
    </row>
    <row r="908" spans="4:14" x14ac:dyDescent="0.2">
      <c r="D908">
        <f t="shared" si="82"/>
        <v>885</v>
      </c>
      <c r="E908" s="1">
        <f>IF($H$11=1,IF(D908&lt;=$A$15, E907+LN($D$11)-LN(60/$E$11)-LN(MIN(D908,$F$11)), E907-LN(60/$E$11)-LN(MIN(D908,$F$11))), IF(D908&lt;=$A$15, E907+LN($D$11)-LN(60/$E$11)-LN(MIN(D908,$F$11)), E907+LN($D$11)+LN(1-$H$11)-LN(60/$E$11)-LN(MIN(D908,$F$11))))</f>
        <v>-105.33466384097434</v>
      </c>
      <c r="F908" s="1">
        <f t="shared" si="83"/>
        <v>-107.33669665017341</v>
      </c>
      <c r="G908" s="1">
        <f t="shared" si="81"/>
        <v>2.4225064335967232E-47</v>
      </c>
      <c r="H908" s="1">
        <f t="shared" si="78"/>
        <v>2.3778664838148764E-48</v>
      </c>
      <c r="I908">
        <f>IF($F$11&lt;=D908, IF(D908&lt;=$A$15,D908-$F$11,$C$11),0)</f>
        <v>60</v>
      </c>
      <c r="J908">
        <f t="shared" si="79"/>
        <v>821</v>
      </c>
      <c r="K908" s="5">
        <f>IF(D908&lt;$F$11,H908,0)</f>
        <v>0</v>
      </c>
      <c r="L908">
        <f>IF(D908&lt;$A$15,$D$11,$D$11*(1-$H$11))</f>
        <v>85</v>
      </c>
      <c r="M908">
        <f t="shared" si="80"/>
        <v>1</v>
      </c>
      <c r="N908">
        <f>IF(SUM(I908:J908)&lt;=($G$11/60*$F$11/($E$11/60)),1,0)</f>
        <v>0</v>
      </c>
    </row>
    <row r="909" spans="4:14" x14ac:dyDescent="0.2">
      <c r="D909">
        <f t="shared" si="82"/>
        <v>886</v>
      </c>
      <c r="E909" s="1">
        <f>IF($H$11=1,IF(D909&lt;=$A$15, E908+LN($D$11)-LN(60/$E$11)-LN(MIN(D909,$F$11)), E908-LN(60/$E$11)-LN(MIN(D909,$F$11))), IF(D909&lt;=$A$15, E908+LN($D$11)-LN(60/$E$11)-LN(MIN(D909,$F$11)), E908+LN($D$11)+LN(1-$H$11)-LN(60/$E$11)-LN(MIN(D909,$F$11))))</f>
        <v>-105.45636077595186</v>
      </c>
      <c r="F909" s="1">
        <f t="shared" si="83"/>
        <v>-107.45839358515093</v>
      </c>
      <c r="G909" s="1">
        <f t="shared" si="81"/>
        <v>2.144927571413762E-47</v>
      </c>
      <c r="H909" s="1">
        <f t="shared" si="78"/>
        <v>2.105402615877752E-48</v>
      </c>
      <c r="I909">
        <f>IF($F$11&lt;=D909, IF(D909&lt;=$A$15,D909-$F$11,$C$11),0)</f>
        <v>60</v>
      </c>
      <c r="J909">
        <f t="shared" si="79"/>
        <v>822</v>
      </c>
      <c r="K909" s="5">
        <f>IF(D909&lt;$F$11,H909,0)</f>
        <v>0</v>
      </c>
      <c r="L909">
        <f>IF(D909&lt;$A$15,$D$11,$D$11*(1-$H$11))</f>
        <v>85</v>
      </c>
      <c r="M909">
        <f t="shared" si="80"/>
        <v>1</v>
      </c>
      <c r="N909">
        <f>IF(SUM(I909:J909)&lt;=($G$11/60*$F$11/($E$11/60)),1,0)</f>
        <v>0</v>
      </c>
    </row>
    <row r="910" spans="4:14" x14ac:dyDescent="0.2">
      <c r="D910">
        <f t="shared" si="82"/>
        <v>887</v>
      </c>
      <c r="E910" s="1">
        <f>IF($H$11=1,IF(D910&lt;=$A$15, E909+LN($D$11)-LN(60/$E$11)-LN(MIN(D910,$F$11)), E909-LN(60/$E$11)-LN(MIN(D910,$F$11))), IF(D910&lt;=$A$15, E909+LN($D$11)-LN(60/$E$11)-LN(MIN(D910,$F$11)), E909+LN($D$11)+LN(1-$H$11)-LN(60/$E$11)-LN(MIN(D910,$F$11))))</f>
        <v>-105.57805771092939</v>
      </c>
      <c r="F910" s="1">
        <f t="shared" si="83"/>
        <v>-107.58009052012845</v>
      </c>
      <c r="G910" s="1">
        <f t="shared" si="81"/>
        <v>1.8991546205225991E-47</v>
      </c>
      <c r="H910" s="1">
        <f t="shared" si="78"/>
        <v>1.864158566141757E-48</v>
      </c>
      <c r="I910">
        <f>IF($F$11&lt;=D910, IF(D910&lt;=$A$15,D910-$F$11,$C$11),0)</f>
        <v>60</v>
      </c>
      <c r="J910">
        <f t="shared" si="79"/>
        <v>823</v>
      </c>
      <c r="K910" s="5">
        <f>IF(D910&lt;$F$11,H910,0)</f>
        <v>0</v>
      </c>
      <c r="L910">
        <f>IF(D910&lt;$A$15,$D$11,$D$11*(1-$H$11))</f>
        <v>85</v>
      </c>
      <c r="M910">
        <f t="shared" si="80"/>
        <v>1</v>
      </c>
      <c r="N910">
        <f>IF(SUM(I910:J910)&lt;=($G$11/60*$F$11/($E$11/60)),1,0)</f>
        <v>0</v>
      </c>
    </row>
    <row r="911" spans="4:14" x14ac:dyDescent="0.2">
      <c r="D911">
        <f t="shared" si="82"/>
        <v>888</v>
      </c>
      <c r="E911" s="1">
        <f>IF($H$11=1,IF(D911&lt;=$A$15, E910+LN($D$11)-LN(60/$E$11)-LN(MIN(D911,$F$11)), E910-LN(60/$E$11)-LN(MIN(D911,$F$11))), IF(D911&lt;=$A$15, E910+LN($D$11)-LN(60/$E$11)-LN(MIN(D911,$F$11)), E910+LN($D$11)+LN(1-$H$11)-LN(60/$E$11)-LN(MIN(D911,$F$11))))</f>
        <v>-105.69975464590691</v>
      </c>
      <c r="F911" s="1">
        <f t="shared" si="83"/>
        <v>-107.70178745510597</v>
      </c>
      <c r="G911" s="1">
        <f t="shared" si="81"/>
        <v>1.6815431535877156E-47</v>
      </c>
      <c r="H911" s="1">
        <f t="shared" si="78"/>
        <v>1.6505570637713452E-48</v>
      </c>
      <c r="I911">
        <f>IF($F$11&lt;=D911, IF(D911&lt;=$A$15,D911-$F$11,$C$11),0)</f>
        <v>60</v>
      </c>
      <c r="J911">
        <f t="shared" si="79"/>
        <v>824</v>
      </c>
      <c r="K911" s="5">
        <f>IF(D911&lt;$F$11,H911,0)</f>
        <v>0</v>
      </c>
      <c r="L911">
        <f>IF(D911&lt;$A$15,$D$11,$D$11*(1-$H$11))</f>
        <v>85</v>
      </c>
      <c r="M911">
        <f t="shared" si="80"/>
        <v>1</v>
      </c>
      <c r="N911">
        <f>IF(SUM(I911:J911)&lt;=($G$11/60*$F$11/($E$11/60)),1,0)</f>
        <v>0</v>
      </c>
    </row>
    <row r="912" spans="4:14" x14ac:dyDescent="0.2">
      <c r="D912">
        <f t="shared" si="82"/>
        <v>889</v>
      </c>
      <c r="E912" s="1">
        <f>IF($H$11=1,IF(D912&lt;=$A$15, E911+LN($D$11)-LN(60/$E$11)-LN(MIN(D912,$F$11)), E911-LN(60/$E$11)-LN(MIN(D912,$F$11))), IF(D912&lt;=$A$15, E911+LN($D$11)-LN(60/$E$11)-LN(MIN(D912,$F$11)), E911+LN($D$11)+LN(1-$H$11)-LN(60/$E$11)-LN(MIN(D912,$F$11))))</f>
        <v>-105.82145158088443</v>
      </c>
      <c r="F912" s="1">
        <f t="shared" si="83"/>
        <v>-107.82348439008349</v>
      </c>
      <c r="G912" s="1">
        <f t="shared" si="81"/>
        <v>1.4888663339057876E-47</v>
      </c>
      <c r="H912" s="1">
        <f t="shared" si="78"/>
        <v>1.4614307335475429E-48</v>
      </c>
      <c r="I912">
        <f>IF($F$11&lt;=D912, IF(D912&lt;=$A$15,D912-$F$11,$C$11),0)</f>
        <v>60</v>
      </c>
      <c r="J912">
        <f t="shared" si="79"/>
        <v>825</v>
      </c>
      <c r="K912" s="5">
        <f>IF(D912&lt;$F$11,H912,0)</f>
        <v>0</v>
      </c>
      <c r="L912">
        <f>IF(D912&lt;$A$15,$D$11,$D$11*(1-$H$11))</f>
        <v>85</v>
      </c>
      <c r="M912">
        <f t="shared" si="80"/>
        <v>1</v>
      </c>
      <c r="N912">
        <f>IF(SUM(I912:J912)&lt;=($G$11/60*$F$11/($E$11/60)),1,0)</f>
        <v>0</v>
      </c>
    </row>
    <row r="913" spans="4:14" x14ac:dyDescent="0.2">
      <c r="D913">
        <f t="shared" si="82"/>
        <v>890</v>
      </c>
      <c r="E913" s="1">
        <f>IF($H$11=1,IF(D913&lt;=$A$15, E912+LN($D$11)-LN(60/$E$11)-LN(MIN(D913,$F$11)), E912-LN(60/$E$11)-LN(MIN(D913,$F$11))), IF(D913&lt;=$A$15, E912+LN($D$11)-LN(60/$E$11)-LN(MIN(D913,$F$11)), E912+LN($D$11)+LN(1-$H$11)-LN(60/$E$11)-LN(MIN(D913,$F$11))))</f>
        <v>-105.94314851586195</v>
      </c>
      <c r="F913" s="1">
        <f t="shared" si="83"/>
        <v>-107.94518132506101</v>
      </c>
      <c r="G913" s="1">
        <f t="shared" si="81"/>
        <v>1.3182670664790811E-47</v>
      </c>
      <c r="H913" s="1">
        <f t="shared" si="78"/>
        <v>1.2939751286618852E-48</v>
      </c>
      <c r="I913">
        <f>IF($F$11&lt;=D913, IF(D913&lt;=$A$15,D913-$F$11,$C$11),0)</f>
        <v>60</v>
      </c>
      <c r="J913">
        <f t="shared" si="79"/>
        <v>826</v>
      </c>
      <c r="K913" s="5">
        <f>IF(D913&lt;$F$11,H913,0)</f>
        <v>0</v>
      </c>
      <c r="L913">
        <f>IF(D913&lt;$A$15,$D$11,$D$11*(1-$H$11))</f>
        <v>85</v>
      </c>
      <c r="M913">
        <f t="shared" si="80"/>
        <v>1</v>
      </c>
      <c r="N913">
        <f>IF(SUM(I913:J913)&lt;=($G$11/60*$F$11/($E$11/60)),1,0)</f>
        <v>0</v>
      </c>
    </row>
    <row r="914" spans="4:14" x14ac:dyDescent="0.2">
      <c r="D914">
        <f t="shared" si="82"/>
        <v>891</v>
      </c>
      <c r="E914" s="1">
        <f>IF($H$11=1,IF(D914&lt;=$A$15, E913+LN($D$11)-LN(60/$E$11)-LN(MIN(D914,$F$11)), E913-LN(60/$E$11)-LN(MIN(D914,$F$11))), IF(D914&lt;=$A$15, E913+LN($D$11)-LN(60/$E$11)-LN(MIN(D914,$F$11)), E913+LN($D$11)+LN(1-$H$11)-LN(60/$E$11)-LN(MIN(D914,$F$11))))</f>
        <v>-106.06484545083947</v>
      </c>
      <c r="F914" s="1">
        <f t="shared" si="83"/>
        <v>-108.06687826003854</v>
      </c>
      <c r="G914" s="1">
        <f t="shared" si="81"/>
        <v>1.1672156317783514E-47</v>
      </c>
      <c r="H914" s="1">
        <f t="shared" si="78"/>
        <v>1.145707145169376E-48</v>
      </c>
      <c r="I914">
        <f>IF($F$11&lt;=D914, IF(D914&lt;=$A$15,D914-$F$11,$C$11),0)</f>
        <v>60</v>
      </c>
      <c r="J914">
        <f t="shared" si="79"/>
        <v>827</v>
      </c>
      <c r="K914" s="5">
        <f>IF(D914&lt;$F$11,H914,0)</f>
        <v>0</v>
      </c>
      <c r="L914">
        <f>IF(D914&lt;$A$15,$D$11,$D$11*(1-$H$11))</f>
        <v>85</v>
      </c>
      <c r="M914">
        <f t="shared" si="80"/>
        <v>1</v>
      </c>
      <c r="N914">
        <f>IF(SUM(I914:J914)&lt;=($G$11/60*$F$11/($E$11/60)),1,0)</f>
        <v>0</v>
      </c>
    </row>
    <row r="915" spans="4:14" x14ac:dyDescent="0.2">
      <c r="D915">
        <f t="shared" si="82"/>
        <v>892</v>
      </c>
      <c r="E915" s="1">
        <f>IF($H$11=1,IF(D915&lt;=$A$15, E914+LN($D$11)-LN(60/$E$11)-LN(MIN(D915,$F$11)), E914-LN(60/$E$11)-LN(MIN(D915,$F$11))), IF(D915&lt;=$A$15, E914+LN($D$11)-LN(60/$E$11)-LN(MIN(D915,$F$11)), E914+LN($D$11)+LN(1-$H$11)-LN(60/$E$11)-LN(MIN(D915,$F$11))))</f>
        <v>-106.18654238581699</v>
      </c>
      <c r="F915" s="1">
        <f t="shared" si="83"/>
        <v>-108.18857519501606</v>
      </c>
      <c r="G915" s="1">
        <f t="shared" si="81"/>
        <v>1.0334721739704138E-47</v>
      </c>
      <c r="H915" s="1">
        <f t="shared" si="78"/>
        <v>1.0144282014520501E-48</v>
      </c>
      <c r="I915">
        <f>IF($F$11&lt;=D915, IF(D915&lt;=$A$15,D915-$F$11,$C$11),0)</f>
        <v>60</v>
      </c>
      <c r="J915">
        <f t="shared" si="79"/>
        <v>828</v>
      </c>
      <c r="K915" s="5">
        <f>IF(D915&lt;$F$11,H915,0)</f>
        <v>0</v>
      </c>
      <c r="L915">
        <f>IF(D915&lt;$A$15,$D$11,$D$11*(1-$H$11))</f>
        <v>85</v>
      </c>
      <c r="M915">
        <f t="shared" si="80"/>
        <v>1</v>
      </c>
      <c r="N915">
        <f>IF(SUM(I915:J915)&lt;=($G$11/60*$F$11/($E$11/60)),1,0)</f>
        <v>0</v>
      </c>
    </row>
    <row r="916" spans="4:14" x14ac:dyDescent="0.2">
      <c r="D916">
        <f t="shared" si="82"/>
        <v>893</v>
      </c>
      <c r="E916" s="1">
        <f>IF($H$11=1,IF(D916&lt;=$A$15, E915+LN($D$11)-LN(60/$E$11)-LN(MIN(D916,$F$11)), E915-LN(60/$E$11)-LN(MIN(D916,$F$11))), IF(D916&lt;=$A$15, E915+LN($D$11)-LN(60/$E$11)-LN(MIN(D916,$F$11)), E915+LN($D$11)+LN(1-$H$11)-LN(60/$E$11)-LN(MIN(D916,$F$11))))</f>
        <v>-106.30823932079451</v>
      </c>
      <c r="F916" s="1">
        <f t="shared" si="83"/>
        <v>-108.31027212999358</v>
      </c>
      <c r="G916" s="1">
        <f t="shared" si="81"/>
        <v>9.1505348736963582E-48</v>
      </c>
      <c r="H916" s="1">
        <f t="shared" si="78"/>
        <v>8.9819163670233468E-49</v>
      </c>
      <c r="I916">
        <f>IF($F$11&lt;=D916, IF(D916&lt;=$A$15,D916-$F$11,$C$11),0)</f>
        <v>60</v>
      </c>
      <c r="J916">
        <f t="shared" si="79"/>
        <v>829</v>
      </c>
      <c r="K916" s="5">
        <f>IF(D916&lt;$F$11,H916,0)</f>
        <v>0</v>
      </c>
      <c r="L916">
        <f>IF(D916&lt;$A$15,$D$11,$D$11*(1-$H$11))</f>
        <v>85</v>
      </c>
      <c r="M916">
        <f t="shared" si="80"/>
        <v>1</v>
      </c>
      <c r="N916">
        <f>IF(SUM(I916:J916)&lt;=($G$11/60*$F$11/($E$11/60)),1,0)</f>
        <v>0</v>
      </c>
    </row>
    <row r="917" spans="4:14" x14ac:dyDescent="0.2">
      <c r="D917">
        <f t="shared" si="82"/>
        <v>894</v>
      </c>
      <c r="E917" s="1">
        <f>IF($H$11=1,IF(D917&lt;=$A$15, E916+LN($D$11)-LN(60/$E$11)-LN(MIN(D917,$F$11)), E916-LN(60/$E$11)-LN(MIN(D917,$F$11))), IF(D917&lt;=$A$15, E916+LN($D$11)-LN(60/$E$11)-LN(MIN(D917,$F$11)), E916+LN($D$11)+LN(1-$H$11)-LN(60/$E$11)-LN(MIN(D917,$F$11))))</f>
        <v>-106.42993625577203</v>
      </c>
      <c r="F917" s="1">
        <f t="shared" si="83"/>
        <v>-108.4319690649711</v>
      </c>
      <c r="G917" s="1">
        <f t="shared" si="81"/>
        <v>8.1020360860853058E-48</v>
      </c>
      <c r="H917" s="1">
        <f t="shared" si="78"/>
        <v>7.9527384499685769E-49</v>
      </c>
      <c r="I917">
        <f>IF($F$11&lt;=D917, IF(D917&lt;=$A$15,D917-$F$11,$C$11),0)</f>
        <v>60</v>
      </c>
      <c r="J917">
        <f t="shared" si="79"/>
        <v>830</v>
      </c>
      <c r="K917" s="5">
        <f>IF(D917&lt;$F$11,H917,0)</f>
        <v>0</v>
      </c>
      <c r="L917">
        <f>IF(D917&lt;$A$15,$D$11,$D$11*(1-$H$11))</f>
        <v>85</v>
      </c>
      <c r="M917">
        <f t="shared" si="80"/>
        <v>1</v>
      </c>
      <c r="N917">
        <f>IF(SUM(I917:J917)&lt;=($G$11/60*$F$11/($E$11/60)),1,0)</f>
        <v>0</v>
      </c>
    </row>
    <row r="918" spans="4:14" x14ac:dyDescent="0.2">
      <c r="D918">
        <f t="shared" si="82"/>
        <v>895</v>
      </c>
      <c r="E918" s="1">
        <f>IF($H$11=1,IF(D918&lt;=$A$15, E917+LN($D$11)-LN(60/$E$11)-LN(MIN(D918,$F$11)), E917-LN(60/$E$11)-LN(MIN(D918,$F$11))), IF(D918&lt;=$A$15, E917+LN($D$11)-LN(60/$E$11)-LN(MIN(D918,$F$11)), E917+LN($D$11)+LN(1-$H$11)-LN(60/$E$11)-LN(MIN(D918,$F$11))))</f>
        <v>-106.55163319074956</v>
      </c>
      <c r="F918" s="1">
        <f t="shared" si="83"/>
        <v>-108.55366599994862</v>
      </c>
      <c r="G918" s="1">
        <f t="shared" si="81"/>
        <v>7.173677784554688E-48</v>
      </c>
      <c r="H918" s="1">
        <f t="shared" si="78"/>
        <v>7.0414871692430015E-49</v>
      </c>
      <c r="I918">
        <f>IF($F$11&lt;=D918, IF(D918&lt;=$A$15,D918-$F$11,$C$11),0)</f>
        <v>60</v>
      </c>
      <c r="J918">
        <f t="shared" si="79"/>
        <v>831</v>
      </c>
      <c r="K918" s="5">
        <f>IF(D918&lt;$F$11,H918,0)</f>
        <v>0</v>
      </c>
      <c r="L918">
        <f>IF(D918&lt;$A$15,$D$11,$D$11*(1-$H$11))</f>
        <v>85</v>
      </c>
      <c r="M918">
        <f t="shared" si="80"/>
        <v>1</v>
      </c>
      <c r="N918">
        <f>IF(SUM(I918:J918)&lt;=($G$11/60*$F$11/($E$11/60)),1,0)</f>
        <v>0</v>
      </c>
    </row>
    <row r="919" spans="4:14" x14ac:dyDescent="0.2">
      <c r="D919">
        <f t="shared" si="82"/>
        <v>896</v>
      </c>
      <c r="E919" s="1">
        <f>IF($H$11=1,IF(D919&lt;=$A$15, E918+LN($D$11)-LN(60/$E$11)-LN(MIN(D919,$F$11)), E918-LN(60/$E$11)-LN(MIN(D919,$F$11))), IF(D919&lt;=$A$15, E918+LN($D$11)-LN(60/$E$11)-LN(MIN(D919,$F$11)), E918+LN($D$11)+LN(1-$H$11)-LN(60/$E$11)-LN(MIN(D919,$F$11))))</f>
        <v>-106.67333012572708</v>
      </c>
      <c r="F919" s="1">
        <f t="shared" si="83"/>
        <v>-108.67536293492614</v>
      </c>
      <c r="G919" s="1">
        <f t="shared" si="81"/>
        <v>6.3516938717411206E-48</v>
      </c>
      <c r="H919" s="1">
        <f t="shared" ref="H919:H982" si="84">G919/$G$21</f>
        <v>6.2346500977672317E-49</v>
      </c>
      <c r="I919">
        <f>IF($F$11&lt;=D919, IF(D919&lt;=$A$15,D919-$F$11,$C$11),0)</f>
        <v>60</v>
      </c>
      <c r="J919">
        <f t="shared" ref="J919:J982" si="85">IF(D919&lt;=$A$15,0,D919-$A$15)</f>
        <v>832</v>
      </c>
      <c r="K919" s="5">
        <f>IF(D919&lt;$F$11,H919,0)</f>
        <v>0</v>
      </c>
      <c r="L919">
        <f>IF(D919&lt;$A$15,$D$11,$D$11*(1-$H$11))</f>
        <v>85</v>
      </c>
      <c r="M919">
        <f t="shared" ref="M919:M982" si="86">IF(D919&lt;$A$15,0,1)</f>
        <v>1</v>
      </c>
      <c r="N919">
        <f>IF(SUM(I919:J919)&lt;=($G$11/60*$F$11/($E$11/60)),1,0)</f>
        <v>0</v>
      </c>
    </row>
    <row r="920" spans="4:14" x14ac:dyDescent="0.2">
      <c r="D920">
        <f t="shared" si="82"/>
        <v>897</v>
      </c>
      <c r="E920" s="1">
        <f>IF($H$11=1,IF(D920&lt;=$A$15, E919+LN($D$11)-LN(60/$E$11)-LN(MIN(D920,$F$11)), E919-LN(60/$E$11)-LN(MIN(D920,$F$11))), IF(D920&lt;=$A$15, E919+LN($D$11)-LN(60/$E$11)-LN(MIN(D920,$F$11)), E919+LN($D$11)+LN(1-$H$11)-LN(60/$E$11)-LN(MIN(D920,$F$11))))</f>
        <v>-106.7950270607046</v>
      </c>
      <c r="F920" s="1">
        <f t="shared" si="83"/>
        <v>-108.79705986990366</v>
      </c>
      <c r="G920" s="1">
        <f t="shared" ref="G920:G983" si="87">EXP(F920)</f>
        <v>5.6238956156041097E-48</v>
      </c>
      <c r="H920" s="1">
        <f t="shared" si="84"/>
        <v>5.5202631073980623E-49</v>
      </c>
      <c r="I920">
        <f>IF($F$11&lt;=D920, IF(D920&lt;=$A$15,D920-$F$11,$C$11),0)</f>
        <v>60</v>
      </c>
      <c r="J920">
        <f t="shared" si="85"/>
        <v>833</v>
      </c>
      <c r="K920" s="5">
        <f>IF(D920&lt;$F$11,H920,0)</f>
        <v>0</v>
      </c>
      <c r="L920">
        <f>IF(D920&lt;$A$15,$D$11,$D$11*(1-$H$11))</f>
        <v>85</v>
      </c>
      <c r="M920">
        <f t="shared" si="86"/>
        <v>1</v>
      </c>
      <c r="N920">
        <f>IF(SUM(I920:J920)&lt;=($G$11/60*$F$11/($E$11/60)),1,0)</f>
        <v>0</v>
      </c>
    </row>
    <row r="921" spans="4:14" x14ac:dyDescent="0.2">
      <c r="D921">
        <f t="shared" ref="D921:D984" si="88">1+D920</f>
        <v>898</v>
      </c>
      <c r="E921" s="1">
        <f>IF($H$11=1,IF(D921&lt;=$A$15, E920+LN($D$11)-LN(60/$E$11)-LN(MIN(D921,$F$11)), E920-LN(60/$E$11)-LN(MIN(D921,$F$11))), IF(D921&lt;=$A$15, E920+LN($D$11)-LN(60/$E$11)-LN(MIN(D921,$F$11)), E920+LN($D$11)+LN(1-$H$11)-LN(60/$E$11)-LN(MIN(D921,$F$11))))</f>
        <v>-106.91672399568212</v>
      </c>
      <c r="F921" s="1">
        <f t="shared" ref="F921:F984" si="89">E921-$E$21</f>
        <v>-108.91875680488118</v>
      </c>
      <c r="G921" s="1">
        <f t="shared" si="87"/>
        <v>4.9794909096494647E-48</v>
      </c>
      <c r="H921" s="1">
        <f t="shared" si="84"/>
        <v>4.8877329596753606E-49</v>
      </c>
      <c r="I921">
        <f>IF($F$11&lt;=D921, IF(D921&lt;=$A$15,D921-$F$11,$C$11),0)</f>
        <v>60</v>
      </c>
      <c r="J921">
        <f t="shared" si="85"/>
        <v>834</v>
      </c>
      <c r="K921" s="5">
        <f>IF(D921&lt;$F$11,H921,0)</f>
        <v>0</v>
      </c>
      <c r="L921">
        <f>IF(D921&lt;$A$15,$D$11,$D$11*(1-$H$11))</f>
        <v>85</v>
      </c>
      <c r="M921">
        <f t="shared" si="86"/>
        <v>1</v>
      </c>
      <c r="N921">
        <f>IF(SUM(I921:J921)&lt;=($G$11/60*$F$11/($E$11/60)),1,0)</f>
        <v>0</v>
      </c>
    </row>
    <row r="922" spans="4:14" x14ac:dyDescent="0.2">
      <c r="D922">
        <f t="shared" si="88"/>
        <v>899</v>
      </c>
      <c r="E922" s="1">
        <f>IF($H$11=1,IF(D922&lt;=$A$15, E921+LN($D$11)-LN(60/$E$11)-LN(MIN(D922,$F$11)), E921-LN(60/$E$11)-LN(MIN(D922,$F$11))), IF(D922&lt;=$A$15, E921+LN($D$11)-LN(60/$E$11)-LN(MIN(D922,$F$11)), E921+LN($D$11)+LN(1-$H$11)-LN(60/$E$11)-LN(MIN(D922,$F$11))))</f>
        <v>-107.03842093065964</v>
      </c>
      <c r="F922" s="1">
        <f t="shared" si="89"/>
        <v>-109.04045373985871</v>
      </c>
      <c r="G922" s="1">
        <f t="shared" si="87"/>
        <v>4.4089242429187906E-48</v>
      </c>
      <c r="H922" s="1">
        <f t="shared" si="84"/>
        <v>4.3276802247125525E-49</v>
      </c>
      <c r="I922">
        <f>IF($F$11&lt;=D922, IF(D922&lt;=$A$15,D922-$F$11,$C$11),0)</f>
        <v>60</v>
      </c>
      <c r="J922">
        <f t="shared" si="85"/>
        <v>835</v>
      </c>
      <c r="K922" s="5">
        <f>IF(D922&lt;$F$11,H922,0)</f>
        <v>0</v>
      </c>
      <c r="L922">
        <f>IF(D922&lt;$A$15,$D$11,$D$11*(1-$H$11))</f>
        <v>85</v>
      </c>
      <c r="M922">
        <f t="shared" si="86"/>
        <v>1</v>
      </c>
      <c r="N922">
        <f>IF(SUM(I922:J922)&lt;=($G$11/60*$F$11/($E$11/60)),1,0)</f>
        <v>0</v>
      </c>
    </row>
    <row r="923" spans="4:14" x14ac:dyDescent="0.2">
      <c r="D923">
        <f t="shared" si="88"/>
        <v>900</v>
      </c>
      <c r="E923" s="1">
        <f>IF($H$11=1,IF(D923&lt;=$A$15, E922+LN($D$11)-LN(60/$E$11)-LN(MIN(D923,$F$11)), E922-LN(60/$E$11)-LN(MIN(D923,$F$11))), IF(D923&lt;=$A$15, E922+LN($D$11)-LN(60/$E$11)-LN(MIN(D923,$F$11)), E922+LN($D$11)+LN(1-$H$11)-LN(60/$E$11)-LN(MIN(D923,$F$11))))</f>
        <v>-107.16011786563716</v>
      </c>
      <c r="F923" s="1">
        <f t="shared" si="89"/>
        <v>-109.16215067483623</v>
      </c>
      <c r="G923" s="1">
        <f t="shared" si="87"/>
        <v>3.903735006751007E-48</v>
      </c>
      <c r="H923" s="1">
        <f t="shared" si="84"/>
        <v>3.8318001989642341E-49</v>
      </c>
      <c r="I923">
        <f>IF($F$11&lt;=D923, IF(D923&lt;=$A$15,D923-$F$11,$C$11),0)</f>
        <v>60</v>
      </c>
      <c r="J923">
        <f t="shared" si="85"/>
        <v>836</v>
      </c>
      <c r="K923" s="5">
        <f>IF(D923&lt;$F$11,H923,0)</f>
        <v>0</v>
      </c>
      <c r="L923">
        <f>IF(D923&lt;$A$15,$D$11,$D$11*(1-$H$11))</f>
        <v>85</v>
      </c>
      <c r="M923">
        <f t="shared" si="86"/>
        <v>1</v>
      </c>
      <c r="N923">
        <f>IF(SUM(I923:J923)&lt;=($G$11/60*$F$11/($E$11/60)),1,0)</f>
        <v>0</v>
      </c>
    </row>
    <row r="924" spans="4:14" x14ac:dyDescent="0.2">
      <c r="D924">
        <f t="shared" si="88"/>
        <v>901</v>
      </c>
      <c r="E924" s="1">
        <f>IF($H$11=1,IF(D924&lt;=$A$15, E923+LN($D$11)-LN(60/$E$11)-LN(MIN(D924,$F$11)), E923-LN(60/$E$11)-LN(MIN(D924,$F$11))), IF(D924&lt;=$A$15, E923+LN($D$11)-LN(60/$E$11)-LN(MIN(D924,$F$11)), E923+LN($D$11)+LN(1-$H$11)-LN(60/$E$11)-LN(MIN(D924,$F$11))))</f>
        <v>-107.28181480061468</v>
      </c>
      <c r="F924" s="1">
        <f t="shared" si="89"/>
        <v>-109.28384760981375</v>
      </c>
      <c r="G924" s="1">
        <f t="shared" si="87"/>
        <v>3.4564320372274491E-48</v>
      </c>
      <c r="H924" s="1">
        <f t="shared" si="84"/>
        <v>3.3927397594995772E-49</v>
      </c>
      <c r="I924">
        <f>IF($F$11&lt;=D924, IF(D924&lt;=$A$15,D924-$F$11,$C$11),0)</f>
        <v>60</v>
      </c>
      <c r="J924">
        <f t="shared" si="85"/>
        <v>837</v>
      </c>
      <c r="K924" s="5">
        <f>IF(D924&lt;$F$11,H924,0)</f>
        <v>0</v>
      </c>
      <c r="L924">
        <f>IF(D924&lt;$A$15,$D$11,$D$11*(1-$H$11))</f>
        <v>85</v>
      </c>
      <c r="M924">
        <f t="shared" si="86"/>
        <v>1</v>
      </c>
      <c r="N924">
        <f>IF(SUM(I924:J924)&lt;=($G$11/60*$F$11/($E$11/60)),1,0)</f>
        <v>0</v>
      </c>
    </row>
    <row r="925" spans="4:14" x14ac:dyDescent="0.2">
      <c r="D925">
        <f t="shared" si="88"/>
        <v>902</v>
      </c>
      <c r="E925" s="1">
        <f>IF($H$11=1,IF(D925&lt;=$A$15, E924+LN($D$11)-LN(60/$E$11)-LN(MIN(D925,$F$11)), E924-LN(60/$E$11)-LN(MIN(D925,$F$11))), IF(D925&lt;=$A$15, E924+LN($D$11)-LN(60/$E$11)-LN(MIN(D925,$F$11)), E924+LN($D$11)+LN(1-$H$11)-LN(60/$E$11)-LN(MIN(D925,$F$11))))</f>
        <v>-107.4035117355922</v>
      </c>
      <c r="F925" s="1">
        <f t="shared" si="89"/>
        <v>-109.40554454479127</v>
      </c>
      <c r="G925" s="1">
        <f t="shared" si="87"/>
        <v>3.0603825329617994E-48</v>
      </c>
      <c r="H925" s="1">
        <f t="shared" si="84"/>
        <v>3.0039883287235794E-49</v>
      </c>
      <c r="I925">
        <f>IF($F$11&lt;=D925, IF(D925&lt;=$A$15,D925-$F$11,$C$11),0)</f>
        <v>60</v>
      </c>
      <c r="J925">
        <f t="shared" si="85"/>
        <v>838</v>
      </c>
      <c r="K925" s="5">
        <f>IF(D925&lt;$F$11,H925,0)</f>
        <v>0</v>
      </c>
      <c r="L925">
        <f>IF(D925&lt;$A$15,$D$11,$D$11*(1-$H$11))</f>
        <v>85</v>
      </c>
      <c r="M925">
        <f t="shared" si="86"/>
        <v>1</v>
      </c>
      <c r="N925">
        <f>IF(SUM(I925:J925)&lt;=($G$11/60*$F$11/($E$11/60)),1,0)</f>
        <v>0</v>
      </c>
    </row>
    <row r="926" spans="4:14" x14ac:dyDescent="0.2">
      <c r="D926">
        <f t="shared" si="88"/>
        <v>903</v>
      </c>
      <c r="E926" s="1">
        <f>IF($H$11=1,IF(D926&lt;=$A$15, E925+LN($D$11)-LN(60/$E$11)-LN(MIN(D926,$F$11)), E925-LN(60/$E$11)-LN(MIN(D926,$F$11))), IF(D926&lt;=$A$15, E925+LN($D$11)-LN(60/$E$11)-LN(MIN(D926,$F$11)), E925+LN($D$11)+LN(1-$H$11)-LN(60/$E$11)-LN(MIN(D926,$F$11))))</f>
        <v>-107.52520867056973</v>
      </c>
      <c r="F926" s="1">
        <f t="shared" si="89"/>
        <v>-109.52724147976879</v>
      </c>
      <c r="G926" s="1">
        <f t="shared" si="87"/>
        <v>2.7097137010599227E-48</v>
      </c>
      <c r="H926" s="1">
        <f t="shared" si="84"/>
        <v>2.6597813327239989E-49</v>
      </c>
      <c r="I926">
        <f>IF($F$11&lt;=D926, IF(D926&lt;=$A$15,D926-$F$11,$C$11),0)</f>
        <v>60</v>
      </c>
      <c r="J926">
        <f t="shared" si="85"/>
        <v>839</v>
      </c>
      <c r="K926" s="5">
        <f>IF(D926&lt;$F$11,H926,0)</f>
        <v>0</v>
      </c>
      <c r="L926">
        <f>IF(D926&lt;$A$15,$D$11,$D$11*(1-$H$11))</f>
        <v>85</v>
      </c>
      <c r="M926">
        <f t="shared" si="86"/>
        <v>1</v>
      </c>
      <c r="N926">
        <f>IF(SUM(I926:J926)&lt;=($G$11/60*$F$11/($E$11/60)),1,0)</f>
        <v>0</v>
      </c>
    </row>
    <row r="927" spans="4:14" x14ac:dyDescent="0.2">
      <c r="D927">
        <f t="shared" si="88"/>
        <v>904</v>
      </c>
      <c r="E927" s="1">
        <f>IF($H$11=1,IF(D927&lt;=$A$15, E926+LN($D$11)-LN(60/$E$11)-LN(MIN(D927,$F$11)), E926-LN(60/$E$11)-LN(MIN(D927,$F$11))), IF(D927&lt;=$A$15, E926+LN($D$11)-LN(60/$E$11)-LN(MIN(D927,$F$11)), E926+LN($D$11)+LN(1-$H$11)-LN(60/$E$11)-LN(MIN(D927,$F$11))))</f>
        <v>-107.64690560554725</v>
      </c>
      <c r="F927" s="1">
        <f t="shared" si="89"/>
        <v>-109.64893841474631</v>
      </c>
      <c r="G927" s="1">
        <f t="shared" si="87"/>
        <v>2.3992256728134699E-48</v>
      </c>
      <c r="H927" s="1">
        <f t="shared" si="84"/>
        <v>2.3550147216827041E-49</v>
      </c>
      <c r="I927">
        <f>IF($F$11&lt;=D927, IF(D927&lt;=$A$15,D927-$F$11,$C$11),0)</f>
        <v>60</v>
      </c>
      <c r="J927">
        <f t="shared" si="85"/>
        <v>840</v>
      </c>
      <c r="K927" s="5">
        <f>IF(D927&lt;$F$11,H927,0)</f>
        <v>0</v>
      </c>
      <c r="L927">
        <f>IF(D927&lt;$A$15,$D$11,$D$11*(1-$H$11))</f>
        <v>85</v>
      </c>
      <c r="M927">
        <f t="shared" si="86"/>
        <v>1</v>
      </c>
      <c r="N927">
        <f>IF(SUM(I927:J927)&lt;=($G$11/60*$F$11/($E$11/60)),1,0)</f>
        <v>0</v>
      </c>
    </row>
    <row r="928" spans="4:14" x14ac:dyDescent="0.2">
      <c r="D928">
        <f t="shared" si="88"/>
        <v>905</v>
      </c>
      <c r="E928" s="1">
        <f>IF($H$11=1,IF(D928&lt;=$A$15, E927+LN($D$11)-LN(60/$E$11)-LN(MIN(D928,$F$11)), E927-LN(60/$E$11)-LN(MIN(D928,$F$11))), IF(D928&lt;=$A$15, E927+LN($D$11)-LN(60/$E$11)-LN(MIN(D928,$F$11)), E927+LN($D$11)+LN(1-$H$11)-LN(60/$E$11)-LN(MIN(D928,$F$11))))</f>
        <v>-107.76860254052477</v>
      </c>
      <c r="F928" s="1">
        <f t="shared" si="89"/>
        <v>-109.77063534972383</v>
      </c>
      <c r="G928" s="1">
        <f t="shared" si="87"/>
        <v>2.1243143978035901E-48</v>
      </c>
      <c r="H928" s="1">
        <f t="shared" si="84"/>
        <v>2.0851692848232248E-49</v>
      </c>
      <c r="I928">
        <f>IF($F$11&lt;=D928, IF(D928&lt;=$A$15,D928-$F$11,$C$11),0)</f>
        <v>60</v>
      </c>
      <c r="J928">
        <f t="shared" si="85"/>
        <v>841</v>
      </c>
      <c r="K928" s="5">
        <f>IF(D928&lt;$F$11,H928,0)</f>
        <v>0</v>
      </c>
      <c r="L928">
        <f>IF(D928&lt;$A$15,$D$11,$D$11*(1-$H$11))</f>
        <v>85</v>
      </c>
      <c r="M928">
        <f t="shared" si="86"/>
        <v>1</v>
      </c>
      <c r="N928">
        <f>IF(SUM(I928:J928)&lt;=($G$11/60*$F$11/($E$11/60)),1,0)</f>
        <v>0</v>
      </c>
    </row>
    <row r="929" spans="4:14" x14ac:dyDescent="0.2">
      <c r="D929">
        <f t="shared" si="88"/>
        <v>906</v>
      </c>
      <c r="E929" s="1">
        <f>IF($H$11=1,IF(D929&lt;=$A$15, E928+LN($D$11)-LN(60/$E$11)-LN(MIN(D929,$F$11)), E928-LN(60/$E$11)-LN(MIN(D929,$F$11))), IF(D929&lt;=$A$15, E928+LN($D$11)-LN(60/$E$11)-LN(MIN(D929,$F$11)), E928+LN($D$11)+LN(1-$H$11)-LN(60/$E$11)-LN(MIN(D929,$F$11))))</f>
        <v>-107.89029947550229</v>
      </c>
      <c r="F929" s="1">
        <f t="shared" si="89"/>
        <v>-109.89233228470135</v>
      </c>
      <c r="G929" s="1">
        <f t="shared" si="87"/>
        <v>1.8809033730552595E-48</v>
      </c>
      <c r="H929" s="1">
        <f t="shared" si="84"/>
        <v>1.8462436376038944E-49</v>
      </c>
      <c r="I929">
        <f>IF($F$11&lt;=D929, IF(D929&lt;=$A$15,D929-$F$11,$C$11),0)</f>
        <v>60</v>
      </c>
      <c r="J929">
        <f t="shared" si="85"/>
        <v>842</v>
      </c>
      <c r="K929" s="5">
        <f>IF(D929&lt;$F$11,H929,0)</f>
        <v>0</v>
      </c>
      <c r="L929">
        <f>IF(D929&lt;$A$15,$D$11,$D$11*(1-$H$11))</f>
        <v>85</v>
      </c>
      <c r="M929">
        <f t="shared" si="86"/>
        <v>1</v>
      </c>
      <c r="N929">
        <f>IF(SUM(I929:J929)&lt;=($G$11/60*$F$11/($E$11/60)),1,0)</f>
        <v>0</v>
      </c>
    </row>
    <row r="930" spans="4:14" x14ac:dyDescent="0.2">
      <c r="D930">
        <f t="shared" si="88"/>
        <v>907</v>
      </c>
      <c r="E930" s="1">
        <f>IF($H$11=1,IF(D930&lt;=$A$15, E929+LN($D$11)-LN(60/$E$11)-LN(MIN(D930,$F$11)), E929-LN(60/$E$11)-LN(MIN(D930,$F$11))), IF(D930&lt;=$A$15, E929+LN($D$11)-LN(60/$E$11)-LN(MIN(D930,$F$11)), E929+LN($D$11)+LN(1-$H$11)-LN(60/$E$11)-LN(MIN(D930,$F$11))))</f>
        <v>-108.01199641047981</v>
      </c>
      <c r="F930" s="1">
        <f t="shared" si="89"/>
        <v>-110.01402921967887</v>
      </c>
      <c r="G930" s="1">
        <f t="shared" si="87"/>
        <v>1.6653831948926753E-48</v>
      </c>
      <c r="H930" s="1">
        <f t="shared" si="84"/>
        <v>1.634694887461779E-49</v>
      </c>
      <c r="I930">
        <f>IF($F$11&lt;=D930, IF(D930&lt;=$A$15,D930-$F$11,$C$11),0)</f>
        <v>60</v>
      </c>
      <c r="J930">
        <f t="shared" si="85"/>
        <v>843</v>
      </c>
      <c r="K930" s="5">
        <f>IF(D930&lt;$F$11,H930,0)</f>
        <v>0</v>
      </c>
      <c r="L930">
        <f>IF(D930&lt;$A$15,$D$11,$D$11*(1-$H$11))</f>
        <v>85</v>
      </c>
      <c r="M930">
        <f t="shared" si="86"/>
        <v>1</v>
      </c>
      <c r="N930">
        <f>IF(SUM(I930:J930)&lt;=($G$11/60*$F$11/($E$11/60)),1,0)</f>
        <v>0</v>
      </c>
    </row>
    <row r="931" spans="4:14" x14ac:dyDescent="0.2">
      <c r="D931">
        <f t="shared" si="88"/>
        <v>908</v>
      </c>
      <c r="E931" s="1">
        <f>IF($H$11=1,IF(D931&lt;=$A$15, E930+LN($D$11)-LN(60/$E$11)-LN(MIN(D931,$F$11)), E930-LN(60/$E$11)-LN(MIN(D931,$F$11))), IF(D931&lt;=$A$15, E930+LN($D$11)-LN(60/$E$11)-LN(MIN(D931,$F$11)), E930+LN($D$11)+LN(1-$H$11)-LN(60/$E$11)-LN(MIN(D931,$F$11))))</f>
        <v>-108.13369334545733</v>
      </c>
      <c r="F931" s="1">
        <f t="shared" si="89"/>
        <v>-110.1357261546564</v>
      </c>
      <c r="G931" s="1">
        <f t="shared" si="87"/>
        <v>1.4745580371445541E-48</v>
      </c>
      <c r="H931" s="1">
        <f t="shared" si="84"/>
        <v>1.4473860982734481E-49</v>
      </c>
      <c r="I931">
        <f>IF($F$11&lt;=D931, IF(D931&lt;=$A$15,D931-$F$11,$C$11),0)</f>
        <v>60</v>
      </c>
      <c r="J931">
        <f t="shared" si="85"/>
        <v>844</v>
      </c>
      <c r="K931" s="5">
        <f>IF(D931&lt;$F$11,H931,0)</f>
        <v>0</v>
      </c>
      <c r="L931">
        <f>IF(D931&lt;$A$15,$D$11,$D$11*(1-$H$11))</f>
        <v>85</v>
      </c>
      <c r="M931">
        <f t="shared" si="86"/>
        <v>1</v>
      </c>
      <c r="N931">
        <f>IF(SUM(I931:J931)&lt;=($G$11/60*$F$11/($E$11/60)),1,0)</f>
        <v>0</v>
      </c>
    </row>
    <row r="932" spans="4:14" x14ac:dyDescent="0.2">
      <c r="D932">
        <f t="shared" si="88"/>
        <v>909</v>
      </c>
      <c r="E932" s="1">
        <f>IF($H$11=1,IF(D932&lt;=$A$15, E931+LN($D$11)-LN(60/$E$11)-LN(MIN(D932,$F$11)), E931-LN(60/$E$11)-LN(MIN(D932,$F$11))), IF(D932&lt;=$A$15, E931+LN($D$11)-LN(60/$E$11)-LN(MIN(D932,$F$11)), E931+LN($D$11)+LN(1-$H$11)-LN(60/$E$11)-LN(MIN(D932,$F$11))))</f>
        <v>-108.25539028043485</v>
      </c>
      <c r="F932" s="1">
        <f t="shared" si="89"/>
        <v>-110.25742308963392</v>
      </c>
      <c r="G932" s="1">
        <f t="shared" si="87"/>
        <v>1.305598262055072E-48</v>
      </c>
      <c r="H932" s="1">
        <f t="shared" si="84"/>
        <v>1.281539774512947E-49</v>
      </c>
      <c r="I932">
        <f>IF($F$11&lt;=D932, IF(D932&lt;=$A$15,D932-$F$11,$C$11),0)</f>
        <v>60</v>
      </c>
      <c r="J932">
        <f t="shared" si="85"/>
        <v>845</v>
      </c>
      <c r="K932" s="5">
        <f>IF(D932&lt;$F$11,H932,0)</f>
        <v>0</v>
      </c>
      <c r="L932">
        <f>IF(D932&lt;$A$15,$D$11,$D$11*(1-$H$11))</f>
        <v>85</v>
      </c>
      <c r="M932">
        <f t="shared" si="86"/>
        <v>1</v>
      </c>
      <c r="N932">
        <f>IF(SUM(I932:J932)&lt;=($G$11/60*$F$11/($E$11/60)),1,0)</f>
        <v>0</v>
      </c>
    </row>
    <row r="933" spans="4:14" x14ac:dyDescent="0.2">
      <c r="D933">
        <f t="shared" si="88"/>
        <v>910</v>
      </c>
      <c r="E933" s="1">
        <f>IF($H$11=1,IF(D933&lt;=$A$15, E932+LN($D$11)-LN(60/$E$11)-LN(MIN(D933,$F$11)), E932-LN(60/$E$11)-LN(MIN(D933,$F$11))), IF(D933&lt;=$A$15, E932+LN($D$11)-LN(60/$E$11)-LN(MIN(D933,$F$11)), E932+LN($D$11)+LN(1-$H$11)-LN(60/$E$11)-LN(MIN(D933,$F$11))))</f>
        <v>-108.37708721541237</v>
      </c>
      <c r="F933" s="1">
        <f t="shared" si="89"/>
        <v>-110.37912002461144</v>
      </c>
      <c r="G933" s="1">
        <f t="shared" si="87"/>
        <v>1.1559984611945934E-48</v>
      </c>
      <c r="H933" s="1">
        <f t="shared" si="84"/>
        <v>1.1346966753500034E-49</v>
      </c>
      <c r="I933">
        <f>IF($F$11&lt;=D933, IF(D933&lt;=$A$15,D933-$F$11,$C$11),0)</f>
        <v>60</v>
      </c>
      <c r="J933">
        <f t="shared" si="85"/>
        <v>846</v>
      </c>
      <c r="K933" s="5">
        <f>IF(D933&lt;$F$11,H933,0)</f>
        <v>0</v>
      </c>
      <c r="L933">
        <f>IF(D933&lt;$A$15,$D$11,$D$11*(1-$H$11))</f>
        <v>85</v>
      </c>
      <c r="M933">
        <f t="shared" si="86"/>
        <v>1</v>
      </c>
      <c r="N933">
        <f>IF(SUM(I933:J933)&lt;=($G$11/60*$F$11/($E$11/60)),1,0)</f>
        <v>0</v>
      </c>
    </row>
    <row r="934" spans="4:14" x14ac:dyDescent="0.2">
      <c r="D934">
        <f t="shared" si="88"/>
        <v>911</v>
      </c>
      <c r="E934" s="1">
        <f>IF($H$11=1,IF(D934&lt;=$A$15, E933+LN($D$11)-LN(60/$E$11)-LN(MIN(D934,$F$11)), E933-LN(60/$E$11)-LN(MIN(D934,$F$11))), IF(D934&lt;=$A$15, E933+LN($D$11)-LN(60/$E$11)-LN(MIN(D934,$F$11)), E933+LN($D$11)+LN(1-$H$11)-LN(60/$E$11)-LN(MIN(D934,$F$11))))</f>
        <v>-108.49878415038989</v>
      </c>
      <c r="F934" s="1">
        <f t="shared" si="89"/>
        <v>-110.50081695958896</v>
      </c>
      <c r="G934" s="1">
        <f t="shared" si="87"/>
        <v>1.0235403041827115E-48</v>
      </c>
      <c r="H934" s="1">
        <f t="shared" si="84"/>
        <v>1.0046793479661475E-49</v>
      </c>
      <c r="I934">
        <f>IF($F$11&lt;=D934, IF(D934&lt;=$A$15,D934-$F$11,$C$11),0)</f>
        <v>60</v>
      </c>
      <c r="J934">
        <f t="shared" si="85"/>
        <v>847</v>
      </c>
      <c r="K934" s="5">
        <f>IF(D934&lt;$F$11,H934,0)</f>
        <v>0</v>
      </c>
      <c r="L934">
        <f>IF(D934&lt;$A$15,$D$11,$D$11*(1-$H$11))</f>
        <v>85</v>
      </c>
      <c r="M934">
        <f t="shared" si="86"/>
        <v>1</v>
      </c>
      <c r="N934">
        <f>IF(SUM(I934:J934)&lt;=($G$11/60*$F$11/($E$11/60)),1,0)</f>
        <v>0</v>
      </c>
    </row>
    <row r="935" spans="4:14" x14ac:dyDescent="0.2">
      <c r="D935">
        <f t="shared" si="88"/>
        <v>912</v>
      </c>
      <c r="E935" s="1">
        <f>IF($H$11=1,IF(D935&lt;=$A$15, E934+LN($D$11)-LN(60/$E$11)-LN(MIN(D935,$F$11)), E934-LN(60/$E$11)-LN(MIN(D935,$F$11))), IF(D935&lt;=$A$15, E934+LN($D$11)-LN(60/$E$11)-LN(MIN(D935,$F$11)), E934+LN($D$11)+LN(1-$H$11)-LN(60/$E$11)-LN(MIN(D935,$F$11))))</f>
        <v>-108.62048108536742</v>
      </c>
      <c r="F935" s="1">
        <f t="shared" si="89"/>
        <v>-110.62251389456648</v>
      </c>
      <c r="G935" s="1">
        <f t="shared" si="87"/>
        <v>9.0625964432844119E-49</v>
      </c>
      <c r="H935" s="1">
        <f t="shared" si="84"/>
        <v>8.8955983934502513E-50</v>
      </c>
      <c r="I935">
        <f>IF($F$11&lt;=D935, IF(D935&lt;=$A$15,D935-$F$11,$C$11),0)</f>
        <v>60</v>
      </c>
      <c r="J935">
        <f t="shared" si="85"/>
        <v>848</v>
      </c>
      <c r="K935" s="5">
        <f>IF(D935&lt;$F$11,H935,0)</f>
        <v>0</v>
      </c>
      <c r="L935">
        <f>IF(D935&lt;$A$15,$D$11,$D$11*(1-$H$11))</f>
        <v>85</v>
      </c>
      <c r="M935">
        <f t="shared" si="86"/>
        <v>1</v>
      </c>
      <c r="N935">
        <f>IF(SUM(I935:J935)&lt;=($G$11/60*$F$11/($E$11/60)),1,0)</f>
        <v>0</v>
      </c>
    </row>
    <row r="936" spans="4:14" x14ac:dyDescent="0.2">
      <c r="D936">
        <f t="shared" si="88"/>
        <v>913</v>
      </c>
      <c r="E936" s="1">
        <f>IF($H$11=1,IF(D936&lt;=$A$15, E935+LN($D$11)-LN(60/$E$11)-LN(MIN(D936,$F$11)), E935-LN(60/$E$11)-LN(MIN(D936,$F$11))), IF(D936&lt;=$A$15, E935+LN($D$11)-LN(60/$E$11)-LN(MIN(D936,$F$11)), E935+LN($D$11)+LN(1-$H$11)-LN(60/$E$11)-LN(MIN(D936,$F$11))))</f>
        <v>-108.74217802034494</v>
      </c>
      <c r="F936" s="1">
        <f t="shared" si="89"/>
        <v>-110.744210829544</v>
      </c>
      <c r="G936" s="1">
        <f t="shared" si="87"/>
        <v>8.0241739341580607E-49</v>
      </c>
      <c r="H936" s="1">
        <f t="shared" si="84"/>
        <v>7.8763110775340651E-50</v>
      </c>
      <c r="I936">
        <f>IF($F$11&lt;=D936, IF(D936&lt;=$A$15,D936-$F$11,$C$11),0)</f>
        <v>60</v>
      </c>
      <c r="J936">
        <f t="shared" si="85"/>
        <v>849</v>
      </c>
      <c r="K936" s="5">
        <f>IF(D936&lt;$F$11,H936,0)</f>
        <v>0</v>
      </c>
      <c r="L936">
        <f>IF(D936&lt;$A$15,$D$11,$D$11*(1-$H$11))</f>
        <v>85</v>
      </c>
      <c r="M936">
        <f t="shared" si="86"/>
        <v>1</v>
      </c>
      <c r="N936">
        <f>IF(SUM(I936:J936)&lt;=($G$11/60*$F$11/($E$11/60)),1,0)</f>
        <v>0</v>
      </c>
    </row>
    <row r="937" spans="4:14" x14ac:dyDescent="0.2">
      <c r="D937">
        <f t="shared" si="88"/>
        <v>914</v>
      </c>
      <c r="E937" s="1">
        <f>IF($H$11=1,IF(D937&lt;=$A$15, E936+LN($D$11)-LN(60/$E$11)-LN(MIN(D937,$F$11)), E936-LN(60/$E$11)-LN(MIN(D937,$F$11))), IF(D937&lt;=$A$15, E936+LN($D$11)-LN(60/$E$11)-LN(MIN(D937,$F$11)), E936+LN($D$11)+LN(1-$H$11)-LN(60/$E$11)-LN(MIN(D937,$F$11))))</f>
        <v>-108.86387495532246</v>
      </c>
      <c r="F937" s="1">
        <f t="shared" si="89"/>
        <v>-110.86590776452152</v>
      </c>
      <c r="G937" s="1">
        <f t="shared" si="87"/>
        <v>7.1047373375357738E-49</v>
      </c>
      <c r="H937" s="1">
        <f t="shared" si="84"/>
        <v>6.9738170998999448E-50</v>
      </c>
      <c r="I937">
        <f>IF($F$11&lt;=D937, IF(D937&lt;=$A$15,D937-$F$11,$C$11),0)</f>
        <v>60</v>
      </c>
      <c r="J937">
        <f t="shared" si="85"/>
        <v>850</v>
      </c>
      <c r="K937" s="5">
        <f>IF(D937&lt;$F$11,H937,0)</f>
        <v>0</v>
      </c>
      <c r="L937">
        <f>IF(D937&lt;$A$15,$D$11,$D$11*(1-$H$11))</f>
        <v>85</v>
      </c>
      <c r="M937">
        <f t="shared" si="86"/>
        <v>1</v>
      </c>
      <c r="N937">
        <f>IF(SUM(I937:J937)&lt;=($G$11/60*$F$11/($E$11/60)),1,0)</f>
        <v>0</v>
      </c>
    </row>
    <row r="938" spans="4:14" x14ac:dyDescent="0.2">
      <c r="D938">
        <f t="shared" si="88"/>
        <v>915</v>
      </c>
      <c r="E938" s="1">
        <f>IF($H$11=1,IF(D938&lt;=$A$15, E937+LN($D$11)-LN(60/$E$11)-LN(MIN(D938,$F$11)), E937-LN(60/$E$11)-LN(MIN(D938,$F$11))), IF(D938&lt;=$A$15, E937+LN($D$11)-LN(60/$E$11)-LN(MIN(D938,$F$11)), E937+LN($D$11)+LN(1-$H$11)-LN(60/$E$11)-LN(MIN(D938,$F$11))))</f>
        <v>-108.98557189029998</v>
      </c>
      <c r="F938" s="1">
        <f t="shared" si="89"/>
        <v>-110.98760469949904</v>
      </c>
      <c r="G938" s="1">
        <f t="shared" si="87"/>
        <v>6.2906528509431237E-49</v>
      </c>
      <c r="H938" s="1">
        <f t="shared" si="84"/>
        <v>6.1747338905363998E-50</v>
      </c>
      <c r="I938">
        <f>IF($F$11&lt;=D938, IF(D938&lt;=$A$15,D938-$F$11,$C$11),0)</f>
        <v>60</v>
      </c>
      <c r="J938">
        <f t="shared" si="85"/>
        <v>851</v>
      </c>
      <c r="K938" s="5">
        <f>IF(D938&lt;$F$11,H938,0)</f>
        <v>0</v>
      </c>
      <c r="L938">
        <f>IF(D938&lt;$A$15,$D$11,$D$11*(1-$H$11))</f>
        <v>85</v>
      </c>
      <c r="M938">
        <f t="shared" si="86"/>
        <v>1</v>
      </c>
      <c r="N938">
        <f>IF(SUM(I938:J938)&lt;=($G$11/60*$F$11/($E$11/60)),1,0)</f>
        <v>0</v>
      </c>
    </row>
    <row r="939" spans="4:14" x14ac:dyDescent="0.2">
      <c r="D939">
        <f t="shared" si="88"/>
        <v>916</v>
      </c>
      <c r="E939" s="1">
        <f>IF($H$11=1,IF(D939&lt;=$A$15, E938+LN($D$11)-LN(60/$E$11)-LN(MIN(D939,$F$11)), E938-LN(60/$E$11)-LN(MIN(D939,$F$11))), IF(D939&lt;=$A$15, E938+LN($D$11)-LN(60/$E$11)-LN(MIN(D939,$F$11)), E938+LN($D$11)+LN(1-$H$11)-LN(60/$E$11)-LN(MIN(D939,$F$11))))</f>
        <v>-109.1072688252775</v>
      </c>
      <c r="F939" s="1">
        <f t="shared" si="89"/>
        <v>-111.10930163447657</v>
      </c>
      <c r="G939" s="1">
        <f t="shared" si="87"/>
        <v>5.5698488784392164E-49</v>
      </c>
      <c r="H939" s="1">
        <f t="shared" si="84"/>
        <v>5.4672122989124301E-50</v>
      </c>
      <c r="I939">
        <f>IF($F$11&lt;=D939, IF(D939&lt;=$A$15,D939-$F$11,$C$11),0)</f>
        <v>60</v>
      </c>
      <c r="J939">
        <f t="shared" si="85"/>
        <v>852</v>
      </c>
      <c r="K939" s="5">
        <f>IF(D939&lt;$F$11,H939,0)</f>
        <v>0</v>
      </c>
      <c r="L939">
        <f>IF(D939&lt;$A$15,$D$11,$D$11*(1-$H$11))</f>
        <v>85</v>
      </c>
      <c r="M939">
        <f t="shared" si="86"/>
        <v>1</v>
      </c>
      <c r="N939">
        <f>IF(SUM(I939:J939)&lt;=($G$11/60*$F$11/($E$11/60)),1,0)</f>
        <v>0</v>
      </c>
    </row>
    <row r="940" spans="4:14" x14ac:dyDescent="0.2">
      <c r="D940">
        <f t="shared" si="88"/>
        <v>917</v>
      </c>
      <c r="E940" s="1">
        <f>IF($H$11=1,IF(D940&lt;=$A$15, E939+LN($D$11)-LN(60/$E$11)-LN(MIN(D940,$F$11)), E939-LN(60/$E$11)-LN(MIN(D940,$F$11))), IF(D940&lt;=$A$15, E939+LN($D$11)-LN(60/$E$11)-LN(MIN(D940,$F$11)), E939+LN($D$11)+LN(1-$H$11)-LN(60/$E$11)-LN(MIN(D940,$F$11))))</f>
        <v>-109.22896576025502</v>
      </c>
      <c r="F940" s="1">
        <f t="shared" si="89"/>
        <v>-111.23099856945409</v>
      </c>
      <c r="G940" s="1">
        <f t="shared" si="87"/>
        <v>4.9316370277847153E-49</v>
      </c>
      <c r="H940" s="1">
        <f t="shared" si="84"/>
        <v>4.8407608896620397E-50</v>
      </c>
      <c r="I940">
        <f>IF($F$11&lt;=D940, IF(D940&lt;=$A$15,D940-$F$11,$C$11),0)</f>
        <v>60</v>
      </c>
      <c r="J940">
        <f t="shared" si="85"/>
        <v>853</v>
      </c>
      <c r="K940" s="5">
        <f>IF(D940&lt;$F$11,H940,0)</f>
        <v>0</v>
      </c>
      <c r="L940">
        <f>IF(D940&lt;$A$15,$D$11,$D$11*(1-$H$11))</f>
        <v>85</v>
      </c>
      <c r="M940">
        <f t="shared" si="86"/>
        <v>1</v>
      </c>
      <c r="N940">
        <f>IF(SUM(I940:J940)&lt;=($G$11/60*$F$11/($E$11/60)),1,0)</f>
        <v>0</v>
      </c>
    </row>
    <row r="941" spans="4:14" x14ac:dyDescent="0.2">
      <c r="D941">
        <f t="shared" si="88"/>
        <v>918</v>
      </c>
      <c r="E941" s="1">
        <f>IF($H$11=1,IF(D941&lt;=$A$15, E940+LN($D$11)-LN(60/$E$11)-LN(MIN(D941,$F$11)), E940-LN(60/$E$11)-LN(MIN(D941,$F$11))), IF(D941&lt;=$A$15, E940+LN($D$11)-LN(60/$E$11)-LN(MIN(D941,$F$11)), E940+LN($D$11)+LN(1-$H$11)-LN(60/$E$11)-LN(MIN(D941,$F$11))))</f>
        <v>-109.35066269523254</v>
      </c>
      <c r="F941" s="1">
        <f t="shared" si="89"/>
        <v>-111.35269550443161</v>
      </c>
      <c r="G941" s="1">
        <f t="shared" si="87"/>
        <v>4.3665536183510439E-49</v>
      </c>
      <c r="H941" s="1">
        <f t="shared" si="84"/>
        <v>4.2860903710549254E-50</v>
      </c>
      <c r="I941">
        <f>IF($F$11&lt;=D941, IF(D941&lt;=$A$15,D941-$F$11,$C$11),0)</f>
        <v>60</v>
      </c>
      <c r="J941">
        <f t="shared" si="85"/>
        <v>854</v>
      </c>
      <c r="K941" s="5">
        <f>IF(D941&lt;$F$11,H941,0)</f>
        <v>0</v>
      </c>
      <c r="L941">
        <f>IF(D941&lt;$A$15,$D$11,$D$11*(1-$H$11))</f>
        <v>85</v>
      </c>
      <c r="M941">
        <f t="shared" si="86"/>
        <v>1</v>
      </c>
      <c r="N941">
        <f>IF(SUM(I941:J941)&lt;=($G$11/60*$F$11/($E$11/60)),1,0)</f>
        <v>0</v>
      </c>
    </row>
    <row r="942" spans="4:14" x14ac:dyDescent="0.2">
      <c r="D942">
        <f t="shared" si="88"/>
        <v>919</v>
      </c>
      <c r="E942" s="1">
        <f>IF($H$11=1,IF(D942&lt;=$A$15, E941+LN($D$11)-LN(60/$E$11)-LN(MIN(D942,$F$11)), E941-LN(60/$E$11)-LN(MIN(D942,$F$11))), IF(D942&lt;=$A$15, E941+LN($D$11)-LN(60/$E$11)-LN(MIN(D942,$F$11)), E941+LN($D$11)+LN(1-$H$11)-LN(60/$E$11)-LN(MIN(D942,$F$11))))</f>
        <v>-109.47235963021006</v>
      </c>
      <c r="F942" s="1">
        <f t="shared" si="89"/>
        <v>-111.47439243940913</v>
      </c>
      <c r="G942" s="1">
        <f t="shared" si="87"/>
        <v>3.8662193495816482E-49</v>
      </c>
      <c r="H942" s="1">
        <f t="shared" si="84"/>
        <v>3.7949758493715432E-50</v>
      </c>
      <c r="I942">
        <f>IF($F$11&lt;=D942, IF(D942&lt;=$A$15,D942-$F$11,$C$11),0)</f>
        <v>60</v>
      </c>
      <c r="J942">
        <f t="shared" si="85"/>
        <v>855</v>
      </c>
      <c r="K942" s="5">
        <f>IF(D942&lt;$F$11,H942,0)</f>
        <v>0</v>
      </c>
      <c r="L942">
        <f>IF(D942&lt;$A$15,$D$11,$D$11*(1-$H$11))</f>
        <v>85</v>
      </c>
      <c r="M942">
        <f t="shared" si="86"/>
        <v>1</v>
      </c>
      <c r="N942">
        <f>IF(SUM(I942:J942)&lt;=($G$11/60*$F$11/($E$11/60)),1,0)</f>
        <v>0</v>
      </c>
    </row>
    <row r="943" spans="4:14" x14ac:dyDescent="0.2">
      <c r="D943">
        <f t="shared" si="88"/>
        <v>920</v>
      </c>
      <c r="E943" s="1">
        <f>IF($H$11=1,IF(D943&lt;=$A$15, E942+LN($D$11)-LN(60/$E$11)-LN(MIN(D943,$F$11)), E942-LN(60/$E$11)-LN(MIN(D943,$F$11))), IF(D943&lt;=$A$15, E942+LN($D$11)-LN(60/$E$11)-LN(MIN(D943,$F$11)), E942+LN($D$11)+LN(1-$H$11)-LN(60/$E$11)-LN(MIN(D943,$F$11))))</f>
        <v>-109.59405656518759</v>
      </c>
      <c r="F943" s="1">
        <f t="shared" si="89"/>
        <v>-111.59608937438665</v>
      </c>
      <c r="G943" s="1">
        <f t="shared" si="87"/>
        <v>3.4232150491087459E-49</v>
      </c>
      <c r="H943" s="1">
        <f t="shared" si="84"/>
        <v>3.3601348666310491E-50</v>
      </c>
      <c r="I943">
        <f>IF($F$11&lt;=D943, IF(D943&lt;=$A$15,D943-$F$11,$C$11),0)</f>
        <v>60</v>
      </c>
      <c r="J943">
        <f t="shared" si="85"/>
        <v>856</v>
      </c>
      <c r="K943" s="5">
        <f>IF(D943&lt;$F$11,H943,0)</f>
        <v>0</v>
      </c>
      <c r="L943">
        <f>IF(D943&lt;$A$15,$D$11,$D$11*(1-$H$11))</f>
        <v>85</v>
      </c>
      <c r="M943">
        <f t="shared" si="86"/>
        <v>1</v>
      </c>
      <c r="N943">
        <f>IF(SUM(I943:J943)&lt;=($G$11/60*$F$11/($E$11/60)),1,0)</f>
        <v>0</v>
      </c>
    </row>
    <row r="944" spans="4:14" x14ac:dyDescent="0.2">
      <c r="D944">
        <f t="shared" si="88"/>
        <v>921</v>
      </c>
      <c r="E944" s="1">
        <f>IF($H$11=1,IF(D944&lt;=$A$15, E943+LN($D$11)-LN(60/$E$11)-LN(MIN(D944,$F$11)), E943-LN(60/$E$11)-LN(MIN(D944,$F$11))), IF(D944&lt;=$A$15, E943+LN($D$11)-LN(60/$E$11)-LN(MIN(D944,$F$11)), E943+LN($D$11)+LN(1-$H$11)-LN(60/$E$11)-LN(MIN(D944,$F$11))))</f>
        <v>-109.71575350016511</v>
      </c>
      <c r="F944" s="1">
        <f t="shared" si="89"/>
        <v>-111.71778630936417</v>
      </c>
      <c r="G944" s="1">
        <f t="shared" si="87"/>
        <v>3.0309716580650313E-49</v>
      </c>
      <c r="H944" s="1">
        <f t="shared" si="84"/>
        <v>2.9751194131629041E-50</v>
      </c>
      <c r="I944">
        <f>IF($F$11&lt;=D944, IF(D944&lt;=$A$15,D944-$F$11,$C$11),0)</f>
        <v>60</v>
      </c>
      <c r="J944">
        <f t="shared" si="85"/>
        <v>857</v>
      </c>
      <c r="K944" s="5">
        <f>IF(D944&lt;$F$11,H944,0)</f>
        <v>0</v>
      </c>
      <c r="L944">
        <f>IF(D944&lt;$A$15,$D$11,$D$11*(1-$H$11))</f>
        <v>85</v>
      </c>
      <c r="M944">
        <f t="shared" si="86"/>
        <v>1</v>
      </c>
      <c r="N944">
        <f>IF(SUM(I944:J944)&lt;=($G$11/60*$F$11/($E$11/60)),1,0)</f>
        <v>0</v>
      </c>
    </row>
    <row r="945" spans="4:14" x14ac:dyDescent="0.2">
      <c r="D945">
        <f t="shared" si="88"/>
        <v>922</v>
      </c>
      <c r="E945" s="1">
        <f>IF($H$11=1,IF(D945&lt;=$A$15, E944+LN($D$11)-LN(60/$E$11)-LN(MIN(D945,$F$11)), E944-LN(60/$E$11)-LN(MIN(D945,$F$11))), IF(D945&lt;=$A$15, E944+LN($D$11)-LN(60/$E$11)-LN(MIN(D945,$F$11)), E944+LN($D$11)+LN(1-$H$11)-LN(60/$E$11)-LN(MIN(D945,$F$11))))</f>
        <v>-109.83745043514263</v>
      </c>
      <c r="F945" s="1">
        <f t="shared" si="89"/>
        <v>-111.83948324434169</v>
      </c>
      <c r="G945" s="1">
        <f t="shared" si="87"/>
        <v>2.6836728222450757E-49</v>
      </c>
      <c r="H945" s="1">
        <f t="shared" si="84"/>
        <v>2.6342203137379836E-50</v>
      </c>
      <c r="I945">
        <f>IF($F$11&lt;=D945, IF(D945&lt;=$A$15,D945-$F$11,$C$11),0)</f>
        <v>60</v>
      </c>
      <c r="J945">
        <f t="shared" si="85"/>
        <v>858</v>
      </c>
      <c r="K945" s="5">
        <f>IF(D945&lt;$F$11,H945,0)</f>
        <v>0</v>
      </c>
      <c r="L945">
        <f>IF(D945&lt;$A$15,$D$11,$D$11*(1-$H$11))</f>
        <v>85</v>
      </c>
      <c r="M945">
        <f t="shared" si="86"/>
        <v>1</v>
      </c>
      <c r="N945">
        <f>IF(SUM(I945:J945)&lt;=($G$11/60*$F$11/($E$11/60)),1,0)</f>
        <v>0</v>
      </c>
    </row>
    <row r="946" spans="4:14" x14ac:dyDescent="0.2">
      <c r="D946">
        <f t="shared" si="88"/>
        <v>923</v>
      </c>
      <c r="E946" s="1">
        <f>IF($H$11=1,IF(D946&lt;=$A$15, E945+LN($D$11)-LN(60/$E$11)-LN(MIN(D946,$F$11)), E945-LN(60/$E$11)-LN(MIN(D946,$F$11))), IF(D946&lt;=$A$15, E945+LN($D$11)-LN(60/$E$11)-LN(MIN(D946,$F$11)), E945+LN($D$11)+LN(1-$H$11)-LN(60/$E$11)-LN(MIN(D946,$F$11))))</f>
        <v>-109.95914737012015</v>
      </c>
      <c r="F946" s="1">
        <f t="shared" si="89"/>
        <v>-111.96118017931921</v>
      </c>
      <c r="G946" s="1">
        <f t="shared" si="87"/>
        <v>2.3761686446961574E-49</v>
      </c>
      <c r="H946" s="1">
        <f t="shared" si="84"/>
        <v>2.3323825694555033E-50</v>
      </c>
      <c r="I946">
        <f>IF($F$11&lt;=D946, IF(D946&lt;=$A$15,D946-$F$11,$C$11),0)</f>
        <v>60</v>
      </c>
      <c r="J946">
        <f t="shared" si="85"/>
        <v>859</v>
      </c>
      <c r="K946" s="5">
        <f>IF(D946&lt;$F$11,H946,0)</f>
        <v>0</v>
      </c>
      <c r="L946">
        <f>IF(D946&lt;$A$15,$D$11,$D$11*(1-$H$11))</f>
        <v>85</v>
      </c>
      <c r="M946">
        <f t="shared" si="86"/>
        <v>1</v>
      </c>
      <c r="N946">
        <f>IF(SUM(I946:J946)&lt;=($G$11/60*$F$11/($E$11/60)),1,0)</f>
        <v>0</v>
      </c>
    </row>
    <row r="947" spans="4:14" x14ac:dyDescent="0.2">
      <c r="D947">
        <f t="shared" si="88"/>
        <v>924</v>
      </c>
      <c r="E947" s="1">
        <f>IF($H$11=1,IF(D947&lt;=$A$15, E946+LN($D$11)-LN(60/$E$11)-LN(MIN(D947,$F$11)), E946-LN(60/$E$11)-LN(MIN(D947,$F$11))), IF(D947&lt;=$A$15, E946+LN($D$11)-LN(60/$E$11)-LN(MIN(D947,$F$11)), E946+LN($D$11)+LN(1-$H$11)-LN(60/$E$11)-LN(MIN(D947,$F$11))))</f>
        <v>-110.08084430509767</v>
      </c>
      <c r="F947" s="1">
        <f t="shared" si="89"/>
        <v>-112.08287711429674</v>
      </c>
      <c r="G947" s="1">
        <f t="shared" si="87"/>
        <v>2.10389932082472E-49</v>
      </c>
      <c r="H947" s="1">
        <f t="shared" si="84"/>
        <v>2.0651304000387242E-50</v>
      </c>
      <c r="I947">
        <f>IF($F$11&lt;=D947, IF(D947&lt;=$A$15,D947-$F$11,$C$11),0)</f>
        <v>60</v>
      </c>
      <c r="J947">
        <f t="shared" si="85"/>
        <v>860</v>
      </c>
      <c r="K947" s="5">
        <f>IF(D947&lt;$F$11,H947,0)</f>
        <v>0</v>
      </c>
      <c r="L947">
        <f>IF(D947&lt;$A$15,$D$11,$D$11*(1-$H$11))</f>
        <v>85</v>
      </c>
      <c r="M947">
        <f t="shared" si="86"/>
        <v>1</v>
      </c>
      <c r="N947">
        <f>IF(SUM(I947:J947)&lt;=($G$11/60*$F$11/($E$11/60)),1,0)</f>
        <v>0</v>
      </c>
    </row>
    <row r="948" spans="4:14" x14ac:dyDescent="0.2">
      <c r="D948">
        <f t="shared" si="88"/>
        <v>925</v>
      </c>
      <c r="E948" s="1">
        <f>IF($H$11=1,IF(D948&lt;=$A$15, E947+LN($D$11)-LN(60/$E$11)-LN(MIN(D948,$F$11)), E947-LN(60/$E$11)-LN(MIN(D948,$F$11))), IF(D948&lt;=$A$15, E947+LN($D$11)-LN(60/$E$11)-LN(MIN(D948,$F$11)), E947+LN($D$11)+LN(1-$H$11)-LN(60/$E$11)-LN(MIN(D948,$F$11))))</f>
        <v>-110.20254124007519</v>
      </c>
      <c r="F948" s="1">
        <f t="shared" si="89"/>
        <v>-112.20457404927426</v>
      </c>
      <c r="G948" s="1">
        <f t="shared" si="87"/>
        <v>1.8628275236468848E-49</v>
      </c>
      <c r="H948" s="1">
        <f t="shared" si="84"/>
        <v>1.8285008750342842E-50</v>
      </c>
      <c r="I948">
        <f>IF($F$11&lt;=D948, IF(D948&lt;=$A$15,D948-$F$11,$C$11),0)</f>
        <v>60</v>
      </c>
      <c r="J948">
        <f t="shared" si="85"/>
        <v>861</v>
      </c>
      <c r="K948" s="5">
        <f>IF(D948&lt;$F$11,H948,0)</f>
        <v>0</v>
      </c>
      <c r="L948">
        <f>IF(D948&lt;$A$15,$D$11,$D$11*(1-$H$11))</f>
        <v>85</v>
      </c>
      <c r="M948">
        <f t="shared" si="86"/>
        <v>1</v>
      </c>
      <c r="N948">
        <f>IF(SUM(I948:J948)&lt;=($G$11/60*$F$11/($E$11/60)),1,0)</f>
        <v>0</v>
      </c>
    </row>
    <row r="949" spans="4:14" x14ac:dyDescent="0.2">
      <c r="D949">
        <f t="shared" si="88"/>
        <v>926</v>
      </c>
      <c r="E949" s="1">
        <f>IF($H$11=1,IF(D949&lt;=$A$15, E948+LN($D$11)-LN(60/$E$11)-LN(MIN(D949,$F$11)), E948-LN(60/$E$11)-LN(MIN(D949,$F$11))), IF(D949&lt;=$A$15, E948+LN($D$11)-LN(60/$E$11)-LN(MIN(D949,$F$11)), E948+LN($D$11)+LN(1-$H$11)-LN(60/$E$11)-LN(MIN(D949,$F$11))))</f>
        <v>-110.32423817505271</v>
      </c>
      <c r="F949" s="1">
        <f t="shared" si="89"/>
        <v>-112.32627098425178</v>
      </c>
      <c r="G949" s="1">
        <f t="shared" si="87"/>
        <v>1.6493785365623434E-49</v>
      </c>
      <c r="H949" s="1">
        <f t="shared" si="84"/>
        <v>1.6189851497699368E-50</v>
      </c>
      <c r="I949">
        <f>IF($F$11&lt;=D949, IF(D949&lt;=$A$15,D949-$F$11,$C$11),0)</f>
        <v>60</v>
      </c>
      <c r="J949">
        <f t="shared" si="85"/>
        <v>862</v>
      </c>
      <c r="K949" s="5">
        <f>IF(D949&lt;$F$11,H949,0)</f>
        <v>0</v>
      </c>
      <c r="L949">
        <f>IF(D949&lt;$A$15,$D$11,$D$11*(1-$H$11))</f>
        <v>85</v>
      </c>
      <c r="M949">
        <f t="shared" si="86"/>
        <v>1</v>
      </c>
      <c r="N949">
        <f>IF(SUM(I949:J949)&lt;=($G$11/60*$F$11/($E$11/60)),1,0)</f>
        <v>0</v>
      </c>
    </row>
    <row r="950" spans="4:14" x14ac:dyDescent="0.2">
      <c r="D950">
        <f t="shared" si="88"/>
        <v>927</v>
      </c>
      <c r="E950" s="1">
        <f>IF($H$11=1,IF(D950&lt;=$A$15, E949+LN($D$11)-LN(60/$E$11)-LN(MIN(D950,$F$11)), E949-LN(60/$E$11)-LN(MIN(D950,$F$11))), IF(D950&lt;=$A$15, E949+LN($D$11)-LN(60/$E$11)-LN(MIN(D950,$F$11)), E949+LN($D$11)+LN(1-$H$11)-LN(60/$E$11)-LN(MIN(D950,$F$11))))</f>
        <v>-110.44593511003023</v>
      </c>
      <c r="F950" s="1">
        <f t="shared" si="89"/>
        <v>-112.4479679192293</v>
      </c>
      <c r="G950" s="1">
        <f t="shared" si="87"/>
        <v>1.4603872459145728E-49</v>
      </c>
      <c r="H950" s="1">
        <f t="shared" si="84"/>
        <v>1.4334764346921294E-50</v>
      </c>
      <c r="I950">
        <f>IF($F$11&lt;=D950, IF(D950&lt;=$A$15,D950-$F$11,$C$11),0)</f>
        <v>60</v>
      </c>
      <c r="J950">
        <f t="shared" si="85"/>
        <v>863</v>
      </c>
      <c r="K950" s="5">
        <f>IF(D950&lt;$F$11,H950,0)</f>
        <v>0</v>
      </c>
      <c r="L950">
        <f>IF(D950&lt;$A$15,$D$11,$D$11*(1-$H$11))</f>
        <v>85</v>
      </c>
      <c r="M950">
        <f t="shared" si="86"/>
        <v>1</v>
      </c>
      <c r="N950">
        <f>IF(SUM(I950:J950)&lt;=($G$11/60*$F$11/($E$11/60)),1,0)</f>
        <v>0</v>
      </c>
    </row>
    <row r="951" spans="4:14" x14ac:dyDescent="0.2">
      <c r="D951">
        <f t="shared" si="88"/>
        <v>928</v>
      </c>
      <c r="E951" s="1">
        <f>IF($H$11=1,IF(D951&lt;=$A$15, E950+LN($D$11)-LN(60/$E$11)-LN(MIN(D951,$F$11)), E950-LN(60/$E$11)-LN(MIN(D951,$F$11))), IF(D951&lt;=$A$15, E950+LN($D$11)-LN(60/$E$11)-LN(MIN(D951,$F$11)), E950+LN($D$11)+LN(1-$H$11)-LN(60/$E$11)-LN(MIN(D951,$F$11))))</f>
        <v>-110.56763204500776</v>
      </c>
      <c r="F951" s="1">
        <f t="shared" si="89"/>
        <v>-112.56966485420682</v>
      </c>
      <c r="G951" s="1">
        <f t="shared" si="87"/>
        <v>1.2930512073201929E-49</v>
      </c>
      <c r="H951" s="1">
        <f t="shared" si="84"/>
        <v>1.2692239265503212E-50</v>
      </c>
      <c r="I951">
        <f>IF($F$11&lt;=D951, IF(D951&lt;=$A$15,D951-$F$11,$C$11),0)</f>
        <v>60</v>
      </c>
      <c r="J951">
        <f t="shared" si="85"/>
        <v>864</v>
      </c>
      <c r="K951" s="5">
        <f>IF(D951&lt;$F$11,H951,0)</f>
        <v>0</v>
      </c>
      <c r="L951">
        <f>IF(D951&lt;$A$15,$D$11,$D$11*(1-$H$11))</f>
        <v>85</v>
      </c>
      <c r="M951">
        <f t="shared" si="86"/>
        <v>1</v>
      </c>
      <c r="N951">
        <f>IF(SUM(I951:J951)&lt;=($G$11/60*$F$11/($E$11/60)),1,0)</f>
        <v>0</v>
      </c>
    </row>
    <row r="952" spans="4:14" x14ac:dyDescent="0.2">
      <c r="D952">
        <f t="shared" si="88"/>
        <v>929</v>
      </c>
      <c r="E952" s="1">
        <f>IF($H$11=1,IF(D952&lt;=$A$15, E951+LN($D$11)-LN(60/$E$11)-LN(MIN(D952,$F$11)), E951-LN(60/$E$11)-LN(MIN(D952,$F$11))), IF(D952&lt;=$A$15, E951+LN($D$11)-LN(60/$E$11)-LN(MIN(D952,$F$11)), E951+LN($D$11)+LN(1-$H$11)-LN(60/$E$11)-LN(MIN(D952,$F$11))))</f>
        <v>-110.68932897998528</v>
      </c>
      <c r="F952" s="1">
        <f t="shared" si="89"/>
        <v>-112.69136178918434</v>
      </c>
      <c r="G952" s="1">
        <f t="shared" si="87"/>
        <v>1.1448890898147525E-49</v>
      </c>
      <c r="H952" s="1">
        <f t="shared" si="84"/>
        <v>1.1237920182997621E-50</v>
      </c>
      <c r="I952">
        <f>IF($F$11&lt;=D952, IF(D952&lt;=$A$15,D952-$F$11,$C$11),0)</f>
        <v>60</v>
      </c>
      <c r="J952">
        <f t="shared" si="85"/>
        <v>865</v>
      </c>
      <c r="K952" s="5">
        <f>IF(D952&lt;$F$11,H952,0)</f>
        <v>0</v>
      </c>
      <c r="L952">
        <f>IF(D952&lt;$A$15,$D$11,$D$11*(1-$H$11))</f>
        <v>85</v>
      </c>
      <c r="M952">
        <f t="shared" si="86"/>
        <v>1</v>
      </c>
      <c r="N952">
        <f>IF(SUM(I952:J952)&lt;=($G$11/60*$F$11/($E$11/60)),1,0)</f>
        <v>0</v>
      </c>
    </row>
    <row r="953" spans="4:14" x14ac:dyDescent="0.2">
      <c r="D953">
        <f t="shared" si="88"/>
        <v>930</v>
      </c>
      <c r="E953" s="1">
        <f>IF($H$11=1,IF(D953&lt;=$A$15, E952+LN($D$11)-LN(60/$E$11)-LN(MIN(D953,$F$11)), E952-LN(60/$E$11)-LN(MIN(D953,$F$11))), IF(D953&lt;=$A$15, E952+LN($D$11)-LN(60/$E$11)-LN(MIN(D953,$F$11)), E952+LN($D$11)+LN(1-$H$11)-LN(60/$E$11)-LN(MIN(D953,$F$11))))</f>
        <v>-110.8110259149628</v>
      </c>
      <c r="F953" s="1">
        <f t="shared" si="89"/>
        <v>-112.81305872416186</v>
      </c>
      <c r="G953" s="1">
        <f t="shared" si="87"/>
        <v>1.0137038816068106E-49</v>
      </c>
      <c r="H953" s="1">
        <f t="shared" si="84"/>
        <v>9.9502418286957948E-51</v>
      </c>
      <c r="I953">
        <f>IF($F$11&lt;=D953, IF(D953&lt;=$A$15,D953-$F$11,$C$11),0)</f>
        <v>60</v>
      </c>
      <c r="J953">
        <f t="shared" si="85"/>
        <v>866</v>
      </c>
      <c r="K953" s="5">
        <f>IF(D953&lt;$F$11,H953,0)</f>
        <v>0</v>
      </c>
      <c r="L953">
        <f>IF(D953&lt;$A$15,$D$11,$D$11*(1-$H$11))</f>
        <v>85</v>
      </c>
      <c r="M953">
        <f t="shared" si="86"/>
        <v>1</v>
      </c>
      <c r="N953">
        <f>IF(SUM(I953:J953)&lt;=($G$11/60*$F$11/($E$11/60)),1,0)</f>
        <v>0</v>
      </c>
    </row>
    <row r="954" spans="4:14" x14ac:dyDescent="0.2">
      <c r="D954">
        <f t="shared" si="88"/>
        <v>931</v>
      </c>
      <c r="E954" s="1">
        <f>IF($H$11=1,IF(D954&lt;=$A$15, E953+LN($D$11)-LN(60/$E$11)-LN(MIN(D954,$F$11)), E953-LN(60/$E$11)-LN(MIN(D954,$F$11))), IF(D954&lt;=$A$15, E953+LN($D$11)-LN(60/$E$11)-LN(MIN(D954,$F$11)), E953+LN($D$11)+LN(1-$H$11)-LN(60/$E$11)-LN(MIN(D954,$F$11))))</f>
        <v>-110.93272284994032</v>
      </c>
      <c r="F954" s="1">
        <f t="shared" si="89"/>
        <v>-112.93475565913938</v>
      </c>
      <c r="G954" s="1">
        <f t="shared" si="87"/>
        <v>8.9755031183936231E-50</v>
      </c>
      <c r="H954" s="1">
        <f t="shared" si="84"/>
        <v>8.8101099524910563E-51</v>
      </c>
      <c r="I954">
        <f>IF($F$11&lt;=D954, IF(D954&lt;=$A$15,D954-$F$11,$C$11),0)</f>
        <v>60</v>
      </c>
      <c r="J954">
        <f t="shared" si="85"/>
        <v>867</v>
      </c>
      <c r="K954" s="5">
        <f>IF(D954&lt;$F$11,H954,0)</f>
        <v>0</v>
      </c>
      <c r="L954">
        <f>IF(D954&lt;$A$15,$D$11,$D$11*(1-$H$11))</f>
        <v>85</v>
      </c>
      <c r="M954">
        <f t="shared" si="86"/>
        <v>1</v>
      </c>
      <c r="N954">
        <f>IF(SUM(I954:J954)&lt;=($G$11/60*$F$11/($E$11/60)),1,0)</f>
        <v>0</v>
      </c>
    </row>
    <row r="955" spans="4:14" x14ac:dyDescent="0.2">
      <c r="D955">
        <f t="shared" si="88"/>
        <v>932</v>
      </c>
      <c r="E955" s="1">
        <f>IF($H$11=1,IF(D955&lt;=$A$15, E954+LN($D$11)-LN(60/$E$11)-LN(MIN(D955,$F$11)), E954-LN(60/$E$11)-LN(MIN(D955,$F$11))), IF(D955&lt;=$A$15, E954+LN($D$11)-LN(60/$E$11)-LN(MIN(D955,$F$11)), E954+LN($D$11)+LN(1-$H$11)-LN(60/$E$11)-LN(MIN(D955,$F$11))))</f>
        <v>-111.05441978491784</v>
      </c>
      <c r="F955" s="1">
        <f t="shared" si="89"/>
        <v>-113.05645259411691</v>
      </c>
      <c r="G955" s="1">
        <f t="shared" si="87"/>
        <v>7.9470600527443429E-50</v>
      </c>
      <c r="H955" s="1">
        <f t="shared" si="84"/>
        <v>7.8006181871014446E-51</v>
      </c>
      <c r="I955">
        <f>IF($F$11&lt;=D955, IF(D955&lt;=$A$15,D955-$F$11,$C$11),0)</f>
        <v>60</v>
      </c>
      <c r="J955">
        <f t="shared" si="85"/>
        <v>868</v>
      </c>
      <c r="K955" s="5">
        <f>IF(D955&lt;$F$11,H955,0)</f>
        <v>0</v>
      </c>
      <c r="L955">
        <f>IF(D955&lt;$A$15,$D$11,$D$11*(1-$H$11))</f>
        <v>85</v>
      </c>
      <c r="M955">
        <f t="shared" si="86"/>
        <v>1</v>
      </c>
      <c r="N955">
        <f>IF(SUM(I955:J955)&lt;=($G$11/60*$F$11/($E$11/60)),1,0)</f>
        <v>0</v>
      </c>
    </row>
    <row r="956" spans="4:14" x14ac:dyDescent="0.2">
      <c r="D956">
        <f t="shared" si="88"/>
        <v>933</v>
      </c>
      <c r="E956" s="1">
        <f>IF($H$11=1,IF(D956&lt;=$A$15, E955+LN($D$11)-LN(60/$E$11)-LN(MIN(D956,$F$11)), E955-LN(60/$E$11)-LN(MIN(D956,$F$11))), IF(D956&lt;=$A$15, E955+LN($D$11)-LN(60/$E$11)-LN(MIN(D956,$F$11)), E955+LN($D$11)+LN(1-$H$11)-LN(60/$E$11)-LN(MIN(D956,$F$11))))</f>
        <v>-111.17611671989536</v>
      </c>
      <c r="F956" s="1">
        <f t="shared" si="89"/>
        <v>-113.17814952909443</v>
      </c>
      <c r="G956" s="1">
        <f t="shared" si="87"/>
        <v>7.03645942170071E-50</v>
      </c>
      <c r="H956" s="1">
        <f t="shared" si="84"/>
        <v>6.9067973531627281E-51</v>
      </c>
      <c r="I956">
        <f>IF($F$11&lt;=D956, IF(D956&lt;=$A$15,D956-$F$11,$C$11),0)</f>
        <v>60</v>
      </c>
      <c r="J956">
        <f t="shared" si="85"/>
        <v>869</v>
      </c>
      <c r="K956" s="5">
        <f>IF(D956&lt;$F$11,H956,0)</f>
        <v>0</v>
      </c>
      <c r="L956">
        <f>IF(D956&lt;$A$15,$D$11,$D$11*(1-$H$11))</f>
        <v>85</v>
      </c>
      <c r="M956">
        <f t="shared" si="86"/>
        <v>1</v>
      </c>
      <c r="N956">
        <f>IF(SUM(I956:J956)&lt;=($G$11/60*$F$11/($E$11/60)),1,0)</f>
        <v>0</v>
      </c>
    </row>
    <row r="957" spans="4:14" x14ac:dyDescent="0.2">
      <c r="D957">
        <f t="shared" si="88"/>
        <v>934</v>
      </c>
      <c r="E957" s="1">
        <f>IF($H$11=1,IF(D957&lt;=$A$15, E956+LN($D$11)-LN(60/$E$11)-LN(MIN(D957,$F$11)), E956-LN(60/$E$11)-LN(MIN(D957,$F$11))), IF(D957&lt;=$A$15, E956+LN($D$11)-LN(60/$E$11)-LN(MIN(D957,$F$11)), E956+LN($D$11)+LN(1-$H$11)-LN(60/$E$11)-LN(MIN(D957,$F$11))))</f>
        <v>-111.29781365487288</v>
      </c>
      <c r="F957" s="1">
        <f t="shared" si="89"/>
        <v>-113.29984646407195</v>
      </c>
      <c r="G957" s="1">
        <f t="shared" si="87"/>
        <v>6.2301984462974949E-50</v>
      </c>
      <c r="H957" s="1">
        <f t="shared" si="84"/>
        <v>6.1153934897794893E-51</v>
      </c>
      <c r="I957">
        <f>IF($F$11&lt;=D957, IF(D957&lt;=$A$15,D957-$F$11,$C$11),0)</f>
        <v>60</v>
      </c>
      <c r="J957">
        <f t="shared" si="85"/>
        <v>870</v>
      </c>
      <c r="K957" s="5">
        <f>IF(D957&lt;$F$11,H957,0)</f>
        <v>0</v>
      </c>
      <c r="L957">
        <f>IF(D957&lt;$A$15,$D$11,$D$11*(1-$H$11))</f>
        <v>85</v>
      </c>
      <c r="M957">
        <f t="shared" si="86"/>
        <v>1</v>
      </c>
      <c r="N957">
        <f>IF(SUM(I957:J957)&lt;=($G$11/60*$F$11/($E$11/60)),1,0)</f>
        <v>0</v>
      </c>
    </row>
    <row r="958" spans="4:14" x14ac:dyDescent="0.2">
      <c r="D958">
        <f t="shared" si="88"/>
        <v>935</v>
      </c>
      <c r="E958" s="1">
        <f>IF($H$11=1,IF(D958&lt;=$A$15, E957+LN($D$11)-LN(60/$E$11)-LN(MIN(D958,$F$11)), E957-LN(60/$E$11)-LN(MIN(D958,$F$11))), IF(D958&lt;=$A$15, E957+LN($D$11)-LN(60/$E$11)-LN(MIN(D958,$F$11)), E957+LN($D$11)+LN(1-$H$11)-LN(60/$E$11)-LN(MIN(D958,$F$11))))</f>
        <v>-111.4195105898504</v>
      </c>
      <c r="F958" s="1">
        <f t="shared" si="89"/>
        <v>-113.42154339904947</v>
      </c>
      <c r="G958" s="1">
        <f t="shared" si="87"/>
        <v>5.5163215409925655E-50</v>
      </c>
      <c r="H958" s="1">
        <f t="shared" si="84"/>
        <v>5.4146713190755823E-51</v>
      </c>
      <c r="I958">
        <f>IF($F$11&lt;=D958, IF(D958&lt;=$A$15,D958-$F$11,$C$11),0)</f>
        <v>60</v>
      </c>
      <c r="J958">
        <f t="shared" si="85"/>
        <v>871</v>
      </c>
      <c r="K958" s="5">
        <f>IF(D958&lt;$F$11,H958,0)</f>
        <v>0</v>
      </c>
      <c r="L958">
        <f>IF(D958&lt;$A$15,$D$11,$D$11*(1-$H$11))</f>
        <v>85</v>
      </c>
      <c r="M958">
        <f t="shared" si="86"/>
        <v>1</v>
      </c>
      <c r="N958">
        <f>IF(SUM(I958:J958)&lt;=($G$11/60*$F$11/($E$11/60)),1,0)</f>
        <v>0</v>
      </c>
    </row>
    <row r="959" spans="4:14" x14ac:dyDescent="0.2">
      <c r="D959">
        <f t="shared" si="88"/>
        <v>936</v>
      </c>
      <c r="E959" s="1">
        <f>IF($H$11=1,IF(D959&lt;=$A$15, E958+LN($D$11)-LN(60/$E$11)-LN(MIN(D959,$F$11)), E958-LN(60/$E$11)-LN(MIN(D959,$F$11))), IF(D959&lt;=$A$15, E958+LN($D$11)-LN(60/$E$11)-LN(MIN(D959,$F$11)), E958+LN($D$11)+LN(1-$H$11)-LN(60/$E$11)-LN(MIN(D959,$F$11))))</f>
        <v>-111.54120752482793</v>
      </c>
      <c r="F959" s="1">
        <f t="shared" si="89"/>
        <v>-113.54324033402699</v>
      </c>
      <c r="G959" s="1">
        <f t="shared" si="87"/>
        <v>4.8842430310871608E-50</v>
      </c>
      <c r="H959" s="1">
        <f t="shared" si="84"/>
        <v>4.7942402304314982E-51</v>
      </c>
      <c r="I959">
        <f>IF($F$11&lt;=D959, IF(D959&lt;=$A$15,D959-$F$11,$C$11),0)</f>
        <v>60</v>
      </c>
      <c r="J959">
        <f t="shared" si="85"/>
        <v>872</v>
      </c>
      <c r="K959" s="5">
        <f>IF(D959&lt;$F$11,H959,0)</f>
        <v>0</v>
      </c>
      <c r="L959">
        <f>IF(D959&lt;$A$15,$D$11,$D$11*(1-$H$11))</f>
        <v>85</v>
      </c>
      <c r="M959">
        <f t="shared" si="86"/>
        <v>1</v>
      </c>
      <c r="N959">
        <f>IF(SUM(I959:J959)&lt;=($G$11/60*$F$11/($E$11/60)),1,0)</f>
        <v>0</v>
      </c>
    </row>
    <row r="960" spans="4:14" x14ac:dyDescent="0.2">
      <c r="D960">
        <f t="shared" si="88"/>
        <v>937</v>
      </c>
      <c r="E960" s="1">
        <f>IF($H$11=1,IF(D960&lt;=$A$15, E959+LN($D$11)-LN(60/$E$11)-LN(MIN(D960,$F$11)), E959-LN(60/$E$11)-LN(MIN(D960,$F$11))), IF(D960&lt;=$A$15, E959+LN($D$11)-LN(60/$E$11)-LN(MIN(D960,$F$11)), E959+LN($D$11)+LN(1-$H$11)-LN(60/$E$11)-LN(MIN(D960,$F$11))))</f>
        <v>-111.66290445980545</v>
      </c>
      <c r="F960" s="1">
        <f t="shared" si="89"/>
        <v>-113.66493726900451</v>
      </c>
      <c r="G960" s="1">
        <f t="shared" si="87"/>
        <v>4.3245901837750833E-50</v>
      </c>
      <c r="H960" s="1">
        <f t="shared" si="84"/>
        <v>4.2449002040278823E-51</v>
      </c>
      <c r="I960">
        <f>IF($F$11&lt;=D960, IF(D960&lt;=$A$15,D960-$F$11,$C$11),0)</f>
        <v>60</v>
      </c>
      <c r="J960">
        <f t="shared" si="85"/>
        <v>873</v>
      </c>
      <c r="K960" s="5">
        <f>IF(D960&lt;$F$11,H960,0)</f>
        <v>0</v>
      </c>
      <c r="L960">
        <f>IF(D960&lt;$A$15,$D$11,$D$11*(1-$H$11))</f>
        <v>85</v>
      </c>
      <c r="M960">
        <f t="shared" si="86"/>
        <v>1</v>
      </c>
      <c r="N960">
        <f>IF(SUM(I960:J960)&lt;=($G$11/60*$F$11/($E$11/60)),1,0)</f>
        <v>0</v>
      </c>
    </row>
    <row r="961" spans="4:14" x14ac:dyDescent="0.2">
      <c r="D961">
        <f t="shared" si="88"/>
        <v>938</v>
      </c>
      <c r="E961" s="1">
        <f>IF($H$11=1,IF(D961&lt;=$A$15, E960+LN($D$11)-LN(60/$E$11)-LN(MIN(D961,$F$11)), E960-LN(60/$E$11)-LN(MIN(D961,$F$11))), IF(D961&lt;=$A$15, E960+LN($D$11)-LN(60/$E$11)-LN(MIN(D961,$F$11)), E960+LN($D$11)+LN(1-$H$11)-LN(60/$E$11)-LN(MIN(D961,$F$11))))</f>
        <v>-111.78460139478297</v>
      </c>
      <c r="F961" s="1">
        <f t="shared" si="89"/>
        <v>-113.78663420398203</v>
      </c>
      <c r="G961" s="1">
        <f t="shared" si="87"/>
        <v>3.8290642252175166E-50</v>
      </c>
      <c r="H961" s="1">
        <f t="shared" si="84"/>
        <v>3.7585053889830161E-51</v>
      </c>
      <c r="I961">
        <f>IF($F$11&lt;=D961, IF(D961&lt;=$A$15,D961-$F$11,$C$11),0)</f>
        <v>60</v>
      </c>
      <c r="J961">
        <f t="shared" si="85"/>
        <v>874</v>
      </c>
      <c r="K961" s="5">
        <f>IF(D961&lt;$F$11,H961,0)</f>
        <v>0</v>
      </c>
      <c r="L961">
        <f>IF(D961&lt;$A$15,$D$11,$D$11*(1-$H$11))</f>
        <v>85</v>
      </c>
      <c r="M961">
        <f t="shared" si="86"/>
        <v>1</v>
      </c>
      <c r="N961">
        <f>IF(SUM(I961:J961)&lt;=($G$11/60*$F$11/($E$11/60)),1,0)</f>
        <v>0</v>
      </c>
    </row>
    <row r="962" spans="4:14" x14ac:dyDescent="0.2">
      <c r="D962">
        <f t="shared" si="88"/>
        <v>939</v>
      </c>
      <c r="E962" s="1">
        <f>IF($H$11=1,IF(D962&lt;=$A$15, E961+LN($D$11)-LN(60/$E$11)-LN(MIN(D962,$F$11)), E961-LN(60/$E$11)-LN(MIN(D962,$F$11))), IF(D962&lt;=$A$15, E961+LN($D$11)-LN(60/$E$11)-LN(MIN(D962,$F$11)), E961+LN($D$11)+LN(1-$H$11)-LN(60/$E$11)-LN(MIN(D962,$F$11))))</f>
        <v>-111.90629832976049</v>
      </c>
      <c r="F962" s="1">
        <f t="shared" si="89"/>
        <v>-113.90833113895955</v>
      </c>
      <c r="G962" s="1">
        <f t="shared" si="87"/>
        <v>3.3903172827446714E-50</v>
      </c>
      <c r="H962" s="1">
        <f t="shared" si="84"/>
        <v>3.3278433131620405E-51</v>
      </c>
      <c r="I962">
        <f>IF($F$11&lt;=D962, IF(D962&lt;=$A$15,D962-$F$11,$C$11),0)</f>
        <v>60</v>
      </c>
      <c r="J962">
        <f t="shared" si="85"/>
        <v>875</v>
      </c>
      <c r="K962" s="5">
        <f>IF(D962&lt;$F$11,H962,0)</f>
        <v>0</v>
      </c>
      <c r="L962">
        <f>IF(D962&lt;$A$15,$D$11,$D$11*(1-$H$11))</f>
        <v>85</v>
      </c>
      <c r="M962">
        <f t="shared" si="86"/>
        <v>1</v>
      </c>
      <c r="N962">
        <f>IF(SUM(I962:J962)&lt;=($G$11/60*$F$11/($E$11/60)),1,0)</f>
        <v>0</v>
      </c>
    </row>
    <row r="963" spans="4:14" x14ac:dyDescent="0.2">
      <c r="D963">
        <f t="shared" si="88"/>
        <v>940</v>
      </c>
      <c r="E963" s="1">
        <f>IF($H$11=1,IF(D963&lt;=$A$15, E962+LN($D$11)-LN(60/$E$11)-LN(MIN(D963,$F$11)), E962-LN(60/$E$11)-LN(MIN(D963,$F$11))), IF(D963&lt;=$A$15, E962+LN($D$11)-LN(60/$E$11)-LN(MIN(D963,$F$11)), E962+LN($D$11)+LN(1-$H$11)-LN(60/$E$11)-LN(MIN(D963,$F$11))))</f>
        <v>-112.02799526473801</v>
      </c>
      <c r="F963" s="1">
        <f t="shared" si="89"/>
        <v>-114.03002807393707</v>
      </c>
      <c r="G963" s="1">
        <f t="shared" si="87"/>
        <v>3.0018434274301734E-50</v>
      </c>
      <c r="H963" s="1">
        <f t="shared" si="84"/>
        <v>2.946527933528886E-51</v>
      </c>
      <c r="I963">
        <f>IF($F$11&lt;=D963, IF(D963&lt;=$A$15,D963-$F$11,$C$11),0)</f>
        <v>60</v>
      </c>
      <c r="J963">
        <f t="shared" si="85"/>
        <v>876</v>
      </c>
      <c r="K963" s="5">
        <f>IF(D963&lt;$F$11,H963,0)</f>
        <v>0</v>
      </c>
      <c r="L963">
        <f>IF(D963&lt;$A$15,$D$11,$D$11*(1-$H$11))</f>
        <v>85</v>
      </c>
      <c r="M963">
        <f t="shared" si="86"/>
        <v>1</v>
      </c>
      <c r="N963">
        <f>IF(SUM(I963:J963)&lt;=($G$11/60*$F$11/($E$11/60)),1,0)</f>
        <v>0</v>
      </c>
    </row>
    <row r="964" spans="4:14" x14ac:dyDescent="0.2">
      <c r="D964">
        <f t="shared" si="88"/>
        <v>941</v>
      </c>
      <c r="E964" s="1">
        <f>IF($H$11=1,IF(D964&lt;=$A$15, E963+LN($D$11)-LN(60/$E$11)-LN(MIN(D964,$F$11)), E963-LN(60/$E$11)-LN(MIN(D964,$F$11))), IF(D964&lt;=$A$15, E963+LN($D$11)-LN(60/$E$11)-LN(MIN(D964,$F$11)), E963+LN($D$11)+LN(1-$H$11)-LN(60/$E$11)-LN(MIN(D964,$F$11))))</f>
        <v>-112.14969219971553</v>
      </c>
      <c r="F964" s="1">
        <f t="shared" si="89"/>
        <v>-114.1517250089146</v>
      </c>
      <c r="G964" s="1">
        <f t="shared" si="87"/>
        <v>2.6578822013704621E-50</v>
      </c>
      <c r="H964" s="1">
        <f t="shared" si="84"/>
        <v>2.6089049411453637E-51</v>
      </c>
      <c r="I964">
        <f>IF($F$11&lt;=D964, IF(D964&lt;=$A$15,D964-$F$11,$C$11),0)</f>
        <v>60</v>
      </c>
      <c r="J964">
        <f t="shared" si="85"/>
        <v>877</v>
      </c>
      <c r="K964" s="5">
        <f>IF(D964&lt;$F$11,H964,0)</f>
        <v>0</v>
      </c>
      <c r="L964">
        <f>IF(D964&lt;$A$15,$D$11,$D$11*(1-$H$11))</f>
        <v>85</v>
      </c>
      <c r="M964">
        <f t="shared" si="86"/>
        <v>1</v>
      </c>
      <c r="N964">
        <f>IF(SUM(I964:J964)&lt;=($G$11/60*$F$11/($E$11/60)),1,0)</f>
        <v>0</v>
      </c>
    </row>
    <row r="965" spans="4:14" x14ac:dyDescent="0.2">
      <c r="D965">
        <f t="shared" si="88"/>
        <v>942</v>
      </c>
      <c r="E965" s="1">
        <f>IF($H$11=1,IF(D965&lt;=$A$15, E964+LN($D$11)-LN(60/$E$11)-LN(MIN(D965,$F$11)), E964-LN(60/$E$11)-LN(MIN(D965,$F$11))), IF(D965&lt;=$A$15, E964+LN($D$11)-LN(60/$E$11)-LN(MIN(D965,$F$11)), E964+LN($D$11)+LN(1-$H$11)-LN(60/$E$11)-LN(MIN(D965,$F$11))))</f>
        <v>-112.27138913469305</v>
      </c>
      <c r="F965" s="1">
        <f t="shared" si="89"/>
        <v>-114.27342194389212</v>
      </c>
      <c r="G965" s="1">
        <f t="shared" si="87"/>
        <v>2.3533331991300932E-50</v>
      </c>
      <c r="H965" s="1">
        <f t="shared" si="84"/>
        <v>2.309967916639121E-51</v>
      </c>
      <c r="I965">
        <f>IF($F$11&lt;=D965, IF(D965&lt;=$A$15,D965-$F$11,$C$11),0)</f>
        <v>60</v>
      </c>
      <c r="J965">
        <f t="shared" si="85"/>
        <v>878</v>
      </c>
      <c r="K965" s="5">
        <f>IF(D965&lt;$F$11,H965,0)</f>
        <v>0</v>
      </c>
      <c r="L965">
        <f>IF(D965&lt;$A$15,$D$11,$D$11*(1-$H$11))</f>
        <v>85</v>
      </c>
      <c r="M965">
        <f t="shared" si="86"/>
        <v>1</v>
      </c>
      <c r="N965">
        <f>IF(SUM(I965:J965)&lt;=($G$11/60*$F$11/($E$11/60)),1,0)</f>
        <v>0</v>
      </c>
    </row>
    <row r="966" spans="4:14" x14ac:dyDescent="0.2">
      <c r="D966">
        <f t="shared" si="88"/>
        <v>943</v>
      </c>
      <c r="E966" s="1">
        <f>IF($H$11=1,IF(D966&lt;=$A$15, E965+LN($D$11)-LN(60/$E$11)-LN(MIN(D966,$F$11)), E965-LN(60/$E$11)-LN(MIN(D966,$F$11))), IF(D966&lt;=$A$15, E965+LN($D$11)-LN(60/$E$11)-LN(MIN(D966,$F$11)), E965+LN($D$11)+LN(1-$H$11)-LN(60/$E$11)-LN(MIN(D966,$F$11))))</f>
        <v>-112.39308606967057</v>
      </c>
      <c r="F966" s="1">
        <f t="shared" si="89"/>
        <v>-114.39511887886964</v>
      </c>
      <c r="G966" s="1">
        <f t="shared" si="87"/>
        <v>2.0836804367297673E-50</v>
      </c>
      <c r="H966" s="1">
        <f t="shared" si="84"/>
        <v>2.0452840928575522E-51</v>
      </c>
      <c r="I966">
        <f>IF($F$11&lt;=D966, IF(D966&lt;=$A$15,D966-$F$11,$C$11),0)</f>
        <v>60</v>
      </c>
      <c r="J966">
        <f t="shared" si="85"/>
        <v>879</v>
      </c>
      <c r="K966" s="5">
        <f>IF(D966&lt;$F$11,H966,0)</f>
        <v>0</v>
      </c>
      <c r="L966">
        <f>IF(D966&lt;$A$15,$D$11,$D$11*(1-$H$11))</f>
        <v>85</v>
      </c>
      <c r="M966">
        <f t="shared" si="86"/>
        <v>1</v>
      </c>
      <c r="N966">
        <f>IF(SUM(I966:J966)&lt;=($G$11/60*$F$11/($E$11/60)),1,0)</f>
        <v>0</v>
      </c>
    </row>
    <row r="967" spans="4:14" x14ac:dyDescent="0.2">
      <c r="D967">
        <f t="shared" si="88"/>
        <v>944</v>
      </c>
      <c r="E967" s="1">
        <f>IF($H$11=1,IF(D967&lt;=$A$15, E966+LN($D$11)-LN(60/$E$11)-LN(MIN(D967,$F$11)), E966-LN(60/$E$11)-LN(MIN(D967,$F$11))), IF(D967&lt;=$A$15, E966+LN($D$11)-LN(60/$E$11)-LN(MIN(D967,$F$11)), E966+LN($D$11)+LN(1-$H$11)-LN(60/$E$11)-LN(MIN(D967,$F$11))))</f>
        <v>-112.51478300464809</v>
      </c>
      <c r="F967" s="1">
        <f t="shared" si="89"/>
        <v>-114.51681581384716</v>
      </c>
      <c r="G967" s="1">
        <f t="shared" si="87"/>
        <v>1.8449253866878121E-50</v>
      </c>
      <c r="H967" s="1">
        <f t="shared" si="84"/>
        <v>1.8109286238842886E-51</v>
      </c>
      <c r="I967">
        <f>IF($F$11&lt;=D967, IF(D967&lt;=$A$15,D967-$F$11,$C$11),0)</f>
        <v>60</v>
      </c>
      <c r="J967">
        <f t="shared" si="85"/>
        <v>880</v>
      </c>
      <c r="K967" s="5">
        <f>IF(D967&lt;$F$11,H967,0)</f>
        <v>0</v>
      </c>
      <c r="L967">
        <f>IF(D967&lt;$A$15,$D$11,$D$11*(1-$H$11))</f>
        <v>85</v>
      </c>
      <c r="M967">
        <f t="shared" si="86"/>
        <v>1</v>
      </c>
      <c r="N967">
        <f>IF(SUM(I967:J967)&lt;=($G$11/60*$F$11/($E$11/60)),1,0)</f>
        <v>0</v>
      </c>
    </row>
    <row r="968" spans="4:14" x14ac:dyDescent="0.2">
      <c r="D968">
        <f t="shared" si="88"/>
        <v>945</v>
      </c>
      <c r="E968" s="1">
        <f>IF($H$11=1,IF(D968&lt;=$A$15, E967+LN($D$11)-LN(60/$E$11)-LN(MIN(D968,$F$11)), E967-LN(60/$E$11)-LN(MIN(D968,$F$11))), IF(D968&lt;=$A$15, E967+LN($D$11)-LN(60/$E$11)-LN(MIN(D968,$F$11)), E967+LN($D$11)+LN(1-$H$11)-LN(60/$E$11)-LN(MIN(D968,$F$11))))</f>
        <v>-112.63647993962562</v>
      </c>
      <c r="F968" s="1">
        <f t="shared" si="89"/>
        <v>-114.63851274882468</v>
      </c>
      <c r="G968" s="1">
        <f t="shared" si="87"/>
        <v>1.6335276861298315E-50</v>
      </c>
      <c r="H968" s="1">
        <f t="shared" si="84"/>
        <v>1.6034263857308781E-51</v>
      </c>
      <c r="I968">
        <f>IF($F$11&lt;=D968, IF(D968&lt;=$A$15,D968-$F$11,$C$11),0)</f>
        <v>60</v>
      </c>
      <c r="J968">
        <f t="shared" si="85"/>
        <v>881</v>
      </c>
      <c r="K968" s="5">
        <f>IF(D968&lt;$F$11,H968,0)</f>
        <v>0</v>
      </c>
      <c r="L968">
        <f>IF(D968&lt;$A$15,$D$11,$D$11*(1-$H$11))</f>
        <v>85</v>
      </c>
      <c r="M968">
        <f t="shared" si="86"/>
        <v>1</v>
      </c>
      <c r="N968">
        <f>IF(SUM(I968:J968)&lt;=($G$11/60*$F$11/($E$11/60)),1,0)</f>
        <v>0</v>
      </c>
    </row>
    <row r="969" spans="4:14" x14ac:dyDescent="0.2">
      <c r="D969">
        <f t="shared" si="88"/>
        <v>946</v>
      </c>
      <c r="E969" s="1">
        <f>IF($H$11=1,IF(D969&lt;=$A$15, E968+LN($D$11)-LN(60/$E$11)-LN(MIN(D969,$F$11)), E968-LN(60/$E$11)-LN(MIN(D969,$F$11))), IF(D969&lt;=$A$15, E968+LN($D$11)-LN(60/$E$11)-LN(MIN(D969,$F$11)), E968+LN($D$11)+LN(1-$H$11)-LN(60/$E$11)-LN(MIN(D969,$F$11))))</f>
        <v>-112.75817687460314</v>
      </c>
      <c r="F969" s="1">
        <f t="shared" si="89"/>
        <v>-114.7602096838022</v>
      </c>
      <c r="G969" s="1">
        <f t="shared" si="87"/>
        <v>1.4463526387607862E-50</v>
      </c>
      <c r="H969" s="1">
        <f t="shared" si="84"/>
        <v>1.419700445699213E-51</v>
      </c>
      <c r="I969">
        <f>IF($F$11&lt;=D969, IF(D969&lt;=$A$15,D969-$F$11,$C$11),0)</f>
        <v>60</v>
      </c>
      <c r="J969">
        <f t="shared" si="85"/>
        <v>882</v>
      </c>
      <c r="K969" s="5">
        <f>IF(D969&lt;$F$11,H969,0)</f>
        <v>0</v>
      </c>
      <c r="L969">
        <f>IF(D969&lt;$A$15,$D$11,$D$11*(1-$H$11))</f>
        <v>85</v>
      </c>
      <c r="M969">
        <f t="shared" si="86"/>
        <v>1</v>
      </c>
      <c r="N969">
        <f>IF(SUM(I969:J969)&lt;=($G$11/60*$F$11/($E$11/60)),1,0)</f>
        <v>0</v>
      </c>
    </row>
    <row r="970" spans="4:14" x14ac:dyDescent="0.2">
      <c r="D970">
        <f t="shared" si="88"/>
        <v>947</v>
      </c>
      <c r="E970" s="1">
        <f>IF($H$11=1,IF(D970&lt;=$A$15, E969+LN($D$11)-LN(60/$E$11)-LN(MIN(D970,$F$11)), E969-LN(60/$E$11)-LN(MIN(D970,$F$11))), IF(D970&lt;=$A$15, E969+LN($D$11)-LN(60/$E$11)-LN(MIN(D970,$F$11)), E969+LN($D$11)+LN(1-$H$11)-LN(60/$E$11)-LN(MIN(D970,$F$11))))</f>
        <v>-112.87987380958066</v>
      </c>
      <c r="F970" s="1">
        <f t="shared" si="89"/>
        <v>-114.88190661877972</v>
      </c>
      <c r="G970" s="1">
        <f t="shared" si="87"/>
        <v>1.2806247322361108E-50</v>
      </c>
      <c r="H970" s="1">
        <f t="shared" si="84"/>
        <v>1.2570264362961763E-51</v>
      </c>
      <c r="I970">
        <f>IF($F$11&lt;=D970, IF(D970&lt;=$A$15,D970-$F$11,$C$11),0)</f>
        <v>60</v>
      </c>
      <c r="J970">
        <f t="shared" si="85"/>
        <v>883</v>
      </c>
      <c r="K970" s="5">
        <f>IF(D970&lt;$F$11,H970,0)</f>
        <v>0</v>
      </c>
      <c r="L970">
        <f>IF(D970&lt;$A$15,$D$11,$D$11*(1-$H$11))</f>
        <v>85</v>
      </c>
      <c r="M970">
        <f t="shared" si="86"/>
        <v>1</v>
      </c>
      <c r="N970">
        <f>IF(SUM(I970:J970)&lt;=($G$11/60*$F$11/($E$11/60)),1,0)</f>
        <v>0</v>
      </c>
    </row>
    <row r="971" spans="4:14" x14ac:dyDescent="0.2">
      <c r="D971">
        <f t="shared" si="88"/>
        <v>948</v>
      </c>
      <c r="E971" s="1">
        <f>IF($H$11=1,IF(D971&lt;=$A$15, E970+LN($D$11)-LN(60/$E$11)-LN(MIN(D971,$F$11)), E970-LN(60/$E$11)-LN(MIN(D971,$F$11))), IF(D971&lt;=$A$15, E970+LN($D$11)-LN(60/$E$11)-LN(MIN(D971,$F$11)), E970+LN($D$11)+LN(1-$H$11)-LN(60/$E$11)-LN(MIN(D971,$F$11))))</f>
        <v>-113.00157074455818</v>
      </c>
      <c r="F971" s="1">
        <f t="shared" si="89"/>
        <v>-115.00360355375724</v>
      </c>
      <c r="G971" s="1">
        <f t="shared" si="87"/>
        <v>1.1338864816673881E-50</v>
      </c>
      <c r="H971" s="1">
        <f t="shared" si="84"/>
        <v>1.1129921571372378E-51</v>
      </c>
      <c r="I971">
        <f>IF($F$11&lt;=D971, IF(D971&lt;=$A$15,D971-$F$11,$C$11),0)</f>
        <v>60</v>
      </c>
      <c r="J971">
        <f t="shared" si="85"/>
        <v>884</v>
      </c>
      <c r="K971" s="5">
        <f>IF(D971&lt;$F$11,H971,0)</f>
        <v>0</v>
      </c>
      <c r="L971">
        <f>IF(D971&lt;$A$15,$D$11,$D$11*(1-$H$11))</f>
        <v>85</v>
      </c>
      <c r="M971">
        <f t="shared" si="86"/>
        <v>1</v>
      </c>
      <c r="N971">
        <f>IF(SUM(I971:J971)&lt;=($G$11/60*$F$11/($E$11/60)),1,0)</f>
        <v>0</v>
      </c>
    </row>
    <row r="972" spans="4:14" x14ac:dyDescent="0.2">
      <c r="D972">
        <f t="shared" si="88"/>
        <v>949</v>
      </c>
      <c r="E972" s="1">
        <f>IF($H$11=1,IF(D972&lt;=$A$15, E971+LN($D$11)-LN(60/$E$11)-LN(MIN(D972,$F$11)), E971-LN(60/$E$11)-LN(MIN(D972,$F$11))), IF(D972&lt;=$A$15, E971+LN($D$11)-LN(60/$E$11)-LN(MIN(D972,$F$11)), E971+LN($D$11)+LN(1-$H$11)-LN(60/$E$11)-LN(MIN(D972,$F$11))))</f>
        <v>-113.1232676795357</v>
      </c>
      <c r="F972" s="1">
        <f t="shared" si="89"/>
        <v>-115.12530048873477</v>
      </c>
      <c r="G972" s="1">
        <f t="shared" si="87"/>
        <v>1.0039619889763319E-50</v>
      </c>
      <c r="H972" s="1">
        <f t="shared" si="84"/>
        <v>9.8546180579859462E-52</v>
      </c>
      <c r="I972">
        <f>IF($F$11&lt;=D972, IF(D972&lt;=$A$15,D972-$F$11,$C$11),0)</f>
        <v>60</v>
      </c>
      <c r="J972">
        <f t="shared" si="85"/>
        <v>885</v>
      </c>
      <c r="K972" s="5">
        <f>IF(D972&lt;$F$11,H972,0)</f>
        <v>0</v>
      </c>
      <c r="L972">
        <f>IF(D972&lt;$A$15,$D$11,$D$11*(1-$H$11))</f>
        <v>85</v>
      </c>
      <c r="M972">
        <f t="shared" si="86"/>
        <v>1</v>
      </c>
      <c r="N972">
        <f>IF(SUM(I972:J972)&lt;=($G$11/60*$F$11/($E$11/60)),1,0)</f>
        <v>0</v>
      </c>
    </row>
    <row r="973" spans="4:14" x14ac:dyDescent="0.2">
      <c r="D973">
        <f t="shared" si="88"/>
        <v>950</v>
      </c>
      <c r="E973" s="1">
        <f>IF($H$11=1,IF(D973&lt;=$A$15, E972+LN($D$11)-LN(60/$E$11)-LN(MIN(D973,$F$11)), E972-LN(60/$E$11)-LN(MIN(D973,$F$11))), IF(D973&lt;=$A$15, E972+LN($D$11)-LN(60/$E$11)-LN(MIN(D973,$F$11)), E972+LN($D$11)+LN(1-$H$11)-LN(60/$E$11)-LN(MIN(D973,$F$11))))</f>
        <v>-113.24496461451322</v>
      </c>
      <c r="F973" s="1">
        <f t="shared" si="89"/>
        <v>-115.24699742371229</v>
      </c>
      <c r="G973" s="1">
        <f t="shared" si="87"/>
        <v>8.8892467773945926E-51</v>
      </c>
      <c r="H973" s="1">
        <f t="shared" si="84"/>
        <v>8.7254430721750449E-52</v>
      </c>
      <c r="I973">
        <f>IF($F$11&lt;=D973, IF(D973&lt;=$A$15,D973-$F$11,$C$11),0)</f>
        <v>60</v>
      </c>
      <c r="J973">
        <f t="shared" si="85"/>
        <v>886</v>
      </c>
      <c r="K973" s="5">
        <f>IF(D973&lt;$F$11,H973,0)</f>
        <v>0</v>
      </c>
      <c r="L973">
        <f>IF(D973&lt;$A$15,$D$11,$D$11*(1-$H$11))</f>
        <v>85</v>
      </c>
      <c r="M973">
        <f t="shared" si="86"/>
        <v>1</v>
      </c>
      <c r="N973">
        <f>IF(SUM(I973:J973)&lt;=($G$11/60*$F$11/($E$11/60)),1,0)</f>
        <v>0</v>
      </c>
    </row>
    <row r="974" spans="4:14" x14ac:dyDescent="0.2">
      <c r="D974">
        <f t="shared" si="88"/>
        <v>951</v>
      </c>
      <c r="E974" s="1">
        <f>IF($H$11=1,IF(D974&lt;=$A$15, E973+LN($D$11)-LN(60/$E$11)-LN(MIN(D974,$F$11)), E973-LN(60/$E$11)-LN(MIN(D974,$F$11))), IF(D974&lt;=$A$15, E973+LN($D$11)-LN(60/$E$11)-LN(MIN(D974,$F$11)), E973+LN($D$11)+LN(1-$H$11)-LN(60/$E$11)-LN(MIN(D974,$F$11))))</f>
        <v>-113.36666154949074</v>
      </c>
      <c r="F974" s="1">
        <f t="shared" si="89"/>
        <v>-115.36869435868981</v>
      </c>
      <c r="G974" s="1">
        <f t="shared" si="87"/>
        <v>7.8706872508181177E-51</v>
      </c>
      <c r="H974" s="1">
        <f t="shared" si="84"/>
        <v>7.7256527201549768E-52</v>
      </c>
      <c r="I974">
        <f>IF($F$11&lt;=D974, IF(D974&lt;=$A$15,D974-$F$11,$C$11),0)</f>
        <v>60</v>
      </c>
      <c r="J974">
        <f t="shared" si="85"/>
        <v>887</v>
      </c>
      <c r="K974" s="5">
        <f>IF(D974&lt;$F$11,H974,0)</f>
        <v>0</v>
      </c>
      <c r="L974">
        <f>IF(D974&lt;$A$15,$D$11,$D$11*(1-$H$11))</f>
        <v>85</v>
      </c>
      <c r="M974">
        <f t="shared" si="86"/>
        <v>1</v>
      </c>
      <c r="N974">
        <f>IF(SUM(I974:J974)&lt;=($G$11/60*$F$11/($E$11/60)),1,0)</f>
        <v>0</v>
      </c>
    </row>
    <row r="975" spans="4:14" x14ac:dyDescent="0.2">
      <c r="D975">
        <f t="shared" si="88"/>
        <v>952</v>
      </c>
      <c r="E975" s="1">
        <f>IF($H$11=1,IF(D975&lt;=$A$15, E974+LN($D$11)-LN(60/$E$11)-LN(MIN(D975,$F$11)), E974-LN(60/$E$11)-LN(MIN(D975,$F$11))), IF(D975&lt;=$A$15, E974+LN($D$11)-LN(60/$E$11)-LN(MIN(D975,$F$11)), E974+LN($D$11)+LN(1-$H$11)-LN(60/$E$11)-LN(MIN(D975,$F$11))))</f>
        <v>-113.48835848446826</v>
      </c>
      <c r="F975" s="1">
        <f t="shared" si="89"/>
        <v>-115.49039129366733</v>
      </c>
      <c r="G975" s="1">
        <f t="shared" si="87"/>
        <v>6.9688376699951978E-51</v>
      </c>
      <c r="H975" s="1">
        <f t="shared" si="84"/>
        <v>6.8404216793038747E-52</v>
      </c>
      <c r="I975">
        <f>IF($F$11&lt;=D975, IF(D975&lt;=$A$15,D975-$F$11,$C$11),0)</f>
        <v>60</v>
      </c>
      <c r="J975">
        <f t="shared" si="85"/>
        <v>888</v>
      </c>
      <c r="K975" s="5">
        <f>IF(D975&lt;$F$11,H975,0)</f>
        <v>0</v>
      </c>
      <c r="L975">
        <f>IF(D975&lt;$A$15,$D$11,$D$11*(1-$H$11))</f>
        <v>85</v>
      </c>
      <c r="M975">
        <f t="shared" si="86"/>
        <v>1</v>
      </c>
      <c r="N975">
        <f>IF(SUM(I975:J975)&lt;=($G$11/60*$F$11/($E$11/60)),1,0)</f>
        <v>0</v>
      </c>
    </row>
    <row r="976" spans="4:14" x14ac:dyDescent="0.2">
      <c r="D976">
        <f t="shared" si="88"/>
        <v>953</v>
      </c>
      <c r="E976" s="1">
        <f>IF($H$11=1,IF(D976&lt;=$A$15, E975+LN($D$11)-LN(60/$E$11)-LN(MIN(D976,$F$11)), E975-LN(60/$E$11)-LN(MIN(D976,$F$11))), IF(D976&lt;=$A$15, E975+LN($D$11)-LN(60/$E$11)-LN(MIN(D976,$F$11)), E975+LN($D$11)+LN(1-$H$11)-LN(60/$E$11)-LN(MIN(D976,$F$11))))</f>
        <v>-113.61005541944579</v>
      </c>
      <c r="F976" s="1">
        <f t="shared" si="89"/>
        <v>-115.61208822864485</v>
      </c>
      <c r="G976" s="1">
        <f t="shared" si="87"/>
        <v>6.1703250203082396E-51</v>
      </c>
      <c r="H976" s="1">
        <f t="shared" si="84"/>
        <v>6.056623361883631E-52</v>
      </c>
      <c r="I976">
        <f>IF($F$11&lt;=D976, IF(D976&lt;=$A$15,D976-$F$11,$C$11),0)</f>
        <v>60</v>
      </c>
      <c r="J976">
        <f t="shared" si="85"/>
        <v>889</v>
      </c>
      <c r="K976" s="5">
        <f>IF(D976&lt;$F$11,H976,0)</f>
        <v>0</v>
      </c>
      <c r="L976">
        <f>IF(D976&lt;$A$15,$D$11,$D$11*(1-$H$11))</f>
        <v>85</v>
      </c>
      <c r="M976">
        <f t="shared" si="86"/>
        <v>1</v>
      </c>
      <c r="N976">
        <f>IF(SUM(I976:J976)&lt;=($G$11/60*$F$11/($E$11/60)),1,0)</f>
        <v>0</v>
      </c>
    </row>
    <row r="977" spans="4:14" x14ac:dyDescent="0.2">
      <c r="D977">
        <f t="shared" si="88"/>
        <v>954</v>
      </c>
      <c r="E977" s="1">
        <f>IF($H$11=1,IF(D977&lt;=$A$15, E976+LN($D$11)-LN(60/$E$11)-LN(MIN(D977,$F$11)), E976-LN(60/$E$11)-LN(MIN(D977,$F$11))), IF(D977&lt;=$A$15, E976+LN($D$11)-LN(60/$E$11)-LN(MIN(D977,$F$11)), E976+LN($D$11)+LN(1-$H$11)-LN(60/$E$11)-LN(MIN(D977,$F$11))))</f>
        <v>-113.73175235442331</v>
      </c>
      <c r="F977" s="1">
        <f t="shared" si="89"/>
        <v>-115.73378516362237</v>
      </c>
      <c r="G977" s="1">
        <f t="shared" si="87"/>
        <v>5.4633086117312462E-51</v>
      </c>
      <c r="H977" s="1">
        <f t="shared" si="84"/>
        <v>5.362635268334457E-52</v>
      </c>
      <c r="I977">
        <f>IF($F$11&lt;=D977, IF(D977&lt;=$A$15,D977-$F$11,$C$11),0)</f>
        <v>60</v>
      </c>
      <c r="J977">
        <f t="shared" si="85"/>
        <v>890</v>
      </c>
      <c r="K977" s="5">
        <f>IF(D977&lt;$F$11,H977,0)</f>
        <v>0</v>
      </c>
      <c r="L977">
        <f>IF(D977&lt;$A$15,$D$11,$D$11*(1-$H$11))</f>
        <v>85</v>
      </c>
      <c r="M977">
        <f t="shared" si="86"/>
        <v>1</v>
      </c>
      <c r="N977">
        <f>IF(SUM(I977:J977)&lt;=($G$11/60*$F$11/($E$11/60)),1,0)</f>
        <v>0</v>
      </c>
    </row>
    <row r="978" spans="4:14" x14ac:dyDescent="0.2">
      <c r="D978">
        <f t="shared" si="88"/>
        <v>955</v>
      </c>
      <c r="E978" s="1">
        <f>IF($H$11=1,IF(D978&lt;=$A$15, E977+LN($D$11)-LN(60/$E$11)-LN(MIN(D978,$F$11)), E977-LN(60/$E$11)-LN(MIN(D978,$F$11))), IF(D978&lt;=$A$15, E977+LN($D$11)-LN(60/$E$11)-LN(MIN(D978,$F$11)), E977+LN($D$11)+LN(1-$H$11)-LN(60/$E$11)-LN(MIN(D978,$F$11))))</f>
        <v>-113.85344928940083</v>
      </c>
      <c r="F978" s="1">
        <f t="shared" si="89"/>
        <v>-115.85548209859989</v>
      </c>
      <c r="G978" s="1">
        <f t="shared" si="87"/>
        <v>4.8373044999703673E-51</v>
      </c>
      <c r="H978" s="1">
        <f t="shared" si="84"/>
        <v>4.7481666438377942E-52</v>
      </c>
      <c r="I978">
        <f>IF($F$11&lt;=D978, IF(D978&lt;=$A$15,D978-$F$11,$C$11),0)</f>
        <v>60</v>
      </c>
      <c r="J978">
        <f t="shared" si="85"/>
        <v>891</v>
      </c>
      <c r="K978" s="5">
        <f>IF(D978&lt;$F$11,H978,0)</f>
        <v>0</v>
      </c>
      <c r="L978">
        <f>IF(D978&lt;$A$15,$D$11,$D$11*(1-$H$11))</f>
        <v>85</v>
      </c>
      <c r="M978">
        <f t="shared" si="86"/>
        <v>1</v>
      </c>
      <c r="N978">
        <f>IF(SUM(I978:J978)&lt;=($G$11/60*$F$11/($E$11/60)),1,0)</f>
        <v>0</v>
      </c>
    </row>
    <row r="979" spans="4:14" x14ac:dyDescent="0.2">
      <c r="D979">
        <f t="shared" si="88"/>
        <v>956</v>
      </c>
      <c r="E979" s="1">
        <f>IF($H$11=1,IF(D979&lt;=$A$15, E978+LN($D$11)-LN(60/$E$11)-LN(MIN(D979,$F$11)), E978-LN(60/$E$11)-LN(MIN(D979,$F$11))), IF(D979&lt;=$A$15, E978+LN($D$11)-LN(60/$E$11)-LN(MIN(D979,$F$11)), E978+LN($D$11)+LN(1-$H$11)-LN(60/$E$11)-LN(MIN(D979,$F$11))))</f>
        <v>-113.97514622437835</v>
      </c>
      <c r="F979" s="1">
        <f t="shared" si="89"/>
        <v>-115.97717903357741</v>
      </c>
      <c r="G979" s="1">
        <f t="shared" si="87"/>
        <v>4.2830300260154231E-51</v>
      </c>
      <c r="H979" s="1">
        <f t="shared" si="84"/>
        <v>4.2041058825647073E-52</v>
      </c>
      <c r="I979">
        <f>IF($F$11&lt;=D979, IF(D979&lt;=$A$15,D979-$F$11,$C$11),0)</f>
        <v>60</v>
      </c>
      <c r="J979">
        <f t="shared" si="85"/>
        <v>892</v>
      </c>
      <c r="K979" s="5">
        <f>IF(D979&lt;$F$11,H979,0)</f>
        <v>0</v>
      </c>
      <c r="L979">
        <f>IF(D979&lt;$A$15,$D$11,$D$11*(1-$H$11))</f>
        <v>85</v>
      </c>
      <c r="M979">
        <f t="shared" si="86"/>
        <v>1</v>
      </c>
      <c r="N979">
        <f>IF(SUM(I979:J979)&lt;=($G$11/60*$F$11/($E$11/60)),1,0)</f>
        <v>0</v>
      </c>
    </row>
    <row r="980" spans="4:14" x14ac:dyDescent="0.2">
      <c r="D980">
        <f t="shared" si="88"/>
        <v>957</v>
      </c>
      <c r="E980" s="1">
        <f>IF($H$11=1,IF(D980&lt;=$A$15, E979+LN($D$11)-LN(60/$E$11)-LN(MIN(D980,$F$11)), E979-LN(60/$E$11)-LN(MIN(D980,$F$11))), IF(D980&lt;=$A$15, E979+LN($D$11)-LN(60/$E$11)-LN(MIN(D980,$F$11)), E979+LN($D$11)+LN(1-$H$11)-LN(60/$E$11)-LN(MIN(D980,$F$11))))</f>
        <v>-114.09684315935587</v>
      </c>
      <c r="F980" s="1">
        <f t="shared" si="89"/>
        <v>-116.09887596855494</v>
      </c>
      <c r="G980" s="1">
        <f t="shared" si="87"/>
        <v>3.7922661688678171E-51</v>
      </c>
      <c r="H980" s="1">
        <f t="shared" si="84"/>
        <v>3.7223854168541624E-52</v>
      </c>
      <c r="I980">
        <f>IF($F$11&lt;=D980, IF(D980&lt;=$A$15,D980-$F$11,$C$11),0)</f>
        <v>60</v>
      </c>
      <c r="J980">
        <f t="shared" si="85"/>
        <v>893</v>
      </c>
      <c r="K980" s="5">
        <f>IF(D980&lt;$F$11,H980,0)</f>
        <v>0</v>
      </c>
      <c r="L980">
        <f>IF(D980&lt;$A$15,$D$11,$D$11*(1-$H$11))</f>
        <v>85</v>
      </c>
      <c r="M980">
        <f t="shared" si="86"/>
        <v>1</v>
      </c>
      <c r="N980">
        <f>IF(SUM(I980:J980)&lt;=($G$11/60*$F$11/($E$11/60)),1,0)</f>
        <v>0</v>
      </c>
    </row>
    <row r="981" spans="4:14" x14ac:dyDescent="0.2">
      <c r="D981">
        <f t="shared" si="88"/>
        <v>958</v>
      </c>
      <c r="E981" s="1">
        <f>IF($H$11=1,IF(D981&lt;=$A$15, E980+LN($D$11)-LN(60/$E$11)-LN(MIN(D981,$F$11)), E980-LN(60/$E$11)-LN(MIN(D981,$F$11))), IF(D981&lt;=$A$15, E980+LN($D$11)-LN(60/$E$11)-LN(MIN(D981,$F$11)), E980+LN($D$11)+LN(1-$H$11)-LN(60/$E$11)-LN(MIN(D981,$F$11))))</f>
        <v>-114.21854009433339</v>
      </c>
      <c r="F981" s="1">
        <f t="shared" si="89"/>
        <v>-116.22057290353246</v>
      </c>
      <c r="G981" s="1">
        <f t="shared" si="87"/>
        <v>3.3577356703517084E-51</v>
      </c>
      <c r="H981" s="1">
        <f t="shared" si="84"/>
        <v>3.2958620878396184E-52</v>
      </c>
      <c r="I981">
        <f>IF($F$11&lt;=D981, IF(D981&lt;=$A$15,D981-$F$11,$C$11),0)</f>
        <v>60</v>
      </c>
      <c r="J981">
        <f t="shared" si="85"/>
        <v>894</v>
      </c>
      <c r="K981" s="5">
        <f>IF(D981&lt;$F$11,H981,0)</f>
        <v>0</v>
      </c>
      <c r="L981">
        <f>IF(D981&lt;$A$15,$D$11,$D$11*(1-$H$11))</f>
        <v>85</v>
      </c>
      <c r="M981">
        <f t="shared" si="86"/>
        <v>1</v>
      </c>
      <c r="N981">
        <f>IF(SUM(I981:J981)&lt;=($G$11/60*$F$11/($E$11/60)),1,0)</f>
        <v>0</v>
      </c>
    </row>
    <row r="982" spans="4:14" x14ac:dyDescent="0.2">
      <c r="D982">
        <f t="shared" si="88"/>
        <v>959</v>
      </c>
      <c r="E982" s="1">
        <f>IF($H$11=1,IF(D982&lt;=$A$15, E981+LN($D$11)-LN(60/$E$11)-LN(MIN(D982,$F$11)), E981-LN(60/$E$11)-LN(MIN(D982,$F$11))), IF(D982&lt;=$A$15, E981+LN($D$11)-LN(60/$E$11)-LN(MIN(D982,$F$11)), E981+LN($D$11)+LN(1-$H$11)-LN(60/$E$11)-LN(MIN(D982,$F$11))))</f>
        <v>-114.34023702931091</v>
      </c>
      <c r="F982" s="1">
        <f t="shared" si="89"/>
        <v>-116.34226983850998</v>
      </c>
      <c r="G982" s="1">
        <f t="shared" si="87"/>
        <v>2.972995124790571E-51</v>
      </c>
      <c r="H982" s="1">
        <f t="shared" si="84"/>
        <v>2.9182112236079915E-52</v>
      </c>
      <c r="I982">
        <f>IF($F$11&lt;=D982, IF(D982&lt;=$A$15,D982-$F$11,$C$11),0)</f>
        <v>60</v>
      </c>
      <c r="J982">
        <f t="shared" si="85"/>
        <v>895</v>
      </c>
      <c r="K982" s="5">
        <f>IF(D982&lt;$F$11,H982,0)</f>
        <v>0</v>
      </c>
      <c r="L982">
        <f>IF(D982&lt;$A$15,$D$11,$D$11*(1-$H$11))</f>
        <v>85</v>
      </c>
      <c r="M982">
        <f t="shared" si="86"/>
        <v>1</v>
      </c>
      <c r="N982">
        <f>IF(SUM(I982:J982)&lt;=($G$11/60*$F$11/($E$11/60)),1,0)</f>
        <v>0</v>
      </c>
    </row>
    <row r="983" spans="4:14" x14ac:dyDescent="0.2">
      <c r="D983">
        <f t="shared" si="88"/>
        <v>960</v>
      </c>
      <c r="E983" s="1">
        <f>IF($H$11=1,IF(D983&lt;=$A$15, E982+LN($D$11)-LN(60/$E$11)-LN(MIN(D983,$F$11)), E982-LN(60/$E$11)-LN(MIN(D983,$F$11))), IF(D983&lt;=$A$15, E982+LN($D$11)-LN(60/$E$11)-LN(MIN(D983,$F$11)), E982+LN($D$11)+LN(1-$H$11)-LN(60/$E$11)-LN(MIN(D983,$F$11))))</f>
        <v>-114.46193396428843</v>
      </c>
      <c r="F983" s="1">
        <f t="shared" si="89"/>
        <v>-116.4639667734875</v>
      </c>
      <c r="G983" s="1">
        <f t="shared" si="87"/>
        <v>2.6323394334083144E-51</v>
      </c>
      <c r="H983" s="1">
        <f t="shared" ref="H983:H1046" si="90">G983/$G$21</f>
        <v>2.5838328542362388E-52</v>
      </c>
      <c r="I983">
        <f>IF($F$11&lt;=D983, IF(D983&lt;=$A$15,D983-$F$11,$C$11),0)</f>
        <v>60</v>
      </c>
      <c r="J983">
        <f t="shared" ref="J983:J1046" si="91">IF(D983&lt;=$A$15,0,D983-$A$15)</f>
        <v>896</v>
      </c>
      <c r="K983" s="5">
        <f>IF(D983&lt;$F$11,H983,0)</f>
        <v>0</v>
      </c>
      <c r="L983">
        <f>IF(D983&lt;$A$15,$D$11,$D$11*(1-$H$11))</f>
        <v>85</v>
      </c>
      <c r="M983">
        <f t="shared" ref="M983:M1046" si="92">IF(D983&lt;$A$15,0,1)</f>
        <v>1</v>
      </c>
      <c r="N983">
        <f>IF(SUM(I983:J983)&lt;=($G$11/60*$F$11/($E$11/60)),1,0)</f>
        <v>0</v>
      </c>
    </row>
    <row r="984" spans="4:14" x14ac:dyDescent="0.2">
      <c r="D984">
        <f t="shared" si="88"/>
        <v>961</v>
      </c>
      <c r="E984" s="1">
        <f>IF($H$11=1,IF(D984&lt;=$A$15, E983+LN($D$11)-LN(60/$E$11)-LN(MIN(D984,$F$11)), E983-LN(60/$E$11)-LN(MIN(D984,$F$11))), IF(D984&lt;=$A$15, E983+LN($D$11)-LN(60/$E$11)-LN(MIN(D984,$F$11)), E983+LN($D$11)+LN(1-$H$11)-LN(60/$E$11)-LN(MIN(D984,$F$11))))</f>
        <v>-114.58363089926596</v>
      </c>
      <c r="F984" s="1">
        <f t="shared" si="89"/>
        <v>-116.58566370846502</v>
      </c>
      <c r="G984" s="1">
        <f t="shared" ref="G984:G1047" si="93">EXP(F984)</f>
        <v>2.3307172066636082E-51</v>
      </c>
      <c r="H984" s="1">
        <f t="shared" si="90"/>
        <v>2.2877686730216665E-52</v>
      </c>
      <c r="I984">
        <f>IF($F$11&lt;=D984, IF(D984&lt;=$A$15,D984-$F$11,$C$11),0)</f>
        <v>60</v>
      </c>
      <c r="J984">
        <f t="shared" si="91"/>
        <v>897</v>
      </c>
      <c r="K984" s="5">
        <f>IF(D984&lt;$F$11,H984,0)</f>
        <v>0</v>
      </c>
      <c r="L984">
        <f>IF(D984&lt;$A$15,$D$11,$D$11*(1-$H$11))</f>
        <v>85</v>
      </c>
      <c r="M984">
        <f t="shared" si="92"/>
        <v>1</v>
      </c>
      <c r="N984">
        <f>IF(SUM(I984:J984)&lt;=($G$11/60*$F$11/($E$11/60)),1,0)</f>
        <v>0</v>
      </c>
    </row>
    <row r="985" spans="4:14" x14ac:dyDescent="0.2">
      <c r="D985">
        <f t="shared" ref="D985:D1048" si="94">1+D984</f>
        <v>962</v>
      </c>
      <c r="E985" s="1">
        <f>IF($H$11=1,IF(D985&lt;=$A$15, E984+LN($D$11)-LN(60/$E$11)-LN(MIN(D985,$F$11)), E984-LN(60/$E$11)-LN(MIN(D985,$F$11))), IF(D985&lt;=$A$15, E984+LN($D$11)-LN(60/$E$11)-LN(MIN(D985,$F$11)), E984+LN($D$11)+LN(1-$H$11)-LN(60/$E$11)-LN(MIN(D985,$F$11))))</f>
        <v>-114.70532783424348</v>
      </c>
      <c r="F985" s="1">
        <f t="shared" ref="F985:F1048" si="95">E985-$E$21</f>
        <v>-116.70736064344254</v>
      </c>
      <c r="G985" s="1">
        <f t="shared" si="93"/>
        <v>2.0636558600667337E-51</v>
      </c>
      <c r="H985" s="1">
        <f t="shared" si="90"/>
        <v>2.0256285125712645E-52</v>
      </c>
      <c r="I985">
        <f>IF($F$11&lt;=D985, IF(D985&lt;=$A$15,D985-$F$11,$C$11),0)</f>
        <v>60</v>
      </c>
      <c r="J985">
        <f t="shared" si="91"/>
        <v>898</v>
      </c>
      <c r="K985" s="5">
        <f>IF(D985&lt;$F$11,H985,0)</f>
        <v>0</v>
      </c>
      <c r="L985">
        <f>IF(D985&lt;$A$15,$D$11,$D$11*(1-$H$11))</f>
        <v>85</v>
      </c>
      <c r="M985">
        <f t="shared" si="92"/>
        <v>1</v>
      </c>
      <c r="N985">
        <f>IF(SUM(I985:J985)&lt;=($G$11/60*$F$11/($E$11/60)),1,0)</f>
        <v>0</v>
      </c>
    </row>
    <row r="986" spans="4:14" x14ac:dyDescent="0.2">
      <c r="D986">
        <f t="shared" si="94"/>
        <v>963</v>
      </c>
      <c r="E986" s="1">
        <f>IF($H$11=1,IF(D986&lt;=$A$15, E985+LN($D$11)-LN(60/$E$11)-LN(MIN(D986,$F$11)), E985-LN(60/$E$11)-LN(MIN(D986,$F$11))), IF(D986&lt;=$A$15, E985+LN($D$11)-LN(60/$E$11)-LN(MIN(D986,$F$11)), E985+LN($D$11)+LN(1-$H$11)-LN(60/$E$11)-LN(MIN(D986,$F$11))))</f>
        <v>-114.827024769221</v>
      </c>
      <c r="F986" s="1">
        <f t="shared" si="95"/>
        <v>-116.82905757842006</v>
      </c>
      <c r="G986" s="1">
        <f t="shared" si="93"/>
        <v>1.8271952927674177E-51</v>
      </c>
      <c r="H986" s="1">
        <f t="shared" si="90"/>
        <v>1.7935252455058042E-52</v>
      </c>
      <c r="I986">
        <f>IF($F$11&lt;=D986, IF(D986&lt;=$A$15,D986-$F$11,$C$11),0)</f>
        <v>60</v>
      </c>
      <c r="J986">
        <f t="shared" si="91"/>
        <v>899</v>
      </c>
      <c r="K986" s="5">
        <f>IF(D986&lt;$F$11,H986,0)</f>
        <v>0</v>
      </c>
      <c r="L986">
        <f>IF(D986&lt;$A$15,$D$11,$D$11*(1-$H$11))</f>
        <v>85</v>
      </c>
      <c r="M986">
        <f t="shared" si="92"/>
        <v>1</v>
      </c>
      <c r="N986">
        <f>IF(SUM(I986:J986)&lt;=($G$11/60*$F$11/($E$11/60)),1,0)</f>
        <v>0</v>
      </c>
    </row>
    <row r="987" spans="4:14" x14ac:dyDescent="0.2">
      <c r="D987">
        <f t="shared" si="94"/>
        <v>964</v>
      </c>
      <c r="E987" s="1">
        <f>IF($H$11=1,IF(D987&lt;=$A$15, E986+LN($D$11)-LN(60/$E$11)-LN(MIN(D987,$F$11)), E986-LN(60/$E$11)-LN(MIN(D987,$F$11))), IF(D987&lt;=$A$15, E986+LN($D$11)-LN(60/$E$11)-LN(MIN(D987,$F$11)), E986+LN($D$11)+LN(1-$H$11)-LN(60/$E$11)-LN(MIN(D987,$F$11))))</f>
        <v>-114.94872170419852</v>
      </c>
      <c r="F987" s="1">
        <f t="shared" si="95"/>
        <v>-116.95075451339758</v>
      </c>
      <c r="G987" s="1">
        <f t="shared" si="93"/>
        <v>1.6178291654711488E-51</v>
      </c>
      <c r="H987" s="1">
        <f t="shared" si="90"/>
        <v>1.5880171444582621E-52</v>
      </c>
      <c r="I987">
        <f>IF($F$11&lt;=D987, IF(D987&lt;=$A$15,D987-$F$11,$C$11),0)</f>
        <v>60</v>
      </c>
      <c r="J987">
        <f t="shared" si="91"/>
        <v>900</v>
      </c>
      <c r="K987" s="5">
        <f>IF(D987&lt;$F$11,H987,0)</f>
        <v>0</v>
      </c>
      <c r="L987">
        <f>IF(D987&lt;$A$15,$D$11,$D$11*(1-$H$11))</f>
        <v>85</v>
      </c>
      <c r="M987">
        <f t="shared" si="92"/>
        <v>1</v>
      </c>
      <c r="N987">
        <f>IF(SUM(I987:J987)&lt;=($G$11/60*$F$11/($E$11/60)),1,0)</f>
        <v>0</v>
      </c>
    </row>
    <row r="988" spans="4:14" x14ac:dyDescent="0.2">
      <c r="D988">
        <f t="shared" si="94"/>
        <v>965</v>
      </c>
      <c r="E988" s="1">
        <f>IF($H$11=1,IF(D988&lt;=$A$15, E987+LN($D$11)-LN(60/$E$11)-LN(MIN(D988,$F$11)), E987-LN(60/$E$11)-LN(MIN(D988,$F$11))), IF(D988&lt;=$A$15, E987+LN($D$11)-LN(60/$E$11)-LN(MIN(D988,$F$11)), E987+LN($D$11)+LN(1-$H$11)-LN(60/$E$11)-LN(MIN(D988,$F$11))))</f>
        <v>-115.07041863917604</v>
      </c>
      <c r="F988" s="1">
        <f t="shared" si="95"/>
        <v>-117.07245144837511</v>
      </c>
      <c r="G988" s="1">
        <f t="shared" si="93"/>
        <v>1.4324529069275776E-51</v>
      </c>
      <c r="H988" s="1">
        <f t="shared" si="90"/>
        <v>1.4060568466557507E-52</v>
      </c>
      <c r="I988">
        <f>IF($F$11&lt;=D988, IF(D988&lt;=$A$15,D988-$F$11,$C$11),0)</f>
        <v>60</v>
      </c>
      <c r="J988">
        <f t="shared" si="91"/>
        <v>901</v>
      </c>
      <c r="K988" s="5">
        <f>IF(D988&lt;$F$11,H988,0)</f>
        <v>0</v>
      </c>
      <c r="L988">
        <f>IF(D988&lt;$A$15,$D$11,$D$11*(1-$H$11))</f>
        <v>85</v>
      </c>
      <c r="M988">
        <f t="shared" si="92"/>
        <v>1</v>
      </c>
      <c r="N988">
        <f>IF(SUM(I988:J988)&lt;=($G$11/60*$F$11/($E$11/60)),1,0)</f>
        <v>0</v>
      </c>
    </row>
    <row r="989" spans="4:14" x14ac:dyDescent="0.2">
      <c r="D989">
        <f t="shared" si="94"/>
        <v>966</v>
      </c>
      <c r="E989" s="1">
        <f>IF($H$11=1,IF(D989&lt;=$A$15, E988+LN($D$11)-LN(60/$E$11)-LN(MIN(D989,$F$11)), E988-LN(60/$E$11)-LN(MIN(D989,$F$11))), IF(D989&lt;=$A$15, E988+LN($D$11)-LN(60/$E$11)-LN(MIN(D989,$F$11)), E988+LN($D$11)+LN(1-$H$11)-LN(60/$E$11)-LN(MIN(D989,$F$11))))</f>
        <v>-115.19211557415356</v>
      </c>
      <c r="F989" s="1">
        <f t="shared" si="95"/>
        <v>-117.19414838335263</v>
      </c>
      <c r="G989" s="1">
        <f t="shared" si="93"/>
        <v>1.2683176780087909E-51</v>
      </c>
      <c r="H989" s="1">
        <f t="shared" si="90"/>
        <v>1.2449461663097776E-52</v>
      </c>
      <c r="I989">
        <f>IF($F$11&lt;=D989, IF(D989&lt;=$A$15,D989-$F$11,$C$11),0)</f>
        <v>60</v>
      </c>
      <c r="J989">
        <f t="shared" si="91"/>
        <v>902</v>
      </c>
      <c r="K989" s="5">
        <f>IF(D989&lt;$F$11,H989,0)</f>
        <v>0</v>
      </c>
      <c r="L989">
        <f>IF(D989&lt;$A$15,$D$11,$D$11*(1-$H$11))</f>
        <v>85</v>
      </c>
      <c r="M989">
        <f t="shared" si="92"/>
        <v>1</v>
      </c>
      <c r="N989">
        <f>IF(SUM(I989:J989)&lt;=($G$11/60*$F$11/($E$11/60)),1,0)</f>
        <v>0</v>
      </c>
    </row>
    <row r="990" spans="4:14" x14ac:dyDescent="0.2">
      <c r="D990">
        <f t="shared" si="94"/>
        <v>967</v>
      </c>
      <c r="E990" s="1">
        <f>IF($H$11=1,IF(D990&lt;=$A$15, E989+LN($D$11)-LN(60/$E$11)-LN(MIN(D990,$F$11)), E989-LN(60/$E$11)-LN(MIN(D990,$F$11))), IF(D990&lt;=$A$15, E989+LN($D$11)-LN(60/$E$11)-LN(MIN(D990,$F$11)), E989+LN($D$11)+LN(1-$H$11)-LN(60/$E$11)-LN(MIN(D990,$F$11))))</f>
        <v>-115.31381250913108</v>
      </c>
      <c r="F990" s="1">
        <f t="shared" si="95"/>
        <v>-117.31584531833015</v>
      </c>
      <c r="G990" s="1">
        <f t="shared" si="93"/>
        <v>1.1229896107369486E-51</v>
      </c>
      <c r="H990" s="1">
        <f t="shared" si="90"/>
        <v>1.1022960847534473E-52</v>
      </c>
      <c r="I990">
        <f>IF($F$11&lt;=D990, IF(D990&lt;=$A$15,D990-$F$11,$C$11),0)</f>
        <v>60</v>
      </c>
      <c r="J990">
        <f t="shared" si="91"/>
        <v>903</v>
      </c>
      <c r="K990" s="5">
        <f>IF(D990&lt;$F$11,H990,0)</f>
        <v>0</v>
      </c>
      <c r="L990">
        <f>IF(D990&lt;$A$15,$D$11,$D$11*(1-$H$11))</f>
        <v>85</v>
      </c>
      <c r="M990">
        <f t="shared" si="92"/>
        <v>1</v>
      </c>
      <c r="N990">
        <f>IF(SUM(I990:J990)&lt;=($G$11/60*$F$11/($E$11/60)),1,0)</f>
        <v>0</v>
      </c>
    </row>
    <row r="991" spans="4:14" x14ac:dyDescent="0.2">
      <c r="D991">
        <f t="shared" si="94"/>
        <v>968</v>
      </c>
      <c r="E991" s="1">
        <f>IF($H$11=1,IF(D991&lt;=$A$15, E990+LN($D$11)-LN(60/$E$11)-LN(MIN(D991,$F$11)), E990-LN(60/$E$11)-LN(MIN(D991,$F$11))), IF(D991&lt;=$A$15, E990+LN($D$11)-LN(60/$E$11)-LN(MIN(D991,$F$11)), E990+LN($D$11)+LN(1-$H$11)-LN(60/$E$11)-LN(MIN(D991,$F$11))))</f>
        <v>-115.4355094441086</v>
      </c>
      <c r="F991" s="1">
        <f t="shared" si="95"/>
        <v>-117.43754225330767</v>
      </c>
      <c r="G991" s="1">
        <f t="shared" si="93"/>
        <v>9.9431371784000528E-52</v>
      </c>
      <c r="H991" s="1">
        <f t="shared" si="90"/>
        <v>9.7599132504211351E-53</v>
      </c>
      <c r="I991">
        <f>IF($F$11&lt;=D991, IF(D991&lt;=$A$15,D991-$F$11,$C$11),0)</f>
        <v>60</v>
      </c>
      <c r="J991">
        <f t="shared" si="91"/>
        <v>904</v>
      </c>
      <c r="K991" s="5">
        <f>IF(D991&lt;$F$11,H991,0)</f>
        <v>0</v>
      </c>
      <c r="L991">
        <f>IF(D991&lt;$A$15,$D$11,$D$11*(1-$H$11))</f>
        <v>85</v>
      </c>
      <c r="M991">
        <f t="shared" si="92"/>
        <v>1</v>
      </c>
      <c r="N991">
        <f>IF(SUM(I991:J991)&lt;=($G$11/60*$F$11/($E$11/60)),1,0)</f>
        <v>0</v>
      </c>
    </row>
    <row r="992" spans="4:14" x14ac:dyDescent="0.2">
      <c r="D992">
        <f t="shared" si="94"/>
        <v>969</v>
      </c>
      <c r="E992" s="1">
        <f>IF($H$11=1,IF(D992&lt;=$A$15, E991+LN($D$11)-LN(60/$E$11)-LN(MIN(D992,$F$11)), E991-LN(60/$E$11)-LN(MIN(D992,$F$11))), IF(D992&lt;=$A$15, E991+LN($D$11)-LN(60/$E$11)-LN(MIN(D992,$F$11)), E991+LN($D$11)+LN(1-$H$11)-LN(60/$E$11)-LN(MIN(D992,$F$11))))</f>
        <v>-115.55720637908613</v>
      </c>
      <c r="F992" s="1">
        <f t="shared" si="95"/>
        <v>-117.55923918828519</v>
      </c>
      <c r="G992" s="1">
        <f t="shared" si="93"/>
        <v>8.8038193767083669E-52</v>
      </c>
      <c r="H992" s="1">
        <f t="shared" si="90"/>
        <v>8.6415898571437012E-53</v>
      </c>
      <c r="I992">
        <f>IF($F$11&lt;=D992, IF(D992&lt;=$A$15,D992-$F$11,$C$11),0)</f>
        <v>60</v>
      </c>
      <c r="J992">
        <f t="shared" si="91"/>
        <v>905</v>
      </c>
      <c r="K992" s="5">
        <f>IF(D992&lt;$F$11,H992,0)</f>
        <v>0</v>
      </c>
      <c r="L992">
        <f>IF(D992&lt;$A$15,$D$11,$D$11*(1-$H$11))</f>
        <v>85</v>
      </c>
      <c r="M992">
        <f t="shared" si="92"/>
        <v>1</v>
      </c>
      <c r="N992">
        <f>IF(SUM(I992:J992)&lt;=($G$11/60*$F$11/($E$11/60)),1,0)</f>
        <v>0</v>
      </c>
    </row>
    <row r="993" spans="4:14" x14ac:dyDescent="0.2">
      <c r="D993">
        <f t="shared" si="94"/>
        <v>970</v>
      </c>
      <c r="E993" s="1">
        <f>IF($H$11=1,IF(D993&lt;=$A$15, E992+LN($D$11)-LN(60/$E$11)-LN(MIN(D993,$F$11)), E992-LN(60/$E$11)-LN(MIN(D993,$F$11))), IF(D993&lt;=$A$15, E992+LN($D$11)-LN(60/$E$11)-LN(MIN(D993,$F$11)), E992+LN($D$11)+LN(1-$H$11)-LN(60/$E$11)-LN(MIN(D993,$F$11))))</f>
        <v>-115.67890331406365</v>
      </c>
      <c r="F993" s="1">
        <f t="shared" si="95"/>
        <v>-117.68093612326271</v>
      </c>
      <c r="G993" s="1">
        <f t="shared" si="93"/>
        <v>7.7950484064605214E-52</v>
      </c>
      <c r="H993" s="1">
        <f t="shared" si="90"/>
        <v>7.6514076860126395E-53</v>
      </c>
      <c r="I993">
        <f>IF($F$11&lt;=D993, IF(D993&lt;=$A$15,D993-$F$11,$C$11),0)</f>
        <v>60</v>
      </c>
      <c r="J993">
        <f t="shared" si="91"/>
        <v>906</v>
      </c>
      <c r="K993" s="5">
        <f>IF(D993&lt;$F$11,H993,0)</f>
        <v>0</v>
      </c>
      <c r="L993">
        <f>IF(D993&lt;$A$15,$D$11,$D$11*(1-$H$11))</f>
        <v>85</v>
      </c>
      <c r="M993">
        <f t="shared" si="92"/>
        <v>1</v>
      </c>
      <c r="N993">
        <f>IF(SUM(I993:J993)&lt;=($G$11/60*$F$11/($E$11/60)),1,0)</f>
        <v>0</v>
      </c>
    </row>
    <row r="994" spans="4:14" x14ac:dyDescent="0.2">
      <c r="D994">
        <f t="shared" si="94"/>
        <v>971</v>
      </c>
      <c r="E994" s="1">
        <f>IF($H$11=1,IF(D994&lt;=$A$15, E993+LN($D$11)-LN(60/$E$11)-LN(MIN(D994,$F$11)), E993-LN(60/$E$11)-LN(MIN(D994,$F$11))), IF(D994&lt;=$A$15, E993+LN($D$11)-LN(60/$E$11)-LN(MIN(D994,$F$11)), E993+LN($D$11)+LN(1-$H$11)-LN(60/$E$11)-LN(MIN(D994,$F$11))))</f>
        <v>-115.80060024904117</v>
      </c>
      <c r="F994" s="1">
        <f t="shared" si="95"/>
        <v>-117.80263305824023</v>
      </c>
      <c r="G994" s="1">
        <f t="shared" si="93"/>
        <v>6.9018657765535773E-52</v>
      </c>
      <c r="H994" s="1">
        <f t="shared" si="90"/>
        <v>6.7746838886570158E-53</v>
      </c>
      <c r="I994">
        <f>IF($F$11&lt;=D994, IF(D994&lt;=$A$15,D994-$F$11,$C$11),0)</f>
        <v>60</v>
      </c>
      <c r="J994">
        <f t="shared" si="91"/>
        <v>907</v>
      </c>
      <c r="K994" s="5">
        <f>IF(D994&lt;$F$11,H994,0)</f>
        <v>0</v>
      </c>
      <c r="L994">
        <f>IF(D994&lt;$A$15,$D$11,$D$11*(1-$H$11))</f>
        <v>85</v>
      </c>
      <c r="M994">
        <f t="shared" si="92"/>
        <v>1</v>
      </c>
      <c r="N994">
        <f>IF(SUM(I994:J994)&lt;=($G$11/60*$F$11/($E$11/60)),1,0)</f>
        <v>0</v>
      </c>
    </row>
    <row r="995" spans="4:14" x14ac:dyDescent="0.2">
      <c r="D995">
        <f t="shared" si="94"/>
        <v>972</v>
      </c>
      <c r="E995" s="1">
        <f>IF($H$11=1,IF(D995&lt;=$A$15, E994+LN($D$11)-LN(60/$E$11)-LN(MIN(D995,$F$11)), E994-LN(60/$E$11)-LN(MIN(D995,$F$11))), IF(D995&lt;=$A$15, E994+LN($D$11)-LN(60/$E$11)-LN(MIN(D995,$F$11)), E994+LN($D$11)+LN(1-$H$11)-LN(60/$E$11)-LN(MIN(D995,$F$11))))</f>
        <v>-115.92229718401869</v>
      </c>
      <c r="F995" s="1">
        <f t="shared" si="95"/>
        <v>-117.92432999321775</v>
      </c>
      <c r="G995" s="1">
        <f t="shared" si="93"/>
        <v>6.1110269896568047E-52</v>
      </c>
      <c r="H995" s="1">
        <f t="shared" si="90"/>
        <v>5.9984180264150576E-53</v>
      </c>
      <c r="I995">
        <f>IF($F$11&lt;=D995, IF(D995&lt;=$A$15,D995-$F$11,$C$11),0)</f>
        <v>60</v>
      </c>
      <c r="J995">
        <f t="shared" si="91"/>
        <v>908</v>
      </c>
      <c r="K995" s="5">
        <f>IF(D995&lt;$F$11,H995,0)</f>
        <v>0</v>
      </c>
      <c r="L995">
        <f>IF(D995&lt;$A$15,$D$11,$D$11*(1-$H$11))</f>
        <v>85</v>
      </c>
      <c r="M995">
        <f t="shared" si="92"/>
        <v>1</v>
      </c>
      <c r="N995">
        <f>IF(SUM(I995:J995)&lt;=($G$11/60*$F$11/($E$11/60)),1,0)</f>
        <v>0</v>
      </c>
    </row>
    <row r="996" spans="4:14" x14ac:dyDescent="0.2">
      <c r="D996">
        <f t="shared" si="94"/>
        <v>973</v>
      </c>
      <c r="E996" s="1">
        <f>IF($H$11=1,IF(D996&lt;=$A$15, E995+LN($D$11)-LN(60/$E$11)-LN(MIN(D996,$F$11)), E995-LN(60/$E$11)-LN(MIN(D996,$F$11))), IF(D996&lt;=$A$15, E995+LN($D$11)-LN(60/$E$11)-LN(MIN(D996,$F$11)), E995+LN($D$11)+LN(1-$H$11)-LN(60/$E$11)-LN(MIN(D996,$F$11))))</f>
        <v>-116.04399411899621</v>
      </c>
      <c r="F996" s="1">
        <f t="shared" si="95"/>
        <v>-118.04602692819527</v>
      </c>
      <c r="G996" s="1">
        <f t="shared" si="93"/>
        <v>5.410805147091955E-52</v>
      </c>
      <c r="H996" s="1">
        <f t="shared" si="90"/>
        <v>5.3110992942216579E-53</v>
      </c>
      <c r="I996">
        <f>IF($F$11&lt;=D996, IF(D996&lt;=$A$15,D996-$F$11,$C$11),0)</f>
        <v>60</v>
      </c>
      <c r="J996">
        <f t="shared" si="91"/>
        <v>909</v>
      </c>
      <c r="K996" s="5">
        <f>IF(D996&lt;$F$11,H996,0)</f>
        <v>0</v>
      </c>
      <c r="L996">
        <f>IF(D996&lt;$A$15,$D$11,$D$11*(1-$H$11))</f>
        <v>85</v>
      </c>
      <c r="M996">
        <f t="shared" si="92"/>
        <v>1</v>
      </c>
      <c r="N996">
        <f>IF(SUM(I996:J996)&lt;=($G$11/60*$F$11/($E$11/60)),1,0)</f>
        <v>0</v>
      </c>
    </row>
    <row r="997" spans="4:14" x14ac:dyDescent="0.2">
      <c r="D997">
        <f t="shared" si="94"/>
        <v>974</v>
      </c>
      <c r="E997" s="1">
        <f>IF($H$11=1,IF(D997&lt;=$A$15, E996+LN($D$11)-LN(60/$E$11)-LN(MIN(D997,$F$11)), E996-LN(60/$E$11)-LN(MIN(D997,$F$11))), IF(D997&lt;=$A$15, E996+LN($D$11)-LN(60/$E$11)-LN(MIN(D997,$F$11)), E996+LN($D$11)+LN(1-$H$11)-LN(60/$E$11)-LN(MIN(D997,$F$11))))</f>
        <v>-116.16569105397373</v>
      </c>
      <c r="F997" s="1">
        <f t="shared" si="95"/>
        <v>-118.1677238631728</v>
      </c>
      <c r="G997" s="1">
        <f t="shared" si="93"/>
        <v>4.7908170573209945E-52</v>
      </c>
      <c r="H997" s="1">
        <f t="shared" si="90"/>
        <v>4.7025358334254197E-53</v>
      </c>
      <c r="I997">
        <f>IF($F$11&lt;=D997, IF(D997&lt;=$A$15,D997-$F$11,$C$11),0)</f>
        <v>60</v>
      </c>
      <c r="J997">
        <f t="shared" si="91"/>
        <v>910</v>
      </c>
      <c r="K997" s="5">
        <f>IF(D997&lt;$F$11,H997,0)</f>
        <v>0</v>
      </c>
      <c r="L997">
        <f>IF(D997&lt;$A$15,$D$11,$D$11*(1-$H$11))</f>
        <v>85</v>
      </c>
      <c r="M997">
        <f t="shared" si="92"/>
        <v>1</v>
      </c>
      <c r="N997">
        <f>IF(SUM(I997:J997)&lt;=($G$11/60*$F$11/($E$11/60)),1,0)</f>
        <v>0</v>
      </c>
    </row>
    <row r="998" spans="4:14" x14ac:dyDescent="0.2">
      <c r="D998">
        <f t="shared" si="94"/>
        <v>975</v>
      </c>
      <c r="E998" s="1">
        <f>IF($H$11=1,IF(D998&lt;=$A$15, E997+LN($D$11)-LN(60/$E$11)-LN(MIN(D998,$F$11)), E997-LN(60/$E$11)-LN(MIN(D998,$F$11))), IF(D998&lt;=$A$15, E997+LN($D$11)-LN(60/$E$11)-LN(MIN(D998,$F$11)), E997+LN($D$11)+LN(1-$H$11)-LN(60/$E$11)-LN(MIN(D998,$F$11))))</f>
        <v>-116.28738798895125</v>
      </c>
      <c r="F998" s="1">
        <f t="shared" si="95"/>
        <v>-118.28942079815032</v>
      </c>
      <c r="G998" s="1">
        <f t="shared" si="93"/>
        <v>4.2418692695029583E-52</v>
      </c>
      <c r="H998" s="1">
        <f t="shared" si="90"/>
        <v>4.1637036025120846E-53</v>
      </c>
      <c r="I998">
        <f>IF($F$11&lt;=D998, IF(D998&lt;=$A$15,D998-$F$11,$C$11),0)</f>
        <v>60</v>
      </c>
      <c r="J998">
        <f t="shared" si="91"/>
        <v>911</v>
      </c>
      <c r="K998" s="5">
        <f>IF(D998&lt;$F$11,H998,0)</f>
        <v>0</v>
      </c>
      <c r="L998">
        <f>IF(D998&lt;$A$15,$D$11,$D$11*(1-$H$11))</f>
        <v>85</v>
      </c>
      <c r="M998">
        <f t="shared" si="92"/>
        <v>1</v>
      </c>
      <c r="N998">
        <f>IF(SUM(I998:J998)&lt;=($G$11/60*$F$11/($E$11/60)),1,0)</f>
        <v>0</v>
      </c>
    </row>
    <row r="999" spans="4:14" x14ac:dyDescent="0.2">
      <c r="D999">
        <f t="shared" si="94"/>
        <v>976</v>
      </c>
      <c r="E999" s="1">
        <f>IF($H$11=1,IF(D999&lt;=$A$15, E998+LN($D$11)-LN(60/$E$11)-LN(MIN(D999,$F$11)), E998-LN(60/$E$11)-LN(MIN(D999,$F$11))), IF(D999&lt;=$A$15, E998+LN($D$11)-LN(60/$E$11)-LN(MIN(D999,$F$11)), E998+LN($D$11)+LN(1-$H$11)-LN(60/$E$11)-LN(MIN(D999,$F$11))))</f>
        <v>-116.40908492392877</v>
      </c>
      <c r="F999" s="1">
        <f t="shared" si="95"/>
        <v>-118.41111773312784</v>
      </c>
      <c r="G999" s="1">
        <f t="shared" si="93"/>
        <v>3.7558217490390722E-52</v>
      </c>
      <c r="H999" s="1">
        <f t="shared" si="90"/>
        <v>3.686612564724236E-53</v>
      </c>
      <c r="I999">
        <f>IF($F$11&lt;=D999, IF(D999&lt;=$A$15,D999-$F$11,$C$11),0)</f>
        <v>60</v>
      </c>
      <c r="J999">
        <f t="shared" si="91"/>
        <v>912</v>
      </c>
      <c r="K999" s="5">
        <f>IF(D999&lt;$F$11,H999,0)</f>
        <v>0</v>
      </c>
      <c r="L999">
        <f>IF(D999&lt;$A$15,$D$11,$D$11*(1-$H$11))</f>
        <v>85</v>
      </c>
      <c r="M999">
        <f t="shared" si="92"/>
        <v>1</v>
      </c>
      <c r="N999">
        <f>IF(SUM(I999:J999)&lt;=($G$11/60*$F$11/($E$11/60)),1,0)</f>
        <v>0</v>
      </c>
    </row>
    <row r="1000" spans="4:14" x14ac:dyDescent="0.2">
      <c r="D1000">
        <f t="shared" si="94"/>
        <v>977</v>
      </c>
      <c r="E1000" s="1">
        <f>IF($H$11=1,IF(D1000&lt;=$A$15, E999+LN($D$11)-LN(60/$E$11)-LN(MIN(D1000,$F$11)), E999-LN(60/$E$11)-LN(MIN(D1000,$F$11))), IF(D1000&lt;=$A$15, E999+LN($D$11)-LN(60/$E$11)-LN(MIN(D1000,$F$11)), E999+LN($D$11)+LN(1-$H$11)-LN(60/$E$11)-LN(MIN(D1000,$F$11))))</f>
        <v>-116.53078185890629</v>
      </c>
      <c r="F1000" s="1">
        <f t="shared" si="95"/>
        <v>-118.53281466810536</v>
      </c>
      <c r="G1000" s="1">
        <f t="shared" si="93"/>
        <v>3.3254671736283403E-52</v>
      </c>
      <c r="H1000" s="1">
        <f t="shared" si="90"/>
        <v>3.2641882083495794E-53</v>
      </c>
      <c r="I1000">
        <f>IF($F$11&lt;=D1000, IF(D1000&lt;=$A$15,D1000-$F$11,$C$11),0)</f>
        <v>60</v>
      </c>
      <c r="J1000">
        <f t="shared" si="91"/>
        <v>913</v>
      </c>
      <c r="K1000" s="5">
        <f>IF(D1000&lt;$F$11,H1000,0)</f>
        <v>0</v>
      </c>
      <c r="L1000">
        <f>IF(D1000&lt;$A$15,$D$11,$D$11*(1-$H$11))</f>
        <v>85</v>
      </c>
      <c r="M1000">
        <f t="shared" si="92"/>
        <v>1</v>
      </c>
      <c r="N1000">
        <f>IF(SUM(I1000:J1000)&lt;=($G$11/60*$F$11/($E$11/60)),1,0)</f>
        <v>0</v>
      </c>
    </row>
    <row r="1001" spans="4:14" x14ac:dyDescent="0.2">
      <c r="D1001">
        <f t="shared" si="94"/>
        <v>978</v>
      </c>
      <c r="E1001" s="1">
        <f>IF($H$11=1,IF(D1001&lt;=$A$15, E1000+LN($D$11)-LN(60/$E$11)-LN(MIN(D1001,$F$11)), E1000-LN(60/$E$11)-LN(MIN(D1001,$F$11))), IF(D1001&lt;=$A$15, E1000+LN($D$11)-LN(60/$E$11)-LN(MIN(D1001,$F$11)), E1000+LN($D$11)+LN(1-$H$11)-LN(60/$E$11)-LN(MIN(D1001,$F$11))))</f>
        <v>-116.65247879388382</v>
      </c>
      <c r="F1001" s="1">
        <f t="shared" si="95"/>
        <v>-118.65451160308288</v>
      </c>
      <c r="G1001" s="1">
        <f t="shared" si="93"/>
        <v>2.9444240599834222E-52</v>
      </c>
      <c r="H1001" s="1">
        <f t="shared" si="90"/>
        <v>2.8901666428095192E-53</v>
      </c>
      <c r="I1001">
        <f>IF($F$11&lt;=D1001, IF(D1001&lt;=$A$15,D1001-$F$11,$C$11),0)</f>
        <v>60</v>
      </c>
      <c r="J1001">
        <f t="shared" si="91"/>
        <v>914</v>
      </c>
      <c r="K1001" s="5">
        <f>IF(D1001&lt;$F$11,H1001,0)</f>
        <v>0</v>
      </c>
      <c r="L1001">
        <f>IF(D1001&lt;$A$15,$D$11,$D$11*(1-$H$11))</f>
        <v>85</v>
      </c>
      <c r="M1001">
        <f t="shared" si="92"/>
        <v>1</v>
      </c>
      <c r="N1001">
        <f>IF(SUM(I1001:J1001)&lt;=($G$11/60*$F$11/($E$11/60)),1,0)</f>
        <v>0</v>
      </c>
    </row>
    <row r="1002" spans="4:14" x14ac:dyDescent="0.2">
      <c r="D1002">
        <f t="shared" si="94"/>
        <v>979</v>
      </c>
      <c r="E1002" s="1">
        <f>IF($H$11=1,IF(D1002&lt;=$A$15, E1001+LN($D$11)-LN(60/$E$11)-LN(MIN(D1002,$F$11)), E1001-LN(60/$E$11)-LN(MIN(D1002,$F$11))), IF(D1002&lt;=$A$15, E1001+LN($D$11)-LN(60/$E$11)-LN(MIN(D1002,$F$11)), E1001+LN($D$11)+LN(1-$H$11)-LN(60/$E$11)-LN(MIN(D1002,$F$11))))</f>
        <v>-116.77417572886134</v>
      </c>
      <c r="F1002" s="1">
        <f t="shared" si="95"/>
        <v>-118.7762085380604</v>
      </c>
      <c r="G1002" s="1">
        <f t="shared" si="93"/>
        <v>2.6070421364436513E-52</v>
      </c>
      <c r="H1002" s="1">
        <f t="shared" si="90"/>
        <v>2.5590017149875914E-53</v>
      </c>
      <c r="I1002">
        <f>IF($F$11&lt;=D1002, IF(D1002&lt;=$A$15,D1002-$F$11,$C$11),0)</f>
        <v>60</v>
      </c>
      <c r="J1002">
        <f t="shared" si="91"/>
        <v>915</v>
      </c>
      <c r="K1002" s="5">
        <f>IF(D1002&lt;$F$11,H1002,0)</f>
        <v>0</v>
      </c>
      <c r="L1002">
        <f>IF(D1002&lt;$A$15,$D$11,$D$11*(1-$H$11))</f>
        <v>85</v>
      </c>
      <c r="M1002">
        <f t="shared" si="92"/>
        <v>1</v>
      </c>
      <c r="N1002">
        <f>IF(SUM(I1002:J1002)&lt;=($G$11/60*$F$11/($E$11/60)),1,0)</f>
        <v>0</v>
      </c>
    </row>
    <row r="1003" spans="4:14" x14ac:dyDescent="0.2">
      <c r="D1003">
        <f t="shared" si="94"/>
        <v>980</v>
      </c>
      <c r="E1003" s="1">
        <f>IF($H$11=1,IF(D1003&lt;=$A$15, E1002+LN($D$11)-LN(60/$E$11)-LN(MIN(D1003,$F$11)), E1002-LN(60/$E$11)-LN(MIN(D1003,$F$11))), IF(D1003&lt;=$A$15, E1002+LN($D$11)-LN(60/$E$11)-LN(MIN(D1003,$F$11)), E1002+LN($D$11)+LN(1-$H$11)-LN(60/$E$11)-LN(MIN(D1003,$F$11))))</f>
        <v>-116.89587266383886</v>
      </c>
      <c r="F1003" s="1">
        <f t="shared" si="95"/>
        <v>-118.89790547303792</v>
      </c>
      <c r="G1003" s="1">
        <f t="shared" si="93"/>
        <v>2.3083185583094798E-52</v>
      </c>
      <c r="H1003" s="1">
        <f t="shared" si="90"/>
        <v>2.2657827684785937E-53</v>
      </c>
      <c r="I1003">
        <f>IF($F$11&lt;=D1003, IF(D1003&lt;=$A$15,D1003-$F$11,$C$11),0)</f>
        <v>60</v>
      </c>
      <c r="J1003">
        <f t="shared" si="91"/>
        <v>916</v>
      </c>
      <c r="K1003" s="5">
        <f>IF(D1003&lt;$F$11,H1003,0)</f>
        <v>0</v>
      </c>
      <c r="L1003">
        <f>IF(D1003&lt;$A$15,$D$11,$D$11*(1-$H$11))</f>
        <v>85</v>
      </c>
      <c r="M1003">
        <f t="shared" si="92"/>
        <v>1</v>
      </c>
      <c r="N1003">
        <f>IF(SUM(I1003:J1003)&lt;=($G$11/60*$F$11/($E$11/60)),1,0)</f>
        <v>0</v>
      </c>
    </row>
    <row r="1004" spans="4:14" x14ac:dyDescent="0.2">
      <c r="D1004">
        <f t="shared" si="94"/>
        <v>981</v>
      </c>
      <c r="E1004" s="1">
        <f>IF($H$11=1,IF(D1004&lt;=$A$15, E1003+LN($D$11)-LN(60/$E$11)-LN(MIN(D1004,$F$11)), E1003-LN(60/$E$11)-LN(MIN(D1004,$F$11))), IF(D1004&lt;=$A$15, E1003+LN($D$11)-LN(60/$E$11)-LN(MIN(D1004,$F$11)), E1003+LN($D$11)+LN(1-$H$11)-LN(60/$E$11)-LN(MIN(D1004,$F$11))))</f>
        <v>-117.01756959881638</v>
      </c>
      <c r="F1004" s="1">
        <f t="shared" si="95"/>
        <v>-119.01960240801544</v>
      </c>
      <c r="G1004" s="1">
        <f t="shared" si="93"/>
        <v>2.0438237235031823E-52</v>
      </c>
      <c r="H1004" s="1">
        <f t="shared" si="90"/>
        <v>2.0061618262570852E-53</v>
      </c>
      <c r="I1004">
        <f>IF($F$11&lt;=D1004, IF(D1004&lt;=$A$15,D1004-$F$11,$C$11),0)</f>
        <v>60</v>
      </c>
      <c r="J1004">
        <f t="shared" si="91"/>
        <v>917</v>
      </c>
      <c r="K1004" s="5">
        <f>IF(D1004&lt;$F$11,H1004,0)</f>
        <v>0</v>
      </c>
      <c r="L1004">
        <f>IF(D1004&lt;$A$15,$D$11,$D$11*(1-$H$11))</f>
        <v>85</v>
      </c>
      <c r="M1004">
        <f t="shared" si="92"/>
        <v>1</v>
      </c>
      <c r="N1004">
        <f>IF(SUM(I1004:J1004)&lt;=($G$11/60*$F$11/($E$11/60)),1,0)</f>
        <v>0</v>
      </c>
    </row>
    <row r="1005" spans="4:14" x14ac:dyDescent="0.2">
      <c r="D1005">
        <f t="shared" si="94"/>
        <v>982</v>
      </c>
      <c r="E1005" s="1">
        <f>IF($H$11=1,IF(D1005&lt;=$A$15, E1004+LN($D$11)-LN(60/$E$11)-LN(MIN(D1005,$F$11)), E1004-LN(60/$E$11)-LN(MIN(D1005,$F$11))), IF(D1005&lt;=$A$15, E1004+LN($D$11)-LN(60/$E$11)-LN(MIN(D1005,$F$11)), E1004+LN($D$11)+LN(1-$H$11)-LN(60/$E$11)-LN(MIN(D1005,$F$11))))</f>
        <v>-117.1392665337939</v>
      </c>
      <c r="F1005" s="1">
        <f t="shared" si="95"/>
        <v>-119.14129934299297</v>
      </c>
      <c r="G1005" s="1">
        <f t="shared" si="93"/>
        <v>1.8096355885184399E-52</v>
      </c>
      <c r="H1005" s="1">
        <f t="shared" si="90"/>
        <v>1.776289116998458E-53</v>
      </c>
      <c r="I1005">
        <f>IF($F$11&lt;=D1005, IF(D1005&lt;=$A$15,D1005-$F$11,$C$11),0)</f>
        <v>60</v>
      </c>
      <c r="J1005">
        <f t="shared" si="91"/>
        <v>918</v>
      </c>
      <c r="K1005" s="5">
        <f>IF(D1005&lt;$F$11,H1005,0)</f>
        <v>0</v>
      </c>
      <c r="L1005">
        <f>IF(D1005&lt;$A$15,$D$11,$D$11*(1-$H$11))</f>
        <v>85</v>
      </c>
      <c r="M1005">
        <f t="shared" si="92"/>
        <v>1</v>
      </c>
      <c r="N1005">
        <f>IF(SUM(I1005:J1005)&lt;=($G$11/60*$F$11/($E$11/60)),1,0)</f>
        <v>0</v>
      </c>
    </row>
    <row r="1006" spans="4:14" x14ac:dyDescent="0.2">
      <c r="D1006">
        <f t="shared" si="94"/>
        <v>983</v>
      </c>
      <c r="E1006" s="1">
        <f>IF($H$11=1,IF(D1006&lt;=$A$15, E1005+LN($D$11)-LN(60/$E$11)-LN(MIN(D1006,$F$11)), E1005-LN(60/$E$11)-LN(MIN(D1006,$F$11))), IF(D1006&lt;=$A$15, E1005+LN($D$11)-LN(60/$E$11)-LN(MIN(D1006,$F$11)), E1005+LN($D$11)+LN(1-$H$11)-LN(60/$E$11)-LN(MIN(D1006,$F$11))))</f>
        <v>-117.26096346877142</v>
      </c>
      <c r="F1006" s="1">
        <f t="shared" si="95"/>
        <v>-119.26299627797049</v>
      </c>
      <c r="G1006" s="1">
        <f t="shared" si="93"/>
        <v>1.6022815106673665E-52</v>
      </c>
      <c r="H1006" s="1">
        <f t="shared" si="90"/>
        <v>1.5727559890090495E-53</v>
      </c>
      <c r="I1006">
        <f>IF($F$11&lt;=D1006, IF(D1006&lt;=$A$15,D1006-$F$11,$C$11),0)</f>
        <v>60</v>
      </c>
      <c r="J1006">
        <f t="shared" si="91"/>
        <v>919</v>
      </c>
      <c r="K1006" s="5">
        <f>IF(D1006&lt;$F$11,H1006,0)</f>
        <v>0</v>
      </c>
      <c r="L1006">
        <f>IF(D1006&lt;$A$15,$D$11,$D$11*(1-$H$11))</f>
        <v>85</v>
      </c>
      <c r="M1006">
        <f t="shared" si="92"/>
        <v>1</v>
      </c>
      <c r="N1006">
        <f>IF(SUM(I1006:J1006)&lt;=($G$11/60*$F$11/($E$11/60)),1,0)</f>
        <v>0</v>
      </c>
    </row>
    <row r="1007" spans="4:14" x14ac:dyDescent="0.2">
      <c r="D1007">
        <f t="shared" si="94"/>
        <v>984</v>
      </c>
      <c r="E1007" s="1">
        <f>IF($H$11=1,IF(D1007&lt;=$A$15, E1006+LN($D$11)-LN(60/$E$11)-LN(MIN(D1007,$F$11)), E1006-LN(60/$E$11)-LN(MIN(D1007,$F$11))), IF(D1007&lt;=$A$15, E1006+LN($D$11)-LN(60/$E$11)-LN(MIN(D1007,$F$11)), E1006+LN($D$11)+LN(1-$H$11)-LN(60/$E$11)-LN(MIN(D1007,$F$11))))</f>
        <v>-117.38266040374894</v>
      </c>
      <c r="F1007" s="1">
        <f t="shared" si="95"/>
        <v>-119.38469321294801</v>
      </c>
      <c r="G1007" s="1">
        <f t="shared" si="93"/>
        <v>1.4186867542367286E-52</v>
      </c>
      <c r="H1007" s="1">
        <f t="shared" si="90"/>
        <v>1.392544365268427E-53</v>
      </c>
      <c r="I1007">
        <f>IF($F$11&lt;=D1007, IF(D1007&lt;=$A$15,D1007-$F$11,$C$11),0)</f>
        <v>60</v>
      </c>
      <c r="J1007">
        <f t="shared" si="91"/>
        <v>920</v>
      </c>
      <c r="K1007" s="5">
        <f>IF(D1007&lt;$F$11,H1007,0)</f>
        <v>0</v>
      </c>
      <c r="L1007">
        <f>IF(D1007&lt;$A$15,$D$11,$D$11*(1-$H$11))</f>
        <v>85</v>
      </c>
      <c r="M1007">
        <f t="shared" si="92"/>
        <v>1</v>
      </c>
      <c r="N1007">
        <f>IF(SUM(I1007:J1007)&lt;=($G$11/60*$F$11/($E$11/60)),1,0)</f>
        <v>0</v>
      </c>
    </row>
    <row r="1008" spans="4:14" x14ac:dyDescent="0.2">
      <c r="D1008">
        <f t="shared" si="94"/>
        <v>985</v>
      </c>
      <c r="E1008" s="1">
        <f>IF($H$11=1,IF(D1008&lt;=$A$15, E1007+LN($D$11)-LN(60/$E$11)-LN(MIN(D1008,$F$11)), E1007-LN(60/$E$11)-LN(MIN(D1008,$F$11))), IF(D1008&lt;=$A$15, E1007+LN($D$11)-LN(60/$E$11)-LN(MIN(D1008,$F$11)), E1007+LN($D$11)+LN(1-$H$11)-LN(60/$E$11)-LN(MIN(D1008,$F$11))))</f>
        <v>-117.50435733872646</v>
      </c>
      <c r="F1008" s="1">
        <f t="shared" si="95"/>
        <v>-119.50639014792553</v>
      </c>
      <c r="G1008" s="1">
        <f t="shared" si="93"/>
        <v>1.2561288969804351E-52</v>
      </c>
      <c r="H1008" s="1">
        <f t="shared" si="90"/>
        <v>1.232981990081418E-53</v>
      </c>
      <c r="I1008">
        <f>IF($F$11&lt;=D1008, IF(D1008&lt;=$A$15,D1008-$F$11,$C$11),0)</f>
        <v>60</v>
      </c>
      <c r="J1008">
        <f t="shared" si="91"/>
        <v>921</v>
      </c>
      <c r="K1008" s="5">
        <f>IF(D1008&lt;$F$11,H1008,0)</f>
        <v>0</v>
      </c>
      <c r="L1008">
        <f>IF(D1008&lt;$A$15,$D$11,$D$11*(1-$H$11))</f>
        <v>85</v>
      </c>
      <c r="M1008">
        <f t="shared" si="92"/>
        <v>1</v>
      </c>
      <c r="N1008">
        <f>IF(SUM(I1008:J1008)&lt;=($G$11/60*$F$11/($E$11/60)),1,0)</f>
        <v>0</v>
      </c>
    </row>
    <row r="1009" spans="4:14" x14ac:dyDescent="0.2">
      <c r="D1009">
        <f t="shared" si="94"/>
        <v>986</v>
      </c>
      <c r="E1009" s="1">
        <f>IF($H$11=1,IF(D1009&lt;=$A$15, E1008+LN($D$11)-LN(60/$E$11)-LN(MIN(D1009,$F$11)), E1008-LN(60/$E$11)-LN(MIN(D1009,$F$11))), IF(D1009&lt;=$A$15, E1008+LN($D$11)-LN(60/$E$11)-LN(MIN(D1009,$F$11)), E1008+LN($D$11)+LN(1-$H$11)-LN(60/$E$11)-LN(MIN(D1009,$F$11))))</f>
        <v>-117.62605427370399</v>
      </c>
      <c r="F1009" s="1">
        <f t="shared" si="95"/>
        <v>-119.62808708290305</v>
      </c>
      <c r="G1009" s="1">
        <f t="shared" si="93"/>
        <v>1.112197460868092E-52</v>
      </c>
      <c r="H1009" s="1">
        <f t="shared" si="90"/>
        <v>1.0917028037179206E-53</v>
      </c>
      <c r="I1009">
        <f>IF($F$11&lt;=D1009, IF(D1009&lt;=$A$15,D1009-$F$11,$C$11),0)</f>
        <v>60</v>
      </c>
      <c r="J1009">
        <f t="shared" si="91"/>
        <v>922</v>
      </c>
      <c r="K1009" s="5">
        <f>IF(D1009&lt;$F$11,H1009,0)</f>
        <v>0</v>
      </c>
      <c r="L1009">
        <f>IF(D1009&lt;$A$15,$D$11,$D$11*(1-$H$11))</f>
        <v>85</v>
      </c>
      <c r="M1009">
        <f t="shared" si="92"/>
        <v>1</v>
      </c>
      <c r="N1009">
        <f>IF(SUM(I1009:J1009)&lt;=($G$11/60*$F$11/($E$11/60)),1,0)</f>
        <v>0</v>
      </c>
    </row>
    <row r="1010" spans="4:14" x14ac:dyDescent="0.2">
      <c r="D1010">
        <f t="shared" si="94"/>
        <v>987</v>
      </c>
      <c r="E1010" s="1">
        <f>IF($H$11=1,IF(D1010&lt;=$A$15, E1009+LN($D$11)-LN(60/$E$11)-LN(MIN(D1010,$F$11)), E1009-LN(60/$E$11)-LN(MIN(D1010,$F$11))), IF(D1010&lt;=$A$15, E1009+LN($D$11)-LN(60/$E$11)-LN(MIN(D1010,$F$11)), E1009+LN($D$11)+LN(1-$H$11)-LN(60/$E$11)-LN(MIN(D1010,$F$11))))</f>
        <v>-117.74775120868151</v>
      </c>
      <c r="F1010" s="1">
        <f t="shared" si="95"/>
        <v>-119.74978401788057</v>
      </c>
      <c r="G1010" s="1">
        <f t="shared" si="93"/>
        <v>9.8475816847695496E-53</v>
      </c>
      <c r="H1010" s="1">
        <f t="shared" si="90"/>
        <v>9.6661185745857413E-54</v>
      </c>
      <c r="I1010">
        <f>IF($F$11&lt;=D1010, IF(D1010&lt;=$A$15,D1010-$F$11,$C$11),0)</f>
        <v>60</v>
      </c>
      <c r="J1010">
        <f t="shared" si="91"/>
        <v>923</v>
      </c>
      <c r="K1010" s="5">
        <f>IF(D1010&lt;$F$11,H1010,0)</f>
        <v>0</v>
      </c>
      <c r="L1010">
        <f>IF(D1010&lt;$A$15,$D$11,$D$11*(1-$H$11))</f>
        <v>85</v>
      </c>
      <c r="M1010">
        <f t="shared" si="92"/>
        <v>1</v>
      </c>
      <c r="N1010">
        <f>IF(SUM(I1010:J1010)&lt;=($G$11/60*$F$11/($E$11/60)),1,0)</f>
        <v>0</v>
      </c>
    </row>
    <row r="1011" spans="4:14" x14ac:dyDescent="0.2">
      <c r="D1011">
        <f t="shared" si="94"/>
        <v>988</v>
      </c>
      <c r="E1011" s="1">
        <f>IF($H$11=1,IF(D1011&lt;=$A$15, E1010+LN($D$11)-LN(60/$E$11)-LN(MIN(D1011,$F$11)), E1010-LN(60/$E$11)-LN(MIN(D1011,$F$11))), IF(D1011&lt;=$A$15, E1010+LN($D$11)-LN(60/$E$11)-LN(MIN(D1011,$F$11)), E1010+LN($D$11)+LN(1-$H$11)-LN(60/$E$11)-LN(MIN(D1011,$F$11))))</f>
        <v>-117.86944814365903</v>
      </c>
      <c r="F1011" s="1">
        <f t="shared" si="95"/>
        <v>-119.87148095285809</v>
      </c>
      <c r="G1011" s="1">
        <f t="shared" si="93"/>
        <v>8.7192129500563596E-53</v>
      </c>
      <c r="H1011" s="1">
        <f t="shared" si="90"/>
        <v>8.5585424879144462E-54</v>
      </c>
      <c r="I1011">
        <f>IF($F$11&lt;=D1011, IF(D1011&lt;=$A$15,D1011-$F$11,$C$11),0)</f>
        <v>60</v>
      </c>
      <c r="J1011">
        <f t="shared" si="91"/>
        <v>924</v>
      </c>
      <c r="K1011" s="5">
        <f>IF(D1011&lt;$F$11,H1011,0)</f>
        <v>0</v>
      </c>
      <c r="L1011">
        <f>IF(D1011&lt;$A$15,$D$11,$D$11*(1-$H$11))</f>
        <v>85</v>
      </c>
      <c r="M1011">
        <f t="shared" si="92"/>
        <v>1</v>
      </c>
      <c r="N1011">
        <f>IF(SUM(I1011:J1011)&lt;=($G$11/60*$F$11/($E$11/60)),1,0)</f>
        <v>0</v>
      </c>
    </row>
    <row r="1012" spans="4:14" x14ac:dyDescent="0.2">
      <c r="D1012">
        <f t="shared" si="94"/>
        <v>989</v>
      </c>
      <c r="E1012" s="1">
        <f>IF($H$11=1,IF(D1012&lt;=$A$15, E1011+LN($D$11)-LN(60/$E$11)-LN(MIN(D1012,$F$11)), E1011-LN(60/$E$11)-LN(MIN(D1012,$F$11))), IF(D1012&lt;=$A$15, E1011+LN($D$11)-LN(60/$E$11)-LN(MIN(D1012,$F$11)), E1011+LN($D$11)+LN(1-$H$11)-LN(60/$E$11)-LN(MIN(D1012,$F$11))))</f>
        <v>-117.99114507863655</v>
      </c>
      <c r="F1012" s="1">
        <f t="shared" si="95"/>
        <v>-119.99317788783561</v>
      </c>
      <c r="G1012" s="1">
        <f t="shared" si="93"/>
        <v>7.7201364661957248E-53</v>
      </c>
      <c r="H1012" s="1">
        <f t="shared" si="90"/>
        <v>7.5778761611742394E-54</v>
      </c>
      <c r="I1012">
        <f>IF($F$11&lt;=D1012, IF(D1012&lt;=$A$15,D1012-$F$11,$C$11),0)</f>
        <v>60</v>
      </c>
      <c r="J1012">
        <f t="shared" si="91"/>
        <v>925</v>
      </c>
      <c r="K1012" s="5">
        <f>IF(D1012&lt;$F$11,H1012,0)</f>
        <v>0</v>
      </c>
      <c r="L1012">
        <f>IF(D1012&lt;$A$15,$D$11,$D$11*(1-$H$11))</f>
        <v>85</v>
      </c>
      <c r="M1012">
        <f t="shared" si="92"/>
        <v>1</v>
      </c>
      <c r="N1012">
        <f>IF(SUM(I1012:J1012)&lt;=($G$11/60*$F$11/($E$11/60)),1,0)</f>
        <v>0</v>
      </c>
    </row>
    <row r="1013" spans="4:14" x14ac:dyDescent="0.2">
      <c r="D1013">
        <f t="shared" si="94"/>
        <v>990</v>
      </c>
      <c r="E1013" s="1">
        <f>IF($H$11=1,IF(D1013&lt;=$A$15, E1012+LN($D$11)-LN(60/$E$11)-LN(MIN(D1013,$F$11)), E1012-LN(60/$E$11)-LN(MIN(D1013,$F$11))), IF(D1013&lt;=$A$15, E1012+LN($D$11)-LN(60/$E$11)-LN(MIN(D1013,$F$11)), E1012+LN($D$11)+LN(1-$H$11)-LN(60/$E$11)-LN(MIN(D1013,$F$11))))</f>
        <v>-118.11284201361407</v>
      </c>
      <c r="F1013" s="1">
        <f t="shared" si="95"/>
        <v>-120.11487482281314</v>
      </c>
      <c r="G1013" s="1">
        <f t="shared" si="93"/>
        <v>6.8355374961107882E-53</v>
      </c>
      <c r="H1013" s="1">
        <f t="shared" si="90"/>
        <v>6.7095778510396822E-54</v>
      </c>
      <c r="I1013">
        <f>IF($F$11&lt;=D1013, IF(D1013&lt;=$A$15,D1013-$F$11,$C$11),0)</f>
        <v>60</v>
      </c>
      <c r="J1013">
        <f t="shared" si="91"/>
        <v>926</v>
      </c>
      <c r="K1013" s="5">
        <f>IF(D1013&lt;$F$11,H1013,0)</f>
        <v>0</v>
      </c>
      <c r="L1013">
        <f>IF(D1013&lt;$A$15,$D$11,$D$11*(1-$H$11))</f>
        <v>85</v>
      </c>
      <c r="M1013">
        <f t="shared" si="92"/>
        <v>1</v>
      </c>
      <c r="N1013">
        <f>IF(SUM(I1013:J1013)&lt;=($G$11/60*$F$11/($E$11/60)),1,0)</f>
        <v>0</v>
      </c>
    </row>
    <row r="1014" spans="4:14" x14ac:dyDescent="0.2">
      <c r="D1014">
        <f t="shared" si="94"/>
        <v>991</v>
      </c>
      <c r="E1014" s="1">
        <f>IF($H$11=1,IF(D1014&lt;=$A$15, E1013+LN($D$11)-LN(60/$E$11)-LN(MIN(D1014,$F$11)), E1013-LN(60/$E$11)-LN(MIN(D1014,$F$11))), IF(D1014&lt;=$A$15, E1013+LN($D$11)-LN(60/$E$11)-LN(MIN(D1014,$F$11)), E1013+LN($D$11)+LN(1-$H$11)-LN(60/$E$11)-LN(MIN(D1014,$F$11))))</f>
        <v>-118.23453894859159</v>
      </c>
      <c r="F1014" s="1">
        <f t="shared" si="95"/>
        <v>-120.23657175779066</v>
      </c>
      <c r="G1014" s="1">
        <f t="shared" si="93"/>
        <v>6.0522988246814178E-53</v>
      </c>
      <c r="H1014" s="1">
        <f t="shared" si="90"/>
        <v>5.940772055608042E-54</v>
      </c>
      <c r="I1014">
        <f>IF($F$11&lt;=D1014, IF(D1014&lt;=$A$15,D1014-$F$11,$C$11),0)</f>
        <v>60</v>
      </c>
      <c r="J1014">
        <f t="shared" si="91"/>
        <v>927</v>
      </c>
      <c r="K1014" s="5">
        <f>IF(D1014&lt;$F$11,H1014,0)</f>
        <v>0</v>
      </c>
      <c r="L1014">
        <f>IF(D1014&lt;$A$15,$D$11,$D$11*(1-$H$11))</f>
        <v>85</v>
      </c>
      <c r="M1014">
        <f t="shared" si="92"/>
        <v>1</v>
      </c>
      <c r="N1014">
        <f>IF(SUM(I1014:J1014)&lt;=($G$11/60*$F$11/($E$11/60)),1,0)</f>
        <v>0</v>
      </c>
    </row>
    <row r="1015" spans="4:14" x14ac:dyDescent="0.2">
      <c r="D1015">
        <f t="shared" si="94"/>
        <v>992</v>
      </c>
      <c r="E1015" s="1">
        <f>IF($H$11=1,IF(D1015&lt;=$A$15, E1014+LN($D$11)-LN(60/$E$11)-LN(MIN(D1015,$F$11)), E1014-LN(60/$E$11)-LN(MIN(D1015,$F$11))), IF(D1015&lt;=$A$15, E1014+LN($D$11)-LN(60/$E$11)-LN(MIN(D1015,$F$11)), E1014+LN($D$11)+LN(1-$H$11)-LN(60/$E$11)-LN(MIN(D1015,$F$11))))</f>
        <v>-118.35623588356911</v>
      </c>
      <c r="F1015" s="1">
        <f t="shared" si="95"/>
        <v>-120.35826869276818</v>
      </c>
      <c r="G1015" s="1">
        <f t="shared" si="93"/>
        <v>5.3588062510199976E-53</v>
      </c>
      <c r="H1015" s="1">
        <f t="shared" si="90"/>
        <v>5.2600585909029471E-54</v>
      </c>
      <c r="I1015">
        <f>IF($F$11&lt;=D1015, IF(D1015&lt;=$A$15,D1015-$F$11,$C$11),0)</f>
        <v>60</v>
      </c>
      <c r="J1015">
        <f t="shared" si="91"/>
        <v>928</v>
      </c>
      <c r="K1015" s="5">
        <f>IF(D1015&lt;$F$11,H1015,0)</f>
        <v>0</v>
      </c>
      <c r="L1015">
        <f>IF(D1015&lt;$A$15,$D$11,$D$11*(1-$H$11))</f>
        <v>85</v>
      </c>
      <c r="M1015">
        <f t="shared" si="92"/>
        <v>1</v>
      </c>
      <c r="N1015">
        <f>IF(SUM(I1015:J1015)&lt;=($G$11/60*$F$11/($E$11/60)),1,0)</f>
        <v>0</v>
      </c>
    </row>
    <row r="1016" spans="4:14" x14ac:dyDescent="0.2">
      <c r="D1016">
        <f t="shared" si="94"/>
        <v>993</v>
      </c>
      <c r="E1016" s="1">
        <f>IF($H$11=1,IF(D1016&lt;=$A$15, E1015+LN($D$11)-LN(60/$E$11)-LN(MIN(D1016,$F$11)), E1015-LN(60/$E$11)-LN(MIN(D1016,$F$11))), IF(D1016&lt;=$A$15, E1015+LN($D$11)-LN(60/$E$11)-LN(MIN(D1016,$F$11)), E1015+LN($D$11)+LN(1-$H$11)-LN(60/$E$11)-LN(MIN(D1016,$F$11))))</f>
        <v>-118.47793281854663</v>
      </c>
      <c r="F1016" s="1">
        <f t="shared" si="95"/>
        <v>-120.4799656277457</v>
      </c>
      <c r="G1016" s="1">
        <f t="shared" si="93"/>
        <v>4.7447763680906162E-53</v>
      </c>
      <c r="H1016" s="1">
        <f t="shared" si="90"/>
        <v>4.6573435440286441E-54</v>
      </c>
      <c r="I1016">
        <f>IF($F$11&lt;=D1016, IF(D1016&lt;=$A$15,D1016-$F$11,$C$11),0)</f>
        <v>60</v>
      </c>
      <c r="J1016">
        <f t="shared" si="91"/>
        <v>929</v>
      </c>
      <c r="K1016" s="5">
        <f>IF(D1016&lt;$F$11,H1016,0)</f>
        <v>0</v>
      </c>
      <c r="L1016">
        <f>IF(D1016&lt;$A$15,$D$11,$D$11*(1-$H$11))</f>
        <v>85</v>
      </c>
      <c r="M1016">
        <f t="shared" si="92"/>
        <v>1</v>
      </c>
      <c r="N1016">
        <f>IF(SUM(I1016:J1016)&lt;=($G$11/60*$F$11/($E$11/60)),1,0)</f>
        <v>0</v>
      </c>
    </row>
    <row r="1017" spans="4:14" x14ac:dyDescent="0.2">
      <c r="D1017">
        <f t="shared" si="94"/>
        <v>994</v>
      </c>
      <c r="E1017" s="1">
        <f>IF($H$11=1,IF(D1017&lt;=$A$15, E1016+LN($D$11)-LN(60/$E$11)-LN(MIN(D1017,$F$11)), E1016-LN(60/$E$11)-LN(MIN(D1017,$F$11))), IF(D1017&lt;=$A$15, E1016+LN($D$11)-LN(60/$E$11)-LN(MIN(D1017,$F$11)), E1016+LN($D$11)+LN(1-$H$11)-LN(60/$E$11)-LN(MIN(D1017,$F$11))))</f>
        <v>-118.59962975352416</v>
      </c>
      <c r="F1017" s="1">
        <f t="shared" si="95"/>
        <v>-120.60166256272322</v>
      </c>
      <c r="G1017" s="1">
        <f t="shared" si="93"/>
        <v>4.2011040759135609E-53</v>
      </c>
      <c r="H1017" s="1">
        <f t="shared" si="90"/>
        <v>4.1236895962753564E-54</v>
      </c>
      <c r="I1017">
        <f>IF($F$11&lt;=D1017, IF(D1017&lt;=$A$15,D1017-$F$11,$C$11),0)</f>
        <v>60</v>
      </c>
      <c r="J1017">
        <f t="shared" si="91"/>
        <v>930</v>
      </c>
      <c r="K1017" s="5">
        <f>IF(D1017&lt;$F$11,H1017,0)</f>
        <v>0</v>
      </c>
      <c r="L1017">
        <f>IF(D1017&lt;$A$15,$D$11,$D$11*(1-$H$11))</f>
        <v>85</v>
      </c>
      <c r="M1017">
        <f t="shared" si="92"/>
        <v>1</v>
      </c>
      <c r="N1017">
        <f>IF(SUM(I1017:J1017)&lt;=($G$11/60*$F$11/($E$11/60)),1,0)</f>
        <v>0</v>
      </c>
    </row>
    <row r="1018" spans="4:14" x14ac:dyDescent="0.2">
      <c r="D1018">
        <f t="shared" si="94"/>
        <v>995</v>
      </c>
      <c r="E1018" s="1">
        <f>IF($H$11=1,IF(D1018&lt;=$A$15, E1017+LN($D$11)-LN(60/$E$11)-LN(MIN(D1018,$F$11)), E1017-LN(60/$E$11)-LN(MIN(D1018,$F$11))), IF(D1018&lt;=$A$15, E1017+LN($D$11)-LN(60/$E$11)-LN(MIN(D1018,$F$11)), E1017+LN($D$11)+LN(1-$H$11)-LN(60/$E$11)-LN(MIN(D1018,$F$11))))</f>
        <v>-118.72132668850168</v>
      </c>
      <c r="F1018" s="1">
        <f t="shared" si="95"/>
        <v>-120.72335949770074</v>
      </c>
      <c r="G1018" s="1">
        <f t="shared" si="93"/>
        <v>3.7197275672151267E-53</v>
      </c>
      <c r="H1018" s="1">
        <f t="shared" si="90"/>
        <v>3.6511834967021332E-54</v>
      </c>
      <c r="I1018">
        <f>IF($F$11&lt;=D1018, IF(D1018&lt;=$A$15,D1018-$F$11,$C$11),0)</f>
        <v>60</v>
      </c>
      <c r="J1018">
        <f t="shared" si="91"/>
        <v>931</v>
      </c>
      <c r="K1018" s="5">
        <f>IF(D1018&lt;$F$11,H1018,0)</f>
        <v>0</v>
      </c>
      <c r="L1018">
        <f>IF(D1018&lt;$A$15,$D$11,$D$11*(1-$H$11))</f>
        <v>85</v>
      </c>
      <c r="M1018">
        <f t="shared" si="92"/>
        <v>1</v>
      </c>
      <c r="N1018">
        <f>IF(SUM(I1018:J1018)&lt;=($G$11/60*$F$11/($E$11/60)),1,0)</f>
        <v>0</v>
      </c>
    </row>
    <row r="1019" spans="4:14" x14ac:dyDescent="0.2">
      <c r="D1019">
        <f t="shared" si="94"/>
        <v>996</v>
      </c>
      <c r="E1019" s="1">
        <f>IF($H$11=1,IF(D1019&lt;=$A$15, E1018+LN($D$11)-LN(60/$E$11)-LN(MIN(D1019,$F$11)), E1018-LN(60/$E$11)-LN(MIN(D1019,$F$11))), IF(D1019&lt;=$A$15, E1018+LN($D$11)-LN(60/$E$11)-LN(MIN(D1019,$F$11)), E1018+LN($D$11)+LN(1-$H$11)-LN(60/$E$11)-LN(MIN(D1019,$F$11))))</f>
        <v>-118.8430236234792</v>
      </c>
      <c r="F1019" s="1">
        <f t="shared" si="95"/>
        <v>-120.84505643267826</v>
      </c>
      <c r="G1019" s="1">
        <f t="shared" si="93"/>
        <v>3.2935087834717221E-53</v>
      </c>
      <c r="H1019" s="1">
        <f t="shared" si="90"/>
        <v>3.2328187210383426E-54</v>
      </c>
      <c r="I1019">
        <f>IF($F$11&lt;=D1019, IF(D1019&lt;=$A$15,D1019-$F$11,$C$11),0)</f>
        <v>60</v>
      </c>
      <c r="J1019">
        <f t="shared" si="91"/>
        <v>932</v>
      </c>
      <c r="K1019" s="5">
        <f>IF(D1019&lt;$F$11,H1019,0)</f>
        <v>0</v>
      </c>
      <c r="L1019">
        <f>IF(D1019&lt;$A$15,$D$11,$D$11*(1-$H$11))</f>
        <v>85</v>
      </c>
      <c r="M1019">
        <f t="shared" si="92"/>
        <v>1</v>
      </c>
      <c r="N1019">
        <f>IF(SUM(I1019:J1019)&lt;=($G$11/60*$F$11/($E$11/60)),1,0)</f>
        <v>0</v>
      </c>
    </row>
    <row r="1020" spans="4:14" x14ac:dyDescent="0.2">
      <c r="D1020">
        <f t="shared" si="94"/>
        <v>997</v>
      </c>
      <c r="E1020" s="1">
        <f>IF($H$11=1,IF(D1020&lt;=$A$15, E1019+LN($D$11)-LN(60/$E$11)-LN(MIN(D1020,$F$11)), E1019-LN(60/$E$11)-LN(MIN(D1020,$F$11))), IF(D1020&lt;=$A$15, E1019+LN($D$11)-LN(60/$E$11)-LN(MIN(D1020,$F$11)), E1019+LN($D$11)+LN(1-$H$11)-LN(60/$E$11)-LN(MIN(D1020,$F$11))))</f>
        <v>-118.96472055845672</v>
      </c>
      <c r="F1020" s="1">
        <f t="shared" si="95"/>
        <v>-120.96675336765578</v>
      </c>
      <c r="G1020" s="1">
        <f t="shared" si="93"/>
        <v>2.9161275686989164E-53</v>
      </c>
      <c r="H1020" s="1">
        <f t="shared" si="90"/>
        <v>2.8623915759193618E-54</v>
      </c>
      <c r="I1020">
        <f>IF($F$11&lt;=D1020, IF(D1020&lt;=$A$15,D1020-$F$11,$C$11),0)</f>
        <v>60</v>
      </c>
      <c r="J1020">
        <f t="shared" si="91"/>
        <v>933</v>
      </c>
      <c r="K1020" s="5">
        <f>IF(D1020&lt;$F$11,H1020,0)</f>
        <v>0</v>
      </c>
      <c r="L1020">
        <f>IF(D1020&lt;$A$15,$D$11,$D$11*(1-$H$11))</f>
        <v>85</v>
      </c>
      <c r="M1020">
        <f t="shared" si="92"/>
        <v>1</v>
      </c>
      <c r="N1020">
        <f>IF(SUM(I1020:J1020)&lt;=($G$11/60*$F$11/($E$11/60)),1,0)</f>
        <v>0</v>
      </c>
    </row>
    <row r="1021" spans="4:14" x14ac:dyDescent="0.2">
      <c r="D1021">
        <f t="shared" si="94"/>
        <v>998</v>
      </c>
      <c r="E1021" s="1">
        <f>IF($H$11=1,IF(D1021&lt;=$A$15, E1020+LN($D$11)-LN(60/$E$11)-LN(MIN(D1021,$F$11)), E1020-LN(60/$E$11)-LN(MIN(D1021,$F$11))), IF(D1021&lt;=$A$15, E1020+LN($D$11)-LN(60/$E$11)-LN(MIN(D1021,$F$11)), E1020+LN($D$11)+LN(1-$H$11)-LN(60/$E$11)-LN(MIN(D1021,$F$11))))</f>
        <v>-119.08641749343424</v>
      </c>
      <c r="F1021" s="1">
        <f t="shared" si="95"/>
        <v>-121.08845030263331</v>
      </c>
      <c r="G1021" s="1">
        <f t="shared" si="93"/>
        <v>2.5819879514521616E-53</v>
      </c>
      <c r="H1021" s="1">
        <f t="shared" si="90"/>
        <v>2.5344092078452644E-54</v>
      </c>
      <c r="I1021">
        <f>IF($F$11&lt;=D1021, IF(D1021&lt;=$A$15,D1021-$F$11,$C$11),0)</f>
        <v>60</v>
      </c>
      <c r="J1021">
        <f t="shared" si="91"/>
        <v>934</v>
      </c>
      <c r="K1021" s="5">
        <f>IF(D1021&lt;$F$11,H1021,0)</f>
        <v>0</v>
      </c>
      <c r="L1021">
        <f>IF(D1021&lt;$A$15,$D$11,$D$11*(1-$H$11))</f>
        <v>85</v>
      </c>
      <c r="M1021">
        <f t="shared" si="92"/>
        <v>1</v>
      </c>
      <c r="N1021">
        <f>IF(SUM(I1021:J1021)&lt;=($G$11/60*$F$11/($E$11/60)),1,0)</f>
        <v>0</v>
      </c>
    </row>
    <row r="1022" spans="4:14" x14ac:dyDescent="0.2">
      <c r="D1022">
        <f t="shared" si="94"/>
        <v>999</v>
      </c>
      <c r="E1022" s="1">
        <f>IF($H$11=1,IF(D1022&lt;=$A$15, E1021+LN($D$11)-LN(60/$E$11)-LN(MIN(D1022,$F$11)), E1021-LN(60/$E$11)-LN(MIN(D1022,$F$11))), IF(D1022&lt;=$A$15, E1021+LN($D$11)-LN(60/$E$11)-LN(MIN(D1022,$F$11)), E1021+LN($D$11)+LN(1-$H$11)-LN(60/$E$11)-LN(MIN(D1022,$F$11))))</f>
        <v>-119.20811442841176</v>
      </c>
      <c r="F1022" s="1">
        <f t="shared" si="95"/>
        <v>-121.21014723761083</v>
      </c>
      <c r="G1022" s="1">
        <f t="shared" si="93"/>
        <v>2.2861351653482651E-53</v>
      </c>
      <c r="H1022" s="1">
        <f t="shared" si="90"/>
        <v>2.2440081527796583E-54</v>
      </c>
      <c r="I1022">
        <f>IF($F$11&lt;=D1022, IF(D1022&lt;=$A$15,D1022-$F$11,$C$11),0)</f>
        <v>60</v>
      </c>
      <c r="J1022">
        <f t="shared" si="91"/>
        <v>935</v>
      </c>
      <c r="K1022" s="5">
        <f>IF(D1022&lt;$F$11,H1022,0)</f>
        <v>0</v>
      </c>
      <c r="L1022">
        <f>IF(D1022&lt;$A$15,$D$11,$D$11*(1-$H$11))</f>
        <v>85</v>
      </c>
      <c r="M1022">
        <f t="shared" si="92"/>
        <v>1</v>
      </c>
      <c r="N1022">
        <f>IF(SUM(I1022:J1022)&lt;=($G$11/60*$F$11/($E$11/60)),1,0)</f>
        <v>0</v>
      </c>
    </row>
    <row r="1023" spans="4:14" x14ac:dyDescent="0.2">
      <c r="D1023">
        <f t="shared" si="94"/>
        <v>1000</v>
      </c>
      <c r="E1023" s="1">
        <f>IF($H$11=1,IF(D1023&lt;=$A$15, E1022+LN($D$11)-LN(60/$E$11)-LN(MIN(D1023,$F$11)), E1022-LN(60/$E$11)-LN(MIN(D1023,$F$11))), IF(D1023&lt;=$A$15, E1022+LN($D$11)-LN(60/$E$11)-LN(MIN(D1023,$F$11)), E1022+LN($D$11)+LN(1-$H$11)-LN(60/$E$11)-LN(MIN(D1023,$F$11))))</f>
        <v>-119.32981136338928</v>
      </c>
      <c r="F1023" s="1">
        <f t="shared" si="95"/>
        <v>-121.33184417258835</v>
      </c>
      <c r="G1023" s="1">
        <f t="shared" si="93"/>
        <v>2.0241821776521067E-53</v>
      </c>
      <c r="H1023" s="1">
        <f t="shared" si="90"/>
        <v>1.986882218606986E-54</v>
      </c>
      <c r="I1023">
        <f>IF($F$11&lt;=D1023, IF(D1023&lt;=$A$15,D1023-$F$11,$C$11),0)</f>
        <v>60</v>
      </c>
      <c r="J1023">
        <f t="shared" si="91"/>
        <v>936</v>
      </c>
      <c r="K1023" s="5">
        <f>IF(D1023&lt;$F$11,H1023,0)</f>
        <v>0</v>
      </c>
      <c r="L1023">
        <f>IF(D1023&lt;$A$15,$D$11,$D$11*(1-$H$11))</f>
        <v>85</v>
      </c>
      <c r="M1023">
        <f t="shared" si="92"/>
        <v>1</v>
      </c>
      <c r="N1023">
        <f>IF(SUM(I1023:J1023)&lt;=($G$11/60*$F$11/($E$11/60)),1,0)</f>
        <v>0</v>
      </c>
    </row>
    <row r="1024" spans="4:14" x14ac:dyDescent="0.2">
      <c r="D1024">
        <f t="shared" si="94"/>
        <v>1001</v>
      </c>
      <c r="E1024" s="1">
        <f>IF($H$11=1,IF(D1024&lt;=$A$15, E1023+LN($D$11)-LN(60/$E$11)-LN(MIN(D1024,$F$11)), E1023-LN(60/$E$11)-LN(MIN(D1024,$F$11))), IF(D1024&lt;=$A$15, E1023+LN($D$11)-LN(60/$E$11)-LN(MIN(D1024,$F$11)), E1023+LN($D$11)+LN(1-$H$11)-LN(60/$E$11)-LN(MIN(D1024,$F$11))))</f>
        <v>-119.4515082983668</v>
      </c>
      <c r="F1024" s="1">
        <f t="shared" si="95"/>
        <v>-121.45354110756587</v>
      </c>
      <c r="G1024" s="1">
        <f t="shared" si="93"/>
        <v>1.7922446364628002E-53</v>
      </c>
      <c r="H1024" s="1">
        <f t="shared" si="90"/>
        <v>1.7592186310582663E-54</v>
      </c>
      <c r="I1024">
        <f>IF($F$11&lt;=D1024, IF(D1024&lt;=$A$15,D1024-$F$11,$C$11),0)</f>
        <v>60</v>
      </c>
      <c r="J1024">
        <f t="shared" si="91"/>
        <v>937</v>
      </c>
      <c r="K1024" s="5">
        <f>IF(D1024&lt;$F$11,H1024,0)</f>
        <v>0</v>
      </c>
      <c r="L1024">
        <f>IF(D1024&lt;$A$15,$D$11,$D$11*(1-$H$11))</f>
        <v>85</v>
      </c>
      <c r="M1024">
        <f t="shared" si="92"/>
        <v>1</v>
      </c>
      <c r="N1024">
        <f>IF(SUM(I1024:J1024)&lt;=($G$11/60*$F$11/($E$11/60)),1,0)</f>
        <v>0</v>
      </c>
    </row>
    <row r="1025" spans="4:14" x14ac:dyDescent="0.2">
      <c r="D1025">
        <f t="shared" si="94"/>
        <v>1002</v>
      </c>
      <c r="E1025" s="1">
        <f>IF($H$11=1,IF(D1025&lt;=$A$15, E1024+LN($D$11)-LN(60/$E$11)-LN(MIN(D1025,$F$11)), E1024-LN(60/$E$11)-LN(MIN(D1025,$F$11))), IF(D1025&lt;=$A$15, E1024+LN($D$11)-LN(60/$E$11)-LN(MIN(D1025,$F$11)), E1024+LN($D$11)+LN(1-$H$11)-LN(60/$E$11)-LN(MIN(D1025,$F$11))))</f>
        <v>-119.57320523334432</v>
      </c>
      <c r="F1025" s="1">
        <f t="shared" si="95"/>
        <v>-121.57523804254339</v>
      </c>
      <c r="G1025" s="1">
        <f t="shared" si="93"/>
        <v>1.5868832718681022E-53</v>
      </c>
      <c r="H1025" s="1">
        <f t="shared" si="90"/>
        <v>1.5576414962495046E-54</v>
      </c>
      <c r="I1025">
        <f>IF($F$11&lt;=D1025, IF(D1025&lt;=$A$15,D1025-$F$11,$C$11),0)</f>
        <v>60</v>
      </c>
      <c r="J1025">
        <f t="shared" si="91"/>
        <v>938</v>
      </c>
      <c r="K1025" s="5">
        <f>IF(D1025&lt;$F$11,H1025,0)</f>
        <v>0</v>
      </c>
      <c r="L1025">
        <f>IF(D1025&lt;$A$15,$D$11,$D$11*(1-$H$11))</f>
        <v>85</v>
      </c>
      <c r="M1025">
        <f t="shared" si="92"/>
        <v>1</v>
      </c>
      <c r="N1025">
        <f>IF(SUM(I1025:J1025)&lt;=($G$11/60*$F$11/($E$11/60)),1,0)</f>
        <v>0</v>
      </c>
    </row>
    <row r="1026" spans="4:14" x14ac:dyDescent="0.2">
      <c r="D1026">
        <f t="shared" si="94"/>
        <v>1003</v>
      </c>
      <c r="E1026" s="1">
        <f>IF($H$11=1,IF(D1026&lt;=$A$15, E1025+LN($D$11)-LN(60/$E$11)-LN(MIN(D1026,$F$11)), E1025-LN(60/$E$11)-LN(MIN(D1026,$F$11))), IF(D1026&lt;=$A$15, E1025+LN($D$11)-LN(60/$E$11)-LN(MIN(D1026,$F$11)), E1025+LN($D$11)+LN(1-$H$11)-LN(60/$E$11)-LN(MIN(D1026,$F$11))))</f>
        <v>-119.69490216832185</v>
      </c>
      <c r="F1026" s="1">
        <f t="shared" si="95"/>
        <v>-121.69693497752091</v>
      </c>
      <c r="G1026" s="1">
        <f t="shared" si="93"/>
        <v>1.4050528969665469E-53</v>
      </c>
      <c r="H1026" s="1">
        <f t="shared" si="90"/>
        <v>1.3791617414709136E-54</v>
      </c>
      <c r="I1026">
        <f>IF($F$11&lt;=D1026, IF(D1026&lt;=$A$15,D1026-$F$11,$C$11),0)</f>
        <v>60</v>
      </c>
      <c r="J1026">
        <f t="shared" si="91"/>
        <v>939</v>
      </c>
      <c r="K1026" s="5">
        <f>IF(D1026&lt;$F$11,H1026,0)</f>
        <v>0</v>
      </c>
      <c r="L1026">
        <f>IF(D1026&lt;$A$15,$D$11,$D$11*(1-$H$11))</f>
        <v>85</v>
      </c>
      <c r="M1026">
        <f t="shared" si="92"/>
        <v>1</v>
      </c>
      <c r="N1026">
        <f>IF(SUM(I1026:J1026)&lt;=($G$11/60*$F$11/($E$11/60)),1,0)</f>
        <v>0</v>
      </c>
    </row>
    <row r="1027" spans="4:14" x14ac:dyDescent="0.2">
      <c r="D1027">
        <f t="shared" si="94"/>
        <v>1004</v>
      </c>
      <c r="E1027" s="1">
        <f>IF($H$11=1,IF(D1027&lt;=$A$15, E1026+LN($D$11)-LN(60/$E$11)-LN(MIN(D1027,$F$11)), E1026-LN(60/$E$11)-LN(MIN(D1027,$F$11))), IF(D1027&lt;=$A$15, E1026+LN($D$11)-LN(60/$E$11)-LN(MIN(D1027,$F$11)), E1026+LN($D$11)+LN(1-$H$11)-LN(60/$E$11)-LN(MIN(D1027,$F$11))))</f>
        <v>-119.81659910329937</v>
      </c>
      <c r="F1027" s="1">
        <f t="shared" si="95"/>
        <v>-121.81863191249843</v>
      </c>
      <c r="G1027" s="1">
        <f t="shared" si="93"/>
        <v>1.2440572525224615E-53</v>
      </c>
      <c r="H1027" s="1">
        <f t="shared" si="90"/>
        <v>1.2211327919273696E-54</v>
      </c>
      <c r="I1027">
        <f>IF($F$11&lt;=D1027, IF(D1027&lt;=$A$15,D1027-$F$11,$C$11),0)</f>
        <v>60</v>
      </c>
      <c r="J1027">
        <f t="shared" si="91"/>
        <v>940</v>
      </c>
      <c r="K1027" s="5">
        <f>IF(D1027&lt;$F$11,H1027,0)</f>
        <v>0</v>
      </c>
      <c r="L1027">
        <f>IF(D1027&lt;$A$15,$D$11,$D$11*(1-$H$11))</f>
        <v>85</v>
      </c>
      <c r="M1027">
        <f t="shared" si="92"/>
        <v>1</v>
      </c>
      <c r="N1027">
        <f>IF(SUM(I1027:J1027)&lt;=($G$11/60*$F$11/($E$11/60)),1,0)</f>
        <v>0</v>
      </c>
    </row>
    <row r="1028" spans="4:14" x14ac:dyDescent="0.2">
      <c r="D1028">
        <f t="shared" si="94"/>
        <v>1005</v>
      </c>
      <c r="E1028" s="1">
        <f>IF($H$11=1,IF(D1028&lt;=$A$15, E1027+LN($D$11)-LN(60/$E$11)-LN(MIN(D1028,$F$11)), E1027-LN(60/$E$11)-LN(MIN(D1028,$F$11))), IF(D1028&lt;=$A$15, E1027+LN($D$11)-LN(60/$E$11)-LN(MIN(D1028,$F$11)), E1027+LN($D$11)+LN(1-$H$11)-LN(60/$E$11)-LN(MIN(D1028,$F$11))))</f>
        <v>-119.93829603827689</v>
      </c>
      <c r="F1028" s="1">
        <f t="shared" si="95"/>
        <v>-121.94032884747595</v>
      </c>
      <c r="G1028" s="1">
        <f t="shared" si="93"/>
        <v>1.1015090256709279E-53</v>
      </c>
      <c r="H1028" s="1">
        <f t="shared" si="90"/>
        <v>1.0812113261856902E-54</v>
      </c>
      <c r="I1028">
        <f>IF($F$11&lt;=D1028, IF(D1028&lt;=$A$15,D1028-$F$11,$C$11),0)</f>
        <v>60</v>
      </c>
      <c r="J1028">
        <f t="shared" si="91"/>
        <v>941</v>
      </c>
      <c r="K1028" s="5">
        <f>IF(D1028&lt;$F$11,H1028,0)</f>
        <v>0</v>
      </c>
      <c r="L1028">
        <f>IF(D1028&lt;$A$15,$D$11,$D$11*(1-$H$11))</f>
        <v>85</v>
      </c>
      <c r="M1028">
        <f t="shared" si="92"/>
        <v>1</v>
      </c>
      <c r="N1028">
        <f>IF(SUM(I1028:J1028)&lt;=($G$11/60*$F$11/($E$11/60)),1,0)</f>
        <v>0</v>
      </c>
    </row>
    <row r="1029" spans="4:14" x14ac:dyDescent="0.2">
      <c r="D1029">
        <f t="shared" si="94"/>
        <v>1006</v>
      </c>
      <c r="E1029" s="1">
        <f>IF($H$11=1,IF(D1029&lt;=$A$15, E1028+LN($D$11)-LN(60/$E$11)-LN(MIN(D1029,$F$11)), E1028-LN(60/$E$11)-LN(MIN(D1029,$F$11))), IF(D1029&lt;=$A$15, E1028+LN($D$11)-LN(60/$E$11)-LN(MIN(D1029,$F$11)), E1028+LN($D$11)+LN(1-$H$11)-LN(60/$E$11)-LN(MIN(D1029,$F$11))))</f>
        <v>-120.05999297325441</v>
      </c>
      <c r="F1029" s="1">
        <f t="shared" si="95"/>
        <v>-122.06202578245347</v>
      </c>
      <c r="G1029" s="1">
        <f t="shared" si="93"/>
        <v>9.7529444981279935E-54</v>
      </c>
      <c r="H1029" s="1">
        <f t="shared" si="90"/>
        <v>9.5732252839357862E-55</v>
      </c>
      <c r="I1029">
        <f>IF($F$11&lt;=D1029, IF(D1029&lt;=$A$15,D1029-$F$11,$C$11),0)</f>
        <v>60</v>
      </c>
      <c r="J1029">
        <f t="shared" si="91"/>
        <v>942</v>
      </c>
      <c r="K1029" s="5">
        <f>IF(D1029&lt;$F$11,H1029,0)</f>
        <v>0</v>
      </c>
      <c r="L1029">
        <f>IF(D1029&lt;$A$15,$D$11,$D$11*(1-$H$11))</f>
        <v>85</v>
      </c>
      <c r="M1029">
        <f t="shared" si="92"/>
        <v>1</v>
      </c>
      <c r="N1029">
        <f>IF(SUM(I1029:J1029)&lt;=($G$11/60*$F$11/($E$11/60)),1,0)</f>
        <v>0</v>
      </c>
    </row>
    <row r="1030" spans="4:14" x14ac:dyDescent="0.2">
      <c r="D1030">
        <f t="shared" si="94"/>
        <v>1007</v>
      </c>
      <c r="E1030" s="1">
        <f>IF($H$11=1,IF(D1030&lt;=$A$15, E1029+LN($D$11)-LN(60/$E$11)-LN(MIN(D1030,$F$11)), E1029-LN(60/$E$11)-LN(MIN(D1030,$F$11))), IF(D1030&lt;=$A$15, E1029+LN($D$11)-LN(60/$E$11)-LN(MIN(D1030,$F$11)), E1029+LN($D$11)+LN(1-$H$11)-LN(60/$E$11)-LN(MIN(D1030,$F$11))))</f>
        <v>-120.18168990823193</v>
      </c>
      <c r="F1030" s="1">
        <f t="shared" si="95"/>
        <v>-122.183722717431</v>
      </c>
      <c r="G1030" s="1">
        <f t="shared" si="93"/>
        <v>8.6354196077174822E-54</v>
      </c>
      <c r="H1030" s="1">
        <f t="shared" si="90"/>
        <v>8.4762932201514653E-55</v>
      </c>
      <c r="I1030">
        <f>IF($F$11&lt;=D1030, IF(D1030&lt;=$A$15,D1030-$F$11,$C$11),0)</f>
        <v>60</v>
      </c>
      <c r="J1030">
        <f t="shared" si="91"/>
        <v>943</v>
      </c>
      <c r="K1030" s="5">
        <f>IF(D1030&lt;$F$11,H1030,0)</f>
        <v>0</v>
      </c>
      <c r="L1030">
        <f>IF(D1030&lt;$A$15,$D$11,$D$11*(1-$H$11))</f>
        <v>85</v>
      </c>
      <c r="M1030">
        <f t="shared" si="92"/>
        <v>1</v>
      </c>
      <c r="N1030">
        <f>IF(SUM(I1030:J1030)&lt;=($G$11/60*$F$11/($E$11/60)),1,0)</f>
        <v>0</v>
      </c>
    </row>
    <row r="1031" spans="4:14" x14ac:dyDescent="0.2">
      <c r="D1031">
        <f t="shared" si="94"/>
        <v>1008</v>
      </c>
      <c r="E1031" s="1">
        <f>IF($H$11=1,IF(D1031&lt;=$A$15, E1030+LN($D$11)-LN(60/$E$11)-LN(MIN(D1031,$F$11)), E1030-LN(60/$E$11)-LN(MIN(D1031,$F$11))), IF(D1031&lt;=$A$15, E1030+LN($D$11)-LN(60/$E$11)-LN(MIN(D1031,$F$11)), E1030+LN($D$11)+LN(1-$H$11)-LN(60/$E$11)-LN(MIN(D1031,$F$11))))</f>
        <v>-120.30338684320945</v>
      </c>
      <c r="F1031" s="1">
        <f t="shared" si="95"/>
        <v>-122.30541965240852</v>
      </c>
      <c r="G1031" s="1">
        <f t="shared" si="93"/>
        <v>7.6459444443331759E-54</v>
      </c>
      <c r="H1031" s="1">
        <f t="shared" si="90"/>
        <v>7.5050512886757644E-55</v>
      </c>
      <c r="I1031">
        <f>IF($F$11&lt;=D1031, IF(D1031&lt;=$A$15,D1031-$F$11,$C$11),0)</f>
        <v>60</v>
      </c>
      <c r="J1031">
        <f t="shared" si="91"/>
        <v>944</v>
      </c>
      <c r="K1031" s="5">
        <f>IF(D1031&lt;$F$11,H1031,0)</f>
        <v>0</v>
      </c>
      <c r="L1031">
        <f>IF(D1031&lt;$A$15,$D$11,$D$11*(1-$H$11))</f>
        <v>85</v>
      </c>
      <c r="M1031">
        <f t="shared" si="92"/>
        <v>1</v>
      </c>
      <c r="N1031">
        <f>IF(SUM(I1031:J1031)&lt;=($G$11/60*$F$11/($E$11/60)),1,0)</f>
        <v>0</v>
      </c>
    </row>
    <row r="1032" spans="4:14" x14ac:dyDescent="0.2">
      <c r="D1032">
        <f t="shared" si="94"/>
        <v>1009</v>
      </c>
      <c r="E1032" s="1">
        <f>IF($H$11=1,IF(D1032&lt;=$A$15, E1031+LN($D$11)-LN(60/$E$11)-LN(MIN(D1032,$F$11)), E1031-LN(60/$E$11)-LN(MIN(D1032,$F$11))), IF(D1032&lt;=$A$15, E1031+LN($D$11)-LN(60/$E$11)-LN(MIN(D1032,$F$11)), E1031+LN($D$11)+LN(1-$H$11)-LN(60/$E$11)-LN(MIN(D1032,$F$11))))</f>
        <v>-120.42508377818697</v>
      </c>
      <c r="F1032" s="1">
        <f t="shared" si="95"/>
        <v>-122.42711658738604</v>
      </c>
      <c r="G1032" s="1">
        <f t="shared" si="93"/>
        <v>6.7698466434199905E-54</v>
      </c>
      <c r="H1032" s="1">
        <f t="shared" si="90"/>
        <v>6.6450974951816574E-55</v>
      </c>
      <c r="I1032">
        <f>IF($F$11&lt;=D1032, IF(D1032&lt;=$A$15,D1032-$F$11,$C$11),0)</f>
        <v>60</v>
      </c>
      <c r="J1032">
        <f t="shared" si="91"/>
        <v>945</v>
      </c>
      <c r="K1032" s="5">
        <f>IF(D1032&lt;$F$11,H1032,0)</f>
        <v>0</v>
      </c>
      <c r="L1032">
        <f>IF(D1032&lt;$A$15,$D$11,$D$11*(1-$H$11))</f>
        <v>85</v>
      </c>
      <c r="M1032">
        <f t="shared" si="92"/>
        <v>1</v>
      </c>
      <c r="N1032">
        <f>IF(SUM(I1032:J1032)&lt;=($G$11/60*$F$11/($E$11/60)),1,0)</f>
        <v>0</v>
      </c>
    </row>
    <row r="1033" spans="4:14" x14ac:dyDescent="0.2">
      <c r="D1033">
        <f t="shared" si="94"/>
        <v>1010</v>
      </c>
      <c r="E1033" s="1">
        <f>IF($H$11=1,IF(D1033&lt;=$A$15, E1032+LN($D$11)-LN(60/$E$11)-LN(MIN(D1033,$F$11)), E1032-LN(60/$E$11)-LN(MIN(D1033,$F$11))), IF(D1033&lt;=$A$15, E1032+LN($D$11)-LN(60/$E$11)-LN(MIN(D1033,$F$11)), E1032+LN($D$11)+LN(1-$H$11)-LN(60/$E$11)-LN(MIN(D1033,$F$11))))</f>
        <v>-120.54678071316449</v>
      </c>
      <c r="F1033" s="1">
        <f t="shared" si="95"/>
        <v>-122.54881352236356</v>
      </c>
      <c r="G1033" s="1">
        <f t="shared" si="93"/>
        <v>5.994135048861441E-54</v>
      </c>
      <c r="H1033" s="1">
        <f t="shared" si="90"/>
        <v>5.8836800738587511E-55</v>
      </c>
      <c r="I1033">
        <f>IF($F$11&lt;=D1033, IF(D1033&lt;=$A$15,D1033-$F$11,$C$11),0)</f>
        <v>60</v>
      </c>
      <c r="J1033">
        <f t="shared" si="91"/>
        <v>946</v>
      </c>
      <c r="K1033" s="5">
        <f>IF(D1033&lt;$F$11,H1033,0)</f>
        <v>0</v>
      </c>
      <c r="L1033">
        <f>IF(D1033&lt;$A$15,$D$11,$D$11*(1-$H$11))</f>
        <v>85</v>
      </c>
      <c r="M1033">
        <f t="shared" si="92"/>
        <v>1</v>
      </c>
      <c r="N1033">
        <f>IF(SUM(I1033:J1033)&lt;=($G$11/60*$F$11/($E$11/60)),1,0)</f>
        <v>0</v>
      </c>
    </row>
    <row r="1034" spans="4:14" x14ac:dyDescent="0.2">
      <c r="D1034">
        <f t="shared" si="94"/>
        <v>1011</v>
      </c>
      <c r="E1034" s="1">
        <f>IF($H$11=1,IF(D1034&lt;=$A$15, E1033+LN($D$11)-LN(60/$E$11)-LN(MIN(D1034,$F$11)), E1033-LN(60/$E$11)-LN(MIN(D1034,$F$11))), IF(D1034&lt;=$A$15, E1033+LN($D$11)-LN(60/$E$11)-LN(MIN(D1034,$F$11)), E1033+LN($D$11)+LN(1-$H$11)-LN(60/$E$11)-LN(MIN(D1034,$F$11))))</f>
        <v>-120.66847764814202</v>
      </c>
      <c r="F1034" s="1">
        <f t="shared" si="95"/>
        <v>-122.67051045734108</v>
      </c>
      <c r="G1034" s="1">
        <f t="shared" si="93"/>
        <v>5.307307074512727E-54</v>
      </c>
      <c r="H1034" s="1">
        <f t="shared" si="90"/>
        <v>5.2095083987290956E-55</v>
      </c>
      <c r="I1034">
        <f>IF($F$11&lt;=D1034, IF(D1034&lt;=$A$15,D1034-$F$11,$C$11),0)</f>
        <v>60</v>
      </c>
      <c r="J1034">
        <f t="shared" si="91"/>
        <v>947</v>
      </c>
      <c r="K1034" s="5">
        <f>IF(D1034&lt;$F$11,H1034,0)</f>
        <v>0</v>
      </c>
      <c r="L1034">
        <f>IF(D1034&lt;$A$15,$D$11,$D$11*(1-$H$11))</f>
        <v>85</v>
      </c>
      <c r="M1034">
        <f t="shared" si="92"/>
        <v>1</v>
      </c>
      <c r="N1034">
        <f>IF(SUM(I1034:J1034)&lt;=($G$11/60*$F$11/($E$11/60)),1,0)</f>
        <v>0</v>
      </c>
    </row>
    <row r="1035" spans="4:14" x14ac:dyDescent="0.2">
      <c r="D1035">
        <f t="shared" si="94"/>
        <v>1012</v>
      </c>
      <c r="E1035" s="1">
        <f>IF($H$11=1,IF(D1035&lt;=$A$15, E1034+LN($D$11)-LN(60/$E$11)-LN(MIN(D1035,$F$11)), E1034-LN(60/$E$11)-LN(MIN(D1035,$F$11))), IF(D1035&lt;=$A$15, E1034+LN($D$11)-LN(60/$E$11)-LN(MIN(D1035,$F$11)), E1034+LN($D$11)+LN(1-$H$11)-LN(60/$E$11)-LN(MIN(D1035,$F$11))))</f>
        <v>-120.79017458311954</v>
      </c>
      <c r="F1035" s="1">
        <f t="shared" si="95"/>
        <v>-122.7922073923186</v>
      </c>
      <c r="G1035" s="1">
        <f t="shared" si="93"/>
        <v>4.6991781388914701E-54</v>
      </c>
      <c r="H1035" s="1">
        <f t="shared" si="90"/>
        <v>4.6125855613747127E-55</v>
      </c>
      <c r="I1035">
        <f>IF($F$11&lt;=D1035, IF(D1035&lt;=$A$15,D1035-$F$11,$C$11),0)</f>
        <v>60</v>
      </c>
      <c r="J1035">
        <f t="shared" si="91"/>
        <v>948</v>
      </c>
      <c r="K1035" s="5">
        <f>IF(D1035&lt;$F$11,H1035,0)</f>
        <v>0</v>
      </c>
      <c r="L1035">
        <f>IF(D1035&lt;$A$15,$D$11,$D$11*(1-$H$11))</f>
        <v>85</v>
      </c>
      <c r="M1035">
        <f t="shared" si="92"/>
        <v>1</v>
      </c>
      <c r="N1035">
        <f>IF(SUM(I1035:J1035)&lt;=($G$11/60*$F$11/($E$11/60)),1,0)</f>
        <v>0</v>
      </c>
    </row>
    <row r="1036" spans="4:14" x14ac:dyDescent="0.2">
      <c r="D1036">
        <f t="shared" si="94"/>
        <v>1013</v>
      </c>
      <c r="E1036" s="1">
        <f>IF($H$11=1,IF(D1036&lt;=$A$15, E1035+LN($D$11)-LN(60/$E$11)-LN(MIN(D1036,$F$11)), E1035-LN(60/$E$11)-LN(MIN(D1036,$F$11))), IF(D1036&lt;=$A$15, E1035+LN($D$11)-LN(60/$E$11)-LN(MIN(D1036,$F$11)), E1035+LN($D$11)+LN(1-$H$11)-LN(60/$E$11)-LN(MIN(D1036,$F$11))))</f>
        <v>-120.91187151809706</v>
      </c>
      <c r="F1036" s="1">
        <f t="shared" si="95"/>
        <v>-122.91390432729612</v>
      </c>
      <c r="G1036" s="1">
        <f t="shared" si="93"/>
        <v>4.1607306438101498E-54</v>
      </c>
      <c r="H1036" s="1">
        <f t="shared" si="90"/>
        <v>4.0840601324671879E-55</v>
      </c>
      <c r="I1036">
        <f>IF($F$11&lt;=D1036, IF(D1036&lt;=$A$15,D1036-$F$11,$C$11),0)</f>
        <v>60</v>
      </c>
      <c r="J1036">
        <f t="shared" si="91"/>
        <v>949</v>
      </c>
      <c r="K1036" s="5">
        <f>IF(D1036&lt;$F$11,H1036,0)</f>
        <v>0</v>
      </c>
      <c r="L1036">
        <f>IF(D1036&lt;$A$15,$D$11,$D$11*(1-$H$11))</f>
        <v>85</v>
      </c>
      <c r="M1036">
        <f t="shared" si="92"/>
        <v>1</v>
      </c>
      <c r="N1036">
        <f>IF(SUM(I1036:J1036)&lt;=($G$11/60*$F$11/($E$11/60)),1,0)</f>
        <v>0</v>
      </c>
    </row>
    <row r="1037" spans="4:14" x14ac:dyDescent="0.2">
      <c r="D1037">
        <f t="shared" si="94"/>
        <v>1014</v>
      </c>
      <c r="E1037" s="1">
        <f>IF($H$11=1,IF(D1037&lt;=$A$15, E1036+LN($D$11)-LN(60/$E$11)-LN(MIN(D1037,$F$11)), E1036-LN(60/$E$11)-LN(MIN(D1037,$F$11))), IF(D1037&lt;=$A$15, E1036+LN($D$11)-LN(60/$E$11)-LN(MIN(D1037,$F$11)), E1036+LN($D$11)+LN(1-$H$11)-LN(60/$E$11)-LN(MIN(D1037,$F$11))))</f>
        <v>-121.03356845307458</v>
      </c>
      <c r="F1037" s="1">
        <f t="shared" si="95"/>
        <v>-123.03560126227364</v>
      </c>
      <c r="G1037" s="1">
        <f t="shared" si="93"/>
        <v>3.6839802575402319E-54</v>
      </c>
      <c r="H1037" s="1">
        <f t="shared" si="90"/>
        <v>3.6160949089553177E-55</v>
      </c>
      <c r="I1037">
        <f>IF($F$11&lt;=D1037, IF(D1037&lt;=$A$15,D1037-$F$11,$C$11),0)</f>
        <v>60</v>
      </c>
      <c r="J1037">
        <f t="shared" si="91"/>
        <v>950</v>
      </c>
      <c r="K1037" s="5">
        <f>IF(D1037&lt;$F$11,H1037,0)</f>
        <v>0</v>
      </c>
      <c r="L1037">
        <f>IF(D1037&lt;$A$15,$D$11,$D$11*(1-$H$11))</f>
        <v>85</v>
      </c>
      <c r="M1037">
        <f t="shared" si="92"/>
        <v>1</v>
      </c>
      <c r="N1037">
        <f>IF(SUM(I1037:J1037)&lt;=($G$11/60*$F$11/($E$11/60)),1,0)</f>
        <v>0</v>
      </c>
    </row>
    <row r="1038" spans="4:14" x14ac:dyDescent="0.2">
      <c r="D1038">
        <f t="shared" si="94"/>
        <v>1015</v>
      </c>
      <c r="E1038" s="1">
        <f>IF($H$11=1,IF(D1038&lt;=$A$15, E1037+LN($D$11)-LN(60/$E$11)-LN(MIN(D1038,$F$11)), E1037-LN(60/$E$11)-LN(MIN(D1038,$F$11))), IF(D1038&lt;=$A$15, E1037+LN($D$11)-LN(60/$E$11)-LN(MIN(D1038,$F$11)), E1037+LN($D$11)+LN(1-$H$11)-LN(60/$E$11)-LN(MIN(D1038,$F$11))))</f>
        <v>-121.1552653880521</v>
      </c>
      <c r="F1038" s="1">
        <f t="shared" si="95"/>
        <v>-123.15729819725117</v>
      </c>
      <c r="G1038" s="1">
        <f t="shared" si="93"/>
        <v>3.2618575196970755E-54</v>
      </c>
      <c r="H1038" s="1">
        <f t="shared" si="90"/>
        <v>3.2017507006375161E-55</v>
      </c>
      <c r="I1038">
        <f>IF($F$11&lt;=D1038, IF(D1038&lt;=$A$15,D1038-$F$11,$C$11),0)</f>
        <v>60</v>
      </c>
      <c r="J1038">
        <f t="shared" si="91"/>
        <v>951</v>
      </c>
      <c r="K1038" s="5">
        <f>IF(D1038&lt;$F$11,H1038,0)</f>
        <v>0</v>
      </c>
      <c r="L1038">
        <f>IF(D1038&lt;$A$15,$D$11,$D$11*(1-$H$11))</f>
        <v>85</v>
      </c>
      <c r="M1038">
        <f t="shared" si="92"/>
        <v>1</v>
      </c>
      <c r="N1038">
        <f>IF(SUM(I1038:J1038)&lt;=($G$11/60*$F$11/($E$11/60)),1,0)</f>
        <v>0</v>
      </c>
    </row>
    <row r="1039" spans="4:14" x14ac:dyDescent="0.2">
      <c r="D1039">
        <f t="shared" si="94"/>
        <v>1016</v>
      </c>
      <c r="E1039" s="1">
        <f>IF($H$11=1,IF(D1039&lt;=$A$15, E1038+LN($D$11)-LN(60/$E$11)-LN(MIN(D1039,$F$11)), E1038-LN(60/$E$11)-LN(MIN(D1039,$F$11))), IF(D1039&lt;=$A$15, E1038+LN($D$11)-LN(60/$E$11)-LN(MIN(D1039,$F$11)), E1038+LN($D$11)+LN(1-$H$11)-LN(60/$E$11)-LN(MIN(D1039,$F$11))))</f>
        <v>-121.27696232302962</v>
      </c>
      <c r="F1039" s="1">
        <f t="shared" si="95"/>
        <v>-123.27899513222869</v>
      </c>
      <c r="G1039" s="1">
        <f t="shared" si="93"/>
        <v>2.8881030122317814E-54</v>
      </c>
      <c r="H1039" s="1">
        <f t="shared" si="90"/>
        <v>2.83488343285613E-55</v>
      </c>
      <c r="I1039">
        <f>IF($F$11&lt;=D1039, IF(D1039&lt;=$A$15,D1039-$F$11,$C$11),0)</f>
        <v>60</v>
      </c>
      <c r="J1039">
        <f t="shared" si="91"/>
        <v>952</v>
      </c>
      <c r="K1039" s="5">
        <f>IF(D1039&lt;$F$11,H1039,0)</f>
        <v>0</v>
      </c>
      <c r="L1039">
        <f>IF(D1039&lt;$A$15,$D$11,$D$11*(1-$H$11))</f>
        <v>85</v>
      </c>
      <c r="M1039">
        <f t="shared" si="92"/>
        <v>1</v>
      </c>
      <c r="N1039">
        <f>IF(SUM(I1039:J1039)&lt;=($G$11/60*$F$11/($E$11/60)),1,0)</f>
        <v>0</v>
      </c>
    </row>
    <row r="1040" spans="4:14" x14ac:dyDescent="0.2">
      <c r="D1040">
        <f t="shared" si="94"/>
        <v>1017</v>
      </c>
      <c r="E1040" s="1">
        <f>IF($H$11=1,IF(D1040&lt;=$A$15, E1039+LN($D$11)-LN(60/$E$11)-LN(MIN(D1040,$F$11)), E1039-LN(60/$E$11)-LN(MIN(D1040,$F$11))), IF(D1040&lt;=$A$15, E1039+LN($D$11)-LN(60/$E$11)-LN(MIN(D1040,$F$11)), E1039+LN($D$11)+LN(1-$H$11)-LN(60/$E$11)-LN(MIN(D1040,$F$11))))</f>
        <v>-121.39865925800714</v>
      </c>
      <c r="F1040" s="1">
        <f t="shared" si="95"/>
        <v>-123.40069206720621</v>
      </c>
      <c r="G1040" s="1">
        <f t="shared" si="93"/>
        <v>2.5571745420802195E-54</v>
      </c>
      <c r="H1040" s="1">
        <f t="shared" si="90"/>
        <v>2.5100530395080283E-55</v>
      </c>
      <c r="I1040">
        <f>IF($F$11&lt;=D1040, IF(D1040&lt;=$A$15,D1040-$F$11,$C$11),0)</f>
        <v>60</v>
      </c>
      <c r="J1040">
        <f t="shared" si="91"/>
        <v>953</v>
      </c>
      <c r="K1040" s="5">
        <f>IF(D1040&lt;$F$11,H1040,0)</f>
        <v>0</v>
      </c>
      <c r="L1040">
        <f>IF(D1040&lt;$A$15,$D$11,$D$11*(1-$H$11))</f>
        <v>85</v>
      </c>
      <c r="M1040">
        <f t="shared" si="92"/>
        <v>1</v>
      </c>
      <c r="N1040">
        <f>IF(SUM(I1040:J1040)&lt;=($G$11/60*$F$11/($E$11/60)),1,0)</f>
        <v>0</v>
      </c>
    </row>
    <row r="1041" spans="4:14" x14ac:dyDescent="0.2">
      <c r="D1041">
        <f t="shared" si="94"/>
        <v>1018</v>
      </c>
      <c r="E1041" s="1">
        <f>IF($H$11=1,IF(D1041&lt;=$A$15, E1040+LN($D$11)-LN(60/$E$11)-LN(MIN(D1041,$F$11)), E1040-LN(60/$E$11)-LN(MIN(D1041,$F$11))), IF(D1041&lt;=$A$15, E1040+LN($D$11)-LN(60/$E$11)-LN(MIN(D1041,$F$11)), E1040+LN($D$11)+LN(1-$H$11)-LN(60/$E$11)-LN(MIN(D1041,$F$11))))</f>
        <v>-121.52035619298466</v>
      </c>
      <c r="F1041" s="1">
        <f t="shared" si="95"/>
        <v>-123.52238900218373</v>
      </c>
      <c r="G1041" s="1">
        <f t="shared" si="93"/>
        <v>2.2641649591335244E-54</v>
      </c>
      <c r="H1041" s="1">
        <f t="shared" si="90"/>
        <v>2.2224427953977302E-55</v>
      </c>
      <c r="I1041">
        <f>IF($F$11&lt;=D1041, IF(D1041&lt;=$A$15,D1041-$F$11,$C$11),0)</f>
        <v>60</v>
      </c>
      <c r="J1041">
        <f t="shared" si="91"/>
        <v>954</v>
      </c>
      <c r="K1041" s="5">
        <f>IF(D1041&lt;$F$11,H1041,0)</f>
        <v>0</v>
      </c>
      <c r="L1041">
        <f>IF(D1041&lt;$A$15,$D$11,$D$11*(1-$H$11))</f>
        <v>85</v>
      </c>
      <c r="M1041">
        <f t="shared" si="92"/>
        <v>1</v>
      </c>
      <c r="N1041">
        <f>IF(SUM(I1041:J1041)&lt;=($G$11/60*$F$11/($E$11/60)),1,0)</f>
        <v>0</v>
      </c>
    </row>
    <row r="1042" spans="4:14" x14ac:dyDescent="0.2">
      <c r="D1042">
        <f t="shared" si="94"/>
        <v>1019</v>
      </c>
      <c r="E1042" s="1">
        <f>IF($H$11=1,IF(D1042&lt;=$A$15, E1041+LN($D$11)-LN(60/$E$11)-LN(MIN(D1042,$F$11)), E1041-LN(60/$E$11)-LN(MIN(D1042,$F$11))), IF(D1042&lt;=$A$15, E1041+LN($D$11)-LN(60/$E$11)-LN(MIN(D1042,$F$11)), E1041+LN($D$11)+LN(1-$H$11)-LN(60/$E$11)-LN(MIN(D1042,$F$11))))</f>
        <v>-121.64205312796219</v>
      </c>
      <c r="F1042" s="1">
        <f t="shared" si="95"/>
        <v>-123.64408593716125</v>
      </c>
      <c r="G1042" s="1">
        <f t="shared" si="93"/>
        <v>2.0047293908994719E-54</v>
      </c>
      <c r="H1042" s="1">
        <f t="shared" si="90"/>
        <v>1.967787891758404E-55</v>
      </c>
      <c r="I1042">
        <f>IF($F$11&lt;=D1042, IF(D1042&lt;=$A$15,D1042-$F$11,$C$11),0)</f>
        <v>60</v>
      </c>
      <c r="J1042">
        <f t="shared" si="91"/>
        <v>955</v>
      </c>
      <c r="K1042" s="5">
        <f>IF(D1042&lt;$F$11,H1042,0)</f>
        <v>0</v>
      </c>
      <c r="L1042">
        <f>IF(D1042&lt;$A$15,$D$11,$D$11*(1-$H$11))</f>
        <v>85</v>
      </c>
      <c r="M1042">
        <f t="shared" si="92"/>
        <v>1</v>
      </c>
      <c r="N1042">
        <f>IF(SUM(I1042:J1042)&lt;=($G$11/60*$F$11/($E$11/60)),1,0)</f>
        <v>0</v>
      </c>
    </row>
    <row r="1043" spans="4:14" x14ac:dyDescent="0.2">
      <c r="D1043">
        <f t="shared" si="94"/>
        <v>1020</v>
      </c>
      <c r="E1043" s="1">
        <f>IF($H$11=1,IF(D1043&lt;=$A$15, E1042+LN($D$11)-LN(60/$E$11)-LN(MIN(D1043,$F$11)), E1042-LN(60/$E$11)-LN(MIN(D1043,$F$11))), IF(D1043&lt;=$A$15, E1042+LN($D$11)-LN(60/$E$11)-LN(MIN(D1043,$F$11)), E1042+LN($D$11)+LN(1-$H$11)-LN(60/$E$11)-LN(MIN(D1043,$F$11))))</f>
        <v>-121.76375006293971</v>
      </c>
      <c r="F1043" s="1">
        <f t="shared" si="95"/>
        <v>-123.76578287213877</v>
      </c>
      <c r="G1043" s="1">
        <f t="shared" si="93"/>
        <v>1.7750208148589048E-54</v>
      </c>
      <c r="H1043" s="1">
        <f t="shared" si="90"/>
        <v>1.7423121958277512E-55</v>
      </c>
      <c r="I1043">
        <f>IF($F$11&lt;=D1043, IF(D1043&lt;=$A$15,D1043-$F$11,$C$11),0)</f>
        <v>60</v>
      </c>
      <c r="J1043">
        <f t="shared" si="91"/>
        <v>956</v>
      </c>
      <c r="K1043" s="5">
        <f>IF(D1043&lt;$F$11,H1043,0)</f>
        <v>0</v>
      </c>
      <c r="L1043">
        <f>IF(D1043&lt;$A$15,$D$11,$D$11*(1-$H$11))</f>
        <v>85</v>
      </c>
      <c r="M1043">
        <f t="shared" si="92"/>
        <v>1</v>
      </c>
      <c r="N1043">
        <f>IF(SUM(I1043:J1043)&lt;=($G$11/60*$F$11/($E$11/60)),1,0)</f>
        <v>0</v>
      </c>
    </row>
    <row r="1044" spans="4:14" x14ac:dyDescent="0.2">
      <c r="D1044">
        <f t="shared" si="94"/>
        <v>1021</v>
      </c>
      <c r="E1044" s="1">
        <f>IF($H$11=1,IF(D1044&lt;=$A$15, E1043+LN($D$11)-LN(60/$E$11)-LN(MIN(D1044,$F$11)), E1043-LN(60/$E$11)-LN(MIN(D1044,$F$11))), IF(D1044&lt;=$A$15, E1043+LN($D$11)-LN(60/$E$11)-LN(MIN(D1044,$F$11)), E1043+LN($D$11)+LN(1-$H$11)-LN(60/$E$11)-LN(MIN(D1044,$F$11))))</f>
        <v>-121.88544699791723</v>
      </c>
      <c r="F1044" s="1">
        <f t="shared" si="95"/>
        <v>-123.88747980711629</v>
      </c>
      <c r="G1044" s="1">
        <f t="shared" si="93"/>
        <v>1.5716330131563198E-54</v>
      </c>
      <c r="H1044" s="1">
        <f t="shared" si="90"/>
        <v>1.5426722567224858E-55</v>
      </c>
      <c r="I1044">
        <f>IF($F$11&lt;=D1044, IF(D1044&lt;=$A$15,D1044-$F$11,$C$11),0)</f>
        <v>60</v>
      </c>
      <c r="J1044">
        <f t="shared" si="91"/>
        <v>957</v>
      </c>
      <c r="K1044" s="5">
        <f>IF(D1044&lt;$F$11,H1044,0)</f>
        <v>0</v>
      </c>
      <c r="L1044">
        <f>IF(D1044&lt;$A$15,$D$11,$D$11*(1-$H$11))</f>
        <v>85</v>
      </c>
      <c r="M1044">
        <f t="shared" si="92"/>
        <v>1</v>
      </c>
      <c r="N1044">
        <f>IF(SUM(I1044:J1044)&lt;=($G$11/60*$F$11/($E$11/60)),1,0)</f>
        <v>0</v>
      </c>
    </row>
    <row r="1045" spans="4:14" x14ac:dyDescent="0.2">
      <c r="D1045">
        <f t="shared" si="94"/>
        <v>1022</v>
      </c>
      <c r="E1045" s="1">
        <f>IF($H$11=1,IF(D1045&lt;=$A$15, E1044+LN($D$11)-LN(60/$E$11)-LN(MIN(D1045,$F$11)), E1044-LN(60/$E$11)-LN(MIN(D1045,$F$11))), IF(D1045&lt;=$A$15, E1044+LN($D$11)-LN(60/$E$11)-LN(MIN(D1045,$F$11)), E1044+LN($D$11)+LN(1-$H$11)-LN(60/$E$11)-LN(MIN(D1045,$F$11))))</f>
        <v>-122.00714393289475</v>
      </c>
      <c r="F1045" s="1">
        <f t="shared" si="95"/>
        <v>-124.00917674209381</v>
      </c>
      <c r="G1045" s="1">
        <f t="shared" si="93"/>
        <v>1.3915500637321563E-54</v>
      </c>
      <c r="H1045" s="1">
        <f t="shared" si="90"/>
        <v>1.3659077273063659E-55</v>
      </c>
      <c r="I1045">
        <f>IF($F$11&lt;=D1045, IF(D1045&lt;=$A$15,D1045-$F$11,$C$11),0)</f>
        <v>60</v>
      </c>
      <c r="J1045">
        <f t="shared" si="91"/>
        <v>958</v>
      </c>
      <c r="K1045" s="5">
        <f>IF(D1045&lt;$F$11,H1045,0)</f>
        <v>0</v>
      </c>
      <c r="L1045">
        <f>IF(D1045&lt;$A$15,$D$11,$D$11*(1-$H$11))</f>
        <v>85</v>
      </c>
      <c r="M1045">
        <f t="shared" si="92"/>
        <v>1</v>
      </c>
      <c r="N1045">
        <f>IF(SUM(I1045:J1045)&lt;=($G$11/60*$F$11/($E$11/60)),1,0)</f>
        <v>0</v>
      </c>
    </row>
    <row r="1046" spans="4:14" x14ac:dyDescent="0.2">
      <c r="D1046">
        <f t="shared" si="94"/>
        <v>1023</v>
      </c>
      <c r="E1046" s="1">
        <f>IF($H$11=1,IF(D1046&lt;=$A$15, E1045+LN($D$11)-LN(60/$E$11)-LN(MIN(D1046,$F$11)), E1045-LN(60/$E$11)-LN(MIN(D1046,$F$11))), IF(D1046&lt;=$A$15, E1045+LN($D$11)-LN(60/$E$11)-LN(MIN(D1046,$F$11)), E1045+LN($D$11)+LN(1-$H$11)-LN(60/$E$11)-LN(MIN(D1046,$F$11))))</f>
        <v>-122.12884086787227</v>
      </c>
      <c r="F1046" s="1">
        <f t="shared" si="95"/>
        <v>-124.13087367707134</v>
      </c>
      <c r="G1046" s="1">
        <f t="shared" si="93"/>
        <v>1.2321016189295116E-54</v>
      </c>
      <c r="H1046" s="1">
        <f t="shared" si="90"/>
        <v>1.209397466885843E-55</v>
      </c>
      <c r="I1046">
        <f>IF($F$11&lt;=D1046, IF(D1046&lt;=$A$15,D1046-$F$11,$C$11),0)</f>
        <v>60</v>
      </c>
      <c r="J1046">
        <f t="shared" si="91"/>
        <v>959</v>
      </c>
      <c r="K1046" s="5">
        <f>IF(D1046&lt;$F$11,H1046,0)</f>
        <v>0</v>
      </c>
      <c r="L1046">
        <f>IF(D1046&lt;$A$15,$D$11,$D$11*(1-$H$11))</f>
        <v>85</v>
      </c>
      <c r="M1046">
        <f t="shared" si="92"/>
        <v>1</v>
      </c>
      <c r="N1046">
        <f>IF(SUM(I1046:J1046)&lt;=($G$11/60*$F$11/($E$11/60)),1,0)</f>
        <v>0</v>
      </c>
    </row>
    <row r="1047" spans="4:14" x14ac:dyDescent="0.2">
      <c r="D1047">
        <f t="shared" si="94"/>
        <v>1024</v>
      </c>
      <c r="E1047" s="1">
        <f>IF($H$11=1,IF(D1047&lt;=$A$15, E1046+LN($D$11)-LN(60/$E$11)-LN(MIN(D1047,$F$11)), E1046-LN(60/$E$11)-LN(MIN(D1047,$F$11))), IF(D1047&lt;=$A$15, E1046+LN($D$11)-LN(60/$E$11)-LN(MIN(D1047,$F$11)), E1046+LN($D$11)+LN(1-$H$11)-LN(60/$E$11)-LN(MIN(D1047,$F$11))))</f>
        <v>-122.25053780284979</v>
      </c>
      <c r="F1047" s="1">
        <f t="shared" si="95"/>
        <v>-124.25257061204886</v>
      </c>
      <c r="G1047" s="1">
        <f t="shared" si="93"/>
        <v>1.0909233084271701E-54</v>
      </c>
      <c r="H1047" s="1">
        <f t="shared" ref="H1047:H1110" si="96">G1047/$G$21</f>
        <v>1.0708206738051719E-55</v>
      </c>
      <c r="I1047">
        <f>IF($F$11&lt;=D1047, IF(D1047&lt;=$A$15,D1047-$F$11,$C$11),0)</f>
        <v>60</v>
      </c>
      <c r="J1047">
        <f t="shared" ref="J1047:J1110" si="97">IF(D1047&lt;=$A$15,0,D1047-$A$15)</f>
        <v>960</v>
      </c>
      <c r="K1047" s="5">
        <f>IF(D1047&lt;$F$11,H1047,0)</f>
        <v>0</v>
      </c>
      <c r="L1047">
        <f>IF(D1047&lt;$A$15,$D$11,$D$11*(1-$H$11))</f>
        <v>85</v>
      </c>
      <c r="M1047">
        <f t="shared" ref="M1047:M1110" si="98">IF(D1047&lt;$A$15,0,1)</f>
        <v>1</v>
      </c>
      <c r="N1047">
        <f>IF(SUM(I1047:J1047)&lt;=($G$11/60*$F$11/($E$11/60)),1,0)</f>
        <v>0</v>
      </c>
    </row>
    <row r="1048" spans="4:14" x14ac:dyDescent="0.2">
      <c r="D1048">
        <f t="shared" si="94"/>
        <v>1025</v>
      </c>
      <c r="E1048" s="1">
        <f>IF($H$11=1,IF(D1048&lt;=$A$15, E1047+LN($D$11)-LN(60/$E$11)-LN(MIN(D1048,$F$11)), E1047-LN(60/$E$11)-LN(MIN(D1048,$F$11))), IF(D1048&lt;=$A$15, E1047+LN($D$11)-LN(60/$E$11)-LN(MIN(D1048,$F$11)), E1047+LN($D$11)+LN(1-$H$11)-LN(60/$E$11)-LN(MIN(D1048,$F$11))))</f>
        <v>-122.37223473782731</v>
      </c>
      <c r="F1048" s="1">
        <f t="shared" si="95"/>
        <v>-124.37426754702638</v>
      </c>
      <c r="G1048" s="1">
        <f t="shared" ref="G1048:G1111" si="99">EXP(F1048)</f>
        <v>9.6592167933655545E-55</v>
      </c>
      <c r="H1048" s="1">
        <f t="shared" si="96"/>
        <v>9.4812247159832795E-56</v>
      </c>
      <c r="I1048">
        <f>IF($F$11&lt;=D1048, IF(D1048&lt;=$A$15,D1048-$F$11,$C$11),0)</f>
        <v>60</v>
      </c>
      <c r="J1048">
        <f t="shared" si="97"/>
        <v>961</v>
      </c>
      <c r="K1048" s="5">
        <f>IF(D1048&lt;$F$11,H1048,0)</f>
        <v>0</v>
      </c>
      <c r="L1048">
        <f>IF(D1048&lt;$A$15,$D$11,$D$11*(1-$H$11))</f>
        <v>85</v>
      </c>
      <c r="M1048">
        <f t="shared" si="98"/>
        <v>1</v>
      </c>
      <c r="N1048">
        <f>IF(SUM(I1048:J1048)&lt;=($G$11/60*$F$11/($E$11/60)),1,0)</f>
        <v>0</v>
      </c>
    </row>
    <row r="1049" spans="4:14" x14ac:dyDescent="0.2">
      <c r="D1049">
        <f t="shared" ref="D1049:D1112" si="100">1+D1048</f>
        <v>1026</v>
      </c>
      <c r="E1049" s="1">
        <f>IF($H$11=1,IF(D1049&lt;=$A$15, E1048+LN($D$11)-LN(60/$E$11)-LN(MIN(D1049,$F$11)), E1048-LN(60/$E$11)-LN(MIN(D1049,$F$11))), IF(D1049&lt;=$A$15, E1048+LN($D$11)-LN(60/$E$11)-LN(MIN(D1049,$F$11)), E1048+LN($D$11)+LN(1-$H$11)-LN(60/$E$11)-LN(MIN(D1049,$F$11))))</f>
        <v>-122.49393167280483</v>
      </c>
      <c r="F1049" s="1">
        <f t="shared" ref="F1049:F1112" si="101">E1049-$E$21</f>
        <v>-124.4959644820039</v>
      </c>
      <c r="G1049" s="1">
        <f t="shared" si="99"/>
        <v>8.5524315357924061E-55</v>
      </c>
      <c r="H1049" s="1">
        <f t="shared" si="96"/>
        <v>8.394834383943516E-56</v>
      </c>
      <c r="I1049">
        <f>IF($F$11&lt;=D1049, IF(D1049&lt;=$A$15,D1049-$F$11,$C$11),0)</f>
        <v>60</v>
      </c>
      <c r="J1049">
        <f t="shared" si="97"/>
        <v>962</v>
      </c>
      <c r="K1049" s="5">
        <f>IF(D1049&lt;$F$11,H1049,0)</f>
        <v>0</v>
      </c>
      <c r="L1049">
        <f>IF(D1049&lt;$A$15,$D$11,$D$11*(1-$H$11))</f>
        <v>85</v>
      </c>
      <c r="M1049">
        <f t="shared" si="98"/>
        <v>1</v>
      </c>
      <c r="N1049">
        <f>IF(SUM(I1049:J1049)&lt;=($G$11/60*$F$11/($E$11/60)),1,0)</f>
        <v>0</v>
      </c>
    </row>
    <row r="1050" spans="4:14" x14ac:dyDescent="0.2">
      <c r="D1050">
        <f t="shared" si="100"/>
        <v>1027</v>
      </c>
      <c r="E1050" s="1">
        <f>IF($H$11=1,IF(D1050&lt;=$A$15, E1049+LN($D$11)-LN(60/$E$11)-LN(MIN(D1050,$F$11)), E1049-LN(60/$E$11)-LN(MIN(D1050,$F$11))), IF(D1050&lt;=$A$15, E1049+LN($D$11)-LN(60/$E$11)-LN(MIN(D1050,$F$11)), E1049+LN($D$11)+LN(1-$H$11)-LN(60/$E$11)-LN(MIN(D1050,$F$11))))</f>
        <v>-122.61562860778236</v>
      </c>
      <c r="F1050" s="1">
        <f t="shared" si="101"/>
        <v>-124.61766141698142</v>
      </c>
      <c r="G1050" s="1">
        <f t="shared" si="99"/>
        <v>7.572465422316183E-55</v>
      </c>
      <c r="H1050" s="1">
        <f t="shared" si="96"/>
        <v>7.4329262774499787E-56</v>
      </c>
      <c r="I1050">
        <f>IF($F$11&lt;=D1050, IF(D1050&lt;=$A$15,D1050-$F$11,$C$11),0)</f>
        <v>60</v>
      </c>
      <c r="J1050">
        <f t="shared" si="97"/>
        <v>963</v>
      </c>
      <c r="K1050" s="5">
        <f>IF(D1050&lt;$F$11,H1050,0)</f>
        <v>0</v>
      </c>
      <c r="L1050">
        <f>IF(D1050&lt;$A$15,$D$11,$D$11*(1-$H$11))</f>
        <v>85</v>
      </c>
      <c r="M1050">
        <f t="shared" si="98"/>
        <v>1</v>
      </c>
      <c r="N1050">
        <f>IF(SUM(I1050:J1050)&lt;=($G$11/60*$F$11/($E$11/60)),1,0)</f>
        <v>0</v>
      </c>
    </row>
    <row r="1051" spans="4:14" x14ac:dyDescent="0.2">
      <c r="D1051">
        <f t="shared" si="100"/>
        <v>1028</v>
      </c>
      <c r="E1051" s="1">
        <f>IF($H$11=1,IF(D1051&lt;=$A$15, E1050+LN($D$11)-LN(60/$E$11)-LN(MIN(D1051,$F$11)), E1050-LN(60/$E$11)-LN(MIN(D1051,$F$11))), IF(D1051&lt;=$A$15, E1050+LN($D$11)-LN(60/$E$11)-LN(MIN(D1051,$F$11)), E1050+LN($D$11)+LN(1-$H$11)-LN(60/$E$11)-LN(MIN(D1051,$F$11))))</f>
        <v>-122.73732554275988</v>
      </c>
      <c r="F1051" s="1">
        <f t="shared" si="101"/>
        <v>-124.73935835195894</v>
      </c>
      <c r="G1051" s="1">
        <f t="shared" si="99"/>
        <v>6.7047870926757771E-55</v>
      </c>
      <c r="H1051" s="1">
        <f t="shared" si="96"/>
        <v>6.5812368081588261E-56</v>
      </c>
      <c r="I1051">
        <f>IF($F$11&lt;=D1051, IF(D1051&lt;=$A$15,D1051-$F$11,$C$11),0)</f>
        <v>60</v>
      </c>
      <c r="J1051">
        <f t="shared" si="97"/>
        <v>964</v>
      </c>
      <c r="K1051" s="5">
        <f>IF(D1051&lt;$F$11,H1051,0)</f>
        <v>0</v>
      </c>
      <c r="L1051">
        <f>IF(D1051&lt;$A$15,$D$11,$D$11*(1-$H$11))</f>
        <v>85</v>
      </c>
      <c r="M1051">
        <f t="shared" si="98"/>
        <v>1</v>
      </c>
      <c r="N1051">
        <f>IF(SUM(I1051:J1051)&lt;=($G$11/60*$F$11/($E$11/60)),1,0)</f>
        <v>0</v>
      </c>
    </row>
    <row r="1052" spans="4:14" x14ac:dyDescent="0.2">
      <c r="D1052">
        <f t="shared" si="100"/>
        <v>1029</v>
      </c>
      <c r="E1052" s="1">
        <f>IF($H$11=1,IF(D1052&lt;=$A$15, E1051+LN($D$11)-LN(60/$E$11)-LN(MIN(D1052,$F$11)), E1051-LN(60/$E$11)-LN(MIN(D1052,$F$11))), IF(D1052&lt;=$A$15, E1051+LN($D$11)-LN(60/$E$11)-LN(MIN(D1052,$F$11)), E1051+LN($D$11)+LN(1-$H$11)-LN(60/$E$11)-LN(MIN(D1052,$F$11))))</f>
        <v>-122.8590224777374</v>
      </c>
      <c r="F1052" s="1">
        <f t="shared" si="101"/>
        <v>-124.86105528693646</v>
      </c>
      <c r="G1052" s="1">
        <f t="shared" si="99"/>
        <v>5.9365302383066686E-55</v>
      </c>
      <c r="H1052" s="1">
        <f t="shared" si="96"/>
        <v>5.8271367572239514E-56</v>
      </c>
      <c r="I1052">
        <f>IF($F$11&lt;=D1052, IF(D1052&lt;=$A$15,D1052-$F$11,$C$11),0)</f>
        <v>60</v>
      </c>
      <c r="J1052">
        <f t="shared" si="97"/>
        <v>965</v>
      </c>
      <c r="K1052" s="5">
        <f>IF(D1052&lt;$F$11,H1052,0)</f>
        <v>0</v>
      </c>
      <c r="L1052">
        <f>IF(D1052&lt;$A$15,$D$11,$D$11*(1-$H$11))</f>
        <v>85</v>
      </c>
      <c r="M1052">
        <f t="shared" si="98"/>
        <v>1</v>
      </c>
      <c r="N1052">
        <f>IF(SUM(I1052:J1052)&lt;=($G$11/60*$F$11/($E$11/60)),1,0)</f>
        <v>0</v>
      </c>
    </row>
    <row r="1053" spans="4:14" x14ac:dyDescent="0.2">
      <c r="D1053">
        <f t="shared" si="100"/>
        <v>1030</v>
      </c>
      <c r="E1053" s="1">
        <f>IF($H$11=1,IF(D1053&lt;=$A$15, E1052+LN($D$11)-LN(60/$E$11)-LN(MIN(D1053,$F$11)), E1052-LN(60/$E$11)-LN(MIN(D1053,$F$11))), IF(D1053&lt;=$A$15, E1052+LN($D$11)-LN(60/$E$11)-LN(MIN(D1053,$F$11)), E1052+LN($D$11)+LN(1-$H$11)-LN(60/$E$11)-LN(MIN(D1053,$F$11))))</f>
        <v>-122.98071941271492</v>
      </c>
      <c r="F1053" s="1">
        <f t="shared" si="101"/>
        <v>-124.98275222191398</v>
      </c>
      <c r="G1053" s="1">
        <f t="shared" si="99"/>
        <v>5.256302815167356E-55</v>
      </c>
      <c r="H1053" s="1">
        <f t="shared" si="96"/>
        <v>5.1594440037920339E-56</v>
      </c>
      <c r="I1053">
        <f>IF($F$11&lt;=D1053, IF(D1053&lt;=$A$15,D1053-$F$11,$C$11),0)</f>
        <v>60</v>
      </c>
      <c r="J1053">
        <f t="shared" si="97"/>
        <v>966</v>
      </c>
      <c r="K1053" s="5">
        <f>IF(D1053&lt;$F$11,H1053,0)</f>
        <v>0</v>
      </c>
      <c r="L1053">
        <f>IF(D1053&lt;$A$15,$D$11,$D$11*(1-$H$11))</f>
        <v>85</v>
      </c>
      <c r="M1053">
        <f t="shared" si="98"/>
        <v>1</v>
      </c>
      <c r="N1053">
        <f>IF(SUM(I1053:J1053)&lt;=($G$11/60*$F$11/($E$11/60)),1,0)</f>
        <v>0</v>
      </c>
    </row>
    <row r="1054" spans="4:14" x14ac:dyDescent="0.2">
      <c r="D1054">
        <f t="shared" si="100"/>
        <v>1031</v>
      </c>
      <c r="E1054" s="1">
        <f>IF($H$11=1,IF(D1054&lt;=$A$15, E1053+LN($D$11)-LN(60/$E$11)-LN(MIN(D1054,$F$11)), E1053-LN(60/$E$11)-LN(MIN(D1054,$F$11))), IF(D1054&lt;=$A$15, E1053+LN($D$11)-LN(60/$E$11)-LN(MIN(D1054,$F$11)), E1053+LN($D$11)+LN(1-$H$11)-LN(60/$E$11)-LN(MIN(D1054,$F$11))))</f>
        <v>-123.10241634769244</v>
      </c>
      <c r="F1054" s="1">
        <f t="shared" si="101"/>
        <v>-125.1044491568915</v>
      </c>
      <c r="G1054" s="1">
        <f t="shared" si="99"/>
        <v>4.6540181175960892E-55</v>
      </c>
      <c r="H1054" s="1">
        <f t="shared" si="96"/>
        <v>4.5682577116908562E-56</v>
      </c>
      <c r="I1054">
        <f>IF($F$11&lt;=D1054, IF(D1054&lt;=$A$15,D1054-$F$11,$C$11),0)</f>
        <v>60</v>
      </c>
      <c r="J1054">
        <f t="shared" si="97"/>
        <v>967</v>
      </c>
      <c r="K1054" s="5">
        <f>IF(D1054&lt;$F$11,H1054,0)</f>
        <v>0</v>
      </c>
      <c r="L1054">
        <f>IF(D1054&lt;$A$15,$D$11,$D$11*(1-$H$11))</f>
        <v>85</v>
      </c>
      <c r="M1054">
        <f t="shared" si="98"/>
        <v>1</v>
      </c>
      <c r="N1054">
        <f>IF(SUM(I1054:J1054)&lt;=($G$11/60*$F$11/($E$11/60)),1,0)</f>
        <v>0</v>
      </c>
    </row>
    <row r="1055" spans="4:14" x14ac:dyDescent="0.2">
      <c r="D1055">
        <f t="shared" si="100"/>
        <v>1032</v>
      </c>
      <c r="E1055" s="1">
        <f>IF($H$11=1,IF(D1055&lt;=$A$15, E1054+LN($D$11)-LN(60/$E$11)-LN(MIN(D1055,$F$11)), E1054-LN(60/$E$11)-LN(MIN(D1055,$F$11))), IF(D1055&lt;=$A$15, E1054+LN($D$11)-LN(60/$E$11)-LN(MIN(D1055,$F$11)), E1054+LN($D$11)+LN(1-$H$11)-LN(60/$E$11)-LN(MIN(D1055,$F$11))))</f>
        <v>-123.22411328266996</v>
      </c>
      <c r="F1055" s="1">
        <f t="shared" si="101"/>
        <v>-125.22614609186903</v>
      </c>
      <c r="G1055" s="1">
        <f t="shared" si="99"/>
        <v>4.1207452082881985E-55</v>
      </c>
      <c r="H1055" s="1">
        <f t="shared" si="96"/>
        <v>4.0448115155596066E-56</v>
      </c>
      <c r="I1055">
        <f>IF($F$11&lt;=D1055, IF(D1055&lt;=$A$15,D1055-$F$11,$C$11),0)</f>
        <v>60</v>
      </c>
      <c r="J1055">
        <f t="shared" si="97"/>
        <v>968</v>
      </c>
      <c r="K1055" s="5">
        <f>IF(D1055&lt;$F$11,H1055,0)</f>
        <v>0</v>
      </c>
      <c r="L1055">
        <f>IF(D1055&lt;$A$15,$D$11,$D$11*(1-$H$11))</f>
        <v>85</v>
      </c>
      <c r="M1055">
        <f t="shared" si="98"/>
        <v>1</v>
      </c>
      <c r="N1055">
        <f>IF(SUM(I1055:J1055)&lt;=($G$11/60*$F$11/($E$11/60)),1,0)</f>
        <v>0</v>
      </c>
    </row>
    <row r="1056" spans="4:14" x14ac:dyDescent="0.2">
      <c r="D1056">
        <f t="shared" si="100"/>
        <v>1033</v>
      </c>
      <c r="E1056" s="1">
        <f>IF($H$11=1,IF(D1056&lt;=$A$15, E1055+LN($D$11)-LN(60/$E$11)-LN(MIN(D1056,$F$11)), E1055-LN(60/$E$11)-LN(MIN(D1056,$F$11))), IF(D1056&lt;=$A$15, E1055+LN($D$11)-LN(60/$E$11)-LN(MIN(D1056,$F$11)), E1055+LN($D$11)+LN(1-$H$11)-LN(60/$E$11)-LN(MIN(D1056,$F$11))))</f>
        <v>-123.34581021764748</v>
      </c>
      <c r="F1056" s="1">
        <f t="shared" si="101"/>
        <v>-125.34784302684655</v>
      </c>
      <c r="G1056" s="1">
        <f t="shared" si="99"/>
        <v>3.6485764865051703E-55</v>
      </c>
      <c r="H1056" s="1">
        <f t="shared" si="96"/>
        <v>3.5813435294017298E-56</v>
      </c>
      <c r="I1056">
        <f>IF($F$11&lt;=D1056, IF(D1056&lt;=$A$15,D1056-$F$11,$C$11),0)</f>
        <v>60</v>
      </c>
      <c r="J1056">
        <f t="shared" si="97"/>
        <v>969</v>
      </c>
      <c r="K1056" s="5">
        <f>IF(D1056&lt;$F$11,H1056,0)</f>
        <v>0</v>
      </c>
      <c r="L1056">
        <f>IF(D1056&lt;$A$15,$D$11,$D$11*(1-$H$11))</f>
        <v>85</v>
      </c>
      <c r="M1056">
        <f t="shared" si="98"/>
        <v>1</v>
      </c>
      <c r="N1056">
        <f>IF(SUM(I1056:J1056)&lt;=($G$11/60*$F$11/($E$11/60)),1,0)</f>
        <v>0</v>
      </c>
    </row>
    <row r="1057" spans="4:14" x14ac:dyDescent="0.2">
      <c r="D1057">
        <f t="shared" si="100"/>
        <v>1034</v>
      </c>
      <c r="E1057" s="1">
        <f>IF($H$11=1,IF(D1057&lt;=$A$15, E1056+LN($D$11)-LN(60/$E$11)-LN(MIN(D1057,$F$11)), E1056-LN(60/$E$11)-LN(MIN(D1057,$F$11))), IF(D1057&lt;=$A$15, E1056+LN($D$11)-LN(60/$E$11)-LN(MIN(D1057,$F$11)), E1056+LN($D$11)+LN(1-$H$11)-LN(60/$E$11)-LN(MIN(D1057,$F$11))))</f>
        <v>-123.467507152625</v>
      </c>
      <c r="F1057" s="1">
        <f t="shared" si="101"/>
        <v>-125.46953996182407</v>
      </c>
      <c r="G1057" s="1">
        <f t="shared" si="99"/>
        <v>3.2305104307597819E-55</v>
      </c>
      <c r="H1057" s="1">
        <f t="shared" si="96"/>
        <v>3.1709812499911104E-56</v>
      </c>
      <c r="I1057">
        <f>IF($F$11&lt;=D1057, IF(D1057&lt;=$A$15,D1057-$F$11,$C$11),0)</f>
        <v>60</v>
      </c>
      <c r="J1057">
        <f t="shared" si="97"/>
        <v>970</v>
      </c>
      <c r="K1057" s="5">
        <f>IF(D1057&lt;$F$11,H1057,0)</f>
        <v>0</v>
      </c>
      <c r="L1057">
        <f>IF(D1057&lt;$A$15,$D$11,$D$11*(1-$H$11))</f>
        <v>85</v>
      </c>
      <c r="M1057">
        <f t="shared" si="98"/>
        <v>1</v>
      </c>
      <c r="N1057">
        <f>IF(SUM(I1057:J1057)&lt;=($G$11/60*$F$11/($E$11/60)),1,0)</f>
        <v>0</v>
      </c>
    </row>
    <row r="1058" spans="4:14" x14ac:dyDescent="0.2">
      <c r="D1058">
        <f t="shared" si="100"/>
        <v>1035</v>
      </c>
      <c r="E1058" s="1">
        <f>IF($H$11=1,IF(D1058&lt;=$A$15, E1057+LN($D$11)-LN(60/$E$11)-LN(MIN(D1058,$F$11)), E1057-LN(60/$E$11)-LN(MIN(D1058,$F$11))), IF(D1058&lt;=$A$15, E1057+LN($D$11)-LN(60/$E$11)-LN(MIN(D1058,$F$11)), E1057+LN($D$11)+LN(1-$H$11)-LN(60/$E$11)-LN(MIN(D1058,$F$11))))</f>
        <v>-123.58920408760252</v>
      </c>
      <c r="F1058" s="1">
        <f t="shared" si="101"/>
        <v>-125.59123689680159</v>
      </c>
      <c r="G1058" s="1">
        <f t="shared" si="99"/>
        <v>2.8603477772352194E-55</v>
      </c>
      <c r="H1058" s="1">
        <f t="shared" si="96"/>
        <v>2.8076396484296253E-56</v>
      </c>
      <c r="I1058">
        <f>IF($F$11&lt;=D1058, IF(D1058&lt;=$A$15,D1058-$F$11,$C$11),0)</f>
        <v>60</v>
      </c>
      <c r="J1058">
        <f t="shared" si="97"/>
        <v>971</v>
      </c>
      <c r="K1058" s="5">
        <f>IF(D1058&lt;$F$11,H1058,0)</f>
        <v>0</v>
      </c>
      <c r="L1058">
        <f>IF(D1058&lt;$A$15,$D$11,$D$11*(1-$H$11))</f>
        <v>85</v>
      </c>
      <c r="M1058">
        <f t="shared" si="98"/>
        <v>1</v>
      </c>
      <c r="N1058">
        <f>IF(SUM(I1058:J1058)&lt;=($G$11/60*$F$11/($E$11/60)),1,0)</f>
        <v>0</v>
      </c>
    </row>
    <row r="1059" spans="4:14" x14ac:dyDescent="0.2">
      <c r="D1059">
        <f t="shared" si="100"/>
        <v>1036</v>
      </c>
      <c r="E1059" s="1">
        <f>IF($H$11=1,IF(D1059&lt;=$A$15, E1058+LN($D$11)-LN(60/$E$11)-LN(MIN(D1059,$F$11)), E1058-LN(60/$E$11)-LN(MIN(D1059,$F$11))), IF(D1059&lt;=$A$15, E1058+LN($D$11)-LN(60/$E$11)-LN(MIN(D1059,$F$11)), E1058+LN($D$11)+LN(1-$H$11)-LN(60/$E$11)-LN(MIN(D1059,$F$11))))</f>
        <v>-123.71090102258005</v>
      </c>
      <c r="F1059" s="1">
        <f t="shared" si="101"/>
        <v>-125.71293383177911</v>
      </c>
      <c r="G1059" s="1">
        <f t="shared" si="99"/>
        <v>2.5325995944270137E-55</v>
      </c>
      <c r="H1059" s="1">
        <f t="shared" si="96"/>
        <v>2.4859309387137271E-56</v>
      </c>
      <c r="I1059">
        <f>IF($F$11&lt;=D1059, IF(D1059&lt;=$A$15,D1059-$F$11,$C$11),0)</f>
        <v>60</v>
      </c>
      <c r="J1059">
        <f t="shared" si="97"/>
        <v>972</v>
      </c>
      <c r="K1059" s="5">
        <f>IF(D1059&lt;$F$11,H1059,0)</f>
        <v>0</v>
      </c>
      <c r="L1059">
        <f>IF(D1059&lt;$A$15,$D$11,$D$11*(1-$H$11))</f>
        <v>85</v>
      </c>
      <c r="M1059">
        <f t="shared" si="98"/>
        <v>1</v>
      </c>
      <c r="N1059">
        <f>IF(SUM(I1059:J1059)&lt;=($G$11/60*$F$11/($E$11/60)),1,0)</f>
        <v>0</v>
      </c>
    </row>
    <row r="1060" spans="4:14" x14ac:dyDescent="0.2">
      <c r="D1060">
        <f t="shared" si="100"/>
        <v>1037</v>
      </c>
      <c r="E1060" s="1">
        <f>IF($H$11=1,IF(D1060&lt;=$A$15, E1059+LN($D$11)-LN(60/$E$11)-LN(MIN(D1060,$F$11)), E1059-LN(60/$E$11)-LN(MIN(D1060,$F$11))), IF(D1060&lt;=$A$15, E1059+LN($D$11)-LN(60/$E$11)-LN(MIN(D1060,$F$11)), E1059+LN($D$11)+LN(1-$H$11)-LN(60/$E$11)-LN(MIN(D1060,$F$11))))</f>
        <v>-123.83259795755757</v>
      </c>
      <c r="F1060" s="1">
        <f t="shared" si="101"/>
        <v>-125.83463076675663</v>
      </c>
      <c r="G1060" s="1">
        <f t="shared" si="99"/>
        <v>2.2424058908989148E-55</v>
      </c>
      <c r="H1060" s="1">
        <f t="shared" si="96"/>
        <v>2.2010846853194423E-56</v>
      </c>
      <c r="I1060">
        <f>IF($F$11&lt;=D1060, IF(D1060&lt;=$A$15,D1060-$F$11,$C$11),0)</f>
        <v>60</v>
      </c>
      <c r="J1060">
        <f t="shared" si="97"/>
        <v>973</v>
      </c>
      <c r="K1060" s="5">
        <f>IF(D1060&lt;$F$11,H1060,0)</f>
        <v>0</v>
      </c>
      <c r="L1060">
        <f>IF(D1060&lt;$A$15,$D$11,$D$11*(1-$H$11))</f>
        <v>85</v>
      </c>
      <c r="M1060">
        <f t="shared" si="98"/>
        <v>1</v>
      </c>
      <c r="N1060">
        <f>IF(SUM(I1060:J1060)&lt;=($G$11/60*$F$11/($E$11/60)),1,0)</f>
        <v>0</v>
      </c>
    </row>
    <row r="1061" spans="4:14" x14ac:dyDescent="0.2">
      <c r="D1061">
        <f t="shared" si="100"/>
        <v>1038</v>
      </c>
      <c r="E1061" s="1">
        <f>IF($H$11=1,IF(D1061&lt;=$A$15, E1060+LN($D$11)-LN(60/$E$11)-LN(MIN(D1061,$F$11)), E1060-LN(60/$E$11)-LN(MIN(D1061,$F$11))), IF(D1061&lt;=$A$15, E1060+LN($D$11)-LN(60/$E$11)-LN(MIN(D1061,$F$11)), E1060+LN($D$11)+LN(1-$H$11)-LN(60/$E$11)-LN(MIN(D1061,$F$11))))</f>
        <v>-123.95429489253509</v>
      </c>
      <c r="F1061" s="1">
        <f t="shared" si="101"/>
        <v>-125.95632770173415</v>
      </c>
      <c r="G1061" s="1">
        <f t="shared" si="99"/>
        <v>1.9854635492334116E-55</v>
      </c>
      <c r="H1061" s="1">
        <f t="shared" si="96"/>
        <v>1.948877065126587E-56</v>
      </c>
      <c r="I1061">
        <f>IF($F$11&lt;=D1061, IF(D1061&lt;=$A$15,D1061-$F$11,$C$11),0)</f>
        <v>60</v>
      </c>
      <c r="J1061">
        <f t="shared" si="97"/>
        <v>974</v>
      </c>
      <c r="K1061" s="5">
        <f>IF(D1061&lt;$F$11,H1061,0)</f>
        <v>0</v>
      </c>
      <c r="L1061">
        <f>IF(D1061&lt;$A$15,$D$11,$D$11*(1-$H$11))</f>
        <v>85</v>
      </c>
      <c r="M1061">
        <f t="shared" si="98"/>
        <v>1</v>
      </c>
      <c r="N1061">
        <f>IF(SUM(I1061:J1061)&lt;=($G$11/60*$F$11/($E$11/60)),1,0)</f>
        <v>0</v>
      </c>
    </row>
    <row r="1062" spans="4:14" x14ac:dyDescent="0.2">
      <c r="D1062">
        <f t="shared" si="100"/>
        <v>1039</v>
      </c>
      <c r="E1062" s="1">
        <f>IF($H$11=1,IF(D1062&lt;=$A$15, E1061+LN($D$11)-LN(60/$E$11)-LN(MIN(D1062,$F$11)), E1061-LN(60/$E$11)-LN(MIN(D1062,$F$11))), IF(D1062&lt;=$A$15, E1061+LN($D$11)-LN(60/$E$11)-LN(MIN(D1062,$F$11)), E1061+LN($D$11)+LN(1-$H$11)-LN(60/$E$11)-LN(MIN(D1062,$F$11))))</f>
        <v>-124.07599182751261</v>
      </c>
      <c r="F1062" s="1">
        <f t="shared" si="101"/>
        <v>-126.07802463671167</v>
      </c>
      <c r="G1062" s="1">
        <f t="shared" si="99"/>
        <v>1.757962517550414E-55</v>
      </c>
      <c r="H1062" s="1">
        <f t="shared" si="96"/>
        <v>1.7255682347474966E-56</v>
      </c>
      <c r="I1062">
        <f>IF($F$11&lt;=D1062, IF(D1062&lt;=$A$15,D1062-$F$11,$C$11),0)</f>
        <v>60</v>
      </c>
      <c r="J1062">
        <f t="shared" si="97"/>
        <v>975</v>
      </c>
      <c r="K1062" s="5">
        <f>IF(D1062&lt;$F$11,H1062,0)</f>
        <v>0</v>
      </c>
      <c r="L1062">
        <f>IF(D1062&lt;$A$15,$D$11,$D$11*(1-$H$11))</f>
        <v>85</v>
      </c>
      <c r="M1062">
        <f t="shared" si="98"/>
        <v>1</v>
      </c>
      <c r="N1062">
        <f>IF(SUM(I1062:J1062)&lt;=($G$11/60*$F$11/($E$11/60)),1,0)</f>
        <v>0</v>
      </c>
    </row>
    <row r="1063" spans="4:14" x14ac:dyDescent="0.2">
      <c r="D1063">
        <f t="shared" si="100"/>
        <v>1040</v>
      </c>
      <c r="E1063" s="1">
        <f>IF($H$11=1,IF(D1063&lt;=$A$15, E1062+LN($D$11)-LN(60/$E$11)-LN(MIN(D1063,$F$11)), E1062-LN(60/$E$11)-LN(MIN(D1063,$F$11))), IF(D1063&lt;=$A$15, E1062+LN($D$11)-LN(60/$E$11)-LN(MIN(D1063,$F$11)), E1062+LN($D$11)+LN(1-$H$11)-LN(60/$E$11)-LN(MIN(D1063,$F$11))))</f>
        <v>-124.19768876249013</v>
      </c>
      <c r="F1063" s="1">
        <f t="shared" si="101"/>
        <v>-126.1997215716892</v>
      </c>
      <c r="G1063" s="1">
        <f t="shared" si="99"/>
        <v>1.5565293124144269E-55</v>
      </c>
      <c r="H1063" s="1">
        <f t="shared" si="96"/>
        <v>1.5278468745160105E-56</v>
      </c>
      <c r="I1063">
        <f>IF($F$11&lt;=D1063, IF(D1063&lt;=$A$15,D1063-$F$11,$C$11),0)</f>
        <v>60</v>
      </c>
      <c r="J1063">
        <f t="shared" si="97"/>
        <v>976</v>
      </c>
      <c r="K1063" s="5">
        <f>IF(D1063&lt;$F$11,H1063,0)</f>
        <v>0</v>
      </c>
      <c r="L1063">
        <f>IF(D1063&lt;$A$15,$D$11,$D$11*(1-$H$11))</f>
        <v>85</v>
      </c>
      <c r="M1063">
        <f t="shared" si="98"/>
        <v>1</v>
      </c>
      <c r="N1063">
        <f>IF(SUM(I1063:J1063)&lt;=($G$11/60*$F$11/($E$11/60)),1,0)</f>
        <v>0</v>
      </c>
    </row>
    <row r="1064" spans="4:14" x14ac:dyDescent="0.2">
      <c r="D1064">
        <f t="shared" si="100"/>
        <v>1041</v>
      </c>
      <c r="E1064" s="1">
        <f>IF($H$11=1,IF(D1064&lt;=$A$15, E1063+LN($D$11)-LN(60/$E$11)-LN(MIN(D1064,$F$11)), E1063-LN(60/$E$11)-LN(MIN(D1064,$F$11))), IF(D1064&lt;=$A$15, E1063+LN($D$11)-LN(60/$E$11)-LN(MIN(D1064,$F$11)), E1063+LN($D$11)+LN(1-$H$11)-LN(60/$E$11)-LN(MIN(D1064,$F$11))))</f>
        <v>-124.31938569746765</v>
      </c>
      <c r="F1064" s="1">
        <f t="shared" si="101"/>
        <v>-126.32141850666672</v>
      </c>
      <c r="G1064" s="1">
        <f t="shared" si="99"/>
        <v>1.3781769953669383E-55</v>
      </c>
      <c r="H1064" s="1">
        <f t="shared" si="96"/>
        <v>1.3527810868110489E-56</v>
      </c>
      <c r="I1064">
        <f>IF($F$11&lt;=D1064, IF(D1064&lt;=$A$15,D1064-$F$11,$C$11),0)</f>
        <v>60</v>
      </c>
      <c r="J1064">
        <f t="shared" si="97"/>
        <v>977</v>
      </c>
      <c r="K1064" s="5">
        <f>IF(D1064&lt;$F$11,H1064,0)</f>
        <v>0</v>
      </c>
      <c r="L1064">
        <f>IF(D1064&lt;$A$15,$D$11,$D$11*(1-$H$11))</f>
        <v>85</v>
      </c>
      <c r="M1064">
        <f t="shared" si="98"/>
        <v>1</v>
      </c>
      <c r="N1064">
        <f>IF(SUM(I1064:J1064)&lt;=($G$11/60*$F$11/($E$11/60)),1,0)</f>
        <v>0</v>
      </c>
    </row>
    <row r="1065" spans="4:14" x14ac:dyDescent="0.2">
      <c r="D1065">
        <f t="shared" si="100"/>
        <v>1042</v>
      </c>
      <c r="E1065" s="1">
        <f>IF($H$11=1,IF(D1065&lt;=$A$15, E1064+LN($D$11)-LN(60/$E$11)-LN(MIN(D1065,$F$11)), E1064-LN(60/$E$11)-LN(MIN(D1065,$F$11))), IF(D1065&lt;=$A$15, E1064+LN($D$11)-LN(60/$E$11)-LN(MIN(D1065,$F$11)), E1064+LN($D$11)+LN(1-$H$11)-LN(60/$E$11)-LN(MIN(D1065,$F$11))))</f>
        <v>-124.44108263244517</v>
      </c>
      <c r="F1065" s="1">
        <f t="shared" si="101"/>
        <v>-126.44311544164424</v>
      </c>
      <c r="G1065" s="1">
        <f t="shared" si="99"/>
        <v>1.220260881314475E-55</v>
      </c>
      <c r="H1065" s="1">
        <f t="shared" si="96"/>
        <v>1.1977749206139478E-56</v>
      </c>
      <c r="I1065">
        <f>IF($F$11&lt;=D1065, IF(D1065&lt;=$A$15,D1065-$F$11,$C$11),0)</f>
        <v>60</v>
      </c>
      <c r="J1065">
        <f t="shared" si="97"/>
        <v>978</v>
      </c>
      <c r="K1065" s="5">
        <f>IF(D1065&lt;$F$11,H1065,0)</f>
        <v>0</v>
      </c>
      <c r="L1065">
        <f>IF(D1065&lt;$A$15,$D$11,$D$11*(1-$H$11))</f>
        <v>85</v>
      </c>
      <c r="M1065">
        <f t="shared" si="98"/>
        <v>1</v>
      </c>
      <c r="N1065">
        <f>IF(SUM(I1065:J1065)&lt;=($G$11/60*$F$11/($E$11/60)),1,0)</f>
        <v>0</v>
      </c>
    </row>
    <row r="1066" spans="4:14" x14ac:dyDescent="0.2">
      <c r="D1066">
        <f t="shared" si="100"/>
        <v>1043</v>
      </c>
      <c r="E1066" s="1">
        <f>IF($H$11=1,IF(D1066&lt;=$A$15, E1065+LN($D$11)-LN(60/$E$11)-LN(MIN(D1066,$F$11)), E1065-LN(60/$E$11)-LN(MIN(D1066,$F$11))), IF(D1066&lt;=$A$15, E1065+LN($D$11)-LN(60/$E$11)-LN(MIN(D1066,$F$11)), E1065+LN($D$11)+LN(1-$H$11)-LN(60/$E$11)-LN(MIN(D1066,$F$11))))</f>
        <v>-124.56277956742269</v>
      </c>
      <c r="F1066" s="1">
        <f t="shared" si="101"/>
        <v>-126.56481237662176</v>
      </c>
      <c r="G1066" s="1">
        <f t="shared" si="99"/>
        <v>1.0804393219971899E-55</v>
      </c>
      <c r="H1066" s="1">
        <f t="shared" si="96"/>
        <v>1.0605298776269314E-56</v>
      </c>
      <c r="I1066">
        <f>IF($F$11&lt;=D1066, IF(D1066&lt;=$A$15,D1066-$F$11,$C$11),0)</f>
        <v>60</v>
      </c>
      <c r="J1066">
        <f t="shared" si="97"/>
        <v>979</v>
      </c>
      <c r="K1066" s="5">
        <f>IF(D1066&lt;$F$11,H1066,0)</f>
        <v>0</v>
      </c>
      <c r="L1066">
        <f>IF(D1066&lt;$A$15,$D$11,$D$11*(1-$H$11))</f>
        <v>85</v>
      </c>
      <c r="M1066">
        <f t="shared" si="98"/>
        <v>1</v>
      </c>
      <c r="N1066">
        <f>IF(SUM(I1066:J1066)&lt;=($G$11/60*$F$11/($E$11/60)),1,0)</f>
        <v>0</v>
      </c>
    </row>
    <row r="1067" spans="4:14" x14ac:dyDescent="0.2">
      <c r="D1067">
        <f t="shared" si="100"/>
        <v>1044</v>
      </c>
      <c r="E1067" s="1">
        <f>IF($H$11=1,IF(D1067&lt;=$A$15, E1066+LN($D$11)-LN(60/$E$11)-LN(MIN(D1067,$F$11)), E1066-LN(60/$E$11)-LN(MIN(D1067,$F$11))), IF(D1067&lt;=$A$15, E1066+LN($D$11)-LN(60/$E$11)-LN(MIN(D1067,$F$11)), E1066+LN($D$11)+LN(1-$H$11)-LN(60/$E$11)-LN(MIN(D1067,$F$11))))</f>
        <v>-124.68447650240022</v>
      </c>
      <c r="F1067" s="1">
        <f t="shared" si="101"/>
        <v>-126.68650931159928</v>
      </c>
      <c r="G1067" s="1">
        <f t="shared" si="99"/>
        <v>9.5663898301834387E-56</v>
      </c>
      <c r="H1067" s="1">
        <f t="shared" si="96"/>
        <v>9.3901082914884425E-57</v>
      </c>
      <c r="I1067">
        <f>IF($F$11&lt;=D1067, IF(D1067&lt;=$A$15,D1067-$F$11,$C$11),0)</f>
        <v>60</v>
      </c>
      <c r="J1067">
        <f t="shared" si="97"/>
        <v>980</v>
      </c>
      <c r="K1067" s="5">
        <f>IF(D1067&lt;$F$11,H1067,0)</f>
        <v>0</v>
      </c>
      <c r="L1067">
        <f>IF(D1067&lt;$A$15,$D$11,$D$11*(1-$H$11))</f>
        <v>85</v>
      </c>
      <c r="M1067">
        <f t="shared" si="98"/>
        <v>1</v>
      </c>
      <c r="N1067">
        <f>IF(SUM(I1067:J1067)&lt;=($G$11/60*$F$11/($E$11/60)),1,0)</f>
        <v>0</v>
      </c>
    </row>
    <row r="1068" spans="4:14" x14ac:dyDescent="0.2">
      <c r="D1068">
        <f t="shared" si="100"/>
        <v>1045</v>
      </c>
      <c r="E1068" s="1">
        <f>IF($H$11=1,IF(D1068&lt;=$A$15, E1067+LN($D$11)-LN(60/$E$11)-LN(MIN(D1068,$F$11)), E1067-LN(60/$E$11)-LN(MIN(D1068,$F$11))), IF(D1068&lt;=$A$15, E1067+LN($D$11)-LN(60/$E$11)-LN(MIN(D1068,$F$11)), E1067+LN($D$11)+LN(1-$H$11)-LN(60/$E$11)-LN(MIN(D1068,$F$11))))</f>
        <v>-124.80617343737774</v>
      </c>
      <c r="F1068" s="1">
        <f t="shared" si="101"/>
        <v>-126.8082062465768</v>
      </c>
      <c r="G1068" s="1">
        <f t="shared" si="99"/>
        <v>8.4702409954749077E-56</v>
      </c>
      <c r="H1068" s="1">
        <f t="shared" si="96"/>
        <v>8.3141583830887139E-57</v>
      </c>
      <c r="I1068">
        <f>IF($F$11&lt;=D1068, IF(D1068&lt;=$A$15,D1068-$F$11,$C$11),0)</f>
        <v>60</v>
      </c>
      <c r="J1068">
        <f t="shared" si="97"/>
        <v>981</v>
      </c>
      <c r="K1068" s="5">
        <f>IF(D1068&lt;$F$11,H1068,0)</f>
        <v>0</v>
      </c>
      <c r="L1068">
        <f>IF(D1068&lt;$A$15,$D$11,$D$11*(1-$H$11))</f>
        <v>85</v>
      </c>
      <c r="M1068">
        <f t="shared" si="98"/>
        <v>1</v>
      </c>
      <c r="N1068">
        <f>IF(SUM(I1068:J1068)&lt;=($G$11/60*$F$11/($E$11/60)),1,0)</f>
        <v>0</v>
      </c>
    </row>
    <row r="1069" spans="4:14" x14ac:dyDescent="0.2">
      <c r="D1069">
        <f t="shared" si="100"/>
        <v>1046</v>
      </c>
      <c r="E1069" s="1">
        <f>IF($H$11=1,IF(D1069&lt;=$A$15, E1068+LN($D$11)-LN(60/$E$11)-LN(MIN(D1069,$F$11)), E1068-LN(60/$E$11)-LN(MIN(D1069,$F$11))), IF(D1069&lt;=$A$15, E1068+LN($D$11)-LN(60/$E$11)-LN(MIN(D1069,$F$11)), E1068+LN($D$11)+LN(1-$H$11)-LN(60/$E$11)-LN(MIN(D1069,$F$11))))</f>
        <v>-124.92787037235526</v>
      </c>
      <c r="F1069" s="1">
        <f t="shared" si="101"/>
        <v>-126.92990318155432</v>
      </c>
      <c r="G1069" s="1">
        <f t="shared" si="99"/>
        <v>7.4996925480767302E-56</v>
      </c>
      <c r="H1069" s="1">
        <f t="shared" si="96"/>
        <v>7.3614944016931214E-57</v>
      </c>
      <c r="I1069">
        <f>IF($F$11&lt;=D1069, IF(D1069&lt;=$A$15,D1069-$F$11,$C$11),0)</f>
        <v>60</v>
      </c>
      <c r="J1069">
        <f t="shared" si="97"/>
        <v>982</v>
      </c>
      <c r="K1069" s="5">
        <f>IF(D1069&lt;$F$11,H1069,0)</f>
        <v>0</v>
      </c>
      <c r="L1069">
        <f>IF(D1069&lt;$A$15,$D$11,$D$11*(1-$H$11))</f>
        <v>85</v>
      </c>
      <c r="M1069">
        <f t="shared" si="98"/>
        <v>1</v>
      </c>
      <c r="N1069">
        <f>IF(SUM(I1069:J1069)&lt;=($G$11/60*$F$11/($E$11/60)),1,0)</f>
        <v>0</v>
      </c>
    </row>
    <row r="1070" spans="4:14" x14ac:dyDescent="0.2">
      <c r="D1070">
        <f t="shared" si="100"/>
        <v>1047</v>
      </c>
      <c r="E1070" s="1">
        <f>IF($H$11=1,IF(D1070&lt;=$A$15, E1069+LN($D$11)-LN(60/$E$11)-LN(MIN(D1070,$F$11)), E1069-LN(60/$E$11)-LN(MIN(D1070,$F$11))), IF(D1070&lt;=$A$15, E1069+LN($D$11)-LN(60/$E$11)-LN(MIN(D1070,$F$11)), E1069+LN($D$11)+LN(1-$H$11)-LN(60/$E$11)-LN(MIN(D1070,$F$11))))</f>
        <v>-125.04956730733278</v>
      </c>
      <c r="F1070" s="1">
        <f t="shared" si="101"/>
        <v>-127.05160011653184</v>
      </c>
      <c r="G1070" s="1">
        <f t="shared" si="99"/>
        <v>6.6403527769429284E-56</v>
      </c>
      <c r="H1070" s="1">
        <f t="shared" si="96"/>
        <v>6.5179898348324407E-57</v>
      </c>
      <c r="I1070">
        <f>IF($F$11&lt;=D1070, IF(D1070&lt;=$A$15,D1070-$F$11,$C$11),0)</f>
        <v>60</v>
      </c>
      <c r="J1070">
        <f t="shared" si="97"/>
        <v>983</v>
      </c>
      <c r="K1070" s="5">
        <f>IF(D1070&lt;$F$11,H1070,0)</f>
        <v>0</v>
      </c>
      <c r="L1070">
        <f>IF(D1070&lt;$A$15,$D$11,$D$11*(1-$H$11))</f>
        <v>85</v>
      </c>
      <c r="M1070">
        <f t="shared" si="98"/>
        <v>1</v>
      </c>
      <c r="N1070">
        <f>IF(SUM(I1070:J1070)&lt;=($G$11/60*$F$11/($E$11/60)),1,0)</f>
        <v>0</v>
      </c>
    </row>
    <row r="1071" spans="4:14" x14ac:dyDescent="0.2">
      <c r="D1071">
        <f t="shared" si="100"/>
        <v>1048</v>
      </c>
      <c r="E1071" s="1">
        <f>IF($H$11=1,IF(D1071&lt;=$A$15, E1070+LN($D$11)-LN(60/$E$11)-LN(MIN(D1071,$F$11)), E1070-LN(60/$E$11)-LN(MIN(D1071,$F$11))), IF(D1071&lt;=$A$15, E1070+LN($D$11)-LN(60/$E$11)-LN(MIN(D1071,$F$11)), E1070+LN($D$11)+LN(1-$H$11)-LN(60/$E$11)-LN(MIN(D1071,$F$11))))</f>
        <v>-125.1712642423103</v>
      </c>
      <c r="F1071" s="1">
        <f t="shared" si="101"/>
        <v>-127.17329705150937</v>
      </c>
      <c r="G1071" s="1">
        <f t="shared" si="99"/>
        <v>5.8794790212515426E-56</v>
      </c>
      <c r="H1071" s="1">
        <f t="shared" si="96"/>
        <v>5.7711368329245488E-57</v>
      </c>
      <c r="I1071">
        <f>IF($F$11&lt;=D1071, IF(D1071&lt;=$A$15,D1071-$F$11,$C$11),0)</f>
        <v>60</v>
      </c>
      <c r="J1071">
        <f t="shared" si="97"/>
        <v>984</v>
      </c>
      <c r="K1071" s="5">
        <f>IF(D1071&lt;$F$11,H1071,0)</f>
        <v>0</v>
      </c>
      <c r="L1071">
        <f>IF(D1071&lt;$A$15,$D$11,$D$11*(1-$H$11))</f>
        <v>85</v>
      </c>
      <c r="M1071">
        <f t="shared" si="98"/>
        <v>1</v>
      </c>
      <c r="N1071">
        <f>IF(SUM(I1071:J1071)&lt;=($G$11/60*$F$11/($E$11/60)),1,0)</f>
        <v>0</v>
      </c>
    </row>
    <row r="1072" spans="4:14" x14ac:dyDescent="0.2">
      <c r="D1072">
        <f t="shared" si="100"/>
        <v>1049</v>
      </c>
      <c r="E1072" s="1">
        <f>IF($H$11=1,IF(D1072&lt;=$A$15, E1071+LN($D$11)-LN(60/$E$11)-LN(MIN(D1072,$F$11)), E1071-LN(60/$E$11)-LN(MIN(D1072,$F$11))), IF(D1072&lt;=$A$15, E1071+LN($D$11)-LN(60/$E$11)-LN(MIN(D1072,$F$11)), E1071+LN($D$11)+LN(1-$H$11)-LN(60/$E$11)-LN(MIN(D1072,$F$11))))</f>
        <v>-125.29296117728782</v>
      </c>
      <c r="F1072" s="1">
        <f t="shared" si="101"/>
        <v>-127.29499398648689</v>
      </c>
      <c r="G1072" s="1">
        <f t="shared" si="99"/>
        <v>5.2057887167331293E-56</v>
      </c>
      <c r="H1072" s="1">
        <f t="shared" si="96"/>
        <v>5.1098607374852702E-57</v>
      </c>
      <c r="I1072">
        <f>IF($F$11&lt;=D1072, IF(D1072&lt;=$A$15,D1072-$F$11,$C$11),0)</f>
        <v>60</v>
      </c>
      <c r="J1072">
        <f t="shared" si="97"/>
        <v>985</v>
      </c>
      <c r="K1072" s="5">
        <f>IF(D1072&lt;$F$11,H1072,0)</f>
        <v>0</v>
      </c>
      <c r="L1072">
        <f>IF(D1072&lt;$A$15,$D$11,$D$11*(1-$H$11))</f>
        <v>85</v>
      </c>
      <c r="M1072">
        <f t="shared" si="98"/>
        <v>1</v>
      </c>
      <c r="N1072">
        <f>IF(SUM(I1072:J1072)&lt;=($G$11/60*$F$11/($E$11/60)),1,0)</f>
        <v>0</v>
      </c>
    </row>
    <row r="1073" spans="4:14" x14ac:dyDescent="0.2">
      <c r="D1073">
        <f t="shared" si="100"/>
        <v>1050</v>
      </c>
      <c r="E1073" s="1">
        <f>IF($H$11=1,IF(D1073&lt;=$A$15, E1072+LN($D$11)-LN(60/$E$11)-LN(MIN(D1073,$F$11)), E1072-LN(60/$E$11)-LN(MIN(D1073,$F$11))), IF(D1073&lt;=$A$15, E1072+LN($D$11)-LN(60/$E$11)-LN(MIN(D1073,$F$11)), E1072+LN($D$11)+LN(1-$H$11)-LN(60/$E$11)-LN(MIN(D1073,$F$11))))</f>
        <v>-125.41465811226534</v>
      </c>
      <c r="F1073" s="1">
        <f t="shared" si="101"/>
        <v>-127.41669092146441</v>
      </c>
      <c r="G1073" s="1">
        <f t="shared" si="99"/>
        <v>4.6092920929407849E-56</v>
      </c>
      <c r="H1073" s="1">
        <f t="shared" si="96"/>
        <v>4.5243558613150766E-57</v>
      </c>
      <c r="I1073">
        <f>IF($F$11&lt;=D1073, IF(D1073&lt;=$A$15,D1073-$F$11,$C$11),0)</f>
        <v>60</v>
      </c>
      <c r="J1073">
        <f t="shared" si="97"/>
        <v>986</v>
      </c>
      <c r="K1073" s="5">
        <f>IF(D1073&lt;$F$11,H1073,0)</f>
        <v>0</v>
      </c>
      <c r="L1073">
        <f>IF(D1073&lt;$A$15,$D$11,$D$11*(1-$H$11))</f>
        <v>85</v>
      </c>
      <c r="M1073">
        <f t="shared" si="98"/>
        <v>1</v>
      </c>
      <c r="N1073">
        <f>IF(SUM(I1073:J1073)&lt;=($G$11/60*$F$11/($E$11/60)),1,0)</f>
        <v>0</v>
      </c>
    </row>
    <row r="1074" spans="4:14" x14ac:dyDescent="0.2">
      <c r="D1074">
        <f t="shared" si="100"/>
        <v>1051</v>
      </c>
      <c r="E1074" s="1">
        <f>IF($H$11=1,IF(D1074&lt;=$A$15, E1073+LN($D$11)-LN(60/$E$11)-LN(MIN(D1074,$F$11)), E1073-LN(60/$E$11)-LN(MIN(D1074,$F$11))), IF(D1074&lt;=$A$15, E1073+LN($D$11)-LN(60/$E$11)-LN(MIN(D1074,$F$11)), E1073+LN($D$11)+LN(1-$H$11)-LN(60/$E$11)-LN(MIN(D1074,$F$11))))</f>
        <v>-125.53635504724286</v>
      </c>
      <c r="F1074" s="1">
        <f t="shared" si="101"/>
        <v>-127.53838785644193</v>
      </c>
      <c r="G1074" s="1">
        <f t="shared" si="99"/>
        <v>4.0811440406246479E-56</v>
      </c>
      <c r="H1074" s="1">
        <f t="shared" si="96"/>
        <v>4.0059400855393854E-57</v>
      </c>
      <c r="I1074">
        <f>IF($F$11&lt;=D1074, IF(D1074&lt;=$A$15,D1074-$F$11,$C$11),0)</f>
        <v>60</v>
      </c>
      <c r="J1074">
        <f t="shared" si="97"/>
        <v>987</v>
      </c>
      <c r="K1074" s="5">
        <f>IF(D1074&lt;$F$11,H1074,0)</f>
        <v>0</v>
      </c>
      <c r="L1074">
        <f>IF(D1074&lt;$A$15,$D$11,$D$11*(1-$H$11))</f>
        <v>85</v>
      </c>
      <c r="M1074">
        <f t="shared" si="98"/>
        <v>1</v>
      </c>
      <c r="N1074">
        <f>IF(SUM(I1074:J1074)&lt;=($G$11/60*$F$11/($E$11/60)),1,0)</f>
        <v>0</v>
      </c>
    </row>
    <row r="1075" spans="4:14" x14ac:dyDescent="0.2">
      <c r="D1075">
        <f t="shared" si="100"/>
        <v>1052</v>
      </c>
      <c r="E1075" s="1">
        <f>IF($H$11=1,IF(D1075&lt;=$A$15, E1074+LN($D$11)-LN(60/$E$11)-LN(MIN(D1075,$F$11)), E1074-LN(60/$E$11)-LN(MIN(D1075,$F$11))), IF(D1075&lt;=$A$15, E1074+LN($D$11)-LN(60/$E$11)-LN(MIN(D1075,$F$11)), E1074+LN($D$11)+LN(1-$H$11)-LN(60/$E$11)-LN(MIN(D1075,$F$11))))</f>
        <v>-125.65805198222039</v>
      </c>
      <c r="F1075" s="1">
        <f t="shared" si="101"/>
        <v>-127.66008479141945</v>
      </c>
      <c r="G1075" s="1">
        <f t="shared" si="99"/>
        <v>3.6135129526364017E-56</v>
      </c>
      <c r="H1075" s="1">
        <f t="shared" si="96"/>
        <v>3.5469261174046591E-57</v>
      </c>
      <c r="I1075">
        <f>IF($F$11&lt;=D1075, IF(D1075&lt;=$A$15,D1075-$F$11,$C$11),0)</f>
        <v>60</v>
      </c>
      <c r="J1075">
        <f t="shared" si="97"/>
        <v>988</v>
      </c>
      <c r="K1075" s="5">
        <f>IF(D1075&lt;$F$11,H1075,0)</f>
        <v>0</v>
      </c>
      <c r="L1075">
        <f>IF(D1075&lt;$A$15,$D$11,$D$11*(1-$H$11))</f>
        <v>85</v>
      </c>
      <c r="M1075">
        <f t="shared" si="98"/>
        <v>1</v>
      </c>
      <c r="N1075">
        <f>IF(SUM(I1075:J1075)&lt;=($G$11/60*$F$11/($E$11/60)),1,0)</f>
        <v>0</v>
      </c>
    </row>
    <row r="1076" spans="4:14" x14ac:dyDescent="0.2">
      <c r="D1076">
        <f t="shared" si="100"/>
        <v>1053</v>
      </c>
      <c r="E1076" s="1">
        <f>IF($H$11=1,IF(D1076&lt;=$A$15, E1075+LN($D$11)-LN(60/$E$11)-LN(MIN(D1076,$F$11)), E1075-LN(60/$E$11)-LN(MIN(D1076,$F$11))), IF(D1076&lt;=$A$15, E1075+LN($D$11)-LN(60/$E$11)-LN(MIN(D1076,$F$11)), E1075+LN($D$11)+LN(1-$H$11)-LN(60/$E$11)-LN(MIN(D1076,$F$11))))</f>
        <v>-125.77974891719791</v>
      </c>
      <c r="F1076" s="1">
        <f t="shared" si="101"/>
        <v>-127.78178172639697</v>
      </c>
      <c r="G1076" s="1">
        <f t="shared" si="99"/>
        <v>3.1994645934801427E-56</v>
      </c>
      <c r="H1076" s="1">
        <f t="shared" si="96"/>
        <v>3.1405074997853709E-57</v>
      </c>
      <c r="I1076">
        <f>IF($F$11&lt;=D1076, IF(D1076&lt;=$A$15,D1076-$F$11,$C$11),0)</f>
        <v>60</v>
      </c>
      <c r="J1076">
        <f t="shared" si="97"/>
        <v>989</v>
      </c>
      <c r="K1076" s="5">
        <f>IF(D1076&lt;$F$11,H1076,0)</f>
        <v>0</v>
      </c>
      <c r="L1076">
        <f>IF(D1076&lt;$A$15,$D$11,$D$11*(1-$H$11))</f>
        <v>85</v>
      </c>
      <c r="M1076">
        <f t="shared" si="98"/>
        <v>1</v>
      </c>
      <c r="N1076">
        <f>IF(SUM(I1076:J1076)&lt;=($G$11/60*$F$11/($E$11/60)),1,0)</f>
        <v>0</v>
      </c>
    </row>
    <row r="1077" spans="4:14" x14ac:dyDescent="0.2">
      <c r="D1077">
        <f t="shared" si="100"/>
        <v>1054</v>
      </c>
      <c r="E1077" s="1">
        <f>IF($H$11=1,IF(D1077&lt;=$A$15, E1076+LN($D$11)-LN(60/$E$11)-LN(MIN(D1077,$F$11)), E1076-LN(60/$E$11)-LN(MIN(D1077,$F$11))), IF(D1077&lt;=$A$15, E1076+LN($D$11)-LN(60/$E$11)-LN(MIN(D1077,$F$11)), E1076+LN($D$11)+LN(1-$H$11)-LN(60/$E$11)-LN(MIN(D1077,$F$11))))</f>
        <v>-125.90144585217543</v>
      </c>
      <c r="F1077" s="1">
        <f t="shared" si="101"/>
        <v>-127.90347866137449</v>
      </c>
      <c r="G1077" s="1">
        <f t="shared" si="99"/>
        <v>2.8328592754772058E-56</v>
      </c>
      <c r="H1077" s="1">
        <f t="shared" si="96"/>
        <v>2.7806576821016268E-57</v>
      </c>
      <c r="I1077">
        <f>IF($F$11&lt;=D1077, IF(D1077&lt;=$A$15,D1077-$F$11,$C$11),0)</f>
        <v>60</v>
      </c>
      <c r="J1077">
        <f t="shared" si="97"/>
        <v>990</v>
      </c>
      <c r="K1077" s="5">
        <f>IF(D1077&lt;$F$11,H1077,0)</f>
        <v>0</v>
      </c>
      <c r="L1077">
        <f>IF(D1077&lt;$A$15,$D$11,$D$11*(1-$H$11))</f>
        <v>85</v>
      </c>
      <c r="M1077">
        <f t="shared" si="98"/>
        <v>1</v>
      </c>
      <c r="N1077">
        <f>IF(SUM(I1077:J1077)&lt;=($G$11/60*$F$11/($E$11/60)),1,0)</f>
        <v>0</v>
      </c>
    </row>
    <row r="1078" spans="4:14" x14ac:dyDescent="0.2">
      <c r="D1078">
        <f t="shared" si="100"/>
        <v>1055</v>
      </c>
      <c r="E1078" s="1">
        <f>IF($H$11=1,IF(D1078&lt;=$A$15, E1077+LN($D$11)-LN(60/$E$11)-LN(MIN(D1078,$F$11)), E1077-LN(60/$E$11)-LN(MIN(D1078,$F$11))), IF(D1078&lt;=$A$15, E1077+LN($D$11)-LN(60/$E$11)-LN(MIN(D1078,$F$11)), E1077+LN($D$11)+LN(1-$H$11)-LN(60/$E$11)-LN(MIN(D1078,$F$11))))</f>
        <v>-126.02314278715295</v>
      </c>
      <c r="F1078" s="1">
        <f t="shared" si="101"/>
        <v>-128.025175596352</v>
      </c>
      <c r="G1078" s="1">
        <f t="shared" si="99"/>
        <v>2.5082608168288079E-56</v>
      </c>
      <c r="H1078" s="1">
        <f t="shared" si="96"/>
        <v>2.4620406560275132E-57</v>
      </c>
      <c r="I1078">
        <f>IF($F$11&lt;=D1078, IF(D1078&lt;=$A$15,D1078-$F$11,$C$11),0)</f>
        <v>60</v>
      </c>
      <c r="J1078">
        <f t="shared" si="97"/>
        <v>991</v>
      </c>
      <c r="K1078" s="5">
        <f>IF(D1078&lt;$F$11,H1078,0)</f>
        <v>0</v>
      </c>
      <c r="L1078">
        <f>IF(D1078&lt;$A$15,$D$11,$D$11*(1-$H$11))</f>
        <v>85</v>
      </c>
      <c r="M1078">
        <f t="shared" si="98"/>
        <v>1</v>
      </c>
      <c r="N1078">
        <f>IF(SUM(I1078:J1078)&lt;=($G$11/60*$F$11/($E$11/60)),1,0)</f>
        <v>0</v>
      </c>
    </row>
    <row r="1079" spans="4:14" x14ac:dyDescent="0.2">
      <c r="D1079">
        <f t="shared" si="100"/>
        <v>1056</v>
      </c>
      <c r="E1079" s="1">
        <f>IF($H$11=1,IF(D1079&lt;=$A$15, E1078+LN($D$11)-LN(60/$E$11)-LN(MIN(D1079,$F$11)), E1078-LN(60/$E$11)-LN(MIN(D1079,$F$11))), IF(D1079&lt;=$A$15, E1078+LN($D$11)-LN(60/$E$11)-LN(MIN(D1079,$F$11)), E1078+LN($D$11)+LN(1-$H$11)-LN(60/$E$11)-LN(MIN(D1079,$F$11))))</f>
        <v>-126.14483972213047</v>
      </c>
      <c r="F1079" s="1">
        <f t="shared" si="101"/>
        <v>-128.14687253132954</v>
      </c>
      <c r="G1079" s="1">
        <f t="shared" si="99"/>
        <v>2.220855931567139E-56</v>
      </c>
      <c r="H1079" s="1">
        <f t="shared" si="96"/>
        <v>2.17993183085766E-57</v>
      </c>
      <c r="I1079">
        <f>IF($F$11&lt;=D1079, IF(D1079&lt;=$A$15,D1079-$F$11,$C$11),0)</f>
        <v>60</v>
      </c>
      <c r="J1079">
        <f t="shared" si="97"/>
        <v>992</v>
      </c>
      <c r="K1079" s="5">
        <f>IF(D1079&lt;$F$11,H1079,0)</f>
        <v>0</v>
      </c>
      <c r="L1079">
        <f>IF(D1079&lt;$A$15,$D$11,$D$11*(1-$H$11))</f>
        <v>85</v>
      </c>
      <c r="M1079">
        <f t="shared" si="98"/>
        <v>1</v>
      </c>
      <c r="N1079">
        <f>IF(SUM(I1079:J1079)&lt;=($G$11/60*$F$11/($E$11/60)),1,0)</f>
        <v>0</v>
      </c>
    </row>
    <row r="1080" spans="4:14" x14ac:dyDescent="0.2">
      <c r="D1080">
        <f t="shared" si="100"/>
        <v>1057</v>
      </c>
      <c r="E1080" s="1">
        <f>IF($H$11=1,IF(D1080&lt;=$A$15, E1079+LN($D$11)-LN(60/$E$11)-LN(MIN(D1080,$F$11)), E1079-LN(60/$E$11)-LN(MIN(D1080,$F$11))), IF(D1080&lt;=$A$15, E1079+LN($D$11)-LN(60/$E$11)-LN(MIN(D1080,$F$11)), E1079+LN($D$11)+LN(1-$H$11)-LN(60/$E$11)-LN(MIN(D1080,$F$11))))</f>
        <v>-126.26653665710799</v>
      </c>
      <c r="F1080" s="1">
        <f t="shared" si="101"/>
        <v>-128.26856946630704</v>
      </c>
      <c r="G1080" s="1">
        <f t="shared" si="99"/>
        <v>1.966382856075096E-56</v>
      </c>
      <c r="H1080" s="1">
        <f t="shared" si="96"/>
        <v>1.9301479752385776E-57</v>
      </c>
      <c r="I1080">
        <f>IF($F$11&lt;=D1080, IF(D1080&lt;=$A$15,D1080-$F$11,$C$11),0)</f>
        <v>60</v>
      </c>
      <c r="J1080">
        <f t="shared" si="97"/>
        <v>993</v>
      </c>
      <c r="K1080" s="5">
        <f>IF(D1080&lt;$F$11,H1080,0)</f>
        <v>0</v>
      </c>
      <c r="L1080">
        <f>IF(D1080&lt;$A$15,$D$11,$D$11*(1-$H$11))</f>
        <v>85</v>
      </c>
      <c r="M1080">
        <f t="shared" si="98"/>
        <v>1</v>
      </c>
      <c r="N1080">
        <f>IF(SUM(I1080:J1080)&lt;=($G$11/60*$F$11/($E$11/60)),1,0)</f>
        <v>0</v>
      </c>
    </row>
    <row r="1081" spans="4:14" x14ac:dyDescent="0.2">
      <c r="D1081">
        <f t="shared" si="100"/>
        <v>1058</v>
      </c>
      <c r="E1081" s="1">
        <f>IF($H$11=1,IF(D1081&lt;=$A$15, E1080+LN($D$11)-LN(60/$E$11)-LN(MIN(D1081,$F$11)), E1080-LN(60/$E$11)-LN(MIN(D1081,$F$11))), IF(D1081&lt;=$A$15, E1080+LN($D$11)-LN(60/$E$11)-LN(MIN(D1081,$F$11)), E1080+LN($D$11)+LN(1-$H$11)-LN(60/$E$11)-LN(MIN(D1081,$F$11))))</f>
        <v>-126.38823359208551</v>
      </c>
      <c r="F1081" s="1">
        <f t="shared" si="101"/>
        <v>-128.39026640128458</v>
      </c>
      <c r="G1081" s="1">
        <f t="shared" si="99"/>
        <v>1.7410681538164642E-56</v>
      </c>
      <c r="H1081" s="1">
        <f t="shared" si="96"/>
        <v>1.7089851864091307E-57</v>
      </c>
      <c r="I1081">
        <f>IF($F$11&lt;=D1081, IF(D1081&lt;=$A$15,D1081-$F$11,$C$11),0)</f>
        <v>60</v>
      </c>
      <c r="J1081">
        <f t="shared" si="97"/>
        <v>994</v>
      </c>
      <c r="K1081" s="5">
        <f>IF(D1081&lt;$F$11,H1081,0)</f>
        <v>0</v>
      </c>
      <c r="L1081">
        <f>IF(D1081&lt;$A$15,$D$11,$D$11*(1-$H$11))</f>
        <v>85</v>
      </c>
      <c r="M1081">
        <f t="shared" si="98"/>
        <v>1</v>
      </c>
      <c r="N1081">
        <f>IF(SUM(I1081:J1081)&lt;=($G$11/60*$F$11/($E$11/60)),1,0)</f>
        <v>0</v>
      </c>
    </row>
    <row r="1082" spans="4:14" x14ac:dyDescent="0.2">
      <c r="D1082">
        <f t="shared" si="100"/>
        <v>1059</v>
      </c>
      <c r="E1082" s="1">
        <f>IF($H$11=1,IF(D1082&lt;=$A$15, E1081+LN($D$11)-LN(60/$E$11)-LN(MIN(D1082,$F$11)), E1081-LN(60/$E$11)-LN(MIN(D1082,$F$11))), IF(D1082&lt;=$A$15, E1081+LN($D$11)-LN(60/$E$11)-LN(MIN(D1082,$F$11)), E1081+LN($D$11)+LN(1-$H$11)-LN(60/$E$11)-LN(MIN(D1082,$F$11))))</f>
        <v>-126.50993052706303</v>
      </c>
      <c r="F1082" s="1">
        <f t="shared" si="101"/>
        <v>-128.51196333626208</v>
      </c>
      <c r="G1082" s="1">
        <f t="shared" si="99"/>
        <v>1.5415707611916808E-56</v>
      </c>
      <c r="H1082" s="1">
        <f t="shared" si="96"/>
        <v>1.5131639671331038E-57</v>
      </c>
      <c r="I1082">
        <f>IF($F$11&lt;=D1082, IF(D1082&lt;=$A$15,D1082-$F$11,$C$11),0)</f>
        <v>60</v>
      </c>
      <c r="J1082">
        <f t="shared" si="97"/>
        <v>995</v>
      </c>
      <c r="K1082" s="5">
        <f>IF(D1082&lt;$F$11,H1082,0)</f>
        <v>0</v>
      </c>
      <c r="L1082">
        <f>IF(D1082&lt;$A$15,$D$11,$D$11*(1-$H$11))</f>
        <v>85</v>
      </c>
      <c r="M1082">
        <f t="shared" si="98"/>
        <v>1</v>
      </c>
      <c r="N1082">
        <f>IF(SUM(I1082:J1082)&lt;=($G$11/60*$F$11/($E$11/60)),1,0)</f>
        <v>0</v>
      </c>
    </row>
    <row r="1083" spans="4:14" x14ac:dyDescent="0.2">
      <c r="D1083">
        <f t="shared" si="100"/>
        <v>1060</v>
      </c>
      <c r="E1083" s="1">
        <f>IF($H$11=1,IF(D1083&lt;=$A$15, E1082+LN($D$11)-LN(60/$E$11)-LN(MIN(D1083,$F$11)), E1082-LN(60/$E$11)-LN(MIN(D1083,$F$11))), IF(D1083&lt;=$A$15, E1082+LN($D$11)-LN(60/$E$11)-LN(MIN(D1083,$F$11)), E1082+LN($D$11)+LN(1-$H$11)-LN(60/$E$11)-LN(MIN(D1083,$F$11))))</f>
        <v>-126.63162746204056</v>
      </c>
      <c r="F1083" s="1">
        <f t="shared" si="101"/>
        <v>-128.63366027123962</v>
      </c>
      <c r="G1083" s="1">
        <f t="shared" si="99"/>
        <v>1.3649324448051126E-56</v>
      </c>
      <c r="H1083" s="1">
        <f t="shared" si="96"/>
        <v>1.3397805958990813E-57</v>
      </c>
      <c r="I1083">
        <f>IF($F$11&lt;=D1083, IF(D1083&lt;=$A$15,D1083-$F$11,$C$11),0)</f>
        <v>60</v>
      </c>
      <c r="J1083">
        <f t="shared" si="97"/>
        <v>996</v>
      </c>
      <c r="K1083" s="5">
        <f>IF(D1083&lt;$F$11,H1083,0)</f>
        <v>0</v>
      </c>
      <c r="L1083">
        <f>IF(D1083&lt;$A$15,$D$11,$D$11*(1-$H$11))</f>
        <v>85</v>
      </c>
      <c r="M1083">
        <f t="shared" si="98"/>
        <v>1</v>
      </c>
      <c r="N1083">
        <f>IF(SUM(I1083:J1083)&lt;=($G$11/60*$F$11/($E$11/60)),1,0)</f>
        <v>0</v>
      </c>
    </row>
    <row r="1084" spans="4:14" x14ac:dyDescent="0.2">
      <c r="D1084">
        <f t="shared" si="100"/>
        <v>1061</v>
      </c>
      <c r="E1084" s="1">
        <f>IF($H$11=1,IF(D1084&lt;=$A$15, E1083+LN($D$11)-LN(60/$E$11)-LN(MIN(D1084,$F$11)), E1083-LN(60/$E$11)-LN(MIN(D1084,$F$11))), IF(D1084&lt;=$A$15, E1083+LN($D$11)-LN(60/$E$11)-LN(MIN(D1084,$F$11)), E1083+LN($D$11)+LN(1-$H$11)-LN(60/$E$11)-LN(MIN(D1084,$F$11))))</f>
        <v>-126.75332439701808</v>
      </c>
      <c r="F1084" s="1">
        <f t="shared" si="101"/>
        <v>-128.75535720621713</v>
      </c>
      <c r="G1084" s="1">
        <f t="shared" si="99"/>
        <v>1.2085339355045422E-56</v>
      </c>
      <c r="H1084" s="1">
        <f t="shared" si="96"/>
        <v>1.1862640692856601E-57</v>
      </c>
      <c r="I1084">
        <f>IF($F$11&lt;=D1084, IF(D1084&lt;=$A$15,D1084-$F$11,$C$11),0)</f>
        <v>60</v>
      </c>
      <c r="J1084">
        <f t="shared" si="97"/>
        <v>997</v>
      </c>
      <c r="K1084" s="5">
        <f>IF(D1084&lt;$F$11,H1084,0)</f>
        <v>0</v>
      </c>
      <c r="L1084">
        <f>IF(D1084&lt;$A$15,$D$11,$D$11*(1-$H$11))</f>
        <v>85</v>
      </c>
      <c r="M1084">
        <f t="shared" si="98"/>
        <v>1</v>
      </c>
      <c r="N1084">
        <f>IF(SUM(I1084:J1084)&lt;=($G$11/60*$F$11/($E$11/60)),1,0)</f>
        <v>0</v>
      </c>
    </row>
    <row r="1085" spans="4:14" x14ac:dyDescent="0.2">
      <c r="D1085">
        <f t="shared" si="100"/>
        <v>1062</v>
      </c>
      <c r="E1085" s="1">
        <f>IF($H$11=1,IF(D1085&lt;=$A$15, E1084+LN($D$11)-LN(60/$E$11)-LN(MIN(D1085,$F$11)), E1084-LN(60/$E$11)-LN(MIN(D1085,$F$11))), IF(D1085&lt;=$A$15, E1084+LN($D$11)-LN(60/$E$11)-LN(MIN(D1085,$F$11)), E1084+LN($D$11)+LN(1-$H$11)-LN(60/$E$11)-LN(MIN(D1085,$F$11))))</f>
        <v>-126.8750213319956</v>
      </c>
      <c r="F1085" s="1">
        <f t="shared" si="101"/>
        <v>-128.87705414119466</v>
      </c>
      <c r="G1085" s="1">
        <f t="shared" si="99"/>
        <v>1.0700560887279633E-56</v>
      </c>
      <c r="H1085" s="1">
        <f t="shared" si="96"/>
        <v>1.0503379780133284E-57</v>
      </c>
      <c r="I1085">
        <f>IF($F$11&lt;=D1085, IF(D1085&lt;=$A$15,D1085-$F$11,$C$11),0)</f>
        <v>60</v>
      </c>
      <c r="J1085">
        <f t="shared" si="97"/>
        <v>998</v>
      </c>
      <c r="K1085" s="5">
        <f>IF(D1085&lt;$F$11,H1085,0)</f>
        <v>0</v>
      </c>
      <c r="L1085">
        <f>IF(D1085&lt;$A$15,$D$11,$D$11*(1-$H$11))</f>
        <v>85</v>
      </c>
      <c r="M1085">
        <f t="shared" si="98"/>
        <v>1</v>
      </c>
      <c r="N1085">
        <f>IF(SUM(I1085:J1085)&lt;=($G$11/60*$F$11/($E$11/60)),1,0)</f>
        <v>0</v>
      </c>
    </row>
    <row r="1086" spans="4:14" x14ac:dyDescent="0.2">
      <c r="D1086">
        <f t="shared" si="100"/>
        <v>1063</v>
      </c>
      <c r="E1086" s="1">
        <f>IF($H$11=1,IF(D1086&lt;=$A$15, E1085+LN($D$11)-LN(60/$E$11)-LN(MIN(D1086,$F$11)), E1085-LN(60/$E$11)-LN(MIN(D1086,$F$11))), IF(D1086&lt;=$A$15, E1085+LN($D$11)-LN(60/$E$11)-LN(MIN(D1086,$F$11)), E1085+LN($D$11)+LN(1-$H$11)-LN(60/$E$11)-LN(MIN(D1086,$F$11))))</f>
        <v>-126.99671826697312</v>
      </c>
      <c r="F1086" s="1">
        <f t="shared" si="101"/>
        <v>-128.99875107617217</v>
      </c>
      <c r="G1086" s="1">
        <f t="shared" si="99"/>
        <v>9.4744549522789635E-57</v>
      </c>
      <c r="H1086" s="1">
        <f t="shared" si="96"/>
        <v>9.2998675136597979E-58</v>
      </c>
      <c r="I1086">
        <f>IF($F$11&lt;=D1086, IF(D1086&lt;=$A$15,D1086-$F$11,$C$11),0)</f>
        <v>60</v>
      </c>
      <c r="J1086">
        <f t="shared" si="97"/>
        <v>999</v>
      </c>
      <c r="K1086" s="5">
        <f>IF(D1086&lt;$F$11,H1086,0)</f>
        <v>0</v>
      </c>
      <c r="L1086">
        <f>IF(D1086&lt;$A$15,$D$11,$D$11*(1-$H$11))</f>
        <v>85</v>
      </c>
      <c r="M1086">
        <f t="shared" si="98"/>
        <v>1</v>
      </c>
      <c r="N1086">
        <f>IF(SUM(I1086:J1086)&lt;=($G$11/60*$F$11/($E$11/60)),1,0)</f>
        <v>0</v>
      </c>
    </row>
    <row r="1087" spans="4:14" x14ac:dyDescent="0.2">
      <c r="D1087">
        <f t="shared" si="100"/>
        <v>1064</v>
      </c>
      <c r="E1087" s="1">
        <f>IF($H$11=1,IF(D1087&lt;=$A$15, E1086+LN($D$11)-LN(60/$E$11)-LN(MIN(D1087,$F$11)), E1086-LN(60/$E$11)-LN(MIN(D1087,$F$11))), IF(D1087&lt;=$A$15, E1086+LN($D$11)-LN(60/$E$11)-LN(MIN(D1087,$F$11)), E1086+LN($D$11)+LN(1-$H$11)-LN(60/$E$11)-LN(MIN(D1087,$F$11))))</f>
        <v>-127.11841520195064</v>
      </c>
      <c r="F1087" s="1">
        <f t="shared" si="101"/>
        <v>-129.1204480111497</v>
      </c>
      <c r="G1087" s="1">
        <f t="shared" si="99"/>
        <v>8.3888403223302004E-57</v>
      </c>
      <c r="H1087" s="1">
        <f t="shared" si="96"/>
        <v>8.2342576943861497E-58</v>
      </c>
      <c r="I1087">
        <f>IF($F$11&lt;=D1087, IF(D1087&lt;=$A$15,D1087-$F$11,$C$11),0)</f>
        <v>60</v>
      </c>
      <c r="J1087">
        <f t="shared" si="97"/>
        <v>1000</v>
      </c>
      <c r="K1087" s="5">
        <f>IF(D1087&lt;$F$11,H1087,0)</f>
        <v>0</v>
      </c>
      <c r="L1087">
        <f>IF(D1087&lt;$A$15,$D$11,$D$11*(1-$H$11))</f>
        <v>85</v>
      </c>
      <c r="M1087">
        <f t="shared" si="98"/>
        <v>1</v>
      </c>
      <c r="N1087">
        <f>IF(SUM(I1087:J1087)&lt;=($G$11/60*$F$11/($E$11/60)),1,0)</f>
        <v>0</v>
      </c>
    </row>
    <row r="1088" spans="4:14" x14ac:dyDescent="0.2">
      <c r="D1088">
        <f t="shared" si="100"/>
        <v>1065</v>
      </c>
      <c r="E1088" s="1">
        <f>IF($H$11=1,IF(D1088&lt;=$A$15, E1087+LN($D$11)-LN(60/$E$11)-LN(MIN(D1088,$F$11)), E1087-LN(60/$E$11)-LN(MIN(D1088,$F$11))), IF(D1088&lt;=$A$15, E1087+LN($D$11)-LN(60/$E$11)-LN(MIN(D1088,$F$11)), E1087+LN($D$11)+LN(1-$H$11)-LN(60/$E$11)-LN(MIN(D1088,$F$11))))</f>
        <v>-127.24011213692816</v>
      </c>
      <c r="F1088" s="1">
        <f t="shared" si="101"/>
        <v>-129.24214494612721</v>
      </c>
      <c r="G1088" s="1">
        <f t="shared" si="99"/>
        <v>7.4276190353966266E-57</v>
      </c>
      <c r="H1088" s="1">
        <f t="shared" si="96"/>
        <v>7.29074900023783E-58</v>
      </c>
      <c r="I1088">
        <f>IF($F$11&lt;=D1088, IF(D1088&lt;=$A$15,D1088-$F$11,$C$11),0)</f>
        <v>60</v>
      </c>
      <c r="J1088">
        <f t="shared" si="97"/>
        <v>1001</v>
      </c>
      <c r="K1088" s="5">
        <f>IF(D1088&lt;$F$11,H1088,0)</f>
        <v>0</v>
      </c>
      <c r="L1088">
        <f>IF(D1088&lt;$A$15,$D$11,$D$11*(1-$H$11))</f>
        <v>85</v>
      </c>
      <c r="M1088">
        <f t="shared" si="98"/>
        <v>1</v>
      </c>
      <c r="N1088">
        <f>IF(SUM(I1088:J1088)&lt;=($G$11/60*$F$11/($E$11/60)),1,0)</f>
        <v>0</v>
      </c>
    </row>
    <row r="1089" spans="4:14" x14ac:dyDescent="0.2">
      <c r="D1089">
        <f t="shared" si="100"/>
        <v>1066</v>
      </c>
      <c r="E1089" s="1">
        <f>IF($H$11=1,IF(D1089&lt;=$A$15, E1088+LN($D$11)-LN(60/$E$11)-LN(MIN(D1089,$F$11)), E1088-LN(60/$E$11)-LN(MIN(D1089,$F$11))), IF(D1089&lt;=$A$15, E1088+LN($D$11)-LN(60/$E$11)-LN(MIN(D1089,$F$11)), E1088+LN($D$11)+LN(1-$H$11)-LN(60/$E$11)-LN(MIN(D1089,$F$11))))</f>
        <v>-127.36180907190568</v>
      </c>
      <c r="F1089" s="1">
        <f t="shared" si="101"/>
        <v>-129.36384188110475</v>
      </c>
      <c r="G1089" s="1">
        <f t="shared" si="99"/>
        <v>6.5765376875906607E-57</v>
      </c>
      <c r="H1089" s="1">
        <f t="shared" si="96"/>
        <v>6.4553506772938123E-58</v>
      </c>
      <c r="I1089">
        <f>IF($F$11&lt;=D1089, IF(D1089&lt;=$A$15,D1089-$F$11,$C$11),0)</f>
        <v>60</v>
      </c>
      <c r="J1089">
        <f t="shared" si="97"/>
        <v>1002</v>
      </c>
      <c r="K1089" s="5">
        <f>IF(D1089&lt;$F$11,H1089,0)</f>
        <v>0</v>
      </c>
      <c r="L1089">
        <f>IF(D1089&lt;$A$15,$D$11,$D$11*(1-$H$11))</f>
        <v>85</v>
      </c>
      <c r="M1089">
        <f t="shared" si="98"/>
        <v>1</v>
      </c>
      <c r="N1089">
        <f>IF(SUM(I1089:J1089)&lt;=($G$11/60*$F$11/($E$11/60)),1,0)</f>
        <v>0</v>
      </c>
    </row>
    <row r="1090" spans="4:14" x14ac:dyDescent="0.2">
      <c r="D1090">
        <f t="shared" si="100"/>
        <v>1067</v>
      </c>
      <c r="E1090" s="1">
        <f>IF($H$11=1,IF(D1090&lt;=$A$15, E1089+LN($D$11)-LN(60/$E$11)-LN(MIN(D1090,$F$11)), E1089-LN(60/$E$11)-LN(MIN(D1090,$F$11))), IF(D1090&lt;=$A$15, E1089+LN($D$11)-LN(60/$E$11)-LN(MIN(D1090,$F$11)), E1089+LN($D$11)+LN(1-$H$11)-LN(60/$E$11)-LN(MIN(D1090,$F$11))))</f>
        <v>-127.4835060068832</v>
      </c>
      <c r="F1090" s="1">
        <f t="shared" si="101"/>
        <v>-129.48553881608225</v>
      </c>
      <c r="G1090" s="1">
        <f t="shared" si="99"/>
        <v>5.8229760775543053E-57</v>
      </c>
      <c r="H1090" s="1">
        <f t="shared" si="96"/>
        <v>5.7156750788539687E-58</v>
      </c>
      <c r="I1090">
        <f>IF($F$11&lt;=D1090, IF(D1090&lt;=$A$15,D1090-$F$11,$C$11),0)</f>
        <v>60</v>
      </c>
      <c r="J1090">
        <f t="shared" si="97"/>
        <v>1003</v>
      </c>
      <c r="K1090" s="5">
        <f>IF(D1090&lt;$F$11,H1090,0)</f>
        <v>0</v>
      </c>
      <c r="L1090">
        <f>IF(D1090&lt;$A$15,$D$11,$D$11*(1-$H$11))</f>
        <v>85</v>
      </c>
      <c r="M1090">
        <f t="shared" si="98"/>
        <v>1</v>
      </c>
      <c r="N1090">
        <f>IF(SUM(I1090:J1090)&lt;=($G$11/60*$F$11/($E$11/60)),1,0)</f>
        <v>0</v>
      </c>
    </row>
    <row r="1091" spans="4:14" x14ac:dyDescent="0.2">
      <c r="D1091">
        <f t="shared" si="100"/>
        <v>1068</v>
      </c>
      <c r="E1091" s="1">
        <f>IF($H$11=1,IF(D1091&lt;=$A$15, E1090+LN($D$11)-LN(60/$E$11)-LN(MIN(D1091,$F$11)), E1090-LN(60/$E$11)-LN(MIN(D1091,$F$11))), IF(D1091&lt;=$A$15, E1090+LN($D$11)-LN(60/$E$11)-LN(MIN(D1091,$F$11)), E1090+LN($D$11)+LN(1-$H$11)-LN(60/$E$11)-LN(MIN(D1091,$F$11))))</f>
        <v>-127.60520294186072</v>
      </c>
      <c r="F1091" s="1">
        <f t="shared" si="101"/>
        <v>-129.60723575105979</v>
      </c>
      <c r="G1091" s="1">
        <f t="shared" si="99"/>
        <v>5.1557600686677934E-57</v>
      </c>
      <c r="H1091" s="1">
        <f t="shared" si="96"/>
        <v>5.0607539760685384E-58</v>
      </c>
      <c r="I1091">
        <f>IF($F$11&lt;=D1091, IF(D1091&lt;=$A$15,D1091-$F$11,$C$11),0)</f>
        <v>60</v>
      </c>
      <c r="J1091">
        <f t="shared" si="97"/>
        <v>1004</v>
      </c>
      <c r="K1091" s="5">
        <f>IF(D1091&lt;$F$11,H1091,0)</f>
        <v>0</v>
      </c>
      <c r="L1091">
        <f>IF(D1091&lt;$A$15,$D$11,$D$11*(1-$H$11))</f>
        <v>85</v>
      </c>
      <c r="M1091">
        <f t="shared" si="98"/>
        <v>1</v>
      </c>
      <c r="N1091">
        <f>IF(SUM(I1091:J1091)&lt;=($G$11/60*$F$11/($E$11/60)),1,0)</f>
        <v>0</v>
      </c>
    </row>
    <row r="1092" spans="4:14" x14ac:dyDescent="0.2">
      <c r="D1092">
        <f t="shared" si="100"/>
        <v>1069</v>
      </c>
      <c r="E1092" s="1">
        <f>IF($H$11=1,IF(D1092&lt;=$A$15, E1091+LN($D$11)-LN(60/$E$11)-LN(MIN(D1092,$F$11)), E1091-LN(60/$E$11)-LN(MIN(D1092,$F$11))), IF(D1092&lt;=$A$15, E1091+LN($D$11)-LN(60/$E$11)-LN(MIN(D1092,$F$11)), E1091+LN($D$11)+LN(1-$H$11)-LN(60/$E$11)-LN(MIN(D1092,$F$11))))</f>
        <v>-127.72689987683825</v>
      </c>
      <c r="F1092" s="1">
        <f t="shared" si="101"/>
        <v>-129.7289326860373</v>
      </c>
      <c r="G1092" s="1">
        <f t="shared" si="99"/>
        <v>4.5649958941330011E-57</v>
      </c>
      <c r="H1092" s="1">
        <f t="shared" si="96"/>
        <v>4.4808759163107432E-58</v>
      </c>
      <c r="I1092">
        <f>IF($F$11&lt;=D1092, IF(D1092&lt;=$A$15,D1092-$F$11,$C$11),0)</f>
        <v>60</v>
      </c>
      <c r="J1092">
        <f t="shared" si="97"/>
        <v>1005</v>
      </c>
      <c r="K1092" s="5">
        <f>IF(D1092&lt;$F$11,H1092,0)</f>
        <v>0</v>
      </c>
      <c r="L1092">
        <f>IF(D1092&lt;$A$15,$D$11,$D$11*(1-$H$11))</f>
        <v>85</v>
      </c>
      <c r="M1092">
        <f t="shared" si="98"/>
        <v>1</v>
      </c>
      <c r="N1092">
        <f>IF(SUM(I1092:J1092)&lt;=($G$11/60*$F$11/($E$11/60)),1,0)</f>
        <v>0</v>
      </c>
    </row>
    <row r="1093" spans="4:14" x14ac:dyDescent="0.2">
      <c r="D1093">
        <f t="shared" si="100"/>
        <v>1070</v>
      </c>
      <c r="E1093" s="1">
        <f>IF($H$11=1,IF(D1093&lt;=$A$15, E1092+LN($D$11)-LN(60/$E$11)-LN(MIN(D1093,$F$11)), E1092-LN(60/$E$11)-LN(MIN(D1093,$F$11))), IF(D1093&lt;=$A$15, E1092+LN($D$11)-LN(60/$E$11)-LN(MIN(D1093,$F$11)), E1092+LN($D$11)+LN(1-$H$11)-LN(60/$E$11)-LN(MIN(D1093,$F$11))))</f>
        <v>-127.84859681181577</v>
      </c>
      <c r="F1093" s="1">
        <f t="shared" si="101"/>
        <v>-129.85062962101483</v>
      </c>
      <c r="G1093" s="1">
        <f t="shared" si="99"/>
        <v>4.041923447930198E-57</v>
      </c>
      <c r="H1093" s="1">
        <f t="shared" si="96"/>
        <v>3.9674422175667415E-58</v>
      </c>
      <c r="I1093">
        <f>IF($F$11&lt;=D1093, IF(D1093&lt;=$A$15,D1093-$F$11,$C$11),0)</f>
        <v>60</v>
      </c>
      <c r="J1093">
        <f t="shared" si="97"/>
        <v>1006</v>
      </c>
      <c r="K1093" s="5">
        <f>IF(D1093&lt;$F$11,H1093,0)</f>
        <v>0</v>
      </c>
      <c r="L1093">
        <f>IF(D1093&lt;$A$15,$D$11,$D$11*(1-$H$11))</f>
        <v>85</v>
      </c>
      <c r="M1093">
        <f t="shared" si="98"/>
        <v>1</v>
      </c>
      <c r="N1093">
        <f>IF(SUM(I1093:J1093)&lt;=($G$11/60*$F$11/($E$11/60)),1,0)</f>
        <v>0</v>
      </c>
    </row>
    <row r="1094" spans="4:14" x14ac:dyDescent="0.2">
      <c r="D1094">
        <f t="shared" si="100"/>
        <v>1071</v>
      </c>
      <c r="E1094" s="1">
        <f>IF($H$11=1,IF(D1094&lt;=$A$15, E1093+LN($D$11)-LN(60/$E$11)-LN(MIN(D1094,$F$11)), E1093-LN(60/$E$11)-LN(MIN(D1094,$F$11))), IF(D1094&lt;=$A$15, E1093+LN($D$11)-LN(60/$E$11)-LN(MIN(D1094,$F$11)), E1093+LN($D$11)+LN(1-$H$11)-LN(60/$E$11)-LN(MIN(D1094,$F$11))))</f>
        <v>-127.97029374679329</v>
      </c>
      <c r="F1094" s="1">
        <f t="shared" si="101"/>
        <v>-129.97232655599234</v>
      </c>
      <c r="G1094" s="1">
        <f t="shared" si="99"/>
        <v>3.5787863861882416E-57</v>
      </c>
      <c r="H1094" s="1">
        <f t="shared" si="96"/>
        <v>3.512839463470597E-58</v>
      </c>
      <c r="I1094">
        <f>IF($F$11&lt;=D1094, IF(D1094&lt;=$A$15,D1094-$F$11,$C$11),0)</f>
        <v>60</v>
      </c>
      <c r="J1094">
        <f t="shared" si="97"/>
        <v>1007</v>
      </c>
      <c r="K1094" s="5">
        <f>IF(D1094&lt;$F$11,H1094,0)</f>
        <v>0</v>
      </c>
      <c r="L1094">
        <f>IF(D1094&lt;$A$15,$D$11,$D$11*(1-$H$11))</f>
        <v>85</v>
      </c>
      <c r="M1094">
        <f t="shared" si="98"/>
        <v>1</v>
      </c>
      <c r="N1094">
        <f>IF(SUM(I1094:J1094)&lt;=($G$11/60*$F$11/($E$11/60)),1,0)</f>
        <v>0</v>
      </c>
    </row>
    <row r="1095" spans="4:14" x14ac:dyDescent="0.2">
      <c r="D1095">
        <f t="shared" si="100"/>
        <v>1072</v>
      </c>
      <c r="E1095" s="1">
        <f>IF($H$11=1,IF(D1095&lt;=$A$15, E1094+LN($D$11)-LN(60/$E$11)-LN(MIN(D1095,$F$11)), E1094-LN(60/$E$11)-LN(MIN(D1095,$F$11))), IF(D1095&lt;=$A$15, E1094+LN($D$11)-LN(60/$E$11)-LN(MIN(D1095,$F$11)), E1094+LN($D$11)+LN(1-$H$11)-LN(60/$E$11)-LN(MIN(D1095,$F$11))))</f>
        <v>-128.0919906817708</v>
      </c>
      <c r="F1095" s="1">
        <f t="shared" si="101"/>
        <v>-130.09402349096985</v>
      </c>
      <c r="G1095" s="1">
        <f t="shared" si="99"/>
        <v>3.1687171127708794E-57</v>
      </c>
      <c r="H1095" s="1">
        <f t="shared" si="96"/>
        <v>3.1103266082812975E-58</v>
      </c>
      <c r="I1095">
        <f>IF($F$11&lt;=D1095, IF(D1095&lt;=$A$15,D1095-$F$11,$C$11),0)</f>
        <v>60</v>
      </c>
      <c r="J1095">
        <f t="shared" si="97"/>
        <v>1008</v>
      </c>
      <c r="K1095" s="5">
        <f>IF(D1095&lt;$F$11,H1095,0)</f>
        <v>0</v>
      </c>
      <c r="L1095">
        <f>IF(D1095&lt;$A$15,$D$11,$D$11*(1-$H$11))</f>
        <v>85</v>
      </c>
      <c r="M1095">
        <f t="shared" si="98"/>
        <v>1</v>
      </c>
      <c r="N1095">
        <f>IF(SUM(I1095:J1095)&lt;=($G$11/60*$F$11/($E$11/60)),1,0)</f>
        <v>0</v>
      </c>
    </row>
    <row r="1096" spans="4:14" x14ac:dyDescent="0.2">
      <c r="D1096">
        <f t="shared" si="100"/>
        <v>1073</v>
      </c>
      <c r="E1096" s="1">
        <f>IF($H$11=1,IF(D1096&lt;=$A$15, E1095+LN($D$11)-LN(60/$E$11)-LN(MIN(D1096,$F$11)), E1095-LN(60/$E$11)-LN(MIN(D1096,$F$11))), IF(D1096&lt;=$A$15, E1095+LN($D$11)-LN(60/$E$11)-LN(MIN(D1096,$F$11)), E1095+LN($D$11)+LN(1-$H$11)-LN(60/$E$11)-LN(MIN(D1096,$F$11))))</f>
        <v>-128.2136876167483</v>
      </c>
      <c r="F1096" s="1">
        <f t="shared" si="101"/>
        <v>-130.21572042594735</v>
      </c>
      <c r="G1096" s="1">
        <f t="shared" si="99"/>
        <v>2.8056349435992524E-57</v>
      </c>
      <c r="H1096" s="1">
        <f t="shared" si="96"/>
        <v>2.7539350177491014E-58</v>
      </c>
      <c r="I1096">
        <f>IF($F$11&lt;=D1096, IF(D1096&lt;=$A$15,D1096-$F$11,$C$11),0)</f>
        <v>60</v>
      </c>
      <c r="J1096">
        <f t="shared" si="97"/>
        <v>1009</v>
      </c>
      <c r="K1096" s="5">
        <f>IF(D1096&lt;$F$11,H1096,0)</f>
        <v>0</v>
      </c>
      <c r="L1096">
        <f>IF(D1096&lt;$A$15,$D$11,$D$11*(1-$H$11))</f>
        <v>85</v>
      </c>
      <c r="M1096">
        <f t="shared" si="98"/>
        <v>1</v>
      </c>
      <c r="N1096">
        <f>IF(SUM(I1096:J1096)&lt;=($G$11/60*$F$11/($E$11/60)),1,0)</f>
        <v>0</v>
      </c>
    </row>
    <row r="1097" spans="4:14" x14ac:dyDescent="0.2">
      <c r="D1097">
        <f t="shared" si="100"/>
        <v>1074</v>
      </c>
      <c r="E1097" s="1">
        <f>IF($H$11=1,IF(D1097&lt;=$A$15, E1096+LN($D$11)-LN(60/$E$11)-LN(MIN(D1097,$F$11)), E1096-LN(60/$E$11)-LN(MIN(D1097,$F$11))), IF(D1097&lt;=$A$15, E1096+LN($D$11)-LN(60/$E$11)-LN(MIN(D1097,$F$11)), E1096+LN($D$11)+LN(1-$H$11)-LN(60/$E$11)-LN(MIN(D1097,$F$11))))</f>
        <v>-128.33538455172581</v>
      </c>
      <c r="F1097" s="1">
        <f t="shared" si="101"/>
        <v>-130.33741736092486</v>
      </c>
      <c r="G1097" s="1">
        <f t="shared" si="99"/>
        <v>2.4841559396452029E-57</v>
      </c>
      <c r="H1097" s="1">
        <f t="shared" si="96"/>
        <v>2.4383799636320476E-58</v>
      </c>
      <c r="I1097">
        <f>IF($F$11&lt;=D1097, IF(D1097&lt;=$A$15,D1097-$F$11,$C$11),0)</f>
        <v>60</v>
      </c>
      <c r="J1097">
        <f t="shared" si="97"/>
        <v>1010</v>
      </c>
      <c r="K1097" s="5">
        <f>IF(D1097&lt;$F$11,H1097,0)</f>
        <v>0</v>
      </c>
      <c r="L1097">
        <f>IF(D1097&lt;$A$15,$D$11,$D$11*(1-$H$11))</f>
        <v>85</v>
      </c>
      <c r="M1097">
        <f t="shared" si="98"/>
        <v>1</v>
      </c>
      <c r="N1097">
        <f>IF(SUM(I1097:J1097)&lt;=($G$11/60*$F$11/($E$11/60)),1,0)</f>
        <v>0</v>
      </c>
    </row>
    <row r="1098" spans="4:14" x14ac:dyDescent="0.2">
      <c r="D1098">
        <f t="shared" si="100"/>
        <v>1075</v>
      </c>
      <c r="E1098" s="1">
        <f>IF($H$11=1,IF(D1098&lt;=$A$15, E1097+LN($D$11)-LN(60/$E$11)-LN(MIN(D1098,$F$11)), E1097-LN(60/$E$11)-LN(MIN(D1098,$F$11))), IF(D1098&lt;=$A$15, E1097+LN($D$11)-LN(60/$E$11)-LN(MIN(D1098,$F$11)), E1097+LN($D$11)+LN(1-$H$11)-LN(60/$E$11)-LN(MIN(D1098,$F$11))))</f>
        <v>-128.45708148670332</v>
      </c>
      <c r="F1098" s="1">
        <f t="shared" si="101"/>
        <v>-130.45911429590237</v>
      </c>
      <c r="G1098" s="1">
        <f t="shared" si="99"/>
        <v>2.199513071560885E-57</v>
      </c>
      <c r="H1098" s="1">
        <f t="shared" si="96"/>
        <v>2.1589822594659031E-58</v>
      </c>
      <c r="I1098">
        <f>IF($F$11&lt;=D1098, IF(D1098&lt;=$A$15,D1098-$F$11,$C$11),0)</f>
        <v>60</v>
      </c>
      <c r="J1098">
        <f t="shared" si="97"/>
        <v>1011</v>
      </c>
      <c r="K1098" s="5">
        <f>IF(D1098&lt;$F$11,H1098,0)</f>
        <v>0</v>
      </c>
      <c r="L1098">
        <f>IF(D1098&lt;$A$15,$D$11,$D$11*(1-$H$11))</f>
        <v>85</v>
      </c>
      <c r="M1098">
        <f t="shared" si="98"/>
        <v>1</v>
      </c>
      <c r="N1098">
        <f>IF(SUM(I1098:J1098)&lt;=($G$11/60*$F$11/($E$11/60)),1,0)</f>
        <v>0</v>
      </c>
    </row>
    <row r="1099" spans="4:14" x14ac:dyDescent="0.2">
      <c r="D1099">
        <f t="shared" si="100"/>
        <v>1076</v>
      </c>
      <c r="E1099" s="1">
        <f>IF($H$11=1,IF(D1099&lt;=$A$15, E1098+LN($D$11)-LN(60/$E$11)-LN(MIN(D1099,$F$11)), E1098-LN(60/$E$11)-LN(MIN(D1099,$F$11))), IF(D1099&lt;=$A$15, E1098+LN($D$11)-LN(60/$E$11)-LN(MIN(D1099,$F$11)), E1098+LN($D$11)+LN(1-$H$11)-LN(60/$E$11)-LN(MIN(D1099,$F$11))))</f>
        <v>-128.57877842168082</v>
      </c>
      <c r="F1099" s="1">
        <f t="shared" si="101"/>
        <v>-130.58081123087987</v>
      </c>
      <c r="G1099" s="1">
        <f t="shared" si="99"/>
        <v>1.9474855321112251E-57</v>
      </c>
      <c r="H1099" s="1">
        <f t="shared" si="96"/>
        <v>1.911598875568793E-58</v>
      </c>
      <c r="I1099">
        <f>IF($F$11&lt;=D1099, IF(D1099&lt;=$A$15,D1099-$F$11,$C$11),0)</f>
        <v>60</v>
      </c>
      <c r="J1099">
        <f t="shared" si="97"/>
        <v>1012</v>
      </c>
      <c r="K1099" s="5">
        <f>IF(D1099&lt;$F$11,H1099,0)</f>
        <v>0</v>
      </c>
      <c r="L1099">
        <f>IF(D1099&lt;$A$15,$D$11,$D$11*(1-$H$11))</f>
        <v>85</v>
      </c>
      <c r="M1099">
        <f t="shared" si="98"/>
        <v>1</v>
      </c>
      <c r="N1099">
        <f>IF(SUM(I1099:J1099)&lt;=($G$11/60*$F$11/($E$11/60)),1,0)</f>
        <v>0</v>
      </c>
    </row>
    <row r="1100" spans="4:14" x14ac:dyDescent="0.2">
      <c r="D1100">
        <f t="shared" si="100"/>
        <v>1077</v>
      </c>
      <c r="E1100" s="1">
        <f>IF($H$11=1,IF(D1100&lt;=$A$15, E1099+LN($D$11)-LN(60/$E$11)-LN(MIN(D1100,$F$11)), E1099-LN(60/$E$11)-LN(MIN(D1100,$F$11))), IF(D1100&lt;=$A$15, E1099+LN($D$11)-LN(60/$E$11)-LN(MIN(D1100,$F$11)), E1099+LN($D$11)+LN(1-$H$11)-LN(60/$E$11)-LN(MIN(D1100,$F$11))))</f>
        <v>-128.70047535665833</v>
      </c>
      <c r="F1100" s="1">
        <f t="shared" si="101"/>
        <v>-130.70250816585738</v>
      </c>
      <c r="G1100" s="1">
        <f t="shared" si="99"/>
        <v>1.7243361482235025E-57</v>
      </c>
      <c r="H1100" s="1">
        <f t="shared" si="96"/>
        <v>1.6925615044098904E-58</v>
      </c>
      <c r="I1100">
        <f>IF($F$11&lt;=D1100, IF(D1100&lt;=$A$15,D1100-$F$11,$C$11),0)</f>
        <v>60</v>
      </c>
      <c r="J1100">
        <f t="shared" si="97"/>
        <v>1013</v>
      </c>
      <c r="K1100" s="5">
        <f>IF(D1100&lt;$F$11,H1100,0)</f>
        <v>0</v>
      </c>
      <c r="L1100">
        <f>IF(D1100&lt;$A$15,$D$11,$D$11*(1-$H$11))</f>
        <v>85</v>
      </c>
      <c r="M1100">
        <f t="shared" si="98"/>
        <v>1</v>
      </c>
      <c r="N1100">
        <f>IF(SUM(I1100:J1100)&lt;=($G$11/60*$F$11/($E$11/60)),1,0)</f>
        <v>0</v>
      </c>
    </row>
    <row r="1101" spans="4:14" x14ac:dyDescent="0.2">
      <c r="D1101">
        <f t="shared" si="100"/>
        <v>1078</v>
      </c>
      <c r="E1101" s="1">
        <f>IF($H$11=1,IF(D1101&lt;=$A$15, E1100+LN($D$11)-LN(60/$E$11)-LN(MIN(D1101,$F$11)), E1100-LN(60/$E$11)-LN(MIN(D1101,$F$11))), IF(D1101&lt;=$A$15, E1100+LN($D$11)-LN(60/$E$11)-LN(MIN(D1101,$F$11)), E1100+LN($D$11)+LN(1-$H$11)-LN(60/$E$11)-LN(MIN(D1101,$F$11))))</f>
        <v>-128.82217229163584</v>
      </c>
      <c r="F1101" s="1">
        <f t="shared" si="101"/>
        <v>-130.82420510083489</v>
      </c>
      <c r="G1101" s="1">
        <f t="shared" si="99"/>
        <v>1.5267559645729126E-57</v>
      </c>
      <c r="H1101" s="1">
        <f t="shared" si="96"/>
        <v>1.4986221653629429E-58</v>
      </c>
      <c r="I1101">
        <f>IF($F$11&lt;=D1101, IF(D1101&lt;=$A$15,D1101-$F$11,$C$11),0)</f>
        <v>60</v>
      </c>
      <c r="J1101">
        <f t="shared" si="97"/>
        <v>1014</v>
      </c>
      <c r="K1101" s="5">
        <f>IF(D1101&lt;$F$11,H1101,0)</f>
        <v>0</v>
      </c>
      <c r="L1101">
        <f>IF(D1101&lt;$A$15,$D$11,$D$11*(1-$H$11))</f>
        <v>85</v>
      </c>
      <c r="M1101">
        <f t="shared" si="98"/>
        <v>1</v>
      </c>
      <c r="N1101">
        <f>IF(SUM(I1101:J1101)&lt;=($G$11/60*$F$11/($E$11/60)),1,0)</f>
        <v>0</v>
      </c>
    </row>
    <row r="1102" spans="4:14" x14ac:dyDescent="0.2">
      <c r="D1102">
        <f t="shared" si="100"/>
        <v>1079</v>
      </c>
      <c r="E1102" s="1">
        <f>IF($H$11=1,IF(D1102&lt;=$A$15, E1101+LN($D$11)-LN(60/$E$11)-LN(MIN(D1102,$F$11)), E1101-LN(60/$E$11)-LN(MIN(D1102,$F$11))), IF(D1102&lt;=$A$15, E1101+LN($D$11)-LN(60/$E$11)-LN(MIN(D1102,$F$11)), E1101+LN($D$11)+LN(1-$H$11)-LN(60/$E$11)-LN(MIN(D1102,$F$11))))</f>
        <v>-128.94386922661334</v>
      </c>
      <c r="F1102" s="1">
        <f t="shared" si="101"/>
        <v>-130.9459020358124</v>
      </c>
      <c r="G1102" s="1">
        <f t="shared" si="99"/>
        <v>1.351815176965617E-57</v>
      </c>
      <c r="H1102" s="1">
        <f t="shared" si="96"/>
        <v>1.3269050422484562E-58</v>
      </c>
      <c r="I1102">
        <f>IF($F$11&lt;=D1102, IF(D1102&lt;=$A$15,D1102-$F$11,$C$11),0)</f>
        <v>60</v>
      </c>
      <c r="J1102">
        <f t="shared" si="97"/>
        <v>1015</v>
      </c>
      <c r="K1102" s="5">
        <f>IF(D1102&lt;$F$11,H1102,0)</f>
        <v>0</v>
      </c>
      <c r="L1102">
        <f>IF(D1102&lt;$A$15,$D$11,$D$11*(1-$H$11))</f>
        <v>85</v>
      </c>
      <c r="M1102">
        <f t="shared" si="98"/>
        <v>1</v>
      </c>
      <c r="N1102">
        <f>IF(SUM(I1102:J1102)&lt;=($G$11/60*$F$11/($E$11/60)),1,0)</f>
        <v>0</v>
      </c>
    </row>
    <row r="1103" spans="4:14" x14ac:dyDescent="0.2">
      <c r="D1103">
        <f t="shared" si="100"/>
        <v>1080</v>
      </c>
      <c r="E1103" s="1">
        <f>IF($H$11=1,IF(D1103&lt;=$A$15, E1102+LN($D$11)-LN(60/$E$11)-LN(MIN(D1103,$F$11)), E1102-LN(60/$E$11)-LN(MIN(D1103,$F$11))), IF(D1103&lt;=$A$15, E1102+LN($D$11)-LN(60/$E$11)-LN(MIN(D1103,$F$11)), E1102+LN($D$11)+LN(1-$H$11)-LN(60/$E$11)-LN(MIN(D1103,$F$11))))</f>
        <v>-129.06556616159085</v>
      </c>
      <c r="F1103" s="1">
        <f t="shared" si="101"/>
        <v>-131.0675989707899</v>
      </c>
      <c r="G1103" s="1">
        <f t="shared" si="99"/>
        <v>1.1969196879383219E-57</v>
      </c>
      <c r="H1103" s="1">
        <f t="shared" si="96"/>
        <v>1.1748638394908354E-58</v>
      </c>
      <c r="I1103">
        <f>IF($F$11&lt;=D1103, IF(D1103&lt;=$A$15,D1103-$F$11,$C$11),0)</f>
        <v>60</v>
      </c>
      <c r="J1103">
        <f t="shared" si="97"/>
        <v>1016</v>
      </c>
      <c r="K1103" s="5">
        <f>IF(D1103&lt;$F$11,H1103,0)</f>
        <v>0</v>
      </c>
      <c r="L1103">
        <f>IF(D1103&lt;$A$15,$D$11,$D$11*(1-$H$11))</f>
        <v>85</v>
      </c>
      <c r="M1103">
        <f t="shared" si="98"/>
        <v>1</v>
      </c>
      <c r="N1103">
        <f>IF(SUM(I1103:J1103)&lt;=($G$11/60*$F$11/($E$11/60)),1,0)</f>
        <v>0</v>
      </c>
    </row>
    <row r="1104" spans="4:14" x14ac:dyDescent="0.2">
      <c r="D1104">
        <f t="shared" si="100"/>
        <v>1081</v>
      </c>
      <c r="E1104" s="1">
        <f>IF($H$11=1,IF(D1104&lt;=$A$15, E1103+LN($D$11)-LN(60/$E$11)-LN(MIN(D1104,$F$11)), E1103-LN(60/$E$11)-LN(MIN(D1104,$F$11))), IF(D1104&lt;=$A$15, E1103+LN($D$11)-LN(60/$E$11)-LN(MIN(D1104,$F$11)), E1103+LN($D$11)+LN(1-$H$11)-LN(60/$E$11)-LN(MIN(D1104,$F$11))))</f>
        <v>-129.18726309656836</v>
      </c>
      <c r="F1104" s="1">
        <f t="shared" si="101"/>
        <v>-131.18929590576741</v>
      </c>
      <c r="G1104" s="1">
        <f t="shared" si="99"/>
        <v>1.0597726403620693E-57</v>
      </c>
      <c r="H1104" s="1">
        <f t="shared" si="96"/>
        <v>1.0402440245491904E-58</v>
      </c>
      <c r="I1104">
        <f>IF($F$11&lt;=D1104, IF(D1104&lt;=$A$15,D1104-$F$11,$C$11),0)</f>
        <v>60</v>
      </c>
      <c r="J1104">
        <f t="shared" si="97"/>
        <v>1017</v>
      </c>
      <c r="K1104" s="5">
        <f>IF(D1104&lt;$F$11,H1104,0)</f>
        <v>0</v>
      </c>
      <c r="L1104">
        <f>IF(D1104&lt;$A$15,$D$11,$D$11*(1-$H$11))</f>
        <v>85</v>
      </c>
      <c r="M1104">
        <f t="shared" si="98"/>
        <v>1</v>
      </c>
      <c r="N1104">
        <f>IF(SUM(I1104:J1104)&lt;=($G$11/60*$F$11/($E$11/60)),1,0)</f>
        <v>0</v>
      </c>
    </row>
    <row r="1105" spans="4:14" x14ac:dyDescent="0.2">
      <c r="D1105">
        <f t="shared" si="100"/>
        <v>1082</v>
      </c>
      <c r="E1105" s="1">
        <f>IF($H$11=1,IF(D1105&lt;=$A$15, E1104+LN($D$11)-LN(60/$E$11)-LN(MIN(D1105,$F$11)), E1104-LN(60/$E$11)-LN(MIN(D1105,$F$11))), IF(D1105&lt;=$A$15, E1104+LN($D$11)-LN(60/$E$11)-LN(MIN(D1105,$F$11)), E1104+LN($D$11)+LN(1-$H$11)-LN(60/$E$11)-LN(MIN(D1105,$F$11))))</f>
        <v>-129.30896003154587</v>
      </c>
      <c r="F1105" s="1">
        <f t="shared" si="101"/>
        <v>-131.31099284074492</v>
      </c>
      <c r="G1105" s="1">
        <f t="shared" si="99"/>
        <v>9.3834035865392765E-58</v>
      </c>
      <c r="H1105" s="1">
        <f t="shared" si="96"/>
        <v>9.2104939673627428E-59</v>
      </c>
      <c r="I1105">
        <f>IF($F$11&lt;=D1105, IF(D1105&lt;=$A$15,D1105-$F$11,$C$11),0)</f>
        <v>60</v>
      </c>
      <c r="J1105">
        <f t="shared" si="97"/>
        <v>1018</v>
      </c>
      <c r="K1105" s="5">
        <f>IF(D1105&lt;$F$11,H1105,0)</f>
        <v>0</v>
      </c>
      <c r="L1105">
        <f>IF(D1105&lt;$A$15,$D$11,$D$11*(1-$H$11))</f>
        <v>85</v>
      </c>
      <c r="M1105">
        <f t="shared" si="98"/>
        <v>1</v>
      </c>
      <c r="N1105">
        <f>IF(SUM(I1105:J1105)&lt;=($G$11/60*$F$11/($E$11/60)),1,0)</f>
        <v>0</v>
      </c>
    </row>
    <row r="1106" spans="4:14" x14ac:dyDescent="0.2">
      <c r="D1106">
        <f t="shared" si="100"/>
        <v>1083</v>
      </c>
      <c r="E1106" s="1">
        <f>IF($H$11=1,IF(D1106&lt;=$A$15, E1105+LN($D$11)-LN(60/$E$11)-LN(MIN(D1106,$F$11)), E1105-LN(60/$E$11)-LN(MIN(D1106,$F$11))), IF(D1106&lt;=$A$15, E1105+LN($D$11)-LN(60/$E$11)-LN(MIN(D1106,$F$11)), E1105+LN($D$11)+LN(1-$H$11)-LN(60/$E$11)-LN(MIN(D1106,$F$11))))</f>
        <v>-129.43065696652337</v>
      </c>
      <c r="F1106" s="1">
        <f t="shared" si="101"/>
        <v>-131.43268977572242</v>
      </c>
      <c r="G1106" s="1">
        <f t="shared" si="99"/>
        <v>8.3082219255817564E-58</v>
      </c>
      <c r="H1106" s="1">
        <f t="shared" si="96"/>
        <v>8.1551248669358642E-59</v>
      </c>
      <c r="I1106">
        <f>IF($F$11&lt;=D1106, IF(D1106&lt;=$A$15,D1106-$F$11,$C$11),0)</f>
        <v>60</v>
      </c>
      <c r="J1106">
        <f t="shared" si="97"/>
        <v>1019</v>
      </c>
      <c r="K1106" s="5">
        <f>IF(D1106&lt;$F$11,H1106,0)</f>
        <v>0</v>
      </c>
      <c r="L1106">
        <f>IF(D1106&lt;$A$15,$D$11,$D$11*(1-$H$11))</f>
        <v>85</v>
      </c>
      <c r="M1106">
        <f t="shared" si="98"/>
        <v>1</v>
      </c>
      <c r="N1106">
        <f>IF(SUM(I1106:J1106)&lt;=($G$11/60*$F$11/($E$11/60)),1,0)</f>
        <v>0</v>
      </c>
    </row>
    <row r="1107" spans="4:14" x14ac:dyDescent="0.2">
      <c r="D1107">
        <f t="shared" si="100"/>
        <v>1084</v>
      </c>
      <c r="E1107" s="1">
        <f>IF($H$11=1,IF(D1107&lt;=$A$15, E1106+LN($D$11)-LN(60/$E$11)-LN(MIN(D1107,$F$11)), E1106-LN(60/$E$11)-LN(MIN(D1107,$F$11))), IF(D1107&lt;=$A$15, E1106+LN($D$11)-LN(60/$E$11)-LN(MIN(D1107,$F$11)), E1106+LN($D$11)+LN(1-$H$11)-LN(60/$E$11)-LN(MIN(D1107,$F$11))))</f>
        <v>-129.55235390150088</v>
      </c>
      <c r="F1107" s="1">
        <f t="shared" si="101"/>
        <v>-131.55438671069993</v>
      </c>
      <c r="G1107" s="1">
        <f t="shared" si="99"/>
        <v>7.3562381632756074E-58</v>
      </c>
      <c r="H1107" s="1">
        <f t="shared" si="96"/>
        <v>7.2206834759328889E-59</v>
      </c>
      <c r="I1107">
        <f>IF($F$11&lt;=D1107, IF(D1107&lt;=$A$15,D1107-$F$11,$C$11),0)</f>
        <v>60</v>
      </c>
      <c r="J1107">
        <f t="shared" si="97"/>
        <v>1020</v>
      </c>
      <c r="K1107" s="5">
        <f>IF(D1107&lt;$F$11,H1107,0)</f>
        <v>0</v>
      </c>
      <c r="L1107">
        <f>IF(D1107&lt;$A$15,$D$11,$D$11*(1-$H$11))</f>
        <v>85</v>
      </c>
      <c r="M1107">
        <f t="shared" si="98"/>
        <v>1</v>
      </c>
      <c r="N1107">
        <f>IF(SUM(I1107:J1107)&lt;=($G$11/60*$F$11/($E$11/60)),1,0)</f>
        <v>0</v>
      </c>
    </row>
    <row r="1108" spans="4:14" x14ac:dyDescent="0.2">
      <c r="D1108">
        <f t="shared" si="100"/>
        <v>1085</v>
      </c>
      <c r="E1108" s="1">
        <f>IF($H$11=1,IF(D1108&lt;=$A$15, E1107+LN($D$11)-LN(60/$E$11)-LN(MIN(D1108,$F$11)), E1107-LN(60/$E$11)-LN(MIN(D1108,$F$11))), IF(D1108&lt;=$A$15, E1107+LN($D$11)-LN(60/$E$11)-LN(MIN(D1108,$F$11)), E1107+LN($D$11)+LN(1-$H$11)-LN(60/$E$11)-LN(MIN(D1108,$F$11))))</f>
        <v>-129.67405083647839</v>
      </c>
      <c r="F1108" s="1">
        <f t="shared" si="101"/>
        <v>-131.67608364567744</v>
      </c>
      <c r="G1108" s="1">
        <f t="shared" si="99"/>
        <v>6.5133358737336951E-58</v>
      </c>
      <c r="H1108" s="1">
        <f t="shared" si="96"/>
        <v>6.3933134943156616E-59</v>
      </c>
      <c r="I1108">
        <f>IF($F$11&lt;=D1108, IF(D1108&lt;=$A$15,D1108-$F$11,$C$11),0)</f>
        <v>60</v>
      </c>
      <c r="J1108">
        <f t="shared" si="97"/>
        <v>1021</v>
      </c>
      <c r="K1108" s="5">
        <f>IF(D1108&lt;$F$11,H1108,0)</f>
        <v>0</v>
      </c>
      <c r="L1108">
        <f>IF(D1108&lt;$A$15,$D$11,$D$11*(1-$H$11))</f>
        <v>85</v>
      </c>
      <c r="M1108">
        <f t="shared" si="98"/>
        <v>1</v>
      </c>
      <c r="N1108">
        <f>IF(SUM(I1108:J1108)&lt;=($G$11/60*$F$11/($E$11/60)),1,0)</f>
        <v>0</v>
      </c>
    </row>
    <row r="1109" spans="4:14" x14ac:dyDescent="0.2">
      <c r="D1109">
        <f t="shared" si="100"/>
        <v>1086</v>
      </c>
      <c r="E1109" s="1">
        <f>IF($H$11=1,IF(D1109&lt;=$A$15, E1108+LN($D$11)-LN(60/$E$11)-LN(MIN(D1109,$F$11)), E1108-LN(60/$E$11)-LN(MIN(D1109,$F$11))), IF(D1109&lt;=$A$15, E1108+LN($D$11)-LN(60/$E$11)-LN(MIN(D1109,$F$11)), E1108+LN($D$11)+LN(1-$H$11)-LN(60/$E$11)-LN(MIN(D1109,$F$11))))</f>
        <v>-129.79574777145589</v>
      </c>
      <c r="F1109" s="1">
        <f t="shared" si="101"/>
        <v>-131.79778058065494</v>
      </c>
      <c r="G1109" s="1">
        <f t="shared" si="99"/>
        <v>5.7670161382017824E-58</v>
      </c>
      <c r="H1109" s="1">
        <f t="shared" si="96"/>
        <v>5.6607463230920642E-59</v>
      </c>
      <c r="I1109">
        <f>IF($F$11&lt;=D1109, IF(D1109&lt;=$A$15,D1109-$F$11,$C$11),0)</f>
        <v>60</v>
      </c>
      <c r="J1109">
        <f t="shared" si="97"/>
        <v>1022</v>
      </c>
      <c r="K1109" s="5">
        <f>IF(D1109&lt;$F$11,H1109,0)</f>
        <v>0</v>
      </c>
      <c r="L1109">
        <f>IF(D1109&lt;$A$15,$D$11,$D$11*(1-$H$11))</f>
        <v>85</v>
      </c>
      <c r="M1109">
        <f t="shared" si="98"/>
        <v>1</v>
      </c>
      <c r="N1109">
        <f>IF(SUM(I1109:J1109)&lt;=($G$11/60*$F$11/($E$11/60)),1,0)</f>
        <v>0</v>
      </c>
    </row>
    <row r="1110" spans="4:14" x14ac:dyDescent="0.2">
      <c r="D1110">
        <f t="shared" si="100"/>
        <v>1087</v>
      </c>
      <c r="E1110" s="1">
        <f>IF($H$11=1,IF(D1110&lt;=$A$15, E1109+LN($D$11)-LN(60/$E$11)-LN(MIN(D1110,$F$11)), E1109-LN(60/$E$11)-LN(MIN(D1110,$F$11))), IF(D1110&lt;=$A$15, E1109+LN($D$11)-LN(60/$E$11)-LN(MIN(D1110,$F$11)), E1109+LN($D$11)+LN(1-$H$11)-LN(60/$E$11)-LN(MIN(D1110,$F$11))))</f>
        <v>-129.9174447064334</v>
      </c>
      <c r="F1110" s="1">
        <f t="shared" si="101"/>
        <v>-131.91947751563245</v>
      </c>
      <c r="G1110" s="1">
        <f t="shared" si="99"/>
        <v>5.1062122056995602E-58</v>
      </c>
      <c r="H1110" s="1">
        <f t="shared" si="96"/>
        <v>5.0121191402378289E-59</v>
      </c>
      <c r="I1110">
        <f>IF($F$11&lt;=D1110, IF(D1110&lt;=$A$15,D1110-$F$11,$C$11),0)</f>
        <v>60</v>
      </c>
      <c r="J1110">
        <f t="shared" si="97"/>
        <v>1023</v>
      </c>
      <c r="K1110" s="5">
        <f>IF(D1110&lt;$F$11,H1110,0)</f>
        <v>0</v>
      </c>
      <c r="L1110">
        <f>IF(D1110&lt;$A$15,$D$11,$D$11*(1-$H$11))</f>
        <v>85</v>
      </c>
      <c r="M1110">
        <f t="shared" si="98"/>
        <v>1</v>
      </c>
      <c r="N1110">
        <f>IF(SUM(I1110:J1110)&lt;=($G$11/60*$F$11/($E$11/60)),1,0)</f>
        <v>0</v>
      </c>
    </row>
    <row r="1111" spans="4:14" x14ac:dyDescent="0.2">
      <c r="D1111">
        <f t="shared" si="100"/>
        <v>1088</v>
      </c>
      <c r="E1111" s="1">
        <f>IF($H$11=1,IF(D1111&lt;=$A$15, E1110+LN($D$11)-LN(60/$E$11)-LN(MIN(D1111,$F$11)), E1110-LN(60/$E$11)-LN(MIN(D1111,$F$11))), IF(D1111&lt;=$A$15, E1110+LN($D$11)-LN(60/$E$11)-LN(MIN(D1111,$F$11)), E1110+LN($D$11)+LN(1-$H$11)-LN(60/$E$11)-LN(MIN(D1111,$F$11))))</f>
        <v>-130.03914164141091</v>
      </c>
      <c r="F1111" s="1">
        <f t="shared" si="101"/>
        <v>-132.04117445060996</v>
      </c>
      <c r="G1111" s="1">
        <f t="shared" si="99"/>
        <v>4.5211253904632097E-58</v>
      </c>
      <c r="H1111" s="1">
        <f t="shared" ref="H1111:H1174" si="102">G1111/$G$21</f>
        <v>4.4378138220856348E-59</v>
      </c>
      <c r="I1111">
        <f>IF($F$11&lt;=D1111, IF(D1111&lt;=$A$15,D1111-$F$11,$C$11),0)</f>
        <v>60</v>
      </c>
      <c r="J1111">
        <f t="shared" ref="J1111:J1174" si="103">IF(D1111&lt;=$A$15,0,D1111-$A$15)</f>
        <v>1024</v>
      </c>
      <c r="K1111" s="5">
        <f>IF(D1111&lt;$F$11,H1111,0)</f>
        <v>0</v>
      </c>
      <c r="L1111">
        <f>IF(D1111&lt;$A$15,$D$11,$D$11*(1-$H$11))</f>
        <v>85</v>
      </c>
      <c r="M1111">
        <f t="shared" ref="M1111:M1174" si="104">IF(D1111&lt;$A$15,0,1)</f>
        <v>1</v>
      </c>
      <c r="N1111">
        <f>IF(SUM(I1111:J1111)&lt;=($G$11/60*$F$11/($E$11/60)),1,0)</f>
        <v>0</v>
      </c>
    </row>
    <row r="1112" spans="4:14" x14ac:dyDescent="0.2">
      <c r="D1112">
        <f t="shared" si="100"/>
        <v>1089</v>
      </c>
      <c r="E1112" s="1">
        <f>IF($H$11=1,IF(D1112&lt;=$A$15, E1111+LN($D$11)-LN(60/$E$11)-LN(MIN(D1112,$F$11)), E1111-LN(60/$E$11)-LN(MIN(D1112,$F$11))), IF(D1112&lt;=$A$15, E1111+LN($D$11)-LN(60/$E$11)-LN(MIN(D1112,$F$11)), E1111+LN($D$11)+LN(1-$H$11)-LN(60/$E$11)-LN(MIN(D1112,$F$11))))</f>
        <v>-130.16083857638841</v>
      </c>
      <c r="F1112" s="1">
        <f t="shared" si="101"/>
        <v>-132.16287138558747</v>
      </c>
      <c r="G1112" s="1">
        <f t="shared" ref="G1112:G1175" si="105">EXP(F1112)</f>
        <v>4.0030797728060183E-58</v>
      </c>
      <c r="H1112" s="1">
        <f t="shared" si="102"/>
        <v>3.9293143216383724E-59</v>
      </c>
      <c r="I1112">
        <f>IF($F$11&lt;=D1112, IF(D1112&lt;=$A$15,D1112-$F$11,$C$11),0)</f>
        <v>60</v>
      </c>
      <c r="J1112">
        <f t="shared" si="103"/>
        <v>1025</v>
      </c>
      <c r="K1112" s="5">
        <f>IF(D1112&lt;$F$11,H1112,0)</f>
        <v>0</v>
      </c>
      <c r="L1112">
        <f>IF(D1112&lt;$A$15,$D$11,$D$11*(1-$H$11))</f>
        <v>85</v>
      </c>
      <c r="M1112">
        <f t="shared" si="104"/>
        <v>1</v>
      </c>
      <c r="N1112">
        <f>IF(SUM(I1112:J1112)&lt;=($G$11/60*$F$11/($E$11/60)),1,0)</f>
        <v>0</v>
      </c>
    </row>
    <row r="1113" spans="4:14" x14ac:dyDescent="0.2">
      <c r="D1113">
        <f t="shared" ref="D1113:D1176" si="106">1+D1112</f>
        <v>1090</v>
      </c>
      <c r="E1113" s="1">
        <f>IF($H$11=1,IF(D1113&lt;=$A$15, E1112+LN($D$11)-LN(60/$E$11)-LN(MIN(D1113,$F$11)), E1112-LN(60/$E$11)-LN(MIN(D1113,$F$11))), IF(D1113&lt;=$A$15, E1112+LN($D$11)-LN(60/$E$11)-LN(MIN(D1113,$F$11)), E1112+LN($D$11)+LN(1-$H$11)-LN(60/$E$11)-LN(MIN(D1113,$F$11))))</f>
        <v>-130.28253551136592</v>
      </c>
      <c r="F1113" s="1">
        <f t="shared" ref="F1113:F1176" si="107">E1113-$E$21</f>
        <v>-132.28456832056497</v>
      </c>
      <c r="G1113" s="1">
        <f t="shared" si="105"/>
        <v>3.5443935488387074E-58</v>
      </c>
      <c r="H1113" s="1">
        <f t="shared" si="102"/>
        <v>3.479080388950687E-59</v>
      </c>
      <c r="I1113">
        <f>IF($F$11&lt;=D1113, IF(D1113&lt;=$A$15,D1113-$F$11,$C$11),0)</f>
        <v>60</v>
      </c>
      <c r="J1113">
        <f t="shared" si="103"/>
        <v>1026</v>
      </c>
      <c r="K1113" s="5">
        <f>IF(D1113&lt;$F$11,H1113,0)</f>
        <v>0</v>
      </c>
      <c r="L1113">
        <f>IF(D1113&lt;$A$15,$D$11,$D$11*(1-$H$11))</f>
        <v>85</v>
      </c>
      <c r="M1113">
        <f t="shared" si="104"/>
        <v>1</v>
      </c>
      <c r="N1113">
        <f>IF(SUM(I1113:J1113)&lt;=($G$11/60*$F$11/($E$11/60)),1,0)</f>
        <v>0</v>
      </c>
    </row>
    <row r="1114" spans="4:14" x14ac:dyDescent="0.2">
      <c r="D1114">
        <f t="shared" si="106"/>
        <v>1091</v>
      </c>
      <c r="E1114" s="1">
        <f>IF($H$11=1,IF(D1114&lt;=$A$15, E1113+LN($D$11)-LN(60/$E$11)-LN(MIN(D1114,$F$11)), E1113-LN(60/$E$11)-LN(MIN(D1114,$F$11))), IF(D1114&lt;=$A$15, E1113+LN($D$11)-LN(60/$E$11)-LN(MIN(D1114,$F$11)), E1113+LN($D$11)+LN(1-$H$11)-LN(60/$E$11)-LN(MIN(D1114,$F$11))))</f>
        <v>-130.40423244634343</v>
      </c>
      <c r="F1114" s="1">
        <f t="shared" si="107"/>
        <v>-132.40626525554248</v>
      </c>
      <c r="G1114" s="1">
        <f t="shared" si="105"/>
        <v>3.1382651213676454E-58</v>
      </c>
      <c r="H1114" s="1">
        <f t="shared" si="102"/>
        <v>3.0804357610501264E-59</v>
      </c>
      <c r="I1114">
        <f>IF($F$11&lt;=D1114, IF(D1114&lt;=$A$15,D1114-$F$11,$C$11),0)</f>
        <v>60</v>
      </c>
      <c r="J1114">
        <f t="shared" si="103"/>
        <v>1027</v>
      </c>
      <c r="K1114" s="5">
        <f>IF(D1114&lt;$F$11,H1114,0)</f>
        <v>0</v>
      </c>
      <c r="L1114">
        <f>IF(D1114&lt;$A$15,$D$11,$D$11*(1-$H$11))</f>
        <v>85</v>
      </c>
      <c r="M1114">
        <f t="shared" si="104"/>
        <v>1</v>
      </c>
      <c r="N1114">
        <f>IF(SUM(I1114:J1114)&lt;=($G$11/60*$F$11/($E$11/60)),1,0)</f>
        <v>0</v>
      </c>
    </row>
    <row r="1115" spans="4:14" x14ac:dyDescent="0.2">
      <c r="D1115">
        <f t="shared" si="106"/>
        <v>1092</v>
      </c>
      <c r="E1115" s="1">
        <f>IF($H$11=1,IF(D1115&lt;=$A$15, E1114+LN($D$11)-LN(60/$E$11)-LN(MIN(D1115,$F$11)), E1114-LN(60/$E$11)-LN(MIN(D1115,$F$11))), IF(D1115&lt;=$A$15, E1114+LN($D$11)-LN(60/$E$11)-LN(MIN(D1115,$F$11)), E1114+LN($D$11)+LN(1-$H$11)-LN(60/$E$11)-LN(MIN(D1115,$F$11))))</f>
        <v>-130.52592938132094</v>
      </c>
      <c r="F1115" s="1">
        <f t="shared" si="107"/>
        <v>-132.52796219051999</v>
      </c>
      <c r="G1115" s="1">
        <f t="shared" si="105"/>
        <v>2.7786722428776383E-58</v>
      </c>
      <c r="H1115" s="1">
        <f t="shared" si="102"/>
        <v>2.7274691634298345E-59</v>
      </c>
      <c r="I1115">
        <f>IF($F$11&lt;=D1115, IF(D1115&lt;=$A$15,D1115-$F$11,$C$11),0)</f>
        <v>60</v>
      </c>
      <c r="J1115">
        <f t="shared" si="103"/>
        <v>1028</v>
      </c>
      <c r="K1115" s="5">
        <f>IF(D1115&lt;$F$11,H1115,0)</f>
        <v>0</v>
      </c>
      <c r="L1115">
        <f>IF(D1115&lt;$A$15,$D$11,$D$11*(1-$H$11))</f>
        <v>85</v>
      </c>
      <c r="M1115">
        <f t="shared" si="104"/>
        <v>1</v>
      </c>
      <c r="N1115">
        <f>IF(SUM(I1115:J1115)&lt;=($G$11/60*$F$11/($E$11/60)),1,0)</f>
        <v>0</v>
      </c>
    </row>
    <row r="1116" spans="4:14" x14ac:dyDescent="0.2">
      <c r="D1116">
        <f t="shared" si="106"/>
        <v>1093</v>
      </c>
      <c r="E1116" s="1">
        <f>IF($H$11=1,IF(D1116&lt;=$A$15, E1115+LN($D$11)-LN(60/$E$11)-LN(MIN(D1116,$F$11)), E1115-LN(60/$E$11)-LN(MIN(D1116,$F$11))), IF(D1116&lt;=$A$15, E1115+LN($D$11)-LN(60/$E$11)-LN(MIN(D1116,$F$11)), E1115+LN($D$11)+LN(1-$H$11)-LN(60/$E$11)-LN(MIN(D1116,$F$11))))</f>
        <v>-130.64762631629844</v>
      </c>
      <c r="F1116" s="1">
        <f t="shared" si="107"/>
        <v>-132.64965912549749</v>
      </c>
      <c r="G1116" s="1">
        <f t="shared" si="105"/>
        <v>2.4602827150479403E-58</v>
      </c>
      <c r="H1116" s="1">
        <f t="shared" si="102"/>
        <v>2.4149466551201968E-59</v>
      </c>
      <c r="I1116">
        <f>IF($F$11&lt;=D1116, IF(D1116&lt;=$A$15,D1116-$F$11,$C$11),0)</f>
        <v>60</v>
      </c>
      <c r="J1116">
        <f t="shared" si="103"/>
        <v>1029</v>
      </c>
      <c r="K1116" s="5">
        <f>IF(D1116&lt;$F$11,H1116,0)</f>
        <v>0</v>
      </c>
      <c r="L1116">
        <f>IF(D1116&lt;$A$15,$D$11,$D$11*(1-$H$11))</f>
        <v>85</v>
      </c>
      <c r="M1116">
        <f t="shared" si="104"/>
        <v>1</v>
      </c>
      <c r="N1116">
        <f>IF(SUM(I1116:J1116)&lt;=($G$11/60*$F$11/($E$11/60)),1,0)</f>
        <v>0</v>
      </c>
    </row>
    <row r="1117" spans="4:14" x14ac:dyDescent="0.2">
      <c r="D1117">
        <f t="shared" si="106"/>
        <v>1094</v>
      </c>
      <c r="E1117" s="1">
        <f>IF($H$11=1,IF(D1117&lt;=$A$15, E1116+LN($D$11)-LN(60/$E$11)-LN(MIN(D1117,$F$11)), E1116-LN(60/$E$11)-LN(MIN(D1117,$F$11))), IF(D1117&lt;=$A$15, E1116+LN($D$11)-LN(60/$E$11)-LN(MIN(D1117,$F$11)), E1116+LN($D$11)+LN(1-$H$11)-LN(60/$E$11)-LN(MIN(D1117,$F$11))))</f>
        <v>-130.76932325127595</v>
      </c>
      <c r="F1117" s="1">
        <f t="shared" si="107"/>
        <v>-132.771356060475</v>
      </c>
      <c r="G1117" s="1">
        <f t="shared" si="105"/>
        <v>2.1783753206153918E-58</v>
      </c>
      <c r="H1117" s="1">
        <f t="shared" si="102"/>
        <v>2.1382340175543684E-59</v>
      </c>
      <c r="I1117">
        <f>IF($F$11&lt;=D1117, IF(D1117&lt;=$A$15,D1117-$F$11,$C$11),0)</f>
        <v>60</v>
      </c>
      <c r="J1117">
        <f t="shared" si="103"/>
        <v>1030</v>
      </c>
      <c r="K1117" s="5">
        <f>IF(D1117&lt;$F$11,H1117,0)</f>
        <v>0</v>
      </c>
      <c r="L1117">
        <f>IF(D1117&lt;$A$15,$D$11,$D$11*(1-$H$11))</f>
        <v>85</v>
      </c>
      <c r="M1117">
        <f t="shared" si="104"/>
        <v>1</v>
      </c>
      <c r="N1117">
        <f>IF(SUM(I1117:J1117)&lt;=($G$11/60*$F$11/($E$11/60)),1,0)</f>
        <v>0</v>
      </c>
    </row>
    <row r="1118" spans="4:14" x14ac:dyDescent="0.2">
      <c r="D1118">
        <f t="shared" si="106"/>
        <v>1095</v>
      </c>
      <c r="E1118" s="1">
        <f>IF($H$11=1,IF(D1118&lt;=$A$15, E1117+LN($D$11)-LN(60/$E$11)-LN(MIN(D1118,$F$11)), E1117-LN(60/$E$11)-LN(MIN(D1118,$F$11))), IF(D1118&lt;=$A$15, E1117+LN($D$11)-LN(60/$E$11)-LN(MIN(D1118,$F$11)), E1117+LN($D$11)+LN(1-$H$11)-LN(60/$E$11)-LN(MIN(D1118,$F$11))))</f>
        <v>-130.89102018625346</v>
      </c>
      <c r="F1118" s="1">
        <f t="shared" si="107"/>
        <v>-132.89305299545251</v>
      </c>
      <c r="G1118" s="1">
        <f t="shared" si="105"/>
        <v>1.9287698151282363E-58</v>
      </c>
      <c r="H1118" s="1">
        <f t="shared" si="102"/>
        <v>1.893228036376288E-59</v>
      </c>
      <c r="I1118">
        <f>IF($F$11&lt;=D1118, IF(D1118&lt;=$A$15,D1118-$F$11,$C$11),0)</f>
        <v>60</v>
      </c>
      <c r="J1118">
        <f t="shared" si="103"/>
        <v>1031</v>
      </c>
      <c r="K1118" s="5">
        <f>IF(D1118&lt;$F$11,H1118,0)</f>
        <v>0</v>
      </c>
      <c r="L1118">
        <f>IF(D1118&lt;$A$15,$D$11,$D$11*(1-$H$11))</f>
        <v>85</v>
      </c>
      <c r="M1118">
        <f t="shared" si="104"/>
        <v>1</v>
      </c>
      <c r="N1118">
        <f>IF(SUM(I1118:J1118)&lt;=($G$11/60*$F$11/($E$11/60)),1,0)</f>
        <v>0</v>
      </c>
    </row>
    <row r="1119" spans="4:14" x14ac:dyDescent="0.2">
      <c r="D1119">
        <f t="shared" si="106"/>
        <v>1096</v>
      </c>
      <c r="E1119" s="1">
        <f>IF($H$11=1,IF(D1119&lt;=$A$15, E1118+LN($D$11)-LN(60/$E$11)-LN(MIN(D1119,$F$11)), E1118-LN(60/$E$11)-LN(MIN(D1119,$F$11))), IF(D1119&lt;=$A$15, E1118+LN($D$11)-LN(60/$E$11)-LN(MIN(D1119,$F$11)), E1118+LN($D$11)+LN(1-$H$11)-LN(60/$E$11)-LN(MIN(D1119,$F$11))))</f>
        <v>-131.01271712123096</v>
      </c>
      <c r="F1119" s="1">
        <f t="shared" si="107"/>
        <v>-133.01474993043001</v>
      </c>
      <c r="G1119" s="1">
        <f t="shared" si="105"/>
        <v>1.7077649404781477E-58</v>
      </c>
      <c r="H1119" s="1">
        <f t="shared" si="102"/>
        <v>1.676295657208193E-59</v>
      </c>
      <c r="I1119">
        <f>IF($F$11&lt;=D1119, IF(D1119&lt;=$A$15,D1119-$F$11,$C$11),0)</f>
        <v>60</v>
      </c>
      <c r="J1119">
        <f t="shared" si="103"/>
        <v>1032</v>
      </c>
      <c r="K1119" s="5">
        <f>IF(D1119&lt;$F$11,H1119,0)</f>
        <v>0</v>
      </c>
      <c r="L1119">
        <f>IF(D1119&lt;$A$15,$D$11,$D$11*(1-$H$11))</f>
        <v>85</v>
      </c>
      <c r="M1119">
        <f t="shared" si="104"/>
        <v>1</v>
      </c>
      <c r="N1119">
        <f>IF(SUM(I1119:J1119)&lt;=($G$11/60*$F$11/($E$11/60)),1,0)</f>
        <v>0</v>
      </c>
    </row>
    <row r="1120" spans="4:14" x14ac:dyDescent="0.2">
      <c r="D1120">
        <f t="shared" si="106"/>
        <v>1097</v>
      </c>
      <c r="E1120" s="1">
        <f>IF($H$11=1,IF(D1120&lt;=$A$15, E1119+LN($D$11)-LN(60/$E$11)-LN(MIN(D1120,$F$11)), E1119-LN(60/$E$11)-LN(MIN(D1120,$F$11))), IF(D1120&lt;=$A$15, E1119+LN($D$11)-LN(60/$E$11)-LN(MIN(D1120,$F$11)), E1119+LN($D$11)+LN(1-$H$11)-LN(60/$E$11)-LN(MIN(D1120,$F$11))))</f>
        <v>-131.13441405620847</v>
      </c>
      <c r="F1120" s="1">
        <f t="shared" si="107"/>
        <v>-133.13644686540752</v>
      </c>
      <c r="G1120" s="1">
        <f t="shared" si="105"/>
        <v>1.5120835410483792E-58</v>
      </c>
      <c r="H1120" s="1">
        <f t="shared" si="102"/>
        <v>1.4842201131531066E-59</v>
      </c>
      <c r="I1120">
        <f>IF($F$11&lt;=D1120, IF(D1120&lt;=$A$15,D1120-$F$11,$C$11),0)</f>
        <v>60</v>
      </c>
      <c r="J1120">
        <f t="shared" si="103"/>
        <v>1033</v>
      </c>
      <c r="K1120" s="5">
        <f>IF(D1120&lt;$F$11,H1120,0)</f>
        <v>0</v>
      </c>
      <c r="L1120">
        <f>IF(D1120&lt;$A$15,$D$11,$D$11*(1-$H$11))</f>
        <v>85</v>
      </c>
      <c r="M1120">
        <f t="shared" si="104"/>
        <v>1</v>
      </c>
      <c r="N1120">
        <f>IF(SUM(I1120:J1120)&lt;=($G$11/60*$F$11/($E$11/60)),1,0)</f>
        <v>0</v>
      </c>
    </row>
    <row r="1121" spans="4:14" x14ac:dyDescent="0.2">
      <c r="D1121">
        <f t="shared" si="106"/>
        <v>1098</v>
      </c>
      <c r="E1121" s="1">
        <f>IF($H$11=1,IF(D1121&lt;=$A$15, E1120+LN($D$11)-LN(60/$E$11)-LN(MIN(D1121,$F$11)), E1120-LN(60/$E$11)-LN(MIN(D1121,$F$11))), IF(D1121&lt;=$A$15, E1120+LN($D$11)-LN(60/$E$11)-LN(MIN(D1121,$F$11)), E1120+LN($D$11)+LN(1-$H$11)-LN(60/$E$11)-LN(MIN(D1121,$F$11))))</f>
        <v>-131.25611099118598</v>
      </c>
      <c r="F1121" s="1">
        <f t="shared" si="107"/>
        <v>-133.25814380038503</v>
      </c>
      <c r="G1121" s="1">
        <f t="shared" si="105"/>
        <v>1.3388239686366028E-58</v>
      </c>
      <c r="H1121" s="1">
        <f t="shared" si="102"/>
        <v>1.3141532251876632E-59</v>
      </c>
      <c r="I1121">
        <f>IF($F$11&lt;=D1121, IF(D1121&lt;=$A$15,D1121-$F$11,$C$11),0)</f>
        <v>60</v>
      </c>
      <c r="J1121">
        <f t="shared" si="103"/>
        <v>1034</v>
      </c>
      <c r="K1121" s="5">
        <f>IF(D1121&lt;$F$11,H1121,0)</f>
        <v>0</v>
      </c>
      <c r="L1121">
        <f>IF(D1121&lt;$A$15,$D$11,$D$11*(1-$H$11))</f>
        <v>85</v>
      </c>
      <c r="M1121">
        <f t="shared" si="104"/>
        <v>1</v>
      </c>
      <c r="N1121">
        <f>IF(SUM(I1121:J1121)&lt;=($G$11/60*$F$11/($E$11/60)),1,0)</f>
        <v>0</v>
      </c>
    </row>
    <row r="1122" spans="4:14" x14ac:dyDescent="0.2">
      <c r="D1122">
        <f t="shared" si="106"/>
        <v>1099</v>
      </c>
      <c r="E1122" s="1">
        <f>IF($H$11=1,IF(D1122&lt;=$A$15, E1121+LN($D$11)-LN(60/$E$11)-LN(MIN(D1122,$F$11)), E1121-LN(60/$E$11)-LN(MIN(D1122,$F$11))), IF(D1122&lt;=$A$15, E1121+LN($D$11)-LN(60/$E$11)-LN(MIN(D1122,$F$11)), E1121+LN($D$11)+LN(1-$H$11)-LN(60/$E$11)-LN(MIN(D1122,$F$11))))</f>
        <v>-131.37780792616348</v>
      </c>
      <c r="F1122" s="1">
        <f t="shared" si="107"/>
        <v>-133.37984073536254</v>
      </c>
      <c r="G1122" s="1">
        <f t="shared" si="105"/>
        <v>1.1854170555636739E-58</v>
      </c>
      <c r="H1122" s="1">
        <f t="shared" si="102"/>
        <v>1.163573168134925E-59</v>
      </c>
      <c r="I1122">
        <f>IF($F$11&lt;=D1122, IF(D1122&lt;=$A$15,D1122-$F$11,$C$11),0)</f>
        <v>60</v>
      </c>
      <c r="J1122">
        <f t="shared" si="103"/>
        <v>1035</v>
      </c>
      <c r="K1122" s="5">
        <f>IF(D1122&lt;$F$11,H1122,0)</f>
        <v>0</v>
      </c>
      <c r="L1122">
        <f>IF(D1122&lt;$A$15,$D$11,$D$11*(1-$H$11))</f>
        <v>85</v>
      </c>
      <c r="M1122">
        <f t="shared" si="104"/>
        <v>1</v>
      </c>
      <c r="N1122">
        <f>IF(SUM(I1122:J1122)&lt;=($G$11/60*$F$11/($E$11/60)),1,0)</f>
        <v>0</v>
      </c>
    </row>
    <row r="1123" spans="4:14" x14ac:dyDescent="0.2">
      <c r="D1123">
        <f t="shared" si="106"/>
        <v>1100</v>
      </c>
      <c r="E1123" s="1">
        <f>IF($H$11=1,IF(D1123&lt;=$A$15, E1122+LN($D$11)-LN(60/$E$11)-LN(MIN(D1123,$F$11)), E1122-LN(60/$E$11)-LN(MIN(D1123,$F$11))), IF(D1123&lt;=$A$15, E1122+LN($D$11)-LN(60/$E$11)-LN(MIN(D1123,$F$11)), E1122+LN($D$11)+LN(1-$H$11)-LN(60/$E$11)-LN(MIN(D1123,$F$11))))</f>
        <v>-131.49950486114099</v>
      </c>
      <c r="F1123" s="1">
        <f t="shared" si="107"/>
        <v>-133.50153767034004</v>
      </c>
      <c r="G1123" s="1">
        <f t="shared" si="105"/>
        <v>1.0495880179470164E-58</v>
      </c>
      <c r="H1123" s="1">
        <f t="shared" si="102"/>
        <v>1.0302470759528113E-59</v>
      </c>
      <c r="I1123">
        <f>IF($F$11&lt;=D1123, IF(D1123&lt;=$A$15,D1123-$F$11,$C$11),0)</f>
        <v>60</v>
      </c>
      <c r="J1123">
        <f t="shared" si="103"/>
        <v>1036</v>
      </c>
      <c r="K1123" s="5">
        <f>IF(D1123&lt;$F$11,H1123,0)</f>
        <v>0</v>
      </c>
      <c r="L1123">
        <f>IF(D1123&lt;$A$15,$D$11,$D$11*(1-$H$11))</f>
        <v>85</v>
      </c>
      <c r="M1123">
        <f t="shared" si="104"/>
        <v>1</v>
      </c>
      <c r="N1123">
        <f>IF(SUM(I1123:J1123)&lt;=($G$11/60*$F$11/($E$11/60)),1,0)</f>
        <v>0</v>
      </c>
    </row>
    <row r="1124" spans="4:14" x14ac:dyDescent="0.2">
      <c r="D1124">
        <f t="shared" si="106"/>
        <v>1101</v>
      </c>
      <c r="E1124" s="1">
        <f>IF($H$11=1,IF(D1124&lt;=$A$15, E1123+LN($D$11)-LN(60/$E$11)-LN(MIN(D1124,$F$11)), E1123-LN(60/$E$11)-LN(MIN(D1124,$F$11))), IF(D1124&lt;=$A$15, E1123+LN($D$11)-LN(60/$E$11)-LN(MIN(D1124,$F$11)), E1123+LN($D$11)+LN(1-$H$11)-LN(60/$E$11)-LN(MIN(D1124,$F$11))))</f>
        <v>-131.6212017961185</v>
      </c>
      <c r="F1124" s="1">
        <f t="shared" si="107"/>
        <v>-133.62323460531755</v>
      </c>
      <c r="G1124" s="1">
        <f t="shared" si="105"/>
        <v>9.2932272422393257E-59</v>
      </c>
      <c r="H1124" s="1">
        <f t="shared" si="102"/>
        <v>9.1219793183322997E-60</v>
      </c>
      <c r="I1124">
        <f>IF($F$11&lt;=D1124, IF(D1124&lt;=$A$15,D1124-$F$11,$C$11),0)</f>
        <v>60</v>
      </c>
      <c r="J1124">
        <f t="shared" si="103"/>
        <v>1037</v>
      </c>
      <c r="K1124" s="5">
        <f>IF(D1124&lt;$F$11,H1124,0)</f>
        <v>0</v>
      </c>
      <c r="L1124">
        <f>IF(D1124&lt;$A$15,$D$11,$D$11*(1-$H$11))</f>
        <v>85</v>
      </c>
      <c r="M1124">
        <f t="shared" si="104"/>
        <v>1</v>
      </c>
      <c r="N1124">
        <f>IF(SUM(I1124:J1124)&lt;=($G$11/60*$F$11/($E$11/60)),1,0)</f>
        <v>0</v>
      </c>
    </row>
    <row r="1125" spans="4:14" x14ac:dyDescent="0.2">
      <c r="D1125">
        <f t="shared" si="106"/>
        <v>1102</v>
      </c>
      <c r="E1125" s="1">
        <f>IF($H$11=1,IF(D1125&lt;=$A$15, E1124+LN($D$11)-LN(60/$E$11)-LN(MIN(D1125,$F$11)), E1124-LN(60/$E$11)-LN(MIN(D1125,$F$11))), IF(D1125&lt;=$A$15, E1124+LN($D$11)-LN(60/$E$11)-LN(MIN(D1125,$F$11)), E1124+LN($D$11)+LN(1-$H$11)-LN(60/$E$11)-LN(MIN(D1125,$F$11))))</f>
        <v>-131.74289873109601</v>
      </c>
      <c r="F1125" s="1">
        <f t="shared" si="107"/>
        <v>-133.74493154029506</v>
      </c>
      <c r="G1125" s="1">
        <f t="shared" si="105"/>
        <v>8.2283782873995079E-59</v>
      </c>
      <c r="H1125" s="1">
        <f t="shared" si="102"/>
        <v>8.0767525214401598E-60</v>
      </c>
      <c r="I1125">
        <f>IF($F$11&lt;=D1125, IF(D1125&lt;=$A$15,D1125-$F$11,$C$11),0)</f>
        <v>60</v>
      </c>
      <c r="J1125">
        <f t="shared" si="103"/>
        <v>1038</v>
      </c>
      <c r="K1125" s="5">
        <f>IF(D1125&lt;$F$11,H1125,0)</f>
        <v>0</v>
      </c>
      <c r="L1125">
        <f>IF(D1125&lt;$A$15,$D$11,$D$11*(1-$H$11))</f>
        <v>85</v>
      </c>
      <c r="M1125">
        <f t="shared" si="104"/>
        <v>1</v>
      </c>
      <c r="N1125">
        <f>IF(SUM(I1125:J1125)&lt;=($G$11/60*$F$11/($E$11/60)),1,0)</f>
        <v>0</v>
      </c>
    </row>
    <row r="1126" spans="4:14" x14ac:dyDescent="0.2">
      <c r="D1126">
        <f t="shared" si="106"/>
        <v>1103</v>
      </c>
      <c r="E1126" s="1">
        <f>IF($H$11=1,IF(D1126&lt;=$A$15, E1125+LN($D$11)-LN(60/$E$11)-LN(MIN(D1126,$F$11)), E1125-LN(60/$E$11)-LN(MIN(D1126,$F$11))), IF(D1126&lt;=$A$15, E1125+LN($D$11)-LN(60/$E$11)-LN(MIN(D1126,$F$11)), E1125+LN($D$11)+LN(1-$H$11)-LN(60/$E$11)-LN(MIN(D1126,$F$11))))</f>
        <v>-131.86459566607351</v>
      </c>
      <c r="F1126" s="1">
        <f t="shared" si="107"/>
        <v>-133.86662847527256</v>
      </c>
      <c r="G1126" s="1">
        <f t="shared" si="105"/>
        <v>7.2855432753017413E-59</v>
      </c>
      <c r="H1126" s="1">
        <f t="shared" si="102"/>
        <v>7.1512912950252336E-60</v>
      </c>
      <c r="I1126">
        <f>IF($F$11&lt;=D1126, IF(D1126&lt;=$A$15,D1126-$F$11,$C$11),0)</f>
        <v>60</v>
      </c>
      <c r="J1126">
        <f t="shared" si="103"/>
        <v>1039</v>
      </c>
      <c r="K1126" s="5">
        <f>IF(D1126&lt;$F$11,H1126,0)</f>
        <v>0</v>
      </c>
      <c r="L1126">
        <f>IF(D1126&lt;$A$15,$D$11,$D$11*(1-$H$11))</f>
        <v>85</v>
      </c>
      <c r="M1126">
        <f t="shared" si="104"/>
        <v>1</v>
      </c>
      <c r="N1126">
        <f>IF(SUM(I1126:J1126)&lt;=($G$11/60*$F$11/($E$11/60)),1,0)</f>
        <v>0</v>
      </c>
    </row>
    <row r="1127" spans="4:14" x14ac:dyDescent="0.2">
      <c r="D1127">
        <f t="shared" si="106"/>
        <v>1104</v>
      </c>
      <c r="E1127" s="1">
        <f>IF($H$11=1,IF(D1127&lt;=$A$15, E1126+LN($D$11)-LN(60/$E$11)-LN(MIN(D1127,$F$11)), E1126-LN(60/$E$11)-LN(MIN(D1127,$F$11))), IF(D1127&lt;=$A$15, E1126+LN($D$11)-LN(60/$E$11)-LN(MIN(D1127,$F$11)), E1126+LN($D$11)+LN(1-$H$11)-LN(60/$E$11)-LN(MIN(D1127,$F$11))))</f>
        <v>-131.98629260105102</v>
      </c>
      <c r="F1127" s="1">
        <f t="shared" si="107"/>
        <v>-133.98832541025007</v>
      </c>
      <c r="G1127" s="1">
        <f t="shared" si="105"/>
        <v>6.4507414416734997E-59</v>
      </c>
      <c r="H1127" s="1">
        <f t="shared" si="102"/>
        <v>6.331872500803674E-60</v>
      </c>
      <c r="I1127">
        <f>IF($F$11&lt;=D1127, IF(D1127&lt;=$A$15,D1127-$F$11,$C$11),0)</f>
        <v>60</v>
      </c>
      <c r="J1127">
        <f t="shared" si="103"/>
        <v>1040</v>
      </c>
      <c r="K1127" s="5">
        <f>IF(D1127&lt;$F$11,H1127,0)</f>
        <v>0</v>
      </c>
      <c r="L1127">
        <f>IF(D1127&lt;$A$15,$D$11,$D$11*(1-$H$11))</f>
        <v>85</v>
      </c>
      <c r="M1127">
        <f t="shared" si="104"/>
        <v>1</v>
      </c>
      <c r="N1127">
        <f>IF(SUM(I1127:J1127)&lt;=($G$11/60*$F$11/($E$11/60)),1,0)</f>
        <v>0</v>
      </c>
    </row>
    <row r="1128" spans="4:14" x14ac:dyDescent="0.2">
      <c r="D1128">
        <f t="shared" si="106"/>
        <v>1105</v>
      </c>
      <c r="E1128" s="1">
        <f>IF($H$11=1,IF(D1128&lt;=$A$15, E1127+LN($D$11)-LN(60/$E$11)-LN(MIN(D1128,$F$11)), E1127-LN(60/$E$11)-LN(MIN(D1128,$F$11))), IF(D1128&lt;=$A$15, E1127+LN($D$11)-LN(60/$E$11)-LN(MIN(D1128,$F$11)), E1127+LN($D$11)+LN(1-$H$11)-LN(60/$E$11)-LN(MIN(D1128,$F$11))))</f>
        <v>-132.10798953602853</v>
      </c>
      <c r="F1128" s="1">
        <f t="shared" si="107"/>
        <v>-134.11002234522758</v>
      </c>
      <c r="G1128" s="1">
        <f t="shared" si="105"/>
        <v>5.7115939848151508E-59</v>
      </c>
      <c r="H1128" s="1">
        <f t="shared" si="102"/>
        <v>5.6063454434199913E-60</v>
      </c>
      <c r="I1128">
        <f>IF($F$11&lt;=D1128, IF(D1128&lt;=$A$15,D1128-$F$11,$C$11),0)</f>
        <v>60</v>
      </c>
      <c r="J1128">
        <f t="shared" si="103"/>
        <v>1041</v>
      </c>
      <c r="K1128" s="5">
        <f>IF(D1128&lt;$F$11,H1128,0)</f>
        <v>0</v>
      </c>
      <c r="L1128">
        <f>IF(D1128&lt;$A$15,$D$11,$D$11*(1-$H$11))</f>
        <v>85</v>
      </c>
      <c r="M1128">
        <f t="shared" si="104"/>
        <v>1</v>
      </c>
      <c r="N1128">
        <f>IF(SUM(I1128:J1128)&lt;=($G$11/60*$F$11/($E$11/60)),1,0)</f>
        <v>0</v>
      </c>
    </row>
    <row r="1129" spans="4:14" x14ac:dyDescent="0.2">
      <c r="D1129">
        <f t="shared" si="106"/>
        <v>1106</v>
      </c>
      <c r="E1129" s="1">
        <f>IF($H$11=1,IF(D1129&lt;=$A$15, E1128+LN($D$11)-LN(60/$E$11)-LN(MIN(D1129,$F$11)), E1128-LN(60/$E$11)-LN(MIN(D1129,$F$11))), IF(D1129&lt;=$A$15, E1128+LN($D$11)-LN(60/$E$11)-LN(MIN(D1129,$F$11)), E1128+LN($D$11)+LN(1-$H$11)-LN(60/$E$11)-LN(MIN(D1129,$F$11))))</f>
        <v>-132.22968647100603</v>
      </c>
      <c r="F1129" s="1">
        <f t="shared" si="107"/>
        <v>-134.23171928020508</v>
      </c>
      <c r="G1129" s="1">
        <f t="shared" si="105"/>
        <v>5.0571405073884789E-59</v>
      </c>
      <c r="H1129" s="1">
        <f t="shared" si="102"/>
        <v>4.9639516946948466E-60</v>
      </c>
      <c r="I1129">
        <f>IF($F$11&lt;=D1129, IF(D1129&lt;=$A$15,D1129-$F$11,$C$11),0)</f>
        <v>60</v>
      </c>
      <c r="J1129">
        <f t="shared" si="103"/>
        <v>1042</v>
      </c>
      <c r="K1129" s="5">
        <f>IF(D1129&lt;$F$11,H1129,0)</f>
        <v>0</v>
      </c>
      <c r="L1129">
        <f>IF(D1129&lt;$A$15,$D$11,$D$11*(1-$H$11))</f>
        <v>85</v>
      </c>
      <c r="M1129">
        <f t="shared" si="104"/>
        <v>1</v>
      </c>
      <c r="N1129">
        <f>IF(SUM(I1129:J1129)&lt;=($G$11/60*$F$11/($E$11/60)),1,0)</f>
        <v>0</v>
      </c>
    </row>
    <row r="1130" spans="4:14" x14ac:dyDescent="0.2">
      <c r="D1130">
        <f t="shared" si="106"/>
        <v>1107</v>
      </c>
      <c r="E1130" s="1">
        <f>IF($H$11=1,IF(D1130&lt;=$A$15, E1129+LN($D$11)-LN(60/$E$11)-LN(MIN(D1130,$F$11)), E1129-LN(60/$E$11)-LN(MIN(D1130,$F$11))), IF(D1130&lt;=$A$15, E1129+LN($D$11)-LN(60/$E$11)-LN(MIN(D1130,$F$11)), E1129+LN($D$11)+LN(1-$H$11)-LN(60/$E$11)-LN(MIN(D1130,$F$11))))</f>
        <v>-132.35138340598354</v>
      </c>
      <c r="F1130" s="1">
        <f t="shared" si="107"/>
        <v>-134.35341621518259</v>
      </c>
      <c r="G1130" s="1">
        <f t="shared" si="105"/>
        <v>4.4776764909169403E-59</v>
      </c>
      <c r="H1130" s="1">
        <f t="shared" si="102"/>
        <v>4.3951655630111189E-60</v>
      </c>
      <c r="I1130">
        <f>IF($F$11&lt;=D1130, IF(D1130&lt;=$A$15,D1130-$F$11,$C$11),0)</f>
        <v>60</v>
      </c>
      <c r="J1130">
        <f t="shared" si="103"/>
        <v>1043</v>
      </c>
      <c r="K1130" s="5">
        <f>IF(D1130&lt;$F$11,H1130,0)</f>
        <v>0</v>
      </c>
      <c r="L1130">
        <f>IF(D1130&lt;$A$15,$D$11,$D$11*(1-$H$11))</f>
        <v>85</v>
      </c>
      <c r="M1130">
        <f t="shared" si="104"/>
        <v>1</v>
      </c>
      <c r="N1130">
        <f>IF(SUM(I1130:J1130)&lt;=($G$11/60*$F$11/($E$11/60)),1,0)</f>
        <v>0</v>
      </c>
    </row>
    <row r="1131" spans="4:14" x14ac:dyDescent="0.2">
      <c r="D1131">
        <f t="shared" si="106"/>
        <v>1108</v>
      </c>
      <c r="E1131" s="1">
        <f>IF($H$11=1,IF(D1131&lt;=$A$15, E1130+LN($D$11)-LN(60/$E$11)-LN(MIN(D1131,$F$11)), E1130-LN(60/$E$11)-LN(MIN(D1131,$F$11))), IF(D1131&lt;=$A$15, E1130+LN($D$11)-LN(60/$E$11)-LN(MIN(D1131,$F$11)), E1130+LN($D$11)+LN(1-$H$11)-LN(60/$E$11)-LN(MIN(D1131,$F$11))))</f>
        <v>-132.47308034096105</v>
      </c>
      <c r="F1131" s="1">
        <f t="shared" si="107"/>
        <v>-134.4751131501601</v>
      </c>
      <c r="G1131" s="1">
        <f t="shared" si="105"/>
        <v>3.9646093929994246E-59</v>
      </c>
      <c r="H1131" s="1">
        <f t="shared" si="102"/>
        <v>3.8915528422494778E-60</v>
      </c>
      <c r="I1131">
        <f>IF($F$11&lt;=D1131, IF(D1131&lt;=$A$15,D1131-$F$11,$C$11),0)</f>
        <v>60</v>
      </c>
      <c r="J1131">
        <f t="shared" si="103"/>
        <v>1044</v>
      </c>
      <c r="K1131" s="5">
        <f>IF(D1131&lt;$F$11,H1131,0)</f>
        <v>0</v>
      </c>
      <c r="L1131">
        <f>IF(D1131&lt;$A$15,$D$11,$D$11*(1-$H$11))</f>
        <v>85</v>
      </c>
      <c r="M1131">
        <f t="shared" si="104"/>
        <v>1</v>
      </c>
      <c r="N1131">
        <f>IF(SUM(I1131:J1131)&lt;=($G$11/60*$F$11/($E$11/60)),1,0)</f>
        <v>0</v>
      </c>
    </row>
    <row r="1132" spans="4:14" x14ac:dyDescent="0.2">
      <c r="D1132">
        <f t="shared" si="106"/>
        <v>1109</v>
      </c>
      <c r="E1132" s="1">
        <f>IF($H$11=1,IF(D1132&lt;=$A$15, E1131+LN($D$11)-LN(60/$E$11)-LN(MIN(D1132,$F$11)), E1131-LN(60/$E$11)-LN(MIN(D1132,$F$11))), IF(D1132&lt;=$A$15, E1131+LN($D$11)-LN(60/$E$11)-LN(MIN(D1132,$F$11)), E1131+LN($D$11)+LN(1-$H$11)-LN(60/$E$11)-LN(MIN(D1132,$F$11))))</f>
        <v>-132.59477727593858</v>
      </c>
      <c r="F1132" s="1">
        <f t="shared" si="107"/>
        <v>-134.59681008513763</v>
      </c>
      <c r="G1132" s="1">
        <f t="shared" si="105"/>
        <v>3.5103312333848522E-59</v>
      </c>
      <c r="H1132" s="1">
        <f t="shared" si="102"/>
        <v>3.4456457457416712E-60</v>
      </c>
      <c r="I1132">
        <f>IF($F$11&lt;=D1132, IF(D1132&lt;=$A$15,D1132-$F$11,$C$11),0)</f>
        <v>60</v>
      </c>
      <c r="J1132">
        <f t="shared" si="103"/>
        <v>1045</v>
      </c>
      <c r="K1132" s="5">
        <f>IF(D1132&lt;$F$11,H1132,0)</f>
        <v>0</v>
      </c>
      <c r="L1132">
        <f>IF(D1132&lt;$A$15,$D$11,$D$11*(1-$H$11))</f>
        <v>85</v>
      </c>
      <c r="M1132">
        <f t="shared" si="104"/>
        <v>1</v>
      </c>
      <c r="N1132">
        <f>IF(SUM(I1132:J1132)&lt;=($G$11/60*$F$11/($E$11/60)),1,0)</f>
        <v>0</v>
      </c>
    </row>
    <row r="1133" spans="4:14" x14ac:dyDescent="0.2">
      <c r="D1133">
        <f t="shared" si="106"/>
        <v>1110</v>
      </c>
      <c r="E1133" s="1">
        <f>IF($H$11=1,IF(D1133&lt;=$A$15, E1132+LN($D$11)-LN(60/$E$11)-LN(MIN(D1133,$F$11)), E1132-LN(60/$E$11)-LN(MIN(D1133,$F$11))), IF(D1133&lt;=$A$15, E1132+LN($D$11)-LN(60/$E$11)-LN(MIN(D1133,$F$11)), E1132+LN($D$11)+LN(1-$H$11)-LN(60/$E$11)-LN(MIN(D1133,$F$11))))</f>
        <v>-132.71647421091612</v>
      </c>
      <c r="F1133" s="1">
        <f t="shared" si="107"/>
        <v>-134.71850702011517</v>
      </c>
      <c r="G1133" s="1">
        <f t="shared" si="105"/>
        <v>3.1081057795594561E-59</v>
      </c>
      <c r="H1133" s="1">
        <f t="shared" si="102"/>
        <v>3.0508321707087235E-60</v>
      </c>
      <c r="I1133">
        <f>IF($F$11&lt;=D1133, IF(D1133&lt;=$A$15,D1133-$F$11,$C$11),0)</f>
        <v>60</v>
      </c>
      <c r="J1133">
        <f t="shared" si="103"/>
        <v>1046</v>
      </c>
      <c r="K1133" s="5">
        <f>IF(D1133&lt;$F$11,H1133,0)</f>
        <v>0</v>
      </c>
      <c r="L1133">
        <f>IF(D1133&lt;$A$15,$D$11,$D$11*(1-$H$11))</f>
        <v>85</v>
      </c>
      <c r="M1133">
        <f t="shared" si="104"/>
        <v>1</v>
      </c>
      <c r="N1133">
        <f>IF(SUM(I1133:J1133)&lt;=($G$11/60*$F$11/($E$11/60)),1,0)</f>
        <v>0</v>
      </c>
    </row>
    <row r="1134" spans="4:14" x14ac:dyDescent="0.2">
      <c r="D1134">
        <f t="shared" si="106"/>
        <v>1111</v>
      </c>
      <c r="E1134" s="1">
        <f>IF($H$11=1,IF(D1134&lt;=$A$15, E1133+LN($D$11)-LN(60/$E$11)-LN(MIN(D1134,$F$11)), E1133-LN(60/$E$11)-LN(MIN(D1134,$F$11))), IF(D1134&lt;=$A$15, E1133+LN($D$11)-LN(60/$E$11)-LN(MIN(D1134,$F$11)), E1133+LN($D$11)+LN(1-$H$11)-LN(60/$E$11)-LN(MIN(D1134,$F$11))))</f>
        <v>-132.83817114589365</v>
      </c>
      <c r="F1134" s="1">
        <f t="shared" si="107"/>
        <v>-134.8402039550927</v>
      </c>
      <c r="G1134" s="1">
        <f t="shared" si="105"/>
        <v>2.7519686589848922E-59</v>
      </c>
      <c r="H1134" s="1">
        <f t="shared" si="102"/>
        <v>2.701257651148307E-60</v>
      </c>
      <c r="I1134">
        <f>IF($F$11&lt;=D1134, IF(D1134&lt;=$A$15,D1134-$F$11,$C$11),0)</f>
        <v>60</v>
      </c>
      <c r="J1134">
        <f t="shared" si="103"/>
        <v>1047</v>
      </c>
      <c r="K1134" s="5">
        <f>IF(D1134&lt;$F$11,H1134,0)</f>
        <v>0</v>
      </c>
      <c r="L1134">
        <f>IF(D1134&lt;$A$15,$D$11,$D$11*(1-$H$11))</f>
        <v>85</v>
      </c>
      <c r="M1134">
        <f t="shared" si="104"/>
        <v>1</v>
      </c>
      <c r="N1134">
        <f>IF(SUM(I1134:J1134)&lt;=($G$11/60*$F$11/($E$11/60)),1,0)</f>
        <v>0</v>
      </c>
    </row>
    <row r="1135" spans="4:14" x14ac:dyDescent="0.2">
      <c r="D1135">
        <f t="shared" si="106"/>
        <v>1112</v>
      </c>
      <c r="E1135" s="1">
        <f>IF($H$11=1,IF(D1135&lt;=$A$15, E1134+LN($D$11)-LN(60/$E$11)-LN(MIN(D1135,$F$11)), E1134-LN(60/$E$11)-LN(MIN(D1135,$F$11))), IF(D1135&lt;=$A$15, E1134+LN($D$11)-LN(60/$E$11)-LN(MIN(D1135,$F$11)), E1134+LN($D$11)+LN(1-$H$11)-LN(60/$E$11)-LN(MIN(D1135,$F$11))))</f>
        <v>-132.95986808087119</v>
      </c>
      <c r="F1135" s="1">
        <f t="shared" si="107"/>
        <v>-134.96190089007024</v>
      </c>
      <c r="G1135" s="1">
        <f t="shared" si="105"/>
        <v>2.4366389168095018E-59</v>
      </c>
      <c r="H1135" s="1">
        <f t="shared" si="102"/>
        <v>2.3917385452875261E-60</v>
      </c>
      <c r="I1135">
        <f>IF($F$11&lt;=D1135, IF(D1135&lt;=$A$15,D1135-$F$11,$C$11),0)</f>
        <v>60</v>
      </c>
      <c r="J1135">
        <f t="shared" si="103"/>
        <v>1048</v>
      </c>
      <c r="K1135" s="5">
        <f>IF(D1135&lt;$F$11,H1135,0)</f>
        <v>0</v>
      </c>
      <c r="L1135">
        <f>IF(D1135&lt;$A$15,$D$11,$D$11*(1-$H$11))</f>
        <v>85</v>
      </c>
      <c r="M1135">
        <f t="shared" si="104"/>
        <v>1</v>
      </c>
      <c r="N1135">
        <f>IF(SUM(I1135:J1135)&lt;=($G$11/60*$F$11/($E$11/60)),1,0)</f>
        <v>0</v>
      </c>
    </row>
    <row r="1136" spans="4:14" x14ac:dyDescent="0.2">
      <c r="D1136">
        <f t="shared" si="106"/>
        <v>1113</v>
      </c>
      <c r="E1136" s="1">
        <f>IF($H$11=1,IF(D1136&lt;=$A$15, E1135+LN($D$11)-LN(60/$E$11)-LN(MIN(D1136,$F$11)), E1135-LN(60/$E$11)-LN(MIN(D1136,$F$11))), IF(D1136&lt;=$A$15, E1135+LN($D$11)-LN(60/$E$11)-LN(MIN(D1136,$F$11)), E1135+LN($D$11)+LN(1-$H$11)-LN(60/$E$11)-LN(MIN(D1136,$F$11))))</f>
        <v>-133.08156501584872</v>
      </c>
      <c r="F1136" s="1">
        <f t="shared" si="107"/>
        <v>-135.08359782504778</v>
      </c>
      <c r="G1136" s="1">
        <f t="shared" si="105"/>
        <v>2.1574407075917126E-59</v>
      </c>
      <c r="H1136" s="1">
        <f t="shared" si="102"/>
        <v>2.1176851703066304E-60</v>
      </c>
      <c r="I1136">
        <f>IF($F$11&lt;=D1136, IF(D1136&lt;=$A$15,D1136-$F$11,$C$11),0)</f>
        <v>60</v>
      </c>
      <c r="J1136">
        <f t="shared" si="103"/>
        <v>1049</v>
      </c>
      <c r="K1136" s="5">
        <f>IF(D1136&lt;$F$11,H1136,0)</f>
        <v>0</v>
      </c>
      <c r="L1136">
        <f>IF(D1136&lt;$A$15,$D$11,$D$11*(1-$H$11))</f>
        <v>85</v>
      </c>
      <c r="M1136">
        <f t="shared" si="104"/>
        <v>1</v>
      </c>
      <c r="N1136">
        <f>IF(SUM(I1136:J1136)&lt;=($G$11/60*$F$11/($E$11/60)),1,0)</f>
        <v>0</v>
      </c>
    </row>
    <row r="1137" spans="4:14" x14ac:dyDescent="0.2">
      <c r="D1137">
        <f t="shared" si="106"/>
        <v>1114</v>
      </c>
      <c r="E1137" s="1">
        <f>IF($H$11=1,IF(D1137&lt;=$A$15, E1136+LN($D$11)-LN(60/$E$11)-LN(MIN(D1137,$F$11)), E1136-LN(60/$E$11)-LN(MIN(D1137,$F$11))), IF(D1137&lt;=$A$15, E1136+LN($D$11)-LN(60/$E$11)-LN(MIN(D1137,$F$11)), E1136+LN($D$11)+LN(1-$H$11)-LN(60/$E$11)-LN(MIN(D1137,$F$11))))</f>
        <v>-133.20326195082626</v>
      </c>
      <c r="F1137" s="1">
        <f t="shared" si="107"/>
        <v>-135.20529476002531</v>
      </c>
      <c r="G1137" s="1">
        <f t="shared" si="105"/>
        <v>1.9102339598467989E-59</v>
      </c>
      <c r="H1137" s="1">
        <f t="shared" si="102"/>
        <v>1.8750337445422995E-60</v>
      </c>
      <c r="I1137">
        <f>IF($F$11&lt;=D1137, IF(D1137&lt;=$A$15,D1137-$F$11,$C$11),0)</f>
        <v>60</v>
      </c>
      <c r="J1137">
        <f t="shared" si="103"/>
        <v>1050</v>
      </c>
      <c r="K1137" s="5">
        <f>IF(D1137&lt;$F$11,H1137,0)</f>
        <v>0</v>
      </c>
      <c r="L1137">
        <f>IF(D1137&lt;$A$15,$D$11,$D$11*(1-$H$11))</f>
        <v>85</v>
      </c>
      <c r="M1137">
        <f t="shared" si="104"/>
        <v>1</v>
      </c>
      <c r="N1137">
        <f>IF(SUM(I1137:J1137)&lt;=($G$11/60*$F$11/($E$11/60)),1,0)</f>
        <v>0</v>
      </c>
    </row>
    <row r="1138" spans="4:14" x14ac:dyDescent="0.2">
      <c r="D1138">
        <f t="shared" si="106"/>
        <v>1115</v>
      </c>
      <c r="E1138" s="1">
        <f>IF($H$11=1,IF(D1138&lt;=$A$15, E1137+LN($D$11)-LN(60/$E$11)-LN(MIN(D1138,$F$11)), E1137-LN(60/$E$11)-LN(MIN(D1138,$F$11))), IF(D1138&lt;=$A$15, E1137+LN($D$11)-LN(60/$E$11)-LN(MIN(D1138,$F$11)), E1137+LN($D$11)+LN(1-$H$11)-LN(60/$E$11)-LN(MIN(D1138,$F$11))))</f>
        <v>-133.3249588858038</v>
      </c>
      <c r="F1138" s="1">
        <f t="shared" si="107"/>
        <v>-135.32699169500285</v>
      </c>
      <c r="G1138" s="1">
        <f t="shared" si="105"/>
        <v>1.6913529852809935E-59</v>
      </c>
      <c r="H1138" s="1">
        <f t="shared" si="102"/>
        <v>1.6601861279801353E-60</v>
      </c>
      <c r="I1138">
        <f>IF($F$11&lt;=D1138, IF(D1138&lt;=$A$15,D1138-$F$11,$C$11),0)</f>
        <v>60</v>
      </c>
      <c r="J1138">
        <f t="shared" si="103"/>
        <v>1051</v>
      </c>
      <c r="K1138" s="5">
        <f>IF(D1138&lt;$F$11,H1138,0)</f>
        <v>0</v>
      </c>
      <c r="L1138">
        <f>IF(D1138&lt;$A$15,$D$11,$D$11*(1-$H$11))</f>
        <v>85</v>
      </c>
      <c r="M1138">
        <f t="shared" si="104"/>
        <v>1</v>
      </c>
      <c r="N1138">
        <f>IF(SUM(I1138:J1138)&lt;=($G$11/60*$F$11/($E$11/60)),1,0)</f>
        <v>0</v>
      </c>
    </row>
    <row r="1139" spans="4:14" x14ac:dyDescent="0.2">
      <c r="D1139">
        <f t="shared" si="106"/>
        <v>1116</v>
      </c>
      <c r="E1139" s="1">
        <f>IF($H$11=1,IF(D1139&lt;=$A$15, E1138+LN($D$11)-LN(60/$E$11)-LN(MIN(D1139,$F$11)), E1138-LN(60/$E$11)-LN(MIN(D1139,$F$11))), IF(D1139&lt;=$A$15, E1138+LN($D$11)-LN(60/$E$11)-LN(MIN(D1139,$F$11)), E1138+LN($D$11)+LN(1-$H$11)-LN(60/$E$11)-LN(MIN(D1139,$F$11))))</f>
        <v>-133.44665582078133</v>
      </c>
      <c r="F1139" s="1">
        <f t="shared" si="107"/>
        <v>-135.44868862998038</v>
      </c>
      <c r="G1139" s="1">
        <f t="shared" si="105"/>
        <v>1.4975521223841895E-59</v>
      </c>
      <c r="H1139" s="1">
        <f t="shared" si="102"/>
        <v>1.4699564674823883E-60</v>
      </c>
      <c r="I1139">
        <f>IF($F$11&lt;=D1139, IF(D1139&lt;=$A$15,D1139-$F$11,$C$11),0)</f>
        <v>60</v>
      </c>
      <c r="J1139">
        <f t="shared" si="103"/>
        <v>1052</v>
      </c>
      <c r="K1139" s="5">
        <f>IF(D1139&lt;$F$11,H1139,0)</f>
        <v>0</v>
      </c>
      <c r="L1139">
        <f>IF(D1139&lt;$A$15,$D$11,$D$11*(1-$H$11))</f>
        <v>85</v>
      </c>
      <c r="M1139">
        <f t="shared" si="104"/>
        <v>1</v>
      </c>
      <c r="N1139">
        <f>IF(SUM(I1139:J1139)&lt;=($G$11/60*$F$11/($E$11/60)),1,0)</f>
        <v>0</v>
      </c>
    </row>
    <row r="1140" spans="4:14" x14ac:dyDescent="0.2">
      <c r="D1140">
        <f t="shared" si="106"/>
        <v>1117</v>
      </c>
      <c r="E1140" s="1">
        <f>IF($H$11=1,IF(D1140&lt;=$A$15, E1139+LN($D$11)-LN(60/$E$11)-LN(MIN(D1140,$F$11)), E1139-LN(60/$E$11)-LN(MIN(D1140,$F$11))), IF(D1140&lt;=$A$15, E1139+LN($D$11)-LN(60/$E$11)-LN(MIN(D1140,$F$11)), E1139+LN($D$11)+LN(1-$H$11)-LN(60/$E$11)-LN(MIN(D1140,$F$11))))</f>
        <v>-133.56835275575887</v>
      </c>
      <c r="F1140" s="1">
        <f t="shared" si="107"/>
        <v>-135.57038556495792</v>
      </c>
      <c r="G1140" s="1">
        <f t="shared" si="105"/>
        <v>1.3259576083609805E-59</v>
      </c>
      <c r="H1140" s="1">
        <f t="shared" si="102"/>
        <v>1.3015239555833445E-60</v>
      </c>
      <c r="I1140">
        <f>IF($F$11&lt;=D1140, IF(D1140&lt;=$A$15,D1140-$F$11,$C$11),0)</f>
        <v>60</v>
      </c>
      <c r="J1140">
        <f t="shared" si="103"/>
        <v>1053</v>
      </c>
      <c r="K1140" s="5">
        <f>IF(D1140&lt;$F$11,H1140,0)</f>
        <v>0</v>
      </c>
      <c r="L1140">
        <f>IF(D1140&lt;$A$15,$D$11,$D$11*(1-$H$11))</f>
        <v>85</v>
      </c>
      <c r="M1140">
        <f t="shared" si="104"/>
        <v>1</v>
      </c>
      <c r="N1140">
        <f>IF(SUM(I1140:J1140)&lt;=($G$11/60*$F$11/($E$11/60)),1,0)</f>
        <v>0</v>
      </c>
    </row>
    <row r="1141" spans="4:14" x14ac:dyDescent="0.2">
      <c r="D1141">
        <f t="shared" si="106"/>
        <v>1118</v>
      </c>
      <c r="E1141" s="1">
        <f>IF($H$11=1,IF(D1141&lt;=$A$15, E1140+LN($D$11)-LN(60/$E$11)-LN(MIN(D1141,$F$11)), E1140-LN(60/$E$11)-LN(MIN(D1141,$F$11))), IF(D1141&lt;=$A$15, E1140+LN($D$11)-LN(60/$E$11)-LN(MIN(D1141,$F$11)), E1140+LN($D$11)+LN(1-$H$11)-LN(60/$E$11)-LN(MIN(D1141,$F$11))))</f>
        <v>-133.6900496907364</v>
      </c>
      <c r="F1141" s="1">
        <f t="shared" si="107"/>
        <v>-135.69208249993545</v>
      </c>
      <c r="G1141" s="1">
        <f t="shared" si="105"/>
        <v>1.1740249657362665E-59</v>
      </c>
      <c r="H1141" s="1">
        <f t="shared" si="102"/>
        <v>1.1523910023394015E-60</v>
      </c>
      <c r="I1141">
        <f>IF($F$11&lt;=D1141, IF(D1141&lt;=$A$15,D1141-$F$11,$C$11),0)</f>
        <v>60</v>
      </c>
      <c r="J1141">
        <f t="shared" si="103"/>
        <v>1054</v>
      </c>
      <c r="K1141" s="5">
        <f>IF(D1141&lt;$F$11,H1141,0)</f>
        <v>0</v>
      </c>
      <c r="L1141">
        <f>IF(D1141&lt;$A$15,$D$11,$D$11*(1-$H$11))</f>
        <v>85</v>
      </c>
      <c r="M1141">
        <f t="shared" si="104"/>
        <v>1</v>
      </c>
      <c r="N1141">
        <f>IF(SUM(I1141:J1141)&lt;=($G$11/60*$F$11/($E$11/60)),1,0)</f>
        <v>0</v>
      </c>
    </row>
    <row r="1142" spans="4:14" x14ac:dyDescent="0.2">
      <c r="D1142">
        <f t="shared" si="106"/>
        <v>1119</v>
      </c>
      <c r="E1142" s="1">
        <f>IF($H$11=1,IF(D1142&lt;=$A$15, E1141+LN($D$11)-LN(60/$E$11)-LN(MIN(D1142,$F$11)), E1141-LN(60/$E$11)-LN(MIN(D1142,$F$11))), IF(D1142&lt;=$A$15, E1141+LN($D$11)-LN(60/$E$11)-LN(MIN(D1142,$F$11)), E1141+LN($D$11)+LN(1-$H$11)-LN(60/$E$11)-LN(MIN(D1142,$F$11))))</f>
        <v>-133.81174662571394</v>
      </c>
      <c r="F1142" s="1">
        <f t="shared" si="107"/>
        <v>-135.81377943491299</v>
      </c>
      <c r="G1142" s="1">
        <f t="shared" si="105"/>
        <v>1.0395012717456362E-59</v>
      </c>
      <c r="H1142" s="1">
        <f t="shared" si="102"/>
        <v>1.0203461999879957E-60</v>
      </c>
      <c r="I1142">
        <f>IF($F$11&lt;=D1142, IF(D1142&lt;=$A$15,D1142-$F$11,$C$11),0)</f>
        <v>60</v>
      </c>
      <c r="J1142">
        <f t="shared" si="103"/>
        <v>1055</v>
      </c>
      <c r="K1142" s="5">
        <f>IF(D1142&lt;$F$11,H1142,0)</f>
        <v>0</v>
      </c>
      <c r="L1142">
        <f>IF(D1142&lt;$A$15,$D$11,$D$11*(1-$H$11))</f>
        <v>85</v>
      </c>
      <c r="M1142">
        <f t="shared" si="104"/>
        <v>1</v>
      </c>
      <c r="N1142">
        <f>IF(SUM(I1142:J1142)&lt;=($G$11/60*$F$11/($E$11/60)),1,0)</f>
        <v>0</v>
      </c>
    </row>
    <row r="1143" spans="4:14" x14ac:dyDescent="0.2">
      <c r="D1143">
        <f t="shared" si="106"/>
        <v>1120</v>
      </c>
      <c r="E1143" s="1">
        <f>IF($H$11=1,IF(D1143&lt;=$A$15, E1142+LN($D$11)-LN(60/$E$11)-LN(MIN(D1143,$F$11)), E1142-LN(60/$E$11)-LN(MIN(D1143,$F$11))), IF(D1143&lt;=$A$15, E1142+LN($D$11)-LN(60/$E$11)-LN(MIN(D1143,$F$11)), E1142+LN($D$11)+LN(1-$H$11)-LN(60/$E$11)-LN(MIN(D1143,$F$11))))</f>
        <v>-133.93344356069147</v>
      </c>
      <c r="F1143" s="1">
        <f t="shared" si="107"/>
        <v>-135.93547636989052</v>
      </c>
      <c r="G1143" s="1">
        <f t="shared" si="105"/>
        <v>9.2039175102476777E-60</v>
      </c>
      <c r="H1143" s="1">
        <f t="shared" si="102"/>
        <v>9.0343153123935721E-61</v>
      </c>
      <c r="I1143">
        <f>IF($F$11&lt;=D1143, IF(D1143&lt;=$A$15,D1143-$F$11,$C$11),0)</f>
        <v>60</v>
      </c>
      <c r="J1143">
        <f t="shared" si="103"/>
        <v>1056</v>
      </c>
      <c r="K1143" s="5">
        <f>IF(D1143&lt;$F$11,H1143,0)</f>
        <v>0</v>
      </c>
      <c r="L1143">
        <f>IF(D1143&lt;$A$15,$D$11,$D$11*(1-$H$11))</f>
        <v>85</v>
      </c>
      <c r="M1143">
        <f t="shared" si="104"/>
        <v>1</v>
      </c>
      <c r="N1143">
        <f>IF(SUM(I1143:J1143)&lt;=($G$11/60*$F$11/($E$11/60)),1,0)</f>
        <v>0</v>
      </c>
    </row>
    <row r="1144" spans="4:14" x14ac:dyDescent="0.2">
      <c r="D1144">
        <f t="shared" si="106"/>
        <v>1121</v>
      </c>
      <c r="E1144" s="1">
        <f>IF($H$11=1,IF(D1144&lt;=$A$15, E1143+LN($D$11)-LN(60/$E$11)-LN(MIN(D1144,$F$11)), E1143-LN(60/$E$11)-LN(MIN(D1144,$F$11))), IF(D1144&lt;=$A$15, E1143+LN($D$11)-LN(60/$E$11)-LN(MIN(D1144,$F$11)), E1143+LN($D$11)+LN(1-$H$11)-LN(60/$E$11)-LN(MIN(D1144,$F$11))))</f>
        <v>-134.05514049566901</v>
      </c>
      <c r="F1144" s="1">
        <f t="shared" si="107"/>
        <v>-136.05717330486806</v>
      </c>
      <c r="G1144" s="1">
        <f t="shared" si="105"/>
        <v>8.1493019621983368E-60</v>
      </c>
      <c r="H1144" s="1">
        <f t="shared" si="102"/>
        <v>7.9991333495150159E-61</v>
      </c>
      <c r="I1144">
        <f>IF($F$11&lt;=D1144, IF(D1144&lt;=$A$15,D1144-$F$11,$C$11),0)</f>
        <v>60</v>
      </c>
      <c r="J1144">
        <f t="shared" si="103"/>
        <v>1057</v>
      </c>
      <c r="K1144" s="5">
        <f>IF(D1144&lt;$F$11,H1144,0)</f>
        <v>0</v>
      </c>
      <c r="L1144">
        <f>IF(D1144&lt;$A$15,$D$11,$D$11*(1-$H$11))</f>
        <v>85</v>
      </c>
      <c r="M1144">
        <f t="shared" si="104"/>
        <v>1</v>
      </c>
      <c r="N1144">
        <f>IF(SUM(I1144:J1144)&lt;=($G$11/60*$F$11/($E$11/60)),1,0)</f>
        <v>0</v>
      </c>
    </row>
    <row r="1145" spans="4:14" x14ac:dyDescent="0.2">
      <c r="D1145">
        <f t="shared" si="106"/>
        <v>1122</v>
      </c>
      <c r="E1145" s="1">
        <f>IF($H$11=1,IF(D1145&lt;=$A$15, E1144+LN($D$11)-LN(60/$E$11)-LN(MIN(D1145,$F$11)), E1144-LN(60/$E$11)-LN(MIN(D1145,$F$11))), IF(D1145&lt;=$A$15, E1144+LN($D$11)-LN(60/$E$11)-LN(MIN(D1145,$F$11)), E1144+LN($D$11)+LN(1-$H$11)-LN(60/$E$11)-LN(MIN(D1145,$F$11))))</f>
        <v>-134.17683743064654</v>
      </c>
      <c r="F1145" s="1">
        <f t="shared" si="107"/>
        <v>-136.17887023984559</v>
      </c>
      <c r="G1145" s="1">
        <f t="shared" si="105"/>
        <v>7.2155277790296644E-60</v>
      </c>
      <c r="H1145" s="1">
        <f t="shared" si="102"/>
        <v>7.0825659865496427E-61</v>
      </c>
      <c r="I1145">
        <f>IF($F$11&lt;=D1145, IF(D1145&lt;=$A$15,D1145-$F$11,$C$11),0)</f>
        <v>60</v>
      </c>
      <c r="J1145">
        <f t="shared" si="103"/>
        <v>1058</v>
      </c>
      <c r="K1145" s="5">
        <f>IF(D1145&lt;$F$11,H1145,0)</f>
        <v>0</v>
      </c>
      <c r="L1145">
        <f>IF(D1145&lt;$A$15,$D$11,$D$11*(1-$H$11))</f>
        <v>85</v>
      </c>
      <c r="M1145">
        <f t="shared" si="104"/>
        <v>1</v>
      </c>
      <c r="N1145">
        <f>IF(SUM(I1145:J1145)&lt;=($G$11/60*$F$11/($E$11/60)),1,0)</f>
        <v>0</v>
      </c>
    </row>
    <row r="1146" spans="4:14" x14ac:dyDescent="0.2">
      <c r="D1146">
        <f t="shared" si="106"/>
        <v>1123</v>
      </c>
      <c r="E1146" s="1">
        <f>IF($H$11=1,IF(D1146&lt;=$A$15, E1145+LN($D$11)-LN(60/$E$11)-LN(MIN(D1146,$F$11)), E1145-LN(60/$E$11)-LN(MIN(D1146,$F$11))), IF(D1146&lt;=$A$15, E1145+LN($D$11)-LN(60/$E$11)-LN(MIN(D1146,$F$11)), E1145+LN($D$11)+LN(1-$H$11)-LN(60/$E$11)-LN(MIN(D1146,$F$11))))</f>
        <v>-134.29853436562408</v>
      </c>
      <c r="F1146" s="1">
        <f t="shared" si="107"/>
        <v>-136.30056717482313</v>
      </c>
      <c r="G1146" s="1">
        <f t="shared" si="105"/>
        <v>6.3887485543490823E-60</v>
      </c>
      <c r="H1146" s="1">
        <f t="shared" si="102"/>
        <v>6.2710219672573988E-61</v>
      </c>
      <c r="I1146">
        <f>IF($F$11&lt;=D1146, IF(D1146&lt;=$A$15,D1146-$F$11,$C$11),0)</f>
        <v>60</v>
      </c>
      <c r="J1146">
        <f t="shared" si="103"/>
        <v>1059</v>
      </c>
      <c r="K1146" s="5">
        <f>IF(D1146&lt;$F$11,H1146,0)</f>
        <v>0</v>
      </c>
      <c r="L1146">
        <f>IF(D1146&lt;$A$15,$D$11,$D$11*(1-$H$11))</f>
        <v>85</v>
      </c>
      <c r="M1146">
        <f t="shared" si="104"/>
        <v>1</v>
      </c>
      <c r="N1146">
        <f>IF(SUM(I1146:J1146)&lt;=($G$11/60*$F$11/($E$11/60)),1,0)</f>
        <v>0</v>
      </c>
    </row>
    <row r="1147" spans="4:14" x14ac:dyDescent="0.2">
      <c r="D1147">
        <f t="shared" si="106"/>
        <v>1124</v>
      </c>
      <c r="E1147" s="1">
        <f>IF($H$11=1,IF(D1147&lt;=$A$15, E1146+LN($D$11)-LN(60/$E$11)-LN(MIN(D1147,$F$11)), E1146-LN(60/$E$11)-LN(MIN(D1147,$F$11))), IF(D1147&lt;=$A$15, E1146+LN($D$11)-LN(60/$E$11)-LN(MIN(D1147,$F$11)), E1146+LN($D$11)+LN(1-$H$11)-LN(60/$E$11)-LN(MIN(D1147,$F$11))))</f>
        <v>-134.42023130060161</v>
      </c>
      <c r="F1147" s="1">
        <f t="shared" si="107"/>
        <v>-136.42226410980066</v>
      </c>
      <c r="G1147" s="1">
        <f t="shared" si="105"/>
        <v>5.6567044491631618E-60</v>
      </c>
      <c r="H1147" s="1">
        <f t="shared" si="102"/>
        <v>5.5524673668424016E-61</v>
      </c>
      <c r="I1147">
        <f>IF($F$11&lt;=D1147, IF(D1147&lt;=$A$15,D1147-$F$11,$C$11),0)</f>
        <v>60</v>
      </c>
      <c r="J1147">
        <f t="shared" si="103"/>
        <v>1060</v>
      </c>
      <c r="K1147" s="5">
        <f>IF(D1147&lt;$F$11,H1147,0)</f>
        <v>0</v>
      </c>
      <c r="L1147">
        <f>IF(D1147&lt;$A$15,$D$11,$D$11*(1-$H$11))</f>
        <v>85</v>
      </c>
      <c r="M1147">
        <f t="shared" si="104"/>
        <v>1</v>
      </c>
      <c r="N1147">
        <f>IF(SUM(I1147:J1147)&lt;=($G$11/60*$F$11/($E$11/60)),1,0)</f>
        <v>0</v>
      </c>
    </row>
    <row r="1148" spans="4:14" x14ac:dyDescent="0.2">
      <c r="D1148">
        <f t="shared" si="106"/>
        <v>1125</v>
      </c>
      <c r="E1148" s="1">
        <f>IF($H$11=1,IF(D1148&lt;=$A$15, E1147+LN($D$11)-LN(60/$E$11)-LN(MIN(D1148,$F$11)), E1147-LN(60/$E$11)-LN(MIN(D1148,$F$11))), IF(D1148&lt;=$A$15, E1147+LN($D$11)-LN(60/$E$11)-LN(MIN(D1148,$F$11)), E1147+LN($D$11)+LN(1-$H$11)-LN(60/$E$11)-LN(MIN(D1148,$F$11))))</f>
        <v>-134.54192823557915</v>
      </c>
      <c r="F1148" s="1">
        <f t="shared" si="107"/>
        <v>-136.5439610447782</v>
      </c>
      <c r="G1148" s="1">
        <f t="shared" si="105"/>
        <v>5.0085403976964705E-60</v>
      </c>
      <c r="H1148" s="1">
        <f t="shared" si="102"/>
        <v>4.916247147724966E-61</v>
      </c>
      <c r="I1148">
        <f>IF($F$11&lt;=D1148, IF(D1148&lt;=$A$15,D1148-$F$11,$C$11),0)</f>
        <v>60</v>
      </c>
      <c r="J1148">
        <f t="shared" si="103"/>
        <v>1061</v>
      </c>
      <c r="K1148" s="5">
        <f>IF(D1148&lt;$F$11,H1148,0)</f>
        <v>0</v>
      </c>
      <c r="L1148">
        <f>IF(D1148&lt;$A$15,$D$11,$D$11*(1-$H$11))</f>
        <v>85</v>
      </c>
      <c r="M1148">
        <f t="shared" si="104"/>
        <v>1</v>
      </c>
      <c r="N1148">
        <f>IF(SUM(I1148:J1148)&lt;=($G$11/60*$F$11/($E$11/60)),1,0)</f>
        <v>0</v>
      </c>
    </row>
    <row r="1149" spans="4:14" x14ac:dyDescent="0.2">
      <c r="D1149">
        <f t="shared" si="106"/>
        <v>1126</v>
      </c>
      <c r="E1149" s="1">
        <f>IF($H$11=1,IF(D1149&lt;=$A$15, E1148+LN($D$11)-LN(60/$E$11)-LN(MIN(D1149,$F$11)), E1148-LN(60/$E$11)-LN(MIN(D1149,$F$11))), IF(D1149&lt;=$A$15, E1148+LN($D$11)-LN(60/$E$11)-LN(MIN(D1149,$F$11)), E1148+LN($D$11)+LN(1-$H$11)-LN(60/$E$11)-LN(MIN(D1149,$F$11))))</f>
        <v>-134.66362517055668</v>
      </c>
      <c r="F1149" s="1">
        <f t="shared" si="107"/>
        <v>-136.66565797975574</v>
      </c>
      <c r="G1149" s="1">
        <f t="shared" si="105"/>
        <v>4.4346451437936808E-60</v>
      </c>
      <c r="H1149" s="1">
        <f t="shared" si="102"/>
        <v>4.3529271620480792E-61</v>
      </c>
      <c r="I1149">
        <f>IF($F$11&lt;=D1149, IF(D1149&lt;=$A$15,D1149-$F$11,$C$11),0)</f>
        <v>60</v>
      </c>
      <c r="J1149">
        <f t="shared" si="103"/>
        <v>1062</v>
      </c>
      <c r="K1149" s="5">
        <f>IF(D1149&lt;$F$11,H1149,0)</f>
        <v>0</v>
      </c>
      <c r="L1149">
        <f>IF(D1149&lt;$A$15,$D$11,$D$11*(1-$H$11))</f>
        <v>85</v>
      </c>
      <c r="M1149">
        <f t="shared" si="104"/>
        <v>1</v>
      </c>
      <c r="N1149">
        <f>IF(SUM(I1149:J1149)&lt;=($G$11/60*$F$11/($E$11/60)),1,0)</f>
        <v>0</v>
      </c>
    </row>
    <row r="1150" spans="4:14" x14ac:dyDescent="0.2">
      <c r="D1150">
        <f t="shared" si="106"/>
        <v>1127</v>
      </c>
      <c r="E1150" s="1">
        <f>IF($H$11=1,IF(D1150&lt;=$A$15, E1149+LN($D$11)-LN(60/$E$11)-LN(MIN(D1150,$F$11)), E1149-LN(60/$E$11)-LN(MIN(D1150,$F$11))), IF(D1150&lt;=$A$15, E1149+LN($D$11)-LN(60/$E$11)-LN(MIN(D1150,$F$11)), E1149+LN($D$11)+LN(1-$H$11)-LN(60/$E$11)-LN(MIN(D1150,$F$11))))</f>
        <v>-134.78532210553422</v>
      </c>
      <c r="F1150" s="1">
        <f t="shared" si="107"/>
        <v>-136.78735491473327</v>
      </c>
      <c r="G1150" s="1">
        <f t="shared" si="105"/>
        <v>3.9265087210672605E-60</v>
      </c>
      <c r="H1150" s="1">
        <f t="shared" si="102"/>
        <v>3.854154258063343E-61</v>
      </c>
      <c r="I1150">
        <f>IF($F$11&lt;=D1150, IF(D1150&lt;=$A$15,D1150-$F$11,$C$11),0)</f>
        <v>60</v>
      </c>
      <c r="J1150">
        <f t="shared" si="103"/>
        <v>1063</v>
      </c>
      <c r="K1150" s="5">
        <f>IF(D1150&lt;$F$11,H1150,0)</f>
        <v>0</v>
      </c>
      <c r="L1150">
        <f>IF(D1150&lt;$A$15,$D$11,$D$11*(1-$H$11))</f>
        <v>85</v>
      </c>
      <c r="M1150">
        <f t="shared" si="104"/>
        <v>1</v>
      </c>
      <c r="N1150">
        <f>IF(SUM(I1150:J1150)&lt;=($G$11/60*$F$11/($E$11/60)),1,0)</f>
        <v>0</v>
      </c>
    </row>
    <row r="1151" spans="4:14" x14ac:dyDescent="0.2">
      <c r="D1151">
        <f t="shared" si="106"/>
        <v>1128</v>
      </c>
      <c r="E1151" s="1">
        <f>IF($H$11=1,IF(D1151&lt;=$A$15, E1150+LN($D$11)-LN(60/$E$11)-LN(MIN(D1151,$F$11)), E1150-LN(60/$E$11)-LN(MIN(D1151,$F$11))), IF(D1151&lt;=$A$15, E1150+LN($D$11)-LN(60/$E$11)-LN(MIN(D1151,$F$11)), E1150+LN($D$11)+LN(1-$H$11)-LN(60/$E$11)-LN(MIN(D1151,$F$11))))</f>
        <v>-134.90701904051176</v>
      </c>
      <c r="F1151" s="1">
        <f t="shared" si="107"/>
        <v>-136.90905184971081</v>
      </c>
      <c r="G1151" s="1">
        <f t="shared" si="105"/>
        <v>3.4765962634449155E-60</v>
      </c>
      <c r="H1151" s="1">
        <f t="shared" si="102"/>
        <v>3.4125324159935312E-61</v>
      </c>
      <c r="I1151">
        <f>IF($F$11&lt;=D1151, IF(D1151&lt;=$A$15,D1151-$F$11,$C$11),0)</f>
        <v>60</v>
      </c>
      <c r="J1151">
        <f t="shared" si="103"/>
        <v>1064</v>
      </c>
      <c r="K1151" s="5">
        <f>IF(D1151&lt;$F$11,H1151,0)</f>
        <v>0</v>
      </c>
      <c r="L1151">
        <f>IF(D1151&lt;$A$15,$D$11,$D$11*(1-$H$11))</f>
        <v>85</v>
      </c>
      <c r="M1151">
        <f t="shared" si="104"/>
        <v>1</v>
      </c>
      <c r="N1151">
        <f>IF(SUM(I1151:J1151)&lt;=($G$11/60*$F$11/($E$11/60)),1,0)</f>
        <v>0</v>
      </c>
    </row>
    <row r="1152" spans="4:14" x14ac:dyDescent="0.2">
      <c r="D1152">
        <f t="shared" si="106"/>
        <v>1129</v>
      </c>
      <c r="E1152" s="1">
        <f>IF($H$11=1,IF(D1152&lt;=$A$15, E1151+LN($D$11)-LN(60/$E$11)-LN(MIN(D1152,$F$11)), E1151-LN(60/$E$11)-LN(MIN(D1152,$F$11))), IF(D1152&lt;=$A$15, E1151+LN($D$11)-LN(60/$E$11)-LN(MIN(D1152,$F$11)), E1151+LN($D$11)+LN(1-$H$11)-LN(60/$E$11)-LN(MIN(D1152,$F$11))))</f>
        <v>-135.02871597548929</v>
      </c>
      <c r="F1152" s="1">
        <f t="shared" si="107"/>
        <v>-137.03074878468834</v>
      </c>
      <c r="G1152" s="1">
        <f t="shared" si="105"/>
        <v>3.0782362749251376E-60</v>
      </c>
      <c r="H1152" s="1">
        <f t="shared" si="102"/>
        <v>3.0215130766608922E-61</v>
      </c>
      <c r="I1152">
        <f>IF($F$11&lt;=D1152, IF(D1152&lt;=$A$15,D1152-$F$11,$C$11),0)</f>
        <v>60</v>
      </c>
      <c r="J1152">
        <f t="shared" si="103"/>
        <v>1065</v>
      </c>
      <c r="K1152" s="5">
        <f>IF(D1152&lt;$F$11,H1152,0)</f>
        <v>0</v>
      </c>
      <c r="L1152">
        <f>IF(D1152&lt;$A$15,$D$11,$D$11*(1-$H$11))</f>
        <v>85</v>
      </c>
      <c r="M1152">
        <f t="shared" si="104"/>
        <v>1</v>
      </c>
      <c r="N1152">
        <f>IF(SUM(I1152:J1152)&lt;=($G$11/60*$F$11/($E$11/60)),1,0)</f>
        <v>0</v>
      </c>
    </row>
    <row r="1153" spans="4:14" x14ac:dyDescent="0.2">
      <c r="D1153">
        <f t="shared" si="106"/>
        <v>1130</v>
      </c>
      <c r="E1153" s="1">
        <f>IF($H$11=1,IF(D1153&lt;=$A$15, E1152+LN($D$11)-LN(60/$E$11)-LN(MIN(D1153,$F$11)), E1152-LN(60/$E$11)-LN(MIN(D1153,$F$11))), IF(D1153&lt;=$A$15, E1152+LN($D$11)-LN(60/$E$11)-LN(MIN(D1153,$F$11)), E1152+LN($D$11)+LN(1-$H$11)-LN(60/$E$11)-LN(MIN(D1153,$F$11))))</f>
        <v>-135.15041291046683</v>
      </c>
      <c r="F1153" s="1">
        <f t="shared" si="107"/>
        <v>-137.15244571966588</v>
      </c>
      <c r="G1153" s="1">
        <f t="shared" si="105"/>
        <v>2.7255217017565894E-60</v>
      </c>
      <c r="H1153" s="1">
        <f t="shared" si="102"/>
        <v>2.6752980366267897E-61</v>
      </c>
      <c r="I1153">
        <f>IF($F$11&lt;=D1153, IF(D1153&lt;=$A$15,D1153-$F$11,$C$11),0)</f>
        <v>60</v>
      </c>
      <c r="J1153">
        <f t="shared" si="103"/>
        <v>1066</v>
      </c>
      <c r="K1153" s="5">
        <f>IF(D1153&lt;$F$11,H1153,0)</f>
        <v>0</v>
      </c>
      <c r="L1153">
        <f>IF(D1153&lt;$A$15,$D$11,$D$11*(1-$H$11))</f>
        <v>85</v>
      </c>
      <c r="M1153">
        <f t="shared" si="104"/>
        <v>1</v>
      </c>
      <c r="N1153">
        <f>IF(SUM(I1153:J1153)&lt;=($G$11/60*$F$11/($E$11/60)),1,0)</f>
        <v>0</v>
      </c>
    </row>
    <row r="1154" spans="4:14" x14ac:dyDescent="0.2">
      <c r="D1154">
        <f t="shared" si="106"/>
        <v>1131</v>
      </c>
      <c r="E1154" s="1">
        <f>IF($H$11=1,IF(D1154&lt;=$A$15, E1153+LN($D$11)-LN(60/$E$11)-LN(MIN(D1154,$F$11)), E1153-LN(60/$E$11)-LN(MIN(D1154,$F$11))), IF(D1154&lt;=$A$15, E1153+LN($D$11)-LN(60/$E$11)-LN(MIN(D1154,$F$11)), E1153+LN($D$11)+LN(1-$H$11)-LN(60/$E$11)-LN(MIN(D1154,$F$11))))</f>
        <v>-135.27210984544436</v>
      </c>
      <c r="F1154" s="1">
        <f t="shared" si="107"/>
        <v>-137.27414265464341</v>
      </c>
      <c r="G1154" s="1">
        <f t="shared" si="105"/>
        <v>2.4132223400969428E-60</v>
      </c>
      <c r="H1154" s="1">
        <f t="shared" si="102"/>
        <v>2.3687534699299331E-61</v>
      </c>
      <c r="I1154">
        <f>IF($F$11&lt;=D1154, IF(D1154&lt;=$A$15,D1154-$F$11,$C$11),0)</f>
        <v>60</v>
      </c>
      <c r="J1154">
        <f t="shared" si="103"/>
        <v>1067</v>
      </c>
      <c r="K1154" s="5">
        <f>IF(D1154&lt;$F$11,H1154,0)</f>
        <v>0</v>
      </c>
      <c r="L1154">
        <f>IF(D1154&lt;$A$15,$D$11,$D$11*(1-$H$11))</f>
        <v>85</v>
      </c>
      <c r="M1154">
        <f t="shared" si="104"/>
        <v>1</v>
      </c>
      <c r="N1154">
        <f>IF(SUM(I1154:J1154)&lt;=($G$11/60*$F$11/($E$11/60)),1,0)</f>
        <v>0</v>
      </c>
    </row>
    <row r="1155" spans="4:14" x14ac:dyDescent="0.2">
      <c r="D1155">
        <f t="shared" si="106"/>
        <v>1132</v>
      </c>
      <c r="E1155" s="1">
        <f>IF($H$11=1,IF(D1155&lt;=$A$15, E1154+LN($D$11)-LN(60/$E$11)-LN(MIN(D1155,$F$11)), E1154-LN(60/$E$11)-LN(MIN(D1155,$F$11))), IF(D1155&lt;=$A$15, E1154+LN($D$11)-LN(60/$E$11)-LN(MIN(D1155,$F$11)), E1154+LN($D$11)+LN(1-$H$11)-LN(60/$E$11)-LN(MIN(D1155,$F$11))))</f>
        <v>-135.3938067804219</v>
      </c>
      <c r="F1155" s="1">
        <f t="shared" si="107"/>
        <v>-137.39583958962095</v>
      </c>
      <c r="G1155" s="1">
        <f t="shared" si="105"/>
        <v>2.1367072802941347E-60</v>
      </c>
      <c r="H1155" s="1">
        <f t="shared" si="102"/>
        <v>2.0973338015004289E-61</v>
      </c>
      <c r="I1155">
        <f>IF($F$11&lt;=D1155, IF(D1155&lt;=$A$15,D1155-$F$11,$C$11),0)</f>
        <v>60</v>
      </c>
      <c r="J1155">
        <f t="shared" si="103"/>
        <v>1068</v>
      </c>
      <c r="K1155" s="5">
        <f>IF(D1155&lt;$F$11,H1155,0)</f>
        <v>0</v>
      </c>
      <c r="L1155">
        <f>IF(D1155&lt;$A$15,$D$11,$D$11*(1-$H$11))</f>
        <v>85</v>
      </c>
      <c r="M1155">
        <f t="shared" si="104"/>
        <v>1</v>
      </c>
      <c r="N1155">
        <f>IF(SUM(I1155:J1155)&lt;=($G$11/60*$F$11/($E$11/60)),1,0)</f>
        <v>0</v>
      </c>
    </row>
    <row r="1156" spans="4:14" x14ac:dyDescent="0.2">
      <c r="D1156">
        <f t="shared" si="106"/>
        <v>1133</v>
      </c>
      <c r="E1156" s="1">
        <f>IF($H$11=1,IF(D1156&lt;=$A$15, E1155+LN($D$11)-LN(60/$E$11)-LN(MIN(D1156,$F$11)), E1155-LN(60/$E$11)-LN(MIN(D1156,$F$11))), IF(D1156&lt;=$A$15, E1155+LN($D$11)-LN(60/$E$11)-LN(MIN(D1156,$F$11)), E1155+LN($D$11)+LN(1-$H$11)-LN(60/$E$11)-LN(MIN(D1156,$F$11))))</f>
        <v>-135.51550371539943</v>
      </c>
      <c r="F1156" s="1">
        <f t="shared" si="107"/>
        <v>-137.51753652459848</v>
      </c>
      <c r="G1156" s="1">
        <f t="shared" si="105"/>
        <v>1.891876237760402E-60</v>
      </c>
      <c r="H1156" s="1">
        <f t="shared" si="102"/>
        <v>1.857014303411809E-61</v>
      </c>
      <c r="I1156">
        <f>IF($F$11&lt;=D1156, IF(D1156&lt;=$A$15,D1156-$F$11,$C$11),0)</f>
        <v>60</v>
      </c>
      <c r="J1156">
        <f t="shared" si="103"/>
        <v>1069</v>
      </c>
      <c r="K1156" s="5">
        <f>IF(D1156&lt;$F$11,H1156,0)</f>
        <v>0</v>
      </c>
      <c r="L1156">
        <f>IF(D1156&lt;$A$15,$D$11,$D$11*(1-$H$11))</f>
        <v>85</v>
      </c>
      <c r="M1156">
        <f t="shared" si="104"/>
        <v>1</v>
      </c>
      <c r="N1156">
        <f>IF(SUM(I1156:J1156)&lt;=($G$11/60*$F$11/($E$11/60)),1,0)</f>
        <v>0</v>
      </c>
    </row>
    <row r="1157" spans="4:14" x14ac:dyDescent="0.2">
      <c r="D1157">
        <f t="shared" si="106"/>
        <v>1134</v>
      </c>
      <c r="E1157" s="1">
        <f>IF($H$11=1,IF(D1157&lt;=$A$15, E1156+LN($D$11)-LN(60/$E$11)-LN(MIN(D1157,$F$11)), E1156-LN(60/$E$11)-LN(MIN(D1157,$F$11))), IF(D1157&lt;=$A$15, E1156+LN($D$11)-LN(60/$E$11)-LN(MIN(D1157,$F$11)), E1156+LN($D$11)+LN(1-$H$11)-LN(60/$E$11)-LN(MIN(D1157,$F$11))))</f>
        <v>-135.63720065037697</v>
      </c>
      <c r="F1157" s="1">
        <f t="shared" si="107"/>
        <v>-137.63923345957602</v>
      </c>
      <c r="G1157" s="1">
        <f t="shared" si="105"/>
        <v>1.6750987521836633E-60</v>
      </c>
      <c r="H1157" s="1">
        <f t="shared" si="102"/>
        <v>1.6442314144791803E-61</v>
      </c>
      <c r="I1157">
        <f>IF($F$11&lt;=D1157, IF(D1157&lt;=$A$15,D1157-$F$11,$C$11),0)</f>
        <v>60</v>
      </c>
      <c r="J1157">
        <f t="shared" si="103"/>
        <v>1070</v>
      </c>
      <c r="K1157" s="5">
        <f>IF(D1157&lt;$F$11,H1157,0)</f>
        <v>0</v>
      </c>
      <c r="L1157">
        <f>IF(D1157&lt;$A$15,$D$11,$D$11*(1-$H$11))</f>
        <v>85</v>
      </c>
      <c r="M1157">
        <f t="shared" si="104"/>
        <v>1</v>
      </c>
      <c r="N1157">
        <f>IF(SUM(I1157:J1157)&lt;=($G$11/60*$F$11/($E$11/60)),1,0)</f>
        <v>0</v>
      </c>
    </row>
    <row r="1158" spans="4:14" x14ac:dyDescent="0.2">
      <c r="D1158">
        <f t="shared" si="106"/>
        <v>1135</v>
      </c>
      <c r="E1158" s="1">
        <f>IF($H$11=1,IF(D1158&lt;=$A$15, E1157+LN($D$11)-LN(60/$E$11)-LN(MIN(D1158,$F$11)), E1157-LN(60/$E$11)-LN(MIN(D1158,$F$11))), IF(D1158&lt;=$A$15, E1157+LN($D$11)-LN(60/$E$11)-LN(MIN(D1158,$F$11)), E1157+LN($D$11)+LN(1-$H$11)-LN(60/$E$11)-LN(MIN(D1158,$F$11))))</f>
        <v>-135.7588975853545</v>
      </c>
      <c r="F1158" s="1">
        <f t="shared" si="107"/>
        <v>-137.76093039455355</v>
      </c>
      <c r="G1158" s="1">
        <f t="shared" si="105"/>
        <v>1.4831603534959285E-60</v>
      </c>
      <c r="H1158" s="1">
        <f t="shared" si="102"/>
        <v>1.4558298982367513E-61</v>
      </c>
      <c r="I1158">
        <f>IF($F$11&lt;=D1158, IF(D1158&lt;=$A$15,D1158-$F$11,$C$11),0)</f>
        <v>60</v>
      </c>
      <c r="J1158">
        <f t="shared" si="103"/>
        <v>1071</v>
      </c>
      <c r="K1158" s="5">
        <f>IF(D1158&lt;$F$11,H1158,0)</f>
        <v>0</v>
      </c>
      <c r="L1158">
        <f>IF(D1158&lt;$A$15,$D$11,$D$11*(1-$H$11))</f>
        <v>85</v>
      </c>
      <c r="M1158">
        <f t="shared" si="104"/>
        <v>1</v>
      </c>
      <c r="N1158">
        <f>IF(SUM(I1158:J1158)&lt;=($G$11/60*$F$11/($E$11/60)),1,0)</f>
        <v>0</v>
      </c>
    </row>
    <row r="1159" spans="4:14" x14ac:dyDescent="0.2">
      <c r="D1159">
        <f t="shared" si="106"/>
        <v>1136</v>
      </c>
      <c r="E1159" s="1">
        <f>IF($H$11=1,IF(D1159&lt;=$A$15, E1158+LN($D$11)-LN(60/$E$11)-LN(MIN(D1159,$F$11)), E1158-LN(60/$E$11)-LN(MIN(D1159,$F$11))), IF(D1159&lt;=$A$15, E1158+LN($D$11)-LN(60/$E$11)-LN(MIN(D1159,$F$11)), E1158+LN($D$11)+LN(1-$H$11)-LN(60/$E$11)-LN(MIN(D1159,$F$11))))</f>
        <v>-135.88059452033204</v>
      </c>
      <c r="F1159" s="1">
        <f t="shared" si="107"/>
        <v>-137.88262732953109</v>
      </c>
      <c r="G1159" s="1">
        <f t="shared" si="105"/>
        <v>1.3132148963244996E-60</v>
      </c>
      <c r="H1159" s="1">
        <f t="shared" si="102"/>
        <v>1.2890160557304368E-61</v>
      </c>
      <c r="I1159">
        <f>IF($F$11&lt;=D1159, IF(D1159&lt;=$A$15,D1159-$F$11,$C$11),0)</f>
        <v>60</v>
      </c>
      <c r="J1159">
        <f t="shared" si="103"/>
        <v>1072</v>
      </c>
      <c r="K1159" s="5">
        <f>IF(D1159&lt;$F$11,H1159,0)</f>
        <v>0</v>
      </c>
      <c r="L1159">
        <f>IF(D1159&lt;$A$15,$D$11,$D$11*(1-$H$11))</f>
        <v>85</v>
      </c>
      <c r="M1159">
        <f t="shared" si="104"/>
        <v>1</v>
      </c>
      <c r="N1159">
        <f>IF(SUM(I1159:J1159)&lt;=($G$11/60*$F$11/($E$11/60)),1,0)</f>
        <v>0</v>
      </c>
    </row>
    <row r="1160" spans="4:14" x14ac:dyDescent="0.2">
      <c r="D1160">
        <f t="shared" si="106"/>
        <v>1137</v>
      </c>
      <c r="E1160" s="1">
        <f>IF($H$11=1,IF(D1160&lt;=$A$15, E1159+LN($D$11)-LN(60/$E$11)-LN(MIN(D1160,$F$11)), E1159-LN(60/$E$11)-LN(MIN(D1160,$F$11))), IF(D1160&lt;=$A$15, E1159+LN($D$11)-LN(60/$E$11)-LN(MIN(D1160,$F$11)), E1159+LN($D$11)+LN(1-$H$11)-LN(60/$E$11)-LN(MIN(D1160,$F$11))))</f>
        <v>-136.00229145530957</v>
      </c>
      <c r="F1160" s="1">
        <f t="shared" si="107"/>
        <v>-138.00432426450863</v>
      </c>
      <c r="G1160" s="1">
        <f t="shared" si="105"/>
        <v>1.1627423561206325E-60</v>
      </c>
      <c r="H1160" s="1">
        <f t="shared" si="102"/>
        <v>1.1413162993446398E-61</v>
      </c>
      <c r="I1160">
        <f>IF($F$11&lt;=D1160, IF(D1160&lt;=$A$15,D1160-$F$11,$C$11),0)</f>
        <v>60</v>
      </c>
      <c r="J1160">
        <f t="shared" si="103"/>
        <v>1073</v>
      </c>
      <c r="K1160" s="5">
        <f>IF(D1160&lt;$F$11,H1160,0)</f>
        <v>0</v>
      </c>
      <c r="L1160">
        <f>IF(D1160&lt;$A$15,$D$11,$D$11*(1-$H$11))</f>
        <v>85</v>
      </c>
      <c r="M1160">
        <f t="shared" si="104"/>
        <v>1</v>
      </c>
      <c r="N1160">
        <f>IF(SUM(I1160:J1160)&lt;=($G$11/60*$F$11/($E$11/60)),1,0)</f>
        <v>0</v>
      </c>
    </row>
    <row r="1161" spans="4:14" x14ac:dyDescent="0.2">
      <c r="D1161">
        <f t="shared" si="106"/>
        <v>1138</v>
      </c>
      <c r="E1161" s="1">
        <f>IF($H$11=1,IF(D1161&lt;=$A$15, E1160+LN($D$11)-LN(60/$E$11)-LN(MIN(D1161,$F$11)), E1160-LN(60/$E$11)-LN(MIN(D1161,$F$11))), IF(D1161&lt;=$A$15, E1160+LN($D$11)-LN(60/$E$11)-LN(MIN(D1161,$F$11)), E1160+LN($D$11)+LN(1-$H$11)-LN(60/$E$11)-LN(MIN(D1161,$F$11))))</f>
        <v>-136.12398839028711</v>
      </c>
      <c r="F1161" s="1">
        <f t="shared" si="107"/>
        <v>-138.12602119948616</v>
      </c>
      <c r="G1161" s="1">
        <f t="shared" si="105"/>
        <v>1.0295114611484606E-60</v>
      </c>
      <c r="H1161" s="1">
        <f t="shared" si="102"/>
        <v>1.0105404733780507E-61</v>
      </c>
      <c r="I1161">
        <f>IF($F$11&lt;=D1161, IF(D1161&lt;=$A$15,D1161-$F$11,$C$11),0)</f>
        <v>60</v>
      </c>
      <c r="J1161">
        <f t="shared" si="103"/>
        <v>1074</v>
      </c>
      <c r="K1161" s="5">
        <f>IF(D1161&lt;$F$11,H1161,0)</f>
        <v>0</v>
      </c>
      <c r="L1161">
        <f>IF(D1161&lt;$A$15,$D$11,$D$11*(1-$H$11))</f>
        <v>85</v>
      </c>
      <c r="M1161">
        <f t="shared" si="104"/>
        <v>1</v>
      </c>
      <c r="N1161">
        <f>IF(SUM(I1161:J1161)&lt;=($G$11/60*$F$11/($E$11/60)),1,0)</f>
        <v>0</v>
      </c>
    </row>
    <row r="1162" spans="4:14" x14ac:dyDescent="0.2">
      <c r="D1162">
        <f t="shared" si="106"/>
        <v>1139</v>
      </c>
      <c r="E1162" s="1">
        <f>IF($H$11=1,IF(D1162&lt;=$A$15, E1161+LN($D$11)-LN(60/$E$11)-LN(MIN(D1162,$F$11)), E1161-LN(60/$E$11)-LN(MIN(D1162,$F$11))), IF(D1162&lt;=$A$15, E1161+LN($D$11)-LN(60/$E$11)-LN(MIN(D1162,$F$11)), E1161+LN($D$11)+LN(1-$H$11)-LN(60/$E$11)-LN(MIN(D1162,$F$11))))</f>
        <v>-136.24568532526465</v>
      </c>
      <c r="F1162" s="1">
        <f t="shared" si="107"/>
        <v>-138.2477181344637</v>
      </c>
      <c r="G1162" s="1">
        <f t="shared" si="105"/>
        <v>9.1154660622518524E-61</v>
      </c>
      <c r="H1162" s="1">
        <f t="shared" si="102"/>
        <v>8.9474937747013496E-62</v>
      </c>
      <c r="I1162">
        <f>IF($F$11&lt;=D1162, IF(D1162&lt;=$A$15,D1162-$F$11,$C$11),0)</f>
        <v>60</v>
      </c>
      <c r="J1162">
        <f t="shared" si="103"/>
        <v>1075</v>
      </c>
      <c r="K1162" s="5">
        <f>IF(D1162&lt;$F$11,H1162,0)</f>
        <v>0</v>
      </c>
      <c r="L1162">
        <f>IF(D1162&lt;$A$15,$D$11,$D$11*(1-$H$11))</f>
        <v>85</v>
      </c>
      <c r="M1162">
        <f t="shared" si="104"/>
        <v>1</v>
      </c>
      <c r="N1162">
        <f>IF(SUM(I1162:J1162)&lt;=($G$11/60*$F$11/($E$11/60)),1,0)</f>
        <v>0</v>
      </c>
    </row>
    <row r="1163" spans="4:14" x14ac:dyDescent="0.2">
      <c r="D1163">
        <f t="shared" si="106"/>
        <v>1140</v>
      </c>
      <c r="E1163" s="1">
        <f>IF($H$11=1,IF(D1163&lt;=$A$15, E1162+LN($D$11)-LN(60/$E$11)-LN(MIN(D1163,$F$11)), E1162-LN(60/$E$11)-LN(MIN(D1163,$F$11))), IF(D1163&lt;=$A$15, E1162+LN($D$11)-LN(60/$E$11)-LN(MIN(D1163,$F$11)), E1162+LN($D$11)+LN(1-$H$11)-LN(60/$E$11)-LN(MIN(D1163,$F$11))))</f>
        <v>-136.36738226024218</v>
      </c>
      <c r="F1163" s="1">
        <f t="shared" si="107"/>
        <v>-138.36941506944123</v>
      </c>
      <c r="G1163" s="1">
        <f t="shared" si="105"/>
        <v>8.0709855759520339E-61</v>
      </c>
      <c r="H1163" s="1">
        <f t="shared" si="102"/>
        <v>7.9222601130166964E-62</v>
      </c>
      <c r="I1163">
        <f>IF($F$11&lt;=D1163, IF(D1163&lt;=$A$15,D1163-$F$11,$C$11),0)</f>
        <v>60</v>
      </c>
      <c r="J1163">
        <f t="shared" si="103"/>
        <v>1076</v>
      </c>
      <c r="K1163" s="5">
        <f>IF(D1163&lt;$F$11,H1163,0)</f>
        <v>0</v>
      </c>
      <c r="L1163">
        <f>IF(D1163&lt;$A$15,$D$11,$D$11*(1-$H$11))</f>
        <v>85</v>
      </c>
      <c r="M1163">
        <f t="shared" si="104"/>
        <v>1</v>
      </c>
      <c r="N1163">
        <f>IF(SUM(I1163:J1163)&lt;=($G$11/60*$F$11/($E$11/60)),1,0)</f>
        <v>0</v>
      </c>
    </row>
    <row r="1164" spans="4:14" x14ac:dyDescent="0.2">
      <c r="D1164">
        <f t="shared" si="106"/>
        <v>1141</v>
      </c>
      <c r="E1164" s="1">
        <f>IF($H$11=1,IF(D1164&lt;=$A$15, E1163+LN($D$11)-LN(60/$E$11)-LN(MIN(D1164,$F$11)), E1163-LN(60/$E$11)-LN(MIN(D1164,$F$11))), IF(D1164&lt;=$A$15, E1163+LN($D$11)-LN(60/$E$11)-LN(MIN(D1164,$F$11)), E1163+LN($D$11)+LN(1-$H$11)-LN(60/$E$11)-LN(MIN(D1164,$F$11))))</f>
        <v>-136.48907919521972</v>
      </c>
      <c r="F1164" s="1">
        <f t="shared" si="107"/>
        <v>-138.49111200441877</v>
      </c>
      <c r="G1164" s="1">
        <f t="shared" si="105"/>
        <v>7.1461851453740855E-61</v>
      </c>
      <c r="H1164" s="1">
        <f t="shared" si="102"/>
        <v>7.0145011417334234E-62</v>
      </c>
      <c r="I1164">
        <f>IF($F$11&lt;=D1164, IF(D1164&lt;=$A$15,D1164-$F$11,$C$11),0)</f>
        <v>60</v>
      </c>
      <c r="J1164">
        <f t="shared" si="103"/>
        <v>1077</v>
      </c>
      <c r="K1164" s="5">
        <f>IF(D1164&lt;$F$11,H1164,0)</f>
        <v>0</v>
      </c>
      <c r="L1164">
        <f>IF(D1164&lt;$A$15,$D$11,$D$11*(1-$H$11))</f>
        <v>85</v>
      </c>
      <c r="M1164">
        <f t="shared" si="104"/>
        <v>1</v>
      </c>
      <c r="N1164">
        <f>IF(SUM(I1164:J1164)&lt;=($G$11/60*$F$11/($E$11/60)),1,0)</f>
        <v>0</v>
      </c>
    </row>
    <row r="1165" spans="4:14" x14ac:dyDescent="0.2">
      <c r="D1165">
        <f t="shared" si="106"/>
        <v>1142</v>
      </c>
      <c r="E1165" s="1">
        <f>IF($H$11=1,IF(D1165&lt;=$A$15, E1164+LN($D$11)-LN(60/$E$11)-LN(MIN(D1165,$F$11)), E1164-LN(60/$E$11)-LN(MIN(D1165,$F$11))), IF(D1165&lt;=$A$15, E1164+LN($D$11)-LN(60/$E$11)-LN(MIN(D1165,$F$11)), E1164+LN($D$11)+LN(1-$H$11)-LN(60/$E$11)-LN(MIN(D1165,$F$11))))</f>
        <v>-136.61077613019725</v>
      </c>
      <c r="F1165" s="1">
        <f t="shared" si="107"/>
        <v>-138.6128089393963</v>
      </c>
      <c r="G1165" s="1">
        <f t="shared" si="105"/>
        <v>6.327351430799873E-61</v>
      </c>
      <c r="H1165" s="1">
        <f t="shared" si="102"/>
        <v>6.2107562192430388E-62</v>
      </c>
      <c r="I1165">
        <f>IF($F$11&lt;=D1165, IF(D1165&lt;=$A$15,D1165-$F$11,$C$11),0)</f>
        <v>60</v>
      </c>
      <c r="J1165">
        <f t="shared" si="103"/>
        <v>1078</v>
      </c>
      <c r="K1165" s="5">
        <f>IF(D1165&lt;$F$11,H1165,0)</f>
        <v>0</v>
      </c>
      <c r="L1165">
        <f>IF(D1165&lt;$A$15,$D$11,$D$11*(1-$H$11))</f>
        <v>85</v>
      </c>
      <c r="M1165">
        <f t="shared" si="104"/>
        <v>1</v>
      </c>
      <c r="N1165">
        <f>IF(SUM(I1165:J1165)&lt;=($G$11/60*$F$11/($E$11/60)),1,0)</f>
        <v>0</v>
      </c>
    </row>
    <row r="1166" spans="4:14" x14ac:dyDescent="0.2">
      <c r="D1166">
        <f t="shared" si="106"/>
        <v>1143</v>
      </c>
      <c r="E1166" s="1">
        <f>IF($H$11=1,IF(D1166&lt;=$A$15, E1165+LN($D$11)-LN(60/$E$11)-LN(MIN(D1166,$F$11)), E1165-LN(60/$E$11)-LN(MIN(D1166,$F$11))), IF(D1166&lt;=$A$15, E1165+LN($D$11)-LN(60/$E$11)-LN(MIN(D1166,$F$11)), E1165+LN($D$11)+LN(1-$H$11)-LN(60/$E$11)-LN(MIN(D1166,$F$11))))</f>
        <v>-136.73247306517479</v>
      </c>
      <c r="F1166" s="1">
        <f t="shared" si="107"/>
        <v>-138.73450587437384</v>
      </c>
      <c r="G1166" s="1">
        <f t="shared" si="105"/>
        <v>5.6023424126872997E-61</v>
      </c>
      <c r="H1166" s="1">
        <f t="shared" si="102"/>
        <v>5.4991070691213545E-62</v>
      </c>
      <c r="I1166">
        <f>IF($F$11&lt;=D1166, IF(D1166&lt;=$A$15,D1166-$F$11,$C$11),0)</f>
        <v>60</v>
      </c>
      <c r="J1166">
        <f t="shared" si="103"/>
        <v>1079</v>
      </c>
      <c r="K1166" s="5">
        <f>IF(D1166&lt;$F$11,H1166,0)</f>
        <v>0</v>
      </c>
      <c r="L1166">
        <f>IF(D1166&lt;$A$15,$D$11,$D$11*(1-$H$11))</f>
        <v>85</v>
      </c>
      <c r="M1166">
        <f t="shared" si="104"/>
        <v>1</v>
      </c>
      <c r="N1166">
        <f>IF(SUM(I1166:J1166)&lt;=($G$11/60*$F$11/($E$11/60)),1,0)</f>
        <v>0</v>
      </c>
    </row>
    <row r="1167" spans="4:14" x14ac:dyDescent="0.2">
      <c r="D1167">
        <f t="shared" si="106"/>
        <v>1144</v>
      </c>
      <c r="E1167" s="1">
        <f>IF($H$11=1,IF(D1167&lt;=$A$15, E1166+LN($D$11)-LN(60/$E$11)-LN(MIN(D1167,$F$11)), E1166-LN(60/$E$11)-LN(MIN(D1167,$F$11))), IF(D1167&lt;=$A$15, E1166+LN($D$11)-LN(60/$E$11)-LN(MIN(D1167,$F$11)), E1166+LN($D$11)+LN(1-$H$11)-LN(60/$E$11)-LN(MIN(D1167,$F$11))))</f>
        <v>-136.85417000015232</v>
      </c>
      <c r="F1167" s="1">
        <f t="shared" si="107"/>
        <v>-138.85620280935137</v>
      </c>
      <c r="G1167" s="1">
        <f t="shared" si="105"/>
        <v>4.9604073445668023E-61</v>
      </c>
      <c r="H1167" s="1">
        <f t="shared" si="102"/>
        <v>4.8690010507844564E-62</v>
      </c>
      <c r="I1167">
        <f>IF($F$11&lt;=D1167, IF(D1167&lt;=$A$15,D1167-$F$11,$C$11),0)</f>
        <v>60</v>
      </c>
      <c r="J1167">
        <f t="shared" si="103"/>
        <v>1080</v>
      </c>
      <c r="K1167" s="5">
        <f>IF(D1167&lt;$F$11,H1167,0)</f>
        <v>0</v>
      </c>
      <c r="L1167">
        <f>IF(D1167&lt;$A$15,$D$11,$D$11*(1-$H$11))</f>
        <v>85</v>
      </c>
      <c r="M1167">
        <f t="shared" si="104"/>
        <v>1</v>
      </c>
      <c r="N1167">
        <f>IF(SUM(I1167:J1167)&lt;=($G$11/60*$F$11/($E$11/60)),1,0)</f>
        <v>0</v>
      </c>
    </row>
    <row r="1168" spans="4:14" x14ac:dyDescent="0.2">
      <c r="D1168">
        <f t="shared" si="106"/>
        <v>1145</v>
      </c>
      <c r="E1168" s="1">
        <f>IF($H$11=1,IF(D1168&lt;=$A$15, E1167+LN($D$11)-LN(60/$E$11)-LN(MIN(D1168,$F$11)), E1167-LN(60/$E$11)-LN(MIN(D1168,$F$11))), IF(D1168&lt;=$A$15, E1167+LN($D$11)-LN(60/$E$11)-LN(MIN(D1168,$F$11)), E1167+LN($D$11)+LN(1-$H$11)-LN(60/$E$11)-LN(MIN(D1168,$F$11))))</f>
        <v>-136.97586693512986</v>
      </c>
      <c r="F1168" s="1">
        <f t="shared" si="107"/>
        <v>-138.97789974432891</v>
      </c>
      <c r="G1168" s="1">
        <f t="shared" si="105"/>
        <v>4.392027336335121E-61</v>
      </c>
      <c r="H1168" s="1">
        <f t="shared" si="102"/>
        <v>4.3110946803820036E-62</v>
      </c>
      <c r="I1168">
        <f>IF($F$11&lt;=D1168, IF(D1168&lt;=$A$15,D1168-$F$11,$C$11),0)</f>
        <v>60</v>
      </c>
      <c r="J1168">
        <f t="shared" si="103"/>
        <v>1081</v>
      </c>
      <c r="K1168" s="5">
        <f>IF(D1168&lt;$F$11,H1168,0)</f>
        <v>0</v>
      </c>
      <c r="L1168">
        <f>IF(D1168&lt;$A$15,$D$11,$D$11*(1-$H$11))</f>
        <v>85</v>
      </c>
      <c r="M1168">
        <f t="shared" si="104"/>
        <v>1</v>
      </c>
      <c r="N1168">
        <f>IF(SUM(I1168:J1168)&lt;=($G$11/60*$F$11/($E$11/60)),1,0)</f>
        <v>0</v>
      </c>
    </row>
    <row r="1169" spans="4:14" x14ac:dyDescent="0.2">
      <c r="D1169">
        <f t="shared" si="106"/>
        <v>1146</v>
      </c>
      <c r="E1169" s="1">
        <f>IF($H$11=1,IF(D1169&lt;=$A$15, E1168+LN($D$11)-LN(60/$E$11)-LN(MIN(D1169,$F$11)), E1168-LN(60/$E$11)-LN(MIN(D1169,$F$11))), IF(D1169&lt;=$A$15, E1168+LN($D$11)-LN(60/$E$11)-LN(MIN(D1169,$F$11)), E1168+LN($D$11)+LN(1-$H$11)-LN(60/$E$11)-LN(MIN(D1169,$F$11))))</f>
        <v>-137.09756387010739</v>
      </c>
      <c r="F1169" s="1">
        <f t="shared" si="107"/>
        <v>-139.09959667930644</v>
      </c>
      <c r="G1169" s="1">
        <f t="shared" si="105"/>
        <v>3.8887742040466604E-61</v>
      </c>
      <c r="H1169" s="1">
        <f t="shared" si="102"/>
        <v>3.817115081588172E-62</v>
      </c>
      <c r="I1169">
        <f>IF($F$11&lt;=D1169, IF(D1169&lt;=$A$15,D1169-$F$11,$C$11),0)</f>
        <v>60</v>
      </c>
      <c r="J1169">
        <f t="shared" si="103"/>
        <v>1082</v>
      </c>
      <c r="K1169" s="5">
        <f>IF(D1169&lt;$F$11,H1169,0)</f>
        <v>0</v>
      </c>
      <c r="L1169">
        <f>IF(D1169&lt;$A$15,$D$11,$D$11*(1-$H$11))</f>
        <v>85</v>
      </c>
      <c r="M1169">
        <f t="shared" si="104"/>
        <v>1</v>
      </c>
      <c r="N1169">
        <f>IF(SUM(I1169:J1169)&lt;=($G$11/60*$F$11/($E$11/60)),1,0)</f>
        <v>0</v>
      </c>
    </row>
    <row r="1170" spans="4:14" x14ac:dyDescent="0.2">
      <c r="D1170">
        <f t="shared" si="106"/>
        <v>1147</v>
      </c>
      <c r="E1170" s="1">
        <f>IF($H$11=1,IF(D1170&lt;=$A$15, E1169+LN($D$11)-LN(60/$E$11)-LN(MIN(D1170,$F$11)), E1169-LN(60/$E$11)-LN(MIN(D1170,$F$11))), IF(D1170&lt;=$A$15, E1169+LN($D$11)-LN(60/$E$11)-LN(MIN(D1170,$F$11)), E1169+LN($D$11)+LN(1-$H$11)-LN(60/$E$11)-LN(MIN(D1170,$F$11))))</f>
        <v>-137.21926080508493</v>
      </c>
      <c r="F1170" s="1">
        <f t="shared" si="107"/>
        <v>-139.22129361428398</v>
      </c>
      <c r="G1170" s="1">
        <f t="shared" si="105"/>
        <v>3.4431854931662601E-61</v>
      </c>
      <c r="H1170" s="1">
        <f t="shared" si="102"/>
        <v>3.3797373118228077E-62</v>
      </c>
      <c r="I1170">
        <f>IF($F$11&lt;=D1170, IF(D1170&lt;=$A$15,D1170-$F$11,$C$11),0)</f>
        <v>60</v>
      </c>
      <c r="J1170">
        <f t="shared" si="103"/>
        <v>1083</v>
      </c>
      <c r="K1170" s="5">
        <f>IF(D1170&lt;$F$11,H1170,0)</f>
        <v>0</v>
      </c>
      <c r="L1170">
        <f>IF(D1170&lt;$A$15,$D$11,$D$11*(1-$H$11))</f>
        <v>85</v>
      </c>
      <c r="M1170">
        <f t="shared" si="104"/>
        <v>1</v>
      </c>
      <c r="N1170">
        <f>IF(SUM(I1170:J1170)&lt;=($G$11/60*$F$11/($E$11/60)),1,0)</f>
        <v>0</v>
      </c>
    </row>
    <row r="1171" spans="4:14" x14ac:dyDescent="0.2">
      <c r="D1171">
        <f t="shared" si="106"/>
        <v>1148</v>
      </c>
      <c r="E1171" s="1">
        <f>IF($H$11=1,IF(D1171&lt;=$A$15, E1170+LN($D$11)-LN(60/$E$11)-LN(MIN(D1171,$F$11)), E1170-LN(60/$E$11)-LN(MIN(D1171,$F$11))), IF(D1171&lt;=$A$15, E1170+LN($D$11)-LN(60/$E$11)-LN(MIN(D1171,$F$11)), E1170+LN($D$11)+LN(1-$H$11)-LN(60/$E$11)-LN(MIN(D1171,$F$11))))</f>
        <v>-137.34095774006246</v>
      </c>
      <c r="F1171" s="1">
        <f t="shared" si="107"/>
        <v>-139.34299054926151</v>
      </c>
      <c r="G1171" s="1">
        <f t="shared" si="105"/>
        <v>3.0486538220742455E-61</v>
      </c>
      <c r="H1171" s="1">
        <f t="shared" si="102"/>
        <v>2.9924757448430647E-62</v>
      </c>
      <c r="I1171">
        <f>IF($F$11&lt;=D1171, IF(D1171&lt;=$A$15,D1171-$F$11,$C$11),0)</f>
        <v>60</v>
      </c>
      <c r="J1171">
        <f t="shared" si="103"/>
        <v>1084</v>
      </c>
      <c r="K1171" s="5">
        <f>IF(D1171&lt;$F$11,H1171,0)</f>
        <v>0</v>
      </c>
      <c r="L1171">
        <f>IF(D1171&lt;$A$15,$D$11,$D$11*(1-$H$11))</f>
        <v>85</v>
      </c>
      <c r="M1171">
        <f t="shared" si="104"/>
        <v>1</v>
      </c>
      <c r="N1171">
        <f>IF(SUM(I1171:J1171)&lt;=($G$11/60*$F$11/($E$11/60)),1,0)</f>
        <v>0</v>
      </c>
    </row>
    <row r="1172" spans="4:14" x14ac:dyDescent="0.2">
      <c r="D1172">
        <f t="shared" si="106"/>
        <v>1149</v>
      </c>
      <c r="E1172" s="1">
        <f>IF($H$11=1,IF(D1172&lt;=$A$15, E1171+LN($D$11)-LN(60/$E$11)-LN(MIN(D1172,$F$11)), E1171-LN(60/$E$11)-LN(MIN(D1172,$F$11))), IF(D1172&lt;=$A$15, E1171+LN($D$11)-LN(60/$E$11)-LN(MIN(D1172,$F$11)), E1171+LN($D$11)+LN(1-$H$11)-LN(60/$E$11)-LN(MIN(D1172,$F$11))))</f>
        <v>-137.46265467504</v>
      </c>
      <c r="F1172" s="1">
        <f t="shared" si="107"/>
        <v>-139.46468748423905</v>
      </c>
      <c r="G1172" s="1">
        <f t="shared" si="105"/>
        <v>2.6993289049615292E-61</v>
      </c>
      <c r="H1172" s="1">
        <f t="shared" si="102"/>
        <v>2.6495878990797552E-62</v>
      </c>
      <c r="I1172">
        <f>IF($F$11&lt;=D1172, IF(D1172&lt;=$A$15,D1172-$F$11,$C$11),0)</f>
        <v>60</v>
      </c>
      <c r="J1172">
        <f t="shared" si="103"/>
        <v>1085</v>
      </c>
      <c r="K1172" s="5">
        <f>IF(D1172&lt;$F$11,H1172,0)</f>
        <v>0</v>
      </c>
      <c r="L1172">
        <f>IF(D1172&lt;$A$15,$D$11,$D$11*(1-$H$11))</f>
        <v>85</v>
      </c>
      <c r="M1172">
        <f t="shared" si="104"/>
        <v>1</v>
      </c>
      <c r="N1172">
        <f>IF(SUM(I1172:J1172)&lt;=($G$11/60*$F$11/($E$11/60)),1,0)</f>
        <v>0</v>
      </c>
    </row>
    <row r="1173" spans="4:14" x14ac:dyDescent="0.2">
      <c r="D1173">
        <f t="shared" si="106"/>
        <v>1150</v>
      </c>
      <c r="E1173" s="1">
        <f>IF($H$11=1,IF(D1173&lt;=$A$15, E1172+LN($D$11)-LN(60/$E$11)-LN(MIN(D1173,$F$11)), E1172-LN(60/$E$11)-LN(MIN(D1173,$F$11))), IF(D1173&lt;=$A$15, E1172+LN($D$11)-LN(60/$E$11)-LN(MIN(D1173,$F$11)), E1172+LN($D$11)+LN(1-$H$11)-LN(60/$E$11)-LN(MIN(D1173,$F$11))))</f>
        <v>-137.58435161001753</v>
      </c>
      <c r="F1173" s="1">
        <f t="shared" si="107"/>
        <v>-139.58638441921659</v>
      </c>
      <c r="G1173" s="1">
        <f t="shared" si="105"/>
        <v>2.3900308012679832E-61</v>
      </c>
      <c r="H1173" s="1">
        <f t="shared" si="102"/>
        <v>2.3459892856434968E-62</v>
      </c>
      <c r="I1173">
        <f>IF($F$11&lt;=D1173, IF(D1173&lt;=$A$15,D1173-$F$11,$C$11),0)</f>
        <v>60</v>
      </c>
      <c r="J1173">
        <f t="shared" si="103"/>
        <v>1086</v>
      </c>
      <c r="K1173" s="5">
        <f>IF(D1173&lt;$F$11,H1173,0)</f>
        <v>0</v>
      </c>
      <c r="L1173">
        <f>IF(D1173&lt;$A$15,$D$11,$D$11*(1-$H$11))</f>
        <v>85</v>
      </c>
      <c r="M1173">
        <f t="shared" si="104"/>
        <v>1</v>
      </c>
      <c r="N1173">
        <f>IF(SUM(I1173:J1173)&lt;=($G$11/60*$F$11/($E$11/60)),1,0)</f>
        <v>0</v>
      </c>
    </row>
    <row r="1174" spans="4:14" x14ac:dyDescent="0.2">
      <c r="D1174">
        <f t="shared" si="106"/>
        <v>1151</v>
      </c>
      <c r="E1174" s="1">
        <f>IF($H$11=1,IF(D1174&lt;=$A$15, E1173+LN($D$11)-LN(60/$E$11)-LN(MIN(D1174,$F$11)), E1173-LN(60/$E$11)-LN(MIN(D1174,$F$11))), IF(D1174&lt;=$A$15, E1173+LN($D$11)-LN(60/$E$11)-LN(MIN(D1174,$F$11)), E1173+LN($D$11)+LN(1-$H$11)-LN(60/$E$11)-LN(MIN(D1174,$F$11))))</f>
        <v>-137.70604854499507</v>
      </c>
      <c r="F1174" s="1">
        <f t="shared" si="107"/>
        <v>-139.70808135419412</v>
      </c>
      <c r="G1174" s="1">
        <f t="shared" si="105"/>
        <v>2.1161731052893271E-61</v>
      </c>
      <c r="H1174" s="1">
        <f t="shared" si="102"/>
        <v>2.077178013330147E-62</v>
      </c>
      <c r="I1174">
        <f>IF($F$11&lt;=D1174, IF(D1174&lt;=$A$15,D1174-$F$11,$C$11),0)</f>
        <v>60</v>
      </c>
      <c r="J1174">
        <f t="shared" si="103"/>
        <v>1087</v>
      </c>
      <c r="K1174" s="5">
        <f>IF(D1174&lt;$F$11,H1174,0)</f>
        <v>0</v>
      </c>
      <c r="L1174">
        <f>IF(D1174&lt;$A$15,$D$11,$D$11*(1-$H$11))</f>
        <v>85</v>
      </c>
      <c r="M1174">
        <f t="shared" si="104"/>
        <v>1</v>
      </c>
      <c r="N1174">
        <f>IF(SUM(I1174:J1174)&lt;=($G$11/60*$F$11/($E$11/60)),1,0)</f>
        <v>0</v>
      </c>
    </row>
    <row r="1175" spans="4:14" x14ac:dyDescent="0.2">
      <c r="D1175">
        <f t="shared" si="106"/>
        <v>1152</v>
      </c>
      <c r="E1175" s="1">
        <f>IF($H$11=1,IF(D1175&lt;=$A$15, E1174+LN($D$11)-LN(60/$E$11)-LN(MIN(D1175,$F$11)), E1174-LN(60/$E$11)-LN(MIN(D1175,$F$11))), IF(D1175&lt;=$A$15, E1174+LN($D$11)-LN(60/$E$11)-LN(MIN(D1175,$F$11)), E1174+LN($D$11)+LN(1-$H$11)-LN(60/$E$11)-LN(MIN(D1175,$F$11))))</f>
        <v>-137.82774547997261</v>
      </c>
      <c r="F1175" s="1">
        <f t="shared" si="107"/>
        <v>-139.82977828917166</v>
      </c>
      <c r="G1175" s="1">
        <f t="shared" si="105"/>
        <v>1.8736949369748958E-61</v>
      </c>
      <c r="H1175" s="1">
        <f t="shared" ref="H1175:H1238" si="108">G1175/$G$21</f>
        <v>1.8391680326360388E-62</v>
      </c>
      <c r="I1175">
        <f>IF($F$11&lt;=D1175, IF(D1175&lt;=$A$15,D1175-$F$11,$C$11),0)</f>
        <v>60</v>
      </c>
      <c r="J1175">
        <f t="shared" ref="J1175:J1238" si="109">IF(D1175&lt;=$A$15,0,D1175-$A$15)</f>
        <v>1088</v>
      </c>
      <c r="K1175" s="5">
        <f>IF(D1175&lt;$F$11,H1175,0)</f>
        <v>0</v>
      </c>
      <c r="L1175">
        <f>IF(D1175&lt;$A$15,$D$11,$D$11*(1-$H$11))</f>
        <v>85</v>
      </c>
      <c r="M1175">
        <f t="shared" ref="M1175:M1238" si="110">IF(D1175&lt;$A$15,0,1)</f>
        <v>1</v>
      </c>
      <c r="N1175">
        <f>IF(SUM(I1175:J1175)&lt;=($G$11/60*$F$11/($E$11/60)),1,0)</f>
        <v>0</v>
      </c>
    </row>
    <row r="1176" spans="4:14" x14ac:dyDescent="0.2">
      <c r="D1176">
        <f t="shared" si="106"/>
        <v>1153</v>
      </c>
      <c r="E1176" s="1">
        <f>IF($H$11=1,IF(D1176&lt;=$A$15, E1175+LN($D$11)-LN(60/$E$11)-LN(MIN(D1176,$F$11)), E1175-LN(60/$E$11)-LN(MIN(D1176,$F$11))), IF(D1176&lt;=$A$15, E1175+LN($D$11)-LN(60/$E$11)-LN(MIN(D1176,$F$11)), E1175+LN($D$11)+LN(1-$H$11)-LN(60/$E$11)-LN(MIN(D1176,$F$11))))</f>
        <v>-137.94944241495014</v>
      </c>
      <c r="F1176" s="1">
        <f t="shared" si="107"/>
        <v>-139.95147522414919</v>
      </c>
      <c r="G1176" s="1">
        <f t="shared" ref="G1176:G1239" si="111">EXP(F1176)</f>
        <v>1.6590007254464963E-61</v>
      </c>
      <c r="H1176" s="1">
        <f t="shared" si="108"/>
        <v>1.628430028896467E-62</v>
      </c>
      <c r="I1176">
        <f>IF($F$11&lt;=D1176, IF(D1176&lt;=$A$15,D1176-$F$11,$C$11),0)</f>
        <v>60</v>
      </c>
      <c r="J1176">
        <f t="shared" si="109"/>
        <v>1089</v>
      </c>
      <c r="K1176" s="5">
        <f>IF(D1176&lt;$F$11,H1176,0)</f>
        <v>0</v>
      </c>
      <c r="L1176">
        <f>IF(D1176&lt;$A$15,$D$11,$D$11*(1-$H$11))</f>
        <v>85</v>
      </c>
      <c r="M1176">
        <f t="shared" si="110"/>
        <v>1</v>
      </c>
      <c r="N1176">
        <f>IF(SUM(I1176:J1176)&lt;=($G$11/60*$F$11/($E$11/60)),1,0)</f>
        <v>0</v>
      </c>
    </row>
    <row r="1177" spans="4:14" x14ac:dyDescent="0.2">
      <c r="D1177">
        <f t="shared" ref="D1177:D1240" si="112">1+D1176</f>
        <v>1154</v>
      </c>
      <c r="E1177" s="1">
        <f>IF($H$11=1,IF(D1177&lt;=$A$15, E1176+LN($D$11)-LN(60/$E$11)-LN(MIN(D1177,$F$11)), E1176-LN(60/$E$11)-LN(MIN(D1177,$F$11))), IF(D1177&lt;=$A$15, E1176+LN($D$11)-LN(60/$E$11)-LN(MIN(D1177,$F$11)), E1176+LN($D$11)+LN(1-$H$11)-LN(60/$E$11)-LN(MIN(D1177,$F$11))))</f>
        <v>-138.07113934992768</v>
      </c>
      <c r="F1177" s="1">
        <f t="shared" ref="F1177:F1240" si="113">E1177-$E$21</f>
        <v>-140.07317215912673</v>
      </c>
      <c r="G1177" s="1">
        <f t="shared" si="111"/>
        <v>1.4689068923223956E-61</v>
      </c>
      <c r="H1177" s="1">
        <f t="shared" si="108"/>
        <v>1.441839088085391E-62</v>
      </c>
      <c r="I1177">
        <f>IF($F$11&lt;=D1177, IF(D1177&lt;=$A$15,D1177-$F$11,$C$11),0)</f>
        <v>60</v>
      </c>
      <c r="J1177">
        <f t="shared" si="109"/>
        <v>1090</v>
      </c>
      <c r="K1177" s="5">
        <f>IF(D1177&lt;$F$11,H1177,0)</f>
        <v>0</v>
      </c>
      <c r="L1177">
        <f>IF(D1177&lt;$A$15,$D$11,$D$11*(1-$H$11))</f>
        <v>85</v>
      </c>
      <c r="M1177">
        <f t="shared" si="110"/>
        <v>1</v>
      </c>
      <c r="N1177">
        <f>IF(SUM(I1177:J1177)&lt;=($G$11/60*$F$11/($E$11/60)),1,0)</f>
        <v>0</v>
      </c>
    </row>
    <row r="1178" spans="4:14" x14ac:dyDescent="0.2">
      <c r="D1178">
        <f t="shared" si="112"/>
        <v>1155</v>
      </c>
      <c r="E1178" s="1">
        <f>IF($H$11=1,IF(D1178&lt;=$A$15, E1177+LN($D$11)-LN(60/$E$11)-LN(MIN(D1178,$F$11)), E1177-LN(60/$E$11)-LN(MIN(D1178,$F$11))), IF(D1178&lt;=$A$15, E1177+LN($D$11)-LN(60/$E$11)-LN(MIN(D1178,$F$11)), E1177+LN($D$11)+LN(1-$H$11)-LN(60/$E$11)-LN(MIN(D1178,$F$11))))</f>
        <v>-138.19283628490521</v>
      </c>
      <c r="F1178" s="1">
        <f t="shared" si="113"/>
        <v>-140.19486909410426</v>
      </c>
      <c r="G1178" s="1">
        <f t="shared" si="111"/>
        <v>1.3005946442437675E-61</v>
      </c>
      <c r="H1178" s="1">
        <f t="shared" si="108"/>
        <v>1.2766283592422535E-62</v>
      </c>
      <c r="I1178">
        <f>IF($F$11&lt;=D1178, IF(D1178&lt;=$A$15,D1178-$F$11,$C$11),0)</f>
        <v>60</v>
      </c>
      <c r="J1178">
        <f t="shared" si="109"/>
        <v>1091</v>
      </c>
      <c r="K1178" s="5">
        <f>IF(D1178&lt;$F$11,H1178,0)</f>
        <v>0</v>
      </c>
      <c r="L1178">
        <f>IF(D1178&lt;$A$15,$D$11,$D$11*(1-$H$11))</f>
        <v>85</v>
      </c>
      <c r="M1178">
        <f t="shared" si="110"/>
        <v>1</v>
      </c>
      <c r="N1178">
        <f>IF(SUM(I1178:J1178)&lt;=($G$11/60*$F$11/($E$11/60)),1,0)</f>
        <v>0</v>
      </c>
    </row>
    <row r="1179" spans="4:14" x14ac:dyDescent="0.2">
      <c r="D1179">
        <f t="shared" si="112"/>
        <v>1156</v>
      </c>
      <c r="E1179" s="1">
        <f>IF($H$11=1,IF(D1179&lt;=$A$15, E1178+LN($D$11)-LN(60/$E$11)-LN(MIN(D1179,$F$11)), E1178-LN(60/$E$11)-LN(MIN(D1179,$F$11))), IF(D1179&lt;=$A$15, E1178+LN($D$11)-LN(60/$E$11)-LN(MIN(D1179,$F$11)), E1178+LN($D$11)+LN(1-$H$11)-LN(60/$E$11)-LN(MIN(D1179,$F$11))))</f>
        <v>-138.31453321988275</v>
      </c>
      <c r="F1179" s="1">
        <f t="shared" si="113"/>
        <v>-140.3165660290818</v>
      </c>
      <c r="G1179" s="1">
        <f t="shared" si="111"/>
        <v>1.1515681745908177E-61</v>
      </c>
      <c r="H1179" s="1">
        <f t="shared" si="108"/>
        <v>1.130348026412394E-62</v>
      </c>
      <c r="I1179">
        <f>IF($F$11&lt;=D1179, IF(D1179&lt;=$A$15,D1179-$F$11,$C$11),0)</f>
        <v>60</v>
      </c>
      <c r="J1179">
        <f t="shared" si="109"/>
        <v>1092</v>
      </c>
      <c r="K1179" s="5">
        <f>IF(D1179&lt;$F$11,H1179,0)</f>
        <v>0</v>
      </c>
      <c r="L1179">
        <f>IF(D1179&lt;$A$15,$D$11,$D$11*(1-$H$11))</f>
        <v>85</v>
      </c>
      <c r="M1179">
        <f t="shared" si="110"/>
        <v>1</v>
      </c>
      <c r="N1179">
        <f>IF(SUM(I1179:J1179)&lt;=($G$11/60*$F$11/($E$11/60)),1,0)</f>
        <v>0</v>
      </c>
    </row>
    <row r="1180" spans="4:14" x14ac:dyDescent="0.2">
      <c r="D1180">
        <f t="shared" si="112"/>
        <v>1157</v>
      </c>
      <c r="E1180" s="1">
        <f>IF($H$11=1,IF(D1180&lt;=$A$15, E1179+LN($D$11)-LN(60/$E$11)-LN(MIN(D1180,$F$11)), E1179-LN(60/$E$11)-LN(MIN(D1180,$F$11))), IF(D1180&lt;=$A$15, E1179+LN($D$11)-LN(60/$E$11)-LN(MIN(D1180,$F$11)), E1179+LN($D$11)+LN(1-$H$11)-LN(60/$E$11)-LN(MIN(D1180,$F$11))))</f>
        <v>-138.43623015486028</v>
      </c>
      <c r="F1180" s="1">
        <f t="shared" si="113"/>
        <v>-140.43826296405933</v>
      </c>
      <c r="G1180" s="1">
        <f t="shared" si="111"/>
        <v>1.019617654585604E-61</v>
      </c>
      <c r="H1180" s="1">
        <f t="shared" si="108"/>
        <v>1.0008289817192917E-62</v>
      </c>
      <c r="I1180">
        <f>IF($F$11&lt;=D1180, IF(D1180&lt;=$A$15,D1180-$F$11,$C$11),0)</f>
        <v>60</v>
      </c>
      <c r="J1180">
        <f t="shared" si="109"/>
        <v>1093</v>
      </c>
      <c r="K1180" s="5">
        <f>IF(D1180&lt;$F$11,H1180,0)</f>
        <v>0</v>
      </c>
      <c r="L1180">
        <f>IF(D1180&lt;$A$15,$D$11,$D$11*(1-$H$11))</f>
        <v>85</v>
      </c>
      <c r="M1180">
        <f t="shared" si="110"/>
        <v>1</v>
      </c>
      <c r="N1180">
        <f>IF(SUM(I1180:J1180)&lt;=($G$11/60*$F$11/($E$11/60)),1,0)</f>
        <v>0</v>
      </c>
    </row>
    <row r="1181" spans="4:14" x14ac:dyDescent="0.2">
      <c r="D1181">
        <f t="shared" si="112"/>
        <v>1158</v>
      </c>
      <c r="E1181" s="1">
        <f>IF($H$11=1,IF(D1181&lt;=$A$15, E1180+LN($D$11)-LN(60/$E$11)-LN(MIN(D1181,$F$11)), E1180-LN(60/$E$11)-LN(MIN(D1181,$F$11))), IF(D1181&lt;=$A$15, E1180+LN($D$11)-LN(60/$E$11)-LN(MIN(D1181,$F$11)), E1180+LN($D$11)+LN(1-$H$11)-LN(60/$E$11)-LN(MIN(D1181,$F$11))))</f>
        <v>-138.55792708983782</v>
      </c>
      <c r="F1181" s="1">
        <f t="shared" si="113"/>
        <v>-140.55995989903687</v>
      </c>
      <c r="G1181" s="1">
        <f t="shared" si="111"/>
        <v>9.0278646499765602E-62</v>
      </c>
      <c r="H1181" s="1">
        <f t="shared" si="108"/>
        <v>8.8615066089727563E-63</v>
      </c>
      <c r="I1181">
        <f>IF($F$11&lt;=D1181, IF(D1181&lt;=$A$15,D1181-$F$11,$C$11),0)</f>
        <v>60</v>
      </c>
      <c r="J1181">
        <f t="shared" si="109"/>
        <v>1094</v>
      </c>
      <c r="K1181" s="5">
        <f>IF(D1181&lt;$F$11,H1181,0)</f>
        <v>0</v>
      </c>
      <c r="L1181">
        <f>IF(D1181&lt;$A$15,$D$11,$D$11*(1-$H$11))</f>
        <v>85</v>
      </c>
      <c r="M1181">
        <f t="shared" si="110"/>
        <v>1</v>
      </c>
      <c r="N1181">
        <f>IF(SUM(I1181:J1181)&lt;=($G$11/60*$F$11/($E$11/60)),1,0)</f>
        <v>0</v>
      </c>
    </row>
    <row r="1182" spans="4:14" x14ac:dyDescent="0.2">
      <c r="D1182">
        <f t="shared" si="112"/>
        <v>1159</v>
      </c>
      <c r="E1182" s="1">
        <f>IF($H$11=1,IF(D1182&lt;=$A$15, E1181+LN($D$11)-LN(60/$E$11)-LN(MIN(D1182,$F$11)), E1181-LN(60/$E$11)-LN(MIN(D1182,$F$11))), IF(D1182&lt;=$A$15, E1181+LN($D$11)-LN(60/$E$11)-LN(MIN(D1182,$F$11)), E1181+LN($D$11)+LN(1-$H$11)-LN(60/$E$11)-LN(MIN(D1182,$F$11))))</f>
        <v>-138.67962402481535</v>
      </c>
      <c r="F1182" s="1">
        <f t="shared" si="113"/>
        <v>-140.6816568340144</v>
      </c>
      <c r="G1182" s="1">
        <f t="shared" si="111"/>
        <v>7.993421825499954E-62</v>
      </c>
      <c r="H1182" s="1">
        <f t="shared" si="108"/>
        <v>7.8461256433611718E-63</v>
      </c>
      <c r="I1182">
        <f>IF($F$11&lt;=D1182, IF(D1182&lt;=$A$15,D1182-$F$11,$C$11),0)</f>
        <v>60</v>
      </c>
      <c r="J1182">
        <f t="shared" si="109"/>
        <v>1095</v>
      </c>
      <c r="K1182" s="5">
        <f>IF(D1182&lt;$F$11,H1182,0)</f>
        <v>0</v>
      </c>
      <c r="L1182">
        <f>IF(D1182&lt;$A$15,$D$11,$D$11*(1-$H$11))</f>
        <v>85</v>
      </c>
      <c r="M1182">
        <f t="shared" si="110"/>
        <v>1</v>
      </c>
      <c r="N1182">
        <f>IF(SUM(I1182:J1182)&lt;=($G$11/60*$F$11/($E$11/60)),1,0)</f>
        <v>0</v>
      </c>
    </row>
    <row r="1183" spans="4:14" x14ac:dyDescent="0.2">
      <c r="D1183">
        <f t="shared" si="112"/>
        <v>1160</v>
      </c>
      <c r="E1183" s="1">
        <f>IF($H$11=1,IF(D1183&lt;=$A$15, E1182+LN($D$11)-LN(60/$E$11)-LN(MIN(D1183,$F$11)), E1182-LN(60/$E$11)-LN(MIN(D1183,$F$11))), IF(D1183&lt;=$A$15, E1182+LN($D$11)-LN(60/$E$11)-LN(MIN(D1183,$F$11)), E1182+LN($D$11)+LN(1-$H$11)-LN(60/$E$11)-LN(MIN(D1183,$F$11))))</f>
        <v>-138.80132095979289</v>
      </c>
      <c r="F1183" s="1">
        <f t="shared" si="113"/>
        <v>-140.80335376899194</v>
      </c>
      <c r="G1183" s="1">
        <f t="shared" si="111"/>
        <v>7.0775089079946404E-62</v>
      </c>
      <c r="H1183" s="1">
        <f t="shared" si="108"/>
        <v>6.9470904133925953E-63</v>
      </c>
      <c r="I1183">
        <f>IF($F$11&lt;=D1183, IF(D1183&lt;=$A$15,D1183-$F$11,$C$11),0)</f>
        <v>60</v>
      </c>
      <c r="J1183">
        <f t="shared" si="109"/>
        <v>1096</v>
      </c>
      <c r="K1183" s="5">
        <f>IF(D1183&lt;$F$11,H1183,0)</f>
        <v>0</v>
      </c>
      <c r="L1183">
        <f>IF(D1183&lt;$A$15,$D$11,$D$11*(1-$H$11))</f>
        <v>85</v>
      </c>
      <c r="M1183">
        <f t="shared" si="110"/>
        <v>1</v>
      </c>
      <c r="N1183">
        <f>IF(SUM(I1183:J1183)&lt;=($G$11/60*$F$11/($E$11/60)),1,0)</f>
        <v>0</v>
      </c>
    </row>
    <row r="1184" spans="4:14" x14ac:dyDescent="0.2">
      <c r="D1184">
        <f t="shared" si="112"/>
        <v>1161</v>
      </c>
      <c r="E1184" s="1">
        <f>IF($H$11=1,IF(D1184&lt;=$A$15, E1183+LN($D$11)-LN(60/$E$11)-LN(MIN(D1184,$F$11)), E1183-LN(60/$E$11)-LN(MIN(D1184,$F$11))), IF(D1184&lt;=$A$15, E1183+LN($D$11)-LN(60/$E$11)-LN(MIN(D1184,$F$11)), E1183+LN($D$11)+LN(1-$H$11)-LN(60/$E$11)-LN(MIN(D1184,$F$11))))</f>
        <v>-138.92301789477042</v>
      </c>
      <c r="F1184" s="1">
        <f t="shared" si="113"/>
        <v>-140.92505070396948</v>
      </c>
      <c r="G1184" s="1">
        <f t="shared" si="111"/>
        <v>6.2665443456201566E-62</v>
      </c>
      <c r="H1184" s="1">
        <f t="shared" si="108"/>
        <v>6.1510696368579317E-63</v>
      </c>
      <c r="I1184">
        <f>IF($F$11&lt;=D1184, IF(D1184&lt;=$A$15,D1184-$F$11,$C$11),0)</f>
        <v>60</v>
      </c>
      <c r="J1184">
        <f t="shared" si="109"/>
        <v>1097</v>
      </c>
      <c r="K1184" s="5">
        <f>IF(D1184&lt;$F$11,H1184,0)</f>
        <v>0</v>
      </c>
      <c r="L1184">
        <f>IF(D1184&lt;$A$15,$D$11,$D$11*(1-$H$11))</f>
        <v>85</v>
      </c>
      <c r="M1184">
        <f t="shared" si="110"/>
        <v>1</v>
      </c>
      <c r="N1184">
        <f>IF(SUM(I1184:J1184)&lt;=($G$11/60*$F$11/($E$11/60)),1,0)</f>
        <v>0</v>
      </c>
    </row>
    <row r="1185" spans="4:14" x14ac:dyDescent="0.2">
      <c r="D1185">
        <f t="shared" si="112"/>
        <v>1162</v>
      </c>
      <c r="E1185" s="1">
        <f>IF($H$11=1,IF(D1185&lt;=$A$15, E1184+LN($D$11)-LN(60/$E$11)-LN(MIN(D1185,$F$11)), E1184-LN(60/$E$11)-LN(MIN(D1185,$F$11))), IF(D1185&lt;=$A$15, E1184+LN($D$11)-LN(60/$E$11)-LN(MIN(D1185,$F$11)), E1184+LN($D$11)+LN(1-$H$11)-LN(60/$E$11)-LN(MIN(D1185,$F$11))))</f>
        <v>-139.04471482974796</v>
      </c>
      <c r="F1185" s="1">
        <f t="shared" si="113"/>
        <v>-141.04674763894701</v>
      </c>
      <c r="G1185" s="1">
        <f t="shared" si="111"/>
        <v>5.5485028060177602E-62</v>
      </c>
      <c r="H1185" s="1">
        <f t="shared" si="108"/>
        <v>5.4462595743012085E-63</v>
      </c>
      <c r="I1185">
        <f>IF($F$11&lt;=D1185, IF(D1185&lt;=$A$15,D1185-$F$11,$C$11),0)</f>
        <v>60</v>
      </c>
      <c r="J1185">
        <f t="shared" si="109"/>
        <v>1098</v>
      </c>
      <c r="K1185" s="5">
        <f>IF(D1185&lt;$F$11,H1185,0)</f>
        <v>0</v>
      </c>
      <c r="L1185">
        <f>IF(D1185&lt;$A$15,$D$11,$D$11*(1-$H$11))</f>
        <v>85</v>
      </c>
      <c r="M1185">
        <f t="shared" si="110"/>
        <v>1</v>
      </c>
      <c r="N1185">
        <f>IF(SUM(I1185:J1185)&lt;=($G$11/60*$F$11/($E$11/60)),1,0)</f>
        <v>0</v>
      </c>
    </row>
    <row r="1186" spans="4:14" x14ac:dyDescent="0.2">
      <c r="D1186">
        <f t="shared" si="112"/>
        <v>1163</v>
      </c>
      <c r="E1186" s="1">
        <f>IF($H$11=1,IF(D1186&lt;=$A$15, E1185+LN($D$11)-LN(60/$E$11)-LN(MIN(D1186,$F$11)), E1185-LN(60/$E$11)-LN(MIN(D1186,$F$11))), IF(D1186&lt;=$A$15, E1185+LN($D$11)-LN(60/$E$11)-LN(MIN(D1186,$F$11)), E1185+LN($D$11)+LN(1-$H$11)-LN(60/$E$11)-LN(MIN(D1186,$F$11))))</f>
        <v>-139.1664117647255</v>
      </c>
      <c r="F1186" s="1">
        <f t="shared" si="113"/>
        <v>-141.16844457392455</v>
      </c>
      <c r="G1186" s="1">
        <f t="shared" si="111"/>
        <v>4.9127368594948156E-62</v>
      </c>
      <c r="H1186" s="1">
        <f t="shared" si="108"/>
        <v>4.8222089980791198E-63</v>
      </c>
      <c r="I1186">
        <f>IF($F$11&lt;=D1186, IF(D1186&lt;=$A$15,D1186-$F$11,$C$11),0)</f>
        <v>60</v>
      </c>
      <c r="J1186">
        <f t="shared" si="109"/>
        <v>1099</v>
      </c>
      <c r="K1186" s="5">
        <f>IF(D1186&lt;$F$11,H1186,0)</f>
        <v>0</v>
      </c>
      <c r="L1186">
        <f>IF(D1186&lt;$A$15,$D$11,$D$11*(1-$H$11))</f>
        <v>85</v>
      </c>
      <c r="M1186">
        <f t="shared" si="110"/>
        <v>1</v>
      </c>
      <c r="N1186">
        <f>IF(SUM(I1186:J1186)&lt;=($G$11/60*$F$11/($E$11/60)),1,0)</f>
        <v>0</v>
      </c>
    </row>
    <row r="1187" spans="4:14" x14ac:dyDescent="0.2">
      <c r="D1187">
        <f t="shared" si="112"/>
        <v>1164</v>
      </c>
      <c r="E1187" s="1">
        <f>IF($H$11=1,IF(D1187&lt;=$A$15, E1186+LN($D$11)-LN(60/$E$11)-LN(MIN(D1187,$F$11)), E1186-LN(60/$E$11)-LN(MIN(D1187,$F$11))), IF(D1187&lt;=$A$15, E1186+LN($D$11)-LN(60/$E$11)-LN(MIN(D1187,$F$11)), E1186+LN($D$11)+LN(1-$H$11)-LN(60/$E$11)-LN(MIN(D1187,$F$11))))</f>
        <v>-139.28810869970303</v>
      </c>
      <c r="F1187" s="1">
        <f t="shared" si="113"/>
        <v>-141.29014150890208</v>
      </c>
      <c r="G1187" s="1">
        <f t="shared" si="111"/>
        <v>4.3498190943443E-62</v>
      </c>
      <c r="H1187" s="1">
        <f t="shared" si="108"/>
        <v>4.2696642170491541E-63</v>
      </c>
      <c r="I1187">
        <f>IF($F$11&lt;=D1187, IF(D1187&lt;=$A$15,D1187-$F$11,$C$11),0)</f>
        <v>60</v>
      </c>
      <c r="J1187">
        <f t="shared" si="109"/>
        <v>1100</v>
      </c>
      <c r="K1187" s="5">
        <f>IF(D1187&lt;$F$11,H1187,0)</f>
        <v>0</v>
      </c>
      <c r="L1187">
        <f>IF(D1187&lt;$A$15,$D$11,$D$11*(1-$H$11))</f>
        <v>85</v>
      </c>
      <c r="M1187">
        <f t="shared" si="110"/>
        <v>1</v>
      </c>
      <c r="N1187">
        <f>IF(SUM(I1187:J1187)&lt;=($G$11/60*$F$11/($E$11/60)),1,0)</f>
        <v>0</v>
      </c>
    </row>
    <row r="1188" spans="4:14" x14ac:dyDescent="0.2">
      <c r="D1188">
        <f t="shared" si="112"/>
        <v>1165</v>
      </c>
      <c r="E1188" s="1">
        <f>IF($H$11=1,IF(D1188&lt;=$A$15, E1187+LN($D$11)-LN(60/$E$11)-LN(MIN(D1188,$F$11)), E1187-LN(60/$E$11)-LN(MIN(D1188,$F$11))), IF(D1188&lt;=$A$15, E1187+LN($D$11)-LN(60/$E$11)-LN(MIN(D1188,$F$11)), E1187+LN($D$11)+LN(1-$H$11)-LN(60/$E$11)-LN(MIN(D1188,$F$11))))</f>
        <v>-139.40980563468057</v>
      </c>
      <c r="F1188" s="1">
        <f t="shared" si="113"/>
        <v>-141.41183844387962</v>
      </c>
      <c r="G1188" s="1">
        <f t="shared" si="111"/>
        <v>3.8514023231172883E-62</v>
      </c>
      <c r="H1188" s="1">
        <f t="shared" si="108"/>
        <v>3.7804318588455456E-63</v>
      </c>
      <c r="I1188">
        <f>IF($F$11&lt;=D1188, IF(D1188&lt;=$A$15,D1188-$F$11,$C$11),0)</f>
        <v>60</v>
      </c>
      <c r="J1188">
        <f t="shared" si="109"/>
        <v>1101</v>
      </c>
      <c r="K1188" s="5">
        <f>IF(D1188&lt;$F$11,H1188,0)</f>
        <v>0</v>
      </c>
      <c r="L1188">
        <f>IF(D1188&lt;$A$15,$D$11,$D$11*(1-$H$11))</f>
        <v>85</v>
      </c>
      <c r="M1188">
        <f t="shared" si="110"/>
        <v>1</v>
      </c>
      <c r="N1188">
        <f>IF(SUM(I1188:J1188)&lt;=($G$11/60*$F$11/($E$11/60)),1,0)</f>
        <v>0</v>
      </c>
    </row>
    <row r="1189" spans="4:14" x14ac:dyDescent="0.2">
      <c r="D1189">
        <f t="shared" si="112"/>
        <v>1166</v>
      </c>
      <c r="E1189" s="1">
        <f>IF($H$11=1,IF(D1189&lt;=$A$15, E1188+LN($D$11)-LN(60/$E$11)-LN(MIN(D1189,$F$11)), E1188-LN(60/$E$11)-LN(MIN(D1189,$F$11))), IF(D1189&lt;=$A$15, E1188+LN($D$11)-LN(60/$E$11)-LN(MIN(D1189,$F$11)), E1188+LN($D$11)+LN(1-$H$11)-LN(60/$E$11)-LN(MIN(D1189,$F$11))))</f>
        <v>-139.5315025696581</v>
      </c>
      <c r="F1189" s="1">
        <f t="shared" si="113"/>
        <v>-141.53353537885715</v>
      </c>
      <c r="G1189" s="1">
        <f t="shared" si="111"/>
        <v>3.4100958069267123E-62</v>
      </c>
      <c r="H1189" s="1">
        <f t="shared" si="108"/>
        <v>3.347257375019441E-63</v>
      </c>
      <c r="I1189">
        <f>IF($F$11&lt;=D1189, IF(D1189&lt;=$A$15,D1189-$F$11,$C$11),0)</f>
        <v>60</v>
      </c>
      <c r="J1189">
        <f t="shared" si="109"/>
        <v>1102</v>
      </c>
      <c r="K1189" s="5">
        <f>IF(D1189&lt;$F$11,H1189,0)</f>
        <v>0</v>
      </c>
      <c r="L1189">
        <f>IF(D1189&lt;$A$15,$D$11,$D$11*(1-$H$11))</f>
        <v>85</v>
      </c>
      <c r="M1189">
        <f t="shared" si="110"/>
        <v>1</v>
      </c>
      <c r="N1189">
        <f>IF(SUM(I1189:J1189)&lt;=($G$11/60*$F$11/($E$11/60)),1,0)</f>
        <v>0</v>
      </c>
    </row>
    <row r="1190" spans="4:14" x14ac:dyDescent="0.2">
      <c r="D1190">
        <f t="shared" si="112"/>
        <v>1167</v>
      </c>
      <c r="E1190" s="1">
        <f>IF($H$11=1,IF(D1190&lt;=$A$15, E1189+LN($D$11)-LN(60/$E$11)-LN(MIN(D1190,$F$11)), E1189-LN(60/$E$11)-LN(MIN(D1190,$F$11))), IF(D1190&lt;=$A$15, E1189+LN($D$11)-LN(60/$E$11)-LN(MIN(D1190,$F$11)), E1189+LN($D$11)+LN(1-$H$11)-LN(60/$E$11)-LN(MIN(D1190,$F$11))))</f>
        <v>-139.65319950463564</v>
      </c>
      <c r="F1190" s="1">
        <f t="shared" si="113"/>
        <v>-141.65523231383469</v>
      </c>
      <c r="G1190" s="1">
        <f t="shared" si="111"/>
        <v>3.0193556623829794E-62</v>
      </c>
      <c r="H1190" s="1">
        <f t="shared" si="108"/>
        <v>2.9637174674650839E-63</v>
      </c>
      <c r="I1190">
        <f>IF($F$11&lt;=D1190, IF(D1190&lt;=$A$15,D1190-$F$11,$C$11),0)</f>
        <v>60</v>
      </c>
      <c r="J1190">
        <f t="shared" si="109"/>
        <v>1103</v>
      </c>
      <c r="K1190" s="5">
        <f>IF(D1190&lt;$F$11,H1190,0)</f>
        <v>0</v>
      </c>
      <c r="L1190">
        <f>IF(D1190&lt;$A$15,$D$11,$D$11*(1-$H$11))</f>
        <v>85</v>
      </c>
      <c r="M1190">
        <f t="shared" si="110"/>
        <v>1</v>
      </c>
      <c r="N1190">
        <f>IF(SUM(I1190:J1190)&lt;=($G$11/60*$F$11/($E$11/60)),1,0)</f>
        <v>0</v>
      </c>
    </row>
    <row r="1191" spans="4:14" x14ac:dyDescent="0.2">
      <c r="D1191">
        <f t="shared" si="112"/>
        <v>1168</v>
      </c>
      <c r="E1191" s="1">
        <f>IF($H$11=1,IF(D1191&lt;=$A$15, E1190+LN($D$11)-LN(60/$E$11)-LN(MIN(D1191,$F$11)), E1190-LN(60/$E$11)-LN(MIN(D1191,$F$11))), IF(D1191&lt;=$A$15, E1190+LN($D$11)-LN(60/$E$11)-LN(MIN(D1191,$F$11)), E1190+LN($D$11)+LN(1-$H$11)-LN(60/$E$11)-LN(MIN(D1191,$F$11))))</f>
        <v>-139.77489643961317</v>
      </c>
      <c r="F1191" s="1">
        <f t="shared" si="113"/>
        <v>-141.77692924881222</v>
      </c>
      <c r="G1191" s="1">
        <f t="shared" si="111"/>
        <v>2.6733878260682215E-62</v>
      </c>
      <c r="H1191" s="1">
        <f t="shared" si="108"/>
        <v>2.6241248409846688E-63</v>
      </c>
      <c r="I1191">
        <f>IF($F$11&lt;=D1191, IF(D1191&lt;=$A$15,D1191-$F$11,$C$11),0)</f>
        <v>60</v>
      </c>
      <c r="J1191">
        <f t="shared" si="109"/>
        <v>1104</v>
      </c>
      <c r="K1191" s="5">
        <f>IF(D1191&lt;$F$11,H1191,0)</f>
        <v>0</v>
      </c>
      <c r="L1191">
        <f>IF(D1191&lt;$A$15,$D$11,$D$11*(1-$H$11))</f>
        <v>85</v>
      </c>
      <c r="M1191">
        <f t="shared" si="110"/>
        <v>1</v>
      </c>
      <c r="N1191">
        <f>IF(SUM(I1191:J1191)&lt;=($G$11/60*$F$11/($E$11/60)),1,0)</f>
        <v>0</v>
      </c>
    </row>
    <row r="1192" spans="4:14" x14ac:dyDescent="0.2">
      <c r="D1192">
        <f t="shared" si="112"/>
        <v>1169</v>
      </c>
      <c r="E1192" s="1">
        <f>IF($H$11=1,IF(D1192&lt;=$A$15, E1191+LN($D$11)-LN(60/$E$11)-LN(MIN(D1192,$F$11)), E1191-LN(60/$E$11)-LN(MIN(D1192,$F$11))), IF(D1192&lt;=$A$15, E1191+LN($D$11)-LN(60/$E$11)-LN(MIN(D1192,$F$11)), E1191+LN($D$11)+LN(1-$H$11)-LN(60/$E$11)-LN(MIN(D1192,$F$11))))</f>
        <v>-139.89659337459071</v>
      </c>
      <c r="F1192" s="1">
        <f t="shared" si="113"/>
        <v>-141.89862618378976</v>
      </c>
      <c r="G1192" s="1">
        <f t="shared" si="111"/>
        <v>2.367062137664534E-62</v>
      </c>
      <c r="H1192" s="1">
        <f t="shared" si="108"/>
        <v>2.3234438696218056E-63</v>
      </c>
      <c r="I1192">
        <f>IF($F$11&lt;=D1192, IF(D1192&lt;=$A$15,D1192-$F$11,$C$11),0)</f>
        <v>60</v>
      </c>
      <c r="J1192">
        <f t="shared" si="109"/>
        <v>1105</v>
      </c>
      <c r="K1192" s="5">
        <f>IF(D1192&lt;$F$11,H1192,0)</f>
        <v>0</v>
      </c>
      <c r="L1192">
        <f>IF(D1192&lt;$A$15,$D$11,$D$11*(1-$H$11))</f>
        <v>85</v>
      </c>
      <c r="M1192">
        <f t="shared" si="110"/>
        <v>1</v>
      </c>
      <c r="N1192">
        <f>IF(SUM(I1192:J1192)&lt;=($G$11/60*$F$11/($E$11/60)),1,0)</f>
        <v>0</v>
      </c>
    </row>
    <row r="1193" spans="4:14" x14ac:dyDescent="0.2">
      <c r="D1193">
        <f t="shared" si="112"/>
        <v>1170</v>
      </c>
      <c r="E1193" s="1">
        <f>IF($H$11=1,IF(D1193&lt;=$A$15, E1192+LN($D$11)-LN(60/$E$11)-LN(MIN(D1193,$F$11)), E1192-LN(60/$E$11)-LN(MIN(D1193,$F$11))), IF(D1193&lt;=$A$15, E1192+LN($D$11)-LN(60/$E$11)-LN(MIN(D1193,$F$11)), E1192+LN($D$11)+LN(1-$H$11)-LN(60/$E$11)-LN(MIN(D1193,$F$11))))</f>
        <v>-140.01829030956824</v>
      </c>
      <c r="F1193" s="1">
        <f t="shared" si="113"/>
        <v>-142.02032311876729</v>
      </c>
      <c r="G1193" s="1">
        <f t="shared" si="111"/>
        <v>2.0958362677237731E-62</v>
      </c>
      <c r="H1193" s="1">
        <f t="shared" si="108"/>
        <v>2.057215926227608E-63</v>
      </c>
      <c r="I1193">
        <f>IF($F$11&lt;=D1193, IF(D1193&lt;=$A$15,D1193-$F$11,$C$11),0)</f>
        <v>60</v>
      </c>
      <c r="J1193">
        <f t="shared" si="109"/>
        <v>1106</v>
      </c>
      <c r="K1193" s="5">
        <f>IF(D1193&lt;$F$11,H1193,0)</f>
        <v>0</v>
      </c>
      <c r="L1193">
        <f>IF(D1193&lt;$A$15,$D$11,$D$11*(1-$H$11))</f>
        <v>85</v>
      </c>
      <c r="M1193">
        <f t="shared" si="110"/>
        <v>1</v>
      </c>
      <c r="N1193">
        <f>IF(SUM(I1193:J1193)&lt;=($G$11/60*$F$11/($E$11/60)),1,0)</f>
        <v>0</v>
      </c>
    </row>
    <row r="1194" spans="4:14" x14ac:dyDescent="0.2">
      <c r="D1194">
        <f t="shared" si="112"/>
        <v>1171</v>
      </c>
      <c r="E1194" s="1">
        <f>IF($H$11=1,IF(D1194&lt;=$A$15, E1193+LN($D$11)-LN(60/$E$11)-LN(MIN(D1194,$F$11)), E1193-LN(60/$E$11)-LN(MIN(D1194,$F$11))), IF(D1194&lt;=$A$15, E1193+LN($D$11)-LN(60/$E$11)-LN(MIN(D1194,$F$11)), E1193+LN($D$11)+LN(1-$H$11)-LN(60/$E$11)-LN(MIN(D1194,$F$11))))</f>
        <v>-140.13998724454578</v>
      </c>
      <c r="F1194" s="1">
        <f t="shared" si="113"/>
        <v>-142.14202005374483</v>
      </c>
      <c r="G1194" s="1">
        <f t="shared" si="111"/>
        <v>1.855688362047062E-62</v>
      </c>
      <c r="H1194" s="1">
        <f t="shared" si="108"/>
        <v>1.8214932680139999E-63</v>
      </c>
      <c r="I1194">
        <f>IF($F$11&lt;=D1194, IF(D1194&lt;=$A$15,D1194-$F$11,$C$11),0)</f>
        <v>60</v>
      </c>
      <c r="J1194">
        <f t="shared" si="109"/>
        <v>1107</v>
      </c>
      <c r="K1194" s="5">
        <f>IF(D1194&lt;$F$11,H1194,0)</f>
        <v>0</v>
      </c>
      <c r="L1194">
        <f>IF(D1194&lt;$A$15,$D$11,$D$11*(1-$H$11))</f>
        <v>85</v>
      </c>
      <c r="M1194">
        <f t="shared" si="110"/>
        <v>1</v>
      </c>
      <c r="N1194">
        <f>IF(SUM(I1194:J1194)&lt;=($G$11/60*$F$11/($E$11/60)),1,0)</f>
        <v>0</v>
      </c>
    </row>
    <row r="1195" spans="4:14" x14ac:dyDescent="0.2">
      <c r="D1195">
        <f t="shared" si="112"/>
        <v>1172</v>
      </c>
      <c r="E1195" s="1">
        <f>IF($H$11=1,IF(D1195&lt;=$A$15, E1194+LN($D$11)-LN(60/$E$11)-LN(MIN(D1195,$F$11)), E1194-LN(60/$E$11)-LN(MIN(D1195,$F$11))), IF(D1195&lt;=$A$15, E1194+LN($D$11)-LN(60/$E$11)-LN(MIN(D1195,$F$11)), E1194+LN($D$11)+LN(1-$H$11)-LN(60/$E$11)-LN(MIN(D1195,$F$11))))</f>
        <v>-140.26168417952331</v>
      </c>
      <c r="F1195" s="1">
        <f t="shared" si="113"/>
        <v>-142.26371698872236</v>
      </c>
      <c r="G1195" s="1">
        <f t="shared" si="111"/>
        <v>1.6430574038958103E-62</v>
      </c>
      <c r="H1195" s="1">
        <f t="shared" si="108"/>
        <v>1.6127804977207036E-63</v>
      </c>
      <c r="I1195">
        <f>IF($F$11&lt;=D1195, IF(D1195&lt;=$A$15,D1195-$F$11,$C$11),0)</f>
        <v>60</v>
      </c>
      <c r="J1195">
        <f t="shared" si="109"/>
        <v>1108</v>
      </c>
      <c r="K1195" s="5">
        <f>IF(D1195&lt;$F$11,H1195,0)</f>
        <v>0</v>
      </c>
      <c r="L1195">
        <f>IF(D1195&lt;$A$15,$D$11,$D$11*(1-$H$11))</f>
        <v>85</v>
      </c>
      <c r="M1195">
        <f t="shared" si="110"/>
        <v>1</v>
      </c>
      <c r="N1195">
        <f>IF(SUM(I1195:J1195)&lt;=($G$11/60*$F$11/($E$11/60)),1,0)</f>
        <v>0</v>
      </c>
    </row>
    <row r="1196" spans="4:14" x14ac:dyDescent="0.2">
      <c r="D1196">
        <f t="shared" si="112"/>
        <v>1173</v>
      </c>
      <c r="E1196" s="1">
        <f>IF($H$11=1,IF(D1196&lt;=$A$15, E1195+LN($D$11)-LN(60/$E$11)-LN(MIN(D1196,$F$11)), E1195-LN(60/$E$11)-LN(MIN(D1196,$F$11))), IF(D1196&lt;=$A$15, E1195+LN($D$11)-LN(60/$E$11)-LN(MIN(D1196,$F$11)), E1195+LN($D$11)+LN(1-$H$11)-LN(60/$E$11)-LN(MIN(D1196,$F$11))))</f>
        <v>-140.38338111450085</v>
      </c>
      <c r="F1196" s="1">
        <f t="shared" si="113"/>
        <v>-142.3854139236999</v>
      </c>
      <c r="G1196" s="1">
        <f t="shared" si="111"/>
        <v>1.4547904096993928E-62</v>
      </c>
      <c r="H1196" s="1">
        <f t="shared" si="108"/>
        <v>1.4279827323568507E-63</v>
      </c>
      <c r="I1196">
        <f>IF($F$11&lt;=D1196, IF(D1196&lt;=$A$15,D1196-$F$11,$C$11),0)</f>
        <v>60</v>
      </c>
      <c r="J1196">
        <f t="shared" si="109"/>
        <v>1109</v>
      </c>
      <c r="K1196" s="5">
        <f>IF(D1196&lt;$F$11,H1196,0)</f>
        <v>0</v>
      </c>
      <c r="L1196">
        <f>IF(D1196&lt;$A$15,$D$11,$D$11*(1-$H$11))</f>
        <v>85</v>
      </c>
      <c r="M1196">
        <f t="shared" si="110"/>
        <v>1</v>
      </c>
      <c r="N1196">
        <f>IF(SUM(I1196:J1196)&lt;=($G$11/60*$F$11/($E$11/60)),1,0)</f>
        <v>0</v>
      </c>
    </row>
    <row r="1197" spans="4:14" x14ac:dyDescent="0.2">
      <c r="D1197">
        <f t="shared" si="112"/>
        <v>1174</v>
      </c>
      <c r="E1197" s="1">
        <f>IF($H$11=1,IF(D1197&lt;=$A$15, E1196+LN($D$11)-LN(60/$E$11)-LN(MIN(D1197,$F$11)), E1196-LN(60/$E$11)-LN(MIN(D1197,$F$11))), IF(D1197&lt;=$A$15, E1196+LN($D$11)-LN(60/$E$11)-LN(MIN(D1197,$F$11)), E1196+LN($D$11)+LN(1-$H$11)-LN(60/$E$11)-LN(MIN(D1197,$F$11))))</f>
        <v>-140.50507804947839</v>
      </c>
      <c r="F1197" s="1">
        <f t="shared" si="113"/>
        <v>-142.50711085867744</v>
      </c>
      <c r="G1197" s="1">
        <f t="shared" si="111"/>
        <v>1.2880956752546505E-62</v>
      </c>
      <c r="H1197" s="1">
        <f t="shared" si="108"/>
        <v>1.2643597109409418E-63</v>
      </c>
      <c r="I1197">
        <f>IF($F$11&lt;=D1197, IF(D1197&lt;=$A$15,D1197-$F$11,$C$11),0)</f>
        <v>60</v>
      </c>
      <c r="J1197">
        <f t="shared" si="109"/>
        <v>1110</v>
      </c>
      <c r="K1197" s="5">
        <f>IF(D1197&lt;$F$11,H1197,0)</f>
        <v>0</v>
      </c>
      <c r="L1197">
        <f>IF(D1197&lt;$A$15,$D$11,$D$11*(1-$H$11))</f>
        <v>85</v>
      </c>
      <c r="M1197">
        <f t="shared" si="110"/>
        <v>1</v>
      </c>
      <c r="N1197">
        <f>IF(SUM(I1197:J1197)&lt;=($G$11/60*$F$11/($E$11/60)),1,0)</f>
        <v>0</v>
      </c>
    </row>
    <row r="1198" spans="4:14" x14ac:dyDescent="0.2">
      <c r="D1198">
        <f t="shared" si="112"/>
        <v>1175</v>
      </c>
      <c r="E1198" s="1">
        <f>IF($H$11=1,IF(D1198&lt;=$A$15, E1197+LN($D$11)-LN(60/$E$11)-LN(MIN(D1198,$F$11)), E1197-LN(60/$E$11)-LN(MIN(D1198,$F$11))), IF(D1198&lt;=$A$15, E1197+LN($D$11)-LN(60/$E$11)-LN(MIN(D1198,$F$11)), E1197+LN($D$11)+LN(1-$H$11)-LN(60/$E$11)-LN(MIN(D1198,$F$11))))</f>
        <v>-140.62677498445592</v>
      </c>
      <c r="F1198" s="1">
        <f t="shared" si="113"/>
        <v>-142.62880779365497</v>
      </c>
      <c r="G1198" s="1">
        <f t="shared" si="111"/>
        <v>1.1405013791317039E-62</v>
      </c>
      <c r="H1198" s="1">
        <f t="shared" si="108"/>
        <v>1.1194851607289414E-63</v>
      </c>
      <c r="I1198">
        <f>IF($F$11&lt;=D1198, IF(D1198&lt;=$A$15,D1198-$F$11,$C$11),0)</f>
        <v>60</v>
      </c>
      <c r="J1198">
        <f t="shared" si="109"/>
        <v>1111</v>
      </c>
      <c r="K1198" s="5">
        <f>IF(D1198&lt;$F$11,H1198,0)</f>
        <v>0</v>
      </c>
      <c r="L1198">
        <f>IF(D1198&lt;$A$15,$D$11,$D$11*(1-$H$11))</f>
        <v>85</v>
      </c>
      <c r="M1198">
        <f t="shared" si="110"/>
        <v>1</v>
      </c>
      <c r="N1198">
        <f>IF(SUM(I1198:J1198)&lt;=($G$11/60*$F$11/($E$11/60)),1,0)</f>
        <v>0</v>
      </c>
    </row>
    <row r="1199" spans="4:14" x14ac:dyDescent="0.2">
      <c r="D1199">
        <f t="shared" si="112"/>
        <v>1176</v>
      </c>
      <c r="E1199" s="1">
        <f>IF($H$11=1,IF(D1199&lt;=$A$15, E1198+LN($D$11)-LN(60/$E$11)-LN(MIN(D1199,$F$11)), E1198-LN(60/$E$11)-LN(MIN(D1199,$F$11))), IF(D1199&lt;=$A$15, E1198+LN($D$11)-LN(60/$E$11)-LN(MIN(D1199,$F$11)), E1198+LN($D$11)+LN(1-$H$11)-LN(60/$E$11)-LN(MIN(D1199,$F$11))))</f>
        <v>-140.74847191943346</v>
      </c>
      <c r="F1199" s="1">
        <f t="shared" si="113"/>
        <v>-142.75050472863251</v>
      </c>
      <c r="G1199" s="1">
        <f t="shared" si="111"/>
        <v>1.0098189294395137E-62</v>
      </c>
      <c r="H1199" s="1">
        <f t="shared" si="108"/>
        <v>9.9121081939540126E-64</v>
      </c>
      <c r="I1199">
        <f>IF($F$11&lt;=D1199, IF(D1199&lt;=$A$15,D1199-$F$11,$C$11),0)</f>
        <v>60</v>
      </c>
      <c r="J1199">
        <f t="shared" si="109"/>
        <v>1112</v>
      </c>
      <c r="K1199" s="5">
        <f>IF(D1199&lt;$F$11,H1199,0)</f>
        <v>0</v>
      </c>
      <c r="L1199">
        <f>IF(D1199&lt;$A$15,$D$11,$D$11*(1-$H$11))</f>
        <v>85</v>
      </c>
      <c r="M1199">
        <f t="shared" si="110"/>
        <v>1</v>
      </c>
      <c r="N1199">
        <f>IF(SUM(I1199:J1199)&lt;=($G$11/60*$F$11/($E$11/60)),1,0)</f>
        <v>0</v>
      </c>
    </row>
    <row r="1200" spans="4:14" x14ac:dyDescent="0.2">
      <c r="D1200">
        <f t="shared" si="112"/>
        <v>1177</v>
      </c>
      <c r="E1200" s="1">
        <f>IF($H$11=1,IF(D1200&lt;=$A$15, E1199+LN($D$11)-LN(60/$E$11)-LN(MIN(D1200,$F$11)), E1199-LN(60/$E$11)-LN(MIN(D1200,$F$11))), IF(D1200&lt;=$A$15, E1199+LN($D$11)-LN(60/$E$11)-LN(MIN(D1200,$F$11)), E1199+LN($D$11)+LN(1-$H$11)-LN(60/$E$11)-LN(MIN(D1200,$F$11))))</f>
        <v>-140.87016885441099</v>
      </c>
      <c r="F1200" s="1">
        <f t="shared" si="113"/>
        <v>-142.87220166361004</v>
      </c>
      <c r="G1200" s="1">
        <f t="shared" si="111"/>
        <v>8.9411051044122211E-63</v>
      </c>
      <c r="H1200" s="1">
        <f t="shared" si="108"/>
        <v>8.7763457967299792E-64</v>
      </c>
      <c r="I1200">
        <f>IF($F$11&lt;=D1200, IF(D1200&lt;=$A$15,D1200-$F$11,$C$11),0)</f>
        <v>60</v>
      </c>
      <c r="J1200">
        <f t="shared" si="109"/>
        <v>1113</v>
      </c>
      <c r="K1200" s="5">
        <f>IF(D1200&lt;$F$11,H1200,0)</f>
        <v>0</v>
      </c>
      <c r="L1200">
        <f>IF(D1200&lt;$A$15,$D$11,$D$11*(1-$H$11))</f>
        <v>85</v>
      </c>
      <c r="M1200">
        <f t="shared" si="110"/>
        <v>1</v>
      </c>
      <c r="N1200">
        <f>IF(SUM(I1200:J1200)&lt;=($G$11/60*$F$11/($E$11/60)),1,0)</f>
        <v>0</v>
      </c>
    </row>
    <row r="1201" spans="4:14" x14ac:dyDescent="0.2">
      <c r="D1201">
        <f t="shared" si="112"/>
        <v>1178</v>
      </c>
      <c r="E1201" s="1">
        <f>IF($H$11=1,IF(D1201&lt;=$A$15, E1200+LN($D$11)-LN(60/$E$11)-LN(MIN(D1201,$F$11)), E1200-LN(60/$E$11)-LN(MIN(D1201,$F$11))), IF(D1201&lt;=$A$15, E1200+LN($D$11)-LN(60/$E$11)-LN(MIN(D1201,$F$11)), E1200+LN($D$11)+LN(1-$H$11)-LN(60/$E$11)-LN(MIN(D1201,$F$11))))</f>
        <v>-140.99186578938853</v>
      </c>
      <c r="F1201" s="1">
        <f t="shared" si="113"/>
        <v>-142.99389859858758</v>
      </c>
      <c r="G1201" s="1">
        <f t="shared" si="111"/>
        <v>7.9166034778648644E-63</v>
      </c>
      <c r="H1201" s="1">
        <f t="shared" si="108"/>
        <v>7.7707228408545471E-64</v>
      </c>
      <c r="I1201">
        <f>IF($F$11&lt;=D1201, IF(D1201&lt;=$A$15,D1201-$F$11,$C$11),0)</f>
        <v>60</v>
      </c>
      <c r="J1201">
        <f t="shared" si="109"/>
        <v>1114</v>
      </c>
      <c r="K1201" s="5">
        <f>IF(D1201&lt;$F$11,H1201,0)</f>
        <v>0</v>
      </c>
      <c r="L1201">
        <f>IF(D1201&lt;$A$15,$D$11,$D$11*(1-$H$11))</f>
        <v>85</v>
      </c>
      <c r="M1201">
        <f t="shared" si="110"/>
        <v>1</v>
      </c>
      <c r="N1201">
        <f>IF(SUM(I1201:J1201)&lt;=($G$11/60*$F$11/($E$11/60)),1,0)</f>
        <v>0</v>
      </c>
    </row>
    <row r="1202" spans="4:14" x14ac:dyDescent="0.2">
      <c r="D1202">
        <f t="shared" si="112"/>
        <v>1179</v>
      </c>
      <c r="E1202" s="1">
        <f>IF($H$11=1,IF(D1202&lt;=$A$15, E1201+LN($D$11)-LN(60/$E$11)-LN(MIN(D1202,$F$11)), E1201-LN(60/$E$11)-LN(MIN(D1202,$F$11))), IF(D1202&lt;=$A$15, E1201+LN($D$11)-LN(60/$E$11)-LN(MIN(D1202,$F$11)), E1201+LN($D$11)+LN(1-$H$11)-LN(60/$E$11)-LN(MIN(D1202,$F$11))))</f>
        <v>-141.11356272436606</v>
      </c>
      <c r="F1202" s="1">
        <f t="shared" si="113"/>
        <v>-143.11559553356511</v>
      </c>
      <c r="G1202" s="1">
        <f t="shared" si="111"/>
        <v>7.009492662692739E-63</v>
      </c>
      <c r="H1202" s="1">
        <f t="shared" si="108"/>
        <v>6.8803275153398566E-64</v>
      </c>
      <c r="I1202">
        <f>IF($F$11&lt;=D1202, IF(D1202&lt;=$A$15,D1202-$F$11,$C$11),0)</f>
        <v>60</v>
      </c>
      <c r="J1202">
        <f t="shared" si="109"/>
        <v>1115</v>
      </c>
      <c r="K1202" s="5">
        <f>IF(D1202&lt;$F$11,H1202,0)</f>
        <v>0</v>
      </c>
      <c r="L1202">
        <f>IF(D1202&lt;$A$15,$D$11,$D$11*(1-$H$11))</f>
        <v>85</v>
      </c>
      <c r="M1202">
        <f t="shared" si="110"/>
        <v>1</v>
      </c>
      <c r="N1202">
        <f>IF(SUM(I1202:J1202)&lt;=($G$11/60*$F$11/($E$11/60)),1,0)</f>
        <v>0</v>
      </c>
    </row>
    <row r="1203" spans="4:14" x14ac:dyDescent="0.2">
      <c r="D1203">
        <f t="shared" si="112"/>
        <v>1180</v>
      </c>
      <c r="E1203" s="1">
        <f>IF($H$11=1,IF(D1203&lt;=$A$15, E1202+LN($D$11)-LN(60/$E$11)-LN(MIN(D1203,$F$11)), E1202-LN(60/$E$11)-LN(MIN(D1203,$F$11))), IF(D1203&lt;=$A$15, E1202+LN($D$11)-LN(60/$E$11)-LN(MIN(D1203,$F$11)), E1202+LN($D$11)+LN(1-$H$11)-LN(60/$E$11)-LN(MIN(D1203,$F$11))))</f>
        <v>-141.2352596593436</v>
      </c>
      <c r="F1203" s="1">
        <f t="shared" si="113"/>
        <v>-143.23729246854265</v>
      </c>
      <c r="G1203" s="1">
        <f t="shared" si="111"/>
        <v>6.206321628425765E-63</v>
      </c>
      <c r="H1203" s="1">
        <f t="shared" si="108"/>
        <v>6.0919566542070695E-64</v>
      </c>
      <c r="I1203">
        <f>IF($F$11&lt;=D1203, IF(D1203&lt;=$A$15,D1203-$F$11,$C$11),0)</f>
        <v>60</v>
      </c>
      <c r="J1203">
        <f t="shared" si="109"/>
        <v>1116</v>
      </c>
      <c r="K1203" s="5">
        <f>IF(D1203&lt;$F$11,H1203,0)</f>
        <v>0</v>
      </c>
      <c r="L1203">
        <f>IF(D1203&lt;$A$15,$D$11,$D$11*(1-$H$11))</f>
        <v>85</v>
      </c>
      <c r="M1203">
        <f t="shared" si="110"/>
        <v>1</v>
      </c>
      <c r="N1203">
        <f>IF(SUM(I1203:J1203)&lt;=($G$11/60*$F$11/($E$11/60)),1,0)</f>
        <v>0</v>
      </c>
    </row>
    <row r="1204" spans="4:14" x14ac:dyDescent="0.2">
      <c r="D1204">
        <f t="shared" si="112"/>
        <v>1181</v>
      </c>
      <c r="E1204" s="1">
        <f>IF($H$11=1,IF(D1204&lt;=$A$15, E1203+LN($D$11)-LN(60/$E$11)-LN(MIN(D1204,$F$11)), E1203-LN(60/$E$11)-LN(MIN(D1204,$F$11))), IF(D1204&lt;=$A$15, E1203+LN($D$11)-LN(60/$E$11)-LN(MIN(D1204,$F$11)), E1203+LN($D$11)+LN(1-$H$11)-LN(60/$E$11)-LN(MIN(D1204,$F$11))))</f>
        <v>-141.35695659432113</v>
      </c>
      <c r="F1204" s="1">
        <f t="shared" si="113"/>
        <v>-143.35898940352018</v>
      </c>
      <c r="G1204" s="1">
        <f t="shared" si="111"/>
        <v>5.4951806085018934E-63</v>
      </c>
      <c r="H1204" s="1">
        <f t="shared" si="108"/>
        <v>5.3939199542457574E-64</v>
      </c>
      <c r="I1204">
        <f>IF($F$11&lt;=D1204, IF(D1204&lt;=$A$15,D1204-$F$11,$C$11),0)</f>
        <v>60</v>
      </c>
      <c r="J1204">
        <f t="shared" si="109"/>
        <v>1117</v>
      </c>
      <c r="K1204" s="5">
        <f>IF(D1204&lt;$F$11,H1204,0)</f>
        <v>0</v>
      </c>
      <c r="L1204">
        <f>IF(D1204&lt;$A$15,$D$11,$D$11*(1-$H$11))</f>
        <v>85</v>
      </c>
      <c r="M1204">
        <f t="shared" si="110"/>
        <v>1</v>
      </c>
      <c r="N1204">
        <f>IF(SUM(I1204:J1204)&lt;=($G$11/60*$F$11/($E$11/60)),1,0)</f>
        <v>0</v>
      </c>
    </row>
    <row r="1205" spans="4:14" x14ac:dyDescent="0.2">
      <c r="D1205">
        <f t="shared" si="112"/>
        <v>1182</v>
      </c>
      <c r="E1205" s="1">
        <f>IF($H$11=1,IF(D1205&lt;=$A$15, E1204+LN($D$11)-LN(60/$E$11)-LN(MIN(D1205,$F$11)), E1204-LN(60/$E$11)-LN(MIN(D1205,$F$11))), IF(D1205&lt;=$A$15, E1204+LN($D$11)-LN(60/$E$11)-LN(MIN(D1205,$F$11)), E1204+LN($D$11)+LN(1-$H$11)-LN(60/$E$11)-LN(MIN(D1205,$F$11))))</f>
        <v>-141.47865352929867</v>
      </c>
      <c r="F1205" s="1">
        <f t="shared" si="113"/>
        <v>-143.48068633849772</v>
      </c>
      <c r="G1205" s="1">
        <f t="shared" si="111"/>
        <v>4.8655244971109759E-63</v>
      </c>
      <c r="H1205" s="1">
        <f t="shared" si="108"/>
        <v>4.7758666261550237E-64</v>
      </c>
      <c r="I1205">
        <f>IF($F$11&lt;=D1205, IF(D1205&lt;=$A$15,D1205-$F$11,$C$11),0)</f>
        <v>60</v>
      </c>
      <c r="J1205">
        <f t="shared" si="109"/>
        <v>1118</v>
      </c>
      <c r="K1205" s="5">
        <f>IF(D1205&lt;$F$11,H1205,0)</f>
        <v>0</v>
      </c>
      <c r="L1205">
        <f>IF(D1205&lt;$A$15,$D$11,$D$11*(1-$H$11))</f>
        <v>85</v>
      </c>
      <c r="M1205">
        <f t="shared" si="110"/>
        <v>1</v>
      </c>
      <c r="N1205">
        <f>IF(SUM(I1205:J1205)&lt;=($G$11/60*$F$11/($E$11/60)),1,0)</f>
        <v>0</v>
      </c>
    </row>
    <row r="1206" spans="4:14" x14ac:dyDescent="0.2">
      <c r="D1206">
        <f t="shared" si="112"/>
        <v>1183</v>
      </c>
      <c r="E1206" s="1">
        <f>IF($H$11=1,IF(D1206&lt;=$A$15, E1205+LN($D$11)-LN(60/$E$11)-LN(MIN(D1206,$F$11)), E1205-LN(60/$E$11)-LN(MIN(D1206,$F$11))), IF(D1206&lt;=$A$15, E1205+LN($D$11)-LN(60/$E$11)-LN(MIN(D1206,$F$11)), E1205+LN($D$11)+LN(1-$H$11)-LN(60/$E$11)-LN(MIN(D1206,$F$11))))</f>
        <v>-141.6003504642762</v>
      </c>
      <c r="F1206" s="1">
        <f t="shared" si="113"/>
        <v>-143.60238327347525</v>
      </c>
      <c r="G1206" s="1">
        <f t="shared" si="111"/>
        <v>4.3080164818169426E-63</v>
      </c>
      <c r="H1206" s="1">
        <f t="shared" si="108"/>
        <v>4.2286319085746947E-64</v>
      </c>
      <c r="I1206">
        <f>IF($F$11&lt;=D1206, IF(D1206&lt;=$A$15,D1206-$F$11,$C$11),0)</f>
        <v>60</v>
      </c>
      <c r="J1206">
        <f t="shared" si="109"/>
        <v>1119</v>
      </c>
      <c r="K1206" s="5">
        <f>IF(D1206&lt;$F$11,H1206,0)</f>
        <v>0</v>
      </c>
      <c r="L1206">
        <f>IF(D1206&lt;$A$15,$D$11,$D$11*(1-$H$11))</f>
        <v>85</v>
      </c>
      <c r="M1206">
        <f t="shared" si="110"/>
        <v>1</v>
      </c>
      <c r="N1206">
        <f>IF(SUM(I1206:J1206)&lt;=($G$11/60*$F$11/($E$11/60)),1,0)</f>
        <v>0</v>
      </c>
    </row>
    <row r="1207" spans="4:14" x14ac:dyDescent="0.2">
      <c r="D1207">
        <f t="shared" si="112"/>
        <v>1184</v>
      </c>
      <c r="E1207" s="1">
        <f>IF($H$11=1,IF(D1207&lt;=$A$15, E1206+LN($D$11)-LN(60/$E$11)-LN(MIN(D1207,$F$11)), E1206-LN(60/$E$11)-LN(MIN(D1207,$F$11))), IF(D1207&lt;=$A$15, E1206+LN($D$11)-LN(60/$E$11)-LN(MIN(D1207,$F$11)), E1206+LN($D$11)+LN(1-$H$11)-LN(60/$E$11)-LN(MIN(D1207,$F$11))))</f>
        <v>-141.72204739925374</v>
      </c>
      <c r="F1207" s="1">
        <f t="shared" si="113"/>
        <v>-143.72408020845279</v>
      </c>
      <c r="G1207" s="1">
        <f t="shared" si="111"/>
        <v>3.8143895932753582E-63</v>
      </c>
      <c r="H1207" s="1">
        <f t="shared" si="108"/>
        <v>3.7441011690504521E-64</v>
      </c>
      <c r="I1207">
        <f>IF($F$11&lt;=D1207, IF(D1207&lt;=$A$15,D1207-$F$11,$C$11),0)</f>
        <v>60</v>
      </c>
      <c r="J1207">
        <f t="shared" si="109"/>
        <v>1120</v>
      </c>
      <c r="K1207" s="5">
        <f>IF(D1207&lt;$F$11,H1207,0)</f>
        <v>0</v>
      </c>
      <c r="L1207">
        <f>IF(D1207&lt;$A$15,$D$11,$D$11*(1-$H$11))</f>
        <v>85</v>
      </c>
      <c r="M1207">
        <f t="shared" si="110"/>
        <v>1</v>
      </c>
      <c r="N1207">
        <f>IF(SUM(I1207:J1207)&lt;=($G$11/60*$F$11/($E$11/60)),1,0)</f>
        <v>0</v>
      </c>
    </row>
    <row r="1208" spans="4:14" x14ac:dyDescent="0.2">
      <c r="D1208">
        <f t="shared" si="112"/>
        <v>1185</v>
      </c>
      <c r="E1208" s="1">
        <f>IF($H$11=1,IF(D1208&lt;=$A$15, E1207+LN($D$11)-LN(60/$E$11)-LN(MIN(D1208,$F$11)), E1207-LN(60/$E$11)-LN(MIN(D1208,$F$11))), IF(D1208&lt;=$A$15, E1207+LN($D$11)-LN(60/$E$11)-LN(MIN(D1208,$F$11)), E1207+LN($D$11)+LN(1-$H$11)-LN(60/$E$11)-LN(MIN(D1208,$F$11))))</f>
        <v>-141.84374433423127</v>
      </c>
      <c r="F1208" s="1">
        <f t="shared" si="113"/>
        <v>-143.84577714343033</v>
      </c>
      <c r="G1208" s="1">
        <f t="shared" si="111"/>
        <v>3.3773241190458371E-63</v>
      </c>
      <c r="H1208" s="1">
        <f t="shared" si="108"/>
        <v>3.3150895767633695E-64</v>
      </c>
      <c r="I1208">
        <f>IF($F$11&lt;=D1208, IF(D1208&lt;=$A$15,D1208-$F$11,$C$11),0)</f>
        <v>60</v>
      </c>
      <c r="J1208">
        <f t="shared" si="109"/>
        <v>1121</v>
      </c>
      <c r="K1208" s="5">
        <f>IF(D1208&lt;$F$11,H1208,0)</f>
        <v>0</v>
      </c>
      <c r="L1208">
        <f>IF(D1208&lt;$A$15,$D$11,$D$11*(1-$H$11))</f>
        <v>85</v>
      </c>
      <c r="M1208">
        <f t="shared" si="110"/>
        <v>1</v>
      </c>
      <c r="N1208">
        <f>IF(SUM(I1208:J1208)&lt;=($G$11/60*$F$11/($E$11/60)),1,0)</f>
        <v>0</v>
      </c>
    </row>
    <row r="1209" spans="4:14" x14ac:dyDescent="0.2">
      <c r="D1209">
        <f t="shared" si="112"/>
        <v>1186</v>
      </c>
      <c r="E1209" s="1">
        <f>IF($H$11=1,IF(D1209&lt;=$A$15, E1208+LN($D$11)-LN(60/$E$11)-LN(MIN(D1209,$F$11)), E1208-LN(60/$E$11)-LN(MIN(D1209,$F$11))), IF(D1209&lt;=$A$15, E1208+LN($D$11)-LN(60/$E$11)-LN(MIN(D1209,$F$11)), E1208+LN($D$11)+LN(1-$H$11)-LN(60/$E$11)-LN(MIN(D1209,$F$11))))</f>
        <v>-141.96544126920881</v>
      </c>
      <c r="F1209" s="1">
        <f t="shared" si="113"/>
        <v>-143.96747407840786</v>
      </c>
      <c r="G1209" s="1">
        <f t="shared" si="111"/>
        <v>2.9903390637384551E-63</v>
      </c>
      <c r="H1209" s="1">
        <f t="shared" si="108"/>
        <v>2.9352355627591875E-64</v>
      </c>
      <c r="I1209">
        <f>IF($F$11&lt;=D1209, IF(D1209&lt;=$A$15,D1209-$F$11,$C$11),0)</f>
        <v>60</v>
      </c>
      <c r="J1209">
        <f t="shared" si="109"/>
        <v>1122</v>
      </c>
      <c r="K1209" s="5">
        <f>IF(D1209&lt;$F$11,H1209,0)</f>
        <v>0</v>
      </c>
      <c r="L1209">
        <f>IF(D1209&lt;$A$15,$D$11,$D$11*(1-$H$11))</f>
        <v>85</v>
      </c>
      <c r="M1209">
        <f t="shared" si="110"/>
        <v>1</v>
      </c>
      <c r="N1209">
        <f>IF(SUM(I1209:J1209)&lt;=($G$11/60*$F$11/($E$11/60)),1,0)</f>
        <v>0</v>
      </c>
    </row>
    <row r="1210" spans="4:14" x14ac:dyDescent="0.2">
      <c r="D1210">
        <f t="shared" si="112"/>
        <v>1187</v>
      </c>
      <c r="E1210" s="1">
        <f>IF($H$11=1,IF(D1210&lt;=$A$15, E1209+LN($D$11)-LN(60/$E$11)-LN(MIN(D1210,$F$11)), E1209-LN(60/$E$11)-LN(MIN(D1210,$F$11))), IF(D1210&lt;=$A$15, E1209+LN($D$11)-LN(60/$E$11)-LN(MIN(D1210,$F$11)), E1209+LN($D$11)+LN(1-$H$11)-LN(60/$E$11)-LN(MIN(D1210,$F$11))))</f>
        <v>-142.08713820418635</v>
      </c>
      <c r="F1210" s="1">
        <f t="shared" si="113"/>
        <v>-144.0891710133854</v>
      </c>
      <c r="G1210" s="1">
        <f t="shared" si="111"/>
        <v>2.6476960460183821E-63</v>
      </c>
      <c r="H1210" s="1">
        <f t="shared" si="108"/>
        <v>2.5989064878596564E-64</v>
      </c>
      <c r="I1210">
        <f>IF($F$11&lt;=D1210, IF(D1210&lt;=$A$15,D1210-$F$11,$C$11),0)</f>
        <v>60</v>
      </c>
      <c r="J1210">
        <f t="shared" si="109"/>
        <v>1123</v>
      </c>
      <c r="K1210" s="5">
        <f>IF(D1210&lt;$F$11,H1210,0)</f>
        <v>0</v>
      </c>
      <c r="L1210">
        <f>IF(D1210&lt;$A$15,$D$11,$D$11*(1-$H$11))</f>
        <v>85</v>
      </c>
      <c r="M1210">
        <f t="shared" si="110"/>
        <v>1</v>
      </c>
      <c r="N1210">
        <f>IF(SUM(I1210:J1210)&lt;=($G$11/60*$F$11/($E$11/60)),1,0)</f>
        <v>0</v>
      </c>
    </row>
    <row r="1211" spans="4:14" x14ac:dyDescent="0.2">
      <c r="D1211">
        <f t="shared" si="112"/>
        <v>1188</v>
      </c>
      <c r="E1211" s="1">
        <f>IF($H$11=1,IF(D1211&lt;=$A$15, E1210+LN($D$11)-LN(60/$E$11)-LN(MIN(D1211,$F$11)), E1210-LN(60/$E$11)-LN(MIN(D1211,$F$11))), IF(D1211&lt;=$A$15, E1210+LN($D$11)-LN(60/$E$11)-LN(MIN(D1211,$F$11)), E1210+LN($D$11)+LN(1-$H$11)-LN(60/$E$11)-LN(MIN(D1211,$F$11))))</f>
        <v>-142.20883513916388</v>
      </c>
      <c r="F1211" s="1">
        <f t="shared" si="113"/>
        <v>-144.21086794836293</v>
      </c>
      <c r="G1211" s="1">
        <f t="shared" si="111"/>
        <v>2.3443142074120727E-63</v>
      </c>
      <c r="H1211" s="1">
        <f t="shared" si="108"/>
        <v>2.3011151194590349E-64</v>
      </c>
      <c r="I1211">
        <f>IF($F$11&lt;=D1211, IF(D1211&lt;=$A$15,D1211-$F$11,$C$11),0)</f>
        <v>60</v>
      </c>
      <c r="J1211">
        <f t="shared" si="109"/>
        <v>1124</v>
      </c>
      <c r="K1211" s="5">
        <f>IF(D1211&lt;$F$11,H1211,0)</f>
        <v>0</v>
      </c>
      <c r="L1211">
        <f>IF(D1211&lt;$A$15,$D$11,$D$11*(1-$H$11))</f>
        <v>85</v>
      </c>
      <c r="M1211">
        <f t="shared" si="110"/>
        <v>1</v>
      </c>
      <c r="N1211">
        <f>IF(SUM(I1211:J1211)&lt;=($G$11/60*$F$11/($E$11/60)),1,0)</f>
        <v>0</v>
      </c>
    </row>
    <row r="1212" spans="4:14" x14ac:dyDescent="0.2">
      <c r="D1212">
        <f t="shared" si="112"/>
        <v>1189</v>
      </c>
      <c r="E1212" s="1">
        <f>IF($H$11=1,IF(D1212&lt;=$A$15, E1211+LN($D$11)-LN(60/$E$11)-LN(MIN(D1212,$F$11)), E1211-LN(60/$E$11)-LN(MIN(D1212,$F$11))), IF(D1212&lt;=$A$15, E1211+LN($D$11)-LN(60/$E$11)-LN(MIN(D1212,$F$11)), E1211+LN($D$11)+LN(1-$H$11)-LN(60/$E$11)-LN(MIN(D1212,$F$11))))</f>
        <v>-142.33053207414142</v>
      </c>
      <c r="F1212" s="1">
        <f t="shared" si="113"/>
        <v>-144.33256488334047</v>
      </c>
      <c r="G1212" s="1">
        <f t="shared" si="111"/>
        <v>2.0756948711460735E-63</v>
      </c>
      <c r="H1212" s="1">
        <f t="shared" si="108"/>
        <v>2.0374456786876552E-64</v>
      </c>
      <c r="I1212">
        <f>IF($F$11&lt;=D1212, IF(D1212&lt;=$A$15,D1212-$F$11,$C$11),0)</f>
        <v>60</v>
      </c>
      <c r="J1212">
        <f t="shared" si="109"/>
        <v>1125</v>
      </c>
      <c r="K1212" s="5">
        <f>IF(D1212&lt;$F$11,H1212,0)</f>
        <v>0</v>
      </c>
      <c r="L1212">
        <f>IF(D1212&lt;$A$15,$D$11,$D$11*(1-$H$11))</f>
        <v>85</v>
      </c>
      <c r="M1212">
        <f t="shared" si="110"/>
        <v>1</v>
      </c>
      <c r="N1212">
        <f>IF(SUM(I1212:J1212)&lt;=($G$11/60*$F$11/($E$11/60)),1,0)</f>
        <v>0</v>
      </c>
    </row>
    <row r="1213" spans="4:14" x14ac:dyDescent="0.2">
      <c r="D1213">
        <f t="shared" si="112"/>
        <v>1190</v>
      </c>
      <c r="E1213" s="1">
        <f>IF($H$11=1,IF(D1213&lt;=$A$15, E1212+LN($D$11)-LN(60/$E$11)-LN(MIN(D1213,$F$11)), E1212-LN(60/$E$11)-LN(MIN(D1213,$F$11))), IF(D1213&lt;=$A$15, E1212+LN($D$11)-LN(60/$E$11)-LN(MIN(D1213,$F$11)), E1212+LN($D$11)+LN(1-$H$11)-LN(60/$E$11)-LN(MIN(D1213,$F$11))))</f>
        <v>-142.45222900911895</v>
      </c>
      <c r="F1213" s="1">
        <f t="shared" si="113"/>
        <v>-144.454261818318</v>
      </c>
      <c r="G1213" s="1">
        <f t="shared" si="111"/>
        <v>1.837854833827224E-63</v>
      </c>
      <c r="H1213" s="1">
        <f t="shared" si="108"/>
        <v>1.8039883613379998E-64</v>
      </c>
      <c r="I1213">
        <f>IF($F$11&lt;=D1213, IF(D1213&lt;=$A$15,D1213-$F$11,$C$11),0)</f>
        <v>60</v>
      </c>
      <c r="J1213">
        <f t="shared" si="109"/>
        <v>1126</v>
      </c>
      <c r="K1213" s="5">
        <f>IF(D1213&lt;$F$11,H1213,0)</f>
        <v>0</v>
      </c>
      <c r="L1213">
        <f>IF(D1213&lt;$A$15,$D$11,$D$11*(1-$H$11))</f>
        <v>85</v>
      </c>
      <c r="M1213">
        <f t="shared" si="110"/>
        <v>1</v>
      </c>
      <c r="N1213">
        <f>IF(SUM(I1213:J1213)&lt;=($G$11/60*$F$11/($E$11/60)),1,0)</f>
        <v>0</v>
      </c>
    </row>
    <row r="1214" spans="4:14" x14ac:dyDescent="0.2">
      <c r="D1214">
        <f t="shared" si="112"/>
        <v>1191</v>
      </c>
      <c r="E1214" s="1">
        <f>IF($H$11=1,IF(D1214&lt;=$A$15, E1213+LN($D$11)-LN(60/$E$11)-LN(MIN(D1214,$F$11)), E1213-LN(60/$E$11)-LN(MIN(D1214,$F$11))), IF(D1214&lt;=$A$15, E1213+LN($D$11)-LN(60/$E$11)-LN(MIN(D1214,$F$11)), E1213+LN($D$11)+LN(1-$H$11)-LN(60/$E$11)-LN(MIN(D1214,$F$11))))</f>
        <v>-142.57392594409649</v>
      </c>
      <c r="F1214" s="1">
        <f t="shared" si="113"/>
        <v>-144.57595875329554</v>
      </c>
      <c r="G1214" s="1">
        <f t="shared" si="111"/>
        <v>1.6272673007844956E-63</v>
      </c>
      <c r="H1214" s="1">
        <f t="shared" si="108"/>
        <v>1.597281361601329E-64</v>
      </c>
      <c r="I1214">
        <f>IF($F$11&lt;=D1214, IF(D1214&lt;=$A$15,D1214-$F$11,$C$11),0)</f>
        <v>60</v>
      </c>
      <c r="J1214">
        <f t="shared" si="109"/>
        <v>1127</v>
      </c>
      <c r="K1214" s="5">
        <f>IF(D1214&lt;$F$11,H1214,0)</f>
        <v>0</v>
      </c>
      <c r="L1214">
        <f>IF(D1214&lt;$A$15,$D$11,$D$11*(1-$H$11))</f>
        <v>85</v>
      </c>
      <c r="M1214">
        <f t="shared" si="110"/>
        <v>1</v>
      </c>
      <c r="N1214">
        <f>IF(SUM(I1214:J1214)&lt;=($G$11/60*$F$11/($E$11/60)),1,0)</f>
        <v>0</v>
      </c>
    </row>
    <row r="1215" spans="4:14" x14ac:dyDescent="0.2">
      <c r="D1215">
        <f t="shared" si="112"/>
        <v>1192</v>
      </c>
      <c r="E1215" s="1">
        <f>IF($H$11=1,IF(D1215&lt;=$A$15, E1214+LN($D$11)-LN(60/$E$11)-LN(MIN(D1215,$F$11)), E1214-LN(60/$E$11)-LN(MIN(D1215,$F$11))), IF(D1215&lt;=$A$15, E1214+LN($D$11)-LN(60/$E$11)-LN(MIN(D1215,$F$11)), E1214+LN($D$11)+LN(1-$H$11)-LN(60/$E$11)-LN(MIN(D1215,$F$11))))</f>
        <v>-142.69562287907402</v>
      </c>
      <c r="F1215" s="1">
        <f t="shared" si="113"/>
        <v>-144.69765568827307</v>
      </c>
      <c r="G1215" s="1">
        <f t="shared" si="111"/>
        <v>1.4408095892362497E-63</v>
      </c>
      <c r="H1215" s="1">
        <f t="shared" si="108"/>
        <v>1.4142595389178214E-64</v>
      </c>
      <c r="I1215">
        <f>IF($F$11&lt;=D1215, IF(D1215&lt;=$A$15,D1215-$F$11,$C$11),0)</f>
        <v>60</v>
      </c>
      <c r="J1215">
        <f t="shared" si="109"/>
        <v>1128</v>
      </c>
      <c r="K1215" s="5">
        <f>IF(D1215&lt;$F$11,H1215,0)</f>
        <v>0</v>
      </c>
      <c r="L1215">
        <f>IF(D1215&lt;$A$15,$D$11,$D$11*(1-$H$11))</f>
        <v>85</v>
      </c>
      <c r="M1215">
        <f t="shared" si="110"/>
        <v>1</v>
      </c>
      <c r="N1215">
        <f>IF(SUM(I1215:J1215)&lt;=($G$11/60*$F$11/($E$11/60)),1,0)</f>
        <v>0</v>
      </c>
    </row>
    <row r="1216" spans="4:14" x14ac:dyDescent="0.2">
      <c r="D1216">
        <f t="shared" si="112"/>
        <v>1193</v>
      </c>
      <c r="E1216" s="1">
        <f>IF($H$11=1,IF(D1216&lt;=$A$15, E1215+LN($D$11)-LN(60/$E$11)-LN(MIN(D1216,$F$11)), E1215-LN(60/$E$11)-LN(MIN(D1216,$F$11))), IF(D1216&lt;=$A$15, E1215+LN($D$11)-LN(60/$E$11)-LN(MIN(D1216,$F$11)), E1215+LN($D$11)+LN(1-$H$11)-LN(60/$E$11)-LN(MIN(D1216,$F$11))))</f>
        <v>-142.81731981405156</v>
      </c>
      <c r="F1216" s="1">
        <f t="shared" si="113"/>
        <v>-144.81935262325061</v>
      </c>
      <c r="G1216" s="1">
        <f t="shared" si="111"/>
        <v>1.2757168238029094E-63</v>
      </c>
      <c r="H1216" s="1">
        <f t="shared" si="108"/>
        <v>1.2522089667501347E-64</v>
      </c>
      <c r="I1216">
        <f>IF($F$11&lt;=D1216, IF(D1216&lt;=$A$15,D1216-$F$11,$C$11),0)</f>
        <v>60</v>
      </c>
      <c r="J1216">
        <f t="shared" si="109"/>
        <v>1129</v>
      </c>
      <c r="K1216" s="5">
        <f>IF(D1216&lt;$F$11,H1216,0)</f>
        <v>0</v>
      </c>
      <c r="L1216">
        <f>IF(D1216&lt;$A$15,$D$11,$D$11*(1-$H$11))</f>
        <v>85</v>
      </c>
      <c r="M1216">
        <f t="shared" si="110"/>
        <v>1</v>
      </c>
      <c r="N1216">
        <f>IF(SUM(I1216:J1216)&lt;=($G$11/60*$F$11/($E$11/60)),1,0)</f>
        <v>0</v>
      </c>
    </row>
    <row r="1217" spans="4:14" x14ac:dyDescent="0.2">
      <c r="D1217">
        <f t="shared" si="112"/>
        <v>1194</v>
      </c>
      <c r="E1217" s="1">
        <f>IF($H$11=1,IF(D1217&lt;=$A$15, E1216+LN($D$11)-LN(60/$E$11)-LN(MIN(D1217,$F$11)), E1216-LN(60/$E$11)-LN(MIN(D1217,$F$11))), IF(D1217&lt;=$A$15, E1216+LN($D$11)-LN(60/$E$11)-LN(MIN(D1217,$F$11)), E1216+LN($D$11)+LN(1-$H$11)-LN(60/$E$11)-LN(MIN(D1217,$F$11))))</f>
        <v>-142.93901674902909</v>
      </c>
      <c r="F1217" s="1">
        <f t="shared" si="113"/>
        <v>-144.94104955822814</v>
      </c>
      <c r="G1217" s="1">
        <f t="shared" si="111"/>
        <v>1.1295409377421417E-63</v>
      </c>
      <c r="H1217" s="1">
        <f t="shared" si="108"/>
        <v>1.1087266893099977E-64</v>
      </c>
      <c r="I1217">
        <f>IF($F$11&lt;=D1217, IF(D1217&lt;=$A$15,D1217-$F$11,$C$11),0)</f>
        <v>60</v>
      </c>
      <c r="J1217">
        <f t="shared" si="109"/>
        <v>1130</v>
      </c>
      <c r="K1217" s="5">
        <f>IF(D1217&lt;$F$11,H1217,0)</f>
        <v>0</v>
      </c>
      <c r="L1217">
        <f>IF(D1217&lt;$A$15,$D$11,$D$11*(1-$H$11))</f>
        <v>85</v>
      </c>
      <c r="M1217">
        <f t="shared" si="110"/>
        <v>1</v>
      </c>
      <c r="N1217">
        <f>IF(SUM(I1217:J1217)&lt;=($G$11/60*$F$11/($E$11/60)),1,0)</f>
        <v>0</v>
      </c>
    </row>
    <row r="1218" spans="4:14" x14ac:dyDescent="0.2">
      <c r="D1218">
        <f t="shared" si="112"/>
        <v>1195</v>
      </c>
      <c r="E1218" s="1">
        <f>IF($H$11=1,IF(D1218&lt;=$A$15, E1217+LN($D$11)-LN(60/$E$11)-LN(MIN(D1218,$F$11)), E1217-LN(60/$E$11)-LN(MIN(D1218,$F$11))), IF(D1218&lt;=$A$15, E1217+LN($D$11)-LN(60/$E$11)-LN(MIN(D1218,$F$11)), E1217+LN($D$11)+LN(1-$H$11)-LN(60/$E$11)-LN(MIN(D1218,$F$11))))</f>
        <v>-143.06071368400663</v>
      </c>
      <c r="F1218" s="1">
        <f t="shared" si="113"/>
        <v>-145.06274649320568</v>
      </c>
      <c r="G1218" s="1">
        <f t="shared" si="111"/>
        <v>1.0001143719591723E-63</v>
      </c>
      <c r="H1218" s="1">
        <f t="shared" si="108"/>
        <v>9.8168508949321186E-65</v>
      </c>
      <c r="I1218">
        <f>IF($F$11&lt;=D1218, IF(D1218&lt;=$A$15,D1218-$F$11,$C$11),0)</f>
        <v>60</v>
      </c>
      <c r="J1218">
        <f t="shared" si="109"/>
        <v>1131</v>
      </c>
      <c r="K1218" s="5">
        <f>IF(D1218&lt;$F$11,H1218,0)</f>
        <v>0</v>
      </c>
      <c r="L1218">
        <f>IF(D1218&lt;$A$15,$D$11,$D$11*(1-$H$11))</f>
        <v>85</v>
      </c>
      <c r="M1218">
        <f t="shared" si="110"/>
        <v>1</v>
      </c>
      <c r="N1218">
        <f>IF(SUM(I1218:J1218)&lt;=($G$11/60*$F$11/($E$11/60)),1,0)</f>
        <v>0</v>
      </c>
    </row>
    <row r="1219" spans="4:14" x14ac:dyDescent="0.2">
      <c r="D1219">
        <f t="shared" si="112"/>
        <v>1196</v>
      </c>
      <c r="E1219" s="1">
        <f>IF($H$11=1,IF(D1219&lt;=$A$15, E1218+LN($D$11)-LN(60/$E$11)-LN(MIN(D1219,$F$11)), E1218-LN(60/$E$11)-LN(MIN(D1219,$F$11))), IF(D1219&lt;=$A$15, E1218+LN($D$11)-LN(60/$E$11)-LN(MIN(D1219,$F$11)), E1218+LN($D$11)+LN(1-$H$11)-LN(60/$E$11)-LN(MIN(D1219,$F$11))))</f>
        <v>-143.18241061898416</v>
      </c>
      <c r="F1219" s="1">
        <f t="shared" si="113"/>
        <v>-145.18444342818322</v>
      </c>
      <c r="G1219" s="1">
        <f t="shared" si="111"/>
        <v>8.855179335055034E-64</v>
      </c>
      <c r="H1219" s="1">
        <f t="shared" si="108"/>
        <v>8.6920033965543449E-65</v>
      </c>
      <c r="I1219">
        <f>IF($F$11&lt;=D1219, IF(D1219&lt;=$A$15,D1219-$F$11,$C$11),0)</f>
        <v>60</v>
      </c>
      <c r="J1219">
        <f t="shared" si="109"/>
        <v>1132</v>
      </c>
      <c r="K1219" s="5">
        <f>IF(D1219&lt;$F$11,H1219,0)</f>
        <v>0</v>
      </c>
      <c r="L1219">
        <f>IF(D1219&lt;$A$15,$D$11,$D$11*(1-$H$11))</f>
        <v>85</v>
      </c>
      <c r="M1219">
        <f t="shared" si="110"/>
        <v>1</v>
      </c>
      <c r="N1219">
        <f>IF(SUM(I1219:J1219)&lt;=($G$11/60*$F$11/($E$11/60)),1,0)</f>
        <v>0</v>
      </c>
    </row>
    <row r="1220" spans="4:14" x14ac:dyDescent="0.2">
      <c r="D1220">
        <f t="shared" si="112"/>
        <v>1197</v>
      </c>
      <c r="E1220" s="1">
        <f>IF($H$11=1,IF(D1220&lt;=$A$15, E1219+LN($D$11)-LN(60/$E$11)-LN(MIN(D1220,$F$11)), E1219-LN(60/$E$11)-LN(MIN(D1220,$F$11))), IF(D1220&lt;=$A$15, E1219+LN($D$11)-LN(60/$E$11)-LN(MIN(D1220,$F$11)), E1219+LN($D$11)+LN(1-$H$11)-LN(60/$E$11)-LN(MIN(D1220,$F$11))))</f>
        <v>-143.3041075539617</v>
      </c>
      <c r="F1220" s="1">
        <f t="shared" si="113"/>
        <v>-145.30614036316075</v>
      </c>
      <c r="G1220" s="1">
        <f t="shared" si="111"/>
        <v>7.8405233695798546E-64</v>
      </c>
      <c r="H1220" s="1">
        <f t="shared" si="108"/>
        <v>7.6960446740323709E-65</v>
      </c>
      <c r="I1220">
        <f>IF($F$11&lt;=D1220, IF(D1220&lt;=$A$15,D1220-$F$11,$C$11),0)</f>
        <v>60</v>
      </c>
      <c r="J1220">
        <f t="shared" si="109"/>
        <v>1133</v>
      </c>
      <c r="K1220" s="5">
        <f>IF(D1220&lt;$F$11,H1220,0)</f>
        <v>0</v>
      </c>
      <c r="L1220">
        <f>IF(D1220&lt;$A$15,$D$11,$D$11*(1-$H$11))</f>
        <v>85</v>
      </c>
      <c r="M1220">
        <f t="shared" si="110"/>
        <v>1</v>
      </c>
      <c r="N1220">
        <f>IF(SUM(I1220:J1220)&lt;=($G$11/60*$F$11/($E$11/60)),1,0)</f>
        <v>0</v>
      </c>
    </row>
    <row r="1221" spans="4:14" x14ac:dyDescent="0.2">
      <c r="D1221">
        <f t="shared" si="112"/>
        <v>1198</v>
      </c>
      <c r="E1221" s="1">
        <f>IF($H$11=1,IF(D1221&lt;=$A$15, E1220+LN($D$11)-LN(60/$E$11)-LN(MIN(D1221,$F$11)), E1220-LN(60/$E$11)-LN(MIN(D1221,$F$11))), IF(D1221&lt;=$A$15, E1220+LN($D$11)-LN(60/$E$11)-LN(MIN(D1221,$F$11)), E1220+LN($D$11)+LN(1-$H$11)-LN(60/$E$11)-LN(MIN(D1221,$F$11))))</f>
        <v>-143.42580448893924</v>
      </c>
      <c r="F1221" s="1">
        <f t="shared" si="113"/>
        <v>-145.42783729813829</v>
      </c>
      <c r="G1221" s="1">
        <f t="shared" si="111"/>
        <v>6.9421300668153883E-64</v>
      </c>
      <c r="H1221" s="1">
        <f t="shared" si="108"/>
        <v>6.8142062217993893E-65</v>
      </c>
      <c r="I1221">
        <f>IF($F$11&lt;=D1221, IF(D1221&lt;=$A$15,D1221-$F$11,$C$11),0)</f>
        <v>60</v>
      </c>
      <c r="J1221">
        <f t="shared" si="109"/>
        <v>1134</v>
      </c>
      <c r="K1221" s="5">
        <f>IF(D1221&lt;$F$11,H1221,0)</f>
        <v>0</v>
      </c>
      <c r="L1221">
        <f>IF(D1221&lt;$A$15,$D$11,$D$11*(1-$H$11))</f>
        <v>85</v>
      </c>
      <c r="M1221">
        <f t="shared" si="110"/>
        <v>1</v>
      </c>
      <c r="N1221">
        <f>IF(SUM(I1221:J1221)&lt;=($G$11/60*$F$11/($E$11/60)),1,0)</f>
        <v>0</v>
      </c>
    </row>
    <row r="1222" spans="4:14" x14ac:dyDescent="0.2">
      <c r="D1222">
        <f t="shared" si="112"/>
        <v>1199</v>
      </c>
      <c r="E1222" s="1">
        <f>IF($H$11=1,IF(D1222&lt;=$A$15, E1221+LN($D$11)-LN(60/$E$11)-LN(MIN(D1222,$F$11)), E1221-LN(60/$E$11)-LN(MIN(D1222,$F$11))), IF(D1222&lt;=$A$15, E1221+LN($D$11)-LN(60/$E$11)-LN(MIN(D1222,$F$11)), E1221+LN($D$11)+LN(1-$H$11)-LN(60/$E$11)-LN(MIN(D1222,$F$11))))</f>
        <v>-143.54750142391677</v>
      </c>
      <c r="F1222" s="1">
        <f t="shared" si="113"/>
        <v>-145.54953423311582</v>
      </c>
      <c r="G1222" s="1">
        <f t="shared" si="111"/>
        <v>6.1466776633260293E-64</v>
      </c>
      <c r="H1222" s="1">
        <f t="shared" si="108"/>
        <v>6.0334117588847822E-65</v>
      </c>
      <c r="I1222">
        <f>IF($F$11&lt;=D1222, IF(D1222&lt;=$A$15,D1222-$F$11,$C$11),0)</f>
        <v>60</v>
      </c>
      <c r="J1222">
        <f t="shared" si="109"/>
        <v>1135</v>
      </c>
      <c r="K1222" s="5">
        <f>IF(D1222&lt;$F$11,H1222,0)</f>
        <v>0</v>
      </c>
      <c r="L1222">
        <f>IF(D1222&lt;$A$15,$D$11,$D$11*(1-$H$11))</f>
        <v>85</v>
      </c>
      <c r="M1222">
        <f t="shared" si="110"/>
        <v>1</v>
      </c>
      <c r="N1222">
        <f>IF(SUM(I1222:J1222)&lt;=($G$11/60*$F$11/($E$11/60)),1,0)</f>
        <v>0</v>
      </c>
    </row>
    <row r="1223" spans="4:14" x14ac:dyDescent="0.2">
      <c r="D1223">
        <f t="shared" si="112"/>
        <v>1200</v>
      </c>
      <c r="E1223" s="1">
        <f>IF($H$11=1,IF(D1223&lt;=$A$15, E1222+LN($D$11)-LN(60/$E$11)-LN(MIN(D1223,$F$11)), E1222-LN(60/$E$11)-LN(MIN(D1223,$F$11))), IF(D1223&lt;=$A$15, E1222+LN($D$11)-LN(60/$E$11)-LN(MIN(D1223,$F$11)), E1222+LN($D$11)+LN(1-$H$11)-LN(60/$E$11)-LN(MIN(D1223,$F$11))))</f>
        <v>-143.66919835889431</v>
      </c>
      <c r="F1223" s="1">
        <f t="shared" si="113"/>
        <v>-145.67123116809336</v>
      </c>
      <c r="G1223" s="1">
        <f t="shared" si="111"/>
        <v>5.4423708477365031E-64</v>
      </c>
      <c r="H1223" s="1">
        <f t="shared" si="108"/>
        <v>5.3420833281791507E-65</v>
      </c>
      <c r="I1223">
        <f>IF($F$11&lt;=D1223, IF(D1223&lt;=$A$15,D1223-$F$11,$C$11),0)</f>
        <v>60</v>
      </c>
      <c r="J1223">
        <f t="shared" si="109"/>
        <v>1136</v>
      </c>
      <c r="K1223" s="5">
        <f>IF(D1223&lt;$F$11,H1223,0)</f>
        <v>0</v>
      </c>
      <c r="L1223">
        <f>IF(D1223&lt;$A$15,$D$11,$D$11*(1-$H$11))</f>
        <v>85</v>
      </c>
      <c r="M1223">
        <f t="shared" si="110"/>
        <v>1</v>
      </c>
      <c r="N1223">
        <f>IF(SUM(I1223:J1223)&lt;=($G$11/60*$F$11/($E$11/60)),1,0)</f>
        <v>0</v>
      </c>
    </row>
    <row r="1224" spans="4:14" x14ac:dyDescent="0.2">
      <c r="D1224">
        <f t="shared" si="112"/>
        <v>1201</v>
      </c>
      <c r="E1224" s="1">
        <f>IF($H$11=1,IF(D1224&lt;=$A$15, E1223+LN($D$11)-LN(60/$E$11)-LN(MIN(D1224,$F$11)), E1223-LN(60/$E$11)-LN(MIN(D1224,$F$11))), IF(D1224&lt;=$A$15, E1223+LN($D$11)-LN(60/$E$11)-LN(MIN(D1224,$F$11)), E1223+LN($D$11)+LN(1-$H$11)-LN(60/$E$11)-LN(MIN(D1224,$F$11))))</f>
        <v>-143.79089529387184</v>
      </c>
      <c r="F1224" s="1">
        <f t="shared" si="113"/>
        <v>-145.79292810307089</v>
      </c>
      <c r="G1224" s="1">
        <f t="shared" si="111"/>
        <v>4.8187658547666196E-64</v>
      </c>
      <c r="H1224" s="1">
        <f t="shared" si="108"/>
        <v>4.729969613491882E-65</v>
      </c>
      <c r="I1224">
        <f>IF($F$11&lt;=D1224, IF(D1224&lt;=$A$15,D1224-$F$11,$C$11),0)</f>
        <v>60</v>
      </c>
      <c r="J1224">
        <f t="shared" si="109"/>
        <v>1137</v>
      </c>
      <c r="K1224" s="5">
        <f>IF(D1224&lt;$F$11,H1224,0)</f>
        <v>0</v>
      </c>
      <c r="L1224">
        <f>IF(D1224&lt;$A$15,$D$11,$D$11*(1-$H$11))</f>
        <v>85</v>
      </c>
      <c r="M1224">
        <f t="shared" si="110"/>
        <v>1</v>
      </c>
      <c r="N1224">
        <f>IF(SUM(I1224:J1224)&lt;=($G$11/60*$F$11/($E$11/60)),1,0)</f>
        <v>0</v>
      </c>
    </row>
    <row r="1225" spans="4:14" x14ac:dyDescent="0.2">
      <c r="D1225">
        <f t="shared" si="112"/>
        <v>1202</v>
      </c>
      <c r="E1225" s="1">
        <f>IF($H$11=1,IF(D1225&lt;=$A$15, E1224+LN($D$11)-LN(60/$E$11)-LN(MIN(D1225,$F$11)), E1224-LN(60/$E$11)-LN(MIN(D1225,$F$11))), IF(D1225&lt;=$A$15, E1224+LN($D$11)-LN(60/$E$11)-LN(MIN(D1225,$F$11)), E1224+LN($D$11)+LN(1-$H$11)-LN(60/$E$11)-LN(MIN(D1225,$F$11))))</f>
        <v>-143.91259222884938</v>
      </c>
      <c r="F1225" s="1">
        <f t="shared" si="113"/>
        <v>-145.91462503804843</v>
      </c>
      <c r="G1225" s="1">
        <f t="shared" si="111"/>
        <v>4.2666156005745448E-64</v>
      </c>
      <c r="H1225" s="1">
        <f t="shared" si="108"/>
        <v>4.1879939286125386E-65</v>
      </c>
      <c r="I1225">
        <f>IF($F$11&lt;=D1225, IF(D1225&lt;=$A$15,D1225-$F$11,$C$11),0)</f>
        <v>60</v>
      </c>
      <c r="J1225">
        <f t="shared" si="109"/>
        <v>1138</v>
      </c>
      <c r="K1225" s="5">
        <f>IF(D1225&lt;$F$11,H1225,0)</f>
        <v>0</v>
      </c>
      <c r="L1225">
        <f>IF(D1225&lt;$A$15,$D$11,$D$11*(1-$H$11))</f>
        <v>85</v>
      </c>
      <c r="M1225">
        <f t="shared" si="110"/>
        <v>1</v>
      </c>
      <c r="N1225">
        <f>IF(SUM(I1225:J1225)&lt;=($G$11/60*$F$11/($E$11/60)),1,0)</f>
        <v>0</v>
      </c>
    </row>
    <row r="1226" spans="4:14" x14ac:dyDescent="0.2">
      <c r="D1226">
        <f t="shared" si="112"/>
        <v>1203</v>
      </c>
      <c r="E1226" s="1">
        <f>IF($H$11=1,IF(D1226&lt;=$A$15, E1225+LN($D$11)-LN(60/$E$11)-LN(MIN(D1226,$F$11)), E1225-LN(60/$E$11)-LN(MIN(D1226,$F$11))), IF(D1226&lt;=$A$15, E1225+LN($D$11)-LN(60/$E$11)-LN(MIN(D1226,$F$11)), E1225+LN($D$11)+LN(1-$H$11)-LN(60/$E$11)-LN(MIN(D1226,$F$11))))</f>
        <v>-144.03428916382691</v>
      </c>
      <c r="F1226" s="1">
        <f t="shared" si="113"/>
        <v>-146.03632197302596</v>
      </c>
      <c r="G1226" s="1">
        <f t="shared" si="111"/>
        <v>3.7777325630086526E-64</v>
      </c>
      <c r="H1226" s="1">
        <f t="shared" si="108"/>
        <v>3.7081196242922942E-65</v>
      </c>
      <c r="I1226">
        <f>IF($F$11&lt;=D1226, IF(D1226&lt;=$A$15,D1226-$F$11,$C$11),0)</f>
        <v>60</v>
      </c>
      <c r="J1226">
        <f t="shared" si="109"/>
        <v>1139</v>
      </c>
      <c r="K1226" s="5">
        <f>IF(D1226&lt;$F$11,H1226,0)</f>
        <v>0</v>
      </c>
      <c r="L1226">
        <f>IF(D1226&lt;$A$15,$D$11,$D$11*(1-$H$11))</f>
        <v>85</v>
      </c>
      <c r="M1226">
        <f t="shared" si="110"/>
        <v>1</v>
      </c>
      <c r="N1226">
        <f>IF(SUM(I1226:J1226)&lt;=($G$11/60*$F$11/($E$11/60)),1,0)</f>
        <v>0</v>
      </c>
    </row>
    <row r="1227" spans="4:14" x14ac:dyDescent="0.2">
      <c r="D1227">
        <f t="shared" si="112"/>
        <v>1204</v>
      </c>
      <c r="E1227" s="1">
        <f>IF($H$11=1,IF(D1227&lt;=$A$15, E1226+LN($D$11)-LN(60/$E$11)-LN(MIN(D1227,$F$11)), E1226-LN(60/$E$11)-LN(MIN(D1227,$F$11))), IF(D1227&lt;=$A$15, E1226+LN($D$11)-LN(60/$E$11)-LN(MIN(D1227,$F$11)), E1226+LN($D$11)+LN(1-$H$11)-LN(60/$E$11)-LN(MIN(D1227,$F$11))))</f>
        <v>-144.15598609880445</v>
      </c>
      <c r="F1227" s="1">
        <f t="shared" si="113"/>
        <v>-146.1580189080035</v>
      </c>
      <c r="G1227" s="1">
        <f t="shared" si="111"/>
        <v>3.344867373497192E-64</v>
      </c>
      <c r="H1227" s="1">
        <f t="shared" si="108"/>
        <v>3.2832309173420839E-65</v>
      </c>
      <c r="I1227">
        <f>IF($F$11&lt;=D1227, IF(D1227&lt;=$A$15,D1227-$F$11,$C$11),0)</f>
        <v>60</v>
      </c>
      <c r="J1227">
        <f t="shared" si="109"/>
        <v>1140</v>
      </c>
      <c r="K1227" s="5">
        <f>IF(D1227&lt;$F$11,H1227,0)</f>
        <v>0</v>
      </c>
      <c r="L1227">
        <f>IF(D1227&lt;$A$15,$D$11,$D$11*(1-$H$11))</f>
        <v>85</v>
      </c>
      <c r="M1227">
        <f t="shared" si="110"/>
        <v>1</v>
      </c>
      <c r="N1227">
        <f>IF(SUM(I1227:J1227)&lt;=($G$11/60*$F$11/($E$11/60)),1,0)</f>
        <v>0</v>
      </c>
    </row>
    <row r="1228" spans="4:14" x14ac:dyDescent="0.2">
      <c r="D1228">
        <f t="shared" si="112"/>
        <v>1205</v>
      </c>
      <c r="E1228" s="1">
        <f>IF($H$11=1,IF(D1228&lt;=$A$15, E1227+LN($D$11)-LN(60/$E$11)-LN(MIN(D1228,$F$11)), E1227-LN(60/$E$11)-LN(MIN(D1228,$F$11))), IF(D1228&lt;=$A$15, E1227+LN($D$11)-LN(60/$E$11)-LN(MIN(D1228,$F$11)), E1227+LN($D$11)+LN(1-$H$11)-LN(60/$E$11)-LN(MIN(D1228,$F$11))))</f>
        <v>-144.27768303378198</v>
      </c>
      <c r="F1228" s="1">
        <f t="shared" si="113"/>
        <v>-146.27971584298103</v>
      </c>
      <c r="G1228" s="1">
        <f t="shared" si="111"/>
        <v>2.9616013202839258E-64</v>
      </c>
      <c r="H1228" s="1">
        <f t="shared" si="108"/>
        <v>2.9070273747299244E-65</v>
      </c>
      <c r="I1228">
        <f>IF($F$11&lt;=D1228, IF(D1228&lt;=$A$15,D1228-$F$11,$C$11),0)</f>
        <v>60</v>
      </c>
      <c r="J1228">
        <f t="shared" si="109"/>
        <v>1141</v>
      </c>
      <c r="K1228" s="5">
        <f>IF(D1228&lt;$F$11,H1228,0)</f>
        <v>0</v>
      </c>
      <c r="L1228">
        <f>IF(D1228&lt;$A$15,$D$11,$D$11*(1-$H$11))</f>
        <v>85</v>
      </c>
      <c r="M1228">
        <f t="shared" si="110"/>
        <v>1</v>
      </c>
      <c r="N1228">
        <f>IF(SUM(I1228:J1228)&lt;=($G$11/60*$F$11/($E$11/60)),1,0)</f>
        <v>0</v>
      </c>
    </row>
    <row r="1229" spans="4:14" x14ac:dyDescent="0.2">
      <c r="D1229">
        <f t="shared" si="112"/>
        <v>1206</v>
      </c>
      <c r="E1229" s="1">
        <f>IF($H$11=1,IF(D1229&lt;=$A$15, E1228+LN($D$11)-LN(60/$E$11)-LN(MIN(D1229,$F$11)), E1228-LN(60/$E$11)-LN(MIN(D1229,$F$11))), IF(D1229&lt;=$A$15, E1228+LN($D$11)-LN(60/$E$11)-LN(MIN(D1229,$F$11)), E1228+LN($D$11)+LN(1-$H$11)-LN(60/$E$11)-LN(MIN(D1229,$F$11))))</f>
        <v>-144.39937996875952</v>
      </c>
      <c r="F1229" s="1">
        <f t="shared" si="113"/>
        <v>-146.40141277795857</v>
      </c>
      <c r="G1229" s="1">
        <f t="shared" si="111"/>
        <v>2.6222511690013516E-64</v>
      </c>
      <c r="H1229" s="1">
        <f t="shared" si="108"/>
        <v>2.5739304880420803E-65</v>
      </c>
      <c r="I1229">
        <f>IF($F$11&lt;=D1229, IF(D1229&lt;=$A$15,D1229-$F$11,$C$11),0)</f>
        <v>60</v>
      </c>
      <c r="J1229">
        <f t="shared" si="109"/>
        <v>1142</v>
      </c>
      <c r="K1229" s="5">
        <f>IF(D1229&lt;$F$11,H1229,0)</f>
        <v>0</v>
      </c>
      <c r="L1229">
        <f>IF(D1229&lt;$A$15,$D$11,$D$11*(1-$H$11))</f>
        <v>85</v>
      </c>
      <c r="M1229">
        <f t="shared" si="110"/>
        <v>1</v>
      </c>
      <c r="N1229">
        <f>IF(SUM(I1229:J1229)&lt;=($G$11/60*$F$11/($E$11/60)),1,0)</f>
        <v>0</v>
      </c>
    </row>
    <row r="1230" spans="4:14" x14ac:dyDescent="0.2">
      <c r="D1230">
        <f t="shared" si="112"/>
        <v>1207</v>
      </c>
      <c r="E1230" s="1">
        <f>IF($H$11=1,IF(D1230&lt;=$A$15, E1229+LN($D$11)-LN(60/$E$11)-LN(MIN(D1230,$F$11)), E1229-LN(60/$E$11)-LN(MIN(D1230,$F$11))), IF(D1230&lt;=$A$15, E1229+LN($D$11)-LN(60/$E$11)-LN(MIN(D1230,$F$11)), E1229+LN($D$11)+LN(1-$H$11)-LN(60/$E$11)-LN(MIN(D1230,$F$11))))</f>
        <v>-144.52107690373705</v>
      </c>
      <c r="F1230" s="1">
        <f t="shared" si="113"/>
        <v>-146.5231097129361</v>
      </c>
      <c r="G1230" s="1">
        <f t="shared" si="111"/>
        <v>2.3217848892199102E-64</v>
      </c>
      <c r="H1230" s="1">
        <f t="shared" si="108"/>
        <v>2.2790009529538896E-65</v>
      </c>
      <c r="I1230">
        <f>IF($F$11&lt;=D1230, IF(D1230&lt;=$A$15,D1230-$F$11,$C$11),0)</f>
        <v>60</v>
      </c>
      <c r="J1230">
        <f t="shared" si="109"/>
        <v>1143</v>
      </c>
      <c r="K1230" s="5">
        <f>IF(D1230&lt;$F$11,H1230,0)</f>
        <v>0</v>
      </c>
      <c r="L1230">
        <f>IF(D1230&lt;$A$15,$D$11,$D$11*(1-$H$11))</f>
        <v>85</v>
      </c>
      <c r="M1230">
        <f t="shared" si="110"/>
        <v>1</v>
      </c>
      <c r="N1230">
        <f>IF(SUM(I1230:J1230)&lt;=($G$11/60*$F$11/($E$11/60)),1,0)</f>
        <v>0</v>
      </c>
    </row>
    <row r="1231" spans="4:14" x14ac:dyDescent="0.2">
      <c r="D1231">
        <f t="shared" si="112"/>
        <v>1208</v>
      </c>
      <c r="E1231" s="1">
        <f>IF($H$11=1,IF(D1231&lt;=$A$15, E1230+LN($D$11)-LN(60/$E$11)-LN(MIN(D1231,$F$11)), E1230-LN(60/$E$11)-LN(MIN(D1231,$F$11))), IF(D1231&lt;=$A$15, E1230+LN($D$11)-LN(60/$E$11)-LN(MIN(D1231,$F$11)), E1230+LN($D$11)+LN(1-$H$11)-LN(60/$E$11)-LN(MIN(D1231,$F$11))))</f>
        <v>-144.64277383871459</v>
      </c>
      <c r="F1231" s="1">
        <f t="shared" si="113"/>
        <v>-146.64480664791364</v>
      </c>
      <c r="G1231" s="1">
        <f t="shared" si="111"/>
        <v>2.0557470373300968E-64</v>
      </c>
      <c r="H1231" s="1">
        <f t="shared" si="108"/>
        <v>2.0178654270945585E-65</v>
      </c>
      <c r="I1231">
        <f>IF($F$11&lt;=D1231, IF(D1231&lt;=$A$15,D1231-$F$11,$C$11),0)</f>
        <v>60</v>
      </c>
      <c r="J1231">
        <f t="shared" si="109"/>
        <v>1144</v>
      </c>
      <c r="K1231" s="5">
        <f>IF(D1231&lt;$F$11,H1231,0)</f>
        <v>0</v>
      </c>
      <c r="L1231">
        <f>IF(D1231&lt;$A$15,$D$11,$D$11*(1-$H$11))</f>
        <v>85</v>
      </c>
      <c r="M1231">
        <f t="shared" si="110"/>
        <v>1</v>
      </c>
      <c r="N1231">
        <f>IF(SUM(I1231:J1231)&lt;=($G$11/60*$F$11/($E$11/60)),1,0)</f>
        <v>0</v>
      </c>
    </row>
    <row r="1232" spans="4:14" x14ac:dyDescent="0.2">
      <c r="D1232">
        <f t="shared" si="112"/>
        <v>1209</v>
      </c>
      <c r="E1232" s="1">
        <f>IF($H$11=1,IF(D1232&lt;=$A$15, E1231+LN($D$11)-LN(60/$E$11)-LN(MIN(D1232,$F$11)), E1231-LN(60/$E$11)-LN(MIN(D1232,$F$11))), IF(D1232&lt;=$A$15, E1231+LN($D$11)-LN(60/$E$11)-LN(MIN(D1232,$F$11)), E1231+LN($D$11)+LN(1-$H$11)-LN(60/$E$11)-LN(MIN(D1232,$F$11))))</f>
        <v>-144.76447077369212</v>
      </c>
      <c r="F1232" s="1">
        <f t="shared" si="113"/>
        <v>-146.76650358289118</v>
      </c>
      <c r="G1232" s="1">
        <f t="shared" si="111"/>
        <v>1.8201926893026615E-64</v>
      </c>
      <c r="H1232" s="1">
        <f t="shared" si="108"/>
        <v>1.7866516802399456E-65</v>
      </c>
      <c r="I1232">
        <f>IF($F$11&lt;=D1232, IF(D1232&lt;=$A$15,D1232-$F$11,$C$11),0)</f>
        <v>60</v>
      </c>
      <c r="J1232">
        <f t="shared" si="109"/>
        <v>1145</v>
      </c>
      <c r="K1232" s="5">
        <f>IF(D1232&lt;$F$11,H1232,0)</f>
        <v>0</v>
      </c>
      <c r="L1232">
        <f>IF(D1232&lt;$A$15,$D$11,$D$11*(1-$H$11))</f>
        <v>85</v>
      </c>
      <c r="M1232">
        <f t="shared" si="110"/>
        <v>1</v>
      </c>
      <c r="N1232">
        <f>IF(SUM(I1232:J1232)&lt;=($G$11/60*$F$11/($E$11/60)),1,0)</f>
        <v>0</v>
      </c>
    </row>
    <row r="1233" spans="4:14" x14ac:dyDescent="0.2">
      <c r="D1233">
        <f t="shared" si="112"/>
        <v>1210</v>
      </c>
      <c r="E1233" s="1">
        <f>IF($H$11=1,IF(D1233&lt;=$A$15, E1232+LN($D$11)-LN(60/$E$11)-LN(MIN(D1233,$F$11)), E1232-LN(60/$E$11)-LN(MIN(D1233,$F$11))), IF(D1233&lt;=$A$15, E1232+LN($D$11)-LN(60/$E$11)-LN(MIN(D1233,$F$11)), E1232+LN($D$11)+LN(1-$H$11)-LN(60/$E$11)-LN(MIN(D1233,$F$11))))</f>
        <v>-144.88616770866966</v>
      </c>
      <c r="F1233" s="1">
        <f t="shared" si="113"/>
        <v>-146.88820051786871</v>
      </c>
      <c r="G1233" s="1">
        <f t="shared" si="111"/>
        <v>1.6116289436533731E-64</v>
      </c>
      <c r="H1233" s="1">
        <f t="shared" si="108"/>
        <v>1.5819311752124271E-65</v>
      </c>
      <c r="I1233">
        <f>IF($F$11&lt;=D1233, IF(D1233&lt;=$A$15,D1233-$F$11,$C$11),0)</f>
        <v>60</v>
      </c>
      <c r="J1233">
        <f t="shared" si="109"/>
        <v>1146</v>
      </c>
      <c r="K1233" s="5">
        <f>IF(D1233&lt;$F$11,H1233,0)</f>
        <v>0</v>
      </c>
      <c r="L1233">
        <f>IF(D1233&lt;$A$15,$D$11,$D$11*(1-$H$11))</f>
        <v>85</v>
      </c>
      <c r="M1233">
        <f t="shared" si="110"/>
        <v>1</v>
      </c>
      <c r="N1233">
        <f>IF(SUM(I1233:J1233)&lt;=($G$11/60*$F$11/($E$11/60)),1,0)</f>
        <v>0</v>
      </c>
    </row>
    <row r="1234" spans="4:14" x14ac:dyDescent="0.2">
      <c r="D1234">
        <f t="shared" si="112"/>
        <v>1211</v>
      </c>
      <c r="E1234" s="1">
        <f>IF($H$11=1,IF(D1234&lt;=$A$15, E1233+LN($D$11)-LN(60/$E$11)-LN(MIN(D1234,$F$11)), E1233-LN(60/$E$11)-LN(MIN(D1234,$F$11))), IF(D1234&lt;=$A$15, E1233+LN($D$11)-LN(60/$E$11)-LN(MIN(D1234,$F$11)), E1233+LN($D$11)+LN(1-$H$11)-LN(60/$E$11)-LN(MIN(D1234,$F$11))))</f>
        <v>-145.0078646436472</v>
      </c>
      <c r="F1234" s="1">
        <f t="shared" si="113"/>
        <v>-147.00989745284625</v>
      </c>
      <c r="G1234" s="1">
        <f t="shared" si="111"/>
        <v>1.4269631271930683E-64</v>
      </c>
      <c r="H1234" s="1">
        <f t="shared" si="108"/>
        <v>1.4006682280526479E-65</v>
      </c>
      <c r="I1234">
        <f>IF($F$11&lt;=D1234, IF(D1234&lt;=$A$15,D1234-$F$11,$C$11),0)</f>
        <v>60</v>
      </c>
      <c r="J1234">
        <f t="shared" si="109"/>
        <v>1147</v>
      </c>
      <c r="K1234" s="5">
        <f>IF(D1234&lt;$F$11,H1234,0)</f>
        <v>0</v>
      </c>
      <c r="L1234">
        <f>IF(D1234&lt;$A$15,$D$11,$D$11*(1-$H$11))</f>
        <v>85</v>
      </c>
      <c r="M1234">
        <f t="shared" si="110"/>
        <v>1</v>
      </c>
      <c r="N1234">
        <f>IF(SUM(I1234:J1234)&lt;=($G$11/60*$F$11/($E$11/60)),1,0)</f>
        <v>0</v>
      </c>
    </row>
    <row r="1235" spans="4:14" x14ac:dyDescent="0.2">
      <c r="D1235">
        <f t="shared" si="112"/>
        <v>1212</v>
      </c>
      <c r="E1235" s="1">
        <f>IF($H$11=1,IF(D1235&lt;=$A$15, E1234+LN($D$11)-LN(60/$E$11)-LN(MIN(D1235,$F$11)), E1234-LN(60/$E$11)-LN(MIN(D1235,$F$11))), IF(D1235&lt;=$A$15, E1234+LN($D$11)-LN(60/$E$11)-LN(MIN(D1235,$F$11)), E1234+LN($D$11)+LN(1-$H$11)-LN(60/$E$11)-LN(MIN(D1235,$F$11))))</f>
        <v>-145.12956157862473</v>
      </c>
      <c r="F1235" s="1">
        <f t="shared" si="113"/>
        <v>-147.13159438782378</v>
      </c>
      <c r="G1235" s="1">
        <f t="shared" si="111"/>
        <v>1.2634569355355095E-64</v>
      </c>
      <c r="H1235" s="1">
        <f t="shared" si="108"/>
        <v>1.2401749935882625E-65</v>
      </c>
      <c r="I1235">
        <f>IF($F$11&lt;=D1235, IF(D1235&lt;=$A$15,D1235-$F$11,$C$11),0)</f>
        <v>60</v>
      </c>
      <c r="J1235">
        <f t="shared" si="109"/>
        <v>1148</v>
      </c>
      <c r="K1235" s="5">
        <f>IF(D1235&lt;$F$11,H1235,0)</f>
        <v>0</v>
      </c>
      <c r="L1235">
        <f>IF(D1235&lt;$A$15,$D$11,$D$11*(1-$H$11))</f>
        <v>85</v>
      </c>
      <c r="M1235">
        <f t="shared" si="110"/>
        <v>1</v>
      </c>
      <c r="N1235">
        <f>IF(SUM(I1235:J1235)&lt;=($G$11/60*$F$11/($E$11/60)),1,0)</f>
        <v>0</v>
      </c>
    </row>
    <row r="1236" spans="4:14" x14ac:dyDescent="0.2">
      <c r="D1236">
        <f t="shared" si="112"/>
        <v>1213</v>
      </c>
      <c r="E1236" s="1">
        <f>IF($H$11=1,IF(D1236&lt;=$A$15, E1235+LN($D$11)-LN(60/$E$11)-LN(MIN(D1236,$F$11)), E1235-LN(60/$E$11)-LN(MIN(D1236,$F$11))), IF(D1236&lt;=$A$15, E1235+LN($D$11)-LN(60/$E$11)-LN(MIN(D1236,$F$11)), E1235+LN($D$11)+LN(1-$H$11)-LN(60/$E$11)-LN(MIN(D1236,$F$11))))</f>
        <v>-145.25125851360227</v>
      </c>
      <c r="F1236" s="1">
        <f t="shared" si="113"/>
        <v>-147.25329132280132</v>
      </c>
      <c r="G1236" s="1">
        <f t="shared" si="111"/>
        <v>1.1186858283387149E-64</v>
      </c>
      <c r="H1236" s="1">
        <f t="shared" si="108"/>
        <v>1.0980716089062569E-65</v>
      </c>
      <c r="I1236">
        <f>IF($F$11&lt;=D1236, IF(D1236&lt;=$A$15,D1236-$F$11,$C$11),0)</f>
        <v>60</v>
      </c>
      <c r="J1236">
        <f t="shared" si="109"/>
        <v>1149</v>
      </c>
      <c r="K1236" s="5">
        <f>IF(D1236&lt;$F$11,H1236,0)</f>
        <v>0</v>
      </c>
      <c r="L1236">
        <f>IF(D1236&lt;$A$15,$D$11,$D$11*(1-$H$11))</f>
        <v>85</v>
      </c>
      <c r="M1236">
        <f t="shared" si="110"/>
        <v>1</v>
      </c>
      <c r="N1236">
        <f>IF(SUM(I1236:J1236)&lt;=($G$11/60*$F$11/($E$11/60)),1,0)</f>
        <v>0</v>
      </c>
    </row>
    <row r="1237" spans="4:14" x14ac:dyDescent="0.2">
      <c r="D1237">
        <f t="shared" si="112"/>
        <v>1214</v>
      </c>
      <c r="E1237" s="1">
        <f>IF($H$11=1,IF(D1237&lt;=$A$15, E1236+LN($D$11)-LN(60/$E$11)-LN(MIN(D1237,$F$11)), E1236-LN(60/$E$11)-LN(MIN(D1237,$F$11))), IF(D1237&lt;=$A$15, E1236+LN($D$11)-LN(60/$E$11)-LN(MIN(D1237,$F$11)), E1236+LN($D$11)+LN(1-$H$11)-LN(60/$E$11)-LN(MIN(D1237,$F$11))))</f>
        <v>-145.3729554485798</v>
      </c>
      <c r="F1237" s="1">
        <f t="shared" si="113"/>
        <v>-147.37498825777885</v>
      </c>
      <c r="G1237" s="1">
        <f t="shared" si="111"/>
        <v>9.9050307717488831E-65</v>
      </c>
      <c r="H1237" s="1">
        <f t="shared" si="108"/>
        <v>9.7225090371906648E-66</v>
      </c>
      <c r="I1237">
        <f>IF($F$11&lt;=D1237, IF(D1237&lt;=$A$15,D1237-$F$11,$C$11),0)</f>
        <v>60</v>
      </c>
      <c r="J1237">
        <f t="shared" si="109"/>
        <v>1150</v>
      </c>
      <c r="K1237" s="5">
        <f>IF(D1237&lt;$F$11,H1237,0)</f>
        <v>0</v>
      </c>
      <c r="L1237">
        <f>IF(D1237&lt;$A$15,$D$11,$D$11*(1-$H$11))</f>
        <v>85</v>
      </c>
      <c r="M1237">
        <f t="shared" si="110"/>
        <v>1</v>
      </c>
      <c r="N1237">
        <f>IF(SUM(I1237:J1237)&lt;=($G$11/60*$F$11/($E$11/60)),1,0)</f>
        <v>0</v>
      </c>
    </row>
    <row r="1238" spans="4:14" x14ac:dyDescent="0.2">
      <c r="D1238">
        <f t="shared" si="112"/>
        <v>1215</v>
      </c>
      <c r="E1238" s="1">
        <f>IF($H$11=1,IF(D1238&lt;=$A$15, E1237+LN($D$11)-LN(60/$E$11)-LN(MIN(D1238,$F$11)), E1237-LN(60/$E$11)-LN(MIN(D1238,$F$11))), IF(D1238&lt;=$A$15, E1237+LN($D$11)-LN(60/$E$11)-LN(MIN(D1238,$F$11)), E1237+LN($D$11)+LN(1-$H$11)-LN(60/$E$11)-LN(MIN(D1238,$F$11))))</f>
        <v>-145.49465238355734</v>
      </c>
      <c r="F1238" s="1">
        <f t="shared" si="113"/>
        <v>-147.49668519275639</v>
      </c>
      <c r="G1238" s="1">
        <f t="shared" si="111"/>
        <v>8.7700793291525196E-65</v>
      </c>
      <c r="H1238" s="1">
        <f t="shared" si="108"/>
        <v>8.6084715433457669E-66</v>
      </c>
      <c r="I1238">
        <f>IF($F$11&lt;=D1238, IF(D1238&lt;=$A$15,D1238-$F$11,$C$11),0)</f>
        <v>60</v>
      </c>
      <c r="J1238">
        <f t="shared" si="109"/>
        <v>1151</v>
      </c>
      <c r="K1238" s="5">
        <f>IF(D1238&lt;$F$11,H1238,0)</f>
        <v>0</v>
      </c>
      <c r="L1238">
        <f>IF(D1238&lt;$A$15,$D$11,$D$11*(1-$H$11))</f>
        <v>85</v>
      </c>
      <c r="M1238">
        <f t="shared" si="110"/>
        <v>1</v>
      </c>
      <c r="N1238">
        <f>IF(SUM(I1238:J1238)&lt;=($G$11/60*$F$11/($E$11/60)),1,0)</f>
        <v>0</v>
      </c>
    </row>
    <row r="1239" spans="4:14" x14ac:dyDescent="0.2">
      <c r="D1239">
        <f t="shared" si="112"/>
        <v>1216</v>
      </c>
      <c r="E1239" s="1">
        <f>IF($H$11=1,IF(D1239&lt;=$A$15, E1238+LN($D$11)-LN(60/$E$11)-LN(MIN(D1239,$F$11)), E1238-LN(60/$E$11)-LN(MIN(D1239,$F$11))), IF(D1239&lt;=$A$15, E1238+LN($D$11)-LN(60/$E$11)-LN(MIN(D1239,$F$11)), E1238+LN($D$11)+LN(1-$H$11)-LN(60/$E$11)-LN(MIN(D1239,$F$11))))</f>
        <v>-145.61634931853487</v>
      </c>
      <c r="F1239" s="1">
        <f t="shared" si="113"/>
        <v>-147.61838212773392</v>
      </c>
      <c r="G1239" s="1">
        <f t="shared" si="111"/>
        <v>7.7651744060203389E-65</v>
      </c>
      <c r="H1239" s="1">
        <f t="shared" ref="H1239:H1302" si="114">G1239/$G$21</f>
        <v>7.6220841790039454E-66</v>
      </c>
      <c r="I1239">
        <f>IF($F$11&lt;=D1239, IF(D1239&lt;=$A$15,D1239-$F$11,$C$11),0)</f>
        <v>60</v>
      </c>
      <c r="J1239">
        <f t="shared" ref="J1239:J1302" si="115">IF(D1239&lt;=$A$15,0,D1239-$A$15)</f>
        <v>1152</v>
      </c>
      <c r="K1239" s="5">
        <f>IF(D1239&lt;$F$11,H1239,0)</f>
        <v>0</v>
      </c>
      <c r="L1239">
        <f>IF(D1239&lt;$A$15,$D$11,$D$11*(1-$H$11))</f>
        <v>85</v>
      </c>
      <c r="M1239">
        <f t="shared" ref="M1239:M1302" si="116">IF(D1239&lt;$A$15,0,1)</f>
        <v>1</v>
      </c>
      <c r="N1239">
        <f>IF(SUM(I1239:J1239)&lt;=($G$11/60*$F$11/($E$11/60)),1,0)</f>
        <v>0</v>
      </c>
    </row>
    <row r="1240" spans="4:14" x14ac:dyDescent="0.2">
      <c r="D1240">
        <f t="shared" si="112"/>
        <v>1217</v>
      </c>
      <c r="E1240" s="1">
        <f>IF($H$11=1,IF(D1240&lt;=$A$15, E1239+LN($D$11)-LN(60/$E$11)-LN(MIN(D1240,$F$11)), E1239-LN(60/$E$11)-LN(MIN(D1240,$F$11))), IF(D1240&lt;=$A$15, E1239+LN($D$11)-LN(60/$E$11)-LN(MIN(D1240,$F$11)), E1239+LN($D$11)+LN(1-$H$11)-LN(60/$E$11)-LN(MIN(D1240,$F$11))))</f>
        <v>-145.73804625351241</v>
      </c>
      <c r="F1240" s="1">
        <f t="shared" si="113"/>
        <v>-147.74007906271146</v>
      </c>
      <c r="G1240" s="1">
        <f t="shared" ref="G1240:G1303" si="117">EXP(F1240)</f>
        <v>6.8754148386637342E-65</v>
      </c>
      <c r="H1240" s="1">
        <f t="shared" si="114"/>
        <v>6.7487203668263046E-66</v>
      </c>
      <c r="I1240">
        <f>IF($F$11&lt;=D1240, IF(D1240&lt;=$A$15,D1240-$F$11,$C$11),0)</f>
        <v>60</v>
      </c>
      <c r="J1240">
        <f t="shared" si="115"/>
        <v>1153</v>
      </c>
      <c r="K1240" s="5">
        <f>IF(D1240&lt;$F$11,H1240,0)</f>
        <v>0</v>
      </c>
      <c r="L1240">
        <f>IF(D1240&lt;$A$15,$D$11,$D$11*(1-$H$11))</f>
        <v>85</v>
      </c>
      <c r="M1240">
        <f t="shared" si="116"/>
        <v>1</v>
      </c>
      <c r="N1240">
        <f>IF(SUM(I1240:J1240)&lt;=($G$11/60*$F$11/($E$11/60)),1,0)</f>
        <v>0</v>
      </c>
    </row>
    <row r="1241" spans="4:14" x14ac:dyDescent="0.2">
      <c r="D1241">
        <f t="shared" ref="D1241:D1304" si="118">1+D1240</f>
        <v>1218</v>
      </c>
      <c r="E1241" s="1">
        <f>IF($H$11=1,IF(D1241&lt;=$A$15, E1240+LN($D$11)-LN(60/$E$11)-LN(MIN(D1241,$F$11)), E1240-LN(60/$E$11)-LN(MIN(D1241,$F$11))), IF(D1241&lt;=$A$15, E1240+LN($D$11)-LN(60/$E$11)-LN(MIN(D1241,$F$11)), E1240+LN($D$11)+LN(1-$H$11)-LN(60/$E$11)-LN(MIN(D1241,$F$11))))</f>
        <v>-145.85974318848994</v>
      </c>
      <c r="F1241" s="1">
        <f t="shared" ref="F1241:F1304" si="119">E1241-$E$21</f>
        <v>-147.86177599768899</v>
      </c>
      <c r="G1241" s="1">
        <f t="shared" si="117"/>
        <v>6.087606888400086E-65</v>
      </c>
      <c r="H1241" s="1">
        <f t="shared" si="114"/>
        <v>5.9754294914606968E-66</v>
      </c>
      <c r="I1241">
        <f>IF($F$11&lt;=D1241, IF(D1241&lt;=$A$15,D1241-$F$11,$C$11),0)</f>
        <v>60</v>
      </c>
      <c r="J1241">
        <f t="shared" si="115"/>
        <v>1154</v>
      </c>
      <c r="K1241" s="5">
        <f>IF(D1241&lt;$F$11,H1241,0)</f>
        <v>0</v>
      </c>
      <c r="L1241">
        <f>IF(D1241&lt;$A$15,$D$11,$D$11*(1-$H$11))</f>
        <v>85</v>
      </c>
      <c r="M1241">
        <f t="shared" si="116"/>
        <v>1</v>
      </c>
      <c r="N1241">
        <f>IF(SUM(I1241:J1241)&lt;=($G$11/60*$F$11/($E$11/60)),1,0)</f>
        <v>0</v>
      </c>
    </row>
    <row r="1242" spans="4:14" x14ac:dyDescent="0.2">
      <c r="D1242">
        <f t="shared" si="118"/>
        <v>1219</v>
      </c>
      <c r="E1242" s="1">
        <f>IF($H$11=1,IF(D1242&lt;=$A$15, E1241+LN($D$11)-LN(60/$E$11)-LN(MIN(D1242,$F$11)), E1241-LN(60/$E$11)-LN(MIN(D1242,$F$11))), IF(D1242&lt;=$A$15, E1241+LN($D$11)-LN(60/$E$11)-LN(MIN(D1242,$F$11)), E1241+LN($D$11)+LN(1-$H$11)-LN(60/$E$11)-LN(MIN(D1242,$F$11))))</f>
        <v>-145.98144012346748</v>
      </c>
      <c r="F1242" s="1">
        <f t="shared" si="119"/>
        <v>-147.98347293266653</v>
      </c>
      <c r="G1242" s="1">
        <f t="shared" si="117"/>
        <v>5.3900685991041585E-65</v>
      </c>
      <c r="H1242" s="1">
        <f t="shared" si="114"/>
        <v>5.2907448622307425E-66</v>
      </c>
      <c r="I1242">
        <f>IF($F$11&lt;=D1242, IF(D1242&lt;=$A$15,D1242-$F$11,$C$11),0)</f>
        <v>60</v>
      </c>
      <c r="J1242">
        <f t="shared" si="115"/>
        <v>1155</v>
      </c>
      <c r="K1242" s="5">
        <f>IF(D1242&lt;$F$11,H1242,0)</f>
        <v>0</v>
      </c>
      <c r="L1242">
        <f>IF(D1242&lt;$A$15,$D$11,$D$11*(1-$H$11))</f>
        <v>85</v>
      </c>
      <c r="M1242">
        <f t="shared" si="116"/>
        <v>1</v>
      </c>
      <c r="N1242">
        <f>IF(SUM(I1242:J1242)&lt;=($G$11/60*$F$11/($E$11/60)),1,0)</f>
        <v>0</v>
      </c>
    </row>
    <row r="1243" spans="4:14" x14ac:dyDescent="0.2">
      <c r="D1243">
        <f t="shared" si="118"/>
        <v>1220</v>
      </c>
      <c r="E1243" s="1">
        <f>IF($H$11=1,IF(D1243&lt;=$A$15, E1242+LN($D$11)-LN(60/$E$11)-LN(MIN(D1243,$F$11)), E1242-LN(60/$E$11)-LN(MIN(D1243,$F$11))), IF(D1243&lt;=$A$15, E1242+LN($D$11)-LN(60/$E$11)-LN(MIN(D1243,$F$11)), E1242+LN($D$11)+LN(1-$H$11)-LN(60/$E$11)-LN(MIN(D1243,$F$11))))</f>
        <v>-146.10313705844501</v>
      </c>
      <c r="F1243" s="1">
        <f t="shared" si="119"/>
        <v>-148.10516986764407</v>
      </c>
      <c r="G1243" s="1">
        <f t="shared" si="117"/>
        <v>4.7724565721233993E-65</v>
      </c>
      <c r="H1243" s="1">
        <f t="shared" si="114"/>
        <v>4.6845136801000637E-66</v>
      </c>
      <c r="I1243">
        <f>IF($F$11&lt;=D1243, IF(D1243&lt;=$A$15,D1243-$F$11,$C$11),0)</f>
        <v>60</v>
      </c>
      <c r="J1243">
        <f t="shared" si="115"/>
        <v>1156</v>
      </c>
      <c r="K1243" s="5">
        <f>IF(D1243&lt;$F$11,H1243,0)</f>
        <v>0</v>
      </c>
      <c r="L1243">
        <f>IF(D1243&lt;$A$15,$D$11,$D$11*(1-$H$11))</f>
        <v>85</v>
      </c>
      <c r="M1243">
        <f t="shared" si="116"/>
        <v>1</v>
      </c>
      <c r="N1243">
        <f>IF(SUM(I1243:J1243)&lt;=($G$11/60*$F$11/($E$11/60)),1,0)</f>
        <v>0</v>
      </c>
    </row>
    <row r="1244" spans="4:14" x14ac:dyDescent="0.2">
      <c r="D1244">
        <f t="shared" si="118"/>
        <v>1221</v>
      </c>
      <c r="E1244" s="1">
        <f>IF($H$11=1,IF(D1244&lt;=$A$15, E1243+LN($D$11)-LN(60/$E$11)-LN(MIN(D1244,$F$11)), E1243-LN(60/$E$11)-LN(MIN(D1244,$F$11))), IF(D1244&lt;=$A$15, E1243+LN($D$11)-LN(60/$E$11)-LN(MIN(D1244,$F$11)), E1243+LN($D$11)+LN(1-$H$11)-LN(60/$E$11)-LN(MIN(D1244,$F$11))))</f>
        <v>-146.22483399342255</v>
      </c>
      <c r="F1244" s="1">
        <f t="shared" si="119"/>
        <v>-148.2268668026216</v>
      </c>
      <c r="G1244" s="1">
        <f t="shared" si="117"/>
        <v>4.2256125899008605E-65</v>
      </c>
      <c r="H1244" s="1">
        <f t="shared" si="114"/>
        <v>4.1477464875885334E-66</v>
      </c>
      <c r="I1244">
        <f>IF($F$11&lt;=D1244, IF(D1244&lt;=$A$15,D1244-$F$11,$C$11),0)</f>
        <v>60</v>
      </c>
      <c r="J1244">
        <f t="shared" si="115"/>
        <v>1157</v>
      </c>
      <c r="K1244" s="5">
        <f>IF(D1244&lt;$F$11,H1244,0)</f>
        <v>0</v>
      </c>
      <c r="L1244">
        <f>IF(D1244&lt;$A$15,$D$11,$D$11*(1-$H$11))</f>
        <v>85</v>
      </c>
      <c r="M1244">
        <f t="shared" si="116"/>
        <v>1</v>
      </c>
      <c r="N1244">
        <f>IF(SUM(I1244:J1244)&lt;=($G$11/60*$F$11/($E$11/60)),1,0)</f>
        <v>0</v>
      </c>
    </row>
    <row r="1245" spans="4:14" x14ac:dyDescent="0.2">
      <c r="D1245">
        <f t="shared" si="118"/>
        <v>1222</v>
      </c>
      <c r="E1245" s="1">
        <f>IF($H$11=1,IF(D1245&lt;=$A$15, E1244+LN($D$11)-LN(60/$E$11)-LN(MIN(D1245,$F$11)), E1244-LN(60/$E$11)-LN(MIN(D1245,$F$11))), IF(D1245&lt;=$A$15, E1244+LN($D$11)-LN(60/$E$11)-LN(MIN(D1245,$F$11)), E1244+LN($D$11)+LN(1-$H$11)-LN(60/$E$11)-LN(MIN(D1245,$F$11))))</f>
        <v>-146.34653092840009</v>
      </c>
      <c r="F1245" s="1">
        <f t="shared" si="119"/>
        <v>-148.34856373759914</v>
      </c>
      <c r="G1245" s="1">
        <f t="shared" si="117"/>
        <v>3.7414278139746615E-65</v>
      </c>
      <c r="H1245" s="1">
        <f t="shared" si="114"/>
        <v>3.6724838692189561E-66</v>
      </c>
      <c r="I1245">
        <f>IF($F$11&lt;=D1245, IF(D1245&lt;=$A$15,D1245-$F$11,$C$11),0)</f>
        <v>60</v>
      </c>
      <c r="J1245">
        <f t="shared" si="115"/>
        <v>1158</v>
      </c>
      <c r="K1245" s="5">
        <f>IF(D1245&lt;$F$11,H1245,0)</f>
        <v>0</v>
      </c>
      <c r="L1245">
        <f>IF(D1245&lt;$A$15,$D$11,$D$11*(1-$H$11))</f>
        <v>85</v>
      </c>
      <c r="M1245">
        <f t="shared" si="116"/>
        <v>1</v>
      </c>
      <c r="N1245">
        <f>IF(SUM(I1245:J1245)&lt;=($G$11/60*$F$11/($E$11/60)),1,0)</f>
        <v>0</v>
      </c>
    </row>
    <row r="1246" spans="4:14" x14ac:dyDescent="0.2">
      <c r="D1246">
        <f t="shared" si="118"/>
        <v>1223</v>
      </c>
      <c r="E1246" s="1">
        <f>IF($H$11=1,IF(D1246&lt;=$A$15, E1245+LN($D$11)-LN(60/$E$11)-LN(MIN(D1246,$F$11)), E1245-LN(60/$E$11)-LN(MIN(D1246,$F$11))), IF(D1246&lt;=$A$15, E1245+LN($D$11)-LN(60/$E$11)-LN(MIN(D1246,$F$11)), E1245+LN($D$11)+LN(1-$H$11)-LN(60/$E$11)-LN(MIN(D1246,$F$11))))</f>
        <v>-146.46822786337762</v>
      </c>
      <c r="F1246" s="1">
        <f t="shared" si="119"/>
        <v>-148.47026067257667</v>
      </c>
      <c r="G1246" s="1">
        <f t="shared" si="117"/>
        <v>3.3127225436233463E-65</v>
      </c>
      <c r="H1246" s="1">
        <f t="shared" si="114"/>
        <v>3.2516784258708998E-66</v>
      </c>
      <c r="I1246">
        <f>IF($F$11&lt;=D1246, IF(D1246&lt;=$A$15,D1246-$F$11,$C$11),0)</f>
        <v>60</v>
      </c>
      <c r="J1246">
        <f t="shared" si="115"/>
        <v>1159</v>
      </c>
      <c r="K1246" s="5">
        <f>IF(D1246&lt;$F$11,H1246,0)</f>
        <v>0</v>
      </c>
      <c r="L1246">
        <f>IF(D1246&lt;$A$15,$D$11,$D$11*(1-$H$11))</f>
        <v>85</v>
      </c>
      <c r="M1246">
        <f t="shared" si="116"/>
        <v>1</v>
      </c>
      <c r="N1246">
        <f>IF(SUM(I1246:J1246)&lt;=($G$11/60*$F$11/($E$11/60)),1,0)</f>
        <v>0</v>
      </c>
    </row>
    <row r="1247" spans="4:14" x14ac:dyDescent="0.2">
      <c r="D1247">
        <f t="shared" si="118"/>
        <v>1224</v>
      </c>
      <c r="E1247" s="1">
        <f>IF($H$11=1,IF(D1247&lt;=$A$15, E1246+LN($D$11)-LN(60/$E$11)-LN(MIN(D1247,$F$11)), E1246-LN(60/$E$11)-LN(MIN(D1247,$F$11))), IF(D1247&lt;=$A$15, E1246+LN($D$11)-LN(60/$E$11)-LN(MIN(D1247,$F$11)), E1246+LN($D$11)+LN(1-$H$11)-LN(60/$E$11)-LN(MIN(D1247,$F$11))))</f>
        <v>-146.58992479835516</v>
      </c>
      <c r="F1247" s="1">
        <f t="shared" si="119"/>
        <v>-148.59195760755421</v>
      </c>
      <c r="G1247" s="1">
        <f t="shared" si="117"/>
        <v>2.9331397521664585E-65</v>
      </c>
      <c r="H1247" s="1">
        <f t="shared" si="114"/>
        <v>2.8790902729064809E-66</v>
      </c>
      <c r="I1247">
        <f>IF($F$11&lt;=D1247, IF(D1247&lt;=$A$15,D1247-$F$11,$C$11),0)</f>
        <v>60</v>
      </c>
      <c r="J1247">
        <f t="shared" si="115"/>
        <v>1160</v>
      </c>
      <c r="K1247" s="5">
        <f>IF(D1247&lt;$F$11,H1247,0)</f>
        <v>0</v>
      </c>
      <c r="L1247">
        <f>IF(D1247&lt;$A$15,$D$11,$D$11*(1-$H$11))</f>
        <v>85</v>
      </c>
      <c r="M1247">
        <f t="shared" si="116"/>
        <v>1</v>
      </c>
      <c r="N1247">
        <f>IF(SUM(I1247:J1247)&lt;=($G$11/60*$F$11/($E$11/60)),1,0)</f>
        <v>0</v>
      </c>
    </row>
    <row r="1248" spans="4:14" x14ac:dyDescent="0.2">
      <c r="D1248">
        <f t="shared" si="118"/>
        <v>1225</v>
      </c>
      <c r="E1248" s="1">
        <f>IF($H$11=1,IF(D1248&lt;=$A$15, E1247+LN($D$11)-LN(60/$E$11)-LN(MIN(D1248,$F$11)), E1247-LN(60/$E$11)-LN(MIN(D1248,$F$11))), IF(D1248&lt;=$A$15, E1247+LN($D$11)-LN(60/$E$11)-LN(MIN(D1248,$F$11)), E1247+LN($D$11)+LN(1-$H$11)-LN(60/$E$11)-LN(MIN(D1248,$F$11))))</f>
        <v>-146.71162173333269</v>
      </c>
      <c r="F1248" s="1">
        <f t="shared" si="119"/>
        <v>-148.71365454253174</v>
      </c>
      <c r="G1248" s="1">
        <f t="shared" si="117"/>
        <v>2.5970508222306781E-65</v>
      </c>
      <c r="H1248" s="1">
        <f t="shared" si="114"/>
        <v>2.54919451246924E-66</v>
      </c>
      <c r="I1248">
        <f>IF($F$11&lt;=D1248, IF(D1248&lt;=$A$15,D1248-$F$11,$C$11),0)</f>
        <v>60</v>
      </c>
      <c r="J1248">
        <f t="shared" si="115"/>
        <v>1161</v>
      </c>
      <c r="K1248" s="5">
        <f>IF(D1248&lt;$F$11,H1248,0)</f>
        <v>0</v>
      </c>
      <c r="L1248">
        <f>IF(D1248&lt;$A$15,$D$11,$D$11*(1-$H$11))</f>
        <v>85</v>
      </c>
      <c r="M1248">
        <f t="shared" si="116"/>
        <v>1</v>
      </c>
      <c r="N1248">
        <f>IF(SUM(I1248:J1248)&lt;=($G$11/60*$F$11/($E$11/60)),1,0)</f>
        <v>0</v>
      </c>
    </row>
    <row r="1249" spans="4:14" x14ac:dyDescent="0.2">
      <c r="D1249">
        <f t="shared" si="118"/>
        <v>1226</v>
      </c>
      <c r="E1249" s="1">
        <f>IF($H$11=1,IF(D1249&lt;=$A$15, E1248+LN($D$11)-LN(60/$E$11)-LN(MIN(D1249,$F$11)), E1248-LN(60/$E$11)-LN(MIN(D1249,$F$11))), IF(D1249&lt;=$A$15, E1248+LN($D$11)-LN(60/$E$11)-LN(MIN(D1249,$F$11)), E1248+LN($D$11)+LN(1-$H$11)-LN(60/$E$11)-LN(MIN(D1249,$F$11))))</f>
        <v>-146.83331866831023</v>
      </c>
      <c r="F1249" s="1">
        <f t="shared" si="119"/>
        <v>-148.83535147750928</v>
      </c>
      <c r="G1249" s="1">
        <f t="shared" si="117"/>
        <v>2.299472082183377E-65</v>
      </c>
      <c r="H1249" s="1">
        <f t="shared" si="114"/>
        <v>2.2570993079154378E-66</v>
      </c>
      <c r="I1249">
        <f>IF($F$11&lt;=D1249, IF(D1249&lt;=$A$15,D1249-$F$11,$C$11),0)</f>
        <v>60</v>
      </c>
      <c r="J1249">
        <f t="shared" si="115"/>
        <v>1162</v>
      </c>
      <c r="K1249" s="5">
        <f>IF(D1249&lt;$F$11,H1249,0)</f>
        <v>0</v>
      </c>
      <c r="L1249">
        <f>IF(D1249&lt;$A$15,$D$11,$D$11*(1-$H$11))</f>
        <v>85</v>
      </c>
      <c r="M1249">
        <f t="shared" si="116"/>
        <v>1</v>
      </c>
      <c r="N1249">
        <f>IF(SUM(I1249:J1249)&lt;=($G$11/60*$F$11/($E$11/60)),1,0)</f>
        <v>0</v>
      </c>
    </row>
    <row r="1250" spans="4:14" x14ac:dyDescent="0.2">
      <c r="D1250">
        <f t="shared" si="118"/>
        <v>1227</v>
      </c>
      <c r="E1250" s="1">
        <f>IF($H$11=1,IF(D1250&lt;=$A$15, E1249+LN($D$11)-LN(60/$E$11)-LN(MIN(D1250,$F$11)), E1249-LN(60/$E$11)-LN(MIN(D1250,$F$11))), IF(D1250&lt;=$A$15, E1249+LN($D$11)-LN(60/$E$11)-LN(MIN(D1250,$F$11)), E1249+LN($D$11)+LN(1-$H$11)-LN(60/$E$11)-LN(MIN(D1250,$F$11))))</f>
        <v>-146.95501560328776</v>
      </c>
      <c r="F1250" s="1">
        <f t="shared" si="119"/>
        <v>-148.95704841248681</v>
      </c>
      <c r="G1250" s="1">
        <f t="shared" si="117"/>
        <v>2.035990906099833E-65</v>
      </c>
      <c r="H1250" s="1">
        <f t="shared" si="114"/>
        <v>1.9984733455500958E-66</v>
      </c>
      <c r="I1250">
        <f>IF($F$11&lt;=D1250, IF(D1250&lt;=$A$15,D1250-$F$11,$C$11),0)</f>
        <v>60</v>
      </c>
      <c r="J1250">
        <f t="shared" si="115"/>
        <v>1163</v>
      </c>
      <c r="K1250" s="5">
        <f>IF(D1250&lt;$F$11,H1250,0)</f>
        <v>0</v>
      </c>
      <c r="L1250">
        <f>IF(D1250&lt;$A$15,$D$11,$D$11*(1-$H$11))</f>
        <v>85</v>
      </c>
      <c r="M1250">
        <f t="shared" si="116"/>
        <v>1</v>
      </c>
      <c r="N1250">
        <f>IF(SUM(I1250:J1250)&lt;=($G$11/60*$F$11/($E$11/60)),1,0)</f>
        <v>0</v>
      </c>
    </row>
    <row r="1251" spans="4:14" x14ac:dyDescent="0.2">
      <c r="D1251">
        <f t="shared" si="118"/>
        <v>1228</v>
      </c>
      <c r="E1251" s="1">
        <f>IF($H$11=1,IF(D1251&lt;=$A$15, E1250+LN($D$11)-LN(60/$E$11)-LN(MIN(D1251,$F$11)), E1250-LN(60/$E$11)-LN(MIN(D1251,$F$11))), IF(D1251&lt;=$A$15, E1250+LN($D$11)-LN(60/$E$11)-LN(MIN(D1251,$F$11)), E1250+LN($D$11)+LN(1-$H$11)-LN(60/$E$11)-LN(MIN(D1251,$F$11))))</f>
        <v>-147.0767125382653</v>
      </c>
      <c r="F1251" s="1">
        <f t="shared" si="119"/>
        <v>-149.07874534746435</v>
      </c>
      <c r="G1251" s="1">
        <f t="shared" si="117"/>
        <v>1.8027002814425324E-65</v>
      </c>
      <c r="H1251" s="1">
        <f t="shared" si="114"/>
        <v>1.7694816080391199E-66</v>
      </c>
      <c r="I1251">
        <f>IF($F$11&lt;=D1251, IF(D1251&lt;=$A$15,D1251-$F$11,$C$11),0)</f>
        <v>60</v>
      </c>
      <c r="J1251">
        <f t="shared" si="115"/>
        <v>1164</v>
      </c>
      <c r="K1251" s="5">
        <f>IF(D1251&lt;$F$11,H1251,0)</f>
        <v>0</v>
      </c>
      <c r="L1251">
        <f>IF(D1251&lt;$A$15,$D$11,$D$11*(1-$H$11))</f>
        <v>85</v>
      </c>
      <c r="M1251">
        <f t="shared" si="116"/>
        <v>1</v>
      </c>
      <c r="N1251">
        <f>IF(SUM(I1251:J1251)&lt;=($G$11/60*$F$11/($E$11/60)),1,0)</f>
        <v>0</v>
      </c>
    </row>
    <row r="1252" spans="4:14" x14ac:dyDescent="0.2">
      <c r="D1252">
        <f t="shared" si="118"/>
        <v>1229</v>
      </c>
      <c r="E1252" s="1">
        <f>IF($H$11=1,IF(D1252&lt;=$A$15, E1251+LN($D$11)-LN(60/$E$11)-LN(MIN(D1252,$F$11)), E1251-LN(60/$E$11)-LN(MIN(D1252,$F$11))), IF(D1252&lt;=$A$15, E1251+LN($D$11)-LN(60/$E$11)-LN(MIN(D1252,$F$11)), E1251+LN($D$11)+LN(1-$H$11)-LN(60/$E$11)-LN(MIN(D1252,$F$11))))</f>
        <v>-147.19840947324283</v>
      </c>
      <c r="F1252" s="1">
        <f t="shared" si="119"/>
        <v>-149.20044228244188</v>
      </c>
      <c r="G1252" s="1">
        <f t="shared" si="117"/>
        <v>1.5961408741938839E-65</v>
      </c>
      <c r="H1252" s="1">
        <f t="shared" si="114"/>
        <v>1.566728507117946E-66</v>
      </c>
      <c r="I1252">
        <f>IF($F$11&lt;=D1252, IF(D1252&lt;=$A$15,D1252-$F$11,$C$11),0)</f>
        <v>60</v>
      </c>
      <c r="J1252">
        <f t="shared" si="115"/>
        <v>1165</v>
      </c>
      <c r="K1252" s="5">
        <f>IF(D1252&lt;$F$11,H1252,0)</f>
        <v>0</v>
      </c>
      <c r="L1252">
        <f>IF(D1252&lt;$A$15,$D$11,$D$11*(1-$H$11))</f>
        <v>85</v>
      </c>
      <c r="M1252">
        <f t="shared" si="116"/>
        <v>1</v>
      </c>
      <c r="N1252">
        <f>IF(SUM(I1252:J1252)&lt;=($G$11/60*$F$11/($E$11/60)),1,0)</f>
        <v>0</v>
      </c>
    </row>
    <row r="1253" spans="4:14" x14ac:dyDescent="0.2">
      <c r="D1253">
        <f t="shared" si="118"/>
        <v>1230</v>
      </c>
      <c r="E1253" s="1">
        <f>IF($H$11=1,IF(D1253&lt;=$A$15, E1252+LN($D$11)-LN(60/$E$11)-LN(MIN(D1253,$F$11)), E1252-LN(60/$E$11)-LN(MIN(D1253,$F$11))), IF(D1253&lt;=$A$15, E1252+LN($D$11)-LN(60/$E$11)-LN(MIN(D1253,$F$11)), E1252+LN($D$11)+LN(1-$H$11)-LN(60/$E$11)-LN(MIN(D1253,$F$11))))</f>
        <v>-147.32010640822037</v>
      </c>
      <c r="F1253" s="1">
        <f t="shared" si="119"/>
        <v>-149.32213921741942</v>
      </c>
      <c r="G1253" s="1">
        <f t="shared" si="117"/>
        <v>1.4132497323591459E-65</v>
      </c>
      <c r="H1253" s="1">
        <f t="shared" si="114"/>
        <v>1.3872075323439931E-66</v>
      </c>
      <c r="I1253">
        <f>IF($F$11&lt;=D1253, IF(D1253&lt;=$A$15,D1253-$F$11,$C$11),0)</f>
        <v>60</v>
      </c>
      <c r="J1253">
        <f t="shared" si="115"/>
        <v>1166</v>
      </c>
      <c r="K1253" s="5">
        <f>IF(D1253&lt;$F$11,H1253,0)</f>
        <v>0</v>
      </c>
      <c r="L1253">
        <f>IF(D1253&lt;$A$15,$D$11,$D$11*(1-$H$11))</f>
        <v>85</v>
      </c>
      <c r="M1253">
        <f t="shared" si="116"/>
        <v>1</v>
      </c>
      <c r="N1253">
        <f>IF(SUM(I1253:J1253)&lt;=($G$11/60*$F$11/($E$11/60)),1,0)</f>
        <v>0</v>
      </c>
    </row>
    <row r="1254" spans="4:14" x14ac:dyDescent="0.2">
      <c r="D1254">
        <f t="shared" si="118"/>
        <v>1231</v>
      </c>
      <c r="E1254" s="1">
        <f>IF($H$11=1,IF(D1254&lt;=$A$15, E1253+LN($D$11)-LN(60/$E$11)-LN(MIN(D1254,$F$11)), E1253-LN(60/$E$11)-LN(MIN(D1254,$F$11))), IF(D1254&lt;=$A$15, E1253+LN($D$11)-LN(60/$E$11)-LN(MIN(D1254,$F$11)), E1253+LN($D$11)+LN(1-$H$11)-LN(60/$E$11)-LN(MIN(D1254,$F$11))))</f>
        <v>-147.4418033431979</v>
      </c>
      <c r="F1254" s="1">
        <f t="shared" si="119"/>
        <v>-149.44383615239695</v>
      </c>
      <c r="G1254" s="1">
        <f t="shared" si="117"/>
        <v>1.2513148671929742E-65</v>
      </c>
      <c r="H1254" s="1">
        <f t="shared" si="114"/>
        <v>1.2282566692628912E-66</v>
      </c>
      <c r="I1254">
        <f>IF($F$11&lt;=D1254, IF(D1254&lt;=$A$15,D1254-$F$11,$C$11),0)</f>
        <v>60</v>
      </c>
      <c r="J1254">
        <f t="shared" si="115"/>
        <v>1167</v>
      </c>
      <c r="K1254" s="5">
        <f>IF(D1254&lt;$F$11,H1254,0)</f>
        <v>0</v>
      </c>
      <c r="L1254">
        <f>IF(D1254&lt;$A$15,$D$11,$D$11*(1-$H$11))</f>
        <v>85</v>
      </c>
      <c r="M1254">
        <f t="shared" si="116"/>
        <v>1</v>
      </c>
      <c r="N1254">
        <f>IF(SUM(I1254:J1254)&lt;=($G$11/60*$F$11/($E$11/60)),1,0)</f>
        <v>0</v>
      </c>
    </row>
    <row r="1255" spans="4:14" x14ac:dyDescent="0.2">
      <c r="D1255">
        <f t="shared" si="118"/>
        <v>1232</v>
      </c>
      <c r="E1255" s="1">
        <f>IF($H$11=1,IF(D1255&lt;=$A$15, E1254+LN($D$11)-LN(60/$E$11)-LN(MIN(D1255,$F$11)), E1254-LN(60/$E$11)-LN(MIN(D1255,$F$11))), IF(D1255&lt;=$A$15, E1254+LN($D$11)-LN(60/$E$11)-LN(MIN(D1255,$F$11)), E1254+LN($D$11)+LN(1-$H$11)-LN(60/$E$11)-LN(MIN(D1255,$F$11))))</f>
        <v>-147.56350027817544</v>
      </c>
      <c r="F1255" s="1">
        <f t="shared" si="119"/>
        <v>-149.56553308737449</v>
      </c>
      <c r="G1255" s="1">
        <f t="shared" si="117"/>
        <v>1.1079350386604287E-65</v>
      </c>
      <c r="H1255" s="1">
        <f t="shared" si="114"/>
        <v>1.0875189259098348E-66</v>
      </c>
      <c r="I1255">
        <f>IF($F$11&lt;=D1255, IF(D1255&lt;=$A$15,D1255-$F$11,$C$11),0)</f>
        <v>60</v>
      </c>
      <c r="J1255">
        <f t="shared" si="115"/>
        <v>1168</v>
      </c>
      <c r="K1255" s="5">
        <f>IF(D1255&lt;$F$11,H1255,0)</f>
        <v>0</v>
      </c>
      <c r="L1255">
        <f>IF(D1255&lt;$A$15,$D$11,$D$11*(1-$H$11))</f>
        <v>85</v>
      </c>
      <c r="M1255">
        <f t="shared" si="116"/>
        <v>1</v>
      </c>
      <c r="N1255">
        <f>IF(SUM(I1255:J1255)&lt;=($G$11/60*$F$11/($E$11/60)),1,0)</f>
        <v>0</v>
      </c>
    </row>
    <row r="1256" spans="4:14" x14ac:dyDescent="0.2">
      <c r="D1256">
        <f t="shared" si="118"/>
        <v>1233</v>
      </c>
      <c r="E1256" s="1">
        <f>IF($H$11=1,IF(D1256&lt;=$A$15, E1255+LN($D$11)-LN(60/$E$11)-LN(MIN(D1256,$F$11)), E1255-LN(60/$E$11)-LN(MIN(D1256,$F$11))), IF(D1256&lt;=$A$15, E1255+LN($D$11)-LN(60/$E$11)-LN(MIN(D1256,$F$11)), E1255+LN($D$11)+LN(1-$H$11)-LN(60/$E$11)-LN(MIN(D1256,$F$11))))</f>
        <v>-147.68519721315297</v>
      </c>
      <c r="F1256" s="1">
        <f t="shared" si="119"/>
        <v>-149.68723002235203</v>
      </c>
      <c r="G1256" s="1">
        <f t="shared" si="117"/>
        <v>9.8098414881390593E-66</v>
      </c>
      <c r="H1256" s="1">
        <f t="shared" si="114"/>
        <v>9.6290738231598446E-67</v>
      </c>
      <c r="I1256">
        <f>IF($F$11&lt;=D1256, IF(D1256&lt;=$A$15,D1256-$F$11,$C$11),0)</f>
        <v>60</v>
      </c>
      <c r="J1256">
        <f t="shared" si="115"/>
        <v>1169</v>
      </c>
      <c r="K1256" s="5">
        <f>IF(D1256&lt;$F$11,H1256,0)</f>
        <v>0</v>
      </c>
      <c r="L1256">
        <f>IF(D1256&lt;$A$15,$D$11,$D$11*(1-$H$11))</f>
        <v>85</v>
      </c>
      <c r="M1256">
        <f t="shared" si="116"/>
        <v>1</v>
      </c>
      <c r="N1256">
        <f>IF(SUM(I1256:J1256)&lt;=($G$11/60*$F$11/($E$11/60)),1,0)</f>
        <v>0</v>
      </c>
    </row>
    <row r="1257" spans="4:14" x14ac:dyDescent="0.2">
      <c r="D1257">
        <f t="shared" si="118"/>
        <v>1234</v>
      </c>
      <c r="E1257" s="1">
        <f>IF($H$11=1,IF(D1257&lt;=$A$15, E1256+LN($D$11)-LN(60/$E$11)-LN(MIN(D1257,$F$11)), E1256-LN(60/$E$11)-LN(MIN(D1257,$F$11))), IF(D1257&lt;=$A$15, E1256+LN($D$11)-LN(60/$E$11)-LN(MIN(D1257,$F$11)), E1256+LN($D$11)+LN(1-$H$11)-LN(60/$E$11)-LN(MIN(D1257,$F$11))))</f>
        <v>-147.80689414813051</v>
      </c>
      <c r="F1257" s="1">
        <f t="shared" si="119"/>
        <v>-149.80892695732956</v>
      </c>
      <c r="G1257" s="1">
        <f t="shared" si="117"/>
        <v>8.6857971509563222E-66</v>
      </c>
      <c r="H1257" s="1">
        <f t="shared" si="114"/>
        <v>8.5257424475893127E-67</v>
      </c>
      <c r="I1257">
        <f>IF($F$11&lt;=D1257, IF(D1257&lt;=$A$15,D1257-$F$11,$C$11),0)</f>
        <v>60</v>
      </c>
      <c r="J1257">
        <f t="shared" si="115"/>
        <v>1170</v>
      </c>
      <c r="K1257" s="5">
        <f>IF(D1257&lt;$F$11,H1257,0)</f>
        <v>0</v>
      </c>
      <c r="L1257">
        <f>IF(D1257&lt;$A$15,$D$11,$D$11*(1-$H$11))</f>
        <v>85</v>
      </c>
      <c r="M1257">
        <f t="shared" si="116"/>
        <v>1</v>
      </c>
      <c r="N1257">
        <f>IF(SUM(I1257:J1257)&lt;=($G$11/60*$F$11/($E$11/60)),1,0)</f>
        <v>0</v>
      </c>
    </row>
    <row r="1258" spans="4:14" x14ac:dyDescent="0.2">
      <c r="D1258">
        <f t="shared" si="118"/>
        <v>1235</v>
      </c>
      <c r="E1258" s="1">
        <f>IF($H$11=1,IF(D1258&lt;=$A$15, E1257+LN($D$11)-LN(60/$E$11)-LN(MIN(D1258,$F$11)), E1257-LN(60/$E$11)-LN(MIN(D1258,$F$11))), IF(D1258&lt;=$A$15, E1257+LN($D$11)-LN(60/$E$11)-LN(MIN(D1258,$F$11)), E1257+LN($D$11)+LN(1-$H$11)-LN(60/$E$11)-LN(MIN(D1258,$F$11))))</f>
        <v>-147.92859108310805</v>
      </c>
      <c r="F1258" s="1">
        <f t="shared" si="119"/>
        <v>-149.9306238923071</v>
      </c>
      <c r="G1258" s="1">
        <f t="shared" si="117"/>
        <v>7.6905495607424566E-66</v>
      </c>
      <c r="H1258" s="1">
        <f t="shared" si="114"/>
        <v>7.5488344588029189E-67</v>
      </c>
      <c r="I1258">
        <f>IF($F$11&lt;=D1258, IF(D1258&lt;=$A$15,D1258-$F$11,$C$11),0)</f>
        <v>60</v>
      </c>
      <c r="J1258">
        <f t="shared" si="115"/>
        <v>1171</v>
      </c>
      <c r="K1258" s="5">
        <f>IF(D1258&lt;$F$11,H1258,0)</f>
        <v>0</v>
      </c>
      <c r="L1258">
        <f>IF(D1258&lt;$A$15,$D$11,$D$11*(1-$H$11))</f>
        <v>85</v>
      </c>
      <c r="M1258">
        <f t="shared" si="116"/>
        <v>1</v>
      </c>
      <c r="N1258">
        <f>IF(SUM(I1258:J1258)&lt;=($G$11/60*$F$11/($E$11/60)),1,0)</f>
        <v>0</v>
      </c>
    </row>
    <row r="1259" spans="4:14" x14ac:dyDescent="0.2">
      <c r="D1259">
        <f t="shared" si="118"/>
        <v>1236</v>
      </c>
      <c r="E1259" s="1">
        <f>IF($H$11=1,IF(D1259&lt;=$A$15, E1258+LN($D$11)-LN(60/$E$11)-LN(MIN(D1259,$F$11)), E1258-LN(60/$E$11)-LN(MIN(D1259,$F$11))), IF(D1259&lt;=$A$15, E1258+LN($D$11)-LN(60/$E$11)-LN(MIN(D1259,$F$11)), E1258+LN($D$11)+LN(1-$H$11)-LN(60/$E$11)-LN(MIN(D1259,$F$11))))</f>
        <v>-148.05028801808558</v>
      </c>
      <c r="F1259" s="1">
        <f t="shared" si="119"/>
        <v>-150.05232082728463</v>
      </c>
      <c r="G1259" s="1">
        <f t="shared" si="117"/>
        <v>6.8093407569072775E-66</v>
      </c>
      <c r="H1259" s="1">
        <f t="shared" si="114"/>
        <v>6.6838638437316465E-67</v>
      </c>
      <c r="I1259">
        <f>IF($F$11&lt;=D1259, IF(D1259&lt;=$A$15,D1259-$F$11,$C$11),0)</f>
        <v>60</v>
      </c>
      <c r="J1259">
        <f t="shared" si="115"/>
        <v>1172</v>
      </c>
      <c r="K1259" s="5">
        <f>IF(D1259&lt;$F$11,H1259,0)</f>
        <v>0</v>
      </c>
      <c r="L1259">
        <f>IF(D1259&lt;$A$15,$D$11,$D$11*(1-$H$11))</f>
        <v>85</v>
      </c>
      <c r="M1259">
        <f t="shared" si="116"/>
        <v>1</v>
      </c>
      <c r="N1259">
        <f>IF(SUM(I1259:J1259)&lt;=($G$11/60*$F$11/($E$11/60)),1,0)</f>
        <v>0</v>
      </c>
    </row>
    <row r="1260" spans="4:14" x14ac:dyDescent="0.2">
      <c r="D1260">
        <f t="shared" si="118"/>
        <v>1237</v>
      </c>
      <c r="E1260" s="1">
        <f>IF($H$11=1,IF(D1260&lt;=$A$15, E1259+LN($D$11)-LN(60/$E$11)-LN(MIN(D1260,$F$11)), E1259-LN(60/$E$11)-LN(MIN(D1260,$F$11))), IF(D1260&lt;=$A$15, E1259+LN($D$11)-LN(60/$E$11)-LN(MIN(D1260,$F$11)), E1259+LN($D$11)+LN(1-$H$11)-LN(60/$E$11)-LN(MIN(D1260,$F$11))))</f>
        <v>-148.17198495306312</v>
      </c>
      <c r="F1260" s="1">
        <f t="shared" si="119"/>
        <v>-150.17401776226217</v>
      </c>
      <c r="G1260" s="1">
        <f t="shared" si="117"/>
        <v>6.0291037951782235E-66</v>
      </c>
      <c r="H1260" s="1">
        <f t="shared" si="114"/>
        <v>5.9180044449706357E-67</v>
      </c>
      <c r="I1260">
        <f>IF($F$11&lt;=D1260, IF(D1260&lt;=$A$15,D1260-$F$11,$C$11),0)</f>
        <v>60</v>
      </c>
      <c r="J1260">
        <f t="shared" si="115"/>
        <v>1173</v>
      </c>
      <c r="K1260" s="5">
        <f>IF(D1260&lt;$F$11,H1260,0)</f>
        <v>0</v>
      </c>
      <c r="L1260">
        <f>IF(D1260&lt;$A$15,$D$11,$D$11*(1-$H$11))</f>
        <v>85</v>
      </c>
      <c r="M1260">
        <f t="shared" si="116"/>
        <v>1</v>
      </c>
      <c r="N1260">
        <f>IF(SUM(I1260:J1260)&lt;=($G$11/60*$F$11/($E$11/60)),1,0)</f>
        <v>0</v>
      </c>
    </row>
    <row r="1261" spans="4:14" x14ac:dyDescent="0.2">
      <c r="D1261">
        <f t="shared" si="118"/>
        <v>1238</v>
      </c>
      <c r="E1261" s="1">
        <f>IF($H$11=1,IF(D1261&lt;=$A$15, E1260+LN($D$11)-LN(60/$E$11)-LN(MIN(D1261,$F$11)), E1260-LN(60/$E$11)-LN(MIN(D1261,$F$11))), IF(D1261&lt;=$A$15, E1260+LN($D$11)-LN(60/$E$11)-LN(MIN(D1261,$F$11)), E1260+LN($D$11)+LN(1-$H$11)-LN(60/$E$11)-LN(MIN(D1261,$F$11))))</f>
        <v>-148.29368188804065</v>
      </c>
      <c r="F1261" s="1">
        <f t="shared" si="119"/>
        <v>-150.2957146972397</v>
      </c>
      <c r="G1261" s="1">
        <f t="shared" si="117"/>
        <v>5.3382689853139689E-66</v>
      </c>
      <c r="H1261" s="1">
        <f t="shared" si="114"/>
        <v>5.2398997689843352E-67</v>
      </c>
      <c r="I1261">
        <f>IF($F$11&lt;=D1261, IF(D1261&lt;=$A$15,D1261-$F$11,$C$11),0)</f>
        <v>60</v>
      </c>
      <c r="J1261">
        <f t="shared" si="115"/>
        <v>1174</v>
      </c>
      <c r="K1261" s="5">
        <f>IF(D1261&lt;$F$11,H1261,0)</f>
        <v>0</v>
      </c>
      <c r="L1261">
        <f>IF(D1261&lt;$A$15,$D$11,$D$11*(1-$H$11))</f>
        <v>85</v>
      </c>
      <c r="M1261">
        <f t="shared" si="116"/>
        <v>1</v>
      </c>
      <c r="N1261">
        <f>IF(SUM(I1261:J1261)&lt;=($G$11/60*$F$11/($E$11/60)),1,0)</f>
        <v>0</v>
      </c>
    </row>
    <row r="1262" spans="4:14" x14ac:dyDescent="0.2">
      <c r="D1262">
        <f t="shared" si="118"/>
        <v>1239</v>
      </c>
      <c r="E1262" s="1">
        <f>IF($H$11=1,IF(D1262&lt;=$A$15, E1261+LN($D$11)-LN(60/$E$11)-LN(MIN(D1262,$F$11)), E1261-LN(60/$E$11)-LN(MIN(D1262,$F$11))), IF(D1262&lt;=$A$15, E1261+LN($D$11)-LN(60/$E$11)-LN(MIN(D1262,$F$11)), E1261+LN($D$11)+LN(1-$H$11)-LN(60/$E$11)-LN(MIN(D1262,$F$11))))</f>
        <v>-148.41537882301819</v>
      </c>
      <c r="F1262" s="1">
        <f t="shared" si="119"/>
        <v>-150.41741163221724</v>
      </c>
      <c r="G1262" s="1">
        <f t="shared" si="117"/>
        <v>4.7265923307466692E-66</v>
      </c>
      <c r="H1262" s="1">
        <f t="shared" si="114"/>
        <v>4.6394945871214743E-67</v>
      </c>
      <c r="I1262">
        <f>IF($F$11&lt;=D1262, IF(D1262&lt;=$A$15,D1262-$F$11,$C$11),0)</f>
        <v>60</v>
      </c>
      <c r="J1262">
        <f t="shared" si="115"/>
        <v>1175</v>
      </c>
      <c r="K1262" s="5">
        <f>IF(D1262&lt;$F$11,H1262,0)</f>
        <v>0</v>
      </c>
      <c r="L1262">
        <f>IF(D1262&lt;$A$15,$D$11,$D$11*(1-$H$11))</f>
        <v>85</v>
      </c>
      <c r="M1262">
        <f t="shared" si="116"/>
        <v>1</v>
      </c>
      <c r="N1262">
        <f>IF(SUM(I1262:J1262)&lt;=($G$11/60*$F$11/($E$11/60)),1,0)</f>
        <v>0</v>
      </c>
    </row>
    <row r="1263" spans="4:14" x14ac:dyDescent="0.2">
      <c r="D1263">
        <f t="shared" si="118"/>
        <v>1240</v>
      </c>
      <c r="E1263" s="1">
        <f>IF($H$11=1,IF(D1263&lt;=$A$15, E1262+LN($D$11)-LN(60/$E$11)-LN(MIN(D1263,$F$11)), E1262-LN(60/$E$11)-LN(MIN(D1263,$F$11))), IF(D1263&lt;=$A$15, E1262+LN($D$11)-LN(60/$E$11)-LN(MIN(D1263,$F$11)), E1262+LN($D$11)+LN(1-$H$11)-LN(60/$E$11)-LN(MIN(D1263,$F$11))))</f>
        <v>-148.53707575799572</v>
      </c>
      <c r="F1263" s="1">
        <f t="shared" si="119"/>
        <v>-150.53910856719477</v>
      </c>
      <c r="G1263" s="1">
        <f t="shared" si="117"/>
        <v>4.1850036261818816E-66</v>
      </c>
      <c r="H1263" s="1">
        <f t="shared" si="114"/>
        <v>4.1078858323470747E-67</v>
      </c>
      <c r="I1263">
        <f>IF($F$11&lt;=D1263, IF(D1263&lt;=$A$15,D1263-$F$11,$C$11),0)</f>
        <v>60</v>
      </c>
      <c r="J1263">
        <f t="shared" si="115"/>
        <v>1176</v>
      </c>
      <c r="K1263" s="5">
        <f>IF(D1263&lt;$F$11,H1263,0)</f>
        <v>0</v>
      </c>
      <c r="L1263">
        <f>IF(D1263&lt;$A$15,$D$11,$D$11*(1-$H$11))</f>
        <v>85</v>
      </c>
      <c r="M1263">
        <f t="shared" si="116"/>
        <v>1</v>
      </c>
      <c r="N1263">
        <f>IF(SUM(I1263:J1263)&lt;=($G$11/60*$F$11/($E$11/60)),1,0)</f>
        <v>0</v>
      </c>
    </row>
    <row r="1264" spans="4:14" x14ac:dyDescent="0.2">
      <c r="D1264">
        <f t="shared" si="118"/>
        <v>1241</v>
      </c>
      <c r="E1264" s="1">
        <f>IF($H$11=1,IF(D1264&lt;=$A$15, E1263+LN($D$11)-LN(60/$E$11)-LN(MIN(D1264,$F$11)), E1263-LN(60/$E$11)-LN(MIN(D1264,$F$11))), IF(D1264&lt;=$A$15, E1263+LN($D$11)-LN(60/$E$11)-LN(MIN(D1264,$F$11)), E1263+LN($D$11)+LN(1-$H$11)-LN(60/$E$11)-LN(MIN(D1264,$F$11))))</f>
        <v>-148.65877269297326</v>
      </c>
      <c r="F1264" s="1">
        <f t="shared" si="119"/>
        <v>-150.66080550217231</v>
      </c>
      <c r="G1264" s="1">
        <f t="shared" si="117"/>
        <v>3.7054719606818165E-66</v>
      </c>
      <c r="H1264" s="1">
        <f t="shared" si="114"/>
        <v>3.6371905807239159E-67</v>
      </c>
      <c r="I1264">
        <f>IF($F$11&lt;=D1264, IF(D1264&lt;=$A$15,D1264-$F$11,$C$11),0)</f>
        <v>60</v>
      </c>
      <c r="J1264">
        <f t="shared" si="115"/>
        <v>1177</v>
      </c>
      <c r="K1264" s="5">
        <f>IF(D1264&lt;$F$11,H1264,0)</f>
        <v>0</v>
      </c>
      <c r="L1264">
        <f>IF(D1264&lt;$A$15,$D$11,$D$11*(1-$H$11))</f>
        <v>85</v>
      </c>
      <c r="M1264">
        <f t="shared" si="116"/>
        <v>1</v>
      </c>
      <c r="N1264">
        <f>IF(SUM(I1264:J1264)&lt;=($G$11/60*$F$11/($E$11/60)),1,0)</f>
        <v>0</v>
      </c>
    </row>
    <row r="1265" spans="4:14" x14ac:dyDescent="0.2">
      <c r="D1265">
        <f t="shared" si="118"/>
        <v>1242</v>
      </c>
      <c r="E1265" s="1">
        <f>IF($H$11=1,IF(D1265&lt;=$A$15, E1264+LN($D$11)-LN(60/$E$11)-LN(MIN(D1265,$F$11)), E1264-LN(60/$E$11)-LN(MIN(D1265,$F$11))), IF(D1265&lt;=$A$15, E1264+LN($D$11)-LN(60/$E$11)-LN(MIN(D1265,$F$11)), E1264+LN($D$11)+LN(1-$H$11)-LN(60/$E$11)-LN(MIN(D1265,$F$11))))</f>
        <v>-148.78046962795079</v>
      </c>
      <c r="F1265" s="1">
        <f t="shared" si="119"/>
        <v>-150.78250243714984</v>
      </c>
      <c r="G1265" s="1">
        <f t="shared" si="117"/>
        <v>3.2808866318536404E-66</v>
      </c>
      <c r="H1265" s="1">
        <f t="shared" si="114"/>
        <v>3.2204291600159166E-67</v>
      </c>
      <c r="I1265">
        <f>IF($F$11&lt;=D1265, IF(D1265&lt;=$A$15,D1265-$F$11,$C$11),0)</f>
        <v>60</v>
      </c>
      <c r="J1265">
        <f t="shared" si="115"/>
        <v>1178</v>
      </c>
      <c r="K1265" s="5">
        <f>IF(D1265&lt;$F$11,H1265,0)</f>
        <v>0</v>
      </c>
      <c r="L1265">
        <f>IF(D1265&lt;$A$15,$D$11,$D$11*(1-$H$11))</f>
        <v>85</v>
      </c>
      <c r="M1265">
        <f t="shared" si="116"/>
        <v>1</v>
      </c>
      <c r="N1265">
        <f>IF(SUM(I1265:J1265)&lt;=($G$11/60*$F$11/($E$11/60)),1,0)</f>
        <v>0</v>
      </c>
    </row>
    <row r="1266" spans="4:14" x14ac:dyDescent="0.2">
      <c r="D1266">
        <f t="shared" si="118"/>
        <v>1243</v>
      </c>
      <c r="E1266" s="1">
        <f>IF($H$11=1,IF(D1266&lt;=$A$15, E1265+LN($D$11)-LN(60/$E$11)-LN(MIN(D1266,$F$11)), E1265-LN(60/$E$11)-LN(MIN(D1266,$F$11))), IF(D1266&lt;=$A$15, E1265+LN($D$11)-LN(60/$E$11)-LN(MIN(D1266,$F$11)), E1265+LN($D$11)+LN(1-$H$11)-LN(60/$E$11)-LN(MIN(D1266,$F$11))))</f>
        <v>-148.90216656292833</v>
      </c>
      <c r="F1266" s="1">
        <f t="shared" si="119"/>
        <v>-150.90419937212738</v>
      </c>
      <c r="G1266" s="1">
        <f t="shared" si="117"/>
        <v>2.9049517052870316E-66</v>
      </c>
      <c r="H1266" s="1">
        <f t="shared" si="114"/>
        <v>2.851421652097381E-67</v>
      </c>
      <c r="I1266">
        <f>IF($F$11&lt;=D1266, IF(D1266&lt;=$A$15,D1266-$F$11,$C$11),0)</f>
        <v>60</v>
      </c>
      <c r="J1266">
        <f t="shared" si="115"/>
        <v>1179</v>
      </c>
      <c r="K1266" s="5">
        <f>IF(D1266&lt;$F$11,H1266,0)</f>
        <v>0</v>
      </c>
      <c r="L1266">
        <f>IF(D1266&lt;$A$15,$D$11,$D$11*(1-$H$11))</f>
        <v>85</v>
      </c>
      <c r="M1266">
        <f t="shared" si="116"/>
        <v>1</v>
      </c>
      <c r="N1266">
        <f>IF(SUM(I1266:J1266)&lt;=($G$11/60*$F$11/($E$11/60)),1,0)</f>
        <v>0</v>
      </c>
    </row>
    <row r="1267" spans="4:14" x14ac:dyDescent="0.2">
      <c r="D1267">
        <f t="shared" si="118"/>
        <v>1244</v>
      </c>
      <c r="E1267" s="1">
        <f>IF($H$11=1,IF(D1267&lt;=$A$15, E1266+LN($D$11)-LN(60/$E$11)-LN(MIN(D1267,$F$11)), E1266-LN(60/$E$11)-LN(MIN(D1267,$F$11))), IF(D1267&lt;=$A$15, E1266+LN($D$11)-LN(60/$E$11)-LN(MIN(D1267,$F$11)), E1266+LN($D$11)+LN(1-$H$11)-LN(60/$E$11)-LN(MIN(D1267,$F$11))))</f>
        <v>-149.02386349790586</v>
      </c>
      <c r="F1267" s="1">
        <f t="shared" si="119"/>
        <v>-151.02589630710492</v>
      </c>
      <c r="G1267" s="1">
        <f t="shared" si="117"/>
        <v>2.5720926557228525E-66</v>
      </c>
      <c r="H1267" s="1">
        <f t="shared" si="114"/>
        <v>2.5246962544611836E-67</v>
      </c>
      <c r="I1267">
        <f>IF($F$11&lt;=D1267, IF(D1267&lt;=$A$15,D1267-$F$11,$C$11),0)</f>
        <v>60</v>
      </c>
      <c r="J1267">
        <f t="shared" si="115"/>
        <v>1180</v>
      </c>
      <c r="K1267" s="5">
        <f>IF(D1267&lt;$F$11,H1267,0)</f>
        <v>0</v>
      </c>
      <c r="L1267">
        <f>IF(D1267&lt;$A$15,$D$11,$D$11*(1-$H$11))</f>
        <v>85</v>
      </c>
      <c r="M1267">
        <f t="shared" si="116"/>
        <v>1</v>
      </c>
      <c r="N1267">
        <f>IF(SUM(I1267:J1267)&lt;=($G$11/60*$F$11/($E$11/60)),1,0)</f>
        <v>0</v>
      </c>
    </row>
    <row r="1268" spans="4:14" x14ac:dyDescent="0.2">
      <c r="D1268">
        <f t="shared" si="118"/>
        <v>1245</v>
      </c>
      <c r="E1268" s="1">
        <f>IF($H$11=1,IF(D1268&lt;=$A$15, E1267+LN($D$11)-LN(60/$E$11)-LN(MIN(D1268,$F$11)), E1267-LN(60/$E$11)-LN(MIN(D1268,$F$11))), IF(D1268&lt;=$A$15, E1267+LN($D$11)-LN(60/$E$11)-LN(MIN(D1268,$F$11)), E1267+LN($D$11)+LN(1-$H$11)-LN(60/$E$11)-LN(MIN(D1268,$F$11))))</f>
        <v>-149.1455604328834</v>
      </c>
      <c r="F1268" s="1">
        <f t="shared" si="119"/>
        <v>-151.14759324208245</v>
      </c>
      <c r="G1268" s="1">
        <f t="shared" si="117"/>
        <v>2.2773737055879069E-66</v>
      </c>
      <c r="H1268" s="1">
        <f t="shared" si="114"/>
        <v>2.2354081419708048E-67</v>
      </c>
      <c r="I1268">
        <f>IF($F$11&lt;=D1268, IF(D1268&lt;=$A$15,D1268-$F$11,$C$11),0)</f>
        <v>60</v>
      </c>
      <c r="J1268">
        <f t="shared" si="115"/>
        <v>1181</v>
      </c>
      <c r="K1268" s="5">
        <f>IF(D1268&lt;$F$11,H1268,0)</f>
        <v>0</v>
      </c>
      <c r="L1268">
        <f>IF(D1268&lt;$A$15,$D$11,$D$11*(1-$H$11))</f>
        <v>85</v>
      </c>
      <c r="M1268">
        <f t="shared" si="116"/>
        <v>1</v>
      </c>
      <c r="N1268">
        <f>IF(SUM(I1268:J1268)&lt;=($G$11/60*$F$11/($E$11/60)),1,0)</f>
        <v>0</v>
      </c>
    </row>
    <row r="1269" spans="4:14" x14ac:dyDescent="0.2">
      <c r="D1269">
        <f t="shared" si="118"/>
        <v>1246</v>
      </c>
      <c r="E1269" s="1">
        <f>IF($H$11=1,IF(D1269&lt;=$A$15, E1268+LN($D$11)-LN(60/$E$11)-LN(MIN(D1269,$F$11)), E1268-LN(60/$E$11)-LN(MIN(D1269,$F$11))), IF(D1269&lt;=$A$15, E1268+LN($D$11)-LN(60/$E$11)-LN(MIN(D1269,$F$11)), E1268+LN($D$11)+LN(1-$H$11)-LN(60/$E$11)-LN(MIN(D1269,$F$11))))</f>
        <v>-149.26725736786094</v>
      </c>
      <c r="F1269" s="1">
        <f t="shared" si="119"/>
        <v>-151.26929017705999</v>
      </c>
      <c r="G1269" s="1">
        <f t="shared" si="117"/>
        <v>2.0164246351559275E-66</v>
      </c>
      <c r="H1269" s="1">
        <f t="shared" si="114"/>
        <v>1.9792676257032858E-67</v>
      </c>
      <c r="I1269">
        <f>IF($F$11&lt;=D1269, IF(D1269&lt;=$A$15,D1269-$F$11,$C$11),0)</f>
        <v>60</v>
      </c>
      <c r="J1269">
        <f t="shared" si="115"/>
        <v>1182</v>
      </c>
      <c r="K1269" s="5">
        <f>IF(D1269&lt;$F$11,H1269,0)</f>
        <v>0</v>
      </c>
      <c r="L1269">
        <f>IF(D1269&lt;$A$15,$D$11,$D$11*(1-$H$11))</f>
        <v>85</v>
      </c>
      <c r="M1269">
        <f t="shared" si="116"/>
        <v>1</v>
      </c>
      <c r="N1269">
        <f>IF(SUM(I1269:J1269)&lt;=($G$11/60*$F$11/($E$11/60)),1,0)</f>
        <v>0</v>
      </c>
    </row>
    <row r="1270" spans="4:14" x14ac:dyDescent="0.2">
      <c r="D1270">
        <f t="shared" si="118"/>
        <v>1247</v>
      </c>
      <c r="E1270" s="1">
        <f>IF($H$11=1,IF(D1270&lt;=$A$15, E1269+LN($D$11)-LN(60/$E$11)-LN(MIN(D1270,$F$11)), E1269-LN(60/$E$11)-LN(MIN(D1270,$F$11))), IF(D1270&lt;=$A$15, E1269+LN($D$11)-LN(60/$E$11)-LN(MIN(D1270,$F$11)), E1269+LN($D$11)+LN(1-$H$11)-LN(60/$E$11)-LN(MIN(D1270,$F$11))))</f>
        <v>-149.38895430283847</v>
      </c>
      <c r="F1270" s="1">
        <f t="shared" si="119"/>
        <v>-151.39098711203752</v>
      </c>
      <c r="G1270" s="1">
        <f t="shared" si="117"/>
        <v>1.7853759790442829E-66</v>
      </c>
      <c r="H1270" s="1">
        <f t="shared" si="114"/>
        <v>1.7524765435914234E-67</v>
      </c>
      <c r="I1270">
        <f>IF($F$11&lt;=D1270, IF(D1270&lt;=$A$15,D1270-$F$11,$C$11),0)</f>
        <v>60</v>
      </c>
      <c r="J1270">
        <f t="shared" si="115"/>
        <v>1183</v>
      </c>
      <c r="K1270" s="5">
        <f>IF(D1270&lt;$F$11,H1270,0)</f>
        <v>0</v>
      </c>
      <c r="L1270">
        <f>IF(D1270&lt;$A$15,$D$11,$D$11*(1-$H$11))</f>
        <v>85</v>
      </c>
      <c r="M1270">
        <f t="shared" si="116"/>
        <v>1</v>
      </c>
      <c r="N1270">
        <f>IF(SUM(I1270:J1270)&lt;=($G$11/60*$F$11/($E$11/60)),1,0)</f>
        <v>0</v>
      </c>
    </row>
    <row r="1271" spans="4:14" x14ac:dyDescent="0.2">
      <c r="D1271">
        <f t="shared" si="118"/>
        <v>1248</v>
      </c>
      <c r="E1271" s="1">
        <f>IF($H$11=1,IF(D1271&lt;=$A$15, E1270+LN($D$11)-LN(60/$E$11)-LN(MIN(D1271,$F$11)), E1270-LN(60/$E$11)-LN(MIN(D1271,$F$11))), IF(D1271&lt;=$A$15, E1270+LN($D$11)-LN(60/$E$11)-LN(MIN(D1271,$F$11)), E1270+LN($D$11)+LN(1-$H$11)-LN(60/$E$11)-LN(MIN(D1271,$F$11))))</f>
        <v>-149.51065123781601</v>
      </c>
      <c r="F1271" s="1">
        <f t="shared" si="119"/>
        <v>-151.51268404701506</v>
      </c>
      <c r="G1271" s="1">
        <f t="shared" si="117"/>
        <v>1.5808016481121009E-66</v>
      </c>
      <c r="H1271" s="1">
        <f t="shared" si="114"/>
        <v>1.5516719396382153E-67</v>
      </c>
      <c r="I1271">
        <f>IF($F$11&lt;=D1271, IF(D1271&lt;=$A$15,D1271-$F$11,$C$11),0)</f>
        <v>60</v>
      </c>
      <c r="J1271">
        <f t="shared" si="115"/>
        <v>1184</v>
      </c>
      <c r="K1271" s="5">
        <f>IF(D1271&lt;$F$11,H1271,0)</f>
        <v>0</v>
      </c>
      <c r="L1271">
        <f>IF(D1271&lt;$A$15,$D$11,$D$11*(1-$H$11))</f>
        <v>85</v>
      </c>
      <c r="M1271">
        <f t="shared" si="116"/>
        <v>1</v>
      </c>
      <c r="N1271">
        <f>IF(SUM(I1271:J1271)&lt;=($G$11/60*$F$11/($E$11/60)),1,0)</f>
        <v>0</v>
      </c>
    </row>
    <row r="1272" spans="4:14" x14ac:dyDescent="0.2">
      <c r="D1272">
        <f t="shared" si="118"/>
        <v>1249</v>
      </c>
      <c r="E1272" s="1">
        <f>IF($H$11=1,IF(D1272&lt;=$A$15, E1271+LN($D$11)-LN(60/$E$11)-LN(MIN(D1272,$F$11)), E1271-LN(60/$E$11)-LN(MIN(D1272,$F$11))), IF(D1272&lt;=$A$15, E1271+LN($D$11)-LN(60/$E$11)-LN(MIN(D1272,$F$11)), E1271+LN($D$11)+LN(1-$H$11)-LN(60/$E$11)-LN(MIN(D1272,$F$11))))</f>
        <v>-149.63234817279354</v>
      </c>
      <c r="F1272" s="1">
        <f t="shared" si="119"/>
        <v>-151.63438098199259</v>
      </c>
      <c r="G1272" s="1">
        <f t="shared" si="117"/>
        <v>1.3996681259325674E-66</v>
      </c>
      <c r="H1272" s="1">
        <f t="shared" si="114"/>
        <v>1.3738761965546482E-67</v>
      </c>
      <c r="I1272">
        <f>IF($F$11&lt;=D1272, IF(D1272&lt;=$A$15,D1272-$F$11,$C$11),0)</f>
        <v>60</v>
      </c>
      <c r="J1272">
        <f t="shared" si="115"/>
        <v>1185</v>
      </c>
      <c r="K1272" s="5">
        <f>IF(D1272&lt;$F$11,H1272,0)</f>
        <v>0</v>
      </c>
      <c r="L1272">
        <f>IF(D1272&lt;$A$15,$D$11,$D$11*(1-$H$11))</f>
        <v>85</v>
      </c>
      <c r="M1272">
        <f t="shared" si="116"/>
        <v>1</v>
      </c>
      <c r="N1272">
        <f>IF(SUM(I1272:J1272)&lt;=($G$11/60*$F$11/($E$11/60)),1,0)</f>
        <v>0</v>
      </c>
    </row>
    <row r="1273" spans="4:14" x14ac:dyDescent="0.2">
      <c r="D1273">
        <f t="shared" si="118"/>
        <v>1250</v>
      </c>
      <c r="E1273" s="1">
        <f>IF($H$11=1,IF(D1273&lt;=$A$15, E1272+LN($D$11)-LN(60/$E$11)-LN(MIN(D1273,$F$11)), E1272-LN(60/$E$11)-LN(MIN(D1273,$F$11))), IF(D1273&lt;=$A$15, E1272+LN($D$11)-LN(60/$E$11)-LN(MIN(D1273,$F$11)), E1272+LN($D$11)+LN(1-$H$11)-LN(60/$E$11)-LN(MIN(D1273,$F$11))))</f>
        <v>-149.75404510777108</v>
      </c>
      <c r="F1273" s="1">
        <f t="shared" si="119"/>
        <v>-151.75607791697013</v>
      </c>
      <c r="G1273" s="1">
        <f t="shared" si="117"/>
        <v>1.2392894865027746E-66</v>
      </c>
      <c r="H1273" s="1">
        <f t="shared" si="114"/>
        <v>1.2164528823660758E-67</v>
      </c>
      <c r="I1273">
        <f>IF($F$11&lt;=D1273, IF(D1273&lt;=$A$15,D1273-$F$11,$C$11),0)</f>
        <v>60</v>
      </c>
      <c r="J1273">
        <f t="shared" si="115"/>
        <v>1186</v>
      </c>
      <c r="K1273" s="5">
        <f>IF(D1273&lt;$F$11,H1273,0)</f>
        <v>0</v>
      </c>
      <c r="L1273">
        <f>IF(D1273&lt;$A$15,$D$11,$D$11*(1-$H$11))</f>
        <v>85</v>
      </c>
      <c r="M1273">
        <f t="shared" si="116"/>
        <v>1</v>
      </c>
      <c r="N1273">
        <f>IF(SUM(I1273:J1273)&lt;=($G$11/60*$F$11/($E$11/60)),1,0)</f>
        <v>0</v>
      </c>
    </row>
    <row r="1274" spans="4:14" x14ac:dyDescent="0.2">
      <c r="D1274">
        <f t="shared" si="118"/>
        <v>1251</v>
      </c>
      <c r="E1274" s="1">
        <f>IF($H$11=1,IF(D1274&lt;=$A$15, E1273+LN($D$11)-LN(60/$E$11)-LN(MIN(D1274,$F$11)), E1273-LN(60/$E$11)-LN(MIN(D1274,$F$11))), IF(D1274&lt;=$A$15, E1273+LN($D$11)-LN(60/$E$11)-LN(MIN(D1274,$F$11)), E1273+LN($D$11)+LN(1-$H$11)-LN(60/$E$11)-LN(MIN(D1274,$F$11))))</f>
        <v>-149.87574204274861</v>
      </c>
      <c r="F1274" s="1">
        <f t="shared" si="119"/>
        <v>-151.87777485194766</v>
      </c>
      <c r="G1274" s="1">
        <f t="shared" si="117"/>
        <v>1.0972875661743146E-66</v>
      </c>
      <c r="H1274" s="1">
        <f t="shared" si="114"/>
        <v>1.0770676562616128E-67</v>
      </c>
      <c r="I1274">
        <f>IF($F$11&lt;=D1274, IF(D1274&lt;=$A$15,D1274-$F$11,$C$11),0)</f>
        <v>60</v>
      </c>
      <c r="J1274">
        <f t="shared" si="115"/>
        <v>1187</v>
      </c>
      <c r="K1274" s="5">
        <f>IF(D1274&lt;$F$11,H1274,0)</f>
        <v>0</v>
      </c>
      <c r="L1274">
        <f>IF(D1274&lt;$A$15,$D$11,$D$11*(1-$H$11))</f>
        <v>85</v>
      </c>
      <c r="M1274">
        <f t="shared" si="116"/>
        <v>1</v>
      </c>
      <c r="N1274">
        <f>IF(SUM(I1274:J1274)&lt;=($G$11/60*$F$11/($E$11/60)),1,0)</f>
        <v>0</v>
      </c>
    </row>
    <row r="1275" spans="4:14" x14ac:dyDescent="0.2">
      <c r="D1275">
        <f t="shared" si="118"/>
        <v>1252</v>
      </c>
      <c r="E1275" s="1">
        <f>IF($H$11=1,IF(D1275&lt;=$A$15, E1274+LN($D$11)-LN(60/$E$11)-LN(MIN(D1275,$F$11)), E1274-LN(60/$E$11)-LN(MIN(D1275,$F$11))), IF(D1275&lt;=$A$15, E1274+LN($D$11)-LN(60/$E$11)-LN(MIN(D1275,$F$11)), E1274+LN($D$11)+LN(1-$H$11)-LN(60/$E$11)-LN(MIN(D1275,$F$11))))</f>
        <v>-149.99743897772615</v>
      </c>
      <c r="F1275" s="1">
        <f t="shared" si="119"/>
        <v>-151.9994717869252</v>
      </c>
      <c r="G1275" s="1">
        <f t="shared" si="117"/>
        <v>9.7155669921682588E-67</v>
      </c>
      <c r="H1275" s="1">
        <f t="shared" si="114"/>
        <v>9.5365365398162149E-68</v>
      </c>
      <c r="I1275">
        <f>IF($F$11&lt;=D1275, IF(D1275&lt;=$A$15,D1275-$F$11,$C$11),0)</f>
        <v>60</v>
      </c>
      <c r="J1275">
        <f t="shared" si="115"/>
        <v>1188</v>
      </c>
      <c r="K1275" s="5">
        <f>IF(D1275&lt;$F$11,H1275,0)</f>
        <v>0</v>
      </c>
      <c r="L1275">
        <f>IF(D1275&lt;$A$15,$D$11,$D$11*(1-$H$11))</f>
        <v>85</v>
      </c>
      <c r="M1275">
        <f t="shared" si="116"/>
        <v>1</v>
      </c>
      <c r="N1275">
        <f>IF(SUM(I1275:J1275)&lt;=($G$11/60*$F$11/($E$11/60)),1,0)</f>
        <v>0</v>
      </c>
    </row>
    <row r="1276" spans="4:14" x14ac:dyDescent="0.2">
      <c r="D1276">
        <f t="shared" si="118"/>
        <v>1253</v>
      </c>
      <c r="E1276" s="1">
        <f>IF($H$11=1,IF(D1276&lt;=$A$15, E1275+LN($D$11)-LN(60/$E$11)-LN(MIN(D1276,$F$11)), E1275-LN(60/$E$11)-LN(MIN(D1276,$F$11))), IF(D1276&lt;=$A$15, E1275+LN($D$11)-LN(60/$E$11)-LN(MIN(D1276,$F$11)), E1275+LN($D$11)+LN(1-$H$11)-LN(60/$E$11)-LN(MIN(D1276,$F$11))))</f>
        <v>-150.11913591270368</v>
      </c>
      <c r="F1276" s="1">
        <f t="shared" si="119"/>
        <v>-152.12116872190273</v>
      </c>
      <c r="G1276" s="1">
        <f t="shared" si="117"/>
        <v>8.6023249409821769E-67</v>
      </c>
      <c r="H1276" s="1">
        <f t="shared" si="114"/>
        <v>8.4438083946288069E-68</v>
      </c>
      <c r="I1276">
        <f>IF($F$11&lt;=D1276, IF(D1276&lt;=$A$15,D1276-$F$11,$C$11),0)</f>
        <v>60</v>
      </c>
      <c r="J1276">
        <f t="shared" si="115"/>
        <v>1189</v>
      </c>
      <c r="K1276" s="5">
        <f>IF(D1276&lt;$F$11,H1276,0)</f>
        <v>0</v>
      </c>
      <c r="L1276">
        <f>IF(D1276&lt;$A$15,$D$11,$D$11*(1-$H$11))</f>
        <v>85</v>
      </c>
      <c r="M1276">
        <f t="shared" si="116"/>
        <v>1</v>
      </c>
      <c r="N1276">
        <f>IF(SUM(I1276:J1276)&lt;=($G$11/60*$F$11/($E$11/60)),1,0)</f>
        <v>0</v>
      </c>
    </row>
    <row r="1277" spans="4:14" x14ac:dyDescent="0.2">
      <c r="D1277">
        <f t="shared" si="118"/>
        <v>1254</v>
      </c>
      <c r="E1277" s="1">
        <f>IF($H$11=1,IF(D1277&lt;=$A$15, E1276+LN($D$11)-LN(60/$E$11)-LN(MIN(D1277,$F$11)), E1276-LN(60/$E$11)-LN(MIN(D1277,$F$11))), IF(D1277&lt;=$A$15, E1276+LN($D$11)-LN(60/$E$11)-LN(MIN(D1277,$F$11)), E1276+LN($D$11)+LN(1-$H$11)-LN(60/$E$11)-LN(MIN(D1277,$F$11))))</f>
        <v>-150.24083284768122</v>
      </c>
      <c r="F1277" s="1">
        <f t="shared" si="119"/>
        <v>-152.24286565688027</v>
      </c>
      <c r="G1277" s="1">
        <f t="shared" si="117"/>
        <v>7.6166418748278512E-67</v>
      </c>
      <c r="H1277" s="1">
        <f t="shared" si="114"/>
        <v>7.47628868274414E-68</v>
      </c>
      <c r="I1277">
        <f>IF($F$11&lt;=D1277, IF(D1277&lt;=$A$15,D1277-$F$11,$C$11),0)</f>
        <v>60</v>
      </c>
      <c r="J1277">
        <f t="shared" si="115"/>
        <v>1190</v>
      </c>
      <c r="K1277" s="5">
        <f>IF(D1277&lt;$F$11,H1277,0)</f>
        <v>0</v>
      </c>
      <c r="L1277">
        <f>IF(D1277&lt;$A$15,$D$11,$D$11*(1-$H$11))</f>
        <v>85</v>
      </c>
      <c r="M1277">
        <f t="shared" si="116"/>
        <v>1</v>
      </c>
      <c r="N1277">
        <f>IF(SUM(I1277:J1277)&lt;=($G$11/60*$F$11/($E$11/60)),1,0)</f>
        <v>0</v>
      </c>
    </row>
    <row r="1278" spans="4:14" x14ac:dyDescent="0.2">
      <c r="D1278">
        <f t="shared" si="118"/>
        <v>1255</v>
      </c>
      <c r="E1278" s="1">
        <f>IF($H$11=1,IF(D1278&lt;=$A$15, E1277+LN($D$11)-LN(60/$E$11)-LN(MIN(D1278,$F$11)), E1277-LN(60/$E$11)-LN(MIN(D1278,$F$11))), IF(D1278&lt;=$A$15, E1277+LN($D$11)-LN(60/$E$11)-LN(MIN(D1278,$F$11)), E1277+LN($D$11)+LN(1-$H$11)-LN(60/$E$11)-LN(MIN(D1278,$F$11))))</f>
        <v>-150.36252978265875</v>
      </c>
      <c r="F1278" s="1">
        <f t="shared" si="119"/>
        <v>-152.3645625918578</v>
      </c>
      <c r="G1278" s="1">
        <f t="shared" si="117"/>
        <v>6.7439016600037211E-67</v>
      </c>
      <c r="H1278" s="1">
        <f t="shared" si="114"/>
        <v>6.6196306045129375E-68</v>
      </c>
      <c r="I1278">
        <f>IF($F$11&lt;=D1278, IF(D1278&lt;=$A$15,D1278-$F$11,$C$11),0)</f>
        <v>60</v>
      </c>
      <c r="J1278">
        <f t="shared" si="115"/>
        <v>1191</v>
      </c>
      <c r="K1278" s="5">
        <f>IF(D1278&lt;$F$11,H1278,0)</f>
        <v>0</v>
      </c>
      <c r="L1278">
        <f>IF(D1278&lt;$A$15,$D$11,$D$11*(1-$H$11))</f>
        <v>85</v>
      </c>
      <c r="M1278">
        <f t="shared" si="116"/>
        <v>1</v>
      </c>
      <c r="N1278">
        <f>IF(SUM(I1278:J1278)&lt;=($G$11/60*$F$11/($E$11/60)),1,0)</f>
        <v>0</v>
      </c>
    </row>
    <row r="1279" spans="4:14" x14ac:dyDescent="0.2">
      <c r="D1279">
        <f t="shared" si="118"/>
        <v>1256</v>
      </c>
      <c r="E1279" s="1">
        <f>IF($H$11=1,IF(D1279&lt;=$A$15, E1278+LN($D$11)-LN(60/$E$11)-LN(MIN(D1279,$F$11)), E1278-LN(60/$E$11)-LN(MIN(D1279,$F$11))), IF(D1279&lt;=$A$15, E1278+LN($D$11)-LN(60/$E$11)-LN(MIN(D1279,$F$11)), E1278+LN($D$11)+LN(1-$H$11)-LN(60/$E$11)-LN(MIN(D1279,$F$11))))</f>
        <v>-150.48422671763629</v>
      </c>
      <c r="F1279" s="1">
        <f t="shared" si="119"/>
        <v>-152.48625952683534</v>
      </c>
      <c r="G1279" s="1">
        <f t="shared" si="117"/>
        <v>5.9711629281282004E-67</v>
      </c>
      <c r="H1279" s="1">
        <f t="shared" si="114"/>
        <v>5.8611312644124042E-68</v>
      </c>
      <c r="I1279">
        <f>IF($F$11&lt;=D1279, IF(D1279&lt;=$A$15,D1279-$F$11,$C$11),0)</f>
        <v>60</v>
      </c>
      <c r="J1279">
        <f t="shared" si="115"/>
        <v>1192</v>
      </c>
      <c r="K1279" s="5">
        <f>IF(D1279&lt;$F$11,H1279,0)</f>
        <v>0</v>
      </c>
      <c r="L1279">
        <f>IF(D1279&lt;$A$15,$D$11,$D$11*(1-$H$11))</f>
        <v>85</v>
      </c>
      <c r="M1279">
        <f t="shared" si="116"/>
        <v>1</v>
      </c>
      <c r="N1279">
        <f>IF(SUM(I1279:J1279)&lt;=($G$11/60*$F$11/($E$11/60)),1,0)</f>
        <v>0</v>
      </c>
    </row>
    <row r="1280" spans="4:14" x14ac:dyDescent="0.2">
      <c r="D1280">
        <f t="shared" si="118"/>
        <v>1257</v>
      </c>
      <c r="E1280" s="1">
        <f>IF($H$11=1,IF(D1280&lt;=$A$15, E1279+LN($D$11)-LN(60/$E$11)-LN(MIN(D1280,$F$11)), E1279-LN(60/$E$11)-LN(MIN(D1280,$F$11))), IF(D1280&lt;=$A$15, E1279+LN($D$11)-LN(60/$E$11)-LN(MIN(D1280,$F$11)), E1279+LN($D$11)+LN(1-$H$11)-LN(60/$E$11)-LN(MIN(D1280,$F$11))))</f>
        <v>-150.60592365261382</v>
      </c>
      <c r="F1280" s="1">
        <f t="shared" si="119"/>
        <v>-152.60795646181288</v>
      </c>
      <c r="G1280" s="1">
        <f t="shared" si="117"/>
        <v>5.286967175946762E-67</v>
      </c>
      <c r="H1280" s="1">
        <f t="shared" si="114"/>
        <v>5.1895433070317358E-68</v>
      </c>
      <c r="I1280">
        <f>IF($F$11&lt;=D1280, IF(D1280&lt;=$A$15,D1280-$F$11,$C$11),0)</f>
        <v>60</v>
      </c>
      <c r="J1280">
        <f t="shared" si="115"/>
        <v>1193</v>
      </c>
      <c r="K1280" s="5">
        <f>IF(D1280&lt;$F$11,H1280,0)</f>
        <v>0</v>
      </c>
      <c r="L1280">
        <f>IF(D1280&lt;$A$15,$D$11,$D$11*(1-$H$11))</f>
        <v>85</v>
      </c>
      <c r="M1280">
        <f t="shared" si="116"/>
        <v>1</v>
      </c>
      <c r="N1280">
        <f>IF(SUM(I1280:J1280)&lt;=($G$11/60*$F$11/($E$11/60)),1,0)</f>
        <v>0</v>
      </c>
    </row>
    <row r="1281" spans="4:14" x14ac:dyDescent="0.2">
      <c r="D1281">
        <f t="shared" si="118"/>
        <v>1258</v>
      </c>
      <c r="E1281" s="1">
        <f>IF($H$11=1,IF(D1281&lt;=$A$15, E1280+LN($D$11)-LN(60/$E$11)-LN(MIN(D1281,$F$11)), E1280-LN(60/$E$11)-LN(MIN(D1281,$F$11))), IF(D1281&lt;=$A$15, E1280+LN($D$11)-LN(60/$E$11)-LN(MIN(D1281,$F$11)), E1280+LN($D$11)+LN(1-$H$11)-LN(60/$E$11)-LN(MIN(D1281,$F$11))))</f>
        <v>-150.72762058759136</v>
      </c>
      <c r="F1281" s="1">
        <f t="shared" si="119"/>
        <v>-152.72965339679041</v>
      </c>
      <c r="G1281" s="1">
        <f t="shared" si="117"/>
        <v>4.6811688537027888E-67</v>
      </c>
      <c r="H1281" s="1">
        <f t="shared" si="114"/>
        <v>4.5949081364342772E-68</v>
      </c>
      <c r="I1281">
        <f>IF($F$11&lt;=D1281, IF(D1281&lt;=$A$15,D1281-$F$11,$C$11),0)</f>
        <v>60</v>
      </c>
      <c r="J1281">
        <f t="shared" si="115"/>
        <v>1194</v>
      </c>
      <c r="K1281" s="5">
        <f>IF(D1281&lt;$F$11,H1281,0)</f>
        <v>0</v>
      </c>
      <c r="L1281">
        <f>IF(D1281&lt;$A$15,$D$11,$D$11*(1-$H$11))</f>
        <v>85</v>
      </c>
      <c r="M1281">
        <f t="shared" si="116"/>
        <v>1</v>
      </c>
      <c r="N1281">
        <f>IF(SUM(I1281:J1281)&lt;=($G$11/60*$F$11/($E$11/60)),1,0)</f>
        <v>0</v>
      </c>
    </row>
    <row r="1282" spans="4:14" x14ac:dyDescent="0.2">
      <c r="D1282">
        <f t="shared" si="118"/>
        <v>1259</v>
      </c>
      <c r="E1282" s="1">
        <f>IF($H$11=1,IF(D1282&lt;=$A$15, E1281+LN($D$11)-LN(60/$E$11)-LN(MIN(D1282,$F$11)), E1281-LN(60/$E$11)-LN(MIN(D1282,$F$11))), IF(D1282&lt;=$A$15, E1281+LN($D$11)-LN(60/$E$11)-LN(MIN(D1282,$F$11)), E1281+LN($D$11)+LN(1-$H$11)-LN(60/$E$11)-LN(MIN(D1282,$F$11))))</f>
        <v>-150.8493175225689</v>
      </c>
      <c r="F1282" s="1">
        <f t="shared" si="119"/>
        <v>-152.85135033176795</v>
      </c>
      <c r="G1282" s="1">
        <f t="shared" si="117"/>
        <v>4.1447849225492798E-67</v>
      </c>
      <c r="H1282" s="1">
        <f t="shared" si="114"/>
        <v>4.0684082458011199E-68</v>
      </c>
      <c r="I1282">
        <f>IF($F$11&lt;=D1282, IF(D1282&lt;=$A$15,D1282-$F$11,$C$11),0)</f>
        <v>60</v>
      </c>
      <c r="J1282">
        <f t="shared" si="115"/>
        <v>1195</v>
      </c>
      <c r="K1282" s="5">
        <f>IF(D1282&lt;$F$11,H1282,0)</f>
        <v>0</v>
      </c>
      <c r="L1282">
        <f>IF(D1282&lt;$A$15,$D$11,$D$11*(1-$H$11))</f>
        <v>85</v>
      </c>
      <c r="M1282">
        <f t="shared" si="116"/>
        <v>1</v>
      </c>
      <c r="N1282">
        <f>IF(SUM(I1282:J1282)&lt;=($G$11/60*$F$11/($E$11/60)),1,0)</f>
        <v>0</v>
      </c>
    </row>
    <row r="1283" spans="4:14" x14ac:dyDescent="0.2">
      <c r="D1283">
        <f t="shared" si="118"/>
        <v>1260</v>
      </c>
      <c r="E1283" s="1">
        <f>IF($H$11=1,IF(D1283&lt;=$A$15, E1282+LN($D$11)-LN(60/$E$11)-LN(MIN(D1283,$F$11)), E1282-LN(60/$E$11)-LN(MIN(D1283,$F$11))), IF(D1283&lt;=$A$15, E1282+LN($D$11)-LN(60/$E$11)-LN(MIN(D1283,$F$11)), E1282+LN($D$11)+LN(1-$H$11)-LN(60/$E$11)-LN(MIN(D1283,$F$11))))</f>
        <v>-150.97101445754643</v>
      </c>
      <c r="F1283" s="1">
        <f t="shared" si="119"/>
        <v>-152.97304726674548</v>
      </c>
      <c r="G1283" s="1">
        <f t="shared" si="117"/>
        <v>3.669861650173784E-67</v>
      </c>
      <c r="H1283" s="1">
        <f t="shared" si="114"/>
        <v>3.6022364676363515E-68</v>
      </c>
      <c r="I1283">
        <f>IF($F$11&lt;=D1283, IF(D1283&lt;=$A$15,D1283-$F$11,$C$11),0)</f>
        <v>60</v>
      </c>
      <c r="J1283">
        <f t="shared" si="115"/>
        <v>1196</v>
      </c>
      <c r="K1283" s="5">
        <f>IF(D1283&lt;$F$11,H1283,0)</f>
        <v>0</v>
      </c>
      <c r="L1283">
        <f>IF(D1283&lt;$A$15,$D$11,$D$11*(1-$H$11))</f>
        <v>85</v>
      </c>
      <c r="M1283">
        <f t="shared" si="116"/>
        <v>1</v>
      </c>
      <c r="N1283">
        <f>IF(SUM(I1283:J1283)&lt;=($G$11/60*$F$11/($E$11/60)),1,0)</f>
        <v>0</v>
      </c>
    </row>
    <row r="1284" spans="4:14" x14ac:dyDescent="0.2">
      <c r="D1284">
        <f t="shared" si="118"/>
        <v>1261</v>
      </c>
      <c r="E1284" s="1">
        <f>IF($H$11=1,IF(D1284&lt;=$A$15, E1283+LN($D$11)-LN(60/$E$11)-LN(MIN(D1284,$F$11)), E1283-LN(60/$E$11)-LN(MIN(D1284,$F$11))), IF(D1284&lt;=$A$15, E1283+LN($D$11)-LN(60/$E$11)-LN(MIN(D1284,$F$11)), E1283+LN($D$11)+LN(1-$H$11)-LN(60/$E$11)-LN(MIN(D1284,$F$11))))</f>
        <v>-151.09271139252397</v>
      </c>
      <c r="F1284" s="1">
        <f t="shared" si="119"/>
        <v>-153.09474420172302</v>
      </c>
      <c r="G1284" s="1">
        <f t="shared" si="117"/>
        <v>3.2493566694246533E-67</v>
      </c>
      <c r="H1284" s="1">
        <f t="shared" si="114"/>
        <v>3.1894802057196361E-68</v>
      </c>
      <c r="I1284">
        <f>IF($F$11&lt;=D1284, IF(D1284&lt;=$A$15,D1284-$F$11,$C$11),0)</f>
        <v>60</v>
      </c>
      <c r="J1284">
        <f t="shared" si="115"/>
        <v>1197</v>
      </c>
      <c r="K1284" s="5">
        <f>IF(D1284&lt;$F$11,H1284,0)</f>
        <v>0</v>
      </c>
      <c r="L1284">
        <f>IF(D1284&lt;$A$15,$D$11,$D$11*(1-$H$11))</f>
        <v>85</v>
      </c>
      <c r="M1284">
        <f t="shared" si="116"/>
        <v>1</v>
      </c>
      <c r="N1284">
        <f>IF(SUM(I1284:J1284)&lt;=($G$11/60*$F$11/($E$11/60)),1,0)</f>
        <v>0</v>
      </c>
    </row>
    <row r="1285" spans="4:14" x14ac:dyDescent="0.2">
      <c r="D1285">
        <f t="shared" si="118"/>
        <v>1262</v>
      </c>
      <c r="E1285" s="1">
        <f>IF($H$11=1,IF(D1285&lt;=$A$15, E1284+LN($D$11)-LN(60/$E$11)-LN(MIN(D1285,$F$11)), E1284-LN(60/$E$11)-LN(MIN(D1285,$F$11))), IF(D1285&lt;=$A$15, E1284+LN($D$11)-LN(60/$E$11)-LN(MIN(D1285,$F$11)), E1284+LN($D$11)+LN(1-$H$11)-LN(60/$E$11)-LN(MIN(D1285,$F$11))))</f>
        <v>-151.2144083275015</v>
      </c>
      <c r="F1285" s="1">
        <f t="shared" si="119"/>
        <v>-153.21644113670055</v>
      </c>
      <c r="G1285" s="1">
        <f t="shared" si="117"/>
        <v>2.8770345510530336E-67</v>
      </c>
      <c r="H1285" s="1">
        <f t="shared" si="114"/>
        <v>2.8240189321475504E-68</v>
      </c>
      <c r="I1285">
        <f>IF($F$11&lt;=D1285, IF(D1285&lt;=$A$15,D1285-$F$11,$C$11),0)</f>
        <v>60</v>
      </c>
      <c r="J1285">
        <f t="shared" si="115"/>
        <v>1198</v>
      </c>
      <c r="K1285" s="5">
        <f>IF(D1285&lt;$F$11,H1285,0)</f>
        <v>0</v>
      </c>
      <c r="L1285">
        <f>IF(D1285&lt;$A$15,$D$11,$D$11*(1-$H$11))</f>
        <v>85</v>
      </c>
      <c r="M1285">
        <f t="shared" si="116"/>
        <v>1</v>
      </c>
      <c r="N1285">
        <f>IF(SUM(I1285:J1285)&lt;=($G$11/60*$F$11/($E$11/60)),1,0)</f>
        <v>0</v>
      </c>
    </row>
    <row r="1286" spans="4:14" x14ac:dyDescent="0.2">
      <c r="D1286">
        <f t="shared" si="118"/>
        <v>1263</v>
      </c>
      <c r="E1286" s="1">
        <f>IF($H$11=1,IF(D1286&lt;=$A$15, E1285+LN($D$11)-LN(60/$E$11)-LN(MIN(D1286,$F$11)), E1285-LN(60/$E$11)-LN(MIN(D1286,$F$11))), IF(D1286&lt;=$A$15, E1285+LN($D$11)-LN(60/$E$11)-LN(MIN(D1286,$F$11)), E1285+LN($D$11)+LN(1-$H$11)-LN(60/$E$11)-LN(MIN(D1286,$F$11))))</f>
        <v>-151.33610526247904</v>
      </c>
      <c r="F1286" s="1">
        <f t="shared" si="119"/>
        <v>-153.33813807167809</v>
      </c>
      <c r="G1286" s="1">
        <f t="shared" si="117"/>
        <v>2.5473743420781672E-67</v>
      </c>
      <c r="H1286" s="1">
        <f t="shared" si="114"/>
        <v>2.5004334295056046E-68</v>
      </c>
      <c r="I1286">
        <f>IF($F$11&lt;=D1286, IF(D1286&lt;=$A$15,D1286-$F$11,$C$11),0)</f>
        <v>60</v>
      </c>
      <c r="J1286">
        <f t="shared" si="115"/>
        <v>1199</v>
      </c>
      <c r="K1286" s="5">
        <f>IF(D1286&lt;$F$11,H1286,0)</f>
        <v>0</v>
      </c>
      <c r="L1286">
        <f>IF(D1286&lt;$A$15,$D$11,$D$11*(1-$H$11))</f>
        <v>85</v>
      </c>
      <c r="M1286">
        <f t="shared" si="116"/>
        <v>1</v>
      </c>
      <c r="N1286">
        <f>IF(SUM(I1286:J1286)&lt;=($G$11/60*$F$11/($E$11/60)),1,0)</f>
        <v>0</v>
      </c>
    </row>
    <row r="1287" spans="4:14" x14ac:dyDescent="0.2">
      <c r="D1287">
        <f t="shared" si="118"/>
        <v>1264</v>
      </c>
      <c r="E1287" s="1">
        <f>IF($H$11=1,IF(D1287&lt;=$A$15, E1286+LN($D$11)-LN(60/$E$11)-LN(MIN(D1287,$F$11)), E1286-LN(60/$E$11)-LN(MIN(D1287,$F$11))), IF(D1287&lt;=$A$15, E1286+LN($D$11)-LN(60/$E$11)-LN(MIN(D1287,$F$11)), E1286+LN($D$11)+LN(1-$H$11)-LN(60/$E$11)-LN(MIN(D1287,$F$11))))</f>
        <v>-151.45780219745657</v>
      </c>
      <c r="F1287" s="1">
        <f t="shared" si="119"/>
        <v>-153.45983500665562</v>
      </c>
      <c r="G1287" s="1">
        <f t="shared" si="117"/>
        <v>2.2554876987150085E-67</v>
      </c>
      <c r="H1287" s="1">
        <f t="shared" si="114"/>
        <v>2.2139254323747192E-68</v>
      </c>
      <c r="I1287">
        <f>IF($F$11&lt;=D1287, IF(D1287&lt;=$A$15,D1287-$F$11,$C$11),0)</f>
        <v>60</v>
      </c>
      <c r="J1287">
        <f t="shared" si="115"/>
        <v>1200</v>
      </c>
      <c r="K1287" s="5">
        <f>IF(D1287&lt;$F$11,H1287,0)</f>
        <v>0</v>
      </c>
      <c r="L1287">
        <f>IF(D1287&lt;$A$15,$D$11,$D$11*(1-$H$11))</f>
        <v>85</v>
      </c>
      <c r="M1287">
        <f t="shared" si="116"/>
        <v>1</v>
      </c>
      <c r="N1287">
        <f>IF(SUM(I1287:J1287)&lt;=($G$11/60*$F$11/($E$11/60)),1,0)</f>
        <v>0</v>
      </c>
    </row>
    <row r="1288" spans="4:14" x14ac:dyDescent="0.2">
      <c r="D1288">
        <f t="shared" si="118"/>
        <v>1265</v>
      </c>
      <c r="E1288" s="1">
        <f>IF($H$11=1,IF(D1288&lt;=$A$15, E1287+LN($D$11)-LN(60/$E$11)-LN(MIN(D1288,$F$11)), E1287-LN(60/$E$11)-LN(MIN(D1288,$F$11))), IF(D1288&lt;=$A$15, E1287+LN($D$11)-LN(60/$E$11)-LN(MIN(D1288,$F$11)), E1287+LN($D$11)+LN(1-$H$11)-LN(60/$E$11)-LN(MIN(D1288,$F$11))))</f>
        <v>-151.57949913243411</v>
      </c>
      <c r="F1288" s="1">
        <f t="shared" si="119"/>
        <v>-153.58153194163316</v>
      </c>
      <c r="G1288" s="1">
        <f t="shared" si="117"/>
        <v>1.9970463999038826E-67</v>
      </c>
      <c r="H1288" s="1">
        <f t="shared" si="114"/>
        <v>1.960246476581752E-68</v>
      </c>
      <c r="I1288">
        <f>IF($F$11&lt;=D1288, IF(D1288&lt;=$A$15,D1288-$F$11,$C$11),0)</f>
        <v>60</v>
      </c>
      <c r="J1288">
        <f t="shared" si="115"/>
        <v>1201</v>
      </c>
      <c r="K1288" s="5">
        <f>IF(D1288&lt;$F$11,H1288,0)</f>
        <v>0</v>
      </c>
      <c r="L1288">
        <f>IF(D1288&lt;$A$15,$D$11,$D$11*(1-$H$11))</f>
        <v>85</v>
      </c>
      <c r="M1288">
        <f t="shared" si="116"/>
        <v>1</v>
      </c>
      <c r="N1288">
        <f>IF(SUM(I1288:J1288)&lt;=($G$11/60*$F$11/($E$11/60)),1,0)</f>
        <v>0</v>
      </c>
    </row>
    <row r="1289" spans="4:14" x14ac:dyDescent="0.2">
      <c r="D1289">
        <f t="shared" si="118"/>
        <v>1266</v>
      </c>
      <c r="E1289" s="1">
        <f>IF($H$11=1,IF(D1289&lt;=$A$15, E1288+LN($D$11)-LN(60/$E$11)-LN(MIN(D1289,$F$11)), E1288-LN(60/$E$11)-LN(MIN(D1289,$F$11))), IF(D1289&lt;=$A$15, E1288+LN($D$11)-LN(60/$E$11)-LN(MIN(D1289,$F$11)), E1288+LN($D$11)+LN(1-$H$11)-LN(60/$E$11)-LN(MIN(D1289,$F$11))))</f>
        <v>-151.70119606741164</v>
      </c>
      <c r="F1289" s="1">
        <f t="shared" si="119"/>
        <v>-153.70322887661069</v>
      </c>
      <c r="G1289" s="1">
        <f t="shared" si="117"/>
        <v>1.768218166581535E-67</v>
      </c>
      <c r="H1289" s="1">
        <f t="shared" si="114"/>
        <v>1.735634901140066E-68</v>
      </c>
      <c r="I1289">
        <f>IF($F$11&lt;=D1289, IF(D1289&lt;=$A$15,D1289-$F$11,$C$11),0)</f>
        <v>60</v>
      </c>
      <c r="J1289">
        <f t="shared" si="115"/>
        <v>1202</v>
      </c>
      <c r="K1289" s="5">
        <f>IF(D1289&lt;$F$11,H1289,0)</f>
        <v>0</v>
      </c>
      <c r="L1289">
        <f>IF(D1289&lt;$A$15,$D$11,$D$11*(1-$H$11))</f>
        <v>85</v>
      </c>
      <c r="M1289">
        <f t="shared" si="116"/>
        <v>1</v>
      </c>
      <c r="N1289">
        <f>IF(SUM(I1289:J1289)&lt;=($G$11/60*$F$11/($E$11/60)),1,0)</f>
        <v>0</v>
      </c>
    </row>
    <row r="1290" spans="4:14" x14ac:dyDescent="0.2">
      <c r="D1290">
        <f t="shared" si="118"/>
        <v>1267</v>
      </c>
      <c r="E1290" s="1">
        <f>IF($H$11=1,IF(D1290&lt;=$A$15, E1289+LN($D$11)-LN(60/$E$11)-LN(MIN(D1290,$F$11)), E1289-LN(60/$E$11)-LN(MIN(D1290,$F$11))), IF(D1290&lt;=$A$15, E1289+LN($D$11)-LN(60/$E$11)-LN(MIN(D1290,$F$11)), E1289+LN($D$11)+LN(1-$H$11)-LN(60/$E$11)-LN(MIN(D1290,$F$11))))</f>
        <v>-151.82289300238918</v>
      </c>
      <c r="F1290" s="1">
        <f t="shared" si="119"/>
        <v>-153.82492581158823</v>
      </c>
      <c r="G1290" s="1">
        <f t="shared" si="117"/>
        <v>1.565609834994043E-67</v>
      </c>
      <c r="H1290" s="1">
        <f t="shared" si="114"/>
        <v>1.5367600687177427E-68</v>
      </c>
      <c r="I1290">
        <f>IF($F$11&lt;=D1290, IF(D1290&lt;=$A$15,D1290-$F$11,$C$11),0)</f>
        <v>60</v>
      </c>
      <c r="J1290">
        <f t="shared" si="115"/>
        <v>1203</v>
      </c>
      <c r="K1290" s="5">
        <f>IF(D1290&lt;$F$11,H1290,0)</f>
        <v>0</v>
      </c>
      <c r="L1290">
        <f>IF(D1290&lt;$A$15,$D$11,$D$11*(1-$H$11))</f>
        <v>85</v>
      </c>
      <c r="M1290">
        <f t="shared" si="116"/>
        <v>1</v>
      </c>
      <c r="N1290">
        <f>IF(SUM(I1290:J1290)&lt;=($G$11/60*$F$11/($E$11/60)),1,0)</f>
        <v>0</v>
      </c>
    </row>
    <row r="1291" spans="4:14" x14ac:dyDescent="0.2">
      <c r="D1291">
        <f t="shared" si="118"/>
        <v>1268</v>
      </c>
      <c r="E1291" s="1">
        <f>IF($H$11=1,IF(D1291&lt;=$A$15, E1290+LN($D$11)-LN(60/$E$11)-LN(MIN(D1291,$F$11)), E1290-LN(60/$E$11)-LN(MIN(D1291,$F$11))), IF(D1291&lt;=$A$15, E1290+LN($D$11)-LN(60/$E$11)-LN(MIN(D1291,$F$11)), E1290+LN($D$11)+LN(1-$H$11)-LN(60/$E$11)-LN(MIN(D1291,$F$11))))</f>
        <v>-151.94458993736671</v>
      </c>
      <c r="F1291" s="1">
        <f t="shared" si="119"/>
        <v>-153.94662274656577</v>
      </c>
      <c r="G1291" s="1">
        <f t="shared" si="117"/>
        <v>1.386217041400954E-67</v>
      </c>
      <c r="H1291" s="1">
        <f t="shared" si="114"/>
        <v>1.3606729775104801E-68</v>
      </c>
      <c r="I1291">
        <f>IF($F$11&lt;=D1291, IF(D1291&lt;=$A$15,D1291-$F$11,$C$11),0)</f>
        <v>60</v>
      </c>
      <c r="J1291">
        <f t="shared" si="115"/>
        <v>1204</v>
      </c>
      <c r="K1291" s="5">
        <f>IF(D1291&lt;$F$11,H1291,0)</f>
        <v>0</v>
      </c>
      <c r="L1291">
        <f>IF(D1291&lt;$A$15,$D$11,$D$11*(1-$H$11))</f>
        <v>85</v>
      </c>
      <c r="M1291">
        <f t="shared" si="116"/>
        <v>1</v>
      </c>
      <c r="N1291">
        <f>IF(SUM(I1291:J1291)&lt;=($G$11/60*$F$11/($E$11/60)),1,0)</f>
        <v>0</v>
      </c>
    </row>
    <row r="1292" spans="4:14" x14ac:dyDescent="0.2">
      <c r="D1292">
        <f t="shared" si="118"/>
        <v>1269</v>
      </c>
      <c r="E1292" s="1">
        <f>IF($H$11=1,IF(D1292&lt;=$A$15, E1291+LN($D$11)-LN(60/$E$11)-LN(MIN(D1292,$F$11)), E1291-LN(60/$E$11)-LN(MIN(D1292,$F$11))), IF(D1292&lt;=$A$15, E1291+LN($D$11)-LN(60/$E$11)-LN(MIN(D1292,$F$11)), E1291+LN($D$11)+LN(1-$H$11)-LN(60/$E$11)-LN(MIN(D1292,$F$11))))</f>
        <v>-152.06628687234425</v>
      </c>
      <c r="F1292" s="1">
        <f t="shared" si="119"/>
        <v>-154.0683196815433</v>
      </c>
      <c r="G1292" s="1">
        <f t="shared" si="117"/>
        <v>1.2273796720737421E-67</v>
      </c>
      <c r="H1292" s="1">
        <f t="shared" si="114"/>
        <v>1.2047625321707187E-68</v>
      </c>
      <c r="I1292">
        <f>IF($F$11&lt;=D1292, IF(D1292&lt;=$A$15,D1292-$F$11,$C$11),0)</f>
        <v>60</v>
      </c>
      <c r="J1292">
        <f t="shared" si="115"/>
        <v>1205</v>
      </c>
      <c r="K1292" s="5">
        <f>IF(D1292&lt;$F$11,H1292,0)</f>
        <v>0</v>
      </c>
      <c r="L1292">
        <f>IF(D1292&lt;$A$15,$D$11,$D$11*(1-$H$11))</f>
        <v>85</v>
      </c>
      <c r="M1292">
        <f t="shared" si="116"/>
        <v>1</v>
      </c>
      <c r="N1292">
        <f>IF(SUM(I1292:J1292)&lt;=($G$11/60*$F$11/($E$11/60)),1,0)</f>
        <v>0</v>
      </c>
    </row>
    <row r="1293" spans="4:14" x14ac:dyDescent="0.2">
      <c r="D1293">
        <f t="shared" si="118"/>
        <v>1270</v>
      </c>
      <c r="E1293" s="1">
        <f>IF($H$11=1,IF(D1293&lt;=$A$15, E1292+LN($D$11)-LN(60/$E$11)-LN(MIN(D1293,$F$11)), E1292-LN(60/$E$11)-LN(MIN(D1293,$F$11))), IF(D1293&lt;=$A$15, E1292+LN($D$11)-LN(60/$E$11)-LN(MIN(D1293,$F$11)), E1292+LN($D$11)+LN(1-$H$11)-LN(60/$E$11)-LN(MIN(D1293,$F$11))))</f>
        <v>-152.18798380732179</v>
      </c>
      <c r="F1293" s="1">
        <f t="shared" si="119"/>
        <v>-154.19001661652084</v>
      </c>
      <c r="G1293" s="1">
        <f t="shared" si="117"/>
        <v>1.0867424179819422E-67</v>
      </c>
      <c r="H1293" s="1">
        <f t="shared" si="114"/>
        <v>1.0667168253594739E-68</v>
      </c>
      <c r="I1293">
        <f>IF($F$11&lt;=D1293, IF(D1293&lt;=$A$15,D1293-$F$11,$C$11),0)</f>
        <v>60</v>
      </c>
      <c r="J1293">
        <f t="shared" si="115"/>
        <v>1206</v>
      </c>
      <c r="K1293" s="5">
        <f>IF(D1293&lt;$F$11,H1293,0)</f>
        <v>0</v>
      </c>
      <c r="L1293">
        <f>IF(D1293&lt;$A$15,$D$11,$D$11*(1-$H$11))</f>
        <v>85</v>
      </c>
      <c r="M1293">
        <f t="shared" si="116"/>
        <v>1</v>
      </c>
      <c r="N1293">
        <f>IF(SUM(I1293:J1293)&lt;=($G$11/60*$F$11/($E$11/60)),1,0)</f>
        <v>0</v>
      </c>
    </row>
    <row r="1294" spans="4:14" x14ac:dyDescent="0.2">
      <c r="D1294">
        <f t="shared" si="118"/>
        <v>1271</v>
      </c>
      <c r="E1294" s="1">
        <f>IF($H$11=1,IF(D1294&lt;=$A$15, E1293+LN($D$11)-LN(60/$E$11)-LN(MIN(D1294,$F$11)), E1293-LN(60/$E$11)-LN(MIN(D1294,$F$11))), IF(D1294&lt;=$A$15, E1293+LN($D$11)-LN(60/$E$11)-LN(MIN(D1294,$F$11)), E1293+LN($D$11)+LN(1-$H$11)-LN(60/$E$11)-LN(MIN(D1294,$F$11))))</f>
        <v>-152.30968074229932</v>
      </c>
      <c r="F1294" s="1">
        <f t="shared" si="119"/>
        <v>-154.31171355149837</v>
      </c>
      <c r="G1294" s="1">
        <f t="shared" si="117"/>
        <v>9.6221984925482952E-68</v>
      </c>
      <c r="H1294" s="1">
        <f t="shared" si="114"/>
        <v>9.4448885578701932E-69</v>
      </c>
      <c r="I1294">
        <f>IF($F$11&lt;=D1294, IF(D1294&lt;=$A$15,D1294-$F$11,$C$11),0)</f>
        <v>60</v>
      </c>
      <c r="J1294">
        <f t="shared" si="115"/>
        <v>1207</v>
      </c>
      <c r="K1294" s="5">
        <f>IF(D1294&lt;$F$11,H1294,0)</f>
        <v>0</v>
      </c>
      <c r="L1294">
        <f>IF(D1294&lt;$A$15,$D$11,$D$11*(1-$H$11))</f>
        <v>85</v>
      </c>
      <c r="M1294">
        <f t="shared" si="116"/>
        <v>1</v>
      </c>
      <c r="N1294">
        <f>IF(SUM(I1294:J1294)&lt;=($G$11/60*$F$11/($E$11/60)),1,0)</f>
        <v>0</v>
      </c>
    </row>
    <row r="1295" spans="4:14" x14ac:dyDescent="0.2">
      <c r="D1295">
        <f t="shared" si="118"/>
        <v>1272</v>
      </c>
      <c r="E1295" s="1">
        <f>IF($H$11=1,IF(D1295&lt;=$A$15, E1294+LN($D$11)-LN(60/$E$11)-LN(MIN(D1295,$F$11)), E1294-LN(60/$E$11)-LN(MIN(D1295,$F$11))), IF(D1295&lt;=$A$15, E1294+LN($D$11)-LN(60/$E$11)-LN(MIN(D1295,$F$11)), E1294+LN($D$11)+LN(1-$H$11)-LN(60/$E$11)-LN(MIN(D1295,$F$11))))</f>
        <v>-152.43137767727686</v>
      </c>
      <c r="F1295" s="1">
        <f t="shared" si="119"/>
        <v>-154.43341048647591</v>
      </c>
      <c r="G1295" s="1">
        <f t="shared" si="117"/>
        <v>8.5196549152770043E-68</v>
      </c>
      <c r="H1295" s="1">
        <f t="shared" si="114"/>
        <v>8.3626617439474375E-69</v>
      </c>
      <c r="I1295">
        <f>IF($F$11&lt;=D1295, IF(D1295&lt;=$A$15,D1295-$F$11,$C$11),0)</f>
        <v>60</v>
      </c>
      <c r="J1295">
        <f t="shared" si="115"/>
        <v>1208</v>
      </c>
      <c r="K1295" s="5">
        <f>IF(D1295&lt;$F$11,H1295,0)</f>
        <v>0</v>
      </c>
      <c r="L1295">
        <f>IF(D1295&lt;$A$15,$D$11,$D$11*(1-$H$11))</f>
        <v>85</v>
      </c>
      <c r="M1295">
        <f t="shared" si="116"/>
        <v>1</v>
      </c>
      <c r="N1295">
        <f>IF(SUM(I1295:J1295)&lt;=($G$11/60*$F$11/($E$11/60)),1,0)</f>
        <v>0</v>
      </c>
    </row>
    <row r="1296" spans="4:14" x14ac:dyDescent="0.2">
      <c r="D1296">
        <f t="shared" si="118"/>
        <v>1273</v>
      </c>
      <c r="E1296" s="1">
        <f>IF($H$11=1,IF(D1296&lt;=$A$15, E1295+LN($D$11)-LN(60/$E$11)-LN(MIN(D1296,$F$11)), E1295-LN(60/$E$11)-LN(MIN(D1296,$F$11))), IF(D1296&lt;=$A$15, E1295+LN($D$11)-LN(60/$E$11)-LN(MIN(D1296,$F$11)), E1295+LN($D$11)+LN(1-$H$11)-LN(60/$E$11)-LN(MIN(D1296,$F$11))))</f>
        <v>-152.55307461225439</v>
      </c>
      <c r="F1296" s="1">
        <f t="shared" si="119"/>
        <v>-154.55510742145344</v>
      </c>
      <c r="G1296" s="1">
        <f t="shared" si="117"/>
        <v>7.5434444562347283E-68</v>
      </c>
      <c r="H1296" s="1">
        <f t="shared" si="114"/>
        <v>7.4044400857866759E-69</v>
      </c>
      <c r="I1296">
        <f>IF($F$11&lt;=D1296, IF(D1296&lt;=$A$15,D1296-$F$11,$C$11),0)</f>
        <v>60</v>
      </c>
      <c r="J1296">
        <f t="shared" si="115"/>
        <v>1209</v>
      </c>
      <c r="K1296" s="5">
        <f>IF(D1296&lt;$F$11,H1296,0)</f>
        <v>0</v>
      </c>
      <c r="L1296">
        <f>IF(D1296&lt;$A$15,$D$11,$D$11*(1-$H$11))</f>
        <v>85</v>
      </c>
      <c r="M1296">
        <f t="shared" si="116"/>
        <v>1</v>
      </c>
      <c r="N1296">
        <f>IF(SUM(I1296:J1296)&lt;=($G$11/60*$F$11/($E$11/60)),1,0)</f>
        <v>0</v>
      </c>
    </row>
    <row r="1297" spans="4:14" x14ac:dyDescent="0.2">
      <c r="D1297">
        <f t="shared" si="118"/>
        <v>1274</v>
      </c>
      <c r="E1297" s="1">
        <f>IF($H$11=1,IF(D1297&lt;=$A$15, E1296+LN($D$11)-LN(60/$E$11)-LN(MIN(D1297,$F$11)), E1296-LN(60/$E$11)-LN(MIN(D1297,$F$11))), IF(D1297&lt;=$A$15, E1296+LN($D$11)-LN(60/$E$11)-LN(MIN(D1297,$F$11)), E1296+LN($D$11)+LN(1-$H$11)-LN(60/$E$11)-LN(MIN(D1297,$F$11))))</f>
        <v>-152.67477154723193</v>
      </c>
      <c r="F1297" s="1">
        <f t="shared" si="119"/>
        <v>-154.67680435643098</v>
      </c>
      <c r="G1297" s="1">
        <f t="shared" si="117"/>
        <v>6.6790914456243948E-68</v>
      </c>
      <c r="H1297" s="1">
        <f t="shared" si="114"/>
        <v>6.5560146592901838E-69</v>
      </c>
      <c r="I1297">
        <f>IF($F$11&lt;=D1297, IF(D1297&lt;=$A$15,D1297-$F$11,$C$11),0)</f>
        <v>60</v>
      </c>
      <c r="J1297">
        <f t="shared" si="115"/>
        <v>1210</v>
      </c>
      <c r="K1297" s="5">
        <f>IF(D1297&lt;$F$11,H1297,0)</f>
        <v>0</v>
      </c>
      <c r="L1297">
        <f>IF(D1297&lt;$A$15,$D$11,$D$11*(1-$H$11))</f>
        <v>85</v>
      </c>
      <c r="M1297">
        <f t="shared" si="116"/>
        <v>1</v>
      </c>
      <c r="N1297">
        <f>IF(SUM(I1297:J1297)&lt;=($G$11/60*$F$11/($E$11/60)),1,0)</f>
        <v>0</v>
      </c>
    </row>
    <row r="1298" spans="4:14" x14ac:dyDescent="0.2">
      <c r="D1298">
        <f t="shared" si="118"/>
        <v>1275</v>
      </c>
      <c r="E1298" s="1">
        <f>IF($H$11=1,IF(D1298&lt;=$A$15, E1297+LN($D$11)-LN(60/$E$11)-LN(MIN(D1298,$F$11)), E1297-LN(60/$E$11)-LN(MIN(D1298,$F$11))), IF(D1298&lt;=$A$15, E1297+LN($D$11)-LN(60/$E$11)-LN(MIN(D1298,$F$11)), E1297+LN($D$11)+LN(1-$H$11)-LN(60/$E$11)-LN(MIN(D1298,$F$11))))</f>
        <v>-152.79646848220946</v>
      </c>
      <c r="F1298" s="1">
        <f t="shared" si="119"/>
        <v>-154.79850129140851</v>
      </c>
      <c r="G1298" s="1">
        <f t="shared" si="117"/>
        <v>5.9137788841465071E-68</v>
      </c>
      <c r="H1298" s="1">
        <f t="shared" si="114"/>
        <v>5.8048046462464262E-69</v>
      </c>
      <c r="I1298">
        <f>IF($F$11&lt;=D1298, IF(D1298&lt;=$A$15,D1298-$F$11,$C$11),0)</f>
        <v>60</v>
      </c>
      <c r="J1298">
        <f t="shared" si="115"/>
        <v>1211</v>
      </c>
      <c r="K1298" s="5">
        <f>IF(D1298&lt;$F$11,H1298,0)</f>
        <v>0</v>
      </c>
      <c r="L1298">
        <f>IF(D1298&lt;$A$15,$D$11,$D$11*(1-$H$11))</f>
        <v>85</v>
      </c>
      <c r="M1298">
        <f t="shared" si="116"/>
        <v>1</v>
      </c>
      <c r="N1298">
        <f>IF(SUM(I1298:J1298)&lt;=($G$11/60*$F$11/($E$11/60)),1,0)</f>
        <v>0</v>
      </c>
    </row>
    <row r="1299" spans="4:14" x14ac:dyDescent="0.2">
      <c r="D1299">
        <f t="shared" si="118"/>
        <v>1276</v>
      </c>
      <c r="E1299" s="1">
        <f>IF($H$11=1,IF(D1299&lt;=$A$15, E1298+LN($D$11)-LN(60/$E$11)-LN(MIN(D1299,$F$11)), E1298-LN(60/$E$11)-LN(MIN(D1299,$F$11))), IF(D1299&lt;=$A$15, E1298+LN($D$11)-LN(60/$E$11)-LN(MIN(D1299,$F$11)), E1298+LN($D$11)+LN(1-$H$11)-LN(60/$E$11)-LN(MIN(D1299,$F$11))))</f>
        <v>-152.918165417187</v>
      </c>
      <c r="F1299" s="1">
        <f t="shared" si="119"/>
        <v>-154.92019822638605</v>
      </c>
      <c r="G1299" s="1">
        <f t="shared" si="117"/>
        <v>5.2361583870046386E-68</v>
      </c>
      <c r="H1299" s="1">
        <f t="shared" si="114"/>
        <v>5.1396707805306108E-69</v>
      </c>
      <c r="I1299">
        <f>IF($F$11&lt;=D1299, IF(D1299&lt;=$A$15,D1299-$F$11,$C$11),0)</f>
        <v>60</v>
      </c>
      <c r="J1299">
        <f t="shared" si="115"/>
        <v>1212</v>
      </c>
      <c r="K1299" s="5">
        <f>IF(D1299&lt;$F$11,H1299,0)</f>
        <v>0</v>
      </c>
      <c r="L1299">
        <f>IF(D1299&lt;$A$15,$D$11,$D$11*(1-$H$11))</f>
        <v>85</v>
      </c>
      <c r="M1299">
        <f t="shared" si="116"/>
        <v>1</v>
      </c>
      <c r="N1299">
        <f>IF(SUM(I1299:J1299)&lt;=($G$11/60*$F$11/($E$11/60)),1,0)</f>
        <v>0</v>
      </c>
    </row>
    <row r="1300" spans="4:14" x14ac:dyDescent="0.2">
      <c r="D1300">
        <f t="shared" si="118"/>
        <v>1277</v>
      </c>
      <c r="E1300" s="1">
        <f>IF($H$11=1,IF(D1300&lt;=$A$15, E1299+LN($D$11)-LN(60/$E$11)-LN(MIN(D1300,$F$11)), E1299-LN(60/$E$11)-LN(MIN(D1300,$F$11))), IF(D1300&lt;=$A$15, E1299+LN($D$11)-LN(60/$E$11)-LN(MIN(D1300,$F$11)), E1299+LN($D$11)+LN(1-$H$11)-LN(60/$E$11)-LN(MIN(D1300,$F$11))))</f>
        <v>-153.03986235216453</v>
      </c>
      <c r="F1300" s="1">
        <f t="shared" si="119"/>
        <v>-155.04189516136358</v>
      </c>
      <c r="G1300" s="1">
        <f t="shared" si="117"/>
        <v>4.6361819051602841E-68</v>
      </c>
      <c r="H1300" s="1">
        <f t="shared" si="114"/>
        <v>4.5507501702614062E-69</v>
      </c>
      <c r="I1300">
        <f>IF($F$11&lt;=D1300, IF(D1300&lt;=$A$15,D1300-$F$11,$C$11),0)</f>
        <v>60</v>
      </c>
      <c r="J1300">
        <f t="shared" si="115"/>
        <v>1213</v>
      </c>
      <c r="K1300" s="5">
        <f>IF(D1300&lt;$F$11,H1300,0)</f>
        <v>0</v>
      </c>
      <c r="L1300">
        <f>IF(D1300&lt;$A$15,$D$11,$D$11*(1-$H$11))</f>
        <v>85</v>
      </c>
      <c r="M1300">
        <f t="shared" si="116"/>
        <v>1</v>
      </c>
      <c r="N1300">
        <f>IF(SUM(I1300:J1300)&lt;=($G$11/60*$F$11/($E$11/60)),1,0)</f>
        <v>0</v>
      </c>
    </row>
    <row r="1301" spans="4:14" x14ac:dyDescent="0.2">
      <c r="D1301">
        <f t="shared" si="118"/>
        <v>1278</v>
      </c>
      <c r="E1301" s="1">
        <f>IF($H$11=1,IF(D1301&lt;=$A$15, E1300+LN($D$11)-LN(60/$E$11)-LN(MIN(D1301,$F$11)), E1300-LN(60/$E$11)-LN(MIN(D1301,$F$11))), IF(D1301&lt;=$A$15, E1300+LN($D$11)-LN(60/$E$11)-LN(MIN(D1301,$F$11)), E1300+LN($D$11)+LN(1-$H$11)-LN(60/$E$11)-LN(MIN(D1301,$F$11))))</f>
        <v>-153.16155928714207</v>
      </c>
      <c r="F1301" s="1">
        <f t="shared" si="119"/>
        <v>-155.16359209634112</v>
      </c>
      <c r="G1301" s="1">
        <f t="shared" si="117"/>
        <v>4.104952728527271E-68</v>
      </c>
      <c r="H1301" s="1">
        <f t="shared" si="114"/>
        <v>4.0293100465855576E-69</v>
      </c>
      <c r="I1301">
        <f>IF($F$11&lt;=D1301, IF(D1301&lt;=$A$15,D1301-$F$11,$C$11),0)</f>
        <v>60</v>
      </c>
      <c r="J1301">
        <f t="shared" si="115"/>
        <v>1214</v>
      </c>
      <c r="K1301" s="5">
        <f>IF(D1301&lt;$F$11,H1301,0)</f>
        <v>0</v>
      </c>
      <c r="L1301">
        <f>IF(D1301&lt;$A$15,$D$11,$D$11*(1-$H$11))</f>
        <v>85</v>
      </c>
      <c r="M1301">
        <f t="shared" si="116"/>
        <v>1</v>
      </c>
      <c r="N1301">
        <f>IF(SUM(I1301:J1301)&lt;=($G$11/60*$F$11/($E$11/60)),1,0)</f>
        <v>0</v>
      </c>
    </row>
    <row r="1302" spans="4:14" x14ac:dyDescent="0.2">
      <c r="D1302">
        <f t="shared" si="118"/>
        <v>1279</v>
      </c>
      <c r="E1302" s="1">
        <f>IF($H$11=1,IF(D1302&lt;=$A$15, E1301+LN($D$11)-LN(60/$E$11)-LN(MIN(D1302,$F$11)), E1301-LN(60/$E$11)-LN(MIN(D1302,$F$11))), IF(D1302&lt;=$A$15, E1301+LN($D$11)-LN(60/$E$11)-LN(MIN(D1302,$F$11)), E1301+LN($D$11)+LN(1-$H$11)-LN(60/$E$11)-LN(MIN(D1302,$F$11))))</f>
        <v>-153.2832562221196</v>
      </c>
      <c r="F1302" s="1">
        <f t="shared" si="119"/>
        <v>-155.28528903131865</v>
      </c>
      <c r="G1302" s="1">
        <f t="shared" si="117"/>
        <v>3.6345935617167977E-68</v>
      </c>
      <c r="H1302" s="1">
        <f t="shared" si="114"/>
        <v>3.5676182704142399E-69</v>
      </c>
      <c r="I1302">
        <f>IF($F$11&lt;=D1302, IF(D1302&lt;=$A$15,D1302-$F$11,$C$11),0)</f>
        <v>60</v>
      </c>
      <c r="J1302">
        <f t="shared" si="115"/>
        <v>1215</v>
      </c>
      <c r="K1302" s="5">
        <f>IF(D1302&lt;$F$11,H1302,0)</f>
        <v>0</v>
      </c>
      <c r="L1302">
        <f>IF(D1302&lt;$A$15,$D$11,$D$11*(1-$H$11))</f>
        <v>85</v>
      </c>
      <c r="M1302">
        <f t="shared" si="116"/>
        <v>1</v>
      </c>
      <c r="N1302">
        <f>IF(SUM(I1302:J1302)&lt;=($G$11/60*$F$11/($E$11/60)),1,0)</f>
        <v>0</v>
      </c>
    </row>
    <row r="1303" spans="4:14" x14ac:dyDescent="0.2">
      <c r="D1303">
        <f t="shared" si="118"/>
        <v>1280</v>
      </c>
      <c r="E1303" s="1">
        <f>IF($H$11=1,IF(D1303&lt;=$A$15, E1302+LN($D$11)-LN(60/$E$11)-LN(MIN(D1303,$F$11)), E1302-LN(60/$E$11)-LN(MIN(D1303,$F$11))), IF(D1303&lt;=$A$15, E1302+LN($D$11)-LN(60/$E$11)-LN(MIN(D1303,$F$11)), E1302+LN($D$11)+LN(1-$H$11)-LN(60/$E$11)-LN(MIN(D1303,$F$11))))</f>
        <v>-153.40495315709714</v>
      </c>
      <c r="F1303" s="1">
        <f t="shared" si="119"/>
        <v>-155.40698596629619</v>
      </c>
      <c r="G1303" s="1">
        <f t="shared" si="117"/>
        <v>3.2181297161033641E-68</v>
      </c>
      <c r="H1303" s="1">
        <f t="shared" ref="H1303:H1366" si="120">G1303/$G$21</f>
        <v>3.1588286769292255E-69</v>
      </c>
      <c r="I1303">
        <f>IF($F$11&lt;=D1303, IF(D1303&lt;=$A$15,D1303-$F$11,$C$11),0)</f>
        <v>60</v>
      </c>
      <c r="J1303">
        <f t="shared" ref="J1303:J1366" si="121">IF(D1303&lt;=$A$15,0,D1303-$A$15)</f>
        <v>1216</v>
      </c>
      <c r="K1303" s="5">
        <f>IF(D1303&lt;$F$11,H1303,0)</f>
        <v>0</v>
      </c>
      <c r="L1303">
        <f>IF(D1303&lt;$A$15,$D$11,$D$11*(1-$H$11))</f>
        <v>85</v>
      </c>
      <c r="M1303">
        <f t="shared" ref="M1303:M1366" si="122">IF(D1303&lt;$A$15,0,1)</f>
        <v>1</v>
      </c>
      <c r="N1303">
        <f>IF(SUM(I1303:J1303)&lt;=($G$11/60*$F$11/($E$11/60)),1,0)</f>
        <v>0</v>
      </c>
    </row>
    <row r="1304" spans="4:14" x14ac:dyDescent="0.2">
      <c r="D1304">
        <f t="shared" si="118"/>
        <v>1281</v>
      </c>
      <c r="E1304" s="1">
        <f>IF($H$11=1,IF(D1304&lt;=$A$15, E1303+LN($D$11)-LN(60/$E$11)-LN(MIN(D1304,$F$11)), E1303-LN(60/$E$11)-LN(MIN(D1304,$F$11))), IF(D1304&lt;=$A$15, E1303+LN($D$11)-LN(60/$E$11)-LN(MIN(D1304,$F$11)), E1303+LN($D$11)+LN(1-$H$11)-LN(60/$E$11)-LN(MIN(D1304,$F$11))))</f>
        <v>-153.52665009207468</v>
      </c>
      <c r="F1304" s="1">
        <f t="shared" si="119"/>
        <v>-155.52868290127373</v>
      </c>
      <c r="G1304" s="1">
        <f t="shared" ref="G1304:G1367" si="123">EXP(F1304)</f>
        <v>2.8493856861331425E-68</v>
      </c>
      <c r="H1304" s="1">
        <f t="shared" si="120"/>
        <v>2.7968795576977077E-69</v>
      </c>
      <c r="I1304">
        <f>IF($F$11&lt;=D1304, IF(D1304&lt;=$A$15,D1304-$F$11,$C$11),0)</f>
        <v>60</v>
      </c>
      <c r="J1304">
        <f t="shared" si="121"/>
        <v>1217</v>
      </c>
      <c r="K1304" s="5">
        <f>IF(D1304&lt;$F$11,H1304,0)</f>
        <v>0</v>
      </c>
      <c r="L1304">
        <f>IF(D1304&lt;$A$15,$D$11,$D$11*(1-$H$11))</f>
        <v>85</v>
      </c>
      <c r="M1304">
        <f t="shared" si="122"/>
        <v>1</v>
      </c>
      <c r="N1304">
        <f>IF(SUM(I1304:J1304)&lt;=($G$11/60*$F$11/($E$11/60)),1,0)</f>
        <v>0</v>
      </c>
    </row>
    <row r="1305" spans="4:14" x14ac:dyDescent="0.2">
      <c r="D1305">
        <f t="shared" ref="D1305:D1368" si="124">1+D1304</f>
        <v>1282</v>
      </c>
      <c r="E1305" s="1">
        <f>IF($H$11=1,IF(D1305&lt;=$A$15, E1304+LN($D$11)-LN(60/$E$11)-LN(MIN(D1305,$F$11)), E1304-LN(60/$E$11)-LN(MIN(D1305,$F$11))), IF(D1305&lt;=$A$15, E1304+LN($D$11)-LN(60/$E$11)-LN(MIN(D1305,$F$11)), E1304+LN($D$11)+LN(1-$H$11)-LN(60/$E$11)-LN(MIN(D1305,$F$11))))</f>
        <v>-153.64834702705221</v>
      </c>
      <c r="F1305" s="1">
        <f t="shared" ref="F1305:F1368" si="125">E1305-$E$21</f>
        <v>-155.65037983625126</v>
      </c>
      <c r="G1305" s="1">
        <f t="shared" si="123"/>
        <v>2.5228935762636804E-68</v>
      </c>
      <c r="H1305" s="1">
        <f t="shared" si="120"/>
        <v>2.4764037750448066E-69</v>
      </c>
      <c r="I1305">
        <f>IF($F$11&lt;=D1305, IF(D1305&lt;=$A$15,D1305-$F$11,$C$11),0)</f>
        <v>60</v>
      </c>
      <c r="J1305">
        <f t="shared" si="121"/>
        <v>1218</v>
      </c>
      <c r="K1305" s="5">
        <f>IF(D1305&lt;$F$11,H1305,0)</f>
        <v>0</v>
      </c>
      <c r="L1305">
        <f>IF(D1305&lt;$A$15,$D$11,$D$11*(1-$H$11))</f>
        <v>85</v>
      </c>
      <c r="M1305">
        <f t="shared" si="122"/>
        <v>1</v>
      </c>
      <c r="N1305">
        <f>IF(SUM(I1305:J1305)&lt;=($G$11/60*$F$11/($E$11/60)),1,0)</f>
        <v>0</v>
      </c>
    </row>
    <row r="1306" spans="4:14" x14ac:dyDescent="0.2">
      <c r="D1306">
        <f t="shared" si="124"/>
        <v>1283</v>
      </c>
      <c r="E1306" s="1">
        <f>IF($H$11=1,IF(D1306&lt;=$A$15, E1305+LN($D$11)-LN(60/$E$11)-LN(MIN(D1306,$F$11)), E1305-LN(60/$E$11)-LN(MIN(D1306,$F$11))), IF(D1306&lt;=$A$15, E1305+LN($D$11)-LN(60/$E$11)-LN(MIN(D1306,$F$11)), E1305+LN($D$11)+LN(1-$H$11)-LN(60/$E$11)-LN(MIN(D1306,$F$11))))</f>
        <v>-153.77004396202975</v>
      </c>
      <c r="F1306" s="1">
        <f t="shared" si="125"/>
        <v>-155.7720767712288</v>
      </c>
      <c r="G1306" s="1">
        <f t="shared" si="123"/>
        <v>2.2338120206500988E-68</v>
      </c>
      <c r="H1306" s="1">
        <f t="shared" si="120"/>
        <v>2.1926491758208883E-69</v>
      </c>
      <c r="I1306">
        <f>IF($F$11&lt;=D1306, IF(D1306&lt;=$A$15,D1306-$F$11,$C$11),0)</f>
        <v>60</v>
      </c>
      <c r="J1306">
        <f t="shared" si="121"/>
        <v>1219</v>
      </c>
      <c r="K1306" s="5">
        <f>IF(D1306&lt;$F$11,H1306,0)</f>
        <v>0</v>
      </c>
      <c r="L1306">
        <f>IF(D1306&lt;$A$15,$D$11,$D$11*(1-$H$11))</f>
        <v>85</v>
      </c>
      <c r="M1306">
        <f t="shared" si="122"/>
        <v>1</v>
      </c>
      <c r="N1306">
        <f>IF(SUM(I1306:J1306)&lt;=($G$11/60*$F$11/($E$11/60)),1,0)</f>
        <v>0</v>
      </c>
    </row>
    <row r="1307" spans="4:14" x14ac:dyDescent="0.2">
      <c r="D1307">
        <f t="shared" si="124"/>
        <v>1284</v>
      </c>
      <c r="E1307" s="1">
        <f>IF($H$11=1,IF(D1307&lt;=$A$15, E1306+LN($D$11)-LN(60/$E$11)-LN(MIN(D1307,$F$11)), E1306-LN(60/$E$11)-LN(MIN(D1307,$F$11))), IF(D1307&lt;=$A$15, E1306+LN($D$11)-LN(60/$E$11)-LN(MIN(D1307,$F$11)), E1306+LN($D$11)+LN(1-$H$11)-LN(60/$E$11)-LN(MIN(D1307,$F$11))))</f>
        <v>-153.89174089700728</v>
      </c>
      <c r="F1307" s="1">
        <f t="shared" si="125"/>
        <v>-155.89377370620633</v>
      </c>
      <c r="G1307" s="1">
        <f t="shared" si="123"/>
        <v>1.9778543932839108E-68</v>
      </c>
      <c r="H1307" s="1">
        <f t="shared" si="120"/>
        <v>1.9414081244247145E-69</v>
      </c>
      <c r="I1307">
        <f>IF($F$11&lt;=D1307, IF(D1307&lt;=$A$15,D1307-$F$11,$C$11),0)</f>
        <v>60</v>
      </c>
      <c r="J1307">
        <f t="shared" si="121"/>
        <v>1220</v>
      </c>
      <c r="K1307" s="5">
        <f>IF(D1307&lt;$F$11,H1307,0)</f>
        <v>0</v>
      </c>
      <c r="L1307">
        <f>IF(D1307&lt;$A$15,$D$11,$D$11*(1-$H$11))</f>
        <v>85</v>
      </c>
      <c r="M1307">
        <f t="shared" si="122"/>
        <v>1</v>
      </c>
      <c r="N1307">
        <f>IF(SUM(I1307:J1307)&lt;=($G$11/60*$F$11/($E$11/60)),1,0)</f>
        <v>0</v>
      </c>
    </row>
    <row r="1308" spans="4:14" x14ac:dyDescent="0.2">
      <c r="D1308">
        <f t="shared" si="124"/>
        <v>1285</v>
      </c>
      <c r="E1308" s="1">
        <f>IF($H$11=1,IF(D1308&lt;=$A$15, E1307+LN($D$11)-LN(60/$E$11)-LN(MIN(D1308,$F$11)), E1307-LN(60/$E$11)-LN(MIN(D1308,$F$11))), IF(D1308&lt;=$A$15, E1307+LN($D$11)-LN(60/$E$11)-LN(MIN(D1308,$F$11)), E1307+LN($D$11)+LN(1-$H$11)-LN(60/$E$11)-LN(MIN(D1308,$F$11))))</f>
        <v>-154.01343783198482</v>
      </c>
      <c r="F1308" s="1">
        <f t="shared" si="125"/>
        <v>-156.01547064118387</v>
      </c>
      <c r="G1308" s="1">
        <f t="shared" si="123"/>
        <v>1.7512252440534353E-68</v>
      </c>
      <c r="H1308" s="1">
        <f t="shared" si="120"/>
        <v>1.7189551101676893E-69</v>
      </c>
      <c r="I1308">
        <f>IF($F$11&lt;=D1308, IF(D1308&lt;=$A$15,D1308-$F$11,$C$11),0)</f>
        <v>60</v>
      </c>
      <c r="J1308">
        <f t="shared" si="121"/>
        <v>1221</v>
      </c>
      <c r="K1308" s="5">
        <f>IF(D1308&lt;$F$11,H1308,0)</f>
        <v>0</v>
      </c>
      <c r="L1308">
        <f>IF(D1308&lt;$A$15,$D$11,$D$11*(1-$H$11))</f>
        <v>85</v>
      </c>
      <c r="M1308">
        <f t="shared" si="122"/>
        <v>1</v>
      </c>
      <c r="N1308">
        <f>IF(SUM(I1308:J1308)&lt;=($G$11/60*$F$11/($E$11/60)),1,0)</f>
        <v>0</v>
      </c>
    </row>
    <row r="1309" spans="4:14" x14ac:dyDescent="0.2">
      <c r="D1309">
        <f t="shared" si="124"/>
        <v>1286</v>
      </c>
      <c r="E1309" s="1">
        <f>IF($H$11=1,IF(D1309&lt;=$A$15, E1308+LN($D$11)-LN(60/$E$11)-LN(MIN(D1309,$F$11)), E1308-LN(60/$E$11)-LN(MIN(D1309,$F$11))), IF(D1309&lt;=$A$15, E1308+LN($D$11)-LN(60/$E$11)-LN(MIN(D1309,$F$11)), E1308+LN($D$11)+LN(1-$H$11)-LN(60/$E$11)-LN(MIN(D1309,$F$11))))</f>
        <v>-154.13513476696235</v>
      </c>
      <c r="F1309" s="1">
        <f t="shared" si="125"/>
        <v>-156.1371675761614</v>
      </c>
      <c r="G1309" s="1">
        <f t="shared" si="123"/>
        <v>1.5505640181722882E-68</v>
      </c>
      <c r="H1309" s="1">
        <f t="shared" si="120"/>
        <v>1.5219915037942844E-69</v>
      </c>
      <c r="I1309">
        <f>IF($F$11&lt;=D1309, IF(D1309&lt;=$A$15,D1309-$F$11,$C$11),0)</f>
        <v>60</v>
      </c>
      <c r="J1309">
        <f t="shared" si="121"/>
        <v>1222</v>
      </c>
      <c r="K1309" s="5">
        <f>IF(D1309&lt;$F$11,H1309,0)</f>
        <v>0</v>
      </c>
      <c r="L1309">
        <f>IF(D1309&lt;$A$15,$D$11,$D$11*(1-$H$11))</f>
        <v>85</v>
      </c>
      <c r="M1309">
        <f t="shared" si="122"/>
        <v>1</v>
      </c>
      <c r="N1309">
        <f>IF(SUM(I1309:J1309)&lt;=($G$11/60*$F$11/($E$11/60)),1,0)</f>
        <v>0</v>
      </c>
    </row>
    <row r="1310" spans="4:14" x14ac:dyDescent="0.2">
      <c r="D1310">
        <f t="shared" si="124"/>
        <v>1287</v>
      </c>
      <c r="E1310" s="1">
        <f>IF($H$11=1,IF(D1310&lt;=$A$15, E1309+LN($D$11)-LN(60/$E$11)-LN(MIN(D1310,$F$11)), E1309-LN(60/$E$11)-LN(MIN(D1310,$F$11))), IF(D1310&lt;=$A$15, E1309+LN($D$11)-LN(60/$E$11)-LN(MIN(D1310,$F$11)), E1309+LN($D$11)+LN(1-$H$11)-LN(60/$E$11)-LN(MIN(D1310,$F$11))))</f>
        <v>-154.25683170193989</v>
      </c>
      <c r="F1310" s="1">
        <f t="shared" si="125"/>
        <v>-156.25886451113894</v>
      </c>
      <c r="G1310" s="1">
        <f t="shared" si="123"/>
        <v>1.3728952244233587E-68</v>
      </c>
      <c r="H1310" s="1">
        <f t="shared" si="120"/>
        <v>1.3475966439845014E-69</v>
      </c>
      <c r="I1310">
        <f>IF($F$11&lt;=D1310, IF(D1310&lt;=$A$15,D1310-$F$11,$C$11),0)</f>
        <v>60</v>
      </c>
      <c r="J1310">
        <f t="shared" si="121"/>
        <v>1223</v>
      </c>
      <c r="K1310" s="5">
        <f>IF(D1310&lt;$F$11,H1310,0)</f>
        <v>0</v>
      </c>
      <c r="L1310">
        <f>IF(D1310&lt;$A$15,$D$11,$D$11*(1-$H$11))</f>
        <v>85</v>
      </c>
      <c r="M1310">
        <f t="shared" si="122"/>
        <v>1</v>
      </c>
      <c r="N1310">
        <f>IF(SUM(I1310:J1310)&lt;=($G$11/60*$F$11/($E$11/60)),1,0)</f>
        <v>0</v>
      </c>
    </row>
    <row r="1311" spans="4:14" x14ac:dyDescent="0.2">
      <c r="D1311">
        <f t="shared" si="124"/>
        <v>1288</v>
      </c>
      <c r="E1311" s="1">
        <f>IF($H$11=1,IF(D1311&lt;=$A$15, E1310+LN($D$11)-LN(60/$E$11)-LN(MIN(D1311,$F$11)), E1310-LN(60/$E$11)-LN(MIN(D1311,$F$11))), IF(D1311&lt;=$A$15, E1310+LN($D$11)-LN(60/$E$11)-LN(MIN(D1311,$F$11)), E1310+LN($D$11)+LN(1-$H$11)-LN(60/$E$11)-LN(MIN(D1311,$F$11))))</f>
        <v>-154.37852863691742</v>
      </c>
      <c r="F1311" s="1">
        <f t="shared" si="125"/>
        <v>-156.38056144611647</v>
      </c>
      <c r="G1311" s="1">
        <f t="shared" si="123"/>
        <v>1.2155843132914966E-68</v>
      </c>
      <c r="H1311" s="1">
        <f t="shared" si="120"/>
        <v>1.1931845285279253E-69</v>
      </c>
      <c r="I1311">
        <f>IF($F$11&lt;=D1311, IF(D1311&lt;=$A$15,D1311-$F$11,$C$11),0)</f>
        <v>60</v>
      </c>
      <c r="J1311">
        <f t="shared" si="121"/>
        <v>1224</v>
      </c>
      <c r="K1311" s="5">
        <f>IF(D1311&lt;$F$11,H1311,0)</f>
        <v>0</v>
      </c>
      <c r="L1311">
        <f>IF(D1311&lt;$A$15,$D$11,$D$11*(1-$H$11))</f>
        <v>85</v>
      </c>
      <c r="M1311">
        <f t="shared" si="122"/>
        <v>1</v>
      </c>
      <c r="N1311">
        <f>IF(SUM(I1311:J1311)&lt;=($G$11/60*$F$11/($E$11/60)),1,0)</f>
        <v>0</v>
      </c>
    </row>
    <row r="1312" spans="4:14" x14ac:dyDescent="0.2">
      <c r="D1312">
        <f t="shared" si="124"/>
        <v>1289</v>
      </c>
      <c r="E1312" s="1">
        <f>IF($H$11=1,IF(D1312&lt;=$A$15, E1311+LN($D$11)-LN(60/$E$11)-LN(MIN(D1312,$F$11)), E1311-LN(60/$E$11)-LN(MIN(D1312,$F$11))), IF(D1312&lt;=$A$15, E1311+LN($D$11)-LN(60/$E$11)-LN(MIN(D1312,$F$11)), E1311+LN($D$11)+LN(1-$H$11)-LN(60/$E$11)-LN(MIN(D1312,$F$11))))</f>
        <v>-154.50022557189496</v>
      </c>
      <c r="F1312" s="1">
        <f t="shared" si="125"/>
        <v>-156.50225838109401</v>
      </c>
      <c r="G1312" s="1">
        <f t="shared" si="123"/>
        <v>1.076298610726829E-68</v>
      </c>
      <c r="H1312" s="1">
        <f t="shared" si="120"/>
        <v>1.0564654679674173E-69</v>
      </c>
      <c r="I1312">
        <f>IF($F$11&lt;=D1312, IF(D1312&lt;=$A$15,D1312-$F$11,$C$11),0)</f>
        <v>60</v>
      </c>
      <c r="J1312">
        <f t="shared" si="121"/>
        <v>1225</v>
      </c>
      <c r="K1312" s="5">
        <f>IF(D1312&lt;$F$11,H1312,0)</f>
        <v>0</v>
      </c>
      <c r="L1312">
        <f>IF(D1312&lt;$A$15,$D$11,$D$11*(1-$H$11))</f>
        <v>85</v>
      </c>
      <c r="M1312">
        <f t="shared" si="122"/>
        <v>1</v>
      </c>
      <c r="N1312">
        <f>IF(SUM(I1312:J1312)&lt;=($G$11/60*$F$11/($E$11/60)),1,0)</f>
        <v>0</v>
      </c>
    </row>
    <row r="1313" spans="4:14" x14ac:dyDescent="0.2">
      <c r="D1313">
        <f t="shared" si="124"/>
        <v>1290</v>
      </c>
      <c r="E1313" s="1">
        <f>IF($H$11=1,IF(D1313&lt;=$A$15, E1312+LN($D$11)-LN(60/$E$11)-LN(MIN(D1313,$F$11)), E1312-LN(60/$E$11)-LN(MIN(D1313,$F$11))), IF(D1313&lt;=$A$15, E1312+LN($D$11)-LN(60/$E$11)-LN(MIN(D1313,$F$11)), E1312+LN($D$11)+LN(1-$H$11)-LN(60/$E$11)-LN(MIN(D1313,$F$11))))</f>
        <v>-154.62192250687249</v>
      </c>
      <c r="F1313" s="1">
        <f t="shared" si="125"/>
        <v>-156.62395531607154</v>
      </c>
      <c r="G1313" s="1">
        <f t="shared" si="123"/>
        <v>9.529727282476983E-69</v>
      </c>
      <c r="H1313" s="1">
        <f t="shared" si="120"/>
        <v>9.3541213309613612E-70</v>
      </c>
      <c r="I1313">
        <f>IF($F$11&lt;=D1313, IF(D1313&lt;=$A$15,D1313-$F$11,$C$11),0)</f>
        <v>60</v>
      </c>
      <c r="J1313">
        <f t="shared" si="121"/>
        <v>1226</v>
      </c>
      <c r="K1313" s="5">
        <f>IF(D1313&lt;$F$11,H1313,0)</f>
        <v>0</v>
      </c>
      <c r="L1313">
        <f>IF(D1313&lt;$A$15,$D$11,$D$11*(1-$H$11))</f>
        <v>85</v>
      </c>
      <c r="M1313">
        <f t="shared" si="122"/>
        <v>1</v>
      </c>
      <c r="N1313">
        <f>IF(SUM(I1313:J1313)&lt;=($G$11/60*$F$11/($E$11/60)),1,0)</f>
        <v>0</v>
      </c>
    </row>
    <row r="1314" spans="4:14" x14ac:dyDescent="0.2">
      <c r="D1314">
        <f t="shared" si="124"/>
        <v>1291</v>
      </c>
      <c r="E1314" s="1">
        <f>IF($H$11=1,IF(D1314&lt;=$A$15, E1313+LN($D$11)-LN(60/$E$11)-LN(MIN(D1314,$F$11)), E1313-LN(60/$E$11)-LN(MIN(D1314,$F$11))), IF(D1314&lt;=$A$15, E1313+LN($D$11)-LN(60/$E$11)-LN(MIN(D1314,$F$11)), E1313+LN($D$11)+LN(1-$H$11)-LN(60/$E$11)-LN(MIN(D1314,$F$11))))</f>
        <v>-154.74361944185003</v>
      </c>
      <c r="F1314" s="1">
        <f t="shared" si="125"/>
        <v>-156.74565225104908</v>
      </c>
      <c r="G1314" s="1">
        <f t="shared" si="123"/>
        <v>8.4377793646930307E-69</v>
      </c>
      <c r="H1314" s="1">
        <f t="shared" si="120"/>
        <v>8.2822949284552438E-70</v>
      </c>
      <c r="I1314">
        <f>IF($F$11&lt;=D1314, IF(D1314&lt;=$A$15,D1314-$F$11,$C$11),0)</f>
        <v>60</v>
      </c>
      <c r="J1314">
        <f t="shared" si="121"/>
        <v>1227</v>
      </c>
      <c r="K1314" s="5">
        <f>IF(D1314&lt;$F$11,H1314,0)</f>
        <v>0</v>
      </c>
      <c r="L1314">
        <f>IF(D1314&lt;$A$15,$D$11,$D$11*(1-$H$11))</f>
        <v>85</v>
      </c>
      <c r="M1314">
        <f t="shared" si="122"/>
        <v>1</v>
      </c>
      <c r="N1314">
        <f>IF(SUM(I1314:J1314)&lt;=($G$11/60*$F$11/($E$11/60)),1,0)</f>
        <v>0</v>
      </c>
    </row>
    <row r="1315" spans="4:14" x14ac:dyDescent="0.2">
      <c r="D1315">
        <f t="shared" si="124"/>
        <v>1292</v>
      </c>
      <c r="E1315" s="1">
        <f>IF($H$11=1,IF(D1315&lt;=$A$15, E1314+LN($D$11)-LN(60/$E$11)-LN(MIN(D1315,$F$11)), E1314-LN(60/$E$11)-LN(MIN(D1315,$F$11))), IF(D1315&lt;=$A$15, E1314+LN($D$11)-LN(60/$E$11)-LN(MIN(D1315,$F$11)), E1314+LN($D$11)+LN(1-$H$11)-LN(60/$E$11)-LN(MIN(D1315,$F$11))))</f>
        <v>-154.86531637682756</v>
      </c>
      <c r="F1315" s="1">
        <f t="shared" si="125"/>
        <v>-156.86734918602662</v>
      </c>
      <c r="G1315" s="1">
        <f t="shared" si="123"/>
        <v>7.47095047915517E-69</v>
      </c>
      <c r="H1315" s="1">
        <f t="shared" si="120"/>
        <v>7.333281967902965E-70</v>
      </c>
      <c r="I1315">
        <f>IF($F$11&lt;=D1315, IF(D1315&lt;=$A$15,D1315-$F$11,$C$11),0)</f>
        <v>60</v>
      </c>
      <c r="J1315">
        <f t="shared" si="121"/>
        <v>1228</v>
      </c>
      <c r="K1315" s="5">
        <f>IF(D1315&lt;$F$11,H1315,0)</f>
        <v>0</v>
      </c>
      <c r="L1315">
        <f>IF(D1315&lt;$A$15,$D$11,$D$11*(1-$H$11))</f>
        <v>85</v>
      </c>
      <c r="M1315">
        <f t="shared" si="122"/>
        <v>1</v>
      </c>
      <c r="N1315">
        <f>IF(SUM(I1315:J1315)&lt;=($G$11/60*$F$11/($E$11/60)),1,0)</f>
        <v>0</v>
      </c>
    </row>
    <row r="1316" spans="4:14" x14ac:dyDescent="0.2">
      <c r="D1316">
        <f t="shared" si="124"/>
        <v>1293</v>
      </c>
      <c r="E1316" s="1">
        <f>IF($H$11=1,IF(D1316&lt;=$A$15, E1315+LN($D$11)-LN(60/$E$11)-LN(MIN(D1316,$F$11)), E1315-LN(60/$E$11)-LN(MIN(D1316,$F$11))), IF(D1316&lt;=$A$15, E1315+LN($D$11)-LN(60/$E$11)-LN(MIN(D1316,$F$11)), E1315+LN($D$11)+LN(1-$H$11)-LN(60/$E$11)-LN(MIN(D1316,$F$11))))</f>
        <v>-154.9870133118051</v>
      </c>
      <c r="F1316" s="1">
        <f t="shared" si="125"/>
        <v>-156.98904612100415</v>
      </c>
      <c r="G1316" s="1">
        <f t="shared" si="123"/>
        <v>6.6149040700852041E-69</v>
      </c>
      <c r="H1316" s="1">
        <f t="shared" si="120"/>
        <v>6.4930100757473157E-70</v>
      </c>
      <c r="I1316">
        <f>IF($F$11&lt;=D1316, IF(D1316&lt;=$A$15,D1316-$F$11,$C$11),0)</f>
        <v>60</v>
      </c>
      <c r="J1316">
        <f t="shared" si="121"/>
        <v>1229</v>
      </c>
      <c r="K1316" s="5">
        <f>IF(D1316&lt;$F$11,H1316,0)</f>
        <v>0</v>
      </c>
      <c r="L1316">
        <f>IF(D1316&lt;$A$15,$D$11,$D$11*(1-$H$11))</f>
        <v>85</v>
      </c>
      <c r="M1316">
        <f t="shared" si="122"/>
        <v>1</v>
      </c>
      <c r="N1316">
        <f>IF(SUM(I1316:J1316)&lt;=($G$11/60*$F$11/($E$11/60)),1,0)</f>
        <v>0</v>
      </c>
    </row>
    <row r="1317" spans="4:14" x14ac:dyDescent="0.2">
      <c r="D1317">
        <f t="shared" si="124"/>
        <v>1294</v>
      </c>
      <c r="E1317" s="1">
        <f>IF($H$11=1,IF(D1317&lt;=$A$15, E1316+LN($D$11)-LN(60/$E$11)-LN(MIN(D1317,$F$11)), E1316-LN(60/$E$11)-LN(MIN(D1317,$F$11))), IF(D1317&lt;=$A$15, E1316+LN($D$11)-LN(60/$E$11)-LN(MIN(D1317,$F$11)), E1316+LN($D$11)+LN(1-$H$11)-LN(60/$E$11)-LN(MIN(D1317,$F$11))))</f>
        <v>-155.10871024678264</v>
      </c>
      <c r="F1317" s="1">
        <f t="shared" si="125"/>
        <v>-157.11074305598169</v>
      </c>
      <c r="G1317" s="1">
        <f t="shared" si="123"/>
        <v>5.8569463120545161E-69</v>
      </c>
      <c r="H1317" s="1">
        <f t="shared" si="120"/>
        <v>5.7490193379011795E-70</v>
      </c>
      <c r="I1317">
        <f>IF($F$11&lt;=D1317, IF(D1317&lt;=$A$15,D1317-$F$11,$C$11),0)</f>
        <v>60</v>
      </c>
      <c r="J1317">
        <f t="shared" si="121"/>
        <v>1230</v>
      </c>
      <c r="K1317" s="5">
        <f>IF(D1317&lt;$F$11,H1317,0)</f>
        <v>0</v>
      </c>
      <c r="L1317">
        <f>IF(D1317&lt;$A$15,$D$11,$D$11*(1-$H$11))</f>
        <v>85</v>
      </c>
      <c r="M1317">
        <f t="shared" si="122"/>
        <v>1</v>
      </c>
      <c r="N1317">
        <f>IF(SUM(I1317:J1317)&lt;=($G$11/60*$F$11/($E$11/60)),1,0)</f>
        <v>0</v>
      </c>
    </row>
    <row r="1318" spans="4:14" x14ac:dyDescent="0.2">
      <c r="D1318">
        <f t="shared" si="124"/>
        <v>1295</v>
      </c>
      <c r="E1318" s="1">
        <f>IF($H$11=1,IF(D1318&lt;=$A$15, E1317+LN($D$11)-LN(60/$E$11)-LN(MIN(D1318,$F$11)), E1317-LN(60/$E$11)-LN(MIN(D1318,$F$11))), IF(D1318&lt;=$A$15, E1317+LN($D$11)-LN(60/$E$11)-LN(MIN(D1318,$F$11)), E1317+LN($D$11)+LN(1-$H$11)-LN(60/$E$11)-LN(MIN(D1318,$F$11))))</f>
        <v>-155.23040718176017</v>
      </c>
      <c r="F1318" s="1">
        <f t="shared" si="125"/>
        <v>-157.23243999095922</v>
      </c>
      <c r="G1318" s="1">
        <f t="shared" si="123"/>
        <v>5.1858378804648547E-69</v>
      </c>
      <c r="H1318" s="1">
        <f t="shared" si="120"/>
        <v>5.0902775387665889E-70</v>
      </c>
      <c r="I1318">
        <f>IF($F$11&lt;=D1318, IF(D1318&lt;=$A$15,D1318-$F$11,$C$11),0)</f>
        <v>60</v>
      </c>
      <c r="J1318">
        <f t="shared" si="121"/>
        <v>1231</v>
      </c>
      <c r="K1318" s="5">
        <f>IF(D1318&lt;$F$11,H1318,0)</f>
        <v>0</v>
      </c>
      <c r="L1318">
        <f>IF(D1318&lt;$A$15,$D$11,$D$11*(1-$H$11))</f>
        <v>85</v>
      </c>
      <c r="M1318">
        <f t="shared" si="122"/>
        <v>1</v>
      </c>
      <c r="N1318">
        <f>IF(SUM(I1318:J1318)&lt;=($G$11/60*$F$11/($E$11/60)),1,0)</f>
        <v>0</v>
      </c>
    </row>
    <row r="1319" spans="4:14" x14ac:dyDescent="0.2">
      <c r="D1319">
        <f t="shared" si="124"/>
        <v>1296</v>
      </c>
      <c r="E1319" s="1">
        <f>IF($H$11=1,IF(D1319&lt;=$A$15, E1318+LN($D$11)-LN(60/$E$11)-LN(MIN(D1319,$F$11)), E1318-LN(60/$E$11)-LN(MIN(D1319,$F$11))), IF(D1319&lt;=$A$15, E1318+LN($D$11)-LN(60/$E$11)-LN(MIN(D1319,$F$11)), E1318+LN($D$11)+LN(1-$H$11)-LN(60/$E$11)-LN(MIN(D1319,$F$11))))</f>
        <v>-155.35210411673771</v>
      </c>
      <c r="F1319" s="1">
        <f t="shared" si="125"/>
        <v>-157.35413692593676</v>
      </c>
      <c r="G1319" s="1">
        <f t="shared" si="123"/>
        <v>4.5916272899948517E-69</v>
      </c>
      <c r="H1319" s="1">
        <f t="shared" si="120"/>
        <v>4.5070165707828469E-70</v>
      </c>
      <c r="I1319">
        <f>IF($F$11&lt;=D1319, IF(D1319&lt;=$A$15,D1319-$F$11,$C$11),0)</f>
        <v>60</v>
      </c>
      <c r="J1319">
        <f t="shared" si="121"/>
        <v>1232</v>
      </c>
      <c r="K1319" s="5">
        <f>IF(D1319&lt;$F$11,H1319,0)</f>
        <v>0</v>
      </c>
      <c r="L1319">
        <f>IF(D1319&lt;$A$15,$D$11,$D$11*(1-$H$11))</f>
        <v>85</v>
      </c>
      <c r="M1319">
        <f t="shared" si="122"/>
        <v>1</v>
      </c>
      <c r="N1319">
        <f>IF(SUM(I1319:J1319)&lt;=($G$11/60*$F$11/($E$11/60)),1,0)</f>
        <v>0</v>
      </c>
    </row>
    <row r="1320" spans="4:14" x14ac:dyDescent="0.2">
      <c r="D1320">
        <f t="shared" si="124"/>
        <v>1297</v>
      </c>
      <c r="E1320" s="1">
        <f>IF($H$11=1,IF(D1320&lt;=$A$15, E1319+LN($D$11)-LN(60/$E$11)-LN(MIN(D1320,$F$11)), E1319-LN(60/$E$11)-LN(MIN(D1320,$F$11))), IF(D1320&lt;=$A$15, E1319+LN($D$11)-LN(60/$E$11)-LN(MIN(D1320,$F$11)), E1319+LN($D$11)+LN(1-$H$11)-LN(60/$E$11)-LN(MIN(D1320,$F$11))))</f>
        <v>-155.47380105171524</v>
      </c>
      <c r="F1320" s="1">
        <f t="shared" si="125"/>
        <v>-157.47583386091429</v>
      </c>
      <c r="G1320" s="1">
        <f t="shared" si="123"/>
        <v>4.0655033296828782E-69</v>
      </c>
      <c r="H1320" s="1">
        <f t="shared" si="120"/>
        <v>3.9905875887139171E-70</v>
      </c>
      <c r="I1320">
        <f>IF($F$11&lt;=D1320, IF(D1320&lt;=$A$15,D1320-$F$11,$C$11),0)</f>
        <v>60</v>
      </c>
      <c r="J1320">
        <f t="shared" si="121"/>
        <v>1233</v>
      </c>
      <c r="K1320" s="5">
        <f>IF(D1320&lt;$F$11,H1320,0)</f>
        <v>0</v>
      </c>
      <c r="L1320">
        <f>IF(D1320&lt;$A$15,$D$11,$D$11*(1-$H$11))</f>
        <v>85</v>
      </c>
      <c r="M1320">
        <f t="shared" si="122"/>
        <v>1</v>
      </c>
      <c r="N1320">
        <f>IF(SUM(I1320:J1320)&lt;=($G$11/60*$F$11/($E$11/60)),1,0)</f>
        <v>0</v>
      </c>
    </row>
    <row r="1321" spans="4:14" x14ac:dyDescent="0.2">
      <c r="D1321">
        <f t="shared" si="124"/>
        <v>1298</v>
      </c>
      <c r="E1321" s="1">
        <f>IF($H$11=1,IF(D1321&lt;=$A$15, E1320+LN($D$11)-LN(60/$E$11)-LN(MIN(D1321,$F$11)), E1320-LN(60/$E$11)-LN(MIN(D1321,$F$11))), IF(D1321&lt;=$A$15, E1320+LN($D$11)-LN(60/$E$11)-LN(MIN(D1321,$F$11)), E1320+LN($D$11)+LN(1-$H$11)-LN(60/$E$11)-LN(MIN(D1321,$F$11))))</f>
        <v>-155.59549798669278</v>
      </c>
      <c r="F1321" s="1">
        <f t="shared" si="125"/>
        <v>-157.59753079589183</v>
      </c>
      <c r="G1321" s="1">
        <f t="shared" si="123"/>
        <v>3.5996644064899919E-69</v>
      </c>
      <c r="H1321" s="1">
        <f t="shared" si="120"/>
        <v>3.533332760840392E-70</v>
      </c>
      <c r="I1321">
        <f>IF($F$11&lt;=D1321, IF(D1321&lt;=$A$15,D1321-$F$11,$C$11),0)</f>
        <v>60</v>
      </c>
      <c r="J1321">
        <f t="shared" si="121"/>
        <v>1234</v>
      </c>
      <c r="K1321" s="5">
        <f>IF(D1321&lt;$F$11,H1321,0)</f>
        <v>0</v>
      </c>
      <c r="L1321">
        <f>IF(D1321&lt;$A$15,$D$11,$D$11*(1-$H$11))</f>
        <v>85</v>
      </c>
      <c r="M1321">
        <f t="shared" si="122"/>
        <v>1</v>
      </c>
      <c r="N1321">
        <f>IF(SUM(I1321:J1321)&lt;=($G$11/60*$F$11/($E$11/60)),1,0)</f>
        <v>0</v>
      </c>
    </row>
    <row r="1322" spans="4:14" x14ac:dyDescent="0.2">
      <c r="D1322">
        <f t="shared" si="124"/>
        <v>1299</v>
      </c>
      <c r="E1322" s="1">
        <f>IF($H$11=1,IF(D1322&lt;=$A$15, E1321+LN($D$11)-LN(60/$E$11)-LN(MIN(D1322,$F$11)), E1321-LN(60/$E$11)-LN(MIN(D1322,$F$11))), IF(D1322&lt;=$A$15, E1321+LN($D$11)-LN(60/$E$11)-LN(MIN(D1322,$F$11)), E1321+LN($D$11)+LN(1-$H$11)-LN(60/$E$11)-LN(MIN(D1322,$F$11))))</f>
        <v>-155.71719492167031</v>
      </c>
      <c r="F1322" s="1">
        <f t="shared" si="125"/>
        <v>-157.71922773086936</v>
      </c>
      <c r="G1322" s="1">
        <f t="shared" si="123"/>
        <v>3.1872028599129638E-69</v>
      </c>
      <c r="H1322" s="1">
        <f t="shared" si="120"/>
        <v>3.1284717153273812E-70</v>
      </c>
      <c r="I1322">
        <f>IF($F$11&lt;=D1322, IF(D1322&lt;=$A$15,D1322-$F$11,$C$11),0)</f>
        <v>60</v>
      </c>
      <c r="J1322">
        <f t="shared" si="121"/>
        <v>1235</v>
      </c>
      <c r="K1322" s="5">
        <f>IF(D1322&lt;$F$11,H1322,0)</f>
        <v>0</v>
      </c>
      <c r="L1322">
        <f>IF(D1322&lt;$A$15,$D$11,$D$11*(1-$H$11))</f>
        <v>85</v>
      </c>
      <c r="M1322">
        <f t="shared" si="122"/>
        <v>1</v>
      </c>
      <c r="N1322">
        <f>IF(SUM(I1322:J1322)&lt;=($G$11/60*$F$11/($E$11/60)),1,0)</f>
        <v>0</v>
      </c>
    </row>
    <row r="1323" spans="4:14" x14ac:dyDescent="0.2">
      <c r="D1323">
        <f t="shared" si="124"/>
        <v>1300</v>
      </c>
      <c r="E1323" s="1">
        <f>IF($H$11=1,IF(D1323&lt;=$A$15, E1322+LN($D$11)-LN(60/$E$11)-LN(MIN(D1323,$F$11)), E1322-LN(60/$E$11)-LN(MIN(D1323,$F$11))), IF(D1323&lt;=$A$15, E1322+LN($D$11)-LN(60/$E$11)-LN(MIN(D1323,$F$11)), E1322+LN($D$11)+LN(1-$H$11)-LN(60/$E$11)-LN(MIN(D1323,$F$11))))</f>
        <v>-155.83889185664785</v>
      </c>
      <c r="F1323" s="1">
        <f t="shared" si="125"/>
        <v>-157.8409246658469</v>
      </c>
      <c r="G1323" s="1">
        <f t="shared" si="123"/>
        <v>2.8220025322145592E-69</v>
      </c>
      <c r="H1323" s="1">
        <f t="shared" si="120"/>
        <v>2.7700009979460757E-70</v>
      </c>
      <c r="I1323">
        <f>IF($F$11&lt;=D1323, IF(D1323&lt;=$A$15,D1323-$F$11,$C$11),0)</f>
        <v>60</v>
      </c>
      <c r="J1323">
        <f t="shared" si="121"/>
        <v>1236</v>
      </c>
      <c r="K1323" s="5">
        <f>IF(D1323&lt;$F$11,H1323,0)</f>
        <v>0</v>
      </c>
      <c r="L1323">
        <f>IF(D1323&lt;$A$15,$D$11,$D$11*(1-$H$11))</f>
        <v>85</v>
      </c>
      <c r="M1323">
        <f t="shared" si="122"/>
        <v>1</v>
      </c>
      <c r="N1323">
        <f>IF(SUM(I1323:J1323)&lt;=($G$11/60*$F$11/($E$11/60)),1,0)</f>
        <v>0</v>
      </c>
    </row>
    <row r="1324" spans="4:14" x14ac:dyDescent="0.2">
      <c r="D1324">
        <f t="shared" si="124"/>
        <v>1301</v>
      </c>
      <c r="E1324" s="1">
        <f>IF($H$11=1,IF(D1324&lt;=$A$15, E1323+LN($D$11)-LN(60/$E$11)-LN(MIN(D1324,$F$11)), E1323-LN(60/$E$11)-LN(MIN(D1324,$F$11))), IF(D1324&lt;=$A$15, E1323+LN($D$11)-LN(60/$E$11)-LN(MIN(D1324,$F$11)), E1323+LN($D$11)+LN(1-$H$11)-LN(60/$E$11)-LN(MIN(D1324,$F$11))))</f>
        <v>-155.96058879162538</v>
      </c>
      <c r="F1324" s="1">
        <f t="shared" si="125"/>
        <v>-157.96262160082443</v>
      </c>
      <c r="G1324" s="1">
        <f t="shared" si="123"/>
        <v>2.4986480753982689E-69</v>
      </c>
      <c r="H1324" s="1">
        <f t="shared" si="120"/>
        <v>2.4526050502647163E-70</v>
      </c>
      <c r="I1324">
        <f>IF($F$11&lt;=D1324, IF(D1324&lt;=$A$15,D1324-$F$11,$C$11),0)</f>
        <v>60</v>
      </c>
      <c r="J1324">
        <f t="shared" si="121"/>
        <v>1237</v>
      </c>
      <c r="K1324" s="5">
        <f>IF(D1324&lt;$F$11,H1324,0)</f>
        <v>0</v>
      </c>
      <c r="L1324">
        <f>IF(D1324&lt;$A$15,$D$11,$D$11*(1-$H$11))</f>
        <v>85</v>
      </c>
      <c r="M1324">
        <f t="shared" si="122"/>
        <v>1</v>
      </c>
      <c r="N1324">
        <f>IF(SUM(I1324:J1324)&lt;=($G$11/60*$F$11/($E$11/60)),1,0)</f>
        <v>0</v>
      </c>
    </row>
    <row r="1325" spans="4:14" x14ac:dyDescent="0.2">
      <c r="D1325">
        <f t="shared" si="124"/>
        <v>1302</v>
      </c>
      <c r="E1325" s="1">
        <f>IF($H$11=1,IF(D1325&lt;=$A$15, E1324+LN($D$11)-LN(60/$E$11)-LN(MIN(D1325,$F$11)), E1324-LN(60/$E$11)-LN(MIN(D1325,$F$11))), IF(D1325&lt;=$A$15, E1324+LN($D$11)-LN(60/$E$11)-LN(MIN(D1325,$F$11)), E1324+LN($D$11)+LN(1-$H$11)-LN(60/$E$11)-LN(MIN(D1325,$F$11))))</f>
        <v>-156.08228572660292</v>
      </c>
      <c r="F1325" s="1">
        <f t="shared" si="125"/>
        <v>-158.08431853580197</v>
      </c>
      <c r="G1325" s="1">
        <f t="shared" si="123"/>
        <v>2.2123446500921826E-69</v>
      </c>
      <c r="H1325" s="1">
        <f t="shared" si="120"/>
        <v>2.1715773882551835E-70</v>
      </c>
      <c r="I1325">
        <f>IF($F$11&lt;=D1325, IF(D1325&lt;=$A$15,D1325-$F$11,$C$11),0)</f>
        <v>60</v>
      </c>
      <c r="J1325">
        <f t="shared" si="121"/>
        <v>1238</v>
      </c>
      <c r="K1325" s="5">
        <f>IF(D1325&lt;$F$11,H1325,0)</f>
        <v>0</v>
      </c>
      <c r="L1325">
        <f>IF(D1325&lt;$A$15,$D$11,$D$11*(1-$H$11))</f>
        <v>85</v>
      </c>
      <c r="M1325">
        <f t="shared" si="122"/>
        <v>1</v>
      </c>
      <c r="N1325">
        <f>IF(SUM(I1325:J1325)&lt;=($G$11/60*$F$11/($E$11/60)),1,0)</f>
        <v>0</v>
      </c>
    </row>
    <row r="1326" spans="4:14" x14ac:dyDescent="0.2">
      <c r="D1326">
        <f t="shared" si="124"/>
        <v>1303</v>
      </c>
      <c r="E1326" s="1">
        <f>IF($H$11=1,IF(D1326&lt;=$A$15, E1325+LN($D$11)-LN(60/$E$11)-LN(MIN(D1326,$F$11)), E1325-LN(60/$E$11)-LN(MIN(D1326,$F$11))), IF(D1326&lt;=$A$15, E1325+LN($D$11)-LN(60/$E$11)-LN(MIN(D1326,$F$11)), E1325+LN($D$11)+LN(1-$H$11)-LN(60/$E$11)-LN(MIN(D1326,$F$11))))</f>
        <v>-156.20398266158045</v>
      </c>
      <c r="F1326" s="1">
        <f t="shared" si="125"/>
        <v>-158.2060154707795</v>
      </c>
      <c r="G1326" s="1">
        <f t="shared" si="123"/>
        <v>1.9588468256024225E-69</v>
      </c>
      <c r="H1326" s="1">
        <f t="shared" si="120"/>
        <v>1.9227508125175803E-70</v>
      </c>
      <c r="I1326">
        <f>IF($F$11&lt;=D1326, IF(D1326&lt;=$A$15,D1326-$F$11,$C$11),0)</f>
        <v>60</v>
      </c>
      <c r="J1326">
        <f t="shared" si="121"/>
        <v>1239</v>
      </c>
      <c r="K1326" s="5">
        <f>IF(D1326&lt;$F$11,H1326,0)</f>
        <v>0</v>
      </c>
      <c r="L1326">
        <f>IF(D1326&lt;$A$15,$D$11,$D$11*(1-$H$11))</f>
        <v>85</v>
      </c>
      <c r="M1326">
        <f t="shared" si="122"/>
        <v>1</v>
      </c>
      <c r="N1326">
        <f>IF(SUM(I1326:J1326)&lt;=($G$11/60*$F$11/($E$11/60)),1,0)</f>
        <v>0</v>
      </c>
    </row>
    <row r="1327" spans="4:14" x14ac:dyDescent="0.2">
      <c r="D1327">
        <f t="shared" si="124"/>
        <v>1304</v>
      </c>
      <c r="E1327" s="1">
        <f>IF($H$11=1,IF(D1327&lt;=$A$15, E1326+LN($D$11)-LN(60/$E$11)-LN(MIN(D1327,$F$11)), E1326-LN(60/$E$11)-LN(MIN(D1327,$F$11))), IF(D1327&lt;=$A$15, E1326+LN($D$11)-LN(60/$E$11)-LN(MIN(D1327,$F$11)), E1326+LN($D$11)+LN(1-$H$11)-LN(60/$E$11)-LN(MIN(D1327,$F$11))))</f>
        <v>-156.32567959655799</v>
      </c>
      <c r="F1327" s="1">
        <f t="shared" si="125"/>
        <v>-158.32771240575704</v>
      </c>
      <c r="G1327" s="1">
        <f t="shared" si="123"/>
        <v>1.7343956268354512E-69</v>
      </c>
      <c r="H1327" s="1">
        <f t="shared" si="120"/>
        <v>1.7024356152499144E-70</v>
      </c>
      <c r="I1327">
        <f>IF($F$11&lt;=D1327, IF(D1327&lt;=$A$15,D1327-$F$11,$C$11),0)</f>
        <v>60</v>
      </c>
      <c r="J1327">
        <f t="shared" si="121"/>
        <v>1240</v>
      </c>
      <c r="K1327" s="5">
        <f>IF(D1327&lt;$F$11,H1327,0)</f>
        <v>0</v>
      </c>
      <c r="L1327">
        <f>IF(D1327&lt;$A$15,$D$11,$D$11*(1-$H$11))</f>
        <v>85</v>
      </c>
      <c r="M1327">
        <f t="shared" si="122"/>
        <v>1</v>
      </c>
      <c r="N1327">
        <f>IF(SUM(I1327:J1327)&lt;=($G$11/60*$F$11/($E$11/60)),1,0)</f>
        <v>0</v>
      </c>
    </row>
    <row r="1328" spans="4:14" x14ac:dyDescent="0.2">
      <c r="D1328">
        <f t="shared" si="124"/>
        <v>1305</v>
      </c>
      <c r="E1328" s="1">
        <f>IF($H$11=1,IF(D1328&lt;=$A$15, E1327+LN($D$11)-LN(60/$E$11)-LN(MIN(D1328,$F$11)), E1327-LN(60/$E$11)-LN(MIN(D1328,$F$11))), IF(D1328&lt;=$A$15, E1327+LN($D$11)-LN(60/$E$11)-LN(MIN(D1328,$F$11)), E1327+LN($D$11)+LN(1-$H$11)-LN(60/$E$11)-LN(MIN(D1328,$F$11))))</f>
        <v>-156.44737653153553</v>
      </c>
      <c r="F1328" s="1">
        <f t="shared" si="125"/>
        <v>-158.44940934073458</v>
      </c>
      <c r="G1328" s="1">
        <f t="shared" si="123"/>
        <v>1.535662794593865E-69</v>
      </c>
      <c r="H1328" s="1">
        <f t="shared" si="120"/>
        <v>1.5073648676691714E-70</v>
      </c>
      <c r="I1328">
        <f>IF($F$11&lt;=D1328, IF(D1328&lt;=$A$15,D1328-$F$11,$C$11),0)</f>
        <v>60</v>
      </c>
      <c r="J1328">
        <f t="shared" si="121"/>
        <v>1241</v>
      </c>
      <c r="K1328" s="5">
        <f>IF(D1328&lt;$F$11,H1328,0)</f>
        <v>0</v>
      </c>
      <c r="L1328">
        <f>IF(D1328&lt;$A$15,$D$11,$D$11*(1-$H$11))</f>
        <v>85</v>
      </c>
      <c r="M1328">
        <f t="shared" si="122"/>
        <v>1</v>
      </c>
      <c r="N1328">
        <f>IF(SUM(I1328:J1328)&lt;=($G$11/60*$F$11/($E$11/60)),1,0)</f>
        <v>0</v>
      </c>
    </row>
    <row r="1329" spans="4:14" x14ac:dyDescent="0.2">
      <c r="D1329">
        <f t="shared" si="124"/>
        <v>1306</v>
      </c>
      <c r="E1329" s="1">
        <f>IF($H$11=1,IF(D1329&lt;=$A$15, E1328+LN($D$11)-LN(60/$E$11)-LN(MIN(D1329,$F$11)), E1328-LN(60/$E$11)-LN(MIN(D1329,$F$11))), IF(D1329&lt;=$A$15, E1328+LN($D$11)-LN(60/$E$11)-LN(MIN(D1329,$F$11)), E1328+LN($D$11)+LN(1-$H$11)-LN(60/$E$11)-LN(MIN(D1329,$F$11))))</f>
        <v>-156.56907346651306</v>
      </c>
      <c r="F1329" s="1">
        <f t="shared" si="125"/>
        <v>-158.57110627571211</v>
      </c>
      <c r="G1329" s="1">
        <f t="shared" si="123"/>
        <v>1.3597014327132968E-69</v>
      </c>
      <c r="H1329" s="1">
        <f t="shared" si="120"/>
        <v>1.3346459765820579E-70</v>
      </c>
      <c r="I1329">
        <f>IF($F$11&lt;=D1329, IF(D1329&lt;=$A$15,D1329-$F$11,$C$11),0)</f>
        <v>60</v>
      </c>
      <c r="J1329">
        <f t="shared" si="121"/>
        <v>1242</v>
      </c>
      <c r="K1329" s="5">
        <f>IF(D1329&lt;$F$11,H1329,0)</f>
        <v>0</v>
      </c>
      <c r="L1329">
        <f>IF(D1329&lt;$A$15,$D$11,$D$11*(1-$H$11))</f>
        <v>85</v>
      </c>
      <c r="M1329">
        <f t="shared" si="122"/>
        <v>1</v>
      </c>
      <c r="N1329">
        <f>IF(SUM(I1329:J1329)&lt;=($G$11/60*$F$11/($E$11/60)),1,0)</f>
        <v>0</v>
      </c>
    </row>
    <row r="1330" spans="4:14" x14ac:dyDescent="0.2">
      <c r="D1330">
        <f t="shared" si="124"/>
        <v>1307</v>
      </c>
      <c r="E1330" s="1">
        <f>IF($H$11=1,IF(D1330&lt;=$A$15, E1329+LN($D$11)-LN(60/$E$11)-LN(MIN(D1330,$F$11)), E1329-LN(60/$E$11)-LN(MIN(D1330,$F$11))), IF(D1330&lt;=$A$15, E1329+LN($D$11)-LN(60/$E$11)-LN(MIN(D1330,$F$11)), E1329+LN($D$11)+LN(1-$H$11)-LN(60/$E$11)-LN(MIN(D1330,$F$11))))</f>
        <v>-156.6907704014906</v>
      </c>
      <c r="F1330" s="1">
        <f t="shared" si="125"/>
        <v>-158.69280321068965</v>
      </c>
      <c r="G1330" s="1">
        <f t="shared" si="123"/>
        <v>1.2039023102148792E-69</v>
      </c>
      <c r="H1330" s="1">
        <f t="shared" si="120"/>
        <v>1.1817177917653453E-70</v>
      </c>
      <c r="I1330">
        <f>IF($F$11&lt;=D1330, IF(D1330&lt;=$A$15,D1330-$F$11,$C$11),0)</f>
        <v>60</v>
      </c>
      <c r="J1330">
        <f t="shared" si="121"/>
        <v>1243</v>
      </c>
      <c r="K1330" s="5">
        <f>IF(D1330&lt;$F$11,H1330,0)</f>
        <v>0</v>
      </c>
      <c r="L1330">
        <f>IF(D1330&lt;$A$15,$D$11,$D$11*(1-$H$11))</f>
        <v>85</v>
      </c>
      <c r="M1330">
        <f t="shared" si="122"/>
        <v>1</v>
      </c>
      <c r="N1330">
        <f>IF(SUM(I1330:J1330)&lt;=($G$11/60*$F$11/($E$11/60)),1,0)</f>
        <v>0</v>
      </c>
    </row>
    <row r="1331" spans="4:14" x14ac:dyDescent="0.2">
      <c r="D1331">
        <f t="shared" si="124"/>
        <v>1308</v>
      </c>
      <c r="E1331" s="1">
        <f>IF($H$11=1,IF(D1331&lt;=$A$15, E1330+LN($D$11)-LN(60/$E$11)-LN(MIN(D1331,$F$11)), E1330-LN(60/$E$11)-LN(MIN(D1331,$F$11))), IF(D1331&lt;=$A$15, E1330+LN($D$11)-LN(60/$E$11)-LN(MIN(D1331,$F$11)), E1330+LN($D$11)+LN(1-$H$11)-LN(60/$E$11)-LN(MIN(D1331,$F$11))))</f>
        <v>-156.81246733646813</v>
      </c>
      <c r="F1331" s="1">
        <f t="shared" si="125"/>
        <v>-158.81450014566718</v>
      </c>
      <c r="G1331" s="1">
        <f t="shared" si="123"/>
        <v>1.0659551705027411E-69</v>
      </c>
      <c r="H1331" s="1">
        <f t="shared" si="120"/>
        <v>1.0463126281255498E-70</v>
      </c>
      <c r="I1331">
        <f>IF($F$11&lt;=D1331, IF(D1331&lt;=$A$15,D1331-$F$11,$C$11),0)</f>
        <v>60</v>
      </c>
      <c r="J1331">
        <f t="shared" si="121"/>
        <v>1244</v>
      </c>
      <c r="K1331" s="5">
        <f>IF(D1331&lt;$F$11,H1331,0)</f>
        <v>0</v>
      </c>
      <c r="L1331">
        <f>IF(D1331&lt;$A$15,$D$11,$D$11*(1-$H$11))</f>
        <v>85</v>
      </c>
      <c r="M1331">
        <f t="shared" si="122"/>
        <v>1</v>
      </c>
      <c r="N1331">
        <f>IF(SUM(I1331:J1331)&lt;=($G$11/60*$F$11/($E$11/60)),1,0)</f>
        <v>0</v>
      </c>
    </row>
    <row r="1332" spans="4:14" x14ac:dyDescent="0.2">
      <c r="D1332">
        <f t="shared" si="124"/>
        <v>1309</v>
      </c>
      <c r="E1332" s="1">
        <f>IF($H$11=1,IF(D1332&lt;=$A$15, E1331+LN($D$11)-LN(60/$E$11)-LN(MIN(D1332,$F$11)), E1331-LN(60/$E$11)-LN(MIN(D1332,$F$11))), IF(D1332&lt;=$A$15, E1331+LN($D$11)-LN(60/$E$11)-LN(MIN(D1332,$F$11)), E1331+LN($D$11)+LN(1-$H$11)-LN(60/$E$11)-LN(MIN(D1332,$F$11))))</f>
        <v>-156.93416427144567</v>
      </c>
      <c r="F1332" s="1">
        <f t="shared" si="125"/>
        <v>-158.93619708064472</v>
      </c>
      <c r="G1332" s="1">
        <f t="shared" si="123"/>
        <v>9.4381447388262054E-70</v>
      </c>
      <c r="H1332" s="1">
        <f t="shared" si="120"/>
        <v>9.2642263948614936E-71</v>
      </c>
      <c r="I1332">
        <f>IF($F$11&lt;=D1332, IF(D1332&lt;=$A$15,D1332-$F$11,$C$11),0)</f>
        <v>60</v>
      </c>
      <c r="J1332">
        <f t="shared" si="121"/>
        <v>1245</v>
      </c>
      <c r="K1332" s="5">
        <f>IF(D1332&lt;$F$11,H1332,0)</f>
        <v>0</v>
      </c>
      <c r="L1332">
        <f>IF(D1332&lt;$A$15,$D$11,$D$11*(1-$H$11))</f>
        <v>85</v>
      </c>
      <c r="M1332">
        <f t="shared" si="122"/>
        <v>1</v>
      </c>
      <c r="N1332">
        <f>IF(SUM(I1332:J1332)&lt;=($G$11/60*$F$11/($E$11/60)),1,0)</f>
        <v>0</v>
      </c>
    </row>
    <row r="1333" spans="4:14" x14ac:dyDescent="0.2">
      <c r="D1333">
        <f t="shared" si="124"/>
        <v>1310</v>
      </c>
      <c r="E1333" s="1">
        <f>IF($H$11=1,IF(D1333&lt;=$A$15, E1332+LN($D$11)-LN(60/$E$11)-LN(MIN(D1333,$F$11)), E1332-LN(60/$E$11)-LN(MIN(D1333,$F$11))), IF(D1333&lt;=$A$15, E1332+LN($D$11)-LN(60/$E$11)-LN(MIN(D1333,$F$11)), E1332+LN($D$11)+LN(1-$H$11)-LN(60/$E$11)-LN(MIN(D1333,$F$11))))</f>
        <v>-157.0558612064232</v>
      </c>
      <c r="F1333" s="1">
        <f t="shared" si="125"/>
        <v>-159.05789401562225</v>
      </c>
      <c r="G1333" s="1">
        <f t="shared" si="123"/>
        <v>8.3566906541689064E-70</v>
      </c>
      <c r="H1333" s="1">
        <f t="shared" si="120"/>
        <v>8.2027004537834877E-71</v>
      </c>
      <c r="I1333">
        <f>IF($F$11&lt;=D1333, IF(D1333&lt;=$A$15,D1333-$F$11,$C$11),0)</f>
        <v>60</v>
      </c>
      <c r="J1333">
        <f t="shared" si="121"/>
        <v>1246</v>
      </c>
      <c r="K1333" s="5">
        <f>IF(D1333&lt;$F$11,H1333,0)</f>
        <v>0</v>
      </c>
      <c r="L1333">
        <f>IF(D1333&lt;$A$15,$D$11,$D$11*(1-$H$11))</f>
        <v>85</v>
      </c>
      <c r="M1333">
        <f t="shared" si="122"/>
        <v>1</v>
      </c>
      <c r="N1333">
        <f>IF(SUM(I1333:J1333)&lt;=($G$11/60*$F$11/($E$11/60)),1,0)</f>
        <v>0</v>
      </c>
    </row>
    <row r="1334" spans="4:14" x14ac:dyDescent="0.2">
      <c r="D1334">
        <f t="shared" si="124"/>
        <v>1311</v>
      </c>
      <c r="E1334" s="1">
        <f>IF($H$11=1,IF(D1334&lt;=$A$15, E1333+LN($D$11)-LN(60/$E$11)-LN(MIN(D1334,$F$11)), E1333-LN(60/$E$11)-LN(MIN(D1334,$F$11))), IF(D1334&lt;=$A$15, E1333+LN($D$11)-LN(60/$E$11)-LN(MIN(D1334,$F$11)), E1333+LN($D$11)+LN(1-$H$11)-LN(60/$E$11)-LN(MIN(D1334,$F$11))))</f>
        <v>-157.17755814140074</v>
      </c>
      <c r="F1334" s="1">
        <f t="shared" si="125"/>
        <v>-159.17959095059979</v>
      </c>
      <c r="G1334" s="1">
        <f t="shared" si="123"/>
        <v>7.399153183378603E-70</v>
      </c>
      <c r="H1334" s="1">
        <f t="shared" si="120"/>
        <v>7.2628076934540143E-71</v>
      </c>
      <c r="I1334">
        <f>IF($F$11&lt;=D1334, IF(D1334&lt;=$A$15,D1334-$F$11,$C$11),0)</f>
        <v>60</v>
      </c>
      <c r="J1334">
        <f t="shared" si="121"/>
        <v>1247</v>
      </c>
      <c r="K1334" s="5">
        <f>IF(D1334&lt;$F$11,H1334,0)</f>
        <v>0</v>
      </c>
      <c r="L1334">
        <f>IF(D1334&lt;$A$15,$D$11,$D$11*(1-$H$11))</f>
        <v>85</v>
      </c>
      <c r="M1334">
        <f t="shared" si="122"/>
        <v>1</v>
      </c>
      <c r="N1334">
        <f>IF(SUM(I1334:J1334)&lt;=($G$11/60*$F$11/($E$11/60)),1,0)</f>
        <v>0</v>
      </c>
    </row>
    <row r="1335" spans="4:14" x14ac:dyDescent="0.2">
      <c r="D1335">
        <f t="shared" si="124"/>
        <v>1312</v>
      </c>
      <c r="E1335" s="1">
        <f>IF($H$11=1,IF(D1335&lt;=$A$15, E1334+LN($D$11)-LN(60/$E$11)-LN(MIN(D1335,$F$11)), E1334-LN(60/$E$11)-LN(MIN(D1335,$F$11))), IF(D1335&lt;=$A$15, E1334+LN($D$11)-LN(60/$E$11)-LN(MIN(D1335,$F$11)), E1334+LN($D$11)+LN(1-$H$11)-LN(60/$E$11)-LN(MIN(D1335,$F$11))))</f>
        <v>-157.29925507637827</v>
      </c>
      <c r="F1335" s="1">
        <f t="shared" si="125"/>
        <v>-159.30128788557732</v>
      </c>
      <c r="G1335" s="1">
        <f t="shared" si="123"/>
        <v>6.5513335477830355E-70</v>
      </c>
      <c r="H1335" s="1">
        <f t="shared" si="120"/>
        <v>6.4306109785789754E-71</v>
      </c>
      <c r="I1335">
        <f>IF($F$11&lt;=D1335, IF(D1335&lt;=$A$15,D1335-$F$11,$C$11),0)</f>
        <v>60</v>
      </c>
      <c r="J1335">
        <f t="shared" si="121"/>
        <v>1248</v>
      </c>
      <c r="K1335" s="5">
        <f>IF(D1335&lt;$F$11,H1335,0)</f>
        <v>0</v>
      </c>
      <c r="L1335">
        <f>IF(D1335&lt;$A$15,$D$11,$D$11*(1-$H$11))</f>
        <v>85</v>
      </c>
      <c r="M1335">
        <f t="shared" si="122"/>
        <v>1</v>
      </c>
      <c r="N1335">
        <f>IF(SUM(I1335:J1335)&lt;=($G$11/60*$F$11/($E$11/60)),1,0)</f>
        <v>0</v>
      </c>
    </row>
    <row r="1336" spans="4:14" x14ac:dyDescent="0.2">
      <c r="D1336">
        <f t="shared" si="124"/>
        <v>1313</v>
      </c>
      <c r="E1336" s="1">
        <f>IF($H$11=1,IF(D1336&lt;=$A$15, E1335+LN($D$11)-LN(60/$E$11)-LN(MIN(D1336,$F$11)), E1335-LN(60/$E$11)-LN(MIN(D1336,$F$11))), IF(D1336&lt;=$A$15, E1335+LN($D$11)-LN(60/$E$11)-LN(MIN(D1336,$F$11)), E1335+LN($D$11)+LN(1-$H$11)-LN(60/$E$11)-LN(MIN(D1336,$F$11))))</f>
        <v>-157.42095201135581</v>
      </c>
      <c r="F1336" s="1">
        <f t="shared" si="125"/>
        <v>-159.42298482055486</v>
      </c>
      <c r="G1336" s="1">
        <f t="shared" si="123"/>
        <v>5.8006599120994727E-70</v>
      </c>
      <c r="H1336" s="1">
        <f t="shared" si="120"/>
        <v>5.6937701372833789E-71</v>
      </c>
      <c r="I1336">
        <f>IF($F$11&lt;=D1336, IF(D1336&lt;=$A$15,D1336-$F$11,$C$11),0)</f>
        <v>60</v>
      </c>
      <c r="J1336">
        <f t="shared" si="121"/>
        <v>1249</v>
      </c>
      <c r="K1336" s="5">
        <f>IF(D1336&lt;$F$11,H1336,0)</f>
        <v>0</v>
      </c>
      <c r="L1336">
        <f>IF(D1336&lt;$A$15,$D$11,$D$11*(1-$H$11))</f>
        <v>85</v>
      </c>
      <c r="M1336">
        <f t="shared" si="122"/>
        <v>1</v>
      </c>
      <c r="N1336">
        <f>IF(SUM(I1336:J1336)&lt;=($G$11/60*$F$11/($E$11/60)),1,0)</f>
        <v>0</v>
      </c>
    </row>
    <row r="1337" spans="4:14" x14ac:dyDescent="0.2">
      <c r="D1337">
        <f t="shared" si="124"/>
        <v>1314</v>
      </c>
      <c r="E1337" s="1">
        <f>IF($H$11=1,IF(D1337&lt;=$A$15, E1336+LN($D$11)-LN(60/$E$11)-LN(MIN(D1337,$F$11)), E1336-LN(60/$E$11)-LN(MIN(D1337,$F$11))), IF(D1337&lt;=$A$15, E1336+LN($D$11)-LN(60/$E$11)-LN(MIN(D1337,$F$11)), E1336+LN($D$11)+LN(1-$H$11)-LN(60/$E$11)-LN(MIN(D1337,$F$11))))</f>
        <v>-157.54264894633334</v>
      </c>
      <c r="F1337" s="1">
        <f t="shared" si="125"/>
        <v>-159.54468175553239</v>
      </c>
      <c r="G1337" s="1">
        <f t="shared" si="123"/>
        <v>5.1360009638379939E-70</v>
      </c>
      <c r="H1337" s="1">
        <f t="shared" si="120"/>
        <v>5.041358975719579E-71</v>
      </c>
      <c r="I1337">
        <f>IF($F$11&lt;=D1337, IF(D1337&lt;=$A$15,D1337-$F$11,$C$11),0)</f>
        <v>60</v>
      </c>
      <c r="J1337">
        <f t="shared" si="121"/>
        <v>1250</v>
      </c>
      <c r="K1337" s="5">
        <f>IF(D1337&lt;$F$11,H1337,0)</f>
        <v>0</v>
      </c>
      <c r="L1337">
        <f>IF(D1337&lt;$A$15,$D$11,$D$11*(1-$H$11))</f>
        <v>85</v>
      </c>
      <c r="M1337">
        <f t="shared" si="122"/>
        <v>1</v>
      </c>
      <c r="N1337">
        <f>IF(SUM(I1337:J1337)&lt;=($G$11/60*$F$11/($E$11/60)),1,0)</f>
        <v>0</v>
      </c>
    </row>
    <row r="1338" spans="4:14" x14ac:dyDescent="0.2">
      <c r="D1338">
        <f t="shared" si="124"/>
        <v>1315</v>
      </c>
      <c r="E1338" s="1">
        <f>IF($H$11=1,IF(D1338&lt;=$A$15, E1337+LN($D$11)-LN(60/$E$11)-LN(MIN(D1338,$F$11)), E1337-LN(60/$E$11)-LN(MIN(D1338,$F$11))), IF(D1338&lt;=$A$15, E1337+LN($D$11)-LN(60/$E$11)-LN(MIN(D1338,$F$11)), E1337+LN($D$11)+LN(1-$H$11)-LN(60/$E$11)-LN(MIN(D1338,$F$11))))</f>
        <v>-157.66434588131088</v>
      </c>
      <c r="F1338" s="1">
        <f t="shared" si="125"/>
        <v>-159.66637869050993</v>
      </c>
      <c r="G1338" s="1">
        <f t="shared" si="123"/>
        <v>4.547500853398153E-70</v>
      </c>
      <c r="H1338" s="1">
        <f t="shared" si="120"/>
        <v>4.4637032597516413E-71</v>
      </c>
      <c r="I1338">
        <f>IF($F$11&lt;=D1338, IF(D1338&lt;=$A$15,D1338-$F$11,$C$11),0)</f>
        <v>60</v>
      </c>
      <c r="J1338">
        <f t="shared" si="121"/>
        <v>1251</v>
      </c>
      <c r="K1338" s="5">
        <f>IF(D1338&lt;$F$11,H1338,0)</f>
        <v>0</v>
      </c>
      <c r="L1338">
        <f>IF(D1338&lt;$A$15,$D$11,$D$11*(1-$H$11))</f>
        <v>85</v>
      </c>
      <c r="M1338">
        <f t="shared" si="122"/>
        <v>1</v>
      </c>
      <c r="N1338">
        <f>IF(SUM(I1338:J1338)&lt;=($G$11/60*$F$11/($E$11/60)),1,0)</f>
        <v>0</v>
      </c>
    </row>
    <row r="1339" spans="4:14" x14ac:dyDescent="0.2">
      <c r="D1339">
        <f t="shared" si="124"/>
        <v>1316</v>
      </c>
      <c r="E1339" s="1">
        <f>IF($H$11=1,IF(D1339&lt;=$A$15, E1338+LN($D$11)-LN(60/$E$11)-LN(MIN(D1339,$F$11)), E1338-LN(60/$E$11)-LN(MIN(D1339,$F$11))), IF(D1339&lt;=$A$15, E1338+LN($D$11)-LN(60/$E$11)-LN(MIN(D1339,$F$11)), E1338+LN($D$11)+LN(1-$H$11)-LN(60/$E$11)-LN(MIN(D1339,$F$11))))</f>
        <v>-157.78604281628841</v>
      </c>
      <c r="F1339" s="1">
        <f t="shared" si="125"/>
        <v>-159.78807562548747</v>
      </c>
      <c r="G1339" s="1">
        <f t="shared" si="123"/>
        <v>4.0264330472795513E-70</v>
      </c>
      <c r="H1339" s="1">
        <f t="shared" si="120"/>
        <v>3.9522372612383701E-71</v>
      </c>
      <c r="I1339">
        <f>IF($F$11&lt;=D1339, IF(D1339&lt;=$A$15,D1339-$F$11,$C$11),0)</f>
        <v>60</v>
      </c>
      <c r="J1339">
        <f t="shared" si="121"/>
        <v>1252</v>
      </c>
      <c r="K1339" s="5">
        <f>IF(D1339&lt;$F$11,H1339,0)</f>
        <v>0</v>
      </c>
      <c r="L1339">
        <f>IF(D1339&lt;$A$15,$D$11,$D$11*(1-$H$11))</f>
        <v>85</v>
      </c>
      <c r="M1339">
        <f t="shared" si="122"/>
        <v>1</v>
      </c>
      <c r="N1339">
        <f>IF(SUM(I1339:J1339)&lt;=($G$11/60*$F$11/($E$11/60)),1,0)</f>
        <v>0</v>
      </c>
    </row>
    <row r="1340" spans="4:14" x14ac:dyDescent="0.2">
      <c r="D1340">
        <f t="shared" si="124"/>
        <v>1317</v>
      </c>
      <c r="E1340" s="1">
        <f>IF($H$11=1,IF(D1340&lt;=$A$15, E1339+LN($D$11)-LN(60/$E$11)-LN(MIN(D1340,$F$11)), E1339-LN(60/$E$11)-LN(MIN(D1340,$F$11))), IF(D1340&lt;=$A$15, E1339+LN($D$11)-LN(60/$E$11)-LN(MIN(D1340,$F$11)), E1339+LN($D$11)+LN(1-$H$11)-LN(60/$E$11)-LN(MIN(D1340,$F$11))))</f>
        <v>-157.90773975126595</v>
      </c>
      <c r="F1340" s="1">
        <f t="shared" si="125"/>
        <v>-159.909772560465</v>
      </c>
      <c r="G1340" s="1">
        <f t="shared" si="123"/>
        <v>3.5650709272787136E-70</v>
      </c>
      <c r="H1340" s="1">
        <f t="shared" si="120"/>
        <v>3.4993767417214191E-71</v>
      </c>
      <c r="I1340">
        <f>IF($F$11&lt;=D1340, IF(D1340&lt;=$A$15,D1340-$F$11,$C$11),0)</f>
        <v>60</v>
      </c>
      <c r="J1340">
        <f t="shared" si="121"/>
        <v>1253</v>
      </c>
      <c r="K1340" s="5">
        <f>IF(D1340&lt;$F$11,H1340,0)</f>
        <v>0</v>
      </c>
      <c r="L1340">
        <f>IF(D1340&lt;$A$15,$D$11,$D$11*(1-$H$11))</f>
        <v>85</v>
      </c>
      <c r="M1340">
        <f t="shared" si="122"/>
        <v>1</v>
      </c>
      <c r="N1340">
        <f>IF(SUM(I1340:J1340)&lt;=($G$11/60*$F$11/($E$11/60)),1,0)</f>
        <v>0</v>
      </c>
    </row>
    <row r="1341" spans="4:14" x14ac:dyDescent="0.2">
      <c r="D1341">
        <f t="shared" si="124"/>
        <v>1318</v>
      </c>
      <c r="E1341" s="1">
        <f>IF($H$11=1,IF(D1341&lt;=$A$15, E1340+LN($D$11)-LN(60/$E$11)-LN(MIN(D1341,$F$11)), E1340-LN(60/$E$11)-LN(MIN(D1341,$F$11))), IF(D1341&lt;=$A$15, E1340+LN($D$11)-LN(60/$E$11)-LN(MIN(D1341,$F$11)), E1340+LN($D$11)+LN(1-$H$11)-LN(60/$E$11)-LN(MIN(D1341,$F$11))))</f>
        <v>-158.02943668624349</v>
      </c>
      <c r="F1341" s="1">
        <f t="shared" si="125"/>
        <v>-160.03146949544254</v>
      </c>
      <c r="G1341" s="1">
        <f t="shared" si="123"/>
        <v>3.1565732168613115E-70</v>
      </c>
      <c r="H1341" s="1">
        <f t="shared" si="120"/>
        <v>3.098406490065791E-71</v>
      </c>
      <c r="I1341">
        <f>IF($F$11&lt;=D1341, IF(D1341&lt;=$A$15,D1341-$F$11,$C$11),0)</f>
        <v>60</v>
      </c>
      <c r="J1341">
        <f t="shared" si="121"/>
        <v>1254</v>
      </c>
      <c r="K1341" s="5">
        <f>IF(D1341&lt;$F$11,H1341,0)</f>
        <v>0</v>
      </c>
      <c r="L1341">
        <f>IF(D1341&lt;$A$15,$D$11,$D$11*(1-$H$11))</f>
        <v>85</v>
      </c>
      <c r="M1341">
        <f t="shared" si="122"/>
        <v>1</v>
      </c>
      <c r="N1341">
        <f>IF(SUM(I1341:J1341)&lt;=($G$11/60*$F$11/($E$11/60)),1,0)</f>
        <v>0</v>
      </c>
    </row>
    <row r="1342" spans="4:14" x14ac:dyDescent="0.2">
      <c r="D1342">
        <f t="shared" si="124"/>
        <v>1319</v>
      </c>
      <c r="E1342" s="1">
        <f>IF($H$11=1,IF(D1342&lt;=$A$15, E1341+LN($D$11)-LN(60/$E$11)-LN(MIN(D1342,$F$11)), E1341-LN(60/$E$11)-LN(MIN(D1342,$F$11))), IF(D1342&lt;=$A$15, E1341+LN($D$11)-LN(60/$E$11)-LN(MIN(D1342,$F$11)), E1341+LN($D$11)+LN(1-$H$11)-LN(60/$E$11)-LN(MIN(D1342,$F$11))))</f>
        <v>-158.15113362122102</v>
      </c>
      <c r="F1342" s="1">
        <f t="shared" si="125"/>
        <v>-160.15316643042007</v>
      </c>
      <c r="G1342" s="1">
        <f t="shared" si="123"/>
        <v>2.7948825357625759E-70</v>
      </c>
      <c r="H1342" s="1">
        <f t="shared" si="120"/>
        <v>2.7433807464123764E-71</v>
      </c>
      <c r="I1342">
        <f>IF($F$11&lt;=D1342, IF(D1342&lt;=$A$15,D1342-$F$11,$C$11),0)</f>
        <v>60</v>
      </c>
      <c r="J1342">
        <f t="shared" si="121"/>
        <v>1255</v>
      </c>
      <c r="K1342" s="5">
        <f>IF(D1342&lt;$F$11,H1342,0)</f>
        <v>0</v>
      </c>
      <c r="L1342">
        <f>IF(D1342&lt;$A$15,$D$11,$D$11*(1-$H$11))</f>
        <v>85</v>
      </c>
      <c r="M1342">
        <f t="shared" si="122"/>
        <v>1</v>
      </c>
      <c r="N1342">
        <f>IF(SUM(I1342:J1342)&lt;=($G$11/60*$F$11/($E$11/60)),1,0)</f>
        <v>0</v>
      </c>
    </row>
    <row r="1343" spans="4:14" x14ac:dyDescent="0.2">
      <c r="D1343">
        <f t="shared" si="124"/>
        <v>1320</v>
      </c>
      <c r="E1343" s="1">
        <f>IF($H$11=1,IF(D1343&lt;=$A$15, E1342+LN($D$11)-LN(60/$E$11)-LN(MIN(D1343,$F$11)), E1342-LN(60/$E$11)-LN(MIN(D1343,$F$11))), IF(D1343&lt;=$A$15, E1342+LN($D$11)-LN(60/$E$11)-LN(MIN(D1343,$F$11)), E1342+LN($D$11)+LN(1-$H$11)-LN(60/$E$11)-LN(MIN(D1343,$F$11))))</f>
        <v>-158.27283055619856</v>
      </c>
      <c r="F1343" s="1">
        <f t="shared" si="125"/>
        <v>-160.27486336539761</v>
      </c>
      <c r="G1343" s="1">
        <f t="shared" si="123"/>
        <v>2.4746355785397424E-70</v>
      </c>
      <c r="H1343" s="1">
        <f t="shared" si="120"/>
        <v>2.4290350358859205E-71</v>
      </c>
      <c r="I1343">
        <f>IF($F$11&lt;=D1343, IF(D1343&lt;=$A$15,D1343-$F$11,$C$11),0)</f>
        <v>60</v>
      </c>
      <c r="J1343">
        <f t="shared" si="121"/>
        <v>1256</v>
      </c>
      <c r="K1343" s="5">
        <f>IF(D1343&lt;$F$11,H1343,0)</f>
        <v>0</v>
      </c>
      <c r="L1343">
        <f>IF(D1343&lt;$A$15,$D$11,$D$11*(1-$H$11))</f>
        <v>85</v>
      </c>
      <c r="M1343">
        <f t="shared" si="122"/>
        <v>1</v>
      </c>
      <c r="N1343">
        <f>IF(SUM(I1343:J1343)&lt;=($G$11/60*$F$11/($E$11/60)),1,0)</f>
        <v>0</v>
      </c>
    </row>
    <row r="1344" spans="4:14" x14ac:dyDescent="0.2">
      <c r="D1344">
        <f t="shared" si="124"/>
        <v>1321</v>
      </c>
      <c r="E1344" s="1">
        <f>IF($H$11=1,IF(D1344&lt;=$A$15, E1343+LN($D$11)-LN(60/$E$11)-LN(MIN(D1344,$F$11)), E1343-LN(60/$E$11)-LN(MIN(D1344,$F$11))), IF(D1344&lt;=$A$15, E1343+LN($D$11)-LN(60/$E$11)-LN(MIN(D1344,$F$11)), E1343+LN($D$11)+LN(1-$H$11)-LN(60/$E$11)-LN(MIN(D1344,$F$11))))</f>
        <v>-158.39452749117609</v>
      </c>
      <c r="F1344" s="1">
        <f t="shared" si="125"/>
        <v>-160.39656030037514</v>
      </c>
      <c r="G1344" s="1">
        <f t="shared" si="123"/>
        <v>2.1910835851653625E-70</v>
      </c>
      <c r="H1344" s="1">
        <f t="shared" si="120"/>
        <v>2.1507081046906253E-71</v>
      </c>
      <c r="I1344">
        <f>IF($F$11&lt;=D1344, IF(D1344&lt;=$A$15,D1344-$F$11,$C$11),0)</f>
        <v>60</v>
      </c>
      <c r="J1344">
        <f t="shared" si="121"/>
        <v>1257</v>
      </c>
      <c r="K1344" s="5">
        <f>IF(D1344&lt;$F$11,H1344,0)</f>
        <v>0</v>
      </c>
      <c r="L1344">
        <f>IF(D1344&lt;$A$15,$D$11,$D$11*(1-$H$11))</f>
        <v>85</v>
      </c>
      <c r="M1344">
        <f t="shared" si="122"/>
        <v>1</v>
      </c>
      <c r="N1344">
        <f>IF(SUM(I1344:J1344)&lt;=($G$11/60*$F$11/($E$11/60)),1,0)</f>
        <v>0</v>
      </c>
    </row>
    <row r="1345" spans="4:14" x14ac:dyDescent="0.2">
      <c r="D1345">
        <f t="shared" si="124"/>
        <v>1322</v>
      </c>
      <c r="E1345" s="1">
        <f>IF($H$11=1,IF(D1345&lt;=$A$15, E1344+LN($D$11)-LN(60/$E$11)-LN(MIN(D1345,$F$11)), E1344-LN(60/$E$11)-LN(MIN(D1345,$F$11))), IF(D1345&lt;=$A$15, E1344+LN($D$11)-LN(60/$E$11)-LN(MIN(D1345,$F$11)), E1344+LN($D$11)+LN(1-$H$11)-LN(60/$E$11)-LN(MIN(D1345,$F$11))))</f>
        <v>-158.51622442615363</v>
      </c>
      <c r="F1345" s="1">
        <f t="shared" si="125"/>
        <v>-160.51825723535268</v>
      </c>
      <c r="G1345" s="1">
        <f t="shared" si="123"/>
        <v>1.9400219243651342E-70</v>
      </c>
      <c r="H1345" s="1">
        <f t="shared" si="120"/>
        <v>1.9042728010281278E-71</v>
      </c>
      <c r="I1345">
        <f>IF($F$11&lt;=D1345, IF(D1345&lt;=$A$15,D1345-$F$11,$C$11),0)</f>
        <v>60</v>
      </c>
      <c r="J1345">
        <f t="shared" si="121"/>
        <v>1258</v>
      </c>
      <c r="K1345" s="5">
        <f>IF(D1345&lt;$F$11,H1345,0)</f>
        <v>0</v>
      </c>
      <c r="L1345">
        <f>IF(D1345&lt;$A$15,$D$11,$D$11*(1-$H$11))</f>
        <v>85</v>
      </c>
      <c r="M1345">
        <f t="shared" si="122"/>
        <v>1</v>
      </c>
      <c r="N1345">
        <f>IF(SUM(I1345:J1345)&lt;=($G$11/60*$F$11/($E$11/60)),1,0)</f>
        <v>0</v>
      </c>
    </row>
    <row r="1346" spans="4:14" x14ac:dyDescent="0.2">
      <c r="D1346">
        <f t="shared" si="124"/>
        <v>1323</v>
      </c>
      <c r="E1346" s="1">
        <f>IF($H$11=1,IF(D1346&lt;=$A$15, E1345+LN($D$11)-LN(60/$E$11)-LN(MIN(D1346,$F$11)), E1345-LN(60/$E$11)-LN(MIN(D1346,$F$11))), IF(D1346&lt;=$A$15, E1345+LN($D$11)-LN(60/$E$11)-LN(MIN(D1346,$F$11)), E1345+LN($D$11)+LN(1-$H$11)-LN(60/$E$11)-LN(MIN(D1346,$F$11))))</f>
        <v>-158.63792136113116</v>
      </c>
      <c r="F1346" s="1">
        <f t="shared" si="125"/>
        <v>-160.63995417033021</v>
      </c>
      <c r="G1346" s="1">
        <f t="shared" si="123"/>
        <v>1.7177277455316026E-70</v>
      </c>
      <c r="H1346" s="1">
        <f t="shared" si="120"/>
        <v>1.6860748759102952E-71</v>
      </c>
      <c r="I1346">
        <f>IF($F$11&lt;=D1346, IF(D1346&lt;=$A$15,D1346-$F$11,$C$11),0)</f>
        <v>60</v>
      </c>
      <c r="J1346">
        <f t="shared" si="121"/>
        <v>1259</v>
      </c>
      <c r="K1346" s="5">
        <f>IF(D1346&lt;$F$11,H1346,0)</f>
        <v>0</v>
      </c>
      <c r="L1346">
        <f>IF(D1346&lt;$A$15,$D$11,$D$11*(1-$H$11))</f>
        <v>85</v>
      </c>
      <c r="M1346">
        <f t="shared" si="122"/>
        <v>1</v>
      </c>
      <c r="N1346">
        <f>IF(SUM(I1346:J1346)&lt;=($G$11/60*$F$11/($E$11/60)),1,0)</f>
        <v>0</v>
      </c>
    </row>
    <row r="1347" spans="4:14" x14ac:dyDescent="0.2">
      <c r="D1347">
        <f t="shared" si="124"/>
        <v>1324</v>
      </c>
      <c r="E1347" s="1">
        <f>IF($H$11=1,IF(D1347&lt;=$A$15, E1346+LN($D$11)-LN(60/$E$11)-LN(MIN(D1347,$F$11)), E1346-LN(60/$E$11)-LN(MIN(D1347,$F$11))), IF(D1347&lt;=$A$15, E1346+LN($D$11)-LN(60/$E$11)-LN(MIN(D1347,$F$11)), E1346+LN($D$11)+LN(1-$H$11)-LN(60/$E$11)-LN(MIN(D1347,$F$11))))</f>
        <v>-158.7596182961087</v>
      </c>
      <c r="F1347" s="1">
        <f t="shared" si="125"/>
        <v>-160.76165110530775</v>
      </c>
      <c r="G1347" s="1">
        <f t="shared" si="123"/>
        <v>1.5209047746894161E-70</v>
      </c>
      <c r="H1347" s="1">
        <f t="shared" si="120"/>
        <v>1.4928787963788839E-71</v>
      </c>
      <c r="I1347">
        <f>IF($F$11&lt;=D1347, IF(D1347&lt;=$A$15,D1347-$F$11,$C$11),0)</f>
        <v>60</v>
      </c>
      <c r="J1347">
        <f t="shared" si="121"/>
        <v>1260</v>
      </c>
      <c r="K1347" s="5">
        <f>IF(D1347&lt;$F$11,H1347,0)</f>
        <v>0</v>
      </c>
      <c r="L1347">
        <f>IF(D1347&lt;$A$15,$D$11,$D$11*(1-$H$11))</f>
        <v>85</v>
      </c>
      <c r="M1347">
        <f t="shared" si="122"/>
        <v>1</v>
      </c>
      <c r="N1347">
        <f>IF(SUM(I1347:J1347)&lt;=($G$11/60*$F$11/($E$11/60)),1,0)</f>
        <v>0</v>
      </c>
    </row>
    <row r="1348" spans="4:14" x14ac:dyDescent="0.2">
      <c r="D1348">
        <f t="shared" si="124"/>
        <v>1325</v>
      </c>
      <c r="E1348" s="1">
        <f>IF($H$11=1,IF(D1348&lt;=$A$15, E1347+LN($D$11)-LN(60/$E$11)-LN(MIN(D1348,$F$11)), E1347-LN(60/$E$11)-LN(MIN(D1348,$F$11))), IF(D1348&lt;=$A$15, E1347+LN($D$11)-LN(60/$E$11)-LN(MIN(D1348,$F$11)), E1347+LN($D$11)+LN(1-$H$11)-LN(60/$E$11)-LN(MIN(D1348,$F$11))))</f>
        <v>-158.88131523108623</v>
      </c>
      <c r="F1348" s="1">
        <f t="shared" si="125"/>
        <v>-160.88334804028528</v>
      </c>
      <c r="G1348" s="1">
        <f t="shared" si="123"/>
        <v>1.3466344359228994E-70</v>
      </c>
      <c r="H1348" s="1">
        <f t="shared" si="120"/>
        <v>1.3218197676271161E-71</v>
      </c>
      <c r="I1348">
        <f>IF($F$11&lt;=D1348, IF(D1348&lt;=$A$15,D1348-$F$11,$C$11),0)</f>
        <v>60</v>
      </c>
      <c r="J1348">
        <f t="shared" si="121"/>
        <v>1261</v>
      </c>
      <c r="K1348" s="5">
        <f>IF(D1348&lt;$F$11,H1348,0)</f>
        <v>0</v>
      </c>
      <c r="L1348">
        <f>IF(D1348&lt;$A$15,$D$11,$D$11*(1-$H$11))</f>
        <v>85</v>
      </c>
      <c r="M1348">
        <f t="shared" si="122"/>
        <v>1</v>
      </c>
      <c r="N1348">
        <f>IF(SUM(I1348:J1348)&lt;=($G$11/60*$F$11/($E$11/60)),1,0)</f>
        <v>0</v>
      </c>
    </row>
    <row r="1349" spans="4:14" x14ac:dyDescent="0.2">
      <c r="D1349">
        <f t="shared" si="124"/>
        <v>1326</v>
      </c>
      <c r="E1349" s="1">
        <f>IF($H$11=1,IF(D1349&lt;=$A$15, E1348+LN($D$11)-LN(60/$E$11)-LN(MIN(D1349,$F$11)), E1348-LN(60/$E$11)-LN(MIN(D1349,$F$11))), IF(D1349&lt;=$A$15, E1348+LN($D$11)-LN(60/$E$11)-LN(MIN(D1349,$F$11)), E1348+LN($D$11)+LN(1-$H$11)-LN(60/$E$11)-LN(MIN(D1349,$F$11))))</f>
        <v>-159.00301216606377</v>
      </c>
      <c r="F1349" s="1">
        <f t="shared" si="125"/>
        <v>-161.00504497526282</v>
      </c>
      <c r="G1349" s="1">
        <f t="shared" si="123"/>
        <v>1.1923325734733819E-70</v>
      </c>
      <c r="H1349" s="1">
        <f t="shared" si="120"/>
        <v>1.1703612525864908E-71</v>
      </c>
      <c r="I1349">
        <f>IF($F$11&lt;=D1349, IF(D1349&lt;=$A$15,D1349-$F$11,$C$11),0)</f>
        <v>60</v>
      </c>
      <c r="J1349">
        <f t="shared" si="121"/>
        <v>1262</v>
      </c>
      <c r="K1349" s="5">
        <f>IF(D1349&lt;$F$11,H1349,0)</f>
        <v>0</v>
      </c>
      <c r="L1349">
        <f>IF(D1349&lt;$A$15,$D$11,$D$11*(1-$H$11))</f>
        <v>85</v>
      </c>
      <c r="M1349">
        <f t="shared" si="122"/>
        <v>1</v>
      </c>
      <c r="N1349">
        <f>IF(SUM(I1349:J1349)&lt;=($G$11/60*$F$11/($E$11/60)),1,0)</f>
        <v>0</v>
      </c>
    </row>
    <row r="1350" spans="4:14" x14ac:dyDescent="0.2">
      <c r="D1350">
        <f t="shared" si="124"/>
        <v>1327</v>
      </c>
      <c r="E1350" s="1">
        <f>IF($H$11=1,IF(D1350&lt;=$A$15, E1349+LN($D$11)-LN(60/$E$11)-LN(MIN(D1350,$F$11)), E1349-LN(60/$E$11)-LN(MIN(D1350,$F$11))), IF(D1350&lt;=$A$15, E1349+LN($D$11)-LN(60/$E$11)-LN(MIN(D1350,$F$11)), E1349+LN($D$11)+LN(1-$H$11)-LN(60/$E$11)-LN(MIN(D1350,$F$11))))</f>
        <v>-159.1247091010413</v>
      </c>
      <c r="F1350" s="1">
        <f t="shared" si="125"/>
        <v>-161.12674191024036</v>
      </c>
      <c r="G1350" s="1">
        <f t="shared" si="123"/>
        <v>1.0557111327628736E-70</v>
      </c>
      <c r="H1350" s="1">
        <f t="shared" si="120"/>
        <v>1.0362573590609391E-71</v>
      </c>
      <c r="I1350">
        <f>IF($F$11&lt;=D1350, IF(D1350&lt;=$A$15,D1350-$F$11,$C$11),0)</f>
        <v>60</v>
      </c>
      <c r="J1350">
        <f t="shared" si="121"/>
        <v>1263</v>
      </c>
      <c r="K1350" s="5">
        <f>IF(D1350&lt;$F$11,H1350,0)</f>
        <v>0</v>
      </c>
      <c r="L1350">
        <f>IF(D1350&lt;$A$15,$D$11,$D$11*(1-$H$11))</f>
        <v>85</v>
      </c>
      <c r="M1350">
        <f t="shared" si="122"/>
        <v>1</v>
      </c>
      <c r="N1350">
        <f>IF(SUM(I1350:J1350)&lt;=($G$11/60*$F$11/($E$11/60)),1,0)</f>
        <v>0</v>
      </c>
    </row>
    <row r="1351" spans="4:14" x14ac:dyDescent="0.2">
      <c r="D1351">
        <f t="shared" si="124"/>
        <v>1328</v>
      </c>
      <c r="E1351" s="1">
        <f>IF($H$11=1,IF(D1351&lt;=$A$15, E1350+LN($D$11)-LN(60/$E$11)-LN(MIN(D1351,$F$11)), E1350-LN(60/$E$11)-LN(MIN(D1351,$F$11))), IF(D1351&lt;=$A$15, E1350+LN($D$11)-LN(60/$E$11)-LN(MIN(D1351,$F$11)), E1350+LN($D$11)+LN(1-$H$11)-LN(60/$E$11)-LN(MIN(D1351,$F$11))))</f>
        <v>-159.24640603601884</v>
      </c>
      <c r="F1351" s="1">
        <f t="shared" si="125"/>
        <v>-161.24843884521789</v>
      </c>
      <c r="G1351" s="1">
        <f t="shared" si="123"/>
        <v>9.3474423213377977E-71</v>
      </c>
      <c r="H1351" s="1">
        <f t="shared" si="120"/>
        <v>9.1751953666852548E-72</v>
      </c>
      <c r="I1351">
        <f>IF($F$11&lt;=D1351, IF(D1351&lt;=$A$15,D1351-$F$11,$C$11),0)</f>
        <v>60</v>
      </c>
      <c r="J1351">
        <f t="shared" si="121"/>
        <v>1264</v>
      </c>
      <c r="K1351" s="5">
        <f>IF(D1351&lt;$F$11,H1351,0)</f>
        <v>0</v>
      </c>
      <c r="L1351">
        <f>IF(D1351&lt;$A$15,$D$11,$D$11*(1-$H$11))</f>
        <v>85</v>
      </c>
      <c r="M1351">
        <f t="shared" si="122"/>
        <v>1</v>
      </c>
      <c r="N1351">
        <f>IF(SUM(I1351:J1351)&lt;=($G$11/60*$F$11/($E$11/60)),1,0)</f>
        <v>0</v>
      </c>
    </row>
    <row r="1352" spans="4:14" x14ac:dyDescent="0.2">
      <c r="D1352">
        <f t="shared" si="124"/>
        <v>1329</v>
      </c>
      <c r="E1352" s="1">
        <f>IF($H$11=1,IF(D1352&lt;=$A$15, E1351+LN($D$11)-LN(60/$E$11)-LN(MIN(D1352,$F$11)), E1351-LN(60/$E$11)-LN(MIN(D1352,$F$11))), IF(D1352&lt;=$A$15, E1351+LN($D$11)-LN(60/$E$11)-LN(MIN(D1352,$F$11)), E1351+LN($D$11)+LN(1-$H$11)-LN(60/$E$11)-LN(MIN(D1352,$F$11))))</f>
        <v>-159.36810297099638</v>
      </c>
      <c r="F1352" s="1">
        <f t="shared" si="125"/>
        <v>-161.37013578019543</v>
      </c>
      <c r="G1352" s="1">
        <f t="shared" si="123"/>
        <v>8.2763812220177123E-71</v>
      </c>
      <c r="H1352" s="1">
        <f t="shared" si="120"/>
        <v>8.123870897585776E-72</v>
      </c>
      <c r="I1352">
        <f>IF($F$11&lt;=D1352, IF(D1352&lt;=$A$15,D1352-$F$11,$C$11),0)</f>
        <v>60</v>
      </c>
      <c r="J1352">
        <f t="shared" si="121"/>
        <v>1265</v>
      </c>
      <c r="K1352" s="5">
        <f>IF(D1352&lt;$F$11,H1352,0)</f>
        <v>0</v>
      </c>
      <c r="L1352">
        <f>IF(D1352&lt;$A$15,$D$11,$D$11*(1-$H$11))</f>
        <v>85</v>
      </c>
      <c r="M1352">
        <f t="shared" si="122"/>
        <v>1</v>
      </c>
      <c r="N1352">
        <f>IF(SUM(I1352:J1352)&lt;=($G$11/60*$F$11/($E$11/60)),1,0)</f>
        <v>0</v>
      </c>
    </row>
    <row r="1353" spans="4:14" x14ac:dyDescent="0.2">
      <c r="D1353">
        <f t="shared" si="124"/>
        <v>1330</v>
      </c>
      <c r="E1353" s="1">
        <f>IF($H$11=1,IF(D1353&lt;=$A$15, E1352+LN($D$11)-LN(60/$E$11)-LN(MIN(D1353,$F$11)), E1352-LN(60/$E$11)-LN(MIN(D1353,$F$11))), IF(D1353&lt;=$A$15, E1352+LN($D$11)-LN(60/$E$11)-LN(MIN(D1353,$F$11)), E1352+LN($D$11)+LN(1-$H$11)-LN(60/$E$11)-LN(MIN(D1353,$F$11))))</f>
        <v>-159.48979990597391</v>
      </c>
      <c r="F1353" s="1">
        <f t="shared" si="125"/>
        <v>-161.49183271517296</v>
      </c>
      <c r="G1353" s="1">
        <f t="shared" si="123"/>
        <v>7.3280458736614009E-71</v>
      </c>
      <c r="H1353" s="1">
        <f t="shared" si="120"/>
        <v>7.1930106905706258E-72</v>
      </c>
      <c r="I1353">
        <f>IF($F$11&lt;=D1353, IF(D1353&lt;=$A$15,D1353-$F$11,$C$11),0)</f>
        <v>60</v>
      </c>
      <c r="J1353">
        <f t="shared" si="121"/>
        <v>1266</v>
      </c>
      <c r="K1353" s="5">
        <f>IF(D1353&lt;$F$11,H1353,0)</f>
        <v>0</v>
      </c>
      <c r="L1353">
        <f>IF(D1353&lt;$A$15,$D$11,$D$11*(1-$H$11))</f>
        <v>85</v>
      </c>
      <c r="M1353">
        <f t="shared" si="122"/>
        <v>1</v>
      </c>
      <c r="N1353">
        <f>IF(SUM(I1353:J1353)&lt;=($G$11/60*$F$11/($E$11/60)),1,0)</f>
        <v>0</v>
      </c>
    </row>
    <row r="1354" spans="4:14" x14ac:dyDescent="0.2">
      <c r="D1354">
        <f t="shared" si="124"/>
        <v>1331</v>
      </c>
      <c r="E1354" s="1">
        <f>IF($H$11=1,IF(D1354&lt;=$A$15, E1353+LN($D$11)-LN(60/$E$11)-LN(MIN(D1354,$F$11)), E1353-LN(60/$E$11)-LN(MIN(D1354,$F$11))), IF(D1354&lt;=$A$15, E1353+LN($D$11)-LN(60/$E$11)-LN(MIN(D1354,$F$11)), E1353+LN($D$11)+LN(1-$H$11)-LN(60/$E$11)-LN(MIN(D1354,$F$11))))</f>
        <v>-159.61149684095145</v>
      </c>
      <c r="F1354" s="1">
        <f t="shared" si="125"/>
        <v>-161.6135296501505</v>
      </c>
      <c r="G1354" s="1">
        <f t="shared" si="123"/>
        <v>6.4883739506375974E-71</v>
      </c>
      <c r="H1354" s="1">
        <f t="shared" si="120"/>
        <v>6.368811548942642E-72</v>
      </c>
      <c r="I1354">
        <f>IF($F$11&lt;=D1354, IF(D1354&lt;=$A$15,D1354-$F$11,$C$11),0)</f>
        <v>60</v>
      </c>
      <c r="J1354">
        <f t="shared" si="121"/>
        <v>1267</v>
      </c>
      <c r="K1354" s="5">
        <f>IF(D1354&lt;$F$11,H1354,0)</f>
        <v>0</v>
      </c>
      <c r="L1354">
        <f>IF(D1354&lt;$A$15,$D$11,$D$11*(1-$H$11))</f>
        <v>85</v>
      </c>
      <c r="M1354">
        <f t="shared" si="122"/>
        <v>1</v>
      </c>
      <c r="N1354">
        <f>IF(SUM(I1354:J1354)&lt;=($G$11/60*$F$11/($E$11/60)),1,0)</f>
        <v>0</v>
      </c>
    </row>
    <row r="1355" spans="4:14" x14ac:dyDescent="0.2">
      <c r="D1355">
        <f t="shared" si="124"/>
        <v>1332</v>
      </c>
      <c r="E1355" s="1">
        <f>IF($H$11=1,IF(D1355&lt;=$A$15, E1354+LN($D$11)-LN(60/$E$11)-LN(MIN(D1355,$F$11)), E1354-LN(60/$E$11)-LN(MIN(D1355,$F$11))), IF(D1355&lt;=$A$15, E1354+LN($D$11)-LN(60/$E$11)-LN(MIN(D1355,$F$11)), E1354+LN($D$11)+LN(1-$H$11)-LN(60/$E$11)-LN(MIN(D1355,$F$11))))</f>
        <v>-159.73319377592898</v>
      </c>
      <c r="F1355" s="1">
        <f t="shared" si="125"/>
        <v>-161.73522658512803</v>
      </c>
      <c r="G1355" s="1">
        <f t="shared" si="123"/>
        <v>5.7449144354602832E-71</v>
      </c>
      <c r="H1355" s="1">
        <f t="shared" si="120"/>
        <v>5.6390518922928766E-72</v>
      </c>
      <c r="I1355">
        <f>IF($F$11&lt;=D1355, IF(D1355&lt;=$A$15,D1355-$F$11,$C$11),0)</f>
        <v>60</v>
      </c>
      <c r="J1355">
        <f t="shared" si="121"/>
        <v>1268</v>
      </c>
      <c r="K1355" s="5">
        <f>IF(D1355&lt;$F$11,H1355,0)</f>
        <v>0</v>
      </c>
      <c r="L1355">
        <f>IF(D1355&lt;$A$15,$D$11,$D$11*(1-$H$11))</f>
        <v>85</v>
      </c>
      <c r="M1355">
        <f t="shared" si="122"/>
        <v>1</v>
      </c>
      <c r="N1355">
        <f>IF(SUM(I1355:J1355)&lt;=($G$11/60*$F$11/($E$11/60)),1,0)</f>
        <v>0</v>
      </c>
    </row>
    <row r="1356" spans="4:14" x14ac:dyDescent="0.2">
      <c r="D1356">
        <f t="shared" si="124"/>
        <v>1333</v>
      </c>
      <c r="E1356" s="1">
        <f>IF($H$11=1,IF(D1356&lt;=$A$15, E1355+LN($D$11)-LN(60/$E$11)-LN(MIN(D1356,$F$11)), E1355-LN(60/$E$11)-LN(MIN(D1356,$F$11))), IF(D1356&lt;=$A$15, E1355+LN($D$11)-LN(60/$E$11)-LN(MIN(D1356,$F$11)), E1355+LN($D$11)+LN(1-$H$11)-LN(60/$E$11)-LN(MIN(D1356,$F$11))))</f>
        <v>-159.85489071090652</v>
      </c>
      <c r="F1356" s="1">
        <f t="shared" si="125"/>
        <v>-161.85692352010557</v>
      </c>
      <c r="G1356" s="1">
        <f t="shared" si="123"/>
        <v>5.0866429897303798E-71</v>
      </c>
      <c r="H1356" s="1">
        <f t="shared" si="120"/>
        <v>4.9929105296342397E-72</v>
      </c>
      <c r="I1356">
        <f>IF($F$11&lt;=D1356, IF(D1356&lt;=$A$15,D1356-$F$11,$C$11),0)</f>
        <v>60</v>
      </c>
      <c r="J1356">
        <f t="shared" si="121"/>
        <v>1269</v>
      </c>
      <c r="K1356" s="5">
        <f>IF(D1356&lt;$F$11,H1356,0)</f>
        <v>0</v>
      </c>
      <c r="L1356">
        <f>IF(D1356&lt;$A$15,$D$11,$D$11*(1-$H$11))</f>
        <v>85</v>
      </c>
      <c r="M1356">
        <f t="shared" si="122"/>
        <v>1</v>
      </c>
      <c r="N1356">
        <f>IF(SUM(I1356:J1356)&lt;=($G$11/60*$F$11/($E$11/60)),1,0)</f>
        <v>0</v>
      </c>
    </row>
    <row r="1357" spans="4:14" x14ac:dyDescent="0.2">
      <c r="D1357">
        <f t="shared" si="124"/>
        <v>1334</v>
      </c>
      <c r="E1357" s="1">
        <f>IF($H$11=1,IF(D1357&lt;=$A$15, E1356+LN($D$11)-LN(60/$E$11)-LN(MIN(D1357,$F$11)), E1356-LN(60/$E$11)-LN(MIN(D1357,$F$11))), IF(D1357&lt;=$A$15, E1356+LN($D$11)-LN(60/$E$11)-LN(MIN(D1357,$F$11)), E1356+LN($D$11)+LN(1-$H$11)-LN(60/$E$11)-LN(MIN(D1357,$F$11))))</f>
        <v>-159.97658764588405</v>
      </c>
      <c r="F1357" s="1">
        <f t="shared" si="125"/>
        <v>-161.9786204550831</v>
      </c>
      <c r="G1357" s="1">
        <f t="shared" si="123"/>
        <v>4.5037984804903697E-71</v>
      </c>
      <c r="H1357" s="1">
        <f t="shared" si="120"/>
        <v>4.4208061981135804E-72</v>
      </c>
      <c r="I1357">
        <f>IF($F$11&lt;=D1357, IF(D1357&lt;=$A$15,D1357-$F$11,$C$11),0)</f>
        <v>60</v>
      </c>
      <c r="J1357">
        <f t="shared" si="121"/>
        <v>1270</v>
      </c>
      <c r="K1357" s="5">
        <f>IF(D1357&lt;$F$11,H1357,0)</f>
        <v>0</v>
      </c>
      <c r="L1357">
        <f>IF(D1357&lt;$A$15,$D$11,$D$11*(1-$H$11))</f>
        <v>85</v>
      </c>
      <c r="M1357">
        <f t="shared" si="122"/>
        <v>1</v>
      </c>
      <c r="N1357">
        <f>IF(SUM(I1357:J1357)&lt;=($G$11/60*$F$11/($E$11/60)),1,0)</f>
        <v>0</v>
      </c>
    </row>
    <row r="1358" spans="4:14" x14ac:dyDescent="0.2">
      <c r="D1358">
        <f t="shared" si="124"/>
        <v>1335</v>
      </c>
      <c r="E1358" s="1">
        <f>IF($H$11=1,IF(D1358&lt;=$A$15, E1357+LN($D$11)-LN(60/$E$11)-LN(MIN(D1358,$F$11)), E1357-LN(60/$E$11)-LN(MIN(D1358,$F$11))), IF(D1358&lt;=$A$15, E1357+LN($D$11)-LN(60/$E$11)-LN(MIN(D1358,$F$11)), E1357+LN($D$11)+LN(1-$H$11)-LN(60/$E$11)-LN(MIN(D1358,$F$11))))</f>
        <v>-160.09828458086159</v>
      </c>
      <c r="F1358" s="1">
        <f t="shared" si="125"/>
        <v>-162.10031739006064</v>
      </c>
      <c r="G1358" s="1">
        <f t="shared" si="123"/>
        <v>3.9877382379341192E-71</v>
      </c>
      <c r="H1358" s="1">
        <f t="shared" si="120"/>
        <v>3.9142554879130052E-72</v>
      </c>
      <c r="I1358">
        <f>IF($F$11&lt;=D1358, IF(D1358&lt;=$A$15,D1358-$F$11,$C$11),0)</f>
        <v>60</v>
      </c>
      <c r="J1358">
        <f t="shared" si="121"/>
        <v>1271</v>
      </c>
      <c r="K1358" s="5">
        <f>IF(D1358&lt;$F$11,H1358,0)</f>
        <v>0</v>
      </c>
      <c r="L1358">
        <f>IF(D1358&lt;$A$15,$D$11,$D$11*(1-$H$11))</f>
        <v>85</v>
      </c>
      <c r="M1358">
        <f t="shared" si="122"/>
        <v>1</v>
      </c>
      <c r="N1358">
        <f>IF(SUM(I1358:J1358)&lt;=($G$11/60*$F$11/($E$11/60)),1,0)</f>
        <v>0</v>
      </c>
    </row>
    <row r="1359" spans="4:14" x14ac:dyDescent="0.2">
      <c r="D1359">
        <f t="shared" si="124"/>
        <v>1336</v>
      </c>
      <c r="E1359" s="1">
        <f>IF($H$11=1,IF(D1359&lt;=$A$15, E1358+LN($D$11)-LN(60/$E$11)-LN(MIN(D1359,$F$11)), E1358-LN(60/$E$11)-LN(MIN(D1359,$F$11))), IF(D1359&lt;=$A$15, E1358+LN($D$11)-LN(60/$E$11)-LN(MIN(D1359,$F$11)), E1358+LN($D$11)+LN(1-$H$11)-LN(60/$E$11)-LN(MIN(D1359,$F$11))))</f>
        <v>-160.21998151583912</v>
      </c>
      <c r="F1359" s="1">
        <f t="shared" si="125"/>
        <v>-162.22201432503817</v>
      </c>
      <c r="G1359" s="1">
        <f t="shared" si="123"/>
        <v>3.5308098981707794E-71</v>
      </c>
      <c r="H1359" s="1">
        <f t="shared" si="120"/>
        <v>3.4657470465895855E-72</v>
      </c>
      <c r="I1359">
        <f>IF($F$11&lt;=D1359, IF(D1359&lt;=$A$15,D1359-$F$11,$C$11),0)</f>
        <v>60</v>
      </c>
      <c r="J1359">
        <f t="shared" si="121"/>
        <v>1272</v>
      </c>
      <c r="K1359" s="5">
        <f>IF(D1359&lt;$F$11,H1359,0)</f>
        <v>0</v>
      </c>
      <c r="L1359">
        <f>IF(D1359&lt;$A$15,$D$11,$D$11*(1-$H$11))</f>
        <v>85</v>
      </c>
      <c r="M1359">
        <f t="shared" si="122"/>
        <v>1</v>
      </c>
      <c r="N1359">
        <f>IF(SUM(I1359:J1359)&lt;=($G$11/60*$F$11/($E$11/60)),1,0)</f>
        <v>0</v>
      </c>
    </row>
    <row r="1360" spans="4:14" x14ac:dyDescent="0.2">
      <c r="D1360">
        <f t="shared" si="124"/>
        <v>1337</v>
      </c>
      <c r="E1360" s="1">
        <f>IF($H$11=1,IF(D1360&lt;=$A$15, E1359+LN($D$11)-LN(60/$E$11)-LN(MIN(D1360,$F$11)), E1359-LN(60/$E$11)-LN(MIN(D1360,$F$11))), IF(D1360&lt;=$A$15, E1359+LN($D$11)-LN(60/$E$11)-LN(MIN(D1360,$F$11)), E1359+LN($D$11)+LN(1-$H$11)-LN(60/$E$11)-LN(MIN(D1360,$F$11))))</f>
        <v>-160.34167845081666</v>
      </c>
      <c r="F1360" s="1">
        <f t="shared" si="125"/>
        <v>-162.34371126001571</v>
      </c>
      <c r="G1360" s="1">
        <f t="shared" si="123"/>
        <v>3.1262379306719955E-71</v>
      </c>
      <c r="H1360" s="1">
        <f t="shared" si="120"/>
        <v>3.0686301975011476E-72</v>
      </c>
      <c r="I1360">
        <f>IF($F$11&lt;=D1360, IF(D1360&lt;=$A$15,D1360-$F$11,$C$11),0)</f>
        <v>60</v>
      </c>
      <c r="J1360">
        <f t="shared" si="121"/>
        <v>1273</v>
      </c>
      <c r="K1360" s="5">
        <f>IF(D1360&lt;$F$11,H1360,0)</f>
        <v>0</v>
      </c>
      <c r="L1360">
        <f>IF(D1360&lt;$A$15,$D$11,$D$11*(1-$H$11))</f>
        <v>85</v>
      </c>
      <c r="M1360">
        <f t="shared" si="122"/>
        <v>1</v>
      </c>
      <c r="N1360">
        <f>IF(SUM(I1360:J1360)&lt;=($G$11/60*$F$11/($E$11/60)),1,0)</f>
        <v>0</v>
      </c>
    </row>
    <row r="1361" spans="4:14" x14ac:dyDescent="0.2">
      <c r="D1361">
        <f t="shared" si="124"/>
        <v>1338</v>
      </c>
      <c r="E1361" s="1">
        <f>IF($H$11=1,IF(D1361&lt;=$A$15, E1360+LN($D$11)-LN(60/$E$11)-LN(MIN(D1361,$F$11)), E1360-LN(60/$E$11)-LN(MIN(D1361,$F$11))), IF(D1361&lt;=$A$15, E1360+LN($D$11)-LN(60/$E$11)-LN(MIN(D1361,$F$11)), E1360+LN($D$11)+LN(1-$H$11)-LN(60/$E$11)-LN(MIN(D1361,$F$11))))</f>
        <v>-160.46337538579419</v>
      </c>
      <c r="F1361" s="1">
        <f t="shared" si="125"/>
        <v>-162.46540819499324</v>
      </c>
      <c r="G1361" s="1">
        <f t="shared" si="123"/>
        <v>2.7680231677824526E-71</v>
      </c>
      <c r="H1361" s="1">
        <f t="shared" si="120"/>
        <v>2.7170163207040984E-72</v>
      </c>
      <c r="I1361">
        <f>IF($F$11&lt;=D1361, IF(D1361&lt;=$A$15,D1361-$F$11,$C$11),0)</f>
        <v>60</v>
      </c>
      <c r="J1361">
        <f t="shared" si="121"/>
        <v>1274</v>
      </c>
      <c r="K1361" s="5">
        <f>IF(D1361&lt;$F$11,H1361,0)</f>
        <v>0</v>
      </c>
      <c r="L1361">
        <f>IF(D1361&lt;$A$15,$D$11,$D$11*(1-$H$11))</f>
        <v>85</v>
      </c>
      <c r="M1361">
        <f t="shared" si="122"/>
        <v>1</v>
      </c>
      <c r="N1361">
        <f>IF(SUM(I1361:J1361)&lt;=($G$11/60*$F$11/($E$11/60)),1,0)</f>
        <v>0</v>
      </c>
    </row>
    <row r="1362" spans="4:14" x14ac:dyDescent="0.2">
      <c r="D1362">
        <f t="shared" si="124"/>
        <v>1339</v>
      </c>
      <c r="E1362" s="1">
        <f>IF($H$11=1,IF(D1362&lt;=$A$15, E1361+LN($D$11)-LN(60/$E$11)-LN(MIN(D1362,$F$11)), E1361-LN(60/$E$11)-LN(MIN(D1362,$F$11))), IF(D1362&lt;=$A$15, E1361+LN($D$11)-LN(60/$E$11)-LN(MIN(D1362,$F$11)), E1361+LN($D$11)+LN(1-$H$11)-LN(60/$E$11)-LN(MIN(D1362,$F$11))))</f>
        <v>-160.58507232077173</v>
      </c>
      <c r="F1362" s="1">
        <f t="shared" si="125"/>
        <v>-162.58710512997078</v>
      </c>
      <c r="G1362" s="1">
        <f t="shared" si="123"/>
        <v>2.4508538464740084E-71</v>
      </c>
      <c r="H1362" s="1">
        <f t="shared" si="120"/>
        <v>2.4056915339567162E-72</v>
      </c>
      <c r="I1362">
        <f>IF($F$11&lt;=D1362, IF(D1362&lt;=$A$15,D1362-$F$11,$C$11),0)</f>
        <v>60</v>
      </c>
      <c r="J1362">
        <f t="shared" si="121"/>
        <v>1275</v>
      </c>
      <c r="K1362" s="5">
        <f>IF(D1362&lt;$F$11,H1362,0)</f>
        <v>0</v>
      </c>
      <c r="L1362">
        <f>IF(D1362&lt;$A$15,$D$11,$D$11*(1-$H$11))</f>
        <v>85</v>
      </c>
      <c r="M1362">
        <f t="shared" si="122"/>
        <v>1</v>
      </c>
      <c r="N1362">
        <f>IF(SUM(I1362:J1362)&lt;=($G$11/60*$F$11/($E$11/60)),1,0)</f>
        <v>0</v>
      </c>
    </row>
    <row r="1363" spans="4:14" x14ac:dyDescent="0.2">
      <c r="D1363">
        <f t="shared" si="124"/>
        <v>1340</v>
      </c>
      <c r="E1363" s="1">
        <f>IF($H$11=1,IF(D1363&lt;=$A$15, E1362+LN($D$11)-LN(60/$E$11)-LN(MIN(D1363,$F$11)), E1362-LN(60/$E$11)-LN(MIN(D1363,$F$11))), IF(D1363&lt;=$A$15, E1362+LN($D$11)-LN(60/$E$11)-LN(MIN(D1363,$F$11)), E1362+LN($D$11)+LN(1-$H$11)-LN(60/$E$11)-LN(MIN(D1363,$F$11))))</f>
        <v>-160.70676925574926</v>
      </c>
      <c r="F1363" s="1">
        <f t="shared" si="125"/>
        <v>-162.70880206494832</v>
      </c>
      <c r="G1363" s="1">
        <f t="shared" si="123"/>
        <v>2.170026843232161E-71</v>
      </c>
      <c r="H1363" s="1">
        <f t="shared" si="120"/>
        <v>2.1300393790241427E-72</v>
      </c>
      <c r="I1363">
        <f>IF($F$11&lt;=D1363, IF(D1363&lt;=$A$15,D1363-$F$11,$C$11),0)</f>
        <v>60</v>
      </c>
      <c r="J1363">
        <f t="shared" si="121"/>
        <v>1276</v>
      </c>
      <c r="K1363" s="5">
        <f>IF(D1363&lt;$F$11,H1363,0)</f>
        <v>0</v>
      </c>
      <c r="L1363">
        <f>IF(D1363&lt;$A$15,$D$11,$D$11*(1-$H$11))</f>
        <v>85</v>
      </c>
      <c r="M1363">
        <f t="shared" si="122"/>
        <v>1</v>
      </c>
      <c r="N1363">
        <f>IF(SUM(I1363:J1363)&lt;=($G$11/60*$F$11/($E$11/60)),1,0)</f>
        <v>0</v>
      </c>
    </row>
    <row r="1364" spans="4:14" x14ac:dyDescent="0.2">
      <c r="D1364">
        <f t="shared" si="124"/>
        <v>1341</v>
      </c>
      <c r="E1364" s="1">
        <f>IF($H$11=1,IF(D1364&lt;=$A$15, E1363+LN($D$11)-LN(60/$E$11)-LN(MIN(D1364,$F$11)), E1363-LN(60/$E$11)-LN(MIN(D1364,$F$11))), IF(D1364&lt;=$A$15, E1363+LN($D$11)-LN(60/$E$11)-LN(MIN(D1364,$F$11)), E1363+LN($D$11)+LN(1-$H$11)-LN(60/$E$11)-LN(MIN(D1364,$F$11))))</f>
        <v>-160.8284661907268</v>
      </c>
      <c r="F1364" s="1">
        <f t="shared" si="125"/>
        <v>-162.83049899992585</v>
      </c>
      <c r="G1364" s="1">
        <f t="shared" si="123"/>
        <v>1.9213779341117791E-71</v>
      </c>
      <c r="H1364" s="1">
        <f t="shared" si="120"/>
        <v>1.8859723668442635E-72</v>
      </c>
      <c r="I1364">
        <f>IF($F$11&lt;=D1364, IF(D1364&lt;=$A$15,D1364-$F$11,$C$11),0)</f>
        <v>60</v>
      </c>
      <c r="J1364">
        <f t="shared" si="121"/>
        <v>1277</v>
      </c>
      <c r="K1364" s="5">
        <f>IF(D1364&lt;$F$11,H1364,0)</f>
        <v>0</v>
      </c>
      <c r="L1364">
        <f>IF(D1364&lt;$A$15,$D$11,$D$11*(1-$H$11))</f>
        <v>85</v>
      </c>
      <c r="M1364">
        <f t="shared" si="122"/>
        <v>1</v>
      </c>
      <c r="N1364">
        <f>IF(SUM(I1364:J1364)&lt;=($G$11/60*$F$11/($E$11/60)),1,0)</f>
        <v>0</v>
      </c>
    </row>
    <row r="1365" spans="4:14" x14ac:dyDescent="0.2">
      <c r="D1365">
        <f t="shared" si="124"/>
        <v>1342</v>
      </c>
      <c r="E1365" s="1">
        <f>IF($H$11=1,IF(D1365&lt;=$A$15, E1364+LN($D$11)-LN(60/$E$11)-LN(MIN(D1365,$F$11)), E1364-LN(60/$E$11)-LN(MIN(D1365,$F$11))), IF(D1365&lt;=$A$15, E1364+LN($D$11)-LN(60/$E$11)-LN(MIN(D1365,$F$11)), E1364+LN($D$11)+LN(1-$H$11)-LN(60/$E$11)-LN(MIN(D1365,$F$11))))</f>
        <v>-160.95016312570434</v>
      </c>
      <c r="F1365" s="1">
        <f t="shared" si="125"/>
        <v>-162.95219593490339</v>
      </c>
      <c r="G1365" s="1">
        <f t="shared" si="123"/>
        <v>1.7012200458281112E-71</v>
      </c>
      <c r="H1365" s="1">
        <f t="shared" si="120"/>
        <v>1.6698713664766656E-72</v>
      </c>
      <c r="I1365">
        <f>IF($F$11&lt;=D1365, IF(D1365&lt;=$A$15,D1365-$F$11,$C$11),0)</f>
        <v>60</v>
      </c>
      <c r="J1365">
        <f t="shared" si="121"/>
        <v>1278</v>
      </c>
      <c r="K1365" s="5">
        <f>IF(D1365&lt;$F$11,H1365,0)</f>
        <v>0</v>
      </c>
      <c r="L1365">
        <f>IF(D1365&lt;$A$15,$D$11,$D$11*(1-$H$11))</f>
        <v>85</v>
      </c>
      <c r="M1365">
        <f t="shared" si="122"/>
        <v>1</v>
      </c>
      <c r="N1365">
        <f>IF(SUM(I1365:J1365)&lt;=($G$11/60*$F$11/($E$11/60)),1,0)</f>
        <v>0</v>
      </c>
    </row>
    <row r="1366" spans="4:14" x14ac:dyDescent="0.2">
      <c r="D1366">
        <f t="shared" si="124"/>
        <v>1343</v>
      </c>
      <c r="E1366" s="1">
        <f>IF($H$11=1,IF(D1366&lt;=$A$15, E1365+LN($D$11)-LN(60/$E$11)-LN(MIN(D1366,$F$11)), E1365-LN(60/$E$11)-LN(MIN(D1366,$F$11))), IF(D1366&lt;=$A$15, E1365+LN($D$11)-LN(60/$E$11)-LN(MIN(D1366,$F$11)), E1365+LN($D$11)+LN(1-$H$11)-LN(60/$E$11)-LN(MIN(D1366,$F$11))))</f>
        <v>-161.07186006068187</v>
      </c>
      <c r="F1366" s="1">
        <f t="shared" si="125"/>
        <v>-163.07389286988092</v>
      </c>
      <c r="G1366" s="1">
        <f t="shared" si="123"/>
        <v>1.5062885822436164E-71</v>
      </c>
      <c r="H1366" s="1">
        <f t="shared" si="120"/>
        <v>1.4785319390678578E-72</v>
      </c>
      <c r="I1366">
        <f>IF($F$11&lt;=D1366, IF(D1366&lt;=$A$15,D1366-$F$11,$C$11),0)</f>
        <v>60</v>
      </c>
      <c r="J1366">
        <f t="shared" si="121"/>
        <v>1279</v>
      </c>
      <c r="K1366" s="5">
        <f>IF(D1366&lt;$F$11,H1366,0)</f>
        <v>0</v>
      </c>
      <c r="L1366">
        <f>IF(D1366&lt;$A$15,$D$11,$D$11*(1-$H$11))</f>
        <v>85</v>
      </c>
      <c r="M1366">
        <f t="shared" si="122"/>
        <v>1</v>
      </c>
      <c r="N1366">
        <f>IF(SUM(I1366:J1366)&lt;=($G$11/60*$F$11/($E$11/60)),1,0)</f>
        <v>0</v>
      </c>
    </row>
    <row r="1367" spans="4:14" x14ac:dyDescent="0.2">
      <c r="D1367">
        <f t="shared" si="124"/>
        <v>1344</v>
      </c>
      <c r="E1367" s="1">
        <f>IF($H$11=1,IF(D1367&lt;=$A$15, E1366+LN($D$11)-LN(60/$E$11)-LN(MIN(D1367,$F$11)), E1366-LN(60/$E$11)-LN(MIN(D1367,$F$11))), IF(D1367&lt;=$A$15, E1366+LN($D$11)-LN(60/$E$11)-LN(MIN(D1367,$F$11)), E1366+LN($D$11)+LN(1-$H$11)-LN(60/$E$11)-LN(MIN(D1367,$F$11))))</f>
        <v>-161.19355699565941</v>
      </c>
      <c r="F1367" s="1">
        <f t="shared" si="125"/>
        <v>-163.19558980485846</v>
      </c>
      <c r="G1367" s="1">
        <f t="shared" si="123"/>
        <v>1.3336930155281812E-71</v>
      </c>
      <c r="H1367" s="1">
        <f t="shared" ref="H1367:H1430" si="126">G1367/$G$21</f>
        <v>1.3091168210496453E-72</v>
      </c>
      <c r="I1367">
        <f>IF($F$11&lt;=D1367, IF(D1367&lt;=$A$15,D1367-$F$11,$C$11),0)</f>
        <v>60</v>
      </c>
      <c r="J1367">
        <f t="shared" ref="J1367:J1430" si="127">IF(D1367&lt;=$A$15,0,D1367-$A$15)</f>
        <v>1280</v>
      </c>
      <c r="K1367" s="5">
        <f>IF(D1367&lt;$F$11,H1367,0)</f>
        <v>0</v>
      </c>
      <c r="L1367">
        <f>IF(D1367&lt;$A$15,$D$11,$D$11*(1-$H$11))</f>
        <v>85</v>
      </c>
      <c r="M1367">
        <f t="shared" ref="M1367:M1430" si="128">IF(D1367&lt;$A$15,0,1)</f>
        <v>1</v>
      </c>
      <c r="N1367">
        <f>IF(SUM(I1367:J1367)&lt;=($G$11/60*$F$11/($E$11/60)),1,0)</f>
        <v>0</v>
      </c>
    </row>
    <row r="1368" spans="4:14" x14ac:dyDescent="0.2">
      <c r="D1368">
        <f t="shared" si="124"/>
        <v>1345</v>
      </c>
      <c r="E1368" s="1">
        <f>IF($H$11=1,IF(D1368&lt;=$A$15, E1367+LN($D$11)-LN(60/$E$11)-LN(MIN(D1368,$F$11)), E1367-LN(60/$E$11)-LN(MIN(D1368,$F$11))), IF(D1368&lt;=$A$15, E1367+LN($D$11)-LN(60/$E$11)-LN(MIN(D1368,$F$11)), E1367+LN($D$11)+LN(1-$H$11)-LN(60/$E$11)-LN(MIN(D1368,$F$11))))</f>
        <v>-161.31525393063694</v>
      </c>
      <c r="F1368" s="1">
        <f t="shared" si="125"/>
        <v>-163.31728673983599</v>
      </c>
      <c r="G1368" s="1">
        <f t="shared" ref="G1368:G1431" si="129">EXP(F1368)</f>
        <v>1.1808740241655588E-71</v>
      </c>
      <c r="H1368" s="1">
        <f t="shared" si="126"/>
        <v>1.159113851971022E-72</v>
      </c>
      <c r="I1368">
        <f>IF($F$11&lt;=D1368, IF(D1368&lt;=$A$15,D1368-$F$11,$C$11),0)</f>
        <v>60</v>
      </c>
      <c r="J1368">
        <f t="shared" si="127"/>
        <v>1281</v>
      </c>
      <c r="K1368" s="5">
        <f>IF(D1368&lt;$F$11,H1368,0)</f>
        <v>0</v>
      </c>
      <c r="L1368">
        <f>IF(D1368&lt;$A$15,$D$11,$D$11*(1-$H$11))</f>
        <v>85</v>
      </c>
      <c r="M1368">
        <f t="shared" si="128"/>
        <v>1</v>
      </c>
      <c r="N1368">
        <f>IF(SUM(I1368:J1368)&lt;=($G$11/60*$F$11/($E$11/60)),1,0)</f>
        <v>0</v>
      </c>
    </row>
    <row r="1369" spans="4:14" x14ac:dyDescent="0.2">
      <c r="D1369">
        <f t="shared" ref="D1369:D1432" si="130">1+D1368</f>
        <v>1346</v>
      </c>
      <c r="E1369" s="1">
        <f>IF($H$11=1,IF(D1369&lt;=$A$15, E1368+LN($D$11)-LN(60/$E$11)-LN(MIN(D1369,$F$11)), E1368-LN(60/$E$11)-LN(MIN(D1369,$F$11))), IF(D1369&lt;=$A$15, E1368+LN($D$11)-LN(60/$E$11)-LN(MIN(D1369,$F$11)), E1368+LN($D$11)+LN(1-$H$11)-LN(60/$E$11)-LN(MIN(D1369,$F$11))))</f>
        <v>-161.43695086561448</v>
      </c>
      <c r="F1369" s="1">
        <f t="shared" ref="F1369:F1432" si="131">E1369-$E$21</f>
        <v>-163.43898367481353</v>
      </c>
      <c r="G1369" s="1">
        <f t="shared" si="129"/>
        <v>1.0455655422299054E-71</v>
      </c>
      <c r="H1369" s="1">
        <f t="shared" si="126"/>
        <v>1.0262987230993264E-72</v>
      </c>
      <c r="I1369">
        <f>IF($F$11&lt;=D1369, IF(D1369&lt;=$A$15,D1369-$F$11,$C$11),0)</f>
        <v>60</v>
      </c>
      <c r="J1369">
        <f t="shared" si="127"/>
        <v>1282</v>
      </c>
      <c r="K1369" s="5">
        <f>IF(D1369&lt;$F$11,H1369,0)</f>
        <v>0</v>
      </c>
      <c r="L1369">
        <f>IF(D1369&lt;$A$15,$D$11,$D$11*(1-$H$11))</f>
        <v>85</v>
      </c>
      <c r="M1369">
        <f t="shared" si="128"/>
        <v>1</v>
      </c>
      <c r="N1369">
        <f>IF(SUM(I1369:J1369)&lt;=($G$11/60*$F$11/($E$11/60)),1,0)</f>
        <v>0</v>
      </c>
    </row>
    <row r="1370" spans="4:14" x14ac:dyDescent="0.2">
      <c r="D1370">
        <f t="shared" si="130"/>
        <v>1347</v>
      </c>
      <c r="E1370" s="1">
        <f>IF($H$11=1,IF(D1370&lt;=$A$15, E1369+LN($D$11)-LN(60/$E$11)-LN(MIN(D1370,$F$11)), E1369-LN(60/$E$11)-LN(MIN(D1370,$F$11))), IF(D1370&lt;=$A$15, E1369+LN($D$11)-LN(60/$E$11)-LN(MIN(D1370,$F$11)), E1369+LN($D$11)+LN(1-$H$11)-LN(60/$E$11)-LN(MIN(D1370,$F$11))))</f>
        <v>-161.55864780059201</v>
      </c>
      <c r="F1370" s="1">
        <f t="shared" si="131"/>
        <v>-163.56068060979106</v>
      </c>
      <c r="G1370" s="1">
        <f t="shared" si="129"/>
        <v>9.2576115718271435E-72</v>
      </c>
      <c r="H1370" s="1">
        <f t="shared" si="126"/>
        <v>9.0870199441084769E-73</v>
      </c>
      <c r="I1370">
        <f>IF($F$11&lt;=D1370, IF(D1370&lt;=$A$15,D1370-$F$11,$C$11),0)</f>
        <v>60</v>
      </c>
      <c r="J1370">
        <f t="shared" si="127"/>
        <v>1283</v>
      </c>
      <c r="K1370" s="5">
        <f>IF(D1370&lt;$F$11,H1370,0)</f>
        <v>0</v>
      </c>
      <c r="L1370">
        <f>IF(D1370&lt;$A$15,$D$11,$D$11*(1-$H$11))</f>
        <v>85</v>
      </c>
      <c r="M1370">
        <f t="shared" si="128"/>
        <v>1</v>
      </c>
      <c r="N1370">
        <f>IF(SUM(I1370:J1370)&lt;=($G$11/60*$F$11/($E$11/60)),1,0)</f>
        <v>0</v>
      </c>
    </row>
    <row r="1371" spans="4:14" x14ac:dyDescent="0.2">
      <c r="D1371">
        <f t="shared" si="130"/>
        <v>1348</v>
      </c>
      <c r="E1371" s="1">
        <f>IF($H$11=1,IF(D1371&lt;=$A$15, E1370+LN($D$11)-LN(60/$E$11)-LN(MIN(D1371,$F$11)), E1370-LN(60/$E$11)-LN(MIN(D1371,$F$11))), IF(D1371&lt;=$A$15, E1370+LN($D$11)-LN(60/$E$11)-LN(MIN(D1371,$F$11)), E1370+LN($D$11)+LN(1-$H$11)-LN(60/$E$11)-LN(MIN(D1371,$F$11))))</f>
        <v>-161.68034473556955</v>
      </c>
      <c r="F1371" s="1">
        <f t="shared" si="131"/>
        <v>-163.6823775447686</v>
      </c>
      <c r="G1371" s="1">
        <f t="shared" si="129"/>
        <v>8.1968435792218212E-72</v>
      </c>
      <c r="H1371" s="1">
        <f t="shared" si="126"/>
        <v>8.0457989088459218E-73</v>
      </c>
      <c r="I1371">
        <f>IF($F$11&lt;=D1371, IF(D1371&lt;=$A$15,D1371-$F$11,$C$11),0)</f>
        <v>60</v>
      </c>
      <c r="J1371">
        <f t="shared" si="127"/>
        <v>1284</v>
      </c>
      <c r="K1371" s="5">
        <f>IF(D1371&lt;$F$11,H1371,0)</f>
        <v>0</v>
      </c>
      <c r="L1371">
        <f>IF(D1371&lt;$A$15,$D$11,$D$11*(1-$H$11))</f>
        <v>85</v>
      </c>
      <c r="M1371">
        <f t="shared" si="128"/>
        <v>1</v>
      </c>
      <c r="N1371">
        <f>IF(SUM(I1371:J1371)&lt;=($G$11/60*$F$11/($E$11/60)),1,0)</f>
        <v>0</v>
      </c>
    </row>
    <row r="1372" spans="4:14" x14ac:dyDescent="0.2">
      <c r="D1372">
        <f t="shared" si="130"/>
        <v>1349</v>
      </c>
      <c r="E1372" s="1">
        <f>IF($H$11=1,IF(D1372&lt;=$A$15, E1371+LN($D$11)-LN(60/$E$11)-LN(MIN(D1372,$F$11)), E1371-LN(60/$E$11)-LN(MIN(D1372,$F$11))), IF(D1372&lt;=$A$15, E1371+LN($D$11)-LN(60/$E$11)-LN(MIN(D1372,$F$11)), E1371+LN($D$11)+LN(1-$H$11)-LN(60/$E$11)-LN(MIN(D1372,$F$11))))</f>
        <v>-161.80204167054708</v>
      </c>
      <c r="F1372" s="1">
        <f t="shared" si="131"/>
        <v>-163.80407447974613</v>
      </c>
      <c r="G1372" s="1">
        <f t="shared" si="129"/>
        <v>7.2576219191025412E-72</v>
      </c>
      <c r="H1372" s="1">
        <f t="shared" si="126"/>
        <v>7.1238844505405481E-73</v>
      </c>
      <c r="I1372">
        <f>IF($F$11&lt;=D1372, IF(D1372&lt;=$A$15,D1372-$F$11,$C$11),0)</f>
        <v>60</v>
      </c>
      <c r="J1372">
        <f t="shared" si="127"/>
        <v>1285</v>
      </c>
      <c r="K1372" s="5">
        <f>IF(D1372&lt;$F$11,H1372,0)</f>
        <v>0</v>
      </c>
      <c r="L1372">
        <f>IF(D1372&lt;$A$15,$D$11,$D$11*(1-$H$11))</f>
        <v>85</v>
      </c>
      <c r="M1372">
        <f t="shared" si="128"/>
        <v>1</v>
      </c>
      <c r="N1372">
        <f>IF(SUM(I1372:J1372)&lt;=($G$11/60*$F$11/($E$11/60)),1,0)</f>
        <v>0</v>
      </c>
    </row>
    <row r="1373" spans="4:14" x14ac:dyDescent="0.2">
      <c r="D1373">
        <f t="shared" si="130"/>
        <v>1350</v>
      </c>
      <c r="E1373" s="1">
        <f>IF($H$11=1,IF(D1373&lt;=$A$15, E1372+LN($D$11)-LN(60/$E$11)-LN(MIN(D1373,$F$11)), E1372-LN(60/$E$11)-LN(MIN(D1373,$F$11))), IF(D1373&lt;=$A$15, E1372+LN($D$11)-LN(60/$E$11)-LN(MIN(D1373,$F$11)), E1372+LN($D$11)+LN(1-$H$11)-LN(60/$E$11)-LN(MIN(D1373,$F$11))))</f>
        <v>-161.92373860552462</v>
      </c>
      <c r="F1373" s="1">
        <f t="shared" si="131"/>
        <v>-163.92577141472367</v>
      </c>
      <c r="G1373" s="1">
        <f t="shared" si="129"/>
        <v>6.4260194075386075E-72</v>
      </c>
      <c r="H1373" s="1">
        <f t="shared" si="126"/>
        <v>6.3076060239160114E-73</v>
      </c>
      <c r="I1373">
        <f>IF($F$11&lt;=D1373, IF(D1373&lt;=$A$15,D1373-$F$11,$C$11),0)</f>
        <v>60</v>
      </c>
      <c r="J1373">
        <f t="shared" si="127"/>
        <v>1286</v>
      </c>
      <c r="K1373" s="5">
        <f>IF(D1373&lt;$F$11,H1373,0)</f>
        <v>0</v>
      </c>
      <c r="L1373">
        <f>IF(D1373&lt;$A$15,$D$11,$D$11*(1-$H$11))</f>
        <v>85</v>
      </c>
      <c r="M1373">
        <f t="shared" si="128"/>
        <v>1</v>
      </c>
      <c r="N1373">
        <f>IF(SUM(I1373:J1373)&lt;=($G$11/60*$F$11/($E$11/60)),1,0)</f>
        <v>0</v>
      </c>
    </row>
    <row r="1374" spans="4:14" x14ac:dyDescent="0.2">
      <c r="D1374">
        <f t="shared" si="130"/>
        <v>1351</v>
      </c>
      <c r="E1374" s="1">
        <f>IF($H$11=1,IF(D1374&lt;=$A$15, E1373+LN($D$11)-LN(60/$E$11)-LN(MIN(D1374,$F$11)), E1373-LN(60/$E$11)-LN(MIN(D1374,$F$11))), IF(D1374&lt;=$A$15, E1373+LN($D$11)-LN(60/$E$11)-LN(MIN(D1374,$F$11)), E1373+LN($D$11)+LN(1-$H$11)-LN(60/$E$11)-LN(MIN(D1374,$F$11))))</f>
        <v>-162.04543554050215</v>
      </c>
      <c r="F1374" s="1">
        <f t="shared" si="131"/>
        <v>-164.04746834970121</v>
      </c>
      <c r="G1374" s="1">
        <f t="shared" si="129"/>
        <v>5.6897046837580529E-72</v>
      </c>
      <c r="H1374" s="1">
        <f t="shared" si="126"/>
        <v>5.5848595003422145E-73</v>
      </c>
      <c r="I1374">
        <f>IF($F$11&lt;=D1374, IF(D1374&lt;=$A$15,D1374-$F$11,$C$11),0)</f>
        <v>60</v>
      </c>
      <c r="J1374">
        <f t="shared" si="127"/>
        <v>1287</v>
      </c>
      <c r="K1374" s="5">
        <f>IF(D1374&lt;$F$11,H1374,0)</f>
        <v>0</v>
      </c>
      <c r="L1374">
        <f>IF(D1374&lt;$A$15,$D$11,$D$11*(1-$H$11))</f>
        <v>85</v>
      </c>
      <c r="M1374">
        <f t="shared" si="128"/>
        <v>1</v>
      </c>
      <c r="N1374">
        <f>IF(SUM(I1374:J1374)&lt;=($G$11/60*$F$11/($E$11/60)),1,0)</f>
        <v>0</v>
      </c>
    </row>
    <row r="1375" spans="4:14" x14ac:dyDescent="0.2">
      <c r="D1375">
        <f t="shared" si="130"/>
        <v>1352</v>
      </c>
      <c r="E1375" s="1">
        <f>IF($H$11=1,IF(D1375&lt;=$A$15, E1374+LN($D$11)-LN(60/$E$11)-LN(MIN(D1375,$F$11)), E1374-LN(60/$E$11)-LN(MIN(D1375,$F$11))), IF(D1375&lt;=$A$15, E1374+LN($D$11)-LN(60/$E$11)-LN(MIN(D1375,$F$11)), E1374+LN($D$11)+LN(1-$H$11)-LN(60/$E$11)-LN(MIN(D1375,$F$11))))</f>
        <v>-162.16713247547969</v>
      </c>
      <c r="F1375" s="1">
        <f t="shared" si="131"/>
        <v>-164.16916528467874</v>
      </c>
      <c r="G1375" s="1">
        <f t="shared" si="129"/>
        <v>5.0377593554106971E-72</v>
      </c>
      <c r="H1375" s="1">
        <f t="shared" si="126"/>
        <v>4.9449276825945915E-73</v>
      </c>
      <c r="I1375">
        <f>IF($F$11&lt;=D1375, IF(D1375&lt;=$A$15,D1375-$F$11,$C$11),0)</f>
        <v>60</v>
      </c>
      <c r="J1375">
        <f t="shared" si="127"/>
        <v>1288</v>
      </c>
      <c r="K1375" s="5">
        <f>IF(D1375&lt;$F$11,H1375,0)</f>
        <v>0</v>
      </c>
      <c r="L1375">
        <f>IF(D1375&lt;$A$15,$D$11,$D$11*(1-$H$11))</f>
        <v>85</v>
      </c>
      <c r="M1375">
        <f t="shared" si="128"/>
        <v>1</v>
      </c>
      <c r="N1375">
        <f>IF(SUM(I1375:J1375)&lt;=($G$11/60*$F$11/($E$11/60)),1,0)</f>
        <v>0</v>
      </c>
    </row>
    <row r="1376" spans="4:14" x14ac:dyDescent="0.2">
      <c r="D1376">
        <f t="shared" si="130"/>
        <v>1353</v>
      </c>
      <c r="E1376" s="1">
        <f>IF($H$11=1,IF(D1376&lt;=$A$15, E1375+LN($D$11)-LN(60/$E$11)-LN(MIN(D1376,$F$11)), E1375-LN(60/$E$11)-LN(MIN(D1376,$F$11))), IF(D1376&lt;=$A$15, E1375+LN($D$11)-LN(60/$E$11)-LN(MIN(D1376,$F$11)), E1375+LN($D$11)+LN(1-$H$11)-LN(60/$E$11)-LN(MIN(D1376,$F$11))))</f>
        <v>-162.28882941045723</v>
      </c>
      <c r="F1376" s="1">
        <f t="shared" si="131"/>
        <v>-164.29086221965628</v>
      </c>
      <c r="G1376" s="1">
        <f t="shared" si="129"/>
        <v>4.4605160959364853E-72</v>
      </c>
      <c r="H1376" s="1">
        <f t="shared" si="126"/>
        <v>4.3783213856305599E-73</v>
      </c>
      <c r="I1376">
        <f>IF($F$11&lt;=D1376, IF(D1376&lt;=$A$15,D1376-$F$11,$C$11),0)</f>
        <v>60</v>
      </c>
      <c r="J1376">
        <f t="shared" si="127"/>
        <v>1289</v>
      </c>
      <c r="K1376" s="5">
        <f>IF(D1376&lt;$F$11,H1376,0)</f>
        <v>0</v>
      </c>
      <c r="L1376">
        <f>IF(D1376&lt;$A$15,$D$11,$D$11*(1-$H$11))</f>
        <v>85</v>
      </c>
      <c r="M1376">
        <f t="shared" si="128"/>
        <v>1</v>
      </c>
      <c r="N1376">
        <f>IF(SUM(I1376:J1376)&lt;=($G$11/60*$F$11/($E$11/60)),1,0)</f>
        <v>0</v>
      </c>
    </row>
    <row r="1377" spans="4:14" x14ac:dyDescent="0.2">
      <c r="D1377">
        <f t="shared" si="130"/>
        <v>1354</v>
      </c>
      <c r="E1377" s="1">
        <f>IF($H$11=1,IF(D1377&lt;=$A$15, E1376+LN($D$11)-LN(60/$E$11)-LN(MIN(D1377,$F$11)), E1376-LN(60/$E$11)-LN(MIN(D1377,$F$11))), IF(D1377&lt;=$A$15, E1376+LN($D$11)-LN(60/$E$11)-LN(MIN(D1377,$F$11)), E1376+LN($D$11)+LN(1-$H$11)-LN(60/$E$11)-LN(MIN(D1377,$F$11))))</f>
        <v>-162.41052634543476</v>
      </c>
      <c r="F1377" s="1">
        <f t="shared" si="131"/>
        <v>-164.41255915463381</v>
      </c>
      <c r="G1377" s="1">
        <f t="shared" si="129"/>
        <v>3.9494152932770346E-72</v>
      </c>
      <c r="H1377" s="1">
        <f t="shared" si="126"/>
        <v>3.876638726860331E-73</v>
      </c>
      <c r="I1377">
        <f>IF($F$11&lt;=D1377, IF(D1377&lt;=$A$15,D1377-$F$11,$C$11),0)</f>
        <v>60</v>
      </c>
      <c r="J1377">
        <f t="shared" si="127"/>
        <v>1290</v>
      </c>
      <c r="K1377" s="5">
        <f>IF(D1377&lt;$F$11,H1377,0)</f>
        <v>0</v>
      </c>
      <c r="L1377">
        <f>IF(D1377&lt;$A$15,$D$11,$D$11*(1-$H$11))</f>
        <v>85</v>
      </c>
      <c r="M1377">
        <f t="shared" si="128"/>
        <v>1</v>
      </c>
      <c r="N1377">
        <f>IF(SUM(I1377:J1377)&lt;=($G$11/60*$F$11/($E$11/60)),1,0)</f>
        <v>0</v>
      </c>
    </row>
    <row r="1378" spans="4:14" x14ac:dyDescent="0.2">
      <c r="D1378">
        <f t="shared" si="130"/>
        <v>1355</v>
      </c>
      <c r="E1378" s="1">
        <f>IF($H$11=1,IF(D1378&lt;=$A$15, E1377+LN($D$11)-LN(60/$E$11)-LN(MIN(D1378,$F$11)), E1377-LN(60/$E$11)-LN(MIN(D1378,$F$11))), IF(D1378&lt;=$A$15, E1377+LN($D$11)-LN(60/$E$11)-LN(MIN(D1378,$F$11)), E1377+LN($D$11)+LN(1-$H$11)-LN(60/$E$11)-LN(MIN(D1378,$F$11))))</f>
        <v>-162.5322232804123</v>
      </c>
      <c r="F1378" s="1">
        <f t="shared" si="131"/>
        <v>-164.53425608961135</v>
      </c>
      <c r="G1378" s="1">
        <f t="shared" si="129"/>
        <v>3.4968781242556527E-72</v>
      </c>
      <c r="H1378" s="1">
        <f t="shared" si="126"/>
        <v>3.4324405394075305E-73</v>
      </c>
      <c r="I1378">
        <f>IF($F$11&lt;=D1378, IF(D1378&lt;=$A$15,D1378-$F$11,$C$11),0)</f>
        <v>60</v>
      </c>
      <c r="J1378">
        <f t="shared" si="127"/>
        <v>1291</v>
      </c>
      <c r="K1378" s="5">
        <f>IF(D1378&lt;$F$11,H1378,0)</f>
        <v>0</v>
      </c>
      <c r="L1378">
        <f>IF(D1378&lt;$A$15,$D$11,$D$11*(1-$H$11))</f>
        <v>85</v>
      </c>
      <c r="M1378">
        <f t="shared" si="128"/>
        <v>1</v>
      </c>
      <c r="N1378">
        <f>IF(SUM(I1378:J1378)&lt;=($G$11/60*$F$11/($E$11/60)),1,0)</f>
        <v>0</v>
      </c>
    </row>
    <row r="1379" spans="4:14" x14ac:dyDescent="0.2">
      <c r="D1379">
        <f t="shared" si="130"/>
        <v>1356</v>
      </c>
      <c r="E1379" s="1">
        <f>IF($H$11=1,IF(D1379&lt;=$A$15, E1378+LN($D$11)-LN(60/$E$11)-LN(MIN(D1379,$F$11)), E1378-LN(60/$E$11)-LN(MIN(D1379,$F$11))), IF(D1379&lt;=$A$15, E1378+LN($D$11)-LN(60/$E$11)-LN(MIN(D1379,$F$11)), E1378+LN($D$11)+LN(1-$H$11)-LN(60/$E$11)-LN(MIN(D1379,$F$11))))</f>
        <v>-162.65392021538983</v>
      </c>
      <c r="F1379" s="1">
        <f t="shared" si="131"/>
        <v>-164.65595302458888</v>
      </c>
      <c r="G1379" s="1">
        <f t="shared" si="129"/>
        <v>3.0961941725179778E-72</v>
      </c>
      <c r="H1379" s="1">
        <f t="shared" si="126"/>
        <v>3.0391400609337042E-73</v>
      </c>
      <c r="I1379">
        <f>IF($F$11&lt;=D1379, IF(D1379&lt;=$A$15,D1379-$F$11,$C$11),0)</f>
        <v>60</v>
      </c>
      <c r="J1379">
        <f t="shared" si="127"/>
        <v>1292</v>
      </c>
      <c r="K1379" s="5">
        <f>IF(D1379&lt;$F$11,H1379,0)</f>
        <v>0</v>
      </c>
      <c r="L1379">
        <f>IF(D1379&lt;$A$15,$D$11,$D$11*(1-$H$11))</f>
        <v>85</v>
      </c>
      <c r="M1379">
        <f t="shared" si="128"/>
        <v>1</v>
      </c>
      <c r="N1379">
        <f>IF(SUM(I1379:J1379)&lt;=($G$11/60*$F$11/($E$11/60)),1,0)</f>
        <v>0</v>
      </c>
    </row>
    <row r="1380" spans="4:14" x14ac:dyDescent="0.2">
      <c r="D1380">
        <f t="shared" si="130"/>
        <v>1357</v>
      </c>
      <c r="E1380" s="1">
        <f>IF($H$11=1,IF(D1380&lt;=$A$15, E1379+LN($D$11)-LN(60/$E$11)-LN(MIN(D1380,$F$11)), E1379-LN(60/$E$11)-LN(MIN(D1380,$F$11))), IF(D1380&lt;=$A$15, E1379+LN($D$11)-LN(60/$E$11)-LN(MIN(D1380,$F$11)), E1379+LN($D$11)+LN(1-$H$11)-LN(60/$E$11)-LN(MIN(D1380,$F$11))))</f>
        <v>-162.77561715036737</v>
      </c>
      <c r="F1380" s="1">
        <f t="shared" si="131"/>
        <v>-164.77764995956642</v>
      </c>
      <c r="G1380" s="1">
        <f t="shared" si="129"/>
        <v>2.7414219235835834E-72</v>
      </c>
      <c r="H1380" s="1">
        <f t="shared" si="126"/>
        <v>2.6909052622850083E-73</v>
      </c>
      <c r="I1380">
        <f>IF($F$11&lt;=D1380, IF(D1380&lt;=$A$15,D1380-$F$11,$C$11),0)</f>
        <v>60</v>
      </c>
      <c r="J1380">
        <f t="shared" si="127"/>
        <v>1293</v>
      </c>
      <c r="K1380" s="5">
        <f>IF(D1380&lt;$F$11,H1380,0)</f>
        <v>0</v>
      </c>
      <c r="L1380">
        <f>IF(D1380&lt;$A$15,$D$11,$D$11*(1-$H$11))</f>
        <v>85</v>
      </c>
      <c r="M1380">
        <f t="shared" si="128"/>
        <v>1</v>
      </c>
      <c r="N1380">
        <f>IF(SUM(I1380:J1380)&lt;=($G$11/60*$F$11/($E$11/60)),1,0)</f>
        <v>0</v>
      </c>
    </row>
    <row r="1381" spans="4:14" x14ac:dyDescent="0.2">
      <c r="D1381">
        <f t="shared" si="130"/>
        <v>1358</v>
      </c>
      <c r="E1381" s="1">
        <f>IF($H$11=1,IF(D1381&lt;=$A$15, E1380+LN($D$11)-LN(60/$E$11)-LN(MIN(D1381,$F$11)), E1380-LN(60/$E$11)-LN(MIN(D1381,$F$11))), IF(D1381&lt;=$A$15, E1380+LN($D$11)-LN(60/$E$11)-LN(MIN(D1381,$F$11)), E1380+LN($D$11)+LN(1-$H$11)-LN(60/$E$11)-LN(MIN(D1381,$F$11))))</f>
        <v>-162.8973140853449</v>
      </c>
      <c r="F1381" s="1">
        <f t="shared" si="131"/>
        <v>-164.89934689454395</v>
      </c>
      <c r="G1381" s="1">
        <f t="shared" si="129"/>
        <v>2.4273006615062595E-72</v>
      </c>
      <c r="H1381" s="1">
        <f t="shared" si="126"/>
        <v>2.3825723676481467E-73</v>
      </c>
      <c r="I1381">
        <f>IF($F$11&lt;=D1381, IF(D1381&lt;=$A$15,D1381-$F$11,$C$11),0)</f>
        <v>60</v>
      </c>
      <c r="J1381">
        <f t="shared" si="127"/>
        <v>1294</v>
      </c>
      <c r="K1381" s="5">
        <f>IF(D1381&lt;$F$11,H1381,0)</f>
        <v>0</v>
      </c>
      <c r="L1381">
        <f>IF(D1381&lt;$A$15,$D$11,$D$11*(1-$H$11))</f>
        <v>85</v>
      </c>
      <c r="M1381">
        <f t="shared" si="128"/>
        <v>1</v>
      </c>
      <c r="N1381">
        <f>IF(SUM(I1381:J1381)&lt;=($G$11/60*$F$11/($E$11/60)),1,0)</f>
        <v>0</v>
      </c>
    </row>
    <row r="1382" spans="4:14" x14ac:dyDescent="0.2">
      <c r="D1382">
        <f t="shared" si="130"/>
        <v>1359</v>
      </c>
      <c r="E1382" s="1">
        <f>IF($H$11=1,IF(D1382&lt;=$A$15, E1381+LN($D$11)-LN(60/$E$11)-LN(MIN(D1382,$F$11)), E1381-LN(60/$E$11)-LN(MIN(D1382,$F$11))), IF(D1382&lt;=$A$15, E1381+LN($D$11)-LN(60/$E$11)-LN(MIN(D1382,$F$11)), E1381+LN($D$11)+LN(1-$H$11)-LN(60/$E$11)-LN(MIN(D1382,$F$11))))</f>
        <v>-163.01901102032244</v>
      </c>
      <c r="F1382" s="1">
        <f t="shared" si="131"/>
        <v>-165.02104382952149</v>
      </c>
      <c r="G1382" s="1">
        <f t="shared" si="129"/>
        <v>2.1491724607086337E-72</v>
      </c>
      <c r="H1382" s="1">
        <f t="shared" si="126"/>
        <v>2.1095692838550972E-73</v>
      </c>
      <c r="I1382">
        <f>IF($F$11&lt;=D1382, IF(D1382&lt;=$A$15,D1382-$F$11,$C$11),0)</f>
        <v>60</v>
      </c>
      <c r="J1382">
        <f t="shared" si="127"/>
        <v>1295</v>
      </c>
      <c r="K1382" s="5">
        <f>IF(D1382&lt;$F$11,H1382,0)</f>
        <v>0</v>
      </c>
      <c r="L1382">
        <f>IF(D1382&lt;$A$15,$D$11,$D$11*(1-$H$11))</f>
        <v>85</v>
      </c>
      <c r="M1382">
        <f t="shared" si="128"/>
        <v>1</v>
      </c>
      <c r="N1382">
        <f>IF(SUM(I1382:J1382)&lt;=($G$11/60*$F$11/($E$11/60)),1,0)</f>
        <v>0</v>
      </c>
    </row>
    <row r="1383" spans="4:14" x14ac:dyDescent="0.2">
      <c r="D1383">
        <f t="shared" si="130"/>
        <v>1360</v>
      </c>
      <c r="E1383" s="1">
        <f>IF($H$11=1,IF(D1383&lt;=$A$15, E1382+LN($D$11)-LN(60/$E$11)-LN(MIN(D1383,$F$11)), E1382-LN(60/$E$11)-LN(MIN(D1383,$F$11))), IF(D1383&lt;=$A$15, E1382+LN($D$11)-LN(60/$E$11)-LN(MIN(D1383,$F$11)), E1382+LN($D$11)+LN(1-$H$11)-LN(60/$E$11)-LN(MIN(D1383,$F$11))))</f>
        <v>-163.14070795529997</v>
      </c>
      <c r="F1383" s="1">
        <f t="shared" si="131"/>
        <v>-165.14274076449902</v>
      </c>
      <c r="G1383" s="1">
        <f t="shared" si="129"/>
        <v>1.9029131162524065E-72</v>
      </c>
      <c r="H1383" s="1">
        <f t="shared" si="126"/>
        <v>1.8678478034133383E-73</v>
      </c>
      <c r="I1383">
        <f>IF($F$11&lt;=D1383, IF(D1383&lt;=$A$15,D1383-$F$11,$C$11),0)</f>
        <v>60</v>
      </c>
      <c r="J1383">
        <f t="shared" si="127"/>
        <v>1296</v>
      </c>
      <c r="K1383" s="5">
        <f>IF(D1383&lt;$F$11,H1383,0)</f>
        <v>0</v>
      </c>
      <c r="L1383">
        <f>IF(D1383&lt;$A$15,$D$11,$D$11*(1-$H$11))</f>
        <v>85</v>
      </c>
      <c r="M1383">
        <f t="shared" si="128"/>
        <v>1</v>
      </c>
      <c r="N1383">
        <f>IF(SUM(I1383:J1383)&lt;=($G$11/60*$F$11/($E$11/60)),1,0)</f>
        <v>0</v>
      </c>
    </row>
    <row r="1384" spans="4:14" x14ac:dyDescent="0.2">
      <c r="D1384">
        <f t="shared" si="130"/>
        <v>1361</v>
      </c>
      <c r="E1384" s="1">
        <f>IF($H$11=1,IF(D1384&lt;=$A$15, E1383+LN($D$11)-LN(60/$E$11)-LN(MIN(D1384,$F$11)), E1383-LN(60/$E$11)-LN(MIN(D1384,$F$11))), IF(D1384&lt;=$A$15, E1383+LN($D$11)-LN(60/$E$11)-LN(MIN(D1384,$F$11)), E1383+LN($D$11)+LN(1-$H$11)-LN(60/$E$11)-LN(MIN(D1384,$F$11))))</f>
        <v>-163.26240489027751</v>
      </c>
      <c r="F1384" s="1">
        <f t="shared" si="131"/>
        <v>-165.26443769947656</v>
      </c>
      <c r="G1384" s="1">
        <f t="shared" si="129"/>
        <v>1.6848709883484584E-72</v>
      </c>
      <c r="H1384" s="1">
        <f t="shared" si="126"/>
        <v>1.653823575938867E-73</v>
      </c>
      <c r="I1384">
        <f>IF($F$11&lt;=D1384, IF(D1384&lt;=$A$15,D1384-$F$11,$C$11),0)</f>
        <v>60</v>
      </c>
      <c r="J1384">
        <f t="shared" si="127"/>
        <v>1297</v>
      </c>
      <c r="K1384" s="5">
        <f>IF(D1384&lt;$F$11,H1384,0)</f>
        <v>0</v>
      </c>
      <c r="L1384">
        <f>IF(D1384&lt;$A$15,$D$11,$D$11*(1-$H$11))</f>
        <v>85</v>
      </c>
      <c r="M1384">
        <f t="shared" si="128"/>
        <v>1</v>
      </c>
      <c r="N1384">
        <f>IF(SUM(I1384:J1384)&lt;=($G$11/60*$F$11/($E$11/60)),1,0)</f>
        <v>0</v>
      </c>
    </row>
    <row r="1385" spans="4:14" x14ac:dyDescent="0.2">
      <c r="D1385">
        <f t="shared" si="130"/>
        <v>1362</v>
      </c>
      <c r="E1385" s="1">
        <f>IF($H$11=1,IF(D1385&lt;=$A$15, E1384+LN($D$11)-LN(60/$E$11)-LN(MIN(D1385,$F$11)), E1384-LN(60/$E$11)-LN(MIN(D1385,$F$11))), IF(D1385&lt;=$A$15, E1384+LN($D$11)-LN(60/$E$11)-LN(MIN(D1385,$F$11)), E1384+LN($D$11)+LN(1-$H$11)-LN(60/$E$11)-LN(MIN(D1385,$F$11))))</f>
        <v>-163.38410182525504</v>
      </c>
      <c r="F1385" s="1">
        <f t="shared" si="131"/>
        <v>-165.38613463445409</v>
      </c>
      <c r="G1385" s="1">
        <f t="shared" si="129"/>
        <v>1.491812854266841E-72</v>
      </c>
      <c r="H1385" s="1">
        <f t="shared" si="126"/>
        <v>1.4643229578625158E-73</v>
      </c>
      <c r="I1385">
        <f>IF($F$11&lt;=D1385, IF(D1385&lt;=$A$15,D1385-$F$11,$C$11),0)</f>
        <v>60</v>
      </c>
      <c r="J1385">
        <f t="shared" si="127"/>
        <v>1298</v>
      </c>
      <c r="K1385" s="5">
        <f>IF(D1385&lt;$F$11,H1385,0)</f>
        <v>0</v>
      </c>
      <c r="L1385">
        <f>IF(D1385&lt;$A$15,$D$11,$D$11*(1-$H$11))</f>
        <v>85</v>
      </c>
      <c r="M1385">
        <f t="shared" si="128"/>
        <v>1</v>
      </c>
      <c r="N1385">
        <f>IF(SUM(I1385:J1385)&lt;=($G$11/60*$F$11/($E$11/60)),1,0)</f>
        <v>0</v>
      </c>
    </row>
    <row r="1386" spans="4:14" x14ac:dyDescent="0.2">
      <c r="D1386">
        <f t="shared" si="130"/>
        <v>1363</v>
      </c>
      <c r="E1386" s="1">
        <f>IF($H$11=1,IF(D1386&lt;=$A$15, E1385+LN($D$11)-LN(60/$E$11)-LN(MIN(D1386,$F$11)), E1385-LN(60/$E$11)-LN(MIN(D1386,$F$11))), IF(D1386&lt;=$A$15, E1385+LN($D$11)-LN(60/$E$11)-LN(MIN(D1386,$F$11)), E1385+LN($D$11)+LN(1-$H$11)-LN(60/$E$11)-LN(MIN(D1386,$F$11))))</f>
        <v>-163.50579876023258</v>
      </c>
      <c r="F1386" s="1">
        <f t="shared" si="131"/>
        <v>-165.50783156943163</v>
      </c>
      <c r="G1386" s="1">
        <f t="shared" si="129"/>
        <v>1.3208759647154116E-72</v>
      </c>
      <c r="H1386" s="1">
        <f t="shared" si="126"/>
        <v>1.2965359522740824E-73</v>
      </c>
      <c r="I1386">
        <f>IF($F$11&lt;=D1386, IF(D1386&lt;=$A$15,D1386-$F$11,$C$11),0)</f>
        <v>60</v>
      </c>
      <c r="J1386">
        <f t="shared" si="127"/>
        <v>1299</v>
      </c>
      <c r="K1386" s="5">
        <f>IF(D1386&lt;$F$11,H1386,0)</f>
        <v>0</v>
      </c>
      <c r="L1386">
        <f>IF(D1386&lt;$A$15,$D$11,$D$11*(1-$H$11))</f>
        <v>85</v>
      </c>
      <c r="M1386">
        <f t="shared" si="128"/>
        <v>1</v>
      </c>
      <c r="N1386">
        <f>IF(SUM(I1386:J1386)&lt;=($G$11/60*$F$11/($E$11/60)),1,0)</f>
        <v>0</v>
      </c>
    </row>
    <row r="1387" spans="4:14" x14ac:dyDescent="0.2">
      <c r="D1387">
        <f t="shared" si="130"/>
        <v>1364</v>
      </c>
      <c r="E1387" s="1">
        <f>IF($H$11=1,IF(D1387&lt;=$A$15, E1386+LN($D$11)-LN(60/$E$11)-LN(MIN(D1387,$F$11)), E1386-LN(60/$E$11)-LN(MIN(D1387,$F$11))), IF(D1387&lt;=$A$15, E1386+LN($D$11)-LN(60/$E$11)-LN(MIN(D1387,$F$11)), E1386+LN($D$11)+LN(1-$H$11)-LN(60/$E$11)-LN(MIN(D1387,$F$11))))</f>
        <v>-163.62749569521011</v>
      </c>
      <c r="F1387" s="1">
        <f t="shared" si="131"/>
        <v>-165.62952850440917</v>
      </c>
      <c r="G1387" s="1">
        <f t="shared" si="129"/>
        <v>1.1695255937584189E-72</v>
      </c>
      <c r="H1387" s="1">
        <f t="shared" si="126"/>
        <v>1.1479745410759923E-73</v>
      </c>
      <c r="I1387">
        <f>IF($F$11&lt;=D1387, IF(D1387&lt;=$A$15,D1387-$F$11,$C$11),0)</f>
        <v>60</v>
      </c>
      <c r="J1387">
        <f t="shared" si="127"/>
        <v>1300</v>
      </c>
      <c r="K1387" s="5">
        <f>IF(D1387&lt;$F$11,H1387,0)</f>
        <v>0</v>
      </c>
      <c r="L1387">
        <f>IF(D1387&lt;$A$15,$D$11,$D$11*(1-$H$11))</f>
        <v>85</v>
      </c>
      <c r="M1387">
        <f t="shared" si="128"/>
        <v>1</v>
      </c>
      <c r="N1387">
        <f>IF(SUM(I1387:J1387)&lt;=($G$11/60*$F$11/($E$11/60)),1,0)</f>
        <v>0</v>
      </c>
    </row>
    <row r="1388" spans="4:14" x14ac:dyDescent="0.2">
      <c r="D1388">
        <f t="shared" si="130"/>
        <v>1365</v>
      </c>
      <c r="E1388" s="1">
        <f>IF($H$11=1,IF(D1388&lt;=$A$15, E1387+LN($D$11)-LN(60/$E$11)-LN(MIN(D1388,$F$11)), E1387-LN(60/$E$11)-LN(MIN(D1388,$F$11))), IF(D1388&lt;=$A$15, E1387+LN($D$11)-LN(60/$E$11)-LN(MIN(D1388,$F$11)), E1387+LN($D$11)+LN(1-$H$11)-LN(60/$E$11)-LN(MIN(D1388,$F$11))))</f>
        <v>-163.74919263018765</v>
      </c>
      <c r="F1388" s="1">
        <f t="shared" si="131"/>
        <v>-165.7512254393867</v>
      </c>
      <c r="G1388" s="1">
        <f t="shared" si="129"/>
        <v>1.0355174528069172E-72</v>
      </c>
      <c r="H1388" s="1">
        <f t="shared" si="126"/>
        <v>1.0164357915776856E-73</v>
      </c>
      <c r="I1388">
        <f>IF($F$11&lt;=D1388, IF(D1388&lt;=$A$15,D1388-$F$11,$C$11),0)</f>
        <v>60</v>
      </c>
      <c r="J1388">
        <f t="shared" si="127"/>
        <v>1301</v>
      </c>
      <c r="K1388" s="5">
        <f>IF(D1388&lt;$F$11,H1388,0)</f>
        <v>0</v>
      </c>
      <c r="L1388">
        <f>IF(D1388&lt;$A$15,$D$11,$D$11*(1-$H$11))</f>
        <v>85</v>
      </c>
      <c r="M1388">
        <f t="shared" si="128"/>
        <v>1</v>
      </c>
      <c r="N1388">
        <f>IF(SUM(I1388:J1388)&lt;=($G$11/60*$F$11/($E$11/60)),1,0)</f>
        <v>0</v>
      </c>
    </row>
    <row r="1389" spans="4:14" x14ac:dyDescent="0.2">
      <c r="D1389">
        <f t="shared" si="130"/>
        <v>1366</v>
      </c>
      <c r="E1389" s="1">
        <f>IF($H$11=1,IF(D1389&lt;=$A$15, E1388+LN($D$11)-LN(60/$E$11)-LN(MIN(D1389,$F$11)), E1388-LN(60/$E$11)-LN(MIN(D1389,$F$11))), IF(D1389&lt;=$A$15, E1388+LN($D$11)-LN(60/$E$11)-LN(MIN(D1389,$F$11)), E1388+LN($D$11)+LN(1-$H$11)-LN(60/$E$11)-LN(MIN(D1389,$F$11))))</f>
        <v>-163.87088956516519</v>
      </c>
      <c r="F1389" s="1">
        <f t="shared" si="131"/>
        <v>-165.87292237436424</v>
      </c>
      <c r="G1389" s="1">
        <f t="shared" si="129"/>
        <v>9.1686441133944365E-73</v>
      </c>
      <c r="H1389" s="1">
        <f t="shared" si="126"/>
        <v>8.9996919045939522E-74</v>
      </c>
      <c r="I1389">
        <f>IF($F$11&lt;=D1389, IF(D1389&lt;=$A$15,D1389-$F$11,$C$11),0)</f>
        <v>60</v>
      </c>
      <c r="J1389">
        <f t="shared" si="127"/>
        <v>1302</v>
      </c>
      <c r="K1389" s="5">
        <f>IF(D1389&lt;$F$11,H1389,0)</f>
        <v>0</v>
      </c>
      <c r="L1389">
        <f>IF(D1389&lt;$A$15,$D$11,$D$11*(1-$H$11))</f>
        <v>85</v>
      </c>
      <c r="M1389">
        <f t="shared" si="128"/>
        <v>1</v>
      </c>
      <c r="N1389">
        <f>IF(SUM(I1389:J1389)&lt;=($G$11/60*$F$11/($E$11/60)),1,0)</f>
        <v>0</v>
      </c>
    </row>
    <row r="1390" spans="4:14" x14ac:dyDescent="0.2">
      <c r="D1390">
        <f t="shared" si="130"/>
        <v>1367</v>
      </c>
      <c r="E1390" s="1">
        <f>IF($H$11=1,IF(D1390&lt;=$A$15, E1389+LN($D$11)-LN(60/$E$11)-LN(MIN(D1390,$F$11)), E1389-LN(60/$E$11)-LN(MIN(D1390,$F$11))), IF(D1390&lt;=$A$15, E1389+LN($D$11)-LN(60/$E$11)-LN(MIN(D1390,$F$11)), E1389+LN($D$11)+LN(1-$H$11)-LN(60/$E$11)-LN(MIN(D1390,$F$11))))</f>
        <v>-163.99258650014272</v>
      </c>
      <c r="F1390" s="1">
        <f t="shared" si="131"/>
        <v>-165.99461930934177</v>
      </c>
      <c r="G1390" s="1">
        <f t="shared" si="129"/>
        <v>8.1180703087345304E-73</v>
      </c>
      <c r="H1390" s="1">
        <f t="shared" si="126"/>
        <v>7.9684772071924374E-74</v>
      </c>
      <c r="I1390">
        <f>IF($F$11&lt;=D1390, IF(D1390&lt;=$A$15,D1390-$F$11,$C$11),0)</f>
        <v>60</v>
      </c>
      <c r="J1390">
        <f t="shared" si="127"/>
        <v>1303</v>
      </c>
      <c r="K1390" s="5">
        <f>IF(D1390&lt;$F$11,H1390,0)</f>
        <v>0</v>
      </c>
      <c r="L1390">
        <f>IF(D1390&lt;$A$15,$D$11,$D$11*(1-$H$11))</f>
        <v>85</v>
      </c>
      <c r="M1390">
        <f t="shared" si="128"/>
        <v>1</v>
      </c>
      <c r="N1390">
        <f>IF(SUM(I1390:J1390)&lt;=($G$11/60*$F$11/($E$11/60)),1,0)</f>
        <v>0</v>
      </c>
    </row>
    <row r="1391" spans="4:14" x14ac:dyDescent="0.2">
      <c r="D1391">
        <f t="shared" si="130"/>
        <v>1368</v>
      </c>
      <c r="E1391" s="1">
        <f>IF($H$11=1,IF(D1391&lt;=$A$15, E1390+LN($D$11)-LN(60/$E$11)-LN(MIN(D1391,$F$11)), E1390-LN(60/$E$11)-LN(MIN(D1391,$F$11))), IF(D1391&lt;=$A$15, E1390+LN($D$11)-LN(60/$E$11)-LN(MIN(D1391,$F$11)), E1390+LN($D$11)+LN(1-$H$11)-LN(60/$E$11)-LN(MIN(D1391,$F$11))))</f>
        <v>-164.11428343512026</v>
      </c>
      <c r="F1391" s="1">
        <f t="shared" si="131"/>
        <v>-166.11631624431931</v>
      </c>
      <c r="G1391" s="1">
        <f t="shared" si="129"/>
        <v>7.1878747525252531E-73</v>
      </c>
      <c r="H1391" s="1">
        <f t="shared" si="126"/>
        <v>7.0554225272015261E-74</v>
      </c>
      <c r="I1391">
        <f>IF($F$11&lt;=D1391, IF(D1391&lt;=$A$15,D1391-$F$11,$C$11),0)</f>
        <v>60</v>
      </c>
      <c r="J1391">
        <f t="shared" si="127"/>
        <v>1304</v>
      </c>
      <c r="K1391" s="5">
        <f>IF(D1391&lt;$F$11,H1391,0)</f>
        <v>0</v>
      </c>
      <c r="L1391">
        <f>IF(D1391&lt;$A$15,$D$11,$D$11*(1-$H$11))</f>
        <v>85</v>
      </c>
      <c r="M1391">
        <f t="shared" si="128"/>
        <v>1</v>
      </c>
      <c r="N1391">
        <f>IF(SUM(I1391:J1391)&lt;=($G$11/60*$F$11/($E$11/60)),1,0)</f>
        <v>0</v>
      </c>
    </row>
    <row r="1392" spans="4:14" x14ac:dyDescent="0.2">
      <c r="D1392">
        <f t="shared" si="130"/>
        <v>1369</v>
      </c>
      <c r="E1392" s="1">
        <f>IF($H$11=1,IF(D1392&lt;=$A$15, E1391+LN($D$11)-LN(60/$E$11)-LN(MIN(D1392,$F$11)), E1391-LN(60/$E$11)-LN(MIN(D1392,$F$11))), IF(D1392&lt;=$A$15, E1391+LN($D$11)-LN(60/$E$11)-LN(MIN(D1392,$F$11)), E1391+LN($D$11)+LN(1-$H$11)-LN(60/$E$11)-LN(MIN(D1392,$F$11))))</f>
        <v>-164.23598037009779</v>
      </c>
      <c r="F1392" s="1">
        <f t="shared" si="131"/>
        <v>-166.23801317929684</v>
      </c>
      <c r="G1392" s="1">
        <f t="shared" si="129"/>
        <v>6.364264103798302E-73</v>
      </c>
      <c r="H1392" s="1">
        <f t="shared" si="126"/>
        <v>6.2469886959595873E-74</v>
      </c>
      <c r="I1392">
        <f>IF($F$11&lt;=D1392, IF(D1392&lt;=$A$15,D1392-$F$11,$C$11),0)</f>
        <v>60</v>
      </c>
      <c r="J1392">
        <f t="shared" si="127"/>
        <v>1305</v>
      </c>
      <c r="K1392" s="5">
        <f>IF(D1392&lt;$F$11,H1392,0)</f>
        <v>0</v>
      </c>
      <c r="L1392">
        <f>IF(D1392&lt;$A$15,$D$11,$D$11*(1-$H$11))</f>
        <v>85</v>
      </c>
      <c r="M1392">
        <f t="shared" si="128"/>
        <v>1</v>
      </c>
      <c r="N1392">
        <f>IF(SUM(I1392:J1392)&lt;=($G$11/60*$F$11/($E$11/60)),1,0)</f>
        <v>0</v>
      </c>
    </row>
    <row r="1393" spans="4:14" x14ac:dyDescent="0.2">
      <c r="D1393">
        <f t="shared" si="130"/>
        <v>1370</v>
      </c>
      <c r="E1393" s="1">
        <f>IF($H$11=1,IF(D1393&lt;=$A$15, E1392+LN($D$11)-LN(60/$E$11)-LN(MIN(D1393,$F$11)), E1392-LN(60/$E$11)-LN(MIN(D1393,$F$11))), IF(D1393&lt;=$A$15, E1392+LN($D$11)-LN(60/$E$11)-LN(MIN(D1393,$F$11)), E1392+LN($D$11)+LN(1-$H$11)-LN(60/$E$11)-LN(MIN(D1393,$F$11))))</f>
        <v>-164.35767730507533</v>
      </c>
      <c r="F1393" s="1">
        <f t="shared" si="131"/>
        <v>-166.35971011427438</v>
      </c>
      <c r="G1393" s="1">
        <f t="shared" si="129"/>
        <v>5.6350255085713245E-73</v>
      </c>
      <c r="H1393" s="1">
        <f t="shared" si="126"/>
        <v>5.5311879078807976E-74</v>
      </c>
      <c r="I1393">
        <f>IF($F$11&lt;=D1393, IF(D1393&lt;=$A$15,D1393-$F$11,$C$11),0)</f>
        <v>60</v>
      </c>
      <c r="J1393">
        <f t="shared" si="127"/>
        <v>1306</v>
      </c>
      <c r="K1393" s="5">
        <f>IF(D1393&lt;$F$11,H1393,0)</f>
        <v>0</v>
      </c>
      <c r="L1393">
        <f>IF(D1393&lt;$A$15,$D$11,$D$11*(1-$H$11))</f>
        <v>85</v>
      </c>
      <c r="M1393">
        <f t="shared" si="128"/>
        <v>1</v>
      </c>
      <c r="N1393">
        <f>IF(SUM(I1393:J1393)&lt;=($G$11/60*$F$11/($E$11/60)),1,0)</f>
        <v>0</v>
      </c>
    </row>
    <row r="1394" spans="4:14" x14ac:dyDescent="0.2">
      <c r="D1394">
        <f t="shared" si="130"/>
        <v>1371</v>
      </c>
      <c r="E1394" s="1">
        <f>IF($H$11=1,IF(D1394&lt;=$A$15, E1393+LN($D$11)-LN(60/$E$11)-LN(MIN(D1394,$F$11)), E1393-LN(60/$E$11)-LN(MIN(D1394,$F$11))), IF(D1394&lt;=$A$15, E1393+LN($D$11)-LN(60/$E$11)-LN(MIN(D1394,$F$11)), E1393+LN($D$11)+LN(1-$H$11)-LN(60/$E$11)-LN(MIN(D1394,$F$11))))</f>
        <v>-164.47937424005286</v>
      </c>
      <c r="F1394" s="1">
        <f t="shared" si="131"/>
        <v>-166.48140704925191</v>
      </c>
      <c r="G1394" s="1">
        <f t="shared" si="129"/>
        <v>4.9893455023807822E-73</v>
      </c>
      <c r="H1394" s="1">
        <f t="shared" si="126"/>
        <v>4.8974059601027132E-74</v>
      </c>
      <c r="I1394">
        <f>IF($F$11&lt;=D1394, IF(D1394&lt;=$A$15,D1394-$F$11,$C$11),0)</f>
        <v>60</v>
      </c>
      <c r="J1394">
        <f t="shared" si="127"/>
        <v>1307</v>
      </c>
      <c r="K1394" s="5">
        <f>IF(D1394&lt;$F$11,H1394,0)</f>
        <v>0</v>
      </c>
      <c r="L1394">
        <f>IF(D1394&lt;$A$15,$D$11,$D$11*(1-$H$11))</f>
        <v>85</v>
      </c>
      <c r="M1394">
        <f t="shared" si="128"/>
        <v>1</v>
      </c>
      <c r="N1394">
        <f>IF(SUM(I1394:J1394)&lt;=($G$11/60*$F$11/($E$11/60)),1,0)</f>
        <v>0</v>
      </c>
    </row>
    <row r="1395" spans="4:14" x14ac:dyDescent="0.2">
      <c r="D1395">
        <f t="shared" si="130"/>
        <v>1372</v>
      </c>
      <c r="E1395" s="1">
        <f>IF($H$11=1,IF(D1395&lt;=$A$15, E1394+LN($D$11)-LN(60/$E$11)-LN(MIN(D1395,$F$11)), E1394-LN(60/$E$11)-LN(MIN(D1395,$F$11))), IF(D1395&lt;=$A$15, E1394+LN($D$11)-LN(60/$E$11)-LN(MIN(D1395,$F$11)), E1394+LN($D$11)+LN(1-$H$11)-LN(60/$E$11)-LN(MIN(D1395,$F$11))))</f>
        <v>-164.6010711750304</v>
      </c>
      <c r="F1395" s="1">
        <f t="shared" si="131"/>
        <v>-166.60310398422945</v>
      </c>
      <c r="G1395" s="1">
        <f t="shared" si="129"/>
        <v>4.4176496635662486E-73</v>
      </c>
      <c r="H1395" s="1">
        <f t="shared" si="126"/>
        <v>4.3362448605075425E-74</v>
      </c>
      <c r="I1395">
        <f>IF($F$11&lt;=D1395, IF(D1395&lt;=$A$15,D1395-$F$11,$C$11),0)</f>
        <v>60</v>
      </c>
      <c r="J1395">
        <f t="shared" si="127"/>
        <v>1308</v>
      </c>
      <c r="K1395" s="5">
        <f>IF(D1395&lt;$F$11,H1395,0)</f>
        <v>0</v>
      </c>
      <c r="L1395">
        <f>IF(D1395&lt;$A$15,$D$11,$D$11*(1-$H$11))</f>
        <v>85</v>
      </c>
      <c r="M1395">
        <f t="shared" si="128"/>
        <v>1</v>
      </c>
      <c r="N1395">
        <f>IF(SUM(I1395:J1395)&lt;=($G$11/60*$F$11/($E$11/60)),1,0)</f>
        <v>0</v>
      </c>
    </row>
    <row r="1396" spans="4:14" x14ac:dyDescent="0.2">
      <c r="D1396">
        <f t="shared" si="130"/>
        <v>1373</v>
      </c>
      <c r="E1396" s="1">
        <f>IF($H$11=1,IF(D1396&lt;=$A$15, E1395+LN($D$11)-LN(60/$E$11)-LN(MIN(D1396,$F$11)), E1395-LN(60/$E$11)-LN(MIN(D1396,$F$11))), IF(D1396&lt;=$A$15, E1395+LN($D$11)-LN(60/$E$11)-LN(MIN(D1396,$F$11)), E1395+LN($D$11)+LN(1-$H$11)-LN(60/$E$11)-LN(MIN(D1396,$F$11))))</f>
        <v>-164.72276811000793</v>
      </c>
      <c r="F1396" s="1">
        <f t="shared" si="131"/>
        <v>-166.72480091920698</v>
      </c>
      <c r="G1396" s="1">
        <f t="shared" si="129"/>
        <v>3.9114606396158879E-73</v>
      </c>
      <c r="H1396" s="1">
        <f t="shared" si="126"/>
        <v>3.8393834702409935E-74</v>
      </c>
      <c r="I1396">
        <f>IF($F$11&lt;=D1396, IF(D1396&lt;=$A$15,D1396-$F$11,$C$11),0)</f>
        <v>60</v>
      </c>
      <c r="J1396">
        <f t="shared" si="127"/>
        <v>1309</v>
      </c>
      <c r="K1396" s="5">
        <f>IF(D1396&lt;$F$11,H1396,0)</f>
        <v>0</v>
      </c>
      <c r="L1396">
        <f>IF(D1396&lt;$A$15,$D$11,$D$11*(1-$H$11))</f>
        <v>85</v>
      </c>
      <c r="M1396">
        <f t="shared" si="128"/>
        <v>1</v>
      </c>
      <c r="N1396">
        <f>IF(SUM(I1396:J1396)&lt;=($G$11/60*$F$11/($E$11/60)),1,0)</f>
        <v>0</v>
      </c>
    </row>
    <row r="1397" spans="4:14" x14ac:dyDescent="0.2">
      <c r="D1397">
        <f t="shared" si="130"/>
        <v>1374</v>
      </c>
      <c r="E1397" s="1">
        <f>IF($H$11=1,IF(D1397&lt;=$A$15, E1396+LN($D$11)-LN(60/$E$11)-LN(MIN(D1397,$F$11)), E1396-LN(60/$E$11)-LN(MIN(D1397,$F$11))), IF(D1397&lt;=$A$15, E1396+LN($D$11)-LN(60/$E$11)-LN(MIN(D1397,$F$11)), E1396+LN($D$11)+LN(1-$H$11)-LN(60/$E$11)-LN(MIN(D1397,$F$11))))</f>
        <v>-164.84446504498547</v>
      </c>
      <c r="F1397" s="1">
        <f t="shared" si="131"/>
        <v>-166.84649785418452</v>
      </c>
      <c r="G1397" s="1">
        <f t="shared" si="129"/>
        <v>3.4632724413265137E-73</v>
      </c>
      <c r="H1397" s="1">
        <f t="shared" si="126"/>
        <v>3.3994541142758266E-74</v>
      </c>
      <c r="I1397">
        <f>IF($F$11&lt;=D1397, IF(D1397&lt;=$A$15,D1397-$F$11,$C$11),0)</f>
        <v>60</v>
      </c>
      <c r="J1397">
        <f t="shared" si="127"/>
        <v>1310</v>
      </c>
      <c r="K1397" s="5">
        <f>IF(D1397&lt;$F$11,H1397,0)</f>
        <v>0</v>
      </c>
      <c r="L1397">
        <f>IF(D1397&lt;$A$15,$D$11,$D$11*(1-$H$11))</f>
        <v>85</v>
      </c>
      <c r="M1397">
        <f t="shared" si="128"/>
        <v>1</v>
      </c>
      <c r="N1397">
        <f>IF(SUM(I1397:J1397)&lt;=($G$11/60*$F$11/($E$11/60)),1,0)</f>
        <v>0</v>
      </c>
    </row>
    <row r="1398" spans="4:14" x14ac:dyDescent="0.2">
      <c r="D1398">
        <f t="shared" si="130"/>
        <v>1375</v>
      </c>
      <c r="E1398" s="1">
        <f>IF($H$11=1,IF(D1398&lt;=$A$15, E1397+LN($D$11)-LN(60/$E$11)-LN(MIN(D1398,$F$11)), E1397-LN(60/$E$11)-LN(MIN(D1398,$F$11))), IF(D1398&lt;=$A$15, E1397+LN($D$11)-LN(60/$E$11)-LN(MIN(D1398,$F$11)), E1397+LN($D$11)+LN(1-$H$11)-LN(60/$E$11)-LN(MIN(D1398,$F$11))))</f>
        <v>-164.966161979963</v>
      </c>
      <c r="F1398" s="1">
        <f t="shared" si="131"/>
        <v>-166.96819478916206</v>
      </c>
      <c r="G1398" s="1">
        <f t="shared" si="129"/>
        <v>3.0664391407578025E-73</v>
      </c>
      <c r="H1398" s="1">
        <f t="shared" si="126"/>
        <v>3.009933330348341E-74</v>
      </c>
      <c r="I1398">
        <f>IF($F$11&lt;=D1398, IF(D1398&lt;=$A$15,D1398-$F$11,$C$11),0)</f>
        <v>60</v>
      </c>
      <c r="J1398">
        <f t="shared" si="127"/>
        <v>1311</v>
      </c>
      <c r="K1398" s="5">
        <f>IF(D1398&lt;$F$11,H1398,0)</f>
        <v>0</v>
      </c>
      <c r="L1398">
        <f>IF(D1398&lt;$A$15,$D$11,$D$11*(1-$H$11))</f>
        <v>85</v>
      </c>
      <c r="M1398">
        <f t="shared" si="128"/>
        <v>1</v>
      </c>
      <c r="N1398">
        <f>IF(SUM(I1398:J1398)&lt;=($G$11/60*$F$11/($E$11/60)),1,0)</f>
        <v>0</v>
      </c>
    </row>
    <row r="1399" spans="4:14" x14ac:dyDescent="0.2">
      <c r="D1399">
        <f t="shared" si="130"/>
        <v>1376</v>
      </c>
      <c r="E1399" s="1">
        <f>IF($H$11=1,IF(D1399&lt;=$A$15, E1398+LN($D$11)-LN(60/$E$11)-LN(MIN(D1399,$F$11)), E1398-LN(60/$E$11)-LN(MIN(D1399,$F$11))), IF(D1399&lt;=$A$15, E1398+LN($D$11)-LN(60/$E$11)-LN(MIN(D1399,$F$11)), E1398+LN($D$11)+LN(1-$H$11)-LN(60/$E$11)-LN(MIN(D1399,$F$11))))</f>
        <v>-165.08785891494054</v>
      </c>
      <c r="F1399" s="1">
        <f t="shared" si="131"/>
        <v>-167.08989172413959</v>
      </c>
      <c r="G1399" s="1">
        <f t="shared" si="129"/>
        <v>2.7150763225459286E-73</v>
      </c>
      <c r="H1399" s="1">
        <f t="shared" si="126"/>
        <v>2.6650451362458853E-74</v>
      </c>
      <c r="I1399">
        <f>IF($F$11&lt;=D1399, IF(D1399&lt;=$A$15,D1399-$F$11,$C$11),0)</f>
        <v>60</v>
      </c>
      <c r="J1399">
        <f t="shared" si="127"/>
        <v>1312</v>
      </c>
      <c r="K1399" s="5">
        <f>IF(D1399&lt;$F$11,H1399,0)</f>
        <v>0</v>
      </c>
      <c r="L1399">
        <f>IF(D1399&lt;$A$15,$D$11,$D$11*(1-$H$11))</f>
        <v>85</v>
      </c>
      <c r="M1399">
        <f t="shared" si="128"/>
        <v>1</v>
      </c>
      <c r="N1399">
        <f>IF(SUM(I1399:J1399)&lt;=($G$11/60*$F$11/($E$11/60)),1,0)</f>
        <v>0</v>
      </c>
    </row>
    <row r="1400" spans="4:14" x14ac:dyDescent="0.2">
      <c r="D1400">
        <f t="shared" si="130"/>
        <v>1377</v>
      </c>
      <c r="E1400" s="1">
        <f>IF($H$11=1,IF(D1400&lt;=$A$15, E1399+LN($D$11)-LN(60/$E$11)-LN(MIN(D1400,$F$11)), E1399-LN(60/$E$11)-LN(MIN(D1400,$F$11))), IF(D1400&lt;=$A$15, E1399+LN($D$11)-LN(60/$E$11)-LN(MIN(D1400,$F$11)), E1399+LN($D$11)+LN(1-$H$11)-LN(60/$E$11)-LN(MIN(D1400,$F$11))))</f>
        <v>-165.20955584991808</v>
      </c>
      <c r="F1400" s="1">
        <f t="shared" si="131"/>
        <v>-167.21158865911713</v>
      </c>
      <c r="G1400" s="1">
        <f t="shared" si="129"/>
        <v>2.4039738272541699E-73</v>
      </c>
      <c r="H1400" s="1">
        <f t="shared" si="126"/>
        <v>2.3596753810510071E-74</v>
      </c>
      <c r="I1400">
        <f>IF($F$11&lt;=D1400, IF(D1400&lt;=$A$15,D1400-$F$11,$C$11),0)</f>
        <v>60</v>
      </c>
      <c r="J1400">
        <f t="shared" si="127"/>
        <v>1313</v>
      </c>
      <c r="K1400" s="5">
        <f>IF(D1400&lt;$F$11,H1400,0)</f>
        <v>0</v>
      </c>
      <c r="L1400">
        <f>IF(D1400&lt;$A$15,$D$11,$D$11*(1-$H$11))</f>
        <v>85</v>
      </c>
      <c r="M1400">
        <f t="shared" si="128"/>
        <v>1</v>
      </c>
      <c r="N1400">
        <f>IF(SUM(I1400:J1400)&lt;=($G$11/60*$F$11/($E$11/60)),1,0)</f>
        <v>0</v>
      </c>
    </row>
    <row r="1401" spans="4:14" x14ac:dyDescent="0.2">
      <c r="D1401">
        <f t="shared" si="130"/>
        <v>1378</v>
      </c>
      <c r="E1401" s="1">
        <f>IF($H$11=1,IF(D1401&lt;=$A$15, E1400+LN($D$11)-LN(60/$E$11)-LN(MIN(D1401,$F$11)), E1400-LN(60/$E$11)-LN(MIN(D1401,$F$11))), IF(D1401&lt;=$A$15, E1400+LN($D$11)-LN(60/$E$11)-LN(MIN(D1401,$F$11)), E1400+LN($D$11)+LN(1-$H$11)-LN(60/$E$11)-LN(MIN(D1401,$F$11))))</f>
        <v>-165.33125278489561</v>
      </c>
      <c r="F1401" s="1">
        <f t="shared" si="131"/>
        <v>-167.33328559409466</v>
      </c>
      <c r="G1401" s="1">
        <f t="shared" si="129"/>
        <v>2.1285184928812629E-73</v>
      </c>
      <c r="H1401" s="1">
        <f t="shared" si="126"/>
        <v>2.0892959103055466E-74</v>
      </c>
      <c r="I1401">
        <f>IF($F$11&lt;=D1401, IF(D1401&lt;=$A$15,D1401-$F$11,$C$11),0)</f>
        <v>60</v>
      </c>
      <c r="J1401">
        <f t="shared" si="127"/>
        <v>1314</v>
      </c>
      <c r="K1401" s="5">
        <f>IF(D1401&lt;$F$11,H1401,0)</f>
        <v>0</v>
      </c>
      <c r="L1401">
        <f>IF(D1401&lt;$A$15,$D$11,$D$11*(1-$H$11))</f>
        <v>85</v>
      </c>
      <c r="M1401">
        <f t="shared" si="128"/>
        <v>1</v>
      </c>
      <c r="N1401">
        <f>IF(SUM(I1401:J1401)&lt;=($G$11/60*$F$11/($E$11/60)),1,0)</f>
        <v>0</v>
      </c>
    </row>
    <row r="1402" spans="4:14" x14ac:dyDescent="0.2">
      <c r="D1402">
        <f t="shared" si="130"/>
        <v>1379</v>
      </c>
      <c r="E1402" s="1">
        <f>IF($H$11=1,IF(D1402&lt;=$A$15, E1401+LN($D$11)-LN(60/$E$11)-LN(MIN(D1402,$F$11)), E1401-LN(60/$E$11)-LN(MIN(D1402,$F$11))), IF(D1402&lt;=$A$15, E1401+LN($D$11)-LN(60/$E$11)-LN(MIN(D1402,$F$11)), E1401+LN($D$11)+LN(1-$H$11)-LN(60/$E$11)-LN(MIN(D1402,$F$11))))</f>
        <v>-165.45294971987315</v>
      </c>
      <c r="F1402" s="1">
        <f t="shared" si="131"/>
        <v>-167.4549825290722</v>
      </c>
      <c r="G1402" s="1">
        <f t="shared" si="129"/>
        <v>1.8846257489052554E-73</v>
      </c>
      <c r="H1402" s="1">
        <f t="shared" si="126"/>
        <v>1.8498974205830072E-74</v>
      </c>
      <c r="I1402">
        <f>IF($F$11&lt;=D1402, IF(D1402&lt;=$A$15,D1402-$F$11,$C$11),0)</f>
        <v>60</v>
      </c>
      <c r="J1402">
        <f t="shared" si="127"/>
        <v>1315</v>
      </c>
      <c r="K1402" s="5">
        <f>IF(D1402&lt;$F$11,H1402,0)</f>
        <v>0</v>
      </c>
      <c r="L1402">
        <f>IF(D1402&lt;$A$15,$D$11,$D$11*(1-$H$11))</f>
        <v>85</v>
      </c>
      <c r="M1402">
        <f t="shared" si="128"/>
        <v>1</v>
      </c>
      <c r="N1402">
        <f>IF(SUM(I1402:J1402)&lt;=($G$11/60*$F$11/($E$11/60)),1,0)</f>
        <v>0</v>
      </c>
    </row>
    <row r="1403" spans="4:14" x14ac:dyDescent="0.2">
      <c r="D1403">
        <f t="shared" si="130"/>
        <v>1380</v>
      </c>
      <c r="E1403" s="1">
        <f>IF($H$11=1,IF(D1403&lt;=$A$15, E1402+LN($D$11)-LN(60/$E$11)-LN(MIN(D1403,$F$11)), E1402-LN(60/$E$11)-LN(MIN(D1403,$F$11))), IF(D1403&lt;=$A$15, E1402+LN($D$11)-LN(60/$E$11)-LN(MIN(D1403,$F$11)), E1402+LN($D$11)+LN(1-$H$11)-LN(60/$E$11)-LN(MIN(D1403,$F$11))))</f>
        <v>-165.57464665485068</v>
      </c>
      <c r="F1403" s="1">
        <f t="shared" si="131"/>
        <v>-167.57667946404973</v>
      </c>
      <c r="G1403" s="1">
        <f t="shared" si="129"/>
        <v>1.6686790485098357E-73</v>
      </c>
      <c r="H1403" s="1">
        <f t="shared" si="126"/>
        <v>1.6379300078078454E-74</v>
      </c>
      <c r="I1403">
        <f>IF($F$11&lt;=D1403, IF(D1403&lt;=$A$15,D1403-$F$11,$C$11),0)</f>
        <v>60</v>
      </c>
      <c r="J1403">
        <f t="shared" si="127"/>
        <v>1316</v>
      </c>
      <c r="K1403" s="5">
        <f>IF(D1403&lt;$F$11,H1403,0)</f>
        <v>0</v>
      </c>
      <c r="L1403">
        <f>IF(D1403&lt;$A$15,$D$11,$D$11*(1-$H$11))</f>
        <v>85</v>
      </c>
      <c r="M1403">
        <f t="shared" si="128"/>
        <v>1</v>
      </c>
      <c r="N1403">
        <f>IF(SUM(I1403:J1403)&lt;=($G$11/60*$F$11/($E$11/60)),1,0)</f>
        <v>0</v>
      </c>
    </row>
    <row r="1404" spans="4:14" x14ac:dyDescent="0.2">
      <c r="D1404">
        <f t="shared" si="130"/>
        <v>1381</v>
      </c>
      <c r="E1404" s="1">
        <f>IF($H$11=1,IF(D1404&lt;=$A$15, E1403+LN($D$11)-LN(60/$E$11)-LN(MIN(D1404,$F$11)), E1403-LN(60/$E$11)-LN(MIN(D1404,$F$11))), IF(D1404&lt;=$A$15, E1403+LN($D$11)-LN(60/$E$11)-LN(MIN(D1404,$F$11)), E1403+LN($D$11)+LN(1-$H$11)-LN(60/$E$11)-LN(MIN(D1404,$F$11))))</f>
        <v>-165.69634358982822</v>
      </c>
      <c r="F1404" s="1">
        <f t="shared" si="131"/>
        <v>-167.69837639902727</v>
      </c>
      <c r="G1404" s="1">
        <f t="shared" si="129"/>
        <v>1.4774762408680606E-73</v>
      </c>
      <c r="H1404" s="1">
        <f t="shared" si="126"/>
        <v>1.4502505277465072E-74</v>
      </c>
      <c r="I1404">
        <f>IF($F$11&lt;=D1404, IF(D1404&lt;=$A$15,D1404-$F$11,$C$11),0)</f>
        <v>60</v>
      </c>
      <c r="J1404">
        <f t="shared" si="127"/>
        <v>1317</v>
      </c>
      <c r="K1404" s="5">
        <f>IF(D1404&lt;$F$11,H1404,0)</f>
        <v>0</v>
      </c>
      <c r="L1404">
        <f>IF(D1404&lt;$A$15,$D$11,$D$11*(1-$H$11))</f>
        <v>85</v>
      </c>
      <c r="M1404">
        <f t="shared" si="128"/>
        <v>1</v>
      </c>
      <c r="N1404">
        <f>IF(SUM(I1404:J1404)&lt;=($G$11/60*$F$11/($E$11/60)),1,0)</f>
        <v>0</v>
      </c>
    </row>
    <row r="1405" spans="4:14" x14ac:dyDescent="0.2">
      <c r="D1405">
        <f t="shared" si="130"/>
        <v>1382</v>
      </c>
      <c r="E1405" s="1">
        <f>IF($H$11=1,IF(D1405&lt;=$A$15, E1404+LN($D$11)-LN(60/$E$11)-LN(MIN(D1405,$F$11)), E1404-LN(60/$E$11)-LN(MIN(D1405,$F$11))), IF(D1405&lt;=$A$15, E1404+LN($D$11)-LN(60/$E$11)-LN(MIN(D1405,$F$11)), E1404+LN($D$11)+LN(1-$H$11)-LN(60/$E$11)-LN(MIN(D1405,$F$11))))</f>
        <v>-165.81804052480575</v>
      </c>
      <c r="F1405" s="1">
        <f t="shared" si="131"/>
        <v>-167.8200733340048</v>
      </c>
      <c r="G1405" s="1">
        <f t="shared" si="129"/>
        <v>1.3081820882685748E-73</v>
      </c>
      <c r="H1405" s="1">
        <f t="shared" si="126"/>
        <v>1.2840759881088665E-74</v>
      </c>
      <c r="I1405">
        <f>IF($F$11&lt;=D1405, IF(D1405&lt;=$A$15,D1405-$F$11,$C$11),0)</f>
        <v>60</v>
      </c>
      <c r="J1405">
        <f t="shared" si="127"/>
        <v>1318</v>
      </c>
      <c r="K1405" s="5">
        <f>IF(D1405&lt;$F$11,H1405,0)</f>
        <v>0</v>
      </c>
      <c r="L1405">
        <f>IF(D1405&lt;$A$15,$D$11,$D$11*(1-$H$11))</f>
        <v>85</v>
      </c>
      <c r="M1405">
        <f t="shared" si="128"/>
        <v>1</v>
      </c>
      <c r="N1405">
        <f>IF(SUM(I1405:J1405)&lt;=($G$11/60*$F$11/($E$11/60)),1,0)</f>
        <v>0</v>
      </c>
    </row>
    <row r="1406" spans="4:14" x14ac:dyDescent="0.2">
      <c r="D1406">
        <f t="shared" si="130"/>
        <v>1383</v>
      </c>
      <c r="E1406" s="1">
        <f>IF($H$11=1,IF(D1406&lt;=$A$15, E1405+LN($D$11)-LN(60/$E$11)-LN(MIN(D1406,$F$11)), E1405-LN(60/$E$11)-LN(MIN(D1406,$F$11))), IF(D1406&lt;=$A$15, E1405+LN($D$11)-LN(60/$E$11)-LN(MIN(D1406,$F$11)), E1405+LN($D$11)+LN(1-$H$11)-LN(60/$E$11)-LN(MIN(D1406,$F$11))))</f>
        <v>-165.93973745978329</v>
      </c>
      <c r="F1406" s="1">
        <f t="shared" si="131"/>
        <v>-167.94177026898234</v>
      </c>
      <c r="G1406" s="1">
        <f t="shared" si="129"/>
        <v>1.1582862239877824E-73</v>
      </c>
      <c r="H1406" s="1">
        <f t="shared" si="126"/>
        <v>1.136942281138041E-74</v>
      </c>
      <c r="I1406">
        <f>IF($F$11&lt;=D1406, IF(D1406&lt;=$A$15,D1406-$F$11,$C$11),0)</f>
        <v>60</v>
      </c>
      <c r="J1406">
        <f t="shared" si="127"/>
        <v>1319</v>
      </c>
      <c r="K1406" s="5">
        <f>IF(D1406&lt;$F$11,H1406,0)</f>
        <v>0</v>
      </c>
      <c r="L1406">
        <f>IF(D1406&lt;$A$15,$D$11,$D$11*(1-$H$11))</f>
        <v>85</v>
      </c>
      <c r="M1406">
        <f t="shared" si="128"/>
        <v>1</v>
      </c>
      <c r="N1406">
        <f>IF(SUM(I1406:J1406)&lt;=($G$11/60*$F$11/($E$11/60)),1,0)</f>
        <v>0</v>
      </c>
    </row>
    <row r="1407" spans="4:14" x14ac:dyDescent="0.2">
      <c r="D1407">
        <f t="shared" si="130"/>
        <v>1384</v>
      </c>
      <c r="E1407" s="1">
        <f>IF($H$11=1,IF(D1407&lt;=$A$15, E1406+LN($D$11)-LN(60/$E$11)-LN(MIN(D1407,$F$11)), E1406-LN(60/$E$11)-LN(MIN(D1407,$F$11))), IF(D1407&lt;=$A$15, E1406+LN($D$11)-LN(60/$E$11)-LN(MIN(D1407,$F$11)), E1406+LN($D$11)+LN(1-$H$11)-LN(60/$E$11)-LN(MIN(D1407,$F$11))))</f>
        <v>-166.06143439476082</v>
      </c>
      <c r="F1407" s="1">
        <f t="shared" si="131"/>
        <v>-168.06346720395987</v>
      </c>
      <c r="G1407" s="1">
        <f t="shared" si="129"/>
        <v>1.0255659274891664E-73</v>
      </c>
      <c r="H1407" s="1">
        <f t="shared" si="126"/>
        <v>1.0066676447576247E-74</v>
      </c>
      <c r="I1407">
        <f>IF($F$11&lt;=D1407, IF(D1407&lt;=$A$15,D1407-$F$11,$C$11),0)</f>
        <v>60</v>
      </c>
      <c r="J1407">
        <f t="shared" si="127"/>
        <v>1320</v>
      </c>
      <c r="K1407" s="5">
        <f>IF(D1407&lt;$F$11,H1407,0)</f>
        <v>0</v>
      </c>
      <c r="L1407">
        <f>IF(D1407&lt;$A$15,$D$11,$D$11*(1-$H$11))</f>
        <v>85</v>
      </c>
      <c r="M1407">
        <f t="shared" si="128"/>
        <v>1</v>
      </c>
      <c r="N1407">
        <f>IF(SUM(I1407:J1407)&lt;=($G$11/60*$F$11/($E$11/60)),1,0)</f>
        <v>0</v>
      </c>
    </row>
    <row r="1408" spans="4:14" x14ac:dyDescent="0.2">
      <c r="D1408">
        <f t="shared" si="130"/>
        <v>1385</v>
      </c>
      <c r="E1408" s="1">
        <f>IF($H$11=1,IF(D1408&lt;=$A$15, E1407+LN($D$11)-LN(60/$E$11)-LN(MIN(D1408,$F$11)), E1407-LN(60/$E$11)-LN(MIN(D1408,$F$11))), IF(D1408&lt;=$A$15, E1407+LN($D$11)-LN(60/$E$11)-LN(MIN(D1408,$F$11)), E1407+LN($D$11)+LN(1-$H$11)-LN(60/$E$11)-LN(MIN(D1408,$F$11))))</f>
        <v>-166.18313132973836</v>
      </c>
      <c r="F1408" s="1">
        <f t="shared" si="131"/>
        <v>-168.18516413893741</v>
      </c>
      <c r="G1408" s="1">
        <f t="shared" si="129"/>
        <v>9.0805316496435182E-74</v>
      </c>
      <c r="H1408" s="1">
        <f t="shared" si="126"/>
        <v>8.9132031046246625E-75</v>
      </c>
      <c r="I1408">
        <f>IF($F$11&lt;=D1408, IF(D1408&lt;=$A$15,D1408-$F$11,$C$11),0)</f>
        <v>60</v>
      </c>
      <c r="J1408">
        <f t="shared" si="127"/>
        <v>1321</v>
      </c>
      <c r="K1408" s="5">
        <f>IF(D1408&lt;$F$11,H1408,0)</f>
        <v>0</v>
      </c>
      <c r="L1408">
        <f>IF(D1408&lt;$A$15,$D$11,$D$11*(1-$H$11))</f>
        <v>85</v>
      </c>
      <c r="M1408">
        <f t="shared" si="128"/>
        <v>1</v>
      </c>
      <c r="N1408">
        <f>IF(SUM(I1408:J1408)&lt;=($G$11/60*$F$11/($E$11/60)),1,0)</f>
        <v>0</v>
      </c>
    </row>
    <row r="1409" spans="4:14" x14ac:dyDescent="0.2">
      <c r="D1409">
        <f t="shared" si="130"/>
        <v>1386</v>
      </c>
      <c r="E1409" s="1">
        <f>IF($H$11=1,IF(D1409&lt;=$A$15, E1408+LN($D$11)-LN(60/$E$11)-LN(MIN(D1409,$F$11)), E1408-LN(60/$E$11)-LN(MIN(D1409,$F$11))), IF(D1409&lt;=$A$15, E1408+LN($D$11)-LN(60/$E$11)-LN(MIN(D1409,$F$11)), E1408+LN($D$11)+LN(1-$H$11)-LN(60/$E$11)-LN(MIN(D1409,$F$11))))</f>
        <v>-166.30482826471589</v>
      </c>
      <c r="F1409" s="1">
        <f t="shared" si="131"/>
        <v>-168.30686107391494</v>
      </c>
      <c r="G1409" s="1">
        <f t="shared" si="129"/>
        <v>8.040054064788406E-74</v>
      </c>
      <c r="H1409" s="1">
        <f t="shared" si="126"/>
        <v>7.8918985822196297E-75</v>
      </c>
      <c r="I1409">
        <f>IF($F$11&lt;=D1409, IF(D1409&lt;=$A$15,D1409-$F$11,$C$11),0)</f>
        <v>60</v>
      </c>
      <c r="J1409">
        <f t="shared" si="127"/>
        <v>1322</v>
      </c>
      <c r="K1409" s="5">
        <f>IF(D1409&lt;$F$11,H1409,0)</f>
        <v>0</v>
      </c>
      <c r="L1409">
        <f>IF(D1409&lt;$A$15,$D$11,$D$11*(1-$H$11))</f>
        <v>85</v>
      </c>
      <c r="M1409">
        <f t="shared" si="128"/>
        <v>1</v>
      </c>
      <c r="N1409">
        <f>IF(SUM(I1409:J1409)&lt;=($G$11/60*$F$11/($E$11/60)),1,0)</f>
        <v>0</v>
      </c>
    </row>
    <row r="1410" spans="4:14" x14ac:dyDescent="0.2">
      <c r="D1410">
        <f t="shared" si="130"/>
        <v>1387</v>
      </c>
      <c r="E1410" s="1">
        <f>IF($H$11=1,IF(D1410&lt;=$A$15, E1409+LN($D$11)-LN(60/$E$11)-LN(MIN(D1410,$F$11)), E1409-LN(60/$E$11)-LN(MIN(D1410,$F$11))), IF(D1410&lt;=$A$15, E1409+LN($D$11)-LN(60/$E$11)-LN(MIN(D1410,$F$11)), E1409+LN($D$11)+LN(1-$H$11)-LN(60/$E$11)-LN(MIN(D1410,$F$11))))</f>
        <v>-166.42652519969343</v>
      </c>
      <c r="F1410" s="1">
        <f t="shared" si="131"/>
        <v>-168.42855800889248</v>
      </c>
      <c r="G1410" s="1">
        <f t="shared" si="129"/>
        <v>7.1187978698646231E-74</v>
      </c>
      <c r="H1410" s="1">
        <f t="shared" si="126"/>
        <v>6.9876185363401882E-75</v>
      </c>
      <c r="I1410">
        <f>IF($F$11&lt;=D1410, IF(D1410&lt;=$A$15,D1410-$F$11,$C$11),0)</f>
        <v>60</v>
      </c>
      <c r="J1410">
        <f t="shared" si="127"/>
        <v>1323</v>
      </c>
      <c r="K1410" s="5">
        <f>IF(D1410&lt;$F$11,H1410,0)</f>
        <v>0</v>
      </c>
      <c r="L1410">
        <f>IF(D1410&lt;$A$15,$D$11,$D$11*(1-$H$11))</f>
        <v>85</v>
      </c>
      <c r="M1410">
        <f t="shared" si="128"/>
        <v>1</v>
      </c>
      <c r="N1410">
        <f>IF(SUM(I1410:J1410)&lt;=($G$11/60*$F$11/($E$11/60)),1,0)</f>
        <v>0</v>
      </c>
    </row>
    <row r="1411" spans="4:14" x14ac:dyDescent="0.2">
      <c r="D1411">
        <f t="shared" si="130"/>
        <v>1388</v>
      </c>
      <c r="E1411" s="1">
        <f>IF($H$11=1,IF(D1411&lt;=$A$15, E1410+LN($D$11)-LN(60/$E$11)-LN(MIN(D1411,$F$11)), E1410-LN(60/$E$11)-LN(MIN(D1411,$F$11))), IF(D1411&lt;=$A$15, E1410+LN($D$11)-LN(60/$E$11)-LN(MIN(D1411,$F$11)), E1410+LN($D$11)+LN(1-$H$11)-LN(60/$E$11)-LN(MIN(D1411,$F$11))))</f>
        <v>-166.54822213467097</v>
      </c>
      <c r="F1411" s="1">
        <f t="shared" si="131"/>
        <v>-168.55025494387002</v>
      </c>
      <c r="G1411" s="1">
        <f t="shared" si="129"/>
        <v>6.3031022806092033E-74</v>
      </c>
      <c r="H1411" s="1">
        <f t="shared" si="126"/>
        <v>6.1869539123844448E-75</v>
      </c>
      <c r="I1411">
        <f>IF($F$11&lt;=D1411, IF(D1411&lt;=$A$15,D1411-$F$11,$C$11),0)</f>
        <v>60</v>
      </c>
      <c r="J1411">
        <f t="shared" si="127"/>
        <v>1324</v>
      </c>
      <c r="K1411" s="5">
        <f>IF(D1411&lt;$F$11,H1411,0)</f>
        <v>0</v>
      </c>
      <c r="L1411">
        <f>IF(D1411&lt;$A$15,$D$11,$D$11*(1-$H$11))</f>
        <v>85</v>
      </c>
      <c r="M1411">
        <f t="shared" si="128"/>
        <v>1</v>
      </c>
      <c r="N1411">
        <f>IF(SUM(I1411:J1411)&lt;=($G$11/60*$F$11/($E$11/60)),1,0)</f>
        <v>0</v>
      </c>
    </row>
    <row r="1412" spans="4:14" x14ac:dyDescent="0.2">
      <c r="D1412">
        <f t="shared" si="130"/>
        <v>1389</v>
      </c>
      <c r="E1412" s="1">
        <f>IF($H$11=1,IF(D1412&lt;=$A$15, E1411+LN($D$11)-LN(60/$E$11)-LN(MIN(D1412,$F$11)), E1411-LN(60/$E$11)-LN(MIN(D1412,$F$11))), IF(D1412&lt;=$A$15, E1411+LN($D$11)-LN(60/$E$11)-LN(MIN(D1412,$F$11)), E1411+LN($D$11)+LN(1-$H$11)-LN(60/$E$11)-LN(MIN(D1412,$F$11))))</f>
        <v>-166.6699190696485</v>
      </c>
      <c r="F1412" s="1">
        <f t="shared" si="131"/>
        <v>-168.67195187884755</v>
      </c>
      <c r="G1412" s="1">
        <f t="shared" si="129"/>
        <v>5.5808718109559785E-74</v>
      </c>
      <c r="H1412" s="1">
        <f t="shared" si="126"/>
        <v>5.4780321099236425E-75</v>
      </c>
      <c r="I1412">
        <f>IF($F$11&lt;=D1412, IF(D1412&lt;=$A$15,D1412-$F$11,$C$11),0)</f>
        <v>60</v>
      </c>
      <c r="J1412">
        <f t="shared" si="127"/>
        <v>1325</v>
      </c>
      <c r="K1412" s="5">
        <f>IF(D1412&lt;$F$11,H1412,0)</f>
        <v>0</v>
      </c>
      <c r="L1412">
        <f>IF(D1412&lt;$A$15,$D$11,$D$11*(1-$H$11))</f>
        <v>85</v>
      </c>
      <c r="M1412">
        <f t="shared" si="128"/>
        <v>1</v>
      </c>
      <c r="N1412">
        <f>IF(SUM(I1412:J1412)&lt;=($G$11/60*$F$11/($E$11/60)),1,0)</f>
        <v>0</v>
      </c>
    </row>
    <row r="1413" spans="4:14" x14ac:dyDescent="0.2">
      <c r="D1413">
        <f t="shared" si="130"/>
        <v>1390</v>
      </c>
      <c r="E1413" s="1">
        <f>IF($H$11=1,IF(D1413&lt;=$A$15, E1412+LN($D$11)-LN(60/$E$11)-LN(MIN(D1413,$F$11)), E1412-LN(60/$E$11)-LN(MIN(D1413,$F$11))), IF(D1413&lt;=$A$15, E1412+LN($D$11)-LN(60/$E$11)-LN(MIN(D1413,$F$11)), E1412+LN($D$11)+LN(1-$H$11)-LN(60/$E$11)-LN(MIN(D1413,$F$11))))</f>
        <v>-166.79161600462604</v>
      </c>
      <c r="F1413" s="1">
        <f t="shared" si="131"/>
        <v>-168.79364881382509</v>
      </c>
      <c r="G1413" s="1">
        <f t="shared" si="129"/>
        <v>4.9413969159505281E-74</v>
      </c>
      <c r="H1413" s="1">
        <f t="shared" si="126"/>
        <v>4.8503409306614821E-75</v>
      </c>
      <c r="I1413">
        <f>IF($F$11&lt;=D1413, IF(D1413&lt;=$A$15,D1413-$F$11,$C$11),0)</f>
        <v>60</v>
      </c>
      <c r="J1413">
        <f t="shared" si="127"/>
        <v>1326</v>
      </c>
      <c r="K1413" s="5">
        <f>IF(D1413&lt;$F$11,H1413,0)</f>
        <v>0</v>
      </c>
      <c r="L1413">
        <f>IF(D1413&lt;$A$15,$D$11,$D$11*(1-$H$11))</f>
        <v>85</v>
      </c>
      <c r="M1413">
        <f t="shared" si="128"/>
        <v>1</v>
      </c>
      <c r="N1413">
        <f>IF(SUM(I1413:J1413)&lt;=($G$11/60*$F$11/($E$11/60)),1,0)</f>
        <v>0</v>
      </c>
    </row>
    <row r="1414" spans="4:14" x14ac:dyDescent="0.2">
      <c r="D1414">
        <f t="shared" si="130"/>
        <v>1391</v>
      </c>
      <c r="E1414" s="1">
        <f>IF($H$11=1,IF(D1414&lt;=$A$15, E1413+LN($D$11)-LN(60/$E$11)-LN(MIN(D1414,$F$11)), E1413-LN(60/$E$11)-LN(MIN(D1414,$F$11))), IF(D1414&lt;=$A$15, E1413+LN($D$11)-LN(60/$E$11)-LN(MIN(D1414,$F$11)), E1413+LN($D$11)+LN(1-$H$11)-LN(60/$E$11)-LN(MIN(D1414,$F$11))))</f>
        <v>-166.91331293960357</v>
      </c>
      <c r="F1414" s="1">
        <f t="shared" si="131"/>
        <v>-168.91534574880262</v>
      </c>
      <c r="G1414" s="1">
        <f t="shared" si="129"/>
        <v>4.3751951859977949E-74</v>
      </c>
      <c r="H1414" s="1">
        <f t="shared" si="126"/>
        <v>4.2945726990231198E-75</v>
      </c>
      <c r="I1414">
        <f>IF($F$11&lt;=D1414, IF(D1414&lt;=$A$15,D1414-$F$11,$C$11),0)</f>
        <v>60</v>
      </c>
      <c r="J1414">
        <f t="shared" si="127"/>
        <v>1327</v>
      </c>
      <c r="K1414" s="5">
        <f>IF(D1414&lt;$F$11,H1414,0)</f>
        <v>0</v>
      </c>
      <c r="L1414">
        <f>IF(D1414&lt;$A$15,$D$11,$D$11*(1-$H$11))</f>
        <v>85</v>
      </c>
      <c r="M1414">
        <f t="shared" si="128"/>
        <v>1</v>
      </c>
      <c r="N1414">
        <f>IF(SUM(I1414:J1414)&lt;=($G$11/60*$F$11/($E$11/60)),1,0)</f>
        <v>0</v>
      </c>
    </row>
    <row r="1415" spans="4:14" x14ac:dyDescent="0.2">
      <c r="D1415">
        <f t="shared" si="130"/>
        <v>1392</v>
      </c>
      <c r="E1415" s="1">
        <f>IF($H$11=1,IF(D1415&lt;=$A$15, E1414+LN($D$11)-LN(60/$E$11)-LN(MIN(D1415,$F$11)), E1414-LN(60/$E$11)-LN(MIN(D1415,$F$11))), IF(D1415&lt;=$A$15, E1414+LN($D$11)-LN(60/$E$11)-LN(MIN(D1415,$F$11)), E1414+LN($D$11)+LN(1-$H$11)-LN(60/$E$11)-LN(MIN(D1415,$F$11))))</f>
        <v>-167.03500987458111</v>
      </c>
      <c r="F1415" s="1">
        <f t="shared" si="131"/>
        <v>-169.03704268378016</v>
      </c>
      <c r="G1415" s="1">
        <f t="shared" si="129"/>
        <v>3.8738707376021542E-74</v>
      </c>
      <c r="H1415" s="1">
        <f t="shared" si="126"/>
        <v>3.8024862439266616E-75</v>
      </c>
      <c r="I1415">
        <f>IF($F$11&lt;=D1415, IF(D1415&lt;=$A$15,D1415-$F$11,$C$11),0)</f>
        <v>60</v>
      </c>
      <c r="J1415">
        <f t="shared" si="127"/>
        <v>1328</v>
      </c>
      <c r="K1415" s="5">
        <f>IF(D1415&lt;$F$11,H1415,0)</f>
        <v>0</v>
      </c>
      <c r="L1415">
        <f>IF(D1415&lt;$A$15,$D$11,$D$11*(1-$H$11))</f>
        <v>85</v>
      </c>
      <c r="M1415">
        <f t="shared" si="128"/>
        <v>1</v>
      </c>
      <c r="N1415">
        <f>IF(SUM(I1415:J1415)&lt;=($G$11/60*$F$11/($E$11/60)),1,0)</f>
        <v>0</v>
      </c>
    </row>
    <row r="1416" spans="4:14" x14ac:dyDescent="0.2">
      <c r="D1416">
        <f t="shared" si="130"/>
        <v>1393</v>
      </c>
      <c r="E1416" s="1">
        <f>IF($H$11=1,IF(D1416&lt;=$A$15, E1415+LN($D$11)-LN(60/$E$11)-LN(MIN(D1416,$F$11)), E1415-LN(60/$E$11)-LN(MIN(D1416,$F$11))), IF(D1416&lt;=$A$15, E1415+LN($D$11)-LN(60/$E$11)-LN(MIN(D1416,$F$11)), E1415+LN($D$11)+LN(1-$H$11)-LN(60/$E$11)-LN(MIN(D1416,$F$11))))</f>
        <v>-167.15670680955864</v>
      </c>
      <c r="F1416" s="1">
        <f t="shared" si="131"/>
        <v>-169.15873961875769</v>
      </c>
      <c r="G1416" s="1">
        <f t="shared" si="129"/>
        <v>3.429989715585187E-74</v>
      </c>
      <c r="H1416" s="1">
        <f t="shared" si="126"/>
        <v>3.3667846951433456E-75</v>
      </c>
      <c r="I1416">
        <f>IF($F$11&lt;=D1416, IF(D1416&lt;=$A$15,D1416-$F$11,$C$11),0)</f>
        <v>60</v>
      </c>
      <c r="J1416">
        <f t="shared" si="127"/>
        <v>1329</v>
      </c>
      <c r="K1416" s="5">
        <f>IF(D1416&lt;$F$11,H1416,0)</f>
        <v>0</v>
      </c>
      <c r="L1416">
        <f>IF(D1416&lt;$A$15,$D$11,$D$11*(1-$H$11))</f>
        <v>85</v>
      </c>
      <c r="M1416">
        <f t="shared" si="128"/>
        <v>1</v>
      </c>
      <c r="N1416">
        <f>IF(SUM(I1416:J1416)&lt;=($G$11/60*$F$11/($E$11/60)),1,0)</f>
        <v>0</v>
      </c>
    </row>
    <row r="1417" spans="4:14" x14ac:dyDescent="0.2">
      <c r="D1417">
        <f t="shared" si="130"/>
        <v>1394</v>
      </c>
      <c r="E1417" s="1">
        <f>IF($H$11=1,IF(D1417&lt;=$A$15, E1416+LN($D$11)-LN(60/$E$11)-LN(MIN(D1417,$F$11)), E1416-LN(60/$E$11)-LN(MIN(D1417,$F$11))), IF(D1417&lt;=$A$15, E1416+LN($D$11)-LN(60/$E$11)-LN(MIN(D1417,$F$11)), E1416+LN($D$11)+LN(1-$H$11)-LN(60/$E$11)-LN(MIN(D1417,$F$11))))</f>
        <v>-167.27840374453618</v>
      </c>
      <c r="F1417" s="1">
        <f t="shared" si="131"/>
        <v>-169.28043655373523</v>
      </c>
      <c r="G1417" s="1">
        <f t="shared" si="129"/>
        <v>3.0369700606743368E-74</v>
      </c>
      <c r="H1417" s="1">
        <f t="shared" si="126"/>
        <v>2.981007282158124E-75</v>
      </c>
      <c r="I1417">
        <f>IF($F$11&lt;=D1417, IF(D1417&lt;=$A$15,D1417-$F$11,$C$11),0)</f>
        <v>60</v>
      </c>
      <c r="J1417">
        <f t="shared" si="127"/>
        <v>1330</v>
      </c>
      <c r="K1417" s="5">
        <f>IF(D1417&lt;$F$11,H1417,0)</f>
        <v>0</v>
      </c>
      <c r="L1417">
        <f>IF(D1417&lt;$A$15,$D$11,$D$11*(1-$H$11))</f>
        <v>85</v>
      </c>
      <c r="M1417">
        <f t="shared" si="128"/>
        <v>1</v>
      </c>
      <c r="N1417">
        <f>IF(SUM(I1417:J1417)&lt;=($G$11/60*$F$11/($E$11/60)),1,0)</f>
        <v>0</v>
      </c>
    </row>
    <row r="1418" spans="4:14" x14ac:dyDescent="0.2">
      <c r="D1418">
        <f t="shared" si="130"/>
        <v>1395</v>
      </c>
      <c r="E1418" s="1">
        <f>IF($H$11=1,IF(D1418&lt;=$A$15, E1417+LN($D$11)-LN(60/$E$11)-LN(MIN(D1418,$F$11)), E1417-LN(60/$E$11)-LN(MIN(D1418,$F$11))), IF(D1418&lt;=$A$15, E1417+LN($D$11)-LN(60/$E$11)-LN(MIN(D1418,$F$11)), E1417+LN($D$11)+LN(1-$H$11)-LN(60/$E$11)-LN(MIN(D1418,$F$11))))</f>
        <v>-167.40010067951371</v>
      </c>
      <c r="F1418" s="1">
        <f t="shared" si="131"/>
        <v>-169.40213348871276</v>
      </c>
      <c r="G1418" s="1">
        <f t="shared" si="129"/>
        <v>2.6889839078886934E-74</v>
      </c>
      <c r="H1418" s="1">
        <f t="shared" si="126"/>
        <v>2.639433531077464E-75</v>
      </c>
      <c r="I1418">
        <f>IF($F$11&lt;=D1418, IF(D1418&lt;=$A$15,D1418-$F$11,$C$11),0)</f>
        <v>60</v>
      </c>
      <c r="J1418">
        <f t="shared" si="127"/>
        <v>1331</v>
      </c>
      <c r="K1418" s="5">
        <f>IF(D1418&lt;$F$11,H1418,0)</f>
        <v>0</v>
      </c>
      <c r="L1418">
        <f>IF(D1418&lt;$A$15,$D$11,$D$11*(1-$H$11))</f>
        <v>85</v>
      </c>
      <c r="M1418">
        <f t="shared" si="128"/>
        <v>1</v>
      </c>
      <c r="N1418">
        <f>IF(SUM(I1418:J1418)&lt;=($G$11/60*$F$11/($E$11/60)),1,0)</f>
        <v>0</v>
      </c>
    </row>
    <row r="1419" spans="4:14" x14ac:dyDescent="0.2">
      <c r="D1419">
        <f t="shared" si="130"/>
        <v>1396</v>
      </c>
      <c r="E1419" s="1">
        <f>IF($H$11=1,IF(D1419&lt;=$A$15, E1418+LN($D$11)-LN(60/$E$11)-LN(MIN(D1419,$F$11)), E1418-LN(60/$E$11)-LN(MIN(D1419,$F$11))), IF(D1419&lt;=$A$15, E1418+LN($D$11)-LN(60/$E$11)-LN(MIN(D1419,$F$11)), E1418+LN($D$11)+LN(1-$H$11)-LN(60/$E$11)-LN(MIN(D1419,$F$11))))</f>
        <v>-167.52179761449125</v>
      </c>
      <c r="F1419" s="1">
        <f t="shared" si="131"/>
        <v>-169.5238304236903</v>
      </c>
      <c r="G1419" s="1">
        <f t="shared" si="129"/>
        <v>2.380871168443077E-74</v>
      </c>
      <c r="H1419" s="1">
        <f t="shared" si="126"/>
        <v>2.3369984389748017E-75</v>
      </c>
      <c r="I1419">
        <f>IF($F$11&lt;=D1419, IF(D1419&lt;=$A$15,D1419-$F$11,$C$11),0)</f>
        <v>60</v>
      </c>
      <c r="J1419">
        <f t="shared" si="127"/>
        <v>1332</v>
      </c>
      <c r="K1419" s="5">
        <f>IF(D1419&lt;$F$11,H1419,0)</f>
        <v>0</v>
      </c>
      <c r="L1419">
        <f>IF(D1419&lt;$A$15,$D$11,$D$11*(1-$H$11))</f>
        <v>85</v>
      </c>
      <c r="M1419">
        <f t="shared" si="128"/>
        <v>1</v>
      </c>
      <c r="N1419">
        <f>IF(SUM(I1419:J1419)&lt;=($G$11/60*$F$11/($E$11/60)),1,0)</f>
        <v>0</v>
      </c>
    </row>
    <row r="1420" spans="4:14" x14ac:dyDescent="0.2">
      <c r="D1420">
        <f t="shared" si="130"/>
        <v>1397</v>
      </c>
      <c r="E1420" s="1">
        <f>IF($H$11=1,IF(D1420&lt;=$A$15, E1419+LN($D$11)-LN(60/$E$11)-LN(MIN(D1420,$F$11)), E1419-LN(60/$E$11)-LN(MIN(D1420,$F$11))), IF(D1420&lt;=$A$15, E1419+LN($D$11)-LN(60/$E$11)-LN(MIN(D1420,$F$11)), E1419+LN($D$11)+LN(1-$H$11)-LN(60/$E$11)-LN(MIN(D1420,$F$11))))</f>
        <v>-167.64349454946878</v>
      </c>
      <c r="F1420" s="1">
        <f t="shared" si="131"/>
        <v>-169.64552735866783</v>
      </c>
      <c r="G1420" s="1">
        <f t="shared" si="129"/>
        <v>2.1080630137256081E-74</v>
      </c>
      <c r="H1420" s="1">
        <f t="shared" si="126"/>
        <v>2.0692173678422399E-75</v>
      </c>
      <c r="I1420">
        <f>IF($F$11&lt;=D1420, IF(D1420&lt;=$A$15,D1420-$F$11,$C$11),0)</f>
        <v>60</v>
      </c>
      <c r="J1420">
        <f t="shared" si="127"/>
        <v>1333</v>
      </c>
      <c r="K1420" s="5">
        <f>IF(D1420&lt;$F$11,H1420,0)</f>
        <v>0</v>
      </c>
      <c r="L1420">
        <f>IF(D1420&lt;$A$15,$D$11,$D$11*(1-$H$11))</f>
        <v>85</v>
      </c>
      <c r="M1420">
        <f t="shared" si="128"/>
        <v>1</v>
      </c>
      <c r="N1420">
        <f>IF(SUM(I1420:J1420)&lt;=($G$11/60*$F$11/($E$11/60)),1,0)</f>
        <v>0</v>
      </c>
    </row>
    <row r="1421" spans="4:14" x14ac:dyDescent="0.2">
      <c r="D1421">
        <f t="shared" si="130"/>
        <v>1398</v>
      </c>
      <c r="E1421" s="1">
        <f>IF($H$11=1,IF(D1421&lt;=$A$15, E1420+LN($D$11)-LN(60/$E$11)-LN(MIN(D1421,$F$11)), E1420-LN(60/$E$11)-LN(MIN(D1421,$F$11))), IF(D1421&lt;=$A$15, E1420+LN($D$11)-LN(60/$E$11)-LN(MIN(D1421,$F$11)), E1420+LN($D$11)+LN(1-$H$11)-LN(60/$E$11)-LN(MIN(D1421,$F$11))))</f>
        <v>-167.76519148444632</v>
      </c>
      <c r="F1421" s="1">
        <f t="shared" si="131"/>
        <v>-169.76722429364537</v>
      </c>
      <c r="G1421" s="1">
        <f t="shared" si="129"/>
        <v>1.8665141267361861E-74</v>
      </c>
      <c r="H1421" s="1">
        <f t="shared" si="126"/>
        <v>1.8321195444436211E-75</v>
      </c>
      <c r="I1421">
        <f>IF($F$11&lt;=D1421, IF(D1421&lt;=$A$15,D1421-$F$11,$C$11),0)</f>
        <v>60</v>
      </c>
      <c r="J1421">
        <f t="shared" si="127"/>
        <v>1334</v>
      </c>
      <c r="K1421" s="5">
        <f>IF(D1421&lt;$F$11,H1421,0)</f>
        <v>0</v>
      </c>
      <c r="L1421">
        <f>IF(D1421&lt;$A$15,$D$11,$D$11*(1-$H$11))</f>
        <v>85</v>
      </c>
      <c r="M1421">
        <f t="shared" si="128"/>
        <v>1</v>
      </c>
      <c r="N1421">
        <f>IF(SUM(I1421:J1421)&lt;=($G$11/60*$F$11/($E$11/60)),1,0)</f>
        <v>0</v>
      </c>
    </row>
    <row r="1422" spans="4:14" x14ac:dyDescent="0.2">
      <c r="D1422">
        <f t="shared" si="130"/>
        <v>1399</v>
      </c>
      <c r="E1422" s="1">
        <f>IF($H$11=1,IF(D1422&lt;=$A$15, E1421+LN($D$11)-LN(60/$E$11)-LN(MIN(D1422,$F$11)), E1421-LN(60/$E$11)-LN(MIN(D1422,$F$11))), IF(D1422&lt;=$A$15, E1421+LN($D$11)-LN(60/$E$11)-LN(MIN(D1422,$F$11)), E1421+LN($D$11)+LN(1-$H$11)-LN(60/$E$11)-LN(MIN(D1422,$F$11))))</f>
        <v>-167.88688841942385</v>
      </c>
      <c r="F1422" s="1">
        <f t="shared" si="131"/>
        <v>-169.88892122862291</v>
      </c>
      <c r="G1422" s="1">
        <f t="shared" si="129"/>
        <v>1.6526427163809724E-74</v>
      </c>
      <c r="H1422" s="1">
        <f t="shared" si="126"/>
        <v>1.6221891799760974E-75</v>
      </c>
      <c r="I1422">
        <f>IF($F$11&lt;=D1422, IF(D1422&lt;=$A$15,D1422-$F$11,$C$11),0)</f>
        <v>60</v>
      </c>
      <c r="J1422">
        <f t="shared" si="127"/>
        <v>1335</v>
      </c>
      <c r="K1422" s="5">
        <f>IF(D1422&lt;$F$11,H1422,0)</f>
        <v>0</v>
      </c>
      <c r="L1422">
        <f>IF(D1422&lt;$A$15,$D$11,$D$11*(1-$H$11))</f>
        <v>85</v>
      </c>
      <c r="M1422">
        <f t="shared" si="128"/>
        <v>1</v>
      </c>
      <c r="N1422">
        <f>IF(SUM(I1422:J1422)&lt;=($G$11/60*$F$11/($E$11/60)),1,0)</f>
        <v>0</v>
      </c>
    </row>
    <row r="1423" spans="4:14" x14ac:dyDescent="0.2">
      <c r="D1423">
        <f t="shared" si="130"/>
        <v>1400</v>
      </c>
      <c r="E1423" s="1">
        <f>IF($H$11=1,IF(D1423&lt;=$A$15, E1422+LN($D$11)-LN(60/$E$11)-LN(MIN(D1423,$F$11)), E1422-LN(60/$E$11)-LN(MIN(D1423,$F$11))), IF(D1423&lt;=$A$15, E1422+LN($D$11)-LN(60/$E$11)-LN(MIN(D1423,$F$11)), E1422+LN($D$11)+LN(1-$H$11)-LN(60/$E$11)-LN(MIN(D1423,$F$11))))</f>
        <v>-168.00858535440139</v>
      </c>
      <c r="F1423" s="1">
        <f t="shared" si="131"/>
        <v>-170.01061816360044</v>
      </c>
      <c r="G1423" s="1">
        <f t="shared" si="129"/>
        <v>1.4632774051289632E-74</v>
      </c>
      <c r="H1423" s="1">
        <f t="shared" si="126"/>
        <v>1.4363133364371473E-75</v>
      </c>
      <c r="I1423">
        <f>IF($F$11&lt;=D1423, IF(D1423&lt;=$A$15,D1423-$F$11,$C$11),0)</f>
        <v>60</v>
      </c>
      <c r="J1423">
        <f t="shared" si="127"/>
        <v>1336</v>
      </c>
      <c r="K1423" s="5">
        <f>IF(D1423&lt;$F$11,H1423,0)</f>
        <v>0</v>
      </c>
      <c r="L1423">
        <f>IF(D1423&lt;$A$15,$D$11,$D$11*(1-$H$11))</f>
        <v>85</v>
      </c>
      <c r="M1423">
        <f t="shared" si="128"/>
        <v>1</v>
      </c>
      <c r="N1423">
        <f>IF(SUM(I1423:J1423)&lt;=($G$11/60*$F$11/($E$11/60)),1,0)</f>
        <v>0</v>
      </c>
    </row>
    <row r="1424" spans="4:14" x14ac:dyDescent="0.2">
      <c r="D1424">
        <f t="shared" si="130"/>
        <v>1401</v>
      </c>
      <c r="E1424" s="1">
        <f>IF($H$11=1,IF(D1424&lt;=$A$15, E1423+LN($D$11)-LN(60/$E$11)-LN(MIN(D1424,$F$11)), E1423-LN(60/$E$11)-LN(MIN(D1424,$F$11))), IF(D1424&lt;=$A$15, E1423+LN($D$11)-LN(60/$E$11)-LN(MIN(D1424,$F$11)), E1423+LN($D$11)+LN(1-$H$11)-LN(60/$E$11)-LN(MIN(D1424,$F$11))))</f>
        <v>-168.13028228937893</v>
      </c>
      <c r="F1424" s="1">
        <f t="shared" si="131"/>
        <v>-170.13231509857798</v>
      </c>
      <c r="G1424" s="1">
        <f t="shared" si="129"/>
        <v>1.2956102024579158E-74</v>
      </c>
      <c r="H1424" s="1">
        <f t="shared" si="126"/>
        <v>1.2717357666370376E-75</v>
      </c>
      <c r="I1424">
        <f>IF($F$11&lt;=D1424, IF(D1424&lt;=$A$15,D1424-$F$11,$C$11),0)</f>
        <v>60</v>
      </c>
      <c r="J1424">
        <f t="shared" si="127"/>
        <v>1337</v>
      </c>
      <c r="K1424" s="5">
        <f>IF(D1424&lt;$F$11,H1424,0)</f>
        <v>0</v>
      </c>
      <c r="L1424">
        <f>IF(D1424&lt;$A$15,$D$11,$D$11*(1-$H$11))</f>
        <v>85</v>
      </c>
      <c r="M1424">
        <f t="shared" si="128"/>
        <v>1</v>
      </c>
      <c r="N1424">
        <f>IF(SUM(I1424:J1424)&lt;=($G$11/60*$F$11/($E$11/60)),1,0)</f>
        <v>0</v>
      </c>
    </row>
    <row r="1425" spans="4:14" x14ac:dyDescent="0.2">
      <c r="D1425">
        <f t="shared" si="130"/>
        <v>1402</v>
      </c>
      <c r="E1425" s="1">
        <f>IF($H$11=1,IF(D1425&lt;=$A$15, E1424+LN($D$11)-LN(60/$E$11)-LN(MIN(D1425,$F$11)), E1424-LN(60/$E$11)-LN(MIN(D1425,$F$11))), IF(D1425&lt;=$A$15, E1424+LN($D$11)-LN(60/$E$11)-LN(MIN(D1425,$F$11)), E1424+LN($D$11)+LN(1-$H$11)-LN(60/$E$11)-LN(MIN(D1425,$F$11))))</f>
        <v>-168.25197922435646</v>
      </c>
      <c r="F1425" s="1">
        <f t="shared" si="131"/>
        <v>-170.25401203355551</v>
      </c>
      <c r="G1425" s="1">
        <f t="shared" si="129"/>
        <v>1.147154866759595E-74</v>
      </c>
      <c r="H1425" s="1">
        <f t="shared" si="126"/>
        <v>1.1260160433765259E-75</v>
      </c>
      <c r="I1425">
        <f>IF($F$11&lt;=D1425, IF(D1425&lt;=$A$15,D1425-$F$11,$C$11),0)</f>
        <v>60</v>
      </c>
      <c r="J1425">
        <f t="shared" si="127"/>
        <v>1338</v>
      </c>
      <c r="K1425" s="5">
        <f>IF(D1425&lt;$F$11,H1425,0)</f>
        <v>0</v>
      </c>
      <c r="L1425">
        <f>IF(D1425&lt;$A$15,$D$11,$D$11*(1-$H$11))</f>
        <v>85</v>
      </c>
      <c r="M1425">
        <f t="shared" si="128"/>
        <v>1</v>
      </c>
      <c r="N1425">
        <f>IF(SUM(I1425:J1425)&lt;=($G$11/60*$F$11/($E$11/60)),1,0)</f>
        <v>0</v>
      </c>
    </row>
    <row r="1426" spans="4:14" x14ac:dyDescent="0.2">
      <c r="D1426">
        <f t="shared" si="130"/>
        <v>1403</v>
      </c>
      <c r="E1426" s="1">
        <f>IF($H$11=1,IF(D1426&lt;=$A$15, E1425+LN($D$11)-LN(60/$E$11)-LN(MIN(D1426,$F$11)), E1425-LN(60/$E$11)-LN(MIN(D1426,$F$11))), IF(D1426&lt;=$A$15, E1425+LN($D$11)-LN(60/$E$11)-LN(MIN(D1426,$F$11)), E1425+LN($D$11)+LN(1-$H$11)-LN(60/$E$11)-LN(MIN(D1426,$F$11))))</f>
        <v>-168.373676159334</v>
      </c>
      <c r="F1426" s="1">
        <f t="shared" si="131"/>
        <v>-170.37570896853305</v>
      </c>
      <c r="G1426" s="1">
        <f t="shared" si="129"/>
        <v>1.0157100382767089E-74</v>
      </c>
      <c r="H1426" s="1">
        <f t="shared" si="126"/>
        <v>9.969933717396169E-76</v>
      </c>
      <c r="I1426">
        <f>IF($F$11&lt;=D1426, IF(D1426&lt;=$A$15,D1426-$F$11,$C$11),0)</f>
        <v>60</v>
      </c>
      <c r="J1426">
        <f t="shared" si="127"/>
        <v>1339</v>
      </c>
      <c r="K1426" s="5">
        <f>IF(D1426&lt;$F$11,H1426,0)</f>
        <v>0</v>
      </c>
      <c r="L1426">
        <f>IF(D1426&lt;$A$15,$D$11,$D$11*(1-$H$11))</f>
        <v>85</v>
      </c>
      <c r="M1426">
        <f t="shared" si="128"/>
        <v>1</v>
      </c>
      <c r="N1426">
        <f>IF(SUM(I1426:J1426)&lt;=($G$11/60*$F$11/($E$11/60)),1,0)</f>
        <v>0</v>
      </c>
    </row>
    <row r="1427" spans="4:14" x14ac:dyDescent="0.2">
      <c r="D1427">
        <f t="shared" si="130"/>
        <v>1404</v>
      </c>
      <c r="E1427" s="1">
        <f>IF($H$11=1,IF(D1427&lt;=$A$15, E1426+LN($D$11)-LN(60/$E$11)-LN(MIN(D1427,$F$11)), E1426-LN(60/$E$11)-LN(MIN(D1427,$F$11))), IF(D1427&lt;=$A$15, E1426+LN($D$11)-LN(60/$E$11)-LN(MIN(D1427,$F$11)), E1426+LN($D$11)+LN(1-$H$11)-LN(60/$E$11)-LN(MIN(D1427,$F$11))))</f>
        <v>-168.49537309431153</v>
      </c>
      <c r="F1427" s="1">
        <f t="shared" si="131"/>
        <v>-170.49740590351058</v>
      </c>
      <c r="G1427" s="1">
        <f t="shared" si="129"/>
        <v>8.99326596390822E-75</v>
      </c>
      <c r="H1427" s="1">
        <f t="shared" si="126"/>
        <v>8.8275454789443868E-76</v>
      </c>
      <c r="I1427">
        <f>IF($F$11&lt;=D1427, IF(D1427&lt;=$A$15,D1427-$F$11,$C$11),0)</f>
        <v>60</v>
      </c>
      <c r="J1427">
        <f t="shared" si="127"/>
        <v>1340</v>
      </c>
      <c r="K1427" s="5">
        <f>IF(D1427&lt;$F$11,H1427,0)</f>
        <v>0</v>
      </c>
      <c r="L1427">
        <f>IF(D1427&lt;$A$15,$D$11,$D$11*(1-$H$11))</f>
        <v>85</v>
      </c>
      <c r="M1427">
        <f t="shared" si="128"/>
        <v>1</v>
      </c>
      <c r="N1427">
        <f>IF(SUM(I1427:J1427)&lt;=($G$11/60*$F$11/($E$11/60)),1,0)</f>
        <v>0</v>
      </c>
    </row>
    <row r="1428" spans="4:14" x14ac:dyDescent="0.2">
      <c r="D1428">
        <f t="shared" si="130"/>
        <v>1405</v>
      </c>
      <c r="E1428" s="1">
        <f>IF($H$11=1,IF(D1428&lt;=$A$15, E1427+LN($D$11)-LN(60/$E$11)-LN(MIN(D1428,$F$11)), E1427-LN(60/$E$11)-LN(MIN(D1428,$F$11))), IF(D1428&lt;=$A$15, E1427+LN($D$11)-LN(60/$E$11)-LN(MIN(D1428,$F$11)), E1427+LN($D$11)+LN(1-$H$11)-LN(60/$E$11)-LN(MIN(D1428,$F$11))))</f>
        <v>-168.61707002928907</v>
      </c>
      <c r="F1428" s="1">
        <f t="shared" si="131"/>
        <v>-170.61910283848812</v>
      </c>
      <c r="G1428" s="1">
        <f t="shared" si="129"/>
        <v>7.9627875722102781E-75</v>
      </c>
      <c r="H1428" s="1">
        <f t="shared" si="126"/>
        <v>7.81605589281522E-76</v>
      </c>
      <c r="I1428">
        <f>IF($F$11&lt;=D1428, IF(D1428&lt;=$A$15,D1428-$F$11,$C$11),0)</f>
        <v>60</v>
      </c>
      <c r="J1428">
        <f t="shared" si="127"/>
        <v>1341</v>
      </c>
      <c r="K1428" s="5">
        <f>IF(D1428&lt;$F$11,H1428,0)</f>
        <v>0</v>
      </c>
      <c r="L1428">
        <f>IF(D1428&lt;$A$15,$D$11,$D$11*(1-$H$11))</f>
        <v>85</v>
      </c>
      <c r="M1428">
        <f t="shared" si="128"/>
        <v>1</v>
      </c>
      <c r="N1428">
        <f>IF(SUM(I1428:J1428)&lt;=($G$11/60*$F$11/($E$11/60)),1,0)</f>
        <v>0</v>
      </c>
    </row>
    <row r="1429" spans="4:14" x14ac:dyDescent="0.2">
      <c r="D1429">
        <f t="shared" si="130"/>
        <v>1406</v>
      </c>
      <c r="E1429" s="1">
        <f>IF($H$11=1,IF(D1429&lt;=$A$15, E1428+LN($D$11)-LN(60/$E$11)-LN(MIN(D1429,$F$11)), E1428-LN(60/$E$11)-LN(MIN(D1429,$F$11))), IF(D1429&lt;=$A$15, E1428+LN($D$11)-LN(60/$E$11)-LN(MIN(D1429,$F$11)), E1428+LN($D$11)+LN(1-$H$11)-LN(60/$E$11)-LN(MIN(D1429,$F$11))))</f>
        <v>-168.7387669642666</v>
      </c>
      <c r="F1429" s="1">
        <f t="shared" si="131"/>
        <v>-170.74079977346565</v>
      </c>
      <c r="G1429" s="1">
        <f t="shared" si="129"/>
        <v>7.0503848295610732E-75</v>
      </c>
      <c r="H1429" s="1">
        <f t="shared" si="126"/>
        <v>6.9204661550967008E-76</v>
      </c>
      <c r="I1429">
        <f>IF($F$11&lt;=D1429, IF(D1429&lt;=$A$15,D1429-$F$11,$C$11),0)</f>
        <v>60</v>
      </c>
      <c r="J1429">
        <f t="shared" si="127"/>
        <v>1342</v>
      </c>
      <c r="K1429" s="5">
        <f>IF(D1429&lt;$F$11,H1429,0)</f>
        <v>0</v>
      </c>
      <c r="L1429">
        <f>IF(D1429&lt;$A$15,$D$11,$D$11*(1-$H$11))</f>
        <v>85</v>
      </c>
      <c r="M1429">
        <f t="shared" si="128"/>
        <v>1</v>
      </c>
      <c r="N1429">
        <f>IF(SUM(I1429:J1429)&lt;=($G$11/60*$F$11/($E$11/60)),1,0)</f>
        <v>0</v>
      </c>
    </row>
    <row r="1430" spans="4:14" x14ac:dyDescent="0.2">
      <c r="D1430">
        <f t="shared" si="130"/>
        <v>1407</v>
      </c>
      <c r="E1430" s="1">
        <f>IF($H$11=1,IF(D1430&lt;=$A$15, E1429+LN($D$11)-LN(60/$E$11)-LN(MIN(D1430,$F$11)), E1429-LN(60/$E$11)-LN(MIN(D1430,$F$11))), IF(D1430&lt;=$A$15, E1429+LN($D$11)-LN(60/$E$11)-LN(MIN(D1430,$F$11)), E1429+LN($D$11)+LN(1-$H$11)-LN(60/$E$11)-LN(MIN(D1430,$F$11))))</f>
        <v>-168.86046389924414</v>
      </c>
      <c r="F1430" s="1">
        <f t="shared" si="131"/>
        <v>-170.86249670844319</v>
      </c>
      <c r="G1430" s="1">
        <f t="shared" si="129"/>
        <v>6.2425282345071029E-75</v>
      </c>
      <c r="H1430" s="1">
        <f t="shared" si="126"/>
        <v>6.127496074825108E-76</v>
      </c>
      <c r="I1430">
        <f>IF($F$11&lt;=D1430, IF(D1430&lt;=$A$15,D1430-$F$11,$C$11),0)</f>
        <v>60</v>
      </c>
      <c r="J1430">
        <f t="shared" si="127"/>
        <v>1343</v>
      </c>
      <c r="K1430" s="5">
        <f>IF(D1430&lt;$F$11,H1430,0)</f>
        <v>0</v>
      </c>
      <c r="L1430">
        <f>IF(D1430&lt;$A$15,$D$11,$D$11*(1-$H$11))</f>
        <v>85</v>
      </c>
      <c r="M1430">
        <f t="shared" si="128"/>
        <v>1</v>
      </c>
      <c r="N1430">
        <f>IF(SUM(I1430:J1430)&lt;=($G$11/60*$F$11/($E$11/60)),1,0)</f>
        <v>0</v>
      </c>
    </row>
    <row r="1431" spans="4:14" x14ac:dyDescent="0.2">
      <c r="D1431">
        <f t="shared" si="130"/>
        <v>1408</v>
      </c>
      <c r="E1431" s="1">
        <f>IF($H$11=1,IF(D1431&lt;=$A$15, E1430+LN($D$11)-LN(60/$E$11)-LN(MIN(D1431,$F$11)), E1430-LN(60/$E$11)-LN(MIN(D1431,$F$11))), IF(D1431&lt;=$A$15, E1430+LN($D$11)-LN(60/$E$11)-LN(MIN(D1431,$F$11)), E1430+LN($D$11)+LN(1-$H$11)-LN(60/$E$11)-LN(MIN(D1431,$F$11))))</f>
        <v>-168.98216083422167</v>
      </c>
      <c r="F1431" s="1">
        <f t="shared" si="131"/>
        <v>-170.98419364342072</v>
      </c>
      <c r="G1431" s="1">
        <f t="shared" si="129"/>
        <v>5.5272385409697446E-75</v>
      </c>
      <c r="H1431" s="1">
        <f t="shared" ref="H1431:H1494" si="132">G1431/$G$21</f>
        <v>5.4253871495846472E-76</v>
      </c>
      <c r="I1431">
        <f>IF($F$11&lt;=D1431, IF(D1431&lt;=$A$15,D1431-$F$11,$C$11),0)</f>
        <v>60</v>
      </c>
      <c r="J1431">
        <f t="shared" ref="J1431:J1494" si="133">IF(D1431&lt;=$A$15,0,D1431-$A$15)</f>
        <v>1344</v>
      </c>
      <c r="K1431" s="5">
        <f>IF(D1431&lt;$F$11,H1431,0)</f>
        <v>0</v>
      </c>
      <c r="L1431">
        <f>IF(D1431&lt;$A$15,$D$11,$D$11*(1-$H$11))</f>
        <v>85</v>
      </c>
      <c r="M1431">
        <f t="shared" ref="M1431:M1494" si="134">IF(D1431&lt;$A$15,0,1)</f>
        <v>1</v>
      </c>
      <c r="N1431">
        <f>IF(SUM(I1431:J1431)&lt;=($G$11/60*$F$11/($E$11/60)),1,0)</f>
        <v>0</v>
      </c>
    </row>
    <row r="1432" spans="4:14" x14ac:dyDescent="0.2">
      <c r="D1432">
        <f t="shared" si="130"/>
        <v>1409</v>
      </c>
      <c r="E1432" s="1">
        <f>IF($H$11=1,IF(D1432&lt;=$A$15, E1431+LN($D$11)-LN(60/$E$11)-LN(MIN(D1432,$F$11)), E1431-LN(60/$E$11)-LN(MIN(D1432,$F$11))), IF(D1432&lt;=$A$15, E1431+LN($D$11)-LN(60/$E$11)-LN(MIN(D1432,$F$11)), E1431+LN($D$11)+LN(1-$H$11)-LN(60/$E$11)-LN(MIN(D1432,$F$11))))</f>
        <v>-169.10385776919921</v>
      </c>
      <c r="F1432" s="1">
        <f t="shared" si="131"/>
        <v>-171.10589057839826</v>
      </c>
      <c r="G1432" s="1">
        <f t="shared" ref="G1432:G1495" si="135">EXP(F1432)</f>
        <v>4.8939091248168842E-75</v>
      </c>
      <c r="H1432" s="1">
        <f t="shared" si="132"/>
        <v>4.8037282053613304E-76</v>
      </c>
      <c r="I1432">
        <f>IF($F$11&lt;=D1432, IF(D1432&lt;=$A$15,D1432-$F$11,$C$11),0)</f>
        <v>60</v>
      </c>
      <c r="J1432">
        <f t="shared" si="133"/>
        <v>1345</v>
      </c>
      <c r="K1432" s="5">
        <f>IF(D1432&lt;$F$11,H1432,0)</f>
        <v>0</v>
      </c>
      <c r="L1432">
        <f>IF(D1432&lt;$A$15,$D$11,$D$11*(1-$H$11))</f>
        <v>85</v>
      </c>
      <c r="M1432">
        <f t="shared" si="134"/>
        <v>1</v>
      </c>
      <c r="N1432">
        <f>IF(SUM(I1432:J1432)&lt;=($G$11/60*$F$11/($E$11/60)),1,0)</f>
        <v>0</v>
      </c>
    </row>
    <row r="1433" spans="4:14" x14ac:dyDescent="0.2">
      <c r="D1433">
        <f t="shared" ref="D1433:D1496" si="136">1+D1432</f>
        <v>1410</v>
      </c>
      <c r="E1433" s="1">
        <f>IF($H$11=1,IF(D1433&lt;=$A$15, E1432+LN($D$11)-LN(60/$E$11)-LN(MIN(D1433,$F$11)), E1432-LN(60/$E$11)-LN(MIN(D1433,$F$11))), IF(D1433&lt;=$A$15, E1432+LN($D$11)-LN(60/$E$11)-LN(MIN(D1433,$F$11)), E1432+LN($D$11)+LN(1-$H$11)-LN(60/$E$11)-LN(MIN(D1433,$F$11))))</f>
        <v>-169.22555470417674</v>
      </c>
      <c r="F1433" s="1">
        <f t="shared" ref="F1433:F1496" si="137">E1433-$E$21</f>
        <v>-171.22758751337579</v>
      </c>
      <c r="G1433" s="1">
        <f t="shared" si="135"/>
        <v>4.3331487042648819E-75</v>
      </c>
      <c r="H1433" s="1">
        <f t="shared" si="132"/>
        <v>4.2533010151636118E-76</v>
      </c>
      <c r="I1433">
        <f>IF($F$11&lt;=D1433, IF(D1433&lt;=$A$15,D1433-$F$11,$C$11),0)</f>
        <v>60</v>
      </c>
      <c r="J1433">
        <f t="shared" si="133"/>
        <v>1346</v>
      </c>
      <c r="K1433" s="5">
        <f>IF(D1433&lt;$F$11,H1433,0)</f>
        <v>0</v>
      </c>
      <c r="L1433">
        <f>IF(D1433&lt;$A$15,$D$11,$D$11*(1-$H$11))</f>
        <v>85</v>
      </c>
      <c r="M1433">
        <f t="shared" si="134"/>
        <v>1</v>
      </c>
      <c r="N1433">
        <f>IF(SUM(I1433:J1433)&lt;=($G$11/60*$F$11/($E$11/60)),1,0)</f>
        <v>0</v>
      </c>
    </row>
    <row r="1434" spans="4:14" x14ac:dyDescent="0.2">
      <c r="D1434">
        <f t="shared" si="136"/>
        <v>1411</v>
      </c>
      <c r="E1434" s="1">
        <f>IF($H$11=1,IF(D1434&lt;=$A$15, E1433+LN($D$11)-LN(60/$E$11)-LN(MIN(D1434,$F$11)), E1433-LN(60/$E$11)-LN(MIN(D1434,$F$11))), IF(D1434&lt;=$A$15, E1433+LN($D$11)-LN(60/$E$11)-LN(MIN(D1434,$F$11)), E1433+LN($D$11)+LN(1-$H$11)-LN(60/$E$11)-LN(MIN(D1434,$F$11))))</f>
        <v>-169.34725163915428</v>
      </c>
      <c r="F1434" s="1">
        <f t="shared" si="137"/>
        <v>-171.34928444835333</v>
      </c>
      <c r="G1434" s="1">
        <f t="shared" si="135"/>
        <v>3.8366420819011375E-75</v>
      </c>
      <c r="H1434" s="1">
        <f t="shared" si="132"/>
        <v>3.7659436071760555E-76</v>
      </c>
      <c r="I1434">
        <f>IF($F$11&lt;=D1434, IF(D1434&lt;=$A$15,D1434-$F$11,$C$11),0)</f>
        <v>60</v>
      </c>
      <c r="J1434">
        <f t="shared" si="133"/>
        <v>1347</v>
      </c>
      <c r="K1434" s="5">
        <f>IF(D1434&lt;$F$11,H1434,0)</f>
        <v>0</v>
      </c>
      <c r="L1434">
        <f>IF(D1434&lt;$A$15,$D$11,$D$11*(1-$H$11))</f>
        <v>85</v>
      </c>
      <c r="M1434">
        <f t="shared" si="134"/>
        <v>1</v>
      </c>
      <c r="N1434">
        <f>IF(SUM(I1434:J1434)&lt;=($G$11/60*$F$11/($E$11/60)),1,0)</f>
        <v>0</v>
      </c>
    </row>
    <row r="1435" spans="4:14" x14ac:dyDescent="0.2">
      <c r="D1435">
        <f t="shared" si="136"/>
        <v>1412</v>
      </c>
      <c r="E1435" s="1">
        <f>IF($H$11=1,IF(D1435&lt;=$A$15, E1434+LN($D$11)-LN(60/$E$11)-LN(MIN(D1435,$F$11)), E1434-LN(60/$E$11)-LN(MIN(D1435,$F$11))), IF(D1435&lt;=$A$15, E1434+LN($D$11)-LN(60/$E$11)-LN(MIN(D1435,$F$11)), E1434+LN($D$11)+LN(1-$H$11)-LN(60/$E$11)-LN(MIN(D1435,$F$11))))</f>
        <v>-169.46894857413182</v>
      </c>
      <c r="F1435" s="1">
        <f t="shared" si="137"/>
        <v>-171.47098138333087</v>
      </c>
      <c r="G1435" s="1">
        <f t="shared" si="135"/>
        <v>3.3970268433499123E-75</v>
      </c>
      <c r="H1435" s="1">
        <f t="shared" si="132"/>
        <v>3.3344292355204137E-76</v>
      </c>
      <c r="I1435">
        <f>IF($F$11&lt;=D1435, IF(D1435&lt;=$A$15,D1435-$F$11,$C$11),0)</f>
        <v>60</v>
      </c>
      <c r="J1435">
        <f t="shared" si="133"/>
        <v>1348</v>
      </c>
      <c r="K1435" s="5">
        <f>IF(D1435&lt;$F$11,H1435,0)</f>
        <v>0</v>
      </c>
      <c r="L1435">
        <f>IF(D1435&lt;$A$15,$D$11,$D$11*(1-$H$11))</f>
        <v>85</v>
      </c>
      <c r="M1435">
        <f t="shared" si="134"/>
        <v>1</v>
      </c>
      <c r="N1435">
        <f>IF(SUM(I1435:J1435)&lt;=($G$11/60*$F$11/($E$11/60)),1,0)</f>
        <v>0</v>
      </c>
    </row>
    <row r="1436" spans="4:14" x14ac:dyDescent="0.2">
      <c r="D1436">
        <f t="shared" si="136"/>
        <v>1413</v>
      </c>
      <c r="E1436" s="1">
        <f>IF($H$11=1,IF(D1436&lt;=$A$15, E1435+LN($D$11)-LN(60/$E$11)-LN(MIN(D1436,$F$11)), E1435-LN(60/$E$11)-LN(MIN(D1436,$F$11))), IF(D1436&lt;=$A$15, E1435+LN($D$11)-LN(60/$E$11)-LN(MIN(D1436,$F$11)), E1435+LN($D$11)+LN(1-$H$11)-LN(60/$E$11)-LN(MIN(D1436,$F$11))))</f>
        <v>-169.59064550910935</v>
      </c>
      <c r="F1436" s="1">
        <f t="shared" si="137"/>
        <v>-171.5926783183084</v>
      </c>
      <c r="G1436" s="1">
        <f t="shared" si="135"/>
        <v>3.0077841842160214E-75</v>
      </c>
      <c r="H1436" s="1">
        <f t="shared" si="132"/>
        <v>2.9523592189503202E-76</v>
      </c>
      <c r="I1436">
        <f>IF($F$11&lt;=D1436, IF(D1436&lt;=$A$15,D1436-$F$11,$C$11),0)</f>
        <v>60</v>
      </c>
      <c r="J1436">
        <f t="shared" si="133"/>
        <v>1349</v>
      </c>
      <c r="K1436" s="5">
        <f>IF(D1436&lt;$F$11,H1436,0)</f>
        <v>0</v>
      </c>
      <c r="L1436">
        <f>IF(D1436&lt;$A$15,$D$11,$D$11*(1-$H$11))</f>
        <v>85</v>
      </c>
      <c r="M1436">
        <f t="shared" si="134"/>
        <v>1</v>
      </c>
      <c r="N1436">
        <f>IF(SUM(I1436:J1436)&lt;=($G$11/60*$F$11/($E$11/60)),1,0)</f>
        <v>0</v>
      </c>
    </row>
    <row r="1437" spans="4:14" x14ac:dyDescent="0.2">
      <c r="D1437">
        <f t="shared" si="136"/>
        <v>1414</v>
      </c>
      <c r="E1437" s="1">
        <f>IF($H$11=1,IF(D1437&lt;=$A$15, E1436+LN($D$11)-LN(60/$E$11)-LN(MIN(D1437,$F$11)), E1436-LN(60/$E$11)-LN(MIN(D1437,$F$11))), IF(D1437&lt;=$A$15, E1436+LN($D$11)-LN(60/$E$11)-LN(MIN(D1437,$F$11)), E1436+LN($D$11)+LN(1-$H$11)-LN(60/$E$11)-LN(MIN(D1437,$F$11))))</f>
        <v>-169.71234244408689</v>
      </c>
      <c r="F1437" s="1">
        <f t="shared" si="137"/>
        <v>-171.71437525328594</v>
      </c>
      <c r="G1437" s="1">
        <f t="shared" si="135"/>
        <v>2.6631422464412273E-75</v>
      </c>
      <c r="H1437" s="1">
        <f t="shared" si="132"/>
        <v>2.6140680584455553E-76</v>
      </c>
      <c r="I1437">
        <f>IF($F$11&lt;=D1437, IF(D1437&lt;=$A$15,D1437-$F$11,$C$11),0)</f>
        <v>60</v>
      </c>
      <c r="J1437">
        <f t="shared" si="133"/>
        <v>1350</v>
      </c>
      <c r="K1437" s="5">
        <f>IF(D1437&lt;$F$11,H1437,0)</f>
        <v>0</v>
      </c>
      <c r="L1437">
        <f>IF(D1437&lt;$A$15,$D$11,$D$11*(1-$H$11))</f>
        <v>85</v>
      </c>
      <c r="M1437">
        <f t="shared" si="134"/>
        <v>1</v>
      </c>
      <c r="N1437">
        <f>IF(SUM(I1437:J1437)&lt;=($G$11/60*$F$11/($E$11/60)),1,0)</f>
        <v>0</v>
      </c>
    </row>
    <row r="1438" spans="4:14" x14ac:dyDescent="0.2">
      <c r="D1438">
        <f t="shared" si="136"/>
        <v>1415</v>
      </c>
      <c r="E1438" s="1">
        <f>IF($H$11=1,IF(D1438&lt;=$A$15, E1437+LN($D$11)-LN(60/$E$11)-LN(MIN(D1438,$F$11)), E1437-LN(60/$E$11)-LN(MIN(D1438,$F$11))), IF(D1438&lt;=$A$15, E1437+LN($D$11)-LN(60/$E$11)-LN(MIN(D1438,$F$11)), E1437+LN($D$11)+LN(1-$H$11)-LN(60/$E$11)-LN(MIN(D1438,$F$11))))</f>
        <v>-169.83403937906442</v>
      </c>
      <c r="F1438" s="1">
        <f t="shared" si="137"/>
        <v>-171.83607218826347</v>
      </c>
      <c r="G1438" s="1">
        <f t="shared" si="135"/>
        <v>2.3579905307031332E-75</v>
      </c>
      <c r="H1438" s="1">
        <f t="shared" si="132"/>
        <v>2.3145394267486326E-76</v>
      </c>
      <c r="I1438">
        <f>IF($F$11&lt;=D1438, IF(D1438&lt;=$A$15,D1438-$F$11,$C$11),0)</f>
        <v>60</v>
      </c>
      <c r="J1438">
        <f t="shared" si="133"/>
        <v>1351</v>
      </c>
      <c r="K1438" s="5">
        <f>IF(D1438&lt;$F$11,H1438,0)</f>
        <v>0</v>
      </c>
      <c r="L1438">
        <f>IF(D1438&lt;$A$15,$D$11,$D$11*(1-$H$11))</f>
        <v>85</v>
      </c>
      <c r="M1438">
        <f t="shared" si="134"/>
        <v>1</v>
      </c>
      <c r="N1438">
        <f>IF(SUM(I1438:J1438)&lt;=($G$11/60*$F$11/($E$11/60)),1,0)</f>
        <v>0</v>
      </c>
    </row>
    <row r="1439" spans="4:14" x14ac:dyDescent="0.2">
      <c r="D1439">
        <f t="shared" si="136"/>
        <v>1416</v>
      </c>
      <c r="E1439" s="1">
        <f>IF($H$11=1,IF(D1439&lt;=$A$15, E1438+LN($D$11)-LN(60/$E$11)-LN(MIN(D1439,$F$11)), E1438-LN(60/$E$11)-LN(MIN(D1439,$F$11))), IF(D1439&lt;=$A$15, E1438+LN($D$11)-LN(60/$E$11)-LN(MIN(D1439,$F$11)), E1438+LN($D$11)+LN(1-$H$11)-LN(60/$E$11)-LN(MIN(D1439,$F$11))))</f>
        <v>-169.95573631404196</v>
      </c>
      <c r="F1439" s="1">
        <f t="shared" si="137"/>
        <v>-171.95776912324101</v>
      </c>
      <c r="G1439" s="1">
        <f t="shared" si="135"/>
        <v>2.0878041157266999E-75</v>
      </c>
      <c r="H1439" s="1">
        <f t="shared" si="132"/>
        <v>2.0493317841003196E-76</v>
      </c>
      <c r="I1439">
        <f>IF($F$11&lt;=D1439, IF(D1439&lt;=$A$15,D1439-$F$11,$C$11),0)</f>
        <v>60</v>
      </c>
      <c r="J1439">
        <f t="shared" si="133"/>
        <v>1352</v>
      </c>
      <c r="K1439" s="5">
        <f>IF(D1439&lt;$F$11,H1439,0)</f>
        <v>0</v>
      </c>
      <c r="L1439">
        <f>IF(D1439&lt;$A$15,$D$11,$D$11*(1-$H$11))</f>
        <v>85</v>
      </c>
      <c r="M1439">
        <f t="shared" si="134"/>
        <v>1</v>
      </c>
      <c r="N1439">
        <f>IF(SUM(I1439:J1439)&lt;=($G$11/60*$F$11/($E$11/60)),1,0)</f>
        <v>0</v>
      </c>
    </row>
    <row r="1440" spans="4:14" x14ac:dyDescent="0.2">
      <c r="D1440">
        <f t="shared" si="136"/>
        <v>1417</v>
      </c>
      <c r="E1440" s="1">
        <f>IF($H$11=1,IF(D1440&lt;=$A$15, E1439+LN($D$11)-LN(60/$E$11)-LN(MIN(D1440,$F$11)), E1439-LN(60/$E$11)-LN(MIN(D1440,$F$11))), IF(D1440&lt;=$A$15, E1439+LN($D$11)-LN(60/$E$11)-LN(MIN(D1440,$F$11)), E1439+LN($D$11)+LN(1-$H$11)-LN(60/$E$11)-LN(MIN(D1440,$F$11))))</f>
        <v>-170.07743324901949</v>
      </c>
      <c r="F1440" s="1">
        <f t="shared" si="137"/>
        <v>-172.07946605821854</v>
      </c>
      <c r="G1440" s="1">
        <f t="shared" si="135"/>
        <v>1.8485765607996532E-75</v>
      </c>
      <c r="H1440" s="1">
        <f t="shared" si="132"/>
        <v>1.8145125171721296E-76</v>
      </c>
      <c r="I1440">
        <f>IF($F$11&lt;=D1440, IF(D1440&lt;=$A$15,D1440-$F$11,$C$11),0)</f>
        <v>60</v>
      </c>
      <c r="J1440">
        <f t="shared" si="133"/>
        <v>1353</v>
      </c>
      <c r="K1440" s="5">
        <f>IF(D1440&lt;$F$11,H1440,0)</f>
        <v>0</v>
      </c>
      <c r="L1440">
        <f>IF(D1440&lt;$A$15,$D$11,$D$11*(1-$H$11))</f>
        <v>85</v>
      </c>
      <c r="M1440">
        <f t="shared" si="134"/>
        <v>1</v>
      </c>
      <c r="N1440">
        <f>IF(SUM(I1440:J1440)&lt;=($G$11/60*$F$11/($E$11/60)),1,0)</f>
        <v>0</v>
      </c>
    </row>
    <row r="1441" spans="4:14" x14ac:dyDescent="0.2">
      <c r="D1441">
        <f t="shared" si="136"/>
        <v>1418</v>
      </c>
      <c r="E1441" s="1">
        <f>IF($H$11=1,IF(D1441&lt;=$A$15, E1440+LN($D$11)-LN(60/$E$11)-LN(MIN(D1441,$F$11)), E1440-LN(60/$E$11)-LN(MIN(D1441,$F$11))), IF(D1441&lt;=$A$15, E1440+LN($D$11)-LN(60/$E$11)-LN(MIN(D1441,$F$11)), E1440+LN($D$11)+LN(1-$H$11)-LN(60/$E$11)-LN(MIN(D1441,$F$11))))</f>
        <v>-170.19913018399703</v>
      </c>
      <c r="F1441" s="1">
        <f t="shared" si="137"/>
        <v>-172.20116299319608</v>
      </c>
      <c r="G1441" s="1">
        <f t="shared" si="135"/>
        <v>1.636760496541334E-75</v>
      </c>
      <c r="H1441" s="1">
        <f t="shared" si="132"/>
        <v>1.6065996245794647E-76</v>
      </c>
      <c r="I1441">
        <f>IF($F$11&lt;=D1441, IF(D1441&lt;=$A$15,D1441-$F$11,$C$11),0)</f>
        <v>60</v>
      </c>
      <c r="J1441">
        <f t="shared" si="133"/>
        <v>1354</v>
      </c>
      <c r="K1441" s="5">
        <f>IF(D1441&lt;$F$11,H1441,0)</f>
        <v>0</v>
      </c>
      <c r="L1441">
        <f>IF(D1441&lt;$A$15,$D$11,$D$11*(1-$H$11))</f>
        <v>85</v>
      </c>
      <c r="M1441">
        <f t="shared" si="134"/>
        <v>1</v>
      </c>
      <c r="N1441">
        <f>IF(SUM(I1441:J1441)&lt;=($G$11/60*$F$11/($E$11/60)),1,0)</f>
        <v>0</v>
      </c>
    </row>
    <row r="1442" spans="4:14" x14ac:dyDescent="0.2">
      <c r="D1442">
        <f t="shared" si="136"/>
        <v>1419</v>
      </c>
      <c r="E1442" s="1">
        <f>IF($H$11=1,IF(D1442&lt;=$A$15, E1441+LN($D$11)-LN(60/$E$11)-LN(MIN(D1442,$F$11)), E1441-LN(60/$E$11)-LN(MIN(D1442,$F$11))), IF(D1442&lt;=$A$15, E1441+LN($D$11)-LN(60/$E$11)-LN(MIN(D1442,$F$11)), E1441+LN($D$11)+LN(1-$H$11)-LN(60/$E$11)-LN(MIN(D1442,$F$11))))</f>
        <v>-170.32082711897456</v>
      </c>
      <c r="F1442" s="1">
        <f t="shared" si="137"/>
        <v>-172.32285992817361</v>
      </c>
      <c r="G1442" s="1">
        <f t="shared" si="135"/>
        <v>1.4492150229792835E-75</v>
      </c>
      <c r="H1442" s="1">
        <f t="shared" si="132"/>
        <v>1.4225100842630455E-76</v>
      </c>
      <c r="I1442">
        <f>IF($F$11&lt;=D1442, IF(D1442&lt;=$A$15,D1442-$F$11,$C$11),0)</f>
        <v>60</v>
      </c>
      <c r="J1442">
        <f t="shared" si="133"/>
        <v>1355</v>
      </c>
      <c r="K1442" s="5">
        <f>IF(D1442&lt;$F$11,H1442,0)</f>
        <v>0</v>
      </c>
      <c r="L1442">
        <f>IF(D1442&lt;$A$15,$D$11,$D$11*(1-$H$11))</f>
        <v>85</v>
      </c>
      <c r="M1442">
        <f t="shared" si="134"/>
        <v>1</v>
      </c>
      <c r="N1442">
        <f>IF(SUM(I1442:J1442)&lt;=($G$11/60*$F$11/($E$11/60)),1,0)</f>
        <v>0</v>
      </c>
    </row>
    <row r="1443" spans="4:14" x14ac:dyDescent="0.2">
      <c r="D1443">
        <f t="shared" si="136"/>
        <v>1420</v>
      </c>
      <c r="E1443" s="1">
        <f>IF($H$11=1,IF(D1443&lt;=$A$15, E1442+LN($D$11)-LN(60/$E$11)-LN(MIN(D1443,$F$11)), E1442-LN(60/$E$11)-LN(MIN(D1443,$F$11))), IF(D1443&lt;=$A$15, E1442+LN($D$11)-LN(60/$E$11)-LN(MIN(D1443,$F$11)), E1442+LN($D$11)+LN(1-$H$11)-LN(60/$E$11)-LN(MIN(D1443,$F$11))))</f>
        <v>-170.4425240539521</v>
      </c>
      <c r="F1443" s="1">
        <f t="shared" si="137"/>
        <v>-172.44455686315115</v>
      </c>
      <c r="G1443" s="1">
        <f t="shared" si="135"/>
        <v>1.283159134929554E-75</v>
      </c>
      <c r="H1443" s="1">
        <f t="shared" si="132"/>
        <v>1.2595141371078852E-76</v>
      </c>
      <c r="I1443">
        <f>IF($F$11&lt;=D1443, IF(D1443&lt;=$A$15,D1443-$F$11,$C$11),0)</f>
        <v>60</v>
      </c>
      <c r="J1443">
        <f t="shared" si="133"/>
        <v>1356</v>
      </c>
      <c r="K1443" s="5">
        <f>IF(D1443&lt;$F$11,H1443,0)</f>
        <v>0</v>
      </c>
      <c r="L1443">
        <f>IF(D1443&lt;$A$15,$D$11,$D$11*(1-$H$11))</f>
        <v>85</v>
      </c>
      <c r="M1443">
        <f t="shared" si="134"/>
        <v>1</v>
      </c>
      <c r="N1443">
        <f>IF(SUM(I1443:J1443)&lt;=($G$11/60*$F$11/($E$11/60)),1,0)</f>
        <v>0</v>
      </c>
    </row>
    <row r="1444" spans="4:14" x14ac:dyDescent="0.2">
      <c r="D1444">
        <f t="shared" si="136"/>
        <v>1421</v>
      </c>
      <c r="E1444" s="1">
        <f>IF($H$11=1,IF(D1444&lt;=$A$15, E1443+LN($D$11)-LN(60/$E$11)-LN(MIN(D1444,$F$11)), E1443-LN(60/$E$11)-LN(MIN(D1444,$F$11))), IF(D1444&lt;=$A$15, E1443+LN($D$11)-LN(60/$E$11)-LN(MIN(D1444,$F$11)), E1443+LN($D$11)+LN(1-$H$11)-LN(60/$E$11)-LN(MIN(D1444,$F$11))))</f>
        <v>-170.56422098892963</v>
      </c>
      <c r="F1444" s="1">
        <f t="shared" si="137"/>
        <v>-172.56625379812868</v>
      </c>
      <c r="G1444" s="1">
        <f t="shared" si="135"/>
        <v>1.1361304840521914E-75</v>
      </c>
      <c r="H1444" s="1">
        <f t="shared" si="132"/>
        <v>1.1151948088975892E-76</v>
      </c>
      <c r="I1444">
        <f>IF($F$11&lt;=D1444, IF(D1444&lt;=$A$15,D1444-$F$11,$C$11),0)</f>
        <v>60</v>
      </c>
      <c r="J1444">
        <f t="shared" si="133"/>
        <v>1357</v>
      </c>
      <c r="K1444" s="5">
        <f>IF(D1444&lt;$F$11,H1444,0)</f>
        <v>0</v>
      </c>
      <c r="L1444">
        <f>IF(D1444&lt;$A$15,$D$11,$D$11*(1-$H$11))</f>
        <v>85</v>
      </c>
      <c r="M1444">
        <f t="shared" si="134"/>
        <v>1</v>
      </c>
      <c r="N1444">
        <f>IF(SUM(I1444:J1444)&lt;=($G$11/60*$F$11/($E$11/60)),1,0)</f>
        <v>0</v>
      </c>
    </row>
    <row r="1445" spans="4:14" x14ac:dyDescent="0.2">
      <c r="D1445">
        <f t="shared" si="136"/>
        <v>1422</v>
      </c>
      <c r="E1445" s="1">
        <f>IF($H$11=1,IF(D1445&lt;=$A$15, E1444+LN($D$11)-LN(60/$E$11)-LN(MIN(D1445,$F$11)), E1444-LN(60/$E$11)-LN(MIN(D1445,$F$11))), IF(D1445&lt;=$A$15, E1444+LN($D$11)-LN(60/$E$11)-LN(MIN(D1445,$F$11)), E1444+LN($D$11)+LN(1-$H$11)-LN(60/$E$11)-LN(MIN(D1445,$F$11))))</f>
        <v>-170.68591792390717</v>
      </c>
      <c r="F1445" s="1">
        <f t="shared" si="137"/>
        <v>-172.68795073310622</v>
      </c>
      <c r="G1445" s="1">
        <f t="shared" si="135"/>
        <v>1.005948866087862E-75</v>
      </c>
      <c r="H1445" s="1">
        <f t="shared" si="132"/>
        <v>9.8741207037805835E-77</v>
      </c>
      <c r="I1445">
        <f>IF($F$11&lt;=D1445, IF(D1445&lt;=$A$15,D1445-$F$11,$C$11),0)</f>
        <v>60</v>
      </c>
      <c r="J1445">
        <f t="shared" si="133"/>
        <v>1358</v>
      </c>
      <c r="K1445" s="5">
        <f>IF(D1445&lt;$F$11,H1445,0)</f>
        <v>0</v>
      </c>
      <c r="L1445">
        <f>IF(D1445&lt;$A$15,$D$11,$D$11*(1-$H$11))</f>
        <v>85</v>
      </c>
      <c r="M1445">
        <f t="shared" si="134"/>
        <v>1</v>
      </c>
      <c r="N1445">
        <f>IF(SUM(I1445:J1445)&lt;=($G$11/60*$F$11/($E$11/60)),1,0)</f>
        <v>0</v>
      </c>
    </row>
    <row r="1446" spans="4:14" x14ac:dyDescent="0.2">
      <c r="D1446">
        <f t="shared" si="136"/>
        <v>1423</v>
      </c>
      <c r="E1446" s="1">
        <f>IF($H$11=1,IF(D1446&lt;=$A$15, E1445+LN($D$11)-LN(60/$E$11)-LN(MIN(D1446,$F$11)), E1445-LN(60/$E$11)-LN(MIN(D1446,$F$11))), IF(D1446&lt;=$A$15, E1445+LN($D$11)-LN(60/$E$11)-LN(MIN(D1446,$F$11)), E1445+LN($D$11)+LN(1-$H$11)-LN(60/$E$11)-LN(MIN(D1446,$F$11))))</f>
        <v>-170.8076148588847</v>
      </c>
      <c r="F1446" s="1">
        <f t="shared" si="137"/>
        <v>-172.80964766808376</v>
      </c>
      <c r="G1446" s="1">
        <f t="shared" si="135"/>
        <v>8.9068389184861389E-76</v>
      </c>
      <c r="H1446" s="1">
        <f t="shared" si="132"/>
        <v>8.7427110398055878E-77</v>
      </c>
      <c r="I1446">
        <f>IF($F$11&lt;=D1446, IF(D1446&lt;=$A$15,D1446-$F$11,$C$11),0)</f>
        <v>60</v>
      </c>
      <c r="J1446">
        <f t="shared" si="133"/>
        <v>1359</v>
      </c>
      <c r="K1446" s="5">
        <f>IF(D1446&lt;$F$11,H1446,0)</f>
        <v>0</v>
      </c>
      <c r="L1446">
        <f>IF(D1446&lt;$A$15,$D$11,$D$11*(1-$H$11))</f>
        <v>85</v>
      </c>
      <c r="M1446">
        <f t="shared" si="134"/>
        <v>1</v>
      </c>
      <c r="N1446">
        <f>IF(SUM(I1446:J1446)&lt;=($G$11/60*$F$11/($E$11/60)),1,0)</f>
        <v>0</v>
      </c>
    </row>
    <row r="1447" spans="4:14" x14ac:dyDescent="0.2">
      <c r="D1447">
        <f t="shared" si="136"/>
        <v>1424</v>
      </c>
      <c r="E1447" s="1">
        <f>IF($H$11=1,IF(D1447&lt;=$A$15, E1446+LN($D$11)-LN(60/$E$11)-LN(MIN(D1447,$F$11)), E1446-LN(60/$E$11)-LN(MIN(D1447,$F$11))), IF(D1447&lt;=$A$15, E1446+LN($D$11)-LN(60/$E$11)-LN(MIN(D1447,$F$11)), E1446+LN($D$11)+LN(1-$H$11)-LN(60/$E$11)-LN(MIN(D1447,$F$11))))</f>
        <v>-170.92931179386224</v>
      </c>
      <c r="F1447" s="1">
        <f t="shared" si="137"/>
        <v>-172.93134460306129</v>
      </c>
      <c r="G1447" s="1">
        <f t="shared" si="135"/>
        <v>7.8862636257428129E-76</v>
      </c>
      <c r="H1447" s="1">
        <f t="shared" si="132"/>
        <v>7.7409420664944098E-77</v>
      </c>
      <c r="I1447">
        <f>IF($F$11&lt;=D1447, IF(D1447&lt;=$A$15,D1447-$F$11,$C$11),0)</f>
        <v>60</v>
      </c>
      <c r="J1447">
        <f t="shared" si="133"/>
        <v>1360</v>
      </c>
      <c r="K1447" s="5">
        <f>IF(D1447&lt;$F$11,H1447,0)</f>
        <v>0</v>
      </c>
      <c r="L1447">
        <f>IF(D1447&lt;$A$15,$D$11,$D$11*(1-$H$11))</f>
        <v>85</v>
      </c>
      <c r="M1447">
        <f t="shared" si="134"/>
        <v>1</v>
      </c>
      <c r="N1447">
        <f>IF(SUM(I1447:J1447)&lt;=($G$11/60*$F$11/($E$11/60)),1,0)</f>
        <v>0</v>
      </c>
    </row>
    <row r="1448" spans="4:14" x14ac:dyDescent="0.2">
      <c r="D1448">
        <f t="shared" si="136"/>
        <v>1425</v>
      </c>
      <c r="E1448" s="1">
        <f>IF($H$11=1,IF(D1448&lt;=$A$15, E1447+LN($D$11)-LN(60/$E$11)-LN(MIN(D1448,$F$11)), E1447-LN(60/$E$11)-LN(MIN(D1448,$F$11))), IF(D1448&lt;=$A$15, E1447+LN($D$11)-LN(60/$E$11)-LN(MIN(D1448,$F$11)), E1447+LN($D$11)+LN(1-$H$11)-LN(60/$E$11)-LN(MIN(D1448,$F$11))))</f>
        <v>-171.05100872883978</v>
      </c>
      <c r="F1448" s="1">
        <f t="shared" si="137"/>
        <v>-173.05304153803883</v>
      </c>
      <c r="G1448" s="1">
        <f t="shared" si="135"/>
        <v>6.9826292519596731E-76</v>
      </c>
      <c r="H1448" s="1">
        <f t="shared" si="132"/>
        <v>6.8539591213751519E-77</v>
      </c>
      <c r="I1448">
        <f>IF($F$11&lt;=D1448, IF(D1448&lt;=$A$15,D1448-$F$11,$C$11),0)</f>
        <v>60</v>
      </c>
      <c r="J1448">
        <f t="shared" si="133"/>
        <v>1361</v>
      </c>
      <c r="K1448" s="5">
        <f>IF(D1448&lt;$F$11,H1448,0)</f>
        <v>0</v>
      </c>
      <c r="L1448">
        <f>IF(D1448&lt;$A$15,$D$11,$D$11*(1-$H$11))</f>
        <v>85</v>
      </c>
      <c r="M1448">
        <f t="shared" si="134"/>
        <v>1</v>
      </c>
      <c r="N1448">
        <f>IF(SUM(I1448:J1448)&lt;=($G$11/60*$F$11/($E$11/60)),1,0)</f>
        <v>0</v>
      </c>
    </row>
    <row r="1449" spans="4:14" x14ac:dyDescent="0.2">
      <c r="D1449">
        <f t="shared" si="136"/>
        <v>1426</v>
      </c>
      <c r="E1449" s="1">
        <f>IF($H$11=1,IF(D1449&lt;=$A$15, E1448+LN($D$11)-LN(60/$E$11)-LN(MIN(D1449,$F$11)), E1448-LN(60/$E$11)-LN(MIN(D1449,$F$11))), IF(D1449&lt;=$A$15, E1448+LN($D$11)-LN(60/$E$11)-LN(MIN(D1449,$F$11)), E1448+LN($D$11)+LN(1-$H$11)-LN(60/$E$11)-LN(MIN(D1449,$F$11))))</f>
        <v>-171.17270566381731</v>
      </c>
      <c r="F1449" s="1">
        <f t="shared" si="137"/>
        <v>-173.17473847301636</v>
      </c>
      <c r="G1449" s="1">
        <f t="shared" si="135"/>
        <v>6.1825363168391964E-76</v>
      </c>
      <c r="H1449" s="1">
        <f t="shared" si="132"/>
        <v>6.0686096387174867E-77</v>
      </c>
      <c r="I1449">
        <f>IF($F$11&lt;=D1449, IF(D1449&lt;=$A$15,D1449-$F$11,$C$11),0)</f>
        <v>60</v>
      </c>
      <c r="J1449">
        <f t="shared" si="133"/>
        <v>1362</v>
      </c>
      <c r="K1449" s="5">
        <f>IF(D1449&lt;$F$11,H1449,0)</f>
        <v>0</v>
      </c>
      <c r="L1449">
        <f>IF(D1449&lt;$A$15,$D$11,$D$11*(1-$H$11))</f>
        <v>85</v>
      </c>
      <c r="M1449">
        <f t="shared" si="134"/>
        <v>1</v>
      </c>
      <c r="N1449">
        <f>IF(SUM(I1449:J1449)&lt;=($G$11/60*$F$11/($E$11/60)),1,0)</f>
        <v>0</v>
      </c>
    </row>
    <row r="1450" spans="4:14" x14ac:dyDescent="0.2">
      <c r="D1450">
        <f t="shared" si="136"/>
        <v>1427</v>
      </c>
      <c r="E1450" s="1">
        <f>IF($H$11=1,IF(D1450&lt;=$A$15, E1449+LN($D$11)-LN(60/$E$11)-LN(MIN(D1450,$F$11)), E1449-LN(60/$E$11)-LN(MIN(D1450,$F$11))), IF(D1450&lt;=$A$15, E1449+LN($D$11)-LN(60/$E$11)-LN(MIN(D1450,$F$11)), E1449+LN($D$11)+LN(1-$H$11)-LN(60/$E$11)-LN(MIN(D1450,$F$11))))</f>
        <v>-171.29440259879485</v>
      </c>
      <c r="F1450" s="1">
        <f t="shared" si="137"/>
        <v>-173.2964354079939</v>
      </c>
      <c r="G1450" s="1">
        <f t="shared" si="135"/>
        <v>5.474120697201287E-76</v>
      </c>
      <c r="H1450" s="1">
        <f t="shared" si="132"/>
        <v>5.3732481176143579E-77</v>
      </c>
      <c r="I1450">
        <f>IF($F$11&lt;=D1450, IF(D1450&lt;=$A$15,D1450-$F$11,$C$11),0)</f>
        <v>60</v>
      </c>
      <c r="J1450">
        <f t="shared" si="133"/>
        <v>1363</v>
      </c>
      <c r="K1450" s="5">
        <f>IF(D1450&lt;$F$11,H1450,0)</f>
        <v>0</v>
      </c>
      <c r="L1450">
        <f>IF(D1450&lt;$A$15,$D$11,$D$11*(1-$H$11))</f>
        <v>85</v>
      </c>
      <c r="M1450">
        <f t="shared" si="134"/>
        <v>1</v>
      </c>
      <c r="N1450">
        <f>IF(SUM(I1450:J1450)&lt;=($G$11/60*$F$11/($E$11/60)),1,0)</f>
        <v>0</v>
      </c>
    </row>
    <row r="1451" spans="4:14" x14ac:dyDescent="0.2">
      <c r="D1451">
        <f t="shared" si="136"/>
        <v>1428</v>
      </c>
      <c r="E1451" s="1">
        <f>IF($H$11=1,IF(D1451&lt;=$A$15, E1450+LN($D$11)-LN(60/$E$11)-LN(MIN(D1451,$F$11)), E1450-LN(60/$E$11)-LN(MIN(D1451,$F$11))), IF(D1451&lt;=$A$15, E1450+LN($D$11)-LN(60/$E$11)-LN(MIN(D1451,$F$11)), E1450+LN($D$11)+LN(1-$H$11)-LN(60/$E$11)-LN(MIN(D1451,$F$11))))</f>
        <v>-171.41609953377238</v>
      </c>
      <c r="F1451" s="1">
        <f t="shared" si="137"/>
        <v>-173.41813234297143</v>
      </c>
      <c r="G1451" s="1">
        <f t="shared" si="135"/>
        <v>4.8468777006468966E-76</v>
      </c>
      <c r="H1451" s="1">
        <f t="shared" si="132"/>
        <v>4.7575634374709716E-77</v>
      </c>
      <c r="I1451">
        <f>IF($F$11&lt;=D1451, IF(D1451&lt;=$A$15,D1451-$F$11,$C$11),0)</f>
        <v>60</v>
      </c>
      <c r="J1451">
        <f t="shared" si="133"/>
        <v>1364</v>
      </c>
      <c r="K1451" s="5">
        <f>IF(D1451&lt;$F$11,H1451,0)</f>
        <v>0</v>
      </c>
      <c r="L1451">
        <f>IF(D1451&lt;$A$15,$D$11,$D$11*(1-$H$11))</f>
        <v>85</v>
      </c>
      <c r="M1451">
        <f t="shared" si="134"/>
        <v>1</v>
      </c>
      <c r="N1451">
        <f>IF(SUM(I1451:J1451)&lt;=($G$11/60*$F$11/($E$11/60)),1,0)</f>
        <v>0</v>
      </c>
    </row>
    <row r="1452" spans="4:14" x14ac:dyDescent="0.2">
      <c r="D1452">
        <f t="shared" si="136"/>
        <v>1429</v>
      </c>
      <c r="E1452" s="1">
        <f>IF($H$11=1,IF(D1452&lt;=$A$15, E1451+LN($D$11)-LN(60/$E$11)-LN(MIN(D1452,$F$11)), E1451-LN(60/$E$11)-LN(MIN(D1452,$F$11))), IF(D1452&lt;=$A$15, E1451+LN($D$11)-LN(60/$E$11)-LN(MIN(D1452,$F$11)), E1451+LN($D$11)+LN(1-$H$11)-LN(60/$E$11)-LN(MIN(D1452,$F$11))))</f>
        <v>-171.53779646874992</v>
      </c>
      <c r="F1452" s="1">
        <f t="shared" si="137"/>
        <v>-173.53982927794897</v>
      </c>
      <c r="G1452" s="1">
        <f t="shared" si="135"/>
        <v>4.2915062974477062E-76</v>
      </c>
      <c r="H1452" s="1">
        <f t="shared" si="132"/>
        <v>4.2124259602606903E-77</v>
      </c>
      <c r="I1452">
        <f>IF($F$11&lt;=D1452, IF(D1452&lt;=$A$15,D1452-$F$11,$C$11),0)</f>
        <v>60</v>
      </c>
      <c r="J1452">
        <f t="shared" si="133"/>
        <v>1365</v>
      </c>
      <c r="K1452" s="5">
        <f>IF(D1452&lt;$F$11,H1452,0)</f>
        <v>0</v>
      </c>
      <c r="L1452">
        <f>IF(D1452&lt;$A$15,$D$11,$D$11*(1-$H$11))</f>
        <v>85</v>
      </c>
      <c r="M1452">
        <f t="shared" si="134"/>
        <v>1</v>
      </c>
      <c r="N1452">
        <f>IF(SUM(I1452:J1452)&lt;=($G$11/60*$F$11/($E$11/60)),1,0)</f>
        <v>0</v>
      </c>
    </row>
    <row r="1453" spans="4:14" x14ac:dyDescent="0.2">
      <c r="D1453">
        <f t="shared" si="136"/>
        <v>1430</v>
      </c>
      <c r="E1453" s="1">
        <f>IF($H$11=1,IF(D1453&lt;=$A$15, E1452+LN($D$11)-LN(60/$E$11)-LN(MIN(D1453,$F$11)), E1452-LN(60/$E$11)-LN(MIN(D1453,$F$11))), IF(D1453&lt;=$A$15, E1452+LN($D$11)-LN(60/$E$11)-LN(MIN(D1453,$F$11)), E1452+LN($D$11)+LN(1-$H$11)-LN(60/$E$11)-LN(MIN(D1453,$F$11))))</f>
        <v>-171.65949340372745</v>
      </c>
      <c r="F1453" s="1">
        <f t="shared" si="137"/>
        <v>-173.6615262129265</v>
      </c>
      <c r="G1453" s="1">
        <f t="shared" si="135"/>
        <v>3.7997712008650967E-76</v>
      </c>
      <c r="H1453" s="1">
        <f t="shared" si="132"/>
        <v>3.7297521523140944E-77</v>
      </c>
      <c r="I1453">
        <f>IF($F$11&lt;=D1453, IF(D1453&lt;=$A$15,D1453-$F$11,$C$11),0)</f>
        <v>60</v>
      </c>
      <c r="J1453">
        <f t="shared" si="133"/>
        <v>1366</v>
      </c>
      <c r="K1453" s="5">
        <f>IF(D1453&lt;$F$11,H1453,0)</f>
        <v>0</v>
      </c>
      <c r="L1453">
        <f>IF(D1453&lt;$A$15,$D$11,$D$11*(1-$H$11))</f>
        <v>85</v>
      </c>
      <c r="M1453">
        <f t="shared" si="134"/>
        <v>1</v>
      </c>
      <c r="N1453">
        <f>IF(SUM(I1453:J1453)&lt;=($G$11/60*$F$11/($E$11/60)),1,0)</f>
        <v>0</v>
      </c>
    </row>
    <row r="1454" spans="4:14" x14ac:dyDescent="0.2">
      <c r="D1454">
        <f t="shared" si="136"/>
        <v>1431</v>
      </c>
      <c r="E1454" s="1">
        <f>IF($H$11=1,IF(D1454&lt;=$A$15, E1453+LN($D$11)-LN(60/$E$11)-LN(MIN(D1454,$F$11)), E1453-LN(60/$E$11)-LN(MIN(D1454,$F$11))), IF(D1454&lt;=$A$15, E1453+LN($D$11)-LN(60/$E$11)-LN(MIN(D1454,$F$11)), E1453+LN($D$11)+LN(1-$H$11)-LN(60/$E$11)-LN(MIN(D1454,$F$11))))</f>
        <v>-171.78119033870499</v>
      </c>
      <c r="F1454" s="1">
        <f t="shared" si="137"/>
        <v>-173.78322314790404</v>
      </c>
      <c r="G1454" s="1">
        <f t="shared" si="135"/>
        <v>3.3643807507659189E-76</v>
      </c>
      <c r="H1454" s="1">
        <f t="shared" si="132"/>
        <v>3.3023847181947195E-77</v>
      </c>
      <c r="I1454">
        <f>IF($F$11&lt;=D1454, IF(D1454&lt;=$A$15,D1454-$F$11,$C$11),0)</f>
        <v>60</v>
      </c>
      <c r="J1454">
        <f t="shared" si="133"/>
        <v>1367</v>
      </c>
      <c r="K1454" s="5">
        <f>IF(D1454&lt;$F$11,H1454,0)</f>
        <v>0</v>
      </c>
      <c r="L1454">
        <f>IF(D1454&lt;$A$15,$D$11,$D$11*(1-$H$11))</f>
        <v>85</v>
      </c>
      <c r="M1454">
        <f t="shared" si="134"/>
        <v>1</v>
      </c>
      <c r="N1454">
        <f>IF(SUM(I1454:J1454)&lt;=($G$11/60*$F$11/($E$11/60)),1,0)</f>
        <v>0</v>
      </c>
    </row>
    <row r="1455" spans="4:14" x14ac:dyDescent="0.2">
      <c r="D1455">
        <f t="shared" si="136"/>
        <v>1432</v>
      </c>
      <c r="E1455" s="1">
        <f>IF($H$11=1,IF(D1455&lt;=$A$15, E1454+LN($D$11)-LN(60/$E$11)-LN(MIN(D1455,$F$11)), E1454-LN(60/$E$11)-LN(MIN(D1455,$F$11))), IF(D1455&lt;=$A$15, E1454+LN($D$11)-LN(60/$E$11)-LN(MIN(D1455,$F$11)), E1454+LN($D$11)+LN(1-$H$11)-LN(60/$E$11)-LN(MIN(D1455,$F$11))))</f>
        <v>-171.90288727368252</v>
      </c>
      <c r="F1455" s="1">
        <f t="shared" si="137"/>
        <v>-173.90492008288157</v>
      </c>
      <c r="G1455" s="1">
        <f t="shared" si="135"/>
        <v>2.9788787897406108E-76</v>
      </c>
      <c r="H1455" s="1">
        <f t="shared" si="132"/>
        <v>2.9239864692348625E-77</v>
      </c>
      <c r="I1455">
        <f>IF($F$11&lt;=D1455, IF(D1455&lt;=$A$15,D1455-$F$11,$C$11),0)</f>
        <v>60</v>
      </c>
      <c r="J1455">
        <f t="shared" si="133"/>
        <v>1368</v>
      </c>
      <c r="K1455" s="5">
        <f>IF(D1455&lt;$F$11,H1455,0)</f>
        <v>0</v>
      </c>
      <c r="L1455">
        <f>IF(D1455&lt;$A$15,$D$11,$D$11*(1-$H$11))</f>
        <v>85</v>
      </c>
      <c r="M1455">
        <f t="shared" si="134"/>
        <v>1</v>
      </c>
      <c r="N1455">
        <f>IF(SUM(I1455:J1455)&lt;=($G$11/60*$F$11/($E$11/60)),1,0)</f>
        <v>0</v>
      </c>
    </row>
    <row r="1456" spans="4:14" x14ac:dyDescent="0.2">
      <c r="D1456">
        <f t="shared" si="136"/>
        <v>1433</v>
      </c>
      <c r="E1456" s="1">
        <f>IF($H$11=1,IF(D1456&lt;=$A$15, E1455+LN($D$11)-LN(60/$E$11)-LN(MIN(D1456,$F$11)), E1455-LN(60/$E$11)-LN(MIN(D1456,$F$11))), IF(D1456&lt;=$A$15, E1455+LN($D$11)-LN(60/$E$11)-LN(MIN(D1456,$F$11)), E1455+LN($D$11)+LN(1-$H$11)-LN(60/$E$11)-LN(MIN(D1456,$F$11))))</f>
        <v>-172.02458420866006</v>
      </c>
      <c r="F1456" s="1">
        <f t="shared" si="137"/>
        <v>-174.02661701785911</v>
      </c>
      <c r="G1456" s="1">
        <f t="shared" si="135"/>
        <v>2.6375489284161244E-76</v>
      </c>
      <c r="H1456" s="1">
        <f t="shared" si="132"/>
        <v>2.588946352968327E-77</v>
      </c>
      <c r="I1456">
        <f>IF($F$11&lt;=D1456, IF(D1456&lt;=$A$15,D1456-$F$11,$C$11),0)</f>
        <v>60</v>
      </c>
      <c r="J1456">
        <f t="shared" si="133"/>
        <v>1369</v>
      </c>
      <c r="K1456" s="5">
        <f>IF(D1456&lt;$F$11,H1456,0)</f>
        <v>0</v>
      </c>
      <c r="L1456">
        <f>IF(D1456&lt;$A$15,$D$11,$D$11*(1-$H$11))</f>
        <v>85</v>
      </c>
      <c r="M1456">
        <f t="shared" si="134"/>
        <v>1</v>
      </c>
      <c r="N1456">
        <f>IF(SUM(I1456:J1456)&lt;=($G$11/60*$F$11/($E$11/60)),1,0)</f>
        <v>0</v>
      </c>
    </row>
    <row r="1457" spans="4:14" x14ac:dyDescent="0.2">
      <c r="D1457">
        <f t="shared" si="136"/>
        <v>1434</v>
      </c>
      <c r="E1457" s="1">
        <f>IF($H$11=1,IF(D1457&lt;=$A$15, E1456+LN($D$11)-LN(60/$E$11)-LN(MIN(D1457,$F$11)), E1456-LN(60/$E$11)-LN(MIN(D1457,$F$11))), IF(D1457&lt;=$A$15, E1456+LN($D$11)-LN(60/$E$11)-LN(MIN(D1457,$F$11)), E1456+LN($D$11)+LN(1-$H$11)-LN(60/$E$11)-LN(MIN(D1457,$F$11))))</f>
        <v>-172.14628114363759</v>
      </c>
      <c r="F1457" s="1">
        <f t="shared" si="137"/>
        <v>-174.14831395283665</v>
      </c>
      <c r="G1457" s="1">
        <f t="shared" si="135"/>
        <v>2.3353297803684069E-76</v>
      </c>
      <c r="H1457" s="1">
        <f t="shared" si="132"/>
        <v>2.2922962500240036E-77</v>
      </c>
      <c r="I1457">
        <f>IF($F$11&lt;=D1457, IF(D1457&lt;=$A$15,D1457-$F$11,$C$11),0)</f>
        <v>60</v>
      </c>
      <c r="J1457">
        <f t="shared" si="133"/>
        <v>1370</v>
      </c>
      <c r="K1457" s="5">
        <f>IF(D1457&lt;$F$11,H1457,0)</f>
        <v>0</v>
      </c>
      <c r="L1457">
        <f>IF(D1457&lt;$A$15,$D$11,$D$11*(1-$H$11))</f>
        <v>85</v>
      </c>
      <c r="M1457">
        <f t="shared" si="134"/>
        <v>1</v>
      </c>
      <c r="N1457">
        <f>IF(SUM(I1457:J1457)&lt;=($G$11/60*$F$11/($E$11/60)),1,0)</f>
        <v>0</v>
      </c>
    </row>
    <row r="1458" spans="4:14" x14ac:dyDescent="0.2">
      <c r="D1458">
        <f t="shared" si="136"/>
        <v>1435</v>
      </c>
      <c r="E1458" s="1">
        <f>IF($H$11=1,IF(D1458&lt;=$A$15, E1457+LN($D$11)-LN(60/$E$11)-LN(MIN(D1458,$F$11)), E1457-LN(60/$E$11)-LN(MIN(D1458,$F$11))), IF(D1458&lt;=$A$15, E1457+LN($D$11)-LN(60/$E$11)-LN(MIN(D1458,$F$11)), E1457+LN($D$11)+LN(1-$H$11)-LN(60/$E$11)-LN(MIN(D1458,$F$11))))</f>
        <v>-172.26797807861513</v>
      </c>
      <c r="F1458" s="1">
        <f t="shared" si="137"/>
        <v>-174.27001088781418</v>
      </c>
      <c r="G1458" s="1">
        <f t="shared" si="135"/>
        <v>2.0677399097011614E-76</v>
      </c>
      <c r="H1458" s="1">
        <f t="shared" si="132"/>
        <v>2.0296373047087217E-77</v>
      </c>
      <c r="I1458">
        <f>IF($F$11&lt;=D1458, IF(D1458&lt;=$A$15,D1458-$F$11,$C$11),0)</f>
        <v>60</v>
      </c>
      <c r="J1458">
        <f t="shared" si="133"/>
        <v>1371</v>
      </c>
      <c r="K1458" s="5">
        <f>IF(D1458&lt;$F$11,H1458,0)</f>
        <v>0</v>
      </c>
      <c r="L1458">
        <f>IF(D1458&lt;$A$15,$D$11,$D$11*(1-$H$11))</f>
        <v>85</v>
      </c>
      <c r="M1458">
        <f t="shared" si="134"/>
        <v>1</v>
      </c>
      <c r="N1458">
        <f>IF(SUM(I1458:J1458)&lt;=($G$11/60*$F$11/($E$11/60)),1,0)</f>
        <v>0</v>
      </c>
    </row>
    <row r="1459" spans="4:14" x14ac:dyDescent="0.2">
      <c r="D1459">
        <f t="shared" si="136"/>
        <v>1436</v>
      </c>
      <c r="E1459" s="1">
        <f>IF($H$11=1,IF(D1459&lt;=$A$15, E1458+LN($D$11)-LN(60/$E$11)-LN(MIN(D1459,$F$11)), E1458-LN(60/$E$11)-LN(MIN(D1459,$F$11))), IF(D1459&lt;=$A$15, E1458+LN($D$11)-LN(60/$E$11)-LN(MIN(D1459,$F$11)), E1458+LN($D$11)+LN(1-$H$11)-LN(60/$E$11)-LN(MIN(D1459,$F$11))))</f>
        <v>-172.38967501359267</v>
      </c>
      <c r="F1459" s="1">
        <f t="shared" si="137"/>
        <v>-174.39170782279172</v>
      </c>
      <c r="G1459" s="1">
        <f t="shared" si="135"/>
        <v>1.8308113783812079E-76</v>
      </c>
      <c r="H1459" s="1">
        <f t="shared" si="132"/>
        <v>1.7970746968774857E-77</v>
      </c>
      <c r="I1459">
        <f>IF($F$11&lt;=D1459, IF(D1459&lt;=$A$15,D1459-$F$11,$C$11),0)</f>
        <v>60</v>
      </c>
      <c r="J1459">
        <f t="shared" si="133"/>
        <v>1372</v>
      </c>
      <c r="K1459" s="5">
        <f>IF(D1459&lt;$F$11,H1459,0)</f>
        <v>0</v>
      </c>
      <c r="L1459">
        <f>IF(D1459&lt;$A$15,$D$11,$D$11*(1-$H$11))</f>
        <v>85</v>
      </c>
      <c r="M1459">
        <f t="shared" si="134"/>
        <v>1</v>
      </c>
      <c r="N1459">
        <f>IF(SUM(I1459:J1459)&lt;=($G$11/60*$F$11/($E$11/60)),1,0)</f>
        <v>0</v>
      </c>
    </row>
    <row r="1460" spans="4:14" x14ac:dyDescent="0.2">
      <c r="D1460">
        <f t="shared" si="136"/>
        <v>1437</v>
      </c>
      <c r="E1460" s="1">
        <f>IF($H$11=1,IF(D1460&lt;=$A$15, E1459+LN($D$11)-LN(60/$E$11)-LN(MIN(D1460,$F$11)), E1459-LN(60/$E$11)-LN(MIN(D1460,$F$11))), IF(D1460&lt;=$A$15, E1459+LN($D$11)-LN(60/$E$11)-LN(MIN(D1460,$F$11)), E1459+LN($D$11)+LN(1-$H$11)-LN(60/$E$11)-LN(MIN(D1460,$F$11))))</f>
        <v>-172.5113719485702</v>
      </c>
      <c r="F1460" s="1">
        <f t="shared" si="137"/>
        <v>-174.51340475776925</v>
      </c>
      <c r="G1460" s="1">
        <f t="shared" si="135"/>
        <v>1.6210309079416694E-76</v>
      </c>
      <c r="H1460" s="1">
        <f t="shared" si="132"/>
        <v>1.5911598878602491E-77</v>
      </c>
      <c r="I1460">
        <f>IF($F$11&lt;=D1460, IF(D1460&lt;=$A$15,D1460-$F$11,$C$11),0)</f>
        <v>60</v>
      </c>
      <c r="J1460">
        <f t="shared" si="133"/>
        <v>1373</v>
      </c>
      <c r="K1460" s="5">
        <f>IF(D1460&lt;$F$11,H1460,0)</f>
        <v>0</v>
      </c>
      <c r="L1460">
        <f>IF(D1460&lt;$A$15,$D$11,$D$11*(1-$H$11))</f>
        <v>85</v>
      </c>
      <c r="M1460">
        <f t="shared" si="134"/>
        <v>1</v>
      </c>
      <c r="N1460">
        <f>IF(SUM(I1460:J1460)&lt;=($G$11/60*$F$11/($E$11/60)),1,0)</f>
        <v>0</v>
      </c>
    </row>
    <row r="1461" spans="4:14" x14ac:dyDescent="0.2">
      <c r="D1461">
        <f t="shared" si="136"/>
        <v>1438</v>
      </c>
      <c r="E1461" s="1">
        <f>IF($H$11=1,IF(D1461&lt;=$A$15, E1460+LN($D$11)-LN(60/$E$11)-LN(MIN(D1461,$F$11)), E1460-LN(60/$E$11)-LN(MIN(D1461,$F$11))), IF(D1461&lt;=$A$15, E1460+LN($D$11)-LN(60/$E$11)-LN(MIN(D1461,$F$11)), E1460+LN($D$11)+LN(1-$H$11)-LN(60/$E$11)-LN(MIN(D1461,$F$11))))</f>
        <v>-172.63306888354774</v>
      </c>
      <c r="F1461" s="1">
        <f t="shared" si="137"/>
        <v>-174.63510169274679</v>
      </c>
      <c r="G1461" s="1">
        <f t="shared" si="135"/>
        <v>1.4352877830733305E-76</v>
      </c>
      <c r="H1461" s="1">
        <f t="shared" si="132"/>
        <v>1.4088394840429067E-77</v>
      </c>
      <c r="I1461">
        <f>IF($F$11&lt;=D1461, IF(D1461&lt;=$A$15,D1461-$F$11,$C$11),0)</f>
        <v>60</v>
      </c>
      <c r="J1461">
        <f t="shared" si="133"/>
        <v>1374</v>
      </c>
      <c r="K1461" s="5">
        <f>IF(D1461&lt;$F$11,H1461,0)</f>
        <v>0</v>
      </c>
      <c r="L1461">
        <f>IF(D1461&lt;$A$15,$D$11,$D$11*(1-$H$11))</f>
        <v>85</v>
      </c>
      <c r="M1461">
        <f t="shared" si="134"/>
        <v>1</v>
      </c>
      <c r="N1461">
        <f>IF(SUM(I1461:J1461)&lt;=($G$11/60*$F$11/($E$11/60)),1,0)</f>
        <v>0</v>
      </c>
    </row>
    <row r="1462" spans="4:14" x14ac:dyDescent="0.2">
      <c r="D1462">
        <f t="shared" si="136"/>
        <v>1439</v>
      </c>
      <c r="E1462" s="1">
        <f>IF($H$11=1,IF(D1462&lt;=$A$15, E1461+LN($D$11)-LN(60/$E$11)-LN(MIN(D1462,$F$11)), E1461-LN(60/$E$11)-LN(MIN(D1462,$F$11))), IF(D1462&lt;=$A$15, E1461+LN($D$11)-LN(60/$E$11)-LN(MIN(D1462,$F$11)), E1461+LN($D$11)+LN(1-$H$11)-LN(60/$E$11)-LN(MIN(D1462,$F$11))))</f>
        <v>-172.75476581852527</v>
      </c>
      <c r="F1462" s="1">
        <f t="shared" si="137"/>
        <v>-174.75679862772432</v>
      </c>
      <c r="G1462" s="1">
        <f t="shared" si="135"/>
        <v>1.2708277245961582E-76</v>
      </c>
      <c r="H1462" s="1">
        <f t="shared" si="132"/>
        <v>1.2474099598296375E-77</v>
      </c>
      <c r="I1462">
        <f>IF($F$11&lt;=D1462, IF(D1462&lt;=$A$15,D1462-$F$11,$C$11),0)</f>
        <v>60</v>
      </c>
      <c r="J1462">
        <f t="shared" si="133"/>
        <v>1375</v>
      </c>
      <c r="K1462" s="5">
        <f>IF(D1462&lt;$F$11,H1462,0)</f>
        <v>0</v>
      </c>
      <c r="L1462">
        <f>IF(D1462&lt;$A$15,$D$11,$D$11*(1-$H$11))</f>
        <v>85</v>
      </c>
      <c r="M1462">
        <f t="shared" si="134"/>
        <v>1</v>
      </c>
      <c r="N1462">
        <f>IF(SUM(I1462:J1462)&lt;=($G$11/60*$F$11/($E$11/60)),1,0)</f>
        <v>0</v>
      </c>
    </row>
    <row r="1463" spans="4:14" x14ac:dyDescent="0.2">
      <c r="D1463">
        <f t="shared" si="136"/>
        <v>1440</v>
      </c>
      <c r="E1463" s="1">
        <f>IF($H$11=1,IF(D1463&lt;=$A$15, E1462+LN($D$11)-LN(60/$E$11)-LN(MIN(D1463,$F$11)), E1462-LN(60/$E$11)-LN(MIN(D1463,$F$11))), IF(D1463&lt;=$A$15, E1462+LN($D$11)-LN(60/$E$11)-LN(MIN(D1463,$F$11)), E1462+LN($D$11)+LN(1-$H$11)-LN(60/$E$11)-LN(MIN(D1463,$F$11))))</f>
        <v>-172.87646275350281</v>
      </c>
      <c r="F1463" s="1">
        <f t="shared" si="137"/>
        <v>-174.87849556270186</v>
      </c>
      <c r="G1463" s="1">
        <f t="shared" si="135"/>
        <v>1.1252120478194975E-76</v>
      </c>
      <c r="H1463" s="1">
        <f t="shared" si="132"/>
        <v>1.1044775685991411E-77</v>
      </c>
      <c r="I1463">
        <f>IF($F$11&lt;=D1463, IF(D1463&lt;=$A$15,D1463-$F$11,$C$11),0)</f>
        <v>60</v>
      </c>
      <c r="J1463">
        <f t="shared" si="133"/>
        <v>1376</v>
      </c>
      <c r="K1463" s="5">
        <f>IF(D1463&lt;$F$11,H1463,0)</f>
        <v>0</v>
      </c>
      <c r="L1463">
        <f>IF(D1463&lt;$A$15,$D$11,$D$11*(1-$H$11))</f>
        <v>85</v>
      </c>
      <c r="M1463">
        <f t="shared" si="134"/>
        <v>1</v>
      </c>
      <c r="N1463">
        <f>IF(SUM(I1463:J1463)&lt;=($G$11/60*$F$11/($E$11/60)),1,0)</f>
        <v>0</v>
      </c>
    </row>
    <row r="1464" spans="4:14" x14ac:dyDescent="0.2">
      <c r="D1464">
        <f t="shared" si="136"/>
        <v>1441</v>
      </c>
      <c r="E1464" s="1">
        <f>IF($H$11=1,IF(D1464&lt;=$A$15, E1463+LN($D$11)-LN(60/$E$11)-LN(MIN(D1464,$F$11)), E1463-LN(60/$E$11)-LN(MIN(D1464,$F$11))), IF(D1464&lt;=$A$15, E1463+LN($D$11)-LN(60/$E$11)-LN(MIN(D1464,$F$11)), E1463+LN($D$11)+LN(1-$H$11)-LN(60/$E$11)-LN(MIN(D1464,$F$11))))</f>
        <v>-172.99815968848034</v>
      </c>
      <c r="F1464" s="1">
        <f t="shared" si="137"/>
        <v>-175.00019249767939</v>
      </c>
      <c r="G1464" s="1">
        <f t="shared" si="135"/>
        <v>9.9628150067349784E-77</v>
      </c>
      <c r="H1464" s="1">
        <f t="shared" si="132"/>
        <v>9.7792284719714078E-78</v>
      </c>
      <c r="I1464">
        <f>IF($F$11&lt;=D1464, IF(D1464&lt;=$A$15,D1464-$F$11,$C$11),0)</f>
        <v>60</v>
      </c>
      <c r="J1464">
        <f t="shared" si="133"/>
        <v>1377</v>
      </c>
      <c r="K1464" s="5">
        <f>IF(D1464&lt;$F$11,H1464,0)</f>
        <v>0</v>
      </c>
      <c r="L1464">
        <f>IF(D1464&lt;$A$15,$D$11,$D$11*(1-$H$11))</f>
        <v>85</v>
      </c>
      <c r="M1464">
        <f t="shared" si="134"/>
        <v>1</v>
      </c>
      <c r="N1464">
        <f>IF(SUM(I1464:J1464)&lt;=($G$11/60*$F$11/($E$11/60)),1,0)</f>
        <v>0</v>
      </c>
    </row>
    <row r="1465" spans="4:14" x14ac:dyDescent="0.2">
      <c r="D1465">
        <f t="shared" si="136"/>
        <v>1442</v>
      </c>
      <c r="E1465" s="1">
        <f>IF($H$11=1,IF(D1465&lt;=$A$15, E1464+LN($D$11)-LN(60/$E$11)-LN(MIN(D1465,$F$11)), E1464-LN(60/$E$11)-LN(MIN(D1465,$F$11))), IF(D1465&lt;=$A$15, E1464+LN($D$11)-LN(60/$E$11)-LN(MIN(D1465,$F$11)), E1464+LN($D$11)+LN(1-$H$11)-LN(60/$E$11)-LN(MIN(D1465,$F$11))))</f>
        <v>-173.11985662345788</v>
      </c>
      <c r="F1465" s="1">
        <f t="shared" si="137"/>
        <v>-175.12188943265693</v>
      </c>
      <c r="G1465" s="1">
        <f t="shared" si="135"/>
        <v>8.8212424538797908E-77</v>
      </c>
      <c r="H1465" s="1">
        <f t="shared" si="132"/>
        <v>8.6586918762245496E-78</v>
      </c>
      <c r="I1465">
        <f>IF($F$11&lt;=D1465, IF(D1465&lt;=$A$15,D1465-$F$11,$C$11),0)</f>
        <v>60</v>
      </c>
      <c r="J1465">
        <f t="shared" si="133"/>
        <v>1378</v>
      </c>
      <c r="K1465" s="5">
        <f>IF(D1465&lt;$F$11,H1465,0)</f>
        <v>0</v>
      </c>
      <c r="L1465">
        <f>IF(D1465&lt;$A$15,$D$11,$D$11*(1-$H$11))</f>
        <v>85</v>
      </c>
      <c r="M1465">
        <f t="shared" si="134"/>
        <v>1</v>
      </c>
      <c r="N1465">
        <f>IF(SUM(I1465:J1465)&lt;=($G$11/60*$F$11/($E$11/60)),1,0)</f>
        <v>0</v>
      </c>
    </row>
    <row r="1466" spans="4:14" x14ac:dyDescent="0.2">
      <c r="D1466">
        <f t="shared" si="136"/>
        <v>1443</v>
      </c>
      <c r="E1466" s="1">
        <f>IF($H$11=1,IF(D1466&lt;=$A$15, E1465+LN($D$11)-LN(60/$E$11)-LN(MIN(D1466,$F$11)), E1465-LN(60/$E$11)-LN(MIN(D1466,$F$11))), IF(D1466&lt;=$A$15, E1465+LN($D$11)-LN(60/$E$11)-LN(MIN(D1466,$F$11)), E1465+LN($D$11)+LN(1-$H$11)-LN(60/$E$11)-LN(MIN(D1466,$F$11))))</f>
        <v>-173.24155355843541</v>
      </c>
      <c r="F1466" s="1">
        <f t="shared" si="137"/>
        <v>-175.24358636763446</v>
      </c>
      <c r="G1466" s="1">
        <f t="shared" si="135"/>
        <v>7.8104750893726093E-77</v>
      </c>
      <c r="H1466" s="1">
        <f t="shared" si="132"/>
        <v>7.6665500987403659E-78</v>
      </c>
      <c r="I1466">
        <f>IF($F$11&lt;=D1466, IF(D1466&lt;=$A$15,D1466-$F$11,$C$11),0)</f>
        <v>60</v>
      </c>
      <c r="J1466">
        <f t="shared" si="133"/>
        <v>1379</v>
      </c>
      <c r="K1466" s="5">
        <f>IF(D1466&lt;$F$11,H1466,0)</f>
        <v>0</v>
      </c>
      <c r="L1466">
        <f>IF(D1466&lt;$A$15,$D$11,$D$11*(1-$H$11))</f>
        <v>85</v>
      </c>
      <c r="M1466">
        <f t="shared" si="134"/>
        <v>1</v>
      </c>
      <c r="N1466">
        <f>IF(SUM(I1466:J1466)&lt;=($G$11/60*$F$11/($E$11/60)),1,0)</f>
        <v>0</v>
      </c>
    </row>
    <row r="1467" spans="4:14" x14ac:dyDescent="0.2">
      <c r="D1467">
        <f t="shared" si="136"/>
        <v>1444</v>
      </c>
      <c r="E1467" s="1">
        <f>IF($H$11=1,IF(D1467&lt;=$A$15, E1466+LN($D$11)-LN(60/$E$11)-LN(MIN(D1467,$F$11)), E1466-LN(60/$E$11)-LN(MIN(D1467,$F$11))), IF(D1467&lt;=$A$15, E1466+LN($D$11)-LN(60/$E$11)-LN(MIN(D1467,$F$11)), E1466+LN($D$11)+LN(1-$H$11)-LN(60/$E$11)-LN(MIN(D1467,$F$11))))</f>
        <v>-173.36325049341295</v>
      </c>
      <c r="F1467" s="1">
        <f t="shared" si="137"/>
        <v>-175.365283302612</v>
      </c>
      <c r="G1467" s="1">
        <f t="shared" si="135"/>
        <v>6.9155248187152231E-77</v>
      </c>
      <c r="H1467" s="1">
        <f t="shared" si="132"/>
        <v>6.7880912332595934E-78</v>
      </c>
      <c r="I1467">
        <f>IF($F$11&lt;=D1467, IF(D1467&lt;=$A$15,D1467-$F$11,$C$11),0)</f>
        <v>60</v>
      </c>
      <c r="J1467">
        <f t="shared" si="133"/>
        <v>1380</v>
      </c>
      <c r="K1467" s="5">
        <f>IF(D1467&lt;$F$11,H1467,0)</f>
        <v>0</v>
      </c>
      <c r="L1467">
        <f>IF(D1467&lt;$A$15,$D$11,$D$11*(1-$H$11))</f>
        <v>85</v>
      </c>
      <c r="M1467">
        <f t="shared" si="134"/>
        <v>1</v>
      </c>
      <c r="N1467">
        <f>IF(SUM(I1467:J1467)&lt;=($G$11/60*$F$11/($E$11/60)),1,0)</f>
        <v>0</v>
      </c>
    </row>
    <row r="1468" spans="4:14" x14ac:dyDescent="0.2">
      <c r="D1468">
        <f t="shared" si="136"/>
        <v>1445</v>
      </c>
      <c r="E1468" s="1">
        <f>IF($H$11=1,IF(D1468&lt;=$A$15, E1467+LN($D$11)-LN(60/$E$11)-LN(MIN(D1468,$F$11)), E1467-LN(60/$E$11)-LN(MIN(D1468,$F$11))), IF(D1468&lt;=$A$15, E1467+LN($D$11)-LN(60/$E$11)-LN(MIN(D1468,$F$11)), E1467+LN($D$11)+LN(1-$H$11)-LN(60/$E$11)-LN(MIN(D1468,$F$11))))</f>
        <v>-173.48494742839048</v>
      </c>
      <c r="F1468" s="1">
        <f t="shared" si="137"/>
        <v>-175.48698023758953</v>
      </c>
      <c r="G1468" s="1">
        <f t="shared" si="135"/>
        <v>6.1231209332373409E-77</v>
      </c>
      <c r="H1468" s="1">
        <f t="shared" si="132"/>
        <v>6.0102891127818373E-78</v>
      </c>
      <c r="I1468">
        <f>IF($F$11&lt;=D1468, IF(D1468&lt;=$A$15,D1468-$F$11,$C$11),0)</f>
        <v>60</v>
      </c>
      <c r="J1468">
        <f t="shared" si="133"/>
        <v>1381</v>
      </c>
      <c r="K1468" s="5">
        <f>IF(D1468&lt;$F$11,H1468,0)</f>
        <v>0</v>
      </c>
      <c r="L1468">
        <f>IF(D1468&lt;$A$15,$D$11,$D$11*(1-$H$11))</f>
        <v>85</v>
      </c>
      <c r="M1468">
        <f t="shared" si="134"/>
        <v>1</v>
      </c>
      <c r="N1468">
        <f>IF(SUM(I1468:J1468)&lt;=($G$11/60*$F$11/($E$11/60)),1,0)</f>
        <v>0</v>
      </c>
    </row>
    <row r="1469" spans="4:14" x14ac:dyDescent="0.2">
      <c r="D1469">
        <f t="shared" si="136"/>
        <v>1446</v>
      </c>
      <c r="E1469" s="1">
        <f>IF($H$11=1,IF(D1469&lt;=$A$15, E1468+LN($D$11)-LN(60/$E$11)-LN(MIN(D1469,$F$11)), E1468-LN(60/$E$11)-LN(MIN(D1469,$F$11))), IF(D1469&lt;=$A$15, E1468+LN($D$11)-LN(60/$E$11)-LN(MIN(D1469,$F$11)), E1468+LN($D$11)+LN(1-$H$11)-LN(60/$E$11)-LN(MIN(D1469,$F$11))))</f>
        <v>-173.60664436336802</v>
      </c>
      <c r="F1469" s="1">
        <f t="shared" si="137"/>
        <v>-175.60867717256707</v>
      </c>
      <c r="G1469" s="1">
        <f t="shared" si="135"/>
        <v>5.421513326303811E-77</v>
      </c>
      <c r="H1469" s="1">
        <f t="shared" si="132"/>
        <v>5.3216101519421681E-78</v>
      </c>
      <c r="I1469">
        <f>IF($F$11&lt;=D1469, IF(D1469&lt;=$A$15,D1469-$F$11,$C$11),0)</f>
        <v>60</v>
      </c>
      <c r="J1469">
        <f t="shared" si="133"/>
        <v>1382</v>
      </c>
      <c r="K1469" s="5">
        <f>IF(D1469&lt;$F$11,H1469,0)</f>
        <v>0</v>
      </c>
      <c r="L1469">
        <f>IF(D1469&lt;$A$15,$D$11,$D$11*(1-$H$11))</f>
        <v>85</v>
      </c>
      <c r="M1469">
        <f t="shared" si="134"/>
        <v>1</v>
      </c>
      <c r="N1469">
        <f>IF(SUM(I1469:J1469)&lt;=($G$11/60*$F$11/($E$11/60)),1,0)</f>
        <v>0</v>
      </c>
    </row>
    <row r="1470" spans="4:14" x14ac:dyDescent="0.2">
      <c r="D1470">
        <f t="shared" si="136"/>
        <v>1447</v>
      </c>
      <c r="E1470" s="1">
        <f>IF($H$11=1,IF(D1470&lt;=$A$15, E1469+LN($D$11)-LN(60/$E$11)-LN(MIN(D1470,$F$11)), E1469-LN(60/$E$11)-LN(MIN(D1470,$F$11))), IF(D1470&lt;=$A$15, E1469+LN($D$11)-LN(60/$E$11)-LN(MIN(D1470,$F$11)), E1469+LN($D$11)+LN(1-$H$11)-LN(60/$E$11)-LN(MIN(D1470,$F$11))))</f>
        <v>-173.72834129834555</v>
      </c>
      <c r="F1470" s="1">
        <f t="shared" si="137"/>
        <v>-175.73037410754461</v>
      </c>
      <c r="G1470" s="1">
        <f t="shared" si="135"/>
        <v>4.8002982576647579E-77</v>
      </c>
      <c r="H1470" s="1">
        <f t="shared" si="132"/>
        <v>4.7118423220320548E-78</v>
      </c>
      <c r="I1470">
        <f>IF($F$11&lt;=D1470, IF(D1470&lt;=$A$15,D1470-$F$11,$C$11),0)</f>
        <v>60</v>
      </c>
      <c r="J1470">
        <f t="shared" si="133"/>
        <v>1383</v>
      </c>
      <c r="K1470" s="5">
        <f>IF(D1470&lt;$F$11,H1470,0)</f>
        <v>0</v>
      </c>
      <c r="L1470">
        <f>IF(D1470&lt;$A$15,$D$11,$D$11*(1-$H$11))</f>
        <v>85</v>
      </c>
      <c r="M1470">
        <f t="shared" si="134"/>
        <v>1</v>
      </c>
      <c r="N1470">
        <f>IF(SUM(I1470:J1470)&lt;=($G$11/60*$F$11/($E$11/60)),1,0)</f>
        <v>0</v>
      </c>
    </row>
    <row r="1471" spans="4:14" x14ac:dyDescent="0.2">
      <c r="D1471">
        <f t="shared" si="136"/>
        <v>1448</v>
      </c>
      <c r="E1471" s="1">
        <f>IF($H$11=1,IF(D1471&lt;=$A$15, E1470+LN($D$11)-LN(60/$E$11)-LN(MIN(D1471,$F$11)), E1470-LN(60/$E$11)-LN(MIN(D1471,$F$11))), IF(D1471&lt;=$A$15, E1470+LN($D$11)-LN(60/$E$11)-LN(MIN(D1471,$F$11)), E1470+LN($D$11)+LN(1-$H$11)-LN(60/$E$11)-LN(MIN(D1471,$F$11))))</f>
        <v>-173.85003823332309</v>
      </c>
      <c r="F1471" s="1">
        <f t="shared" si="137"/>
        <v>-175.85207104252214</v>
      </c>
      <c r="G1471" s="1">
        <f t="shared" si="135"/>
        <v>4.2502640823072712E-77</v>
      </c>
      <c r="H1471" s="1">
        <f t="shared" si="132"/>
        <v>4.171943722632483E-78</v>
      </c>
      <c r="I1471">
        <f>IF($F$11&lt;=D1471, IF(D1471&lt;=$A$15,D1471-$F$11,$C$11),0)</f>
        <v>60</v>
      </c>
      <c r="J1471">
        <f t="shared" si="133"/>
        <v>1384</v>
      </c>
      <c r="K1471" s="5">
        <f>IF(D1471&lt;$F$11,H1471,0)</f>
        <v>0</v>
      </c>
      <c r="L1471">
        <f>IF(D1471&lt;$A$15,$D$11,$D$11*(1-$H$11))</f>
        <v>85</v>
      </c>
      <c r="M1471">
        <f t="shared" si="134"/>
        <v>1</v>
      </c>
      <c r="N1471">
        <f>IF(SUM(I1471:J1471)&lt;=($G$11/60*$F$11/($E$11/60)),1,0)</f>
        <v>0</v>
      </c>
    </row>
    <row r="1472" spans="4:14" x14ac:dyDescent="0.2">
      <c r="D1472">
        <f t="shared" si="136"/>
        <v>1449</v>
      </c>
      <c r="E1472" s="1">
        <f>IF($H$11=1,IF(D1472&lt;=$A$15, E1471+LN($D$11)-LN(60/$E$11)-LN(MIN(D1472,$F$11)), E1471-LN(60/$E$11)-LN(MIN(D1472,$F$11))), IF(D1472&lt;=$A$15, E1471+LN($D$11)-LN(60/$E$11)-LN(MIN(D1472,$F$11)), E1471+LN($D$11)+LN(1-$H$11)-LN(60/$E$11)-LN(MIN(D1472,$F$11))))</f>
        <v>-173.97173516830063</v>
      </c>
      <c r="F1472" s="1">
        <f t="shared" si="137"/>
        <v>-175.97376797749968</v>
      </c>
      <c r="G1472" s="1">
        <f t="shared" si="135"/>
        <v>3.7632546562095042E-77</v>
      </c>
      <c r="H1472" s="1">
        <f t="shared" si="132"/>
        <v>3.6939085044141201E-78</v>
      </c>
      <c r="I1472">
        <f>IF($F$11&lt;=D1472, IF(D1472&lt;=$A$15,D1472-$F$11,$C$11),0)</f>
        <v>60</v>
      </c>
      <c r="J1472">
        <f t="shared" si="133"/>
        <v>1385</v>
      </c>
      <c r="K1472" s="5">
        <f>IF(D1472&lt;$F$11,H1472,0)</f>
        <v>0</v>
      </c>
      <c r="L1472">
        <f>IF(D1472&lt;$A$15,$D$11,$D$11*(1-$H$11))</f>
        <v>85</v>
      </c>
      <c r="M1472">
        <f t="shared" si="134"/>
        <v>1</v>
      </c>
      <c r="N1472">
        <f>IF(SUM(I1472:J1472)&lt;=($G$11/60*$F$11/($E$11/60)),1,0)</f>
        <v>0</v>
      </c>
    </row>
    <row r="1473" spans="4:14" x14ac:dyDescent="0.2">
      <c r="D1473">
        <f t="shared" si="136"/>
        <v>1450</v>
      </c>
      <c r="E1473" s="1">
        <f>IF($H$11=1,IF(D1473&lt;=$A$15, E1472+LN($D$11)-LN(60/$E$11)-LN(MIN(D1473,$F$11)), E1472-LN(60/$E$11)-LN(MIN(D1473,$F$11))), IF(D1473&lt;=$A$15, E1472+LN($D$11)-LN(60/$E$11)-LN(MIN(D1473,$F$11)), E1472+LN($D$11)+LN(1-$H$11)-LN(60/$E$11)-LN(MIN(D1473,$F$11))))</f>
        <v>-174.09343210327816</v>
      </c>
      <c r="F1473" s="1">
        <f t="shared" si="137"/>
        <v>-176.09546491247721</v>
      </c>
      <c r="G1473" s="1">
        <f t="shared" si="135"/>
        <v>3.3320483935187795E-77</v>
      </c>
      <c r="H1473" s="1">
        <f t="shared" si="132"/>
        <v>3.2706481549499508E-78</v>
      </c>
      <c r="I1473">
        <f>IF($F$11&lt;=D1473, IF(D1473&lt;=$A$15,D1473-$F$11,$C$11),0)</f>
        <v>60</v>
      </c>
      <c r="J1473">
        <f t="shared" si="133"/>
        <v>1386</v>
      </c>
      <c r="K1473" s="5">
        <f>IF(D1473&lt;$F$11,H1473,0)</f>
        <v>0</v>
      </c>
      <c r="L1473">
        <f>IF(D1473&lt;$A$15,$D$11,$D$11*(1-$H$11))</f>
        <v>85</v>
      </c>
      <c r="M1473">
        <f t="shared" si="134"/>
        <v>1</v>
      </c>
      <c r="N1473">
        <f>IF(SUM(I1473:J1473)&lt;=($G$11/60*$F$11/($E$11/60)),1,0)</f>
        <v>0</v>
      </c>
    </row>
    <row r="1474" spans="4:14" x14ac:dyDescent="0.2">
      <c r="D1474">
        <f t="shared" si="136"/>
        <v>1451</v>
      </c>
      <c r="E1474" s="1">
        <f>IF($H$11=1,IF(D1474&lt;=$A$15, E1473+LN($D$11)-LN(60/$E$11)-LN(MIN(D1474,$F$11)), E1473-LN(60/$E$11)-LN(MIN(D1474,$F$11))), IF(D1474&lt;=$A$15, E1473+LN($D$11)-LN(60/$E$11)-LN(MIN(D1474,$F$11)), E1473+LN($D$11)+LN(1-$H$11)-LN(60/$E$11)-LN(MIN(D1474,$F$11))))</f>
        <v>-174.2151290382557</v>
      </c>
      <c r="F1474" s="1">
        <f t="shared" si="137"/>
        <v>-176.21716184745475</v>
      </c>
      <c r="G1474" s="1">
        <f t="shared" si="135"/>
        <v>2.9502511817613731E-77</v>
      </c>
      <c r="H1474" s="1">
        <f t="shared" si="132"/>
        <v>2.8958863871952235E-78</v>
      </c>
      <c r="I1474">
        <f>IF($F$11&lt;=D1474, IF(D1474&lt;=$A$15,D1474-$F$11,$C$11),0)</f>
        <v>60</v>
      </c>
      <c r="J1474">
        <f t="shared" si="133"/>
        <v>1387</v>
      </c>
      <c r="K1474" s="5">
        <f>IF(D1474&lt;$F$11,H1474,0)</f>
        <v>0</v>
      </c>
      <c r="L1474">
        <f>IF(D1474&lt;$A$15,$D$11,$D$11*(1-$H$11))</f>
        <v>85</v>
      </c>
      <c r="M1474">
        <f t="shared" si="134"/>
        <v>1</v>
      </c>
      <c r="N1474">
        <f>IF(SUM(I1474:J1474)&lt;=($G$11/60*$F$11/($E$11/60)),1,0)</f>
        <v>0</v>
      </c>
    </row>
    <row r="1475" spans="4:14" x14ac:dyDescent="0.2">
      <c r="D1475">
        <f t="shared" si="136"/>
        <v>1452</v>
      </c>
      <c r="E1475" s="1">
        <f>IF($H$11=1,IF(D1475&lt;=$A$15, E1474+LN($D$11)-LN(60/$E$11)-LN(MIN(D1475,$F$11)), E1474-LN(60/$E$11)-LN(MIN(D1475,$F$11))), IF(D1475&lt;=$A$15, E1474+LN($D$11)-LN(60/$E$11)-LN(MIN(D1475,$F$11)), E1474+LN($D$11)+LN(1-$H$11)-LN(60/$E$11)-LN(MIN(D1475,$F$11))))</f>
        <v>-174.33682597323323</v>
      </c>
      <c r="F1475" s="1">
        <f t="shared" si="137"/>
        <v>-176.33885878243228</v>
      </c>
      <c r="G1475" s="1">
        <f t="shared" si="135"/>
        <v>2.6122015671845083E-77</v>
      </c>
      <c r="H1475" s="1">
        <f t="shared" si="132"/>
        <v>2.5640660719957308E-78</v>
      </c>
      <c r="I1475">
        <f>IF($F$11&lt;=D1475, IF(D1475&lt;=$A$15,D1475-$F$11,$C$11),0)</f>
        <v>60</v>
      </c>
      <c r="J1475">
        <f t="shared" si="133"/>
        <v>1388</v>
      </c>
      <c r="K1475" s="5">
        <f>IF(D1475&lt;$F$11,H1475,0)</f>
        <v>0</v>
      </c>
      <c r="L1475">
        <f>IF(D1475&lt;$A$15,$D$11,$D$11*(1-$H$11))</f>
        <v>85</v>
      </c>
      <c r="M1475">
        <f t="shared" si="134"/>
        <v>1</v>
      </c>
      <c r="N1475">
        <f>IF(SUM(I1475:J1475)&lt;=($G$11/60*$F$11/($E$11/60)),1,0)</f>
        <v>0</v>
      </c>
    </row>
    <row r="1476" spans="4:14" x14ac:dyDescent="0.2">
      <c r="D1476">
        <f t="shared" si="136"/>
        <v>1453</v>
      </c>
      <c r="E1476" s="1">
        <f>IF($H$11=1,IF(D1476&lt;=$A$15, E1475+LN($D$11)-LN(60/$E$11)-LN(MIN(D1476,$F$11)), E1475-LN(60/$E$11)-LN(MIN(D1476,$F$11))), IF(D1476&lt;=$A$15, E1475+LN($D$11)-LN(60/$E$11)-LN(MIN(D1476,$F$11)), E1475+LN($D$11)+LN(1-$H$11)-LN(60/$E$11)-LN(MIN(D1476,$F$11))))</f>
        <v>-174.45852290821077</v>
      </c>
      <c r="F1476" s="1">
        <f t="shared" si="137"/>
        <v>-176.46055571740982</v>
      </c>
      <c r="G1476" s="1">
        <f t="shared" si="135"/>
        <v>2.3128868042779141E-77</v>
      </c>
      <c r="H1476" s="1">
        <f t="shared" si="132"/>
        <v>2.2702668345795178E-78</v>
      </c>
      <c r="I1476">
        <f>IF($F$11&lt;=D1476, IF(D1476&lt;=$A$15,D1476-$F$11,$C$11),0)</f>
        <v>60</v>
      </c>
      <c r="J1476">
        <f t="shared" si="133"/>
        <v>1389</v>
      </c>
      <c r="K1476" s="5">
        <f>IF(D1476&lt;$F$11,H1476,0)</f>
        <v>0</v>
      </c>
      <c r="L1476">
        <f>IF(D1476&lt;$A$15,$D$11,$D$11*(1-$H$11))</f>
        <v>85</v>
      </c>
      <c r="M1476">
        <f t="shared" si="134"/>
        <v>1</v>
      </c>
      <c r="N1476">
        <f>IF(SUM(I1476:J1476)&lt;=($G$11/60*$F$11/($E$11/60)),1,0)</f>
        <v>0</v>
      </c>
    </row>
    <row r="1477" spans="4:14" x14ac:dyDescent="0.2">
      <c r="D1477">
        <f t="shared" si="136"/>
        <v>1454</v>
      </c>
      <c r="E1477" s="1">
        <f>IF($H$11=1,IF(D1477&lt;=$A$15, E1476+LN($D$11)-LN(60/$E$11)-LN(MIN(D1477,$F$11)), E1476-LN(60/$E$11)-LN(MIN(D1477,$F$11))), IF(D1477&lt;=$A$15, E1476+LN($D$11)-LN(60/$E$11)-LN(MIN(D1477,$F$11)), E1476+LN($D$11)+LN(1-$H$11)-LN(60/$E$11)-LN(MIN(D1477,$F$11))))</f>
        <v>-174.5802198431883</v>
      </c>
      <c r="F1477" s="1">
        <f t="shared" si="137"/>
        <v>-176.58225265238735</v>
      </c>
      <c r="G1477" s="1">
        <f t="shared" si="135"/>
        <v>2.0478685246210376E-77</v>
      </c>
      <c r="H1477" s="1">
        <f t="shared" si="132"/>
        <v>2.0101320931172499E-78</v>
      </c>
      <c r="I1477">
        <f>IF($F$11&lt;=D1477, IF(D1477&lt;=$A$15,D1477-$F$11,$C$11),0)</f>
        <v>60</v>
      </c>
      <c r="J1477">
        <f t="shared" si="133"/>
        <v>1390</v>
      </c>
      <c r="K1477" s="5">
        <f>IF(D1477&lt;$F$11,H1477,0)</f>
        <v>0</v>
      </c>
      <c r="L1477">
        <f>IF(D1477&lt;$A$15,$D$11,$D$11*(1-$H$11))</f>
        <v>85</v>
      </c>
      <c r="M1477">
        <f t="shared" si="134"/>
        <v>1</v>
      </c>
      <c r="N1477">
        <f>IF(SUM(I1477:J1477)&lt;=($G$11/60*$F$11/($E$11/60)),1,0)</f>
        <v>0</v>
      </c>
    </row>
    <row r="1478" spans="4:14" x14ac:dyDescent="0.2">
      <c r="D1478">
        <f t="shared" si="136"/>
        <v>1455</v>
      </c>
      <c r="E1478" s="1">
        <f>IF($H$11=1,IF(D1478&lt;=$A$15, E1477+LN($D$11)-LN(60/$E$11)-LN(MIN(D1478,$F$11)), E1477-LN(60/$E$11)-LN(MIN(D1478,$F$11))), IF(D1478&lt;=$A$15, E1477+LN($D$11)-LN(60/$E$11)-LN(MIN(D1478,$F$11)), E1477+LN($D$11)+LN(1-$H$11)-LN(60/$E$11)-LN(MIN(D1478,$F$11))))</f>
        <v>-174.70191677816584</v>
      </c>
      <c r="F1478" s="1">
        <f t="shared" si="137"/>
        <v>-176.70394958736489</v>
      </c>
      <c r="G1478" s="1">
        <f t="shared" si="135"/>
        <v>1.8132169228415154E-77</v>
      </c>
      <c r="H1478" s="1">
        <f t="shared" si="132"/>
        <v>1.7798044574475375E-78</v>
      </c>
      <c r="I1478">
        <f>IF($F$11&lt;=D1478, IF(D1478&lt;=$A$15,D1478-$F$11,$C$11),0)</f>
        <v>60</v>
      </c>
      <c r="J1478">
        <f t="shared" si="133"/>
        <v>1391</v>
      </c>
      <c r="K1478" s="5">
        <f>IF(D1478&lt;$F$11,H1478,0)</f>
        <v>0</v>
      </c>
      <c r="L1478">
        <f>IF(D1478&lt;$A$15,$D$11,$D$11*(1-$H$11))</f>
        <v>85</v>
      </c>
      <c r="M1478">
        <f t="shared" si="134"/>
        <v>1</v>
      </c>
      <c r="N1478">
        <f>IF(SUM(I1478:J1478)&lt;=($G$11/60*$F$11/($E$11/60)),1,0)</f>
        <v>0</v>
      </c>
    </row>
    <row r="1479" spans="4:14" x14ac:dyDescent="0.2">
      <c r="D1479">
        <f t="shared" si="136"/>
        <v>1456</v>
      </c>
      <c r="E1479" s="1">
        <f>IF($H$11=1,IF(D1479&lt;=$A$15, E1478+LN($D$11)-LN(60/$E$11)-LN(MIN(D1479,$F$11)), E1478-LN(60/$E$11)-LN(MIN(D1479,$F$11))), IF(D1479&lt;=$A$15, E1478+LN($D$11)-LN(60/$E$11)-LN(MIN(D1479,$F$11)), E1478+LN($D$11)+LN(1-$H$11)-LN(60/$E$11)-LN(MIN(D1479,$F$11))))</f>
        <v>-174.82361371314337</v>
      </c>
      <c r="F1479" s="1">
        <f t="shared" si="137"/>
        <v>-176.82564652234242</v>
      </c>
      <c r="G1479" s="1">
        <f t="shared" si="135"/>
        <v>1.6054524837659E-77</v>
      </c>
      <c r="H1479" s="1">
        <f t="shared" si="132"/>
        <v>1.575868530031649E-78</v>
      </c>
      <c r="I1479">
        <f>IF($F$11&lt;=D1479, IF(D1479&lt;=$A$15,D1479-$F$11,$C$11),0)</f>
        <v>60</v>
      </c>
      <c r="J1479">
        <f t="shared" si="133"/>
        <v>1392</v>
      </c>
      <c r="K1479" s="5">
        <f>IF(D1479&lt;$F$11,H1479,0)</f>
        <v>0</v>
      </c>
      <c r="L1479">
        <f>IF(D1479&lt;$A$15,$D$11,$D$11*(1-$H$11))</f>
        <v>85</v>
      </c>
      <c r="M1479">
        <f t="shared" si="134"/>
        <v>1</v>
      </c>
      <c r="N1479">
        <f>IF(SUM(I1479:J1479)&lt;=($G$11/60*$F$11/($E$11/60)),1,0)</f>
        <v>0</v>
      </c>
    </row>
    <row r="1480" spans="4:14" x14ac:dyDescent="0.2">
      <c r="D1480">
        <f t="shared" si="136"/>
        <v>1457</v>
      </c>
      <c r="E1480" s="1">
        <f>IF($H$11=1,IF(D1480&lt;=$A$15, E1479+LN($D$11)-LN(60/$E$11)-LN(MIN(D1480,$F$11)), E1479-LN(60/$E$11)-LN(MIN(D1480,$F$11))), IF(D1480&lt;=$A$15, E1479+LN($D$11)-LN(60/$E$11)-LN(MIN(D1480,$F$11)), E1479+LN($D$11)+LN(1-$H$11)-LN(60/$E$11)-LN(MIN(D1480,$F$11))))</f>
        <v>-174.94531064812091</v>
      </c>
      <c r="F1480" s="1">
        <f t="shared" si="137"/>
        <v>-176.94734345731996</v>
      </c>
      <c r="G1480" s="1">
        <f t="shared" si="135"/>
        <v>1.4214943866677017E-77</v>
      </c>
      <c r="H1480" s="1">
        <f t="shared" si="132"/>
        <v>1.3953002609655008E-78</v>
      </c>
      <c r="I1480">
        <f>IF($F$11&lt;=D1480, IF(D1480&lt;=$A$15,D1480-$F$11,$C$11),0)</f>
        <v>60</v>
      </c>
      <c r="J1480">
        <f t="shared" si="133"/>
        <v>1393</v>
      </c>
      <c r="K1480" s="5">
        <f>IF(D1480&lt;$F$11,H1480,0)</f>
        <v>0</v>
      </c>
      <c r="L1480">
        <f>IF(D1480&lt;$A$15,$D$11,$D$11*(1-$H$11))</f>
        <v>85</v>
      </c>
      <c r="M1480">
        <f t="shared" si="134"/>
        <v>1</v>
      </c>
      <c r="N1480">
        <f>IF(SUM(I1480:J1480)&lt;=($G$11/60*$F$11/($E$11/60)),1,0)</f>
        <v>0</v>
      </c>
    </row>
    <row r="1481" spans="4:14" x14ac:dyDescent="0.2">
      <c r="D1481">
        <f t="shared" si="136"/>
        <v>1458</v>
      </c>
      <c r="E1481" s="1">
        <f>IF($H$11=1,IF(D1481&lt;=$A$15, E1480+LN($D$11)-LN(60/$E$11)-LN(MIN(D1481,$F$11)), E1480-LN(60/$E$11)-LN(MIN(D1481,$F$11))), IF(D1481&lt;=$A$15, E1480+LN($D$11)-LN(60/$E$11)-LN(MIN(D1481,$F$11)), E1480+LN($D$11)+LN(1-$H$11)-LN(60/$E$11)-LN(MIN(D1481,$F$11))))</f>
        <v>-175.06700758309844</v>
      </c>
      <c r="F1481" s="1">
        <f t="shared" si="137"/>
        <v>-177.0690403922975</v>
      </c>
      <c r="G1481" s="1">
        <f t="shared" si="135"/>
        <v>1.2586148215286745E-77</v>
      </c>
      <c r="H1481" s="1">
        <f t="shared" si="132"/>
        <v>1.2354221060631845E-78</v>
      </c>
      <c r="I1481">
        <f>IF($F$11&lt;=D1481, IF(D1481&lt;=$A$15,D1481-$F$11,$C$11),0)</f>
        <v>60</v>
      </c>
      <c r="J1481">
        <f t="shared" si="133"/>
        <v>1394</v>
      </c>
      <c r="K1481" s="5">
        <f>IF(D1481&lt;$F$11,H1481,0)</f>
        <v>0</v>
      </c>
      <c r="L1481">
        <f>IF(D1481&lt;$A$15,$D$11,$D$11*(1-$H$11))</f>
        <v>85</v>
      </c>
      <c r="M1481">
        <f t="shared" si="134"/>
        <v>1</v>
      </c>
      <c r="N1481">
        <f>IF(SUM(I1481:J1481)&lt;=($G$11/60*$F$11/($E$11/60)),1,0)</f>
        <v>0</v>
      </c>
    </row>
    <row r="1482" spans="4:14" x14ac:dyDescent="0.2">
      <c r="D1482">
        <f t="shared" si="136"/>
        <v>1459</v>
      </c>
      <c r="E1482" s="1">
        <f>IF($H$11=1,IF(D1482&lt;=$A$15, E1481+LN($D$11)-LN(60/$E$11)-LN(MIN(D1482,$F$11)), E1481-LN(60/$E$11)-LN(MIN(D1482,$F$11))), IF(D1482&lt;=$A$15, E1481+LN($D$11)-LN(60/$E$11)-LN(MIN(D1482,$F$11)), E1481+LN($D$11)+LN(1-$H$11)-LN(60/$E$11)-LN(MIN(D1482,$F$11))))</f>
        <v>-175.18870451807598</v>
      </c>
      <c r="F1482" s="1">
        <f t="shared" si="137"/>
        <v>-177.19073732727503</v>
      </c>
      <c r="G1482" s="1">
        <f t="shared" si="135"/>
        <v>1.1143985398951632E-77</v>
      </c>
      <c r="H1482" s="1">
        <f t="shared" si="132"/>
        <v>1.0938633230767608E-78</v>
      </c>
      <c r="I1482">
        <f>IF($F$11&lt;=D1482, IF(D1482&lt;=$A$15,D1482-$F$11,$C$11),0)</f>
        <v>60</v>
      </c>
      <c r="J1482">
        <f t="shared" si="133"/>
        <v>1395</v>
      </c>
      <c r="K1482" s="5">
        <f>IF(D1482&lt;$F$11,H1482,0)</f>
        <v>0</v>
      </c>
      <c r="L1482">
        <f>IF(D1482&lt;$A$15,$D$11,$D$11*(1-$H$11))</f>
        <v>85</v>
      </c>
      <c r="M1482">
        <f t="shared" si="134"/>
        <v>1</v>
      </c>
      <c r="N1482">
        <f>IF(SUM(I1482:J1482)&lt;=($G$11/60*$F$11/($E$11/60)),1,0)</f>
        <v>0</v>
      </c>
    </row>
    <row r="1483" spans="4:14" x14ac:dyDescent="0.2">
      <c r="D1483">
        <f t="shared" si="136"/>
        <v>1460</v>
      </c>
      <c r="E1483" s="1">
        <f>IF($H$11=1,IF(D1483&lt;=$A$15, E1482+LN($D$11)-LN(60/$E$11)-LN(MIN(D1483,$F$11)), E1482-LN(60/$E$11)-LN(MIN(D1483,$F$11))), IF(D1483&lt;=$A$15, E1482+LN($D$11)-LN(60/$E$11)-LN(MIN(D1483,$F$11)), E1482+LN($D$11)+LN(1-$H$11)-LN(60/$E$11)-LN(MIN(D1483,$F$11))))</f>
        <v>-175.31040145305352</v>
      </c>
      <c r="F1483" s="1">
        <f t="shared" si="137"/>
        <v>-177.31243426225257</v>
      </c>
      <c r="G1483" s="1">
        <f t="shared" si="135"/>
        <v>9.8670704053216037E-78</v>
      </c>
      <c r="H1483" s="1">
        <f t="shared" si="132"/>
        <v>9.6852481730753359E-79</v>
      </c>
      <c r="I1483">
        <f>IF($F$11&lt;=D1483, IF(D1483&lt;=$A$15,D1483-$F$11,$C$11),0)</f>
        <v>60</v>
      </c>
      <c r="J1483">
        <f t="shared" si="133"/>
        <v>1396</v>
      </c>
      <c r="K1483" s="5">
        <f>IF(D1483&lt;$F$11,H1483,0)</f>
        <v>0</v>
      </c>
      <c r="L1483">
        <f>IF(D1483&lt;$A$15,$D$11,$D$11*(1-$H$11))</f>
        <v>85</v>
      </c>
      <c r="M1483">
        <f t="shared" si="134"/>
        <v>1</v>
      </c>
      <c r="N1483">
        <f>IF(SUM(I1483:J1483)&lt;=($G$11/60*$F$11/($E$11/60)),1,0)</f>
        <v>0</v>
      </c>
    </row>
    <row r="1484" spans="4:14" x14ac:dyDescent="0.2">
      <c r="D1484">
        <f t="shared" si="136"/>
        <v>1461</v>
      </c>
      <c r="E1484" s="1">
        <f>IF($H$11=1,IF(D1484&lt;=$A$15, E1483+LN($D$11)-LN(60/$E$11)-LN(MIN(D1484,$F$11)), E1483-LN(60/$E$11)-LN(MIN(D1484,$F$11))), IF(D1484&lt;=$A$15, E1483+LN($D$11)-LN(60/$E$11)-LN(MIN(D1484,$F$11)), E1483+LN($D$11)+LN(1-$H$11)-LN(60/$E$11)-LN(MIN(D1484,$F$11))))</f>
        <v>-175.43209838803105</v>
      </c>
      <c r="F1484" s="1">
        <f t="shared" si="137"/>
        <v>-177.4341311972301</v>
      </c>
      <c r="G1484" s="1">
        <f t="shared" si="135"/>
        <v>8.7364685880450329E-78</v>
      </c>
      <c r="H1484" s="1">
        <f t="shared" si="132"/>
        <v>8.5754801532436527E-79</v>
      </c>
      <c r="I1484">
        <f>IF($F$11&lt;=D1484, IF(D1484&lt;=$A$15,D1484-$F$11,$C$11),0)</f>
        <v>60</v>
      </c>
      <c r="J1484">
        <f t="shared" si="133"/>
        <v>1397</v>
      </c>
      <c r="K1484" s="5">
        <f>IF(D1484&lt;$F$11,H1484,0)</f>
        <v>0</v>
      </c>
      <c r="L1484">
        <f>IF(D1484&lt;$A$15,$D$11,$D$11*(1-$H$11))</f>
        <v>85</v>
      </c>
      <c r="M1484">
        <f t="shared" si="134"/>
        <v>1</v>
      </c>
      <c r="N1484">
        <f>IF(SUM(I1484:J1484)&lt;=($G$11/60*$F$11/($E$11/60)),1,0)</f>
        <v>0</v>
      </c>
    </row>
    <row r="1485" spans="4:14" x14ac:dyDescent="0.2">
      <c r="D1485">
        <f t="shared" si="136"/>
        <v>1462</v>
      </c>
      <c r="E1485" s="1">
        <f>IF($H$11=1,IF(D1485&lt;=$A$15, E1484+LN($D$11)-LN(60/$E$11)-LN(MIN(D1485,$F$11)), E1484-LN(60/$E$11)-LN(MIN(D1485,$F$11))), IF(D1485&lt;=$A$15, E1484+LN($D$11)-LN(60/$E$11)-LN(MIN(D1485,$F$11)), E1484+LN($D$11)+LN(1-$H$11)-LN(60/$E$11)-LN(MIN(D1485,$F$11))))</f>
        <v>-175.55379532300859</v>
      </c>
      <c r="F1485" s="1">
        <f t="shared" si="137"/>
        <v>-177.55582813220764</v>
      </c>
      <c r="G1485" s="1">
        <f t="shared" si="135"/>
        <v>7.7354148956647513E-78</v>
      </c>
      <c r="H1485" s="1">
        <f t="shared" si="132"/>
        <v>7.5928730523510312E-79</v>
      </c>
      <c r="I1485">
        <f>IF($F$11&lt;=D1485, IF(D1485&lt;=$A$15,D1485-$F$11,$C$11),0)</f>
        <v>60</v>
      </c>
      <c r="J1485">
        <f t="shared" si="133"/>
        <v>1398</v>
      </c>
      <c r="K1485" s="5">
        <f>IF(D1485&lt;$F$11,H1485,0)</f>
        <v>0</v>
      </c>
      <c r="L1485">
        <f>IF(D1485&lt;$A$15,$D$11,$D$11*(1-$H$11))</f>
        <v>85</v>
      </c>
      <c r="M1485">
        <f t="shared" si="134"/>
        <v>1</v>
      </c>
      <c r="N1485">
        <f>IF(SUM(I1485:J1485)&lt;=($G$11/60*$F$11/($E$11/60)),1,0)</f>
        <v>0</v>
      </c>
    </row>
    <row r="1486" spans="4:14" x14ac:dyDescent="0.2">
      <c r="D1486">
        <f t="shared" si="136"/>
        <v>1463</v>
      </c>
      <c r="E1486" s="1">
        <f>IF($H$11=1,IF(D1486&lt;=$A$15, E1485+LN($D$11)-LN(60/$E$11)-LN(MIN(D1486,$F$11)), E1485-LN(60/$E$11)-LN(MIN(D1486,$F$11))), IF(D1486&lt;=$A$15, E1485+LN($D$11)-LN(60/$E$11)-LN(MIN(D1486,$F$11)), E1485+LN($D$11)+LN(1-$H$11)-LN(60/$E$11)-LN(MIN(D1486,$F$11))))</f>
        <v>-175.67549225798612</v>
      </c>
      <c r="F1486" s="1">
        <f t="shared" si="137"/>
        <v>-177.67752506718517</v>
      </c>
      <c r="G1486" s="1">
        <f t="shared" si="135"/>
        <v>6.8490652722030582E-78</v>
      </c>
      <c r="H1486" s="1">
        <f t="shared" si="132"/>
        <v>6.7228563484357037E-79</v>
      </c>
      <c r="I1486">
        <f>IF($F$11&lt;=D1486, IF(D1486&lt;=$A$15,D1486-$F$11,$C$11),0)</f>
        <v>60</v>
      </c>
      <c r="J1486">
        <f t="shared" si="133"/>
        <v>1399</v>
      </c>
      <c r="K1486" s="5">
        <f>IF(D1486&lt;$F$11,H1486,0)</f>
        <v>0</v>
      </c>
      <c r="L1486">
        <f>IF(D1486&lt;$A$15,$D$11,$D$11*(1-$H$11))</f>
        <v>85</v>
      </c>
      <c r="M1486">
        <f t="shared" si="134"/>
        <v>1</v>
      </c>
      <c r="N1486">
        <f>IF(SUM(I1486:J1486)&lt;=($G$11/60*$F$11/($E$11/60)),1,0)</f>
        <v>0</v>
      </c>
    </row>
    <row r="1487" spans="4:14" x14ac:dyDescent="0.2">
      <c r="D1487">
        <f t="shared" si="136"/>
        <v>1464</v>
      </c>
      <c r="E1487" s="1">
        <f>IF($H$11=1,IF(D1487&lt;=$A$15, E1486+LN($D$11)-LN(60/$E$11)-LN(MIN(D1487,$F$11)), E1486-LN(60/$E$11)-LN(MIN(D1487,$F$11))), IF(D1487&lt;=$A$15, E1486+LN($D$11)-LN(60/$E$11)-LN(MIN(D1487,$F$11)), E1486+LN($D$11)+LN(1-$H$11)-LN(60/$E$11)-LN(MIN(D1487,$F$11))))</f>
        <v>-175.79718919296366</v>
      </c>
      <c r="F1487" s="1">
        <f t="shared" si="137"/>
        <v>-177.79922200216271</v>
      </c>
      <c r="G1487" s="1">
        <f t="shared" si="135"/>
        <v>6.0642765430963635E-78</v>
      </c>
      <c r="H1487" s="1">
        <f t="shared" si="132"/>
        <v>5.9525290585106874E-79</v>
      </c>
      <c r="I1487">
        <f>IF($F$11&lt;=D1487, IF(D1487&lt;=$A$15,D1487-$F$11,$C$11),0)</f>
        <v>60</v>
      </c>
      <c r="J1487">
        <f t="shared" si="133"/>
        <v>1400</v>
      </c>
      <c r="K1487" s="5">
        <f>IF(D1487&lt;$F$11,H1487,0)</f>
        <v>0</v>
      </c>
      <c r="L1487">
        <f>IF(D1487&lt;$A$15,$D$11,$D$11*(1-$H$11))</f>
        <v>85</v>
      </c>
      <c r="M1487">
        <f t="shared" si="134"/>
        <v>1</v>
      </c>
      <c r="N1487">
        <f>IF(SUM(I1487:J1487)&lt;=($G$11/60*$F$11/($E$11/60)),1,0)</f>
        <v>0</v>
      </c>
    </row>
    <row r="1488" spans="4:14" x14ac:dyDescent="0.2">
      <c r="D1488">
        <f t="shared" si="136"/>
        <v>1465</v>
      </c>
      <c r="E1488" s="1">
        <f>IF($H$11=1,IF(D1488&lt;=$A$15, E1487+LN($D$11)-LN(60/$E$11)-LN(MIN(D1488,$F$11)), E1487-LN(60/$E$11)-LN(MIN(D1488,$F$11))), IF(D1488&lt;=$A$15, E1487+LN($D$11)-LN(60/$E$11)-LN(MIN(D1488,$F$11)), E1487+LN($D$11)+LN(1-$H$11)-LN(60/$E$11)-LN(MIN(D1488,$F$11))))</f>
        <v>-175.91888612794119</v>
      </c>
      <c r="F1488" s="1">
        <f t="shared" si="137"/>
        <v>-177.92091893714024</v>
      </c>
      <c r="G1488" s="1">
        <f t="shared" si="135"/>
        <v>5.369411522533154E-78</v>
      </c>
      <c r="H1488" s="1">
        <f t="shared" si="132"/>
        <v>5.2704684372229212E-79</v>
      </c>
      <c r="I1488">
        <f>IF($F$11&lt;=D1488, IF(D1488&lt;=$A$15,D1488-$F$11,$C$11),0)</f>
        <v>60</v>
      </c>
      <c r="J1488">
        <f t="shared" si="133"/>
        <v>1401</v>
      </c>
      <c r="K1488" s="5">
        <f>IF(D1488&lt;$F$11,H1488,0)</f>
        <v>0</v>
      </c>
      <c r="L1488">
        <f>IF(D1488&lt;$A$15,$D$11,$D$11*(1-$H$11))</f>
        <v>85</v>
      </c>
      <c r="M1488">
        <f t="shared" si="134"/>
        <v>1</v>
      </c>
      <c r="N1488">
        <f>IF(SUM(I1488:J1488)&lt;=($G$11/60*$F$11/($E$11/60)),1,0)</f>
        <v>0</v>
      </c>
    </row>
    <row r="1489" spans="4:14" x14ac:dyDescent="0.2">
      <c r="D1489">
        <f t="shared" si="136"/>
        <v>1466</v>
      </c>
      <c r="E1489" s="1">
        <f>IF($H$11=1,IF(D1489&lt;=$A$15, E1488+LN($D$11)-LN(60/$E$11)-LN(MIN(D1489,$F$11)), E1488-LN(60/$E$11)-LN(MIN(D1489,$F$11))), IF(D1489&lt;=$A$15, E1488+LN($D$11)-LN(60/$E$11)-LN(MIN(D1489,$F$11)), E1488+LN($D$11)+LN(1-$H$11)-LN(60/$E$11)-LN(MIN(D1489,$F$11))))</f>
        <v>-176.04058306291873</v>
      </c>
      <c r="F1489" s="1">
        <f t="shared" si="137"/>
        <v>-178.04261587211778</v>
      </c>
      <c r="G1489" s="1">
        <f t="shared" si="135"/>
        <v>4.7541664522428222E-78</v>
      </c>
      <c r="H1489" s="1">
        <f t="shared" si="132"/>
        <v>4.6665605954577216E-79</v>
      </c>
      <c r="I1489">
        <f>IF($F$11&lt;=D1489, IF(D1489&lt;=$A$15,D1489-$F$11,$C$11),0)</f>
        <v>60</v>
      </c>
      <c r="J1489">
        <f t="shared" si="133"/>
        <v>1402</v>
      </c>
      <c r="K1489" s="5">
        <f>IF(D1489&lt;$F$11,H1489,0)</f>
        <v>0</v>
      </c>
      <c r="L1489">
        <f>IF(D1489&lt;$A$15,$D$11,$D$11*(1-$H$11))</f>
        <v>85</v>
      </c>
      <c r="M1489">
        <f t="shared" si="134"/>
        <v>1</v>
      </c>
      <c r="N1489">
        <f>IF(SUM(I1489:J1489)&lt;=($G$11/60*$F$11/($E$11/60)),1,0)</f>
        <v>0</v>
      </c>
    </row>
    <row r="1490" spans="4:14" x14ac:dyDescent="0.2">
      <c r="D1490">
        <f t="shared" si="136"/>
        <v>1467</v>
      </c>
      <c r="E1490" s="1">
        <f>IF($H$11=1,IF(D1490&lt;=$A$15, E1489+LN($D$11)-LN(60/$E$11)-LN(MIN(D1490,$F$11)), E1489-LN(60/$E$11)-LN(MIN(D1490,$F$11))), IF(D1490&lt;=$A$15, E1489+LN($D$11)-LN(60/$E$11)-LN(MIN(D1490,$F$11)), E1489+LN($D$11)+LN(1-$H$11)-LN(60/$E$11)-LN(MIN(D1490,$F$11))))</f>
        <v>-176.16227999789626</v>
      </c>
      <c r="F1490" s="1">
        <f t="shared" si="137"/>
        <v>-178.16431280709531</v>
      </c>
      <c r="G1490" s="1">
        <f t="shared" si="135"/>
        <v>4.2094182129232668E-78</v>
      </c>
      <c r="H1490" s="1">
        <f t="shared" si="132"/>
        <v>4.1318505272281264E-79</v>
      </c>
      <c r="I1490">
        <f>IF($F$11&lt;=D1490, IF(D1490&lt;=$A$15,D1490-$F$11,$C$11),0)</f>
        <v>60</v>
      </c>
      <c r="J1490">
        <f t="shared" si="133"/>
        <v>1403</v>
      </c>
      <c r="K1490" s="5">
        <f>IF(D1490&lt;$F$11,H1490,0)</f>
        <v>0</v>
      </c>
      <c r="L1490">
        <f>IF(D1490&lt;$A$15,$D$11,$D$11*(1-$H$11))</f>
        <v>85</v>
      </c>
      <c r="M1490">
        <f t="shared" si="134"/>
        <v>1</v>
      </c>
      <c r="N1490">
        <f>IF(SUM(I1490:J1490)&lt;=($G$11/60*$F$11/($E$11/60)),1,0)</f>
        <v>0</v>
      </c>
    </row>
    <row r="1491" spans="4:14" x14ac:dyDescent="0.2">
      <c r="D1491">
        <f t="shared" si="136"/>
        <v>1468</v>
      </c>
      <c r="E1491" s="1">
        <f>IF($H$11=1,IF(D1491&lt;=$A$15, E1490+LN($D$11)-LN(60/$E$11)-LN(MIN(D1491,$F$11)), E1490-LN(60/$E$11)-LN(MIN(D1491,$F$11))), IF(D1491&lt;=$A$15, E1490+LN($D$11)-LN(60/$E$11)-LN(MIN(D1491,$F$11)), E1490+LN($D$11)+LN(1-$H$11)-LN(60/$E$11)-LN(MIN(D1491,$F$11))))</f>
        <v>-176.2839769328738</v>
      </c>
      <c r="F1491" s="1">
        <f t="shared" si="137"/>
        <v>-178.28600974207285</v>
      </c>
      <c r="G1491" s="1">
        <f t="shared" si="135"/>
        <v>3.7270890426924174E-78</v>
      </c>
      <c r="H1491" s="1">
        <f t="shared" si="132"/>
        <v>3.6584093209831799E-79</v>
      </c>
      <c r="I1491">
        <f>IF($F$11&lt;=D1491, IF(D1491&lt;=$A$15,D1491-$F$11,$C$11),0)</f>
        <v>60</v>
      </c>
      <c r="J1491">
        <f t="shared" si="133"/>
        <v>1404</v>
      </c>
      <c r="K1491" s="5">
        <f>IF(D1491&lt;$F$11,H1491,0)</f>
        <v>0</v>
      </c>
      <c r="L1491">
        <f>IF(D1491&lt;$A$15,$D$11,$D$11*(1-$H$11))</f>
        <v>85</v>
      </c>
      <c r="M1491">
        <f t="shared" si="134"/>
        <v>1</v>
      </c>
      <c r="N1491">
        <f>IF(SUM(I1491:J1491)&lt;=($G$11/60*$F$11/($E$11/60)),1,0)</f>
        <v>0</v>
      </c>
    </row>
    <row r="1492" spans="4:14" x14ac:dyDescent="0.2">
      <c r="D1492">
        <f t="shared" si="136"/>
        <v>1469</v>
      </c>
      <c r="E1492" s="1">
        <f>IF($H$11=1,IF(D1492&lt;=$A$15, E1491+LN($D$11)-LN(60/$E$11)-LN(MIN(D1492,$F$11)), E1491-LN(60/$E$11)-LN(MIN(D1492,$F$11))), IF(D1492&lt;=$A$15, E1491+LN($D$11)-LN(60/$E$11)-LN(MIN(D1492,$F$11)), E1491+LN($D$11)+LN(1-$H$11)-LN(60/$E$11)-LN(MIN(D1492,$F$11))))</f>
        <v>-176.40567386785133</v>
      </c>
      <c r="F1492" s="1">
        <f t="shared" si="137"/>
        <v>-178.40770667705038</v>
      </c>
      <c r="G1492" s="1">
        <f t="shared" si="135"/>
        <v>3.3000267565505265E-78</v>
      </c>
      <c r="H1492" s="1">
        <f t="shared" si="132"/>
        <v>3.23921658628714E-79</v>
      </c>
      <c r="I1492">
        <f>IF($F$11&lt;=D1492, IF(D1492&lt;=$A$15,D1492-$F$11,$C$11),0)</f>
        <v>60</v>
      </c>
      <c r="J1492">
        <f t="shared" si="133"/>
        <v>1405</v>
      </c>
      <c r="K1492" s="5">
        <f>IF(D1492&lt;$F$11,H1492,0)</f>
        <v>0</v>
      </c>
      <c r="L1492">
        <f>IF(D1492&lt;$A$15,$D$11,$D$11*(1-$H$11))</f>
        <v>85</v>
      </c>
      <c r="M1492">
        <f t="shared" si="134"/>
        <v>1</v>
      </c>
      <c r="N1492">
        <f>IF(SUM(I1492:J1492)&lt;=($G$11/60*$F$11/($E$11/60)),1,0)</f>
        <v>0</v>
      </c>
    </row>
    <row r="1493" spans="4:14" x14ac:dyDescent="0.2">
      <c r="D1493">
        <f t="shared" si="136"/>
        <v>1470</v>
      </c>
      <c r="E1493" s="1">
        <f>IF($H$11=1,IF(D1493&lt;=$A$15, E1492+LN($D$11)-LN(60/$E$11)-LN(MIN(D1493,$F$11)), E1492-LN(60/$E$11)-LN(MIN(D1493,$F$11))), IF(D1493&lt;=$A$15, E1492+LN($D$11)-LN(60/$E$11)-LN(MIN(D1493,$F$11)), E1492+LN($D$11)+LN(1-$H$11)-LN(60/$E$11)-LN(MIN(D1493,$F$11))))</f>
        <v>-176.52737080282887</v>
      </c>
      <c r="F1493" s="1">
        <f t="shared" si="137"/>
        <v>-178.52940361202792</v>
      </c>
      <c r="G1493" s="1">
        <f t="shared" si="135"/>
        <v>2.9218986906957329E-78</v>
      </c>
      <c r="H1493" s="1">
        <f t="shared" si="132"/>
        <v>2.8680563524416934E-79</v>
      </c>
      <c r="I1493">
        <f>IF($F$11&lt;=D1493, IF(D1493&lt;=$A$15,D1493-$F$11,$C$11),0)</f>
        <v>60</v>
      </c>
      <c r="J1493">
        <f t="shared" si="133"/>
        <v>1406</v>
      </c>
      <c r="K1493" s="5">
        <f>IF(D1493&lt;$F$11,H1493,0)</f>
        <v>0</v>
      </c>
      <c r="L1493">
        <f>IF(D1493&lt;$A$15,$D$11,$D$11*(1-$H$11))</f>
        <v>85</v>
      </c>
      <c r="M1493">
        <f t="shared" si="134"/>
        <v>1</v>
      </c>
      <c r="N1493">
        <f>IF(SUM(I1493:J1493)&lt;=($G$11/60*$F$11/($E$11/60)),1,0)</f>
        <v>0</v>
      </c>
    </row>
    <row r="1494" spans="4:14" x14ac:dyDescent="0.2">
      <c r="D1494">
        <f t="shared" si="136"/>
        <v>1471</v>
      </c>
      <c r="E1494" s="1">
        <f>IF($H$11=1,IF(D1494&lt;=$A$15, E1493+LN($D$11)-LN(60/$E$11)-LN(MIN(D1494,$F$11)), E1493-LN(60/$E$11)-LN(MIN(D1494,$F$11))), IF(D1494&lt;=$A$15, E1493+LN($D$11)-LN(60/$E$11)-LN(MIN(D1494,$F$11)), E1493+LN($D$11)+LN(1-$H$11)-LN(60/$E$11)-LN(MIN(D1494,$F$11))))</f>
        <v>-176.6490677378064</v>
      </c>
      <c r="F1494" s="1">
        <f t="shared" si="137"/>
        <v>-178.65110054700546</v>
      </c>
      <c r="G1494" s="1">
        <f t="shared" si="135"/>
        <v>2.587097799053473E-78</v>
      </c>
      <c r="H1494" s="1">
        <f t="shared" si="132"/>
        <v>2.5394248953910431E-79</v>
      </c>
      <c r="I1494">
        <f>IF($F$11&lt;=D1494, IF(D1494&lt;=$A$15,D1494-$F$11,$C$11),0)</f>
        <v>60</v>
      </c>
      <c r="J1494">
        <f t="shared" si="133"/>
        <v>1407</v>
      </c>
      <c r="K1494" s="5">
        <f>IF(D1494&lt;$F$11,H1494,0)</f>
        <v>0</v>
      </c>
      <c r="L1494">
        <f>IF(D1494&lt;$A$15,$D$11,$D$11*(1-$H$11))</f>
        <v>85</v>
      </c>
      <c r="M1494">
        <f t="shared" si="134"/>
        <v>1</v>
      </c>
      <c r="N1494">
        <f>IF(SUM(I1494:J1494)&lt;=($G$11/60*$F$11/($E$11/60)),1,0)</f>
        <v>0</v>
      </c>
    </row>
    <row r="1495" spans="4:14" x14ac:dyDescent="0.2">
      <c r="D1495">
        <f t="shared" si="136"/>
        <v>1472</v>
      </c>
      <c r="E1495" s="1">
        <f>IF($H$11=1,IF(D1495&lt;=$A$15, E1494+LN($D$11)-LN(60/$E$11)-LN(MIN(D1495,$F$11)), E1494-LN(60/$E$11)-LN(MIN(D1495,$F$11))), IF(D1495&lt;=$A$15, E1494+LN($D$11)-LN(60/$E$11)-LN(MIN(D1495,$F$11)), E1494+LN($D$11)+LN(1-$H$11)-LN(60/$E$11)-LN(MIN(D1495,$F$11))))</f>
        <v>-176.77076467278394</v>
      </c>
      <c r="F1495" s="1">
        <f t="shared" si="137"/>
        <v>-178.77279748198299</v>
      </c>
      <c r="G1495" s="1">
        <f t="shared" si="135"/>
        <v>2.2906595095785601E-78</v>
      </c>
      <c r="H1495" s="1">
        <f t="shared" ref="H1495:H1558" si="138">G1495/$G$21</f>
        <v>2.2484491261274511E-79</v>
      </c>
      <c r="I1495">
        <f>IF($F$11&lt;=D1495, IF(D1495&lt;=$A$15,D1495-$F$11,$C$11),0)</f>
        <v>60</v>
      </c>
      <c r="J1495">
        <f t="shared" ref="J1495:J1558" si="139">IF(D1495&lt;=$A$15,0,D1495-$A$15)</f>
        <v>1408</v>
      </c>
      <c r="K1495" s="5">
        <f>IF(D1495&lt;$F$11,H1495,0)</f>
        <v>0</v>
      </c>
      <c r="L1495">
        <f>IF(D1495&lt;$A$15,$D$11,$D$11*(1-$H$11))</f>
        <v>85</v>
      </c>
      <c r="M1495">
        <f t="shared" ref="M1495:M1558" si="140">IF(D1495&lt;$A$15,0,1)</f>
        <v>1</v>
      </c>
      <c r="N1495">
        <f>IF(SUM(I1495:J1495)&lt;=($G$11/60*$F$11/($E$11/60)),1,0)</f>
        <v>0</v>
      </c>
    </row>
    <row r="1496" spans="4:14" x14ac:dyDescent="0.2">
      <c r="D1496">
        <f t="shared" si="136"/>
        <v>1473</v>
      </c>
      <c r="E1496" s="1">
        <f>IF($H$11=1,IF(D1496&lt;=$A$15, E1495+LN($D$11)-LN(60/$E$11)-LN(MIN(D1496,$F$11)), E1495-LN(60/$E$11)-LN(MIN(D1496,$F$11))), IF(D1496&lt;=$A$15, E1495+LN($D$11)-LN(60/$E$11)-LN(MIN(D1496,$F$11)), E1495+LN($D$11)+LN(1-$H$11)-LN(60/$E$11)-LN(MIN(D1496,$F$11))))</f>
        <v>-176.89246160776148</v>
      </c>
      <c r="F1496" s="1">
        <f t="shared" si="137"/>
        <v>-178.89449441696053</v>
      </c>
      <c r="G1496" s="1">
        <f t="shared" ref="G1496:G1559" si="141">EXP(F1496)</f>
        <v>2.0281881074393184E-78</v>
      </c>
      <c r="H1496" s="1">
        <f t="shared" si="138"/>
        <v>1.9908143304253161E-79</v>
      </c>
      <c r="I1496">
        <f>IF($F$11&lt;=D1496, IF(D1496&lt;=$A$15,D1496-$F$11,$C$11),0)</f>
        <v>60</v>
      </c>
      <c r="J1496">
        <f t="shared" si="139"/>
        <v>1409</v>
      </c>
      <c r="K1496" s="5">
        <f>IF(D1496&lt;$F$11,H1496,0)</f>
        <v>0</v>
      </c>
      <c r="L1496">
        <f>IF(D1496&lt;$A$15,$D$11,$D$11*(1-$H$11))</f>
        <v>85</v>
      </c>
      <c r="M1496">
        <f t="shared" si="140"/>
        <v>1</v>
      </c>
      <c r="N1496">
        <f>IF(SUM(I1496:J1496)&lt;=($G$11/60*$F$11/($E$11/60)),1,0)</f>
        <v>0</v>
      </c>
    </row>
    <row r="1497" spans="4:14" x14ac:dyDescent="0.2">
      <c r="D1497">
        <f t="shared" ref="D1497:D1560" si="142">1+D1496</f>
        <v>1474</v>
      </c>
      <c r="E1497" s="1">
        <f>IF($H$11=1,IF(D1497&lt;=$A$15, E1496+LN($D$11)-LN(60/$E$11)-LN(MIN(D1497,$F$11)), E1496-LN(60/$E$11)-LN(MIN(D1497,$F$11))), IF(D1497&lt;=$A$15, E1496+LN($D$11)-LN(60/$E$11)-LN(MIN(D1497,$F$11)), E1496+LN($D$11)+LN(1-$H$11)-LN(60/$E$11)-LN(MIN(D1497,$F$11))))</f>
        <v>-177.01415854273901</v>
      </c>
      <c r="F1497" s="1">
        <f t="shared" ref="F1497:F1560" si="143">E1497-$E$21</f>
        <v>-179.01619135193806</v>
      </c>
      <c r="G1497" s="1">
        <f t="shared" si="141"/>
        <v>1.7957915534618683E-78</v>
      </c>
      <c r="H1497" s="1">
        <f t="shared" si="138"/>
        <v>1.7627001883973876E-79</v>
      </c>
      <c r="I1497">
        <f>IF($F$11&lt;=D1497, IF(D1497&lt;=$A$15,D1497-$F$11,$C$11),0)</f>
        <v>60</v>
      </c>
      <c r="J1497">
        <f t="shared" si="139"/>
        <v>1410</v>
      </c>
      <c r="K1497" s="5">
        <f>IF(D1497&lt;$F$11,H1497,0)</f>
        <v>0</v>
      </c>
      <c r="L1497">
        <f>IF(D1497&lt;$A$15,$D$11,$D$11*(1-$H$11))</f>
        <v>85</v>
      </c>
      <c r="M1497">
        <f t="shared" si="140"/>
        <v>1</v>
      </c>
      <c r="N1497">
        <f>IF(SUM(I1497:J1497)&lt;=($G$11/60*$F$11/($E$11/60)),1,0)</f>
        <v>0</v>
      </c>
    </row>
    <row r="1498" spans="4:14" x14ac:dyDescent="0.2">
      <c r="D1498">
        <f t="shared" si="142"/>
        <v>1475</v>
      </c>
      <c r="E1498" s="1">
        <f>IF($H$11=1,IF(D1498&lt;=$A$15, E1497+LN($D$11)-LN(60/$E$11)-LN(MIN(D1498,$F$11)), E1497-LN(60/$E$11)-LN(MIN(D1498,$F$11))), IF(D1498&lt;=$A$15, E1497+LN($D$11)-LN(60/$E$11)-LN(MIN(D1498,$F$11)), E1497+LN($D$11)+LN(1-$H$11)-LN(60/$E$11)-LN(MIN(D1498,$F$11))))</f>
        <v>-177.13585547771655</v>
      </c>
      <c r="F1498" s="1">
        <f t="shared" si="143"/>
        <v>-179.1378882869156</v>
      </c>
      <c r="G1498" s="1">
        <f t="shared" si="141"/>
        <v>1.5900237712943378E-78</v>
      </c>
      <c r="H1498" s="1">
        <f t="shared" si="138"/>
        <v>1.5607241251434961E-79</v>
      </c>
      <c r="I1498">
        <f>IF($F$11&lt;=D1498, IF(D1498&lt;=$A$15,D1498-$F$11,$C$11),0)</f>
        <v>60</v>
      </c>
      <c r="J1498">
        <f t="shared" si="139"/>
        <v>1411</v>
      </c>
      <c r="K1498" s="5">
        <f>IF(D1498&lt;$F$11,H1498,0)</f>
        <v>0</v>
      </c>
      <c r="L1498">
        <f>IF(D1498&lt;$A$15,$D$11,$D$11*(1-$H$11))</f>
        <v>85</v>
      </c>
      <c r="M1498">
        <f t="shared" si="140"/>
        <v>1</v>
      </c>
      <c r="N1498">
        <f>IF(SUM(I1498:J1498)&lt;=($G$11/60*$F$11/($E$11/60)),1,0)</f>
        <v>0</v>
      </c>
    </row>
    <row r="1499" spans="4:14" x14ac:dyDescent="0.2">
      <c r="D1499">
        <f t="shared" si="142"/>
        <v>1476</v>
      </c>
      <c r="E1499" s="1">
        <f>IF($H$11=1,IF(D1499&lt;=$A$15, E1498+LN($D$11)-LN(60/$E$11)-LN(MIN(D1499,$F$11)), E1498-LN(60/$E$11)-LN(MIN(D1499,$F$11))), IF(D1499&lt;=$A$15, E1498+LN($D$11)-LN(60/$E$11)-LN(MIN(D1499,$F$11)), E1498+LN($D$11)+LN(1-$H$11)-LN(60/$E$11)-LN(MIN(D1499,$F$11))))</f>
        <v>-177.25755241269408</v>
      </c>
      <c r="F1499" s="1">
        <f t="shared" si="143"/>
        <v>-179.25958522189313</v>
      </c>
      <c r="G1499" s="1">
        <f t="shared" si="141"/>
        <v>1.407833547500173E-78</v>
      </c>
      <c r="H1499" s="1">
        <f t="shared" si="138"/>
        <v>1.3818911524707822E-79</v>
      </c>
      <c r="I1499">
        <f>IF($F$11&lt;=D1499, IF(D1499&lt;=$A$15,D1499-$F$11,$C$11),0)</f>
        <v>60</v>
      </c>
      <c r="J1499">
        <f t="shared" si="139"/>
        <v>1412</v>
      </c>
      <c r="K1499" s="5">
        <f>IF(D1499&lt;$F$11,H1499,0)</f>
        <v>0</v>
      </c>
      <c r="L1499">
        <f>IF(D1499&lt;$A$15,$D$11,$D$11*(1-$H$11))</f>
        <v>85</v>
      </c>
      <c r="M1499">
        <f t="shared" si="140"/>
        <v>1</v>
      </c>
      <c r="N1499">
        <f>IF(SUM(I1499:J1499)&lt;=($G$11/60*$F$11/($E$11/60)),1,0)</f>
        <v>0</v>
      </c>
    </row>
    <row r="1500" spans="4:14" x14ac:dyDescent="0.2">
      <c r="D1500">
        <f t="shared" si="142"/>
        <v>1477</v>
      </c>
      <c r="E1500" s="1">
        <f>IF($H$11=1,IF(D1500&lt;=$A$15, E1499+LN($D$11)-LN(60/$E$11)-LN(MIN(D1500,$F$11)), E1499-LN(60/$E$11)-LN(MIN(D1500,$F$11))), IF(D1500&lt;=$A$15, E1499+LN($D$11)-LN(60/$E$11)-LN(MIN(D1500,$F$11)), E1499+LN($D$11)+LN(1-$H$11)-LN(60/$E$11)-LN(MIN(D1500,$F$11))))</f>
        <v>-177.37924934767162</v>
      </c>
      <c r="F1500" s="1">
        <f t="shared" si="143"/>
        <v>-179.38128215687067</v>
      </c>
      <c r="G1500" s="1">
        <f t="shared" si="141"/>
        <v>1.2465192868490919E-78</v>
      </c>
      <c r="H1500" s="1">
        <f t="shared" si="138"/>
        <v>1.2235494579168192E-79</v>
      </c>
      <c r="I1500">
        <f>IF($F$11&lt;=D1500, IF(D1500&lt;=$A$15,D1500-$F$11,$C$11),0)</f>
        <v>60</v>
      </c>
      <c r="J1500">
        <f t="shared" si="139"/>
        <v>1413</v>
      </c>
      <c r="K1500" s="5">
        <f>IF(D1500&lt;$F$11,H1500,0)</f>
        <v>0</v>
      </c>
      <c r="L1500">
        <f>IF(D1500&lt;$A$15,$D$11,$D$11*(1-$H$11))</f>
        <v>85</v>
      </c>
      <c r="M1500">
        <f t="shared" si="140"/>
        <v>1</v>
      </c>
      <c r="N1500">
        <f>IF(SUM(I1500:J1500)&lt;=($G$11/60*$F$11/($E$11/60)),1,0)</f>
        <v>0</v>
      </c>
    </row>
    <row r="1501" spans="4:14" x14ac:dyDescent="0.2">
      <c r="D1501">
        <f t="shared" si="142"/>
        <v>1478</v>
      </c>
      <c r="E1501" s="1">
        <f>IF($H$11=1,IF(D1501&lt;=$A$15, E1500+LN($D$11)-LN(60/$E$11)-LN(MIN(D1501,$F$11)), E1500-LN(60/$E$11)-LN(MIN(D1501,$F$11))), IF(D1501&lt;=$A$15, E1500+LN($D$11)-LN(60/$E$11)-LN(MIN(D1501,$F$11)), E1500+LN($D$11)+LN(1-$H$11)-LN(60/$E$11)-LN(MIN(D1501,$F$11))))</f>
        <v>-177.50094628264915</v>
      </c>
      <c r="F1501" s="1">
        <f t="shared" si="143"/>
        <v>-179.5029790918482</v>
      </c>
      <c r="G1501" s="1">
        <f t="shared" si="141"/>
        <v>1.1036889518976162E-78</v>
      </c>
      <c r="H1501" s="1">
        <f t="shared" si="138"/>
        <v>1.0833510825305E-79</v>
      </c>
      <c r="I1501">
        <f>IF($F$11&lt;=D1501, IF(D1501&lt;=$A$15,D1501-$F$11,$C$11),0)</f>
        <v>60</v>
      </c>
      <c r="J1501">
        <f t="shared" si="139"/>
        <v>1414</v>
      </c>
      <c r="K1501" s="5">
        <f>IF(D1501&lt;$F$11,H1501,0)</f>
        <v>0</v>
      </c>
      <c r="L1501">
        <f>IF(D1501&lt;$A$15,$D$11,$D$11*(1-$H$11))</f>
        <v>85</v>
      </c>
      <c r="M1501">
        <f t="shared" si="140"/>
        <v>1</v>
      </c>
      <c r="N1501">
        <f>IF(SUM(I1501:J1501)&lt;=($G$11/60*$F$11/($E$11/60)),1,0)</f>
        <v>0</v>
      </c>
    </row>
    <row r="1502" spans="4:14" x14ac:dyDescent="0.2">
      <c r="D1502">
        <f t="shared" si="142"/>
        <v>1479</v>
      </c>
      <c r="E1502" s="1">
        <f>IF($H$11=1,IF(D1502&lt;=$A$15, E1501+LN($D$11)-LN(60/$E$11)-LN(MIN(D1502,$F$11)), E1501-LN(60/$E$11)-LN(MIN(D1502,$F$11))), IF(D1502&lt;=$A$15, E1501+LN($D$11)-LN(60/$E$11)-LN(MIN(D1502,$F$11)), E1501+LN($D$11)+LN(1-$H$11)-LN(60/$E$11)-LN(MIN(D1502,$F$11))))</f>
        <v>-177.62264321762669</v>
      </c>
      <c r="F1502" s="1">
        <f t="shared" si="143"/>
        <v>-179.62467602682574</v>
      </c>
      <c r="G1502" s="1">
        <f t="shared" si="141"/>
        <v>9.7722459282599907E-79</v>
      </c>
      <c r="H1502" s="1">
        <f t="shared" si="138"/>
        <v>9.5921710432386519E-80</v>
      </c>
      <c r="I1502">
        <f>IF($F$11&lt;=D1502, IF(D1502&lt;=$A$15,D1502-$F$11,$C$11),0)</f>
        <v>60</v>
      </c>
      <c r="J1502">
        <f t="shared" si="139"/>
        <v>1415</v>
      </c>
      <c r="K1502" s="5">
        <f>IF(D1502&lt;$F$11,H1502,0)</f>
        <v>0</v>
      </c>
      <c r="L1502">
        <f>IF(D1502&lt;$A$15,$D$11,$D$11*(1-$H$11))</f>
        <v>85</v>
      </c>
      <c r="M1502">
        <f t="shared" si="140"/>
        <v>1</v>
      </c>
      <c r="N1502">
        <f>IF(SUM(I1502:J1502)&lt;=($G$11/60*$F$11/($E$11/60)),1,0)</f>
        <v>0</v>
      </c>
    </row>
    <row r="1503" spans="4:14" x14ac:dyDescent="0.2">
      <c r="D1503">
        <f t="shared" si="142"/>
        <v>1480</v>
      </c>
      <c r="E1503" s="1">
        <f>IF($H$11=1,IF(D1503&lt;=$A$15, E1502+LN($D$11)-LN(60/$E$11)-LN(MIN(D1503,$F$11)), E1502-LN(60/$E$11)-LN(MIN(D1503,$F$11))), IF(D1503&lt;=$A$15, E1502+LN($D$11)-LN(60/$E$11)-LN(MIN(D1503,$F$11)), E1502+LN($D$11)+LN(1-$H$11)-LN(60/$E$11)-LN(MIN(D1503,$F$11))))</f>
        <v>-177.74434015260422</v>
      </c>
      <c r="F1503" s="1">
        <f t="shared" si="143"/>
        <v>-179.74637296180327</v>
      </c>
      <c r="G1503" s="1">
        <f t="shared" si="141"/>
        <v>8.6525094156467315E-79</v>
      </c>
      <c r="H1503" s="1">
        <f t="shared" si="138"/>
        <v>8.4930681112007577E-80</v>
      </c>
      <c r="I1503">
        <f>IF($F$11&lt;=D1503, IF(D1503&lt;=$A$15,D1503-$F$11,$C$11),0)</f>
        <v>60</v>
      </c>
      <c r="J1503">
        <f t="shared" si="139"/>
        <v>1416</v>
      </c>
      <c r="K1503" s="5">
        <f>IF(D1503&lt;$F$11,H1503,0)</f>
        <v>0</v>
      </c>
      <c r="L1503">
        <f>IF(D1503&lt;$A$15,$D$11,$D$11*(1-$H$11))</f>
        <v>85</v>
      </c>
      <c r="M1503">
        <f t="shared" si="140"/>
        <v>1</v>
      </c>
      <c r="N1503">
        <f>IF(SUM(I1503:J1503)&lt;=($G$11/60*$F$11/($E$11/60)),1,0)</f>
        <v>0</v>
      </c>
    </row>
    <row r="1504" spans="4:14" x14ac:dyDescent="0.2">
      <c r="D1504">
        <f t="shared" si="142"/>
        <v>1481</v>
      </c>
      <c r="E1504" s="1">
        <f>IF($H$11=1,IF(D1504&lt;=$A$15, E1503+LN($D$11)-LN(60/$E$11)-LN(MIN(D1504,$F$11)), E1503-LN(60/$E$11)-LN(MIN(D1504,$F$11))), IF(D1504&lt;=$A$15, E1503+LN($D$11)-LN(60/$E$11)-LN(MIN(D1504,$F$11)), E1503+LN($D$11)+LN(1-$H$11)-LN(60/$E$11)-LN(MIN(D1504,$F$11))))</f>
        <v>-177.86603708758176</v>
      </c>
      <c r="F1504" s="1">
        <f t="shared" si="143"/>
        <v>-179.86806989678081</v>
      </c>
      <c r="G1504" s="1">
        <f t="shared" si="141"/>
        <v>7.6610760451037576E-79</v>
      </c>
      <c r="H1504" s="1">
        <f t="shared" si="138"/>
        <v>7.5199040567922202E-80</v>
      </c>
      <c r="I1504">
        <f>IF($F$11&lt;=D1504, IF(D1504&lt;=$A$15,D1504-$F$11,$C$11),0)</f>
        <v>60</v>
      </c>
      <c r="J1504">
        <f t="shared" si="139"/>
        <v>1417</v>
      </c>
      <c r="K1504" s="5">
        <f>IF(D1504&lt;$F$11,H1504,0)</f>
        <v>0</v>
      </c>
      <c r="L1504">
        <f>IF(D1504&lt;$A$15,$D$11,$D$11*(1-$H$11))</f>
        <v>85</v>
      </c>
      <c r="M1504">
        <f t="shared" si="140"/>
        <v>1</v>
      </c>
      <c r="N1504">
        <f>IF(SUM(I1504:J1504)&lt;=($G$11/60*$F$11/($E$11/60)),1,0)</f>
        <v>0</v>
      </c>
    </row>
    <row r="1505" spans="4:14" x14ac:dyDescent="0.2">
      <c r="D1505">
        <f t="shared" si="142"/>
        <v>1482</v>
      </c>
      <c r="E1505" s="1">
        <f>IF($H$11=1,IF(D1505&lt;=$A$15, E1504+LN($D$11)-LN(60/$E$11)-LN(MIN(D1505,$F$11)), E1504-LN(60/$E$11)-LN(MIN(D1505,$F$11))), IF(D1505&lt;=$A$15, E1504+LN($D$11)-LN(60/$E$11)-LN(MIN(D1505,$F$11)), E1504+LN($D$11)+LN(1-$H$11)-LN(60/$E$11)-LN(MIN(D1505,$F$11))))</f>
        <v>-177.98773402255929</v>
      </c>
      <c r="F1505" s="1">
        <f t="shared" si="143"/>
        <v>-179.98976683175835</v>
      </c>
      <c r="G1505" s="1">
        <f t="shared" si="141"/>
        <v>6.7832444149355121E-79</v>
      </c>
      <c r="H1505" s="1">
        <f t="shared" si="138"/>
        <v>6.6582483836180071E-80</v>
      </c>
      <c r="I1505">
        <f>IF($F$11&lt;=D1505, IF(D1505&lt;=$A$15,D1505-$F$11,$C$11),0)</f>
        <v>60</v>
      </c>
      <c r="J1505">
        <f t="shared" si="139"/>
        <v>1418</v>
      </c>
      <c r="K1505" s="5">
        <f>IF(D1505&lt;$F$11,H1505,0)</f>
        <v>0</v>
      </c>
      <c r="L1505">
        <f>IF(D1505&lt;$A$15,$D$11,$D$11*(1-$H$11))</f>
        <v>85</v>
      </c>
      <c r="M1505">
        <f t="shared" si="140"/>
        <v>1</v>
      </c>
      <c r="N1505">
        <f>IF(SUM(I1505:J1505)&lt;=($G$11/60*$F$11/($E$11/60)),1,0)</f>
        <v>0</v>
      </c>
    </row>
    <row r="1506" spans="4:14" x14ac:dyDescent="0.2">
      <c r="D1506">
        <f t="shared" si="142"/>
        <v>1483</v>
      </c>
      <c r="E1506" s="1">
        <f>IF($H$11=1,IF(D1506&lt;=$A$15, E1505+LN($D$11)-LN(60/$E$11)-LN(MIN(D1506,$F$11)), E1505-LN(60/$E$11)-LN(MIN(D1506,$F$11))), IF(D1506&lt;=$A$15, E1505+LN($D$11)-LN(60/$E$11)-LN(MIN(D1506,$F$11)), E1505+LN($D$11)+LN(1-$H$11)-LN(60/$E$11)-LN(MIN(D1506,$F$11))))</f>
        <v>-178.10943095753683</v>
      </c>
      <c r="F1506" s="1">
        <f t="shared" si="143"/>
        <v>-180.11146376673588</v>
      </c>
      <c r="G1506" s="1">
        <f t="shared" si="141"/>
        <v>6.005997659057391E-79</v>
      </c>
      <c r="H1506" s="1">
        <f t="shared" si="138"/>
        <v>5.895324089661685E-80</v>
      </c>
      <c r="I1506">
        <f>IF($F$11&lt;=D1506, IF(D1506&lt;=$A$15,D1506-$F$11,$C$11),0)</f>
        <v>60</v>
      </c>
      <c r="J1506">
        <f t="shared" si="139"/>
        <v>1419</v>
      </c>
      <c r="K1506" s="5">
        <f>IF(D1506&lt;$F$11,H1506,0)</f>
        <v>0</v>
      </c>
      <c r="L1506">
        <f>IF(D1506&lt;$A$15,$D$11,$D$11*(1-$H$11))</f>
        <v>85</v>
      </c>
      <c r="M1506">
        <f t="shared" si="140"/>
        <v>1</v>
      </c>
      <c r="N1506">
        <f>IF(SUM(I1506:J1506)&lt;=($G$11/60*$F$11/($E$11/60)),1,0)</f>
        <v>0</v>
      </c>
    </row>
    <row r="1507" spans="4:14" x14ac:dyDescent="0.2">
      <c r="D1507">
        <f t="shared" si="142"/>
        <v>1484</v>
      </c>
      <c r="E1507" s="1">
        <f>IF($H$11=1,IF(D1507&lt;=$A$15, E1506+LN($D$11)-LN(60/$E$11)-LN(MIN(D1507,$F$11)), E1506-LN(60/$E$11)-LN(MIN(D1507,$F$11))), IF(D1507&lt;=$A$15, E1506+LN($D$11)-LN(60/$E$11)-LN(MIN(D1507,$F$11)), E1506+LN($D$11)+LN(1-$H$11)-LN(60/$E$11)-LN(MIN(D1507,$F$11))))</f>
        <v>-178.23112789251437</v>
      </c>
      <c r="F1507" s="1">
        <f t="shared" si="143"/>
        <v>-180.23316070171342</v>
      </c>
      <c r="G1507" s="1">
        <f t="shared" si="141"/>
        <v>5.317810427290315E-79</v>
      </c>
      <c r="H1507" s="1">
        <f t="shared" si="138"/>
        <v>5.2198182043878689E-80</v>
      </c>
      <c r="I1507">
        <f>IF($F$11&lt;=D1507, IF(D1507&lt;=$A$15,D1507-$F$11,$C$11),0)</f>
        <v>60</v>
      </c>
      <c r="J1507">
        <f t="shared" si="139"/>
        <v>1420</v>
      </c>
      <c r="K1507" s="5">
        <f>IF(D1507&lt;$F$11,H1507,0)</f>
        <v>0</v>
      </c>
      <c r="L1507">
        <f>IF(D1507&lt;$A$15,$D$11,$D$11*(1-$H$11))</f>
        <v>85</v>
      </c>
      <c r="M1507">
        <f t="shared" si="140"/>
        <v>1</v>
      </c>
      <c r="N1507">
        <f>IF(SUM(I1507:J1507)&lt;=($G$11/60*$F$11/($E$11/60)),1,0)</f>
        <v>0</v>
      </c>
    </row>
    <row r="1508" spans="4:14" x14ac:dyDescent="0.2">
      <c r="D1508">
        <f t="shared" si="142"/>
        <v>1485</v>
      </c>
      <c r="E1508" s="1">
        <f>IF($H$11=1,IF(D1508&lt;=$A$15, E1507+LN($D$11)-LN(60/$E$11)-LN(MIN(D1508,$F$11)), E1507-LN(60/$E$11)-LN(MIN(D1508,$F$11))), IF(D1508&lt;=$A$15, E1507+LN($D$11)-LN(60/$E$11)-LN(MIN(D1508,$F$11)), E1507+LN($D$11)+LN(1-$H$11)-LN(60/$E$11)-LN(MIN(D1508,$F$11))))</f>
        <v>-178.3528248274919</v>
      </c>
      <c r="F1508" s="1">
        <f t="shared" si="143"/>
        <v>-180.35485763669095</v>
      </c>
      <c r="G1508" s="1">
        <f t="shared" si="141"/>
        <v>4.7084779824965595E-79</v>
      </c>
      <c r="H1508" s="1">
        <f t="shared" si="138"/>
        <v>4.6217140351350199E-80</v>
      </c>
      <c r="I1508">
        <f>IF($F$11&lt;=D1508, IF(D1508&lt;=$A$15,D1508-$F$11,$C$11),0)</f>
        <v>60</v>
      </c>
      <c r="J1508">
        <f t="shared" si="139"/>
        <v>1421</v>
      </c>
      <c r="K1508" s="5">
        <f>IF(D1508&lt;$F$11,H1508,0)</f>
        <v>0</v>
      </c>
      <c r="L1508">
        <f>IF(D1508&lt;$A$15,$D$11,$D$11*(1-$H$11))</f>
        <v>85</v>
      </c>
      <c r="M1508">
        <f t="shared" si="140"/>
        <v>1</v>
      </c>
      <c r="N1508">
        <f>IF(SUM(I1508:J1508)&lt;=($G$11/60*$F$11/($E$11/60)),1,0)</f>
        <v>0</v>
      </c>
    </row>
    <row r="1509" spans="4:14" x14ac:dyDescent="0.2">
      <c r="D1509">
        <f t="shared" si="142"/>
        <v>1486</v>
      </c>
      <c r="E1509" s="1">
        <f>IF($H$11=1,IF(D1509&lt;=$A$15, E1508+LN($D$11)-LN(60/$E$11)-LN(MIN(D1509,$F$11)), E1508-LN(60/$E$11)-LN(MIN(D1509,$F$11))), IF(D1509&lt;=$A$15, E1508+LN($D$11)-LN(60/$E$11)-LN(MIN(D1509,$F$11)), E1508+LN($D$11)+LN(1-$H$11)-LN(60/$E$11)-LN(MIN(D1509,$F$11))))</f>
        <v>-178.47452176246944</v>
      </c>
      <c r="F1509" s="1">
        <f t="shared" si="143"/>
        <v>-180.47655457166849</v>
      </c>
      <c r="G1509" s="1">
        <f t="shared" si="141"/>
        <v>4.16896488033543E-79</v>
      </c>
      <c r="H1509" s="1">
        <f t="shared" si="138"/>
        <v>4.0921426352757347E-80</v>
      </c>
      <c r="I1509">
        <f>IF($F$11&lt;=D1509, IF(D1509&lt;=$A$15,D1509-$F$11,$C$11),0)</f>
        <v>60</v>
      </c>
      <c r="J1509">
        <f t="shared" si="139"/>
        <v>1422</v>
      </c>
      <c r="K1509" s="5">
        <f>IF(D1509&lt;$F$11,H1509,0)</f>
        <v>0</v>
      </c>
      <c r="L1509">
        <f>IF(D1509&lt;$A$15,$D$11,$D$11*(1-$H$11))</f>
        <v>85</v>
      </c>
      <c r="M1509">
        <f t="shared" si="140"/>
        <v>1</v>
      </c>
      <c r="N1509">
        <f>IF(SUM(I1509:J1509)&lt;=($G$11/60*$F$11/($E$11/60)),1,0)</f>
        <v>0</v>
      </c>
    </row>
    <row r="1510" spans="4:14" x14ac:dyDescent="0.2">
      <c r="D1510">
        <f t="shared" si="142"/>
        <v>1487</v>
      </c>
      <c r="E1510" s="1">
        <f>IF($H$11=1,IF(D1510&lt;=$A$15, E1509+LN($D$11)-LN(60/$E$11)-LN(MIN(D1510,$F$11)), E1509-LN(60/$E$11)-LN(MIN(D1510,$F$11))), IF(D1510&lt;=$A$15, E1509+LN($D$11)-LN(60/$E$11)-LN(MIN(D1510,$F$11)), E1509+LN($D$11)+LN(1-$H$11)-LN(60/$E$11)-LN(MIN(D1510,$F$11))))</f>
        <v>-178.59621869744697</v>
      </c>
      <c r="F1510" s="1">
        <f t="shared" si="143"/>
        <v>-180.59825150664602</v>
      </c>
      <c r="G1510" s="1">
        <f t="shared" si="141"/>
        <v>3.691270987796938E-79</v>
      </c>
      <c r="H1510" s="1">
        <f t="shared" si="138"/>
        <v>3.6232512916503335E-80</v>
      </c>
      <c r="I1510">
        <f>IF($F$11&lt;=D1510, IF(D1510&lt;=$A$15,D1510-$F$11,$C$11),0)</f>
        <v>60</v>
      </c>
      <c r="J1510">
        <f t="shared" si="139"/>
        <v>1423</v>
      </c>
      <c r="K1510" s="5">
        <f>IF(D1510&lt;$F$11,H1510,0)</f>
        <v>0</v>
      </c>
      <c r="L1510">
        <f>IF(D1510&lt;$A$15,$D$11,$D$11*(1-$H$11))</f>
        <v>85</v>
      </c>
      <c r="M1510">
        <f t="shared" si="140"/>
        <v>1</v>
      </c>
      <c r="N1510">
        <f>IF(SUM(I1510:J1510)&lt;=($G$11/60*$F$11/($E$11/60)),1,0)</f>
        <v>0</v>
      </c>
    </row>
    <row r="1511" spans="4:14" x14ac:dyDescent="0.2">
      <c r="D1511">
        <f t="shared" si="142"/>
        <v>1488</v>
      </c>
      <c r="E1511" s="1">
        <f>IF($H$11=1,IF(D1511&lt;=$A$15, E1510+LN($D$11)-LN(60/$E$11)-LN(MIN(D1511,$F$11)), E1510-LN(60/$E$11)-LN(MIN(D1511,$F$11))), IF(D1511&lt;=$A$15, E1510+LN($D$11)-LN(60/$E$11)-LN(MIN(D1511,$F$11)), E1510+LN($D$11)+LN(1-$H$11)-LN(60/$E$11)-LN(MIN(D1511,$F$11))))</f>
        <v>-178.71791563242451</v>
      </c>
      <c r="F1511" s="1">
        <f t="shared" si="143"/>
        <v>-180.71994844162356</v>
      </c>
      <c r="G1511" s="1">
        <f t="shared" si="141"/>
        <v>3.2683128537784875E-79</v>
      </c>
      <c r="H1511" s="1">
        <f t="shared" si="138"/>
        <v>3.2080870811486825E-80</v>
      </c>
      <c r="I1511">
        <f>IF($F$11&lt;=D1511, IF(D1511&lt;=$A$15,D1511-$F$11,$C$11),0)</f>
        <v>60</v>
      </c>
      <c r="J1511">
        <f t="shared" si="139"/>
        <v>1424</v>
      </c>
      <c r="K1511" s="5">
        <f>IF(D1511&lt;$F$11,H1511,0)</f>
        <v>0</v>
      </c>
      <c r="L1511">
        <f>IF(D1511&lt;$A$15,$D$11,$D$11*(1-$H$11))</f>
        <v>85</v>
      </c>
      <c r="M1511">
        <f t="shared" si="140"/>
        <v>1</v>
      </c>
      <c r="N1511">
        <f>IF(SUM(I1511:J1511)&lt;=($G$11/60*$F$11/($E$11/60)),1,0)</f>
        <v>0</v>
      </c>
    </row>
    <row r="1512" spans="4:14" x14ac:dyDescent="0.2">
      <c r="D1512">
        <f t="shared" si="142"/>
        <v>1489</v>
      </c>
      <c r="E1512" s="1">
        <f>IF($H$11=1,IF(D1512&lt;=$A$15, E1511+LN($D$11)-LN(60/$E$11)-LN(MIN(D1512,$F$11)), E1511-LN(60/$E$11)-LN(MIN(D1512,$F$11))), IF(D1512&lt;=$A$15, E1511+LN($D$11)-LN(60/$E$11)-LN(MIN(D1512,$F$11)), E1511+LN($D$11)+LN(1-$H$11)-LN(60/$E$11)-LN(MIN(D1512,$F$11))))</f>
        <v>-178.83961256740204</v>
      </c>
      <c r="F1512" s="1">
        <f t="shared" si="143"/>
        <v>-180.84164537660109</v>
      </c>
      <c r="G1512" s="1">
        <f t="shared" si="141"/>
        <v>2.893818672616324E-79</v>
      </c>
      <c r="H1512" s="1">
        <f t="shared" si="138"/>
        <v>2.8404937697670184E-80</v>
      </c>
      <c r="I1512">
        <f>IF($F$11&lt;=D1512, IF(D1512&lt;=$A$15,D1512-$F$11,$C$11),0)</f>
        <v>60</v>
      </c>
      <c r="J1512">
        <f t="shared" si="139"/>
        <v>1425</v>
      </c>
      <c r="K1512" s="5">
        <f>IF(D1512&lt;$F$11,H1512,0)</f>
        <v>0</v>
      </c>
      <c r="L1512">
        <f>IF(D1512&lt;$A$15,$D$11,$D$11*(1-$H$11))</f>
        <v>85</v>
      </c>
      <c r="M1512">
        <f t="shared" si="140"/>
        <v>1</v>
      </c>
      <c r="N1512">
        <f>IF(SUM(I1512:J1512)&lt;=($G$11/60*$F$11/($E$11/60)),1,0)</f>
        <v>0</v>
      </c>
    </row>
    <row r="1513" spans="4:14" x14ac:dyDescent="0.2">
      <c r="D1513">
        <f t="shared" si="142"/>
        <v>1490</v>
      </c>
      <c r="E1513" s="1">
        <f>IF($H$11=1,IF(D1513&lt;=$A$15, E1512+LN($D$11)-LN(60/$E$11)-LN(MIN(D1513,$F$11)), E1512-LN(60/$E$11)-LN(MIN(D1513,$F$11))), IF(D1513&lt;=$A$15, E1512+LN($D$11)-LN(60/$E$11)-LN(MIN(D1513,$F$11)), E1512+LN($D$11)+LN(1-$H$11)-LN(60/$E$11)-LN(MIN(D1513,$F$11))))</f>
        <v>-178.96130950237958</v>
      </c>
      <c r="F1513" s="1">
        <f t="shared" si="143"/>
        <v>-180.96334231157863</v>
      </c>
      <c r="G1513" s="1">
        <f t="shared" si="141"/>
        <v>2.5622352830456632E-79</v>
      </c>
      <c r="H1513" s="1">
        <f t="shared" si="138"/>
        <v>2.5150205253145081E-80</v>
      </c>
      <c r="I1513">
        <f>IF($F$11&lt;=D1513, IF(D1513&lt;=$A$15,D1513-$F$11,$C$11),0)</f>
        <v>60</v>
      </c>
      <c r="J1513">
        <f t="shared" si="139"/>
        <v>1426</v>
      </c>
      <c r="K1513" s="5">
        <f>IF(D1513&lt;$F$11,H1513,0)</f>
        <v>0</v>
      </c>
      <c r="L1513">
        <f>IF(D1513&lt;$A$15,$D$11,$D$11*(1-$H$11))</f>
        <v>85</v>
      </c>
      <c r="M1513">
        <f t="shared" si="140"/>
        <v>1</v>
      </c>
      <c r="N1513">
        <f>IF(SUM(I1513:J1513)&lt;=($G$11/60*$F$11/($E$11/60)),1,0)</f>
        <v>0</v>
      </c>
    </row>
    <row r="1514" spans="4:14" x14ac:dyDescent="0.2">
      <c r="D1514">
        <f t="shared" si="142"/>
        <v>1491</v>
      </c>
      <c r="E1514" s="1">
        <f>IF($H$11=1,IF(D1514&lt;=$A$15, E1513+LN($D$11)-LN(60/$E$11)-LN(MIN(D1514,$F$11)), E1513-LN(60/$E$11)-LN(MIN(D1514,$F$11))), IF(D1514&lt;=$A$15, E1513+LN($D$11)-LN(60/$E$11)-LN(MIN(D1514,$F$11)), E1513+LN($D$11)+LN(1-$H$11)-LN(60/$E$11)-LN(MIN(D1514,$F$11))))</f>
        <v>-179.08300643735711</v>
      </c>
      <c r="F1514" s="1">
        <f t="shared" si="143"/>
        <v>-181.08503924655616</v>
      </c>
      <c r="G1514" s="1">
        <f t="shared" si="141"/>
        <v>2.2686458235299789E-79</v>
      </c>
      <c r="H1514" s="1">
        <f t="shared" si="138"/>
        <v>2.2268410901221859E-80</v>
      </c>
      <c r="I1514">
        <f>IF($F$11&lt;=D1514, IF(D1514&lt;=$A$15,D1514-$F$11,$C$11),0)</f>
        <v>60</v>
      </c>
      <c r="J1514">
        <f t="shared" si="139"/>
        <v>1427</v>
      </c>
      <c r="K1514" s="5">
        <f>IF(D1514&lt;$F$11,H1514,0)</f>
        <v>0</v>
      </c>
      <c r="L1514">
        <f>IF(D1514&lt;$A$15,$D$11,$D$11*(1-$H$11))</f>
        <v>85</v>
      </c>
      <c r="M1514">
        <f t="shared" si="140"/>
        <v>1</v>
      </c>
      <c r="N1514">
        <f>IF(SUM(I1514:J1514)&lt;=($G$11/60*$F$11/($E$11/60)),1,0)</f>
        <v>0</v>
      </c>
    </row>
    <row r="1515" spans="4:14" x14ac:dyDescent="0.2">
      <c r="D1515">
        <f t="shared" si="142"/>
        <v>1492</v>
      </c>
      <c r="E1515" s="1">
        <f>IF($H$11=1,IF(D1515&lt;=$A$15, E1514+LN($D$11)-LN(60/$E$11)-LN(MIN(D1515,$F$11)), E1514-LN(60/$E$11)-LN(MIN(D1515,$F$11))), IF(D1515&lt;=$A$15, E1514+LN($D$11)-LN(60/$E$11)-LN(MIN(D1515,$F$11)), E1514+LN($D$11)+LN(1-$H$11)-LN(60/$E$11)-LN(MIN(D1515,$F$11))))</f>
        <v>-179.20470337233465</v>
      </c>
      <c r="F1515" s="1">
        <f t="shared" si="143"/>
        <v>-181.2067361815337</v>
      </c>
      <c r="G1515" s="1">
        <f t="shared" si="141"/>
        <v>2.0086968229171374E-79</v>
      </c>
      <c r="H1515" s="1">
        <f t="shared" si="138"/>
        <v>1.9716822152123213E-80</v>
      </c>
      <c r="I1515">
        <f>IF($F$11&lt;=D1515, IF(D1515&lt;=$A$15,D1515-$F$11,$C$11),0)</f>
        <v>60</v>
      </c>
      <c r="J1515">
        <f t="shared" si="139"/>
        <v>1428</v>
      </c>
      <c r="K1515" s="5">
        <f>IF(D1515&lt;$F$11,H1515,0)</f>
        <v>0</v>
      </c>
      <c r="L1515">
        <f>IF(D1515&lt;$A$15,$D$11,$D$11*(1-$H$11))</f>
        <v>85</v>
      </c>
      <c r="M1515">
        <f t="shared" si="140"/>
        <v>1</v>
      </c>
      <c r="N1515">
        <f>IF(SUM(I1515:J1515)&lt;=($G$11/60*$F$11/($E$11/60)),1,0)</f>
        <v>0</v>
      </c>
    </row>
    <row r="1516" spans="4:14" x14ac:dyDescent="0.2">
      <c r="D1516">
        <f t="shared" si="142"/>
        <v>1493</v>
      </c>
      <c r="E1516" s="1">
        <f>IF($H$11=1,IF(D1516&lt;=$A$15, E1515+LN($D$11)-LN(60/$E$11)-LN(MIN(D1516,$F$11)), E1515-LN(60/$E$11)-LN(MIN(D1516,$F$11))), IF(D1516&lt;=$A$15, E1515+LN($D$11)-LN(60/$E$11)-LN(MIN(D1516,$F$11)), E1515+LN($D$11)+LN(1-$H$11)-LN(60/$E$11)-LN(MIN(D1516,$F$11))))</f>
        <v>-179.32640030731218</v>
      </c>
      <c r="F1516" s="1">
        <f t="shared" si="143"/>
        <v>-181.32843311651123</v>
      </c>
      <c r="G1516" s="1">
        <f t="shared" si="141"/>
        <v>1.7785336452911877E-79</v>
      </c>
      <c r="H1516" s="1">
        <f t="shared" si="138"/>
        <v>1.7457602947192157E-80</v>
      </c>
      <c r="I1516">
        <f>IF($F$11&lt;=D1516, IF(D1516&lt;=$A$15,D1516-$F$11,$C$11),0)</f>
        <v>60</v>
      </c>
      <c r="J1516">
        <f t="shared" si="139"/>
        <v>1429</v>
      </c>
      <c r="K1516" s="5">
        <f>IF(D1516&lt;$F$11,H1516,0)</f>
        <v>0</v>
      </c>
      <c r="L1516">
        <f>IF(D1516&lt;$A$15,$D$11,$D$11*(1-$H$11))</f>
        <v>85</v>
      </c>
      <c r="M1516">
        <f t="shared" si="140"/>
        <v>1</v>
      </c>
      <c r="N1516">
        <f>IF(SUM(I1516:J1516)&lt;=($G$11/60*$F$11/($E$11/60)),1,0)</f>
        <v>0</v>
      </c>
    </row>
    <row r="1517" spans="4:14" x14ac:dyDescent="0.2">
      <c r="D1517">
        <f t="shared" si="142"/>
        <v>1494</v>
      </c>
      <c r="E1517" s="1">
        <f>IF($H$11=1,IF(D1517&lt;=$A$15, E1516+LN($D$11)-LN(60/$E$11)-LN(MIN(D1517,$F$11)), E1516-LN(60/$E$11)-LN(MIN(D1517,$F$11))), IF(D1517&lt;=$A$15, E1516+LN($D$11)-LN(60/$E$11)-LN(MIN(D1517,$F$11)), E1516+LN($D$11)+LN(1-$H$11)-LN(60/$E$11)-LN(MIN(D1517,$F$11))))</f>
        <v>-179.44809724228972</v>
      </c>
      <c r="F1517" s="1">
        <f t="shared" si="143"/>
        <v>-181.45013005148877</v>
      </c>
      <c r="G1517" s="1">
        <f t="shared" si="141"/>
        <v>1.5747433317682145E-79</v>
      </c>
      <c r="H1517" s="1">
        <f t="shared" si="138"/>
        <v>1.5457252609492812E-80</v>
      </c>
      <c r="I1517">
        <f>IF($F$11&lt;=D1517, IF(D1517&lt;=$A$15,D1517-$F$11,$C$11),0)</f>
        <v>60</v>
      </c>
      <c r="J1517">
        <f t="shared" si="139"/>
        <v>1430</v>
      </c>
      <c r="K1517" s="5">
        <f>IF(D1517&lt;$F$11,H1517,0)</f>
        <v>0</v>
      </c>
      <c r="L1517">
        <f>IF(D1517&lt;$A$15,$D$11,$D$11*(1-$H$11))</f>
        <v>85</v>
      </c>
      <c r="M1517">
        <f t="shared" si="140"/>
        <v>1</v>
      </c>
      <c r="N1517">
        <f>IF(SUM(I1517:J1517)&lt;=($G$11/60*$F$11/($E$11/60)),1,0)</f>
        <v>0</v>
      </c>
    </row>
    <row r="1518" spans="4:14" x14ac:dyDescent="0.2">
      <c r="D1518">
        <f t="shared" si="142"/>
        <v>1495</v>
      </c>
      <c r="E1518" s="1">
        <f>IF($H$11=1,IF(D1518&lt;=$A$15, E1517+LN($D$11)-LN(60/$E$11)-LN(MIN(D1518,$F$11)), E1517-LN(60/$E$11)-LN(MIN(D1518,$F$11))), IF(D1518&lt;=$A$15, E1517+LN($D$11)-LN(60/$E$11)-LN(MIN(D1518,$F$11)), E1517+LN($D$11)+LN(1-$H$11)-LN(60/$E$11)-LN(MIN(D1518,$F$11))))</f>
        <v>-179.56979417726726</v>
      </c>
      <c r="F1518" s="1">
        <f t="shared" si="143"/>
        <v>-181.57182698646631</v>
      </c>
      <c r="G1518" s="1">
        <f t="shared" si="141"/>
        <v>1.3943039916697515E-79</v>
      </c>
      <c r="H1518" s="1">
        <f t="shared" si="138"/>
        <v>1.3686109081321548E-80</v>
      </c>
      <c r="I1518">
        <f>IF($F$11&lt;=D1518, IF(D1518&lt;=$A$15,D1518-$F$11,$C$11),0)</f>
        <v>60</v>
      </c>
      <c r="J1518">
        <f t="shared" si="139"/>
        <v>1431</v>
      </c>
      <c r="K1518" s="5">
        <f>IF(D1518&lt;$F$11,H1518,0)</f>
        <v>0</v>
      </c>
      <c r="L1518">
        <f>IF(D1518&lt;$A$15,$D$11,$D$11*(1-$H$11))</f>
        <v>85</v>
      </c>
      <c r="M1518">
        <f t="shared" si="140"/>
        <v>1</v>
      </c>
      <c r="N1518">
        <f>IF(SUM(I1518:J1518)&lt;=($G$11/60*$F$11/($E$11/60)),1,0)</f>
        <v>0</v>
      </c>
    </row>
    <row r="1519" spans="4:14" x14ac:dyDescent="0.2">
      <c r="D1519">
        <f t="shared" si="142"/>
        <v>1496</v>
      </c>
      <c r="E1519" s="1">
        <f>IF($H$11=1,IF(D1519&lt;=$A$15, E1518+LN($D$11)-LN(60/$E$11)-LN(MIN(D1519,$F$11)), E1518-LN(60/$E$11)-LN(MIN(D1519,$F$11))), IF(D1519&lt;=$A$15, E1518+LN($D$11)-LN(60/$E$11)-LN(MIN(D1519,$F$11)), E1518+LN($D$11)+LN(1-$H$11)-LN(60/$E$11)-LN(MIN(D1519,$F$11))))</f>
        <v>-179.69149111224479</v>
      </c>
      <c r="F1519" s="1">
        <f t="shared" si="143"/>
        <v>-181.69352392144384</v>
      </c>
      <c r="G1519" s="1">
        <f t="shared" si="141"/>
        <v>1.2345399926242397E-79</v>
      </c>
      <c r="H1519" s="1">
        <f t="shared" si="138"/>
        <v>1.2117909082419929E-80</v>
      </c>
      <c r="I1519">
        <f>IF($F$11&lt;=D1519, IF(D1519&lt;=$A$15,D1519-$F$11,$C$11),0)</f>
        <v>60</v>
      </c>
      <c r="J1519">
        <f t="shared" si="139"/>
        <v>1432</v>
      </c>
      <c r="K1519" s="5">
        <f>IF(D1519&lt;$F$11,H1519,0)</f>
        <v>0</v>
      </c>
      <c r="L1519">
        <f>IF(D1519&lt;$A$15,$D$11,$D$11*(1-$H$11))</f>
        <v>85</v>
      </c>
      <c r="M1519">
        <f t="shared" si="140"/>
        <v>1</v>
      </c>
      <c r="N1519">
        <f>IF(SUM(I1519:J1519)&lt;=($G$11/60*$F$11/($E$11/60)),1,0)</f>
        <v>0</v>
      </c>
    </row>
    <row r="1520" spans="4:14" x14ac:dyDescent="0.2">
      <c r="D1520">
        <f t="shared" si="142"/>
        <v>1497</v>
      </c>
      <c r="E1520" s="1">
        <f>IF($H$11=1,IF(D1520&lt;=$A$15, E1519+LN($D$11)-LN(60/$E$11)-LN(MIN(D1520,$F$11)), E1519-LN(60/$E$11)-LN(MIN(D1520,$F$11))), IF(D1520&lt;=$A$15, E1519+LN($D$11)-LN(60/$E$11)-LN(MIN(D1520,$F$11)), E1519+LN($D$11)+LN(1-$H$11)-LN(60/$E$11)-LN(MIN(D1520,$F$11))))</f>
        <v>-179.81318804722233</v>
      </c>
      <c r="F1520" s="1">
        <f t="shared" si="143"/>
        <v>-181.81522085642138</v>
      </c>
      <c r="G1520" s="1">
        <f t="shared" si="141"/>
        <v>1.0930822851360285E-79</v>
      </c>
      <c r="H1520" s="1">
        <f t="shared" si="138"/>
        <v>1.0729398666725812E-80</v>
      </c>
      <c r="I1520">
        <f>IF($F$11&lt;=D1520, IF(D1520&lt;=$A$15,D1520-$F$11,$C$11),0)</f>
        <v>60</v>
      </c>
      <c r="J1520">
        <f t="shared" si="139"/>
        <v>1433</v>
      </c>
      <c r="K1520" s="5">
        <f>IF(D1520&lt;$F$11,H1520,0)</f>
        <v>0</v>
      </c>
      <c r="L1520">
        <f>IF(D1520&lt;$A$15,$D$11,$D$11*(1-$H$11))</f>
        <v>85</v>
      </c>
      <c r="M1520">
        <f t="shared" si="140"/>
        <v>1</v>
      </c>
      <c r="N1520">
        <f>IF(SUM(I1520:J1520)&lt;=($G$11/60*$F$11/($E$11/60)),1,0)</f>
        <v>0</v>
      </c>
    </row>
    <row r="1521" spans="4:14" x14ac:dyDescent="0.2">
      <c r="D1521">
        <f t="shared" si="142"/>
        <v>1498</v>
      </c>
      <c r="E1521" s="1">
        <f>IF($H$11=1,IF(D1521&lt;=$A$15, E1520+LN($D$11)-LN(60/$E$11)-LN(MIN(D1521,$F$11)), E1520-LN(60/$E$11)-LN(MIN(D1521,$F$11))), IF(D1521&lt;=$A$15, E1520+LN($D$11)-LN(60/$E$11)-LN(MIN(D1521,$F$11)), E1520+LN($D$11)+LN(1-$H$11)-LN(60/$E$11)-LN(MIN(D1521,$F$11))))</f>
        <v>-179.93488498219986</v>
      </c>
      <c r="F1521" s="1">
        <f t="shared" si="143"/>
        <v>-181.93691779139891</v>
      </c>
      <c r="G1521" s="1">
        <f t="shared" si="141"/>
        <v>9.6783327329751015E-80</v>
      </c>
      <c r="H1521" s="1">
        <f t="shared" si="138"/>
        <v>9.4999884028299979E-81</v>
      </c>
      <c r="I1521">
        <f>IF($F$11&lt;=D1521, IF(D1521&lt;=$A$15,D1521-$F$11,$C$11),0)</f>
        <v>60</v>
      </c>
      <c r="J1521">
        <f t="shared" si="139"/>
        <v>1434</v>
      </c>
      <c r="K1521" s="5">
        <f>IF(D1521&lt;$F$11,H1521,0)</f>
        <v>0</v>
      </c>
      <c r="L1521">
        <f>IF(D1521&lt;$A$15,$D$11,$D$11*(1-$H$11))</f>
        <v>85</v>
      </c>
      <c r="M1521">
        <f t="shared" si="140"/>
        <v>1</v>
      </c>
      <c r="N1521">
        <f>IF(SUM(I1521:J1521)&lt;=($G$11/60*$F$11/($E$11/60)),1,0)</f>
        <v>0</v>
      </c>
    </row>
    <row r="1522" spans="4:14" x14ac:dyDescent="0.2">
      <c r="D1522">
        <f t="shared" si="142"/>
        <v>1499</v>
      </c>
      <c r="E1522" s="1">
        <f>IF($H$11=1,IF(D1522&lt;=$A$15, E1521+LN($D$11)-LN(60/$E$11)-LN(MIN(D1522,$F$11)), E1521-LN(60/$E$11)-LN(MIN(D1522,$F$11))), IF(D1522&lt;=$A$15, E1521+LN($D$11)-LN(60/$E$11)-LN(MIN(D1522,$F$11)), E1521+LN($D$11)+LN(1-$H$11)-LN(60/$E$11)-LN(MIN(D1522,$F$11))))</f>
        <v>-180.0565819171774</v>
      </c>
      <c r="F1522" s="1">
        <f t="shared" si="143"/>
        <v>-182.05861472637645</v>
      </c>
      <c r="G1522" s="1">
        <f t="shared" si="141"/>
        <v>8.5693571073215698E-80</v>
      </c>
      <c r="H1522" s="1">
        <f t="shared" si="138"/>
        <v>8.4114480650055953E-81</v>
      </c>
      <c r="I1522">
        <f>IF($F$11&lt;=D1522, IF(D1522&lt;=$A$15,D1522-$F$11,$C$11),0)</f>
        <v>60</v>
      </c>
      <c r="J1522">
        <f t="shared" si="139"/>
        <v>1435</v>
      </c>
      <c r="K1522" s="5">
        <f>IF(D1522&lt;$F$11,H1522,0)</f>
        <v>0</v>
      </c>
      <c r="L1522">
        <f>IF(D1522&lt;$A$15,$D$11,$D$11*(1-$H$11))</f>
        <v>85</v>
      </c>
      <c r="M1522">
        <f t="shared" si="140"/>
        <v>1</v>
      </c>
      <c r="N1522">
        <f>IF(SUM(I1522:J1522)&lt;=($G$11/60*$F$11/($E$11/60)),1,0)</f>
        <v>0</v>
      </c>
    </row>
    <row r="1523" spans="4:14" x14ac:dyDescent="0.2">
      <c r="D1523">
        <f t="shared" si="142"/>
        <v>1500</v>
      </c>
      <c r="E1523" s="1">
        <f>IF($H$11=1,IF(D1523&lt;=$A$15, E1522+LN($D$11)-LN(60/$E$11)-LN(MIN(D1523,$F$11)), E1522-LN(60/$E$11)-LN(MIN(D1523,$F$11))), IF(D1523&lt;=$A$15, E1522+LN($D$11)-LN(60/$E$11)-LN(MIN(D1523,$F$11)), E1522+LN($D$11)+LN(1-$H$11)-LN(60/$E$11)-LN(MIN(D1523,$F$11))))</f>
        <v>-180.17827885215493</v>
      </c>
      <c r="F1523" s="1">
        <f t="shared" si="143"/>
        <v>-182.18031166135398</v>
      </c>
      <c r="G1523" s="1">
        <f t="shared" si="141"/>
        <v>7.5874516054408554E-80</v>
      </c>
      <c r="H1523" s="1">
        <f t="shared" si="138"/>
        <v>7.4476363075569214E-81</v>
      </c>
      <c r="I1523">
        <f>IF($F$11&lt;=D1523, IF(D1523&lt;=$A$15,D1523-$F$11,$C$11),0)</f>
        <v>60</v>
      </c>
      <c r="J1523">
        <f t="shared" si="139"/>
        <v>1436</v>
      </c>
      <c r="K1523" s="5">
        <f>IF(D1523&lt;$F$11,H1523,0)</f>
        <v>0</v>
      </c>
      <c r="L1523">
        <f>IF(D1523&lt;$A$15,$D$11,$D$11*(1-$H$11))</f>
        <v>85</v>
      </c>
      <c r="M1523">
        <f t="shared" si="140"/>
        <v>1</v>
      </c>
      <c r="N1523">
        <f>IF(SUM(I1523:J1523)&lt;=($G$11/60*$F$11/($E$11/60)),1,0)</f>
        <v>0</v>
      </c>
    </row>
    <row r="1524" spans="4:14" x14ac:dyDescent="0.2">
      <c r="D1524">
        <f t="shared" si="142"/>
        <v>1501</v>
      </c>
      <c r="E1524" s="1">
        <f>IF($H$11=1,IF(D1524&lt;=$A$15, E1523+LN($D$11)-LN(60/$E$11)-LN(MIN(D1524,$F$11)), E1523-LN(60/$E$11)-LN(MIN(D1524,$F$11))), IF(D1524&lt;=$A$15, E1523+LN($D$11)-LN(60/$E$11)-LN(MIN(D1524,$F$11)), E1523+LN($D$11)+LN(1-$H$11)-LN(60/$E$11)-LN(MIN(D1524,$F$11))))</f>
        <v>-180.29997578713247</v>
      </c>
      <c r="F1524" s="1">
        <f t="shared" si="143"/>
        <v>-182.30200859633152</v>
      </c>
      <c r="G1524" s="1">
        <f t="shared" si="141"/>
        <v>6.7180561089839855E-80</v>
      </c>
      <c r="H1524" s="1">
        <f t="shared" si="138"/>
        <v>6.594261313982588E-81</v>
      </c>
      <c r="I1524">
        <f>IF($F$11&lt;=D1524, IF(D1524&lt;=$A$15,D1524-$F$11,$C$11),0)</f>
        <v>60</v>
      </c>
      <c r="J1524">
        <f t="shared" si="139"/>
        <v>1437</v>
      </c>
      <c r="K1524" s="5">
        <f>IF(D1524&lt;$F$11,H1524,0)</f>
        <v>0</v>
      </c>
      <c r="L1524">
        <f>IF(D1524&lt;$A$15,$D$11,$D$11*(1-$H$11))</f>
        <v>85</v>
      </c>
      <c r="M1524">
        <f t="shared" si="140"/>
        <v>1</v>
      </c>
      <c r="N1524">
        <f>IF(SUM(I1524:J1524)&lt;=($G$11/60*$F$11/($E$11/60)),1,0)</f>
        <v>0</v>
      </c>
    </row>
    <row r="1525" spans="4:14" x14ac:dyDescent="0.2">
      <c r="D1525">
        <f t="shared" si="142"/>
        <v>1502</v>
      </c>
      <c r="E1525" s="1">
        <f>IF($H$11=1,IF(D1525&lt;=$A$15, E1524+LN($D$11)-LN(60/$E$11)-LN(MIN(D1525,$F$11)), E1524-LN(60/$E$11)-LN(MIN(D1525,$F$11))), IF(D1525&lt;=$A$15, E1524+LN($D$11)-LN(60/$E$11)-LN(MIN(D1525,$F$11)), E1524+LN($D$11)+LN(1-$H$11)-LN(60/$E$11)-LN(MIN(D1525,$F$11))))</f>
        <v>-180.42167272211</v>
      </c>
      <c r="F1525" s="1">
        <f t="shared" si="143"/>
        <v>-182.42370553130905</v>
      </c>
      <c r="G1525" s="1">
        <f t="shared" si="141"/>
        <v>5.948278846496144E-80</v>
      </c>
      <c r="H1525" s="1">
        <f t="shared" si="138"/>
        <v>5.8386688717553246E-81</v>
      </c>
      <c r="I1525">
        <f>IF($F$11&lt;=D1525, IF(D1525&lt;=$A$15,D1525-$F$11,$C$11),0)</f>
        <v>60</v>
      </c>
      <c r="J1525">
        <f t="shared" si="139"/>
        <v>1438</v>
      </c>
      <c r="K1525" s="5">
        <f>IF(D1525&lt;$F$11,H1525,0)</f>
        <v>0</v>
      </c>
      <c r="L1525">
        <f>IF(D1525&lt;$A$15,$D$11,$D$11*(1-$H$11))</f>
        <v>85</v>
      </c>
      <c r="M1525">
        <f t="shared" si="140"/>
        <v>1</v>
      </c>
      <c r="N1525">
        <f>IF(SUM(I1525:J1525)&lt;=($G$11/60*$F$11/($E$11/60)),1,0)</f>
        <v>0</v>
      </c>
    </row>
    <row r="1526" spans="4:14" x14ac:dyDescent="0.2">
      <c r="D1526">
        <f t="shared" si="142"/>
        <v>1503</v>
      </c>
      <c r="E1526" s="1">
        <f>IF($H$11=1,IF(D1526&lt;=$A$15, E1525+LN($D$11)-LN(60/$E$11)-LN(MIN(D1526,$F$11)), E1525-LN(60/$E$11)-LN(MIN(D1526,$F$11))), IF(D1526&lt;=$A$15, E1525+LN($D$11)-LN(60/$E$11)-LN(MIN(D1526,$F$11)), E1525+LN($D$11)+LN(1-$H$11)-LN(60/$E$11)-LN(MIN(D1526,$F$11))))</f>
        <v>-180.54336965708754</v>
      </c>
      <c r="F1526" s="1">
        <f t="shared" si="143"/>
        <v>-182.54540246628659</v>
      </c>
      <c r="G1526" s="1">
        <f t="shared" si="141"/>
        <v>5.2667052286683782E-80</v>
      </c>
      <c r="H1526" s="1">
        <f t="shared" si="138"/>
        <v>5.1696547301999456E-81</v>
      </c>
      <c r="I1526">
        <f>IF($F$11&lt;=D1526, IF(D1526&lt;=$A$15,D1526-$F$11,$C$11),0)</f>
        <v>60</v>
      </c>
      <c r="J1526">
        <f t="shared" si="139"/>
        <v>1439</v>
      </c>
      <c r="K1526" s="5">
        <f>IF(D1526&lt;$F$11,H1526,0)</f>
        <v>0</v>
      </c>
      <c r="L1526">
        <f>IF(D1526&lt;$A$15,$D$11,$D$11*(1-$H$11))</f>
        <v>85</v>
      </c>
      <c r="M1526">
        <f t="shared" si="140"/>
        <v>1</v>
      </c>
      <c r="N1526">
        <f>IF(SUM(I1526:J1526)&lt;=($G$11/60*$F$11/($E$11/60)),1,0)</f>
        <v>0</v>
      </c>
    </row>
    <row r="1527" spans="4:14" x14ac:dyDescent="0.2">
      <c r="D1527">
        <f t="shared" si="142"/>
        <v>1504</v>
      </c>
      <c r="E1527" s="1">
        <f>IF($H$11=1,IF(D1527&lt;=$A$15, E1526+LN($D$11)-LN(60/$E$11)-LN(MIN(D1527,$F$11)), E1526-LN(60/$E$11)-LN(MIN(D1527,$F$11))), IF(D1527&lt;=$A$15, E1526+LN($D$11)-LN(60/$E$11)-LN(MIN(D1527,$F$11)), E1526+LN($D$11)+LN(1-$H$11)-LN(60/$E$11)-LN(MIN(D1527,$F$11))))</f>
        <v>-180.66506659206507</v>
      </c>
      <c r="F1527" s="1">
        <f t="shared" si="143"/>
        <v>-182.66709940126412</v>
      </c>
      <c r="G1527" s="1">
        <f t="shared" si="141"/>
        <v>4.6632285878833875E-80</v>
      </c>
      <c r="H1527" s="1">
        <f t="shared" si="138"/>
        <v>4.5772984590311316E-81</v>
      </c>
      <c r="I1527">
        <f>IF($F$11&lt;=D1527, IF(D1527&lt;=$A$15,D1527-$F$11,$C$11),0)</f>
        <v>60</v>
      </c>
      <c r="J1527">
        <f t="shared" si="139"/>
        <v>1440</v>
      </c>
      <c r="K1527" s="5">
        <f>IF(D1527&lt;$F$11,H1527,0)</f>
        <v>0</v>
      </c>
      <c r="L1527">
        <f>IF(D1527&lt;$A$15,$D$11,$D$11*(1-$H$11))</f>
        <v>85</v>
      </c>
      <c r="M1527">
        <f t="shared" si="140"/>
        <v>1</v>
      </c>
      <c r="N1527">
        <f>IF(SUM(I1527:J1527)&lt;=($G$11/60*$F$11/($E$11/60)),1,0)</f>
        <v>0</v>
      </c>
    </row>
    <row r="1528" spans="4:14" x14ac:dyDescent="0.2">
      <c r="D1528">
        <f t="shared" si="142"/>
        <v>1505</v>
      </c>
      <c r="E1528" s="1">
        <f>IF($H$11=1,IF(D1528&lt;=$A$15, E1527+LN($D$11)-LN(60/$E$11)-LN(MIN(D1528,$F$11)), E1527-LN(60/$E$11)-LN(MIN(D1528,$F$11))), IF(D1528&lt;=$A$15, E1527+LN($D$11)-LN(60/$E$11)-LN(MIN(D1528,$F$11)), E1527+LN($D$11)+LN(1-$H$11)-LN(60/$E$11)-LN(MIN(D1528,$F$11))))</f>
        <v>-180.78676352704261</v>
      </c>
      <c r="F1528" s="1">
        <f t="shared" si="143"/>
        <v>-182.78879633624166</v>
      </c>
      <c r="G1528" s="1">
        <f t="shared" si="141"/>
        <v>4.1289003121883513E-80</v>
      </c>
      <c r="H1528" s="1">
        <f t="shared" si="138"/>
        <v>4.0528163439337508E-81</v>
      </c>
      <c r="I1528">
        <f>IF($F$11&lt;=D1528, IF(D1528&lt;=$A$15,D1528-$F$11,$C$11),0)</f>
        <v>60</v>
      </c>
      <c r="J1528">
        <f t="shared" si="139"/>
        <v>1441</v>
      </c>
      <c r="K1528" s="5">
        <f>IF(D1528&lt;$F$11,H1528,0)</f>
        <v>0</v>
      </c>
      <c r="L1528">
        <f>IF(D1528&lt;$A$15,$D$11,$D$11*(1-$H$11))</f>
        <v>85</v>
      </c>
      <c r="M1528">
        <f t="shared" si="140"/>
        <v>1</v>
      </c>
      <c r="N1528">
        <f>IF(SUM(I1528:J1528)&lt;=($G$11/60*$F$11/($E$11/60)),1,0)</f>
        <v>0</v>
      </c>
    </row>
    <row r="1529" spans="4:14" x14ac:dyDescent="0.2">
      <c r="D1529">
        <f t="shared" si="142"/>
        <v>1506</v>
      </c>
      <c r="E1529" s="1">
        <f>IF($H$11=1,IF(D1529&lt;=$A$15, E1528+LN($D$11)-LN(60/$E$11)-LN(MIN(D1529,$F$11)), E1528-LN(60/$E$11)-LN(MIN(D1529,$F$11))), IF(D1529&lt;=$A$15, E1528+LN($D$11)-LN(60/$E$11)-LN(MIN(D1529,$F$11)), E1528+LN($D$11)+LN(1-$H$11)-LN(60/$E$11)-LN(MIN(D1529,$F$11))))</f>
        <v>-180.90846046202014</v>
      </c>
      <c r="F1529" s="1">
        <f t="shared" si="143"/>
        <v>-182.9104932712192</v>
      </c>
      <c r="G1529" s="1">
        <f t="shared" si="141"/>
        <v>3.6557971514167122E-80</v>
      </c>
      <c r="H1529" s="1">
        <f t="shared" si="138"/>
        <v>3.5884311378579522E-81</v>
      </c>
      <c r="I1529">
        <f>IF($F$11&lt;=D1529, IF(D1529&lt;=$A$15,D1529-$F$11,$C$11),0)</f>
        <v>60</v>
      </c>
      <c r="J1529">
        <f t="shared" si="139"/>
        <v>1442</v>
      </c>
      <c r="K1529" s="5">
        <f>IF(D1529&lt;$F$11,H1529,0)</f>
        <v>0</v>
      </c>
      <c r="L1529">
        <f>IF(D1529&lt;$A$15,$D$11,$D$11*(1-$H$11))</f>
        <v>85</v>
      </c>
      <c r="M1529">
        <f t="shared" si="140"/>
        <v>1</v>
      </c>
      <c r="N1529">
        <f>IF(SUM(I1529:J1529)&lt;=($G$11/60*$F$11/($E$11/60)),1,0)</f>
        <v>0</v>
      </c>
    </row>
    <row r="1530" spans="4:14" x14ac:dyDescent="0.2">
      <c r="D1530">
        <f t="shared" si="142"/>
        <v>1507</v>
      </c>
      <c r="E1530" s="1">
        <f>IF($H$11=1,IF(D1530&lt;=$A$15, E1529+LN($D$11)-LN(60/$E$11)-LN(MIN(D1530,$F$11)), E1529-LN(60/$E$11)-LN(MIN(D1530,$F$11))), IF(D1530&lt;=$A$15, E1529+LN($D$11)-LN(60/$E$11)-LN(MIN(D1530,$F$11)), E1529+LN($D$11)+LN(1-$H$11)-LN(60/$E$11)-LN(MIN(D1530,$F$11))))</f>
        <v>-181.03015739699768</v>
      </c>
      <c r="F1530" s="1">
        <f t="shared" si="143"/>
        <v>-183.03219020619673</v>
      </c>
      <c r="G1530" s="1">
        <f t="shared" si="141"/>
        <v>3.2369037278168301E-80</v>
      </c>
      <c r="H1530" s="1">
        <f t="shared" si="138"/>
        <v>3.1772567366450121E-81</v>
      </c>
      <c r="I1530">
        <f>IF($F$11&lt;=D1530, IF(D1530&lt;=$A$15,D1530-$F$11,$C$11),0)</f>
        <v>60</v>
      </c>
      <c r="J1530">
        <f t="shared" si="139"/>
        <v>1443</v>
      </c>
      <c r="K1530" s="5">
        <f>IF(D1530&lt;$F$11,H1530,0)</f>
        <v>0</v>
      </c>
      <c r="L1530">
        <f>IF(D1530&lt;$A$15,$D$11,$D$11*(1-$H$11))</f>
        <v>85</v>
      </c>
      <c r="M1530">
        <f t="shared" si="140"/>
        <v>1</v>
      </c>
      <c r="N1530">
        <f>IF(SUM(I1530:J1530)&lt;=($G$11/60*$F$11/($E$11/60)),1,0)</f>
        <v>0</v>
      </c>
    </row>
    <row r="1531" spans="4:14" x14ac:dyDescent="0.2">
      <c r="D1531">
        <f t="shared" si="142"/>
        <v>1508</v>
      </c>
      <c r="E1531" s="1">
        <f>IF($H$11=1,IF(D1531&lt;=$A$15, E1530+LN($D$11)-LN(60/$E$11)-LN(MIN(D1531,$F$11)), E1530-LN(60/$E$11)-LN(MIN(D1531,$F$11))), IF(D1531&lt;=$A$15, E1530+LN($D$11)-LN(60/$E$11)-LN(MIN(D1531,$F$11)), E1530+LN($D$11)+LN(1-$H$11)-LN(60/$E$11)-LN(MIN(D1531,$F$11))))</f>
        <v>-181.15185433197522</v>
      </c>
      <c r="F1531" s="1">
        <f t="shared" si="143"/>
        <v>-183.15388714117427</v>
      </c>
      <c r="G1531" s="1">
        <f t="shared" si="141"/>
        <v>2.86600850900444E-80</v>
      </c>
      <c r="H1531" s="1">
        <f t="shared" si="138"/>
        <v>2.8131960689043941E-81</v>
      </c>
      <c r="I1531">
        <f>IF($F$11&lt;=D1531, IF(D1531&lt;=$A$15,D1531-$F$11,$C$11),0)</f>
        <v>60</v>
      </c>
      <c r="J1531">
        <f t="shared" si="139"/>
        <v>1444</v>
      </c>
      <c r="K1531" s="5">
        <f>IF(D1531&lt;$F$11,H1531,0)</f>
        <v>0</v>
      </c>
      <c r="L1531">
        <f>IF(D1531&lt;$A$15,$D$11,$D$11*(1-$H$11))</f>
        <v>85</v>
      </c>
      <c r="M1531">
        <f t="shared" si="140"/>
        <v>1</v>
      </c>
      <c r="N1531">
        <f>IF(SUM(I1531:J1531)&lt;=($G$11/60*$F$11/($E$11/60)),1,0)</f>
        <v>0</v>
      </c>
    </row>
    <row r="1532" spans="4:14" x14ac:dyDescent="0.2">
      <c r="D1532">
        <f t="shared" si="142"/>
        <v>1509</v>
      </c>
      <c r="E1532" s="1">
        <f>IF($H$11=1,IF(D1532&lt;=$A$15, E1531+LN($D$11)-LN(60/$E$11)-LN(MIN(D1532,$F$11)), E1531-LN(60/$E$11)-LN(MIN(D1532,$F$11))), IF(D1532&lt;=$A$15, E1531+LN($D$11)-LN(60/$E$11)-LN(MIN(D1532,$F$11)), E1531+LN($D$11)+LN(1-$H$11)-LN(60/$E$11)-LN(MIN(D1532,$F$11))))</f>
        <v>-181.27355126695275</v>
      </c>
      <c r="F1532" s="1">
        <f t="shared" si="143"/>
        <v>-183.2755840761518</v>
      </c>
      <c r="G1532" s="1">
        <f t="shared" si="141"/>
        <v>2.5376117006809749E-80</v>
      </c>
      <c r="H1532" s="1">
        <f t="shared" si="138"/>
        <v>2.4908506860090597E-81</v>
      </c>
      <c r="I1532">
        <f>IF($F$11&lt;=D1532, IF(D1532&lt;=$A$15,D1532-$F$11,$C$11),0)</f>
        <v>60</v>
      </c>
      <c r="J1532">
        <f t="shared" si="139"/>
        <v>1445</v>
      </c>
      <c r="K1532" s="5">
        <f>IF(D1532&lt;$F$11,H1532,0)</f>
        <v>0</v>
      </c>
      <c r="L1532">
        <f>IF(D1532&lt;$A$15,$D$11,$D$11*(1-$H$11))</f>
        <v>85</v>
      </c>
      <c r="M1532">
        <f t="shared" si="140"/>
        <v>1</v>
      </c>
      <c r="N1532">
        <f>IF(SUM(I1532:J1532)&lt;=($G$11/60*$F$11/($E$11/60)),1,0)</f>
        <v>0</v>
      </c>
    </row>
    <row r="1533" spans="4:14" x14ac:dyDescent="0.2">
      <c r="D1533">
        <f t="shared" si="142"/>
        <v>1510</v>
      </c>
      <c r="E1533" s="1">
        <f>IF($H$11=1,IF(D1533&lt;=$A$15, E1532+LN($D$11)-LN(60/$E$11)-LN(MIN(D1533,$F$11)), E1532-LN(60/$E$11)-LN(MIN(D1533,$F$11))), IF(D1533&lt;=$A$15, E1532+LN($D$11)-LN(60/$E$11)-LN(MIN(D1533,$F$11)), E1532+LN($D$11)+LN(1-$H$11)-LN(60/$E$11)-LN(MIN(D1533,$F$11))))</f>
        <v>-181.39524820193029</v>
      </c>
      <c r="F1533" s="1">
        <f t="shared" si="143"/>
        <v>-183.39728101112934</v>
      </c>
      <c r="G1533" s="1">
        <f t="shared" si="141"/>
        <v>2.2468436933112447E-80</v>
      </c>
      <c r="H1533" s="1">
        <f t="shared" si="138"/>
        <v>2.2054407115704873E-81</v>
      </c>
      <c r="I1533">
        <f>IF($F$11&lt;=D1533, IF(D1533&lt;=$A$15,D1533-$F$11,$C$11),0)</f>
        <v>60</v>
      </c>
      <c r="J1533">
        <f t="shared" si="139"/>
        <v>1446</v>
      </c>
      <c r="K1533" s="5">
        <f>IF(D1533&lt;$F$11,H1533,0)</f>
        <v>0</v>
      </c>
      <c r="L1533">
        <f>IF(D1533&lt;$A$15,$D$11,$D$11*(1-$H$11))</f>
        <v>85</v>
      </c>
      <c r="M1533">
        <f t="shared" si="140"/>
        <v>1</v>
      </c>
      <c r="N1533">
        <f>IF(SUM(I1533:J1533)&lt;=($G$11/60*$F$11/($E$11/60)),1,0)</f>
        <v>0</v>
      </c>
    </row>
    <row r="1534" spans="4:14" x14ac:dyDescent="0.2">
      <c r="D1534">
        <f t="shared" si="142"/>
        <v>1511</v>
      </c>
      <c r="E1534" s="1">
        <f>IF($H$11=1,IF(D1534&lt;=$A$15, E1533+LN($D$11)-LN(60/$E$11)-LN(MIN(D1534,$F$11)), E1533-LN(60/$E$11)-LN(MIN(D1534,$F$11))), IF(D1534&lt;=$A$15, E1533+LN($D$11)-LN(60/$E$11)-LN(MIN(D1534,$F$11)), E1533+LN($D$11)+LN(1-$H$11)-LN(60/$E$11)-LN(MIN(D1534,$F$11))))</f>
        <v>-181.51694513690782</v>
      </c>
      <c r="F1534" s="1">
        <f t="shared" si="143"/>
        <v>-183.51897794610687</v>
      </c>
      <c r="G1534" s="1">
        <f t="shared" si="141"/>
        <v>1.9893928534526335E-80</v>
      </c>
      <c r="H1534" s="1">
        <f t="shared" si="138"/>
        <v>1.9527339633696717E-81</v>
      </c>
      <c r="I1534">
        <f>IF($F$11&lt;=D1534, IF(D1534&lt;=$A$15,D1534-$F$11,$C$11),0)</f>
        <v>60</v>
      </c>
      <c r="J1534">
        <f t="shared" si="139"/>
        <v>1447</v>
      </c>
      <c r="K1534" s="5">
        <f>IF(D1534&lt;$F$11,H1534,0)</f>
        <v>0</v>
      </c>
      <c r="L1534">
        <f>IF(D1534&lt;$A$15,$D$11,$D$11*(1-$H$11))</f>
        <v>85</v>
      </c>
      <c r="M1534">
        <f t="shared" si="140"/>
        <v>1</v>
      </c>
      <c r="N1534">
        <f>IF(SUM(I1534:J1534)&lt;=($G$11/60*$F$11/($E$11/60)),1,0)</f>
        <v>0</v>
      </c>
    </row>
    <row r="1535" spans="4:14" x14ac:dyDescent="0.2">
      <c r="D1535">
        <f t="shared" si="142"/>
        <v>1512</v>
      </c>
      <c r="E1535" s="1">
        <f>IF($H$11=1,IF(D1535&lt;=$A$15, E1534+LN($D$11)-LN(60/$E$11)-LN(MIN(D1535,$F$11)), E1534-LN(60/$E$11)-LN(MIN(D1535,$F$11))), IF(D1535&lt;=$A$15, E1534+LN($D$11)-LN(60/$E$11)-LN(MIN(D1535,$F$11)), E1534+LN($D$11)+LN(1-$H$11)-LN(60/$E$11)-LN(MIN(D1535,$F$11))))</f>
        <v>-181.63864207188536</v>
      </c>
      <c r="F1535" s="1">
        <f t="shared" si="143"/>
        <v>-183.64067488108441</v>
      </c>
      <c r="G1535" s="1">
        <f t="shared" si="141"/>
        <v>1.7614415889944918E-80</v>
      </c>
      <c r="H1535" s="1">
        <f t="shared" si="138"/>
        <v>1.7289831967335366E-81</v>
      </c>
      <c r="I1535">
        <f>IF($F$11&lt;=D1535, IF(D1535&lt;=$A$15,D1535-$F$11,$C$11),0)</f>
        <v>60</v>
      </c>
      <c r="J1535">
        <f t="shared" si="139"/>
        <v>1448</v>
      </c>
      <c r="K1535" s="5">
        <f>IF(D1535&lt;$F$11,H1535,0)</f>
        <v>0</v>
      </c>
      <c r="L1535">
        <f>IF(D1535&lt;$A$15,$D$11,$D$11*(1-$H$11))</f>
        <v>85</v>
      </c>
      <c r="M1535">
        <f t="shared" si="140"/>
        <v>1</v>
      </c>
      <c r="N1535">
        <f>IF(SUM(I1535:J1535)&lt;=($G$11/60*$F$11/($E$11/60)),1,0)</f>
        <v>0</v>
      </c>
    </row>
    <row r="1536" spans="4:14" x14ac:dyDescent="0.2">
      <c r="D1536">
        <f t="shared" si="142"/>
        <v>1513</v>
      </c>
      <c r="E1536" s="1">
        <f>IF($H$11=1,IF(D1536&lt;=$A$15, E1535+LN($D$11)-LN(60/$E$11)-LN(MIN(D1536,$F$11)), E1535-LN(60/$E$11)-LN(MIN(D1536,$F$11))), IF(D1536&lt;=$A$15, E1535+LN($D$11)-LN(60/$E$11)-LN(MIN(D1536,$F$11)), E1535+LN($D$11)+LN(1-$H$11)-LN(60/$E$11)-LN(MIN(D1536,$F$11))))</f>
        <v>-181.76033900686289</v>
      </c>
      <c r="F1536" s="1">
        <f t="shared" si="143"/>
        <v>-183.76237181606194</v>
      </c>
      <c r="G1536" s="1">
        <f t="shared" si="141"/>
        <v>1.5596097402555152E-80</v>
      </c>
      <c r="H1536" s="1">
        <f t="shared" si="138"/>
        <v>1.5308705387744614E-81</v>
      </c>
      <c r="I1536">
        <f>IF($F$11&lt;=D1536, IF(D1536&lt;=$A$15,D1536-$F$11,$C$11),0)</f>
        <v>60</v>
      </c>
      <c r="J1536">
        <f t="shared" si="139"/>
        <v>1449</v>
      </c>
      <c r="K1536" s="5">
        <f>IF(D1536&lt;$F$11,H1536,0)</f>
        <v>0</v>
      </c>
      <c r="L1536">
        <f>IF(D1536&lt;$A$15,$D$11,$D$11*(1-$H$11))</f>
        <v>85</v>
      </c>
      <c r="M1536">
        <f t="shared" si="140"/>
        <v>1</v>
      </c>
      <c r="N1536">
        <f>IF(SUM(I1536:J1536)&lt;=($G$11/60*$F$11/($E$11/60)),1,0)</f>
        <v>0</v>
      </c>
    </row>
    <row r="1537" spans="4:14" x14ac:dyDescent="0.2">
      <c r="D1537">
        <f t="shared" si="142"/>
        <v>1514</v>
      </c>
      <c r="E1537" s="1">
        <f>IF($H$11=1,IF(D1537&lt;=$A$15, E1536+LN($D$11)-LN(60/$E$11)-LN(MIN(D1537,$F$11)), E1536-LN(60/$E$11)-LN(MIN(D1537,$F$11))), IF(D1537&lt;=$A$15, E1536+LN($D$11)-LN(60/$E$11)-LN(MIN(D1537,$F$11)), E1536+LN($D$11)+LN(1-$H$11)-LN(60/$E$11)-LN(MIN(D1537,$F$11))))</f>
        <v>-181.88203594184043</v>
      </c>
      <c r="F1537" s="1">
        <f t="shared" si="143"/>
        <v>-183.88406875103948</v>
      </c>
      <c r="G1537" s="1">
        <f t="shared" si="141"/>
        <v>1.3809044575178824E-80</v>
      </c>
      <c r="H1537" s="1">
        <f t="shared" si="138"/>
        <v>1.3554582895398664E-81</v>
      </c>
      <c r="I1537">
        <f>IF($F$11&lt;=D1537, IF(D1537&lt;=$A$15,D1537-$F$11,$C$11),0)</f>
        <v>60</v>
      </c>
      <c r="J1537">
        <f t="shared" si="139"/>
        <v>1450</v>
      </c>
      <c r="K1537" s="5">
        <f>IF(D1537&lt;$F$11,H1537,0)</f>
        <v>0</v>
      </c>
      <c r="L1537">
        <f>IF(D1537&lt;$A$15,$D$11,$D$11*(1-$H$11))</f>
        <v>85</v>
      </c>
      <c r="M1537">
        <f t="shared" si="140"/>
        <v>1</v>
      </c>
      <c r="N1537">
        <f>IF(SUM(I1537:J1537)&lt;=($G$11/60*$F$11/($E$11/60)),1,0)</f>
        <v>0</v>
      </c>
    </row>
    <row r="1538" spans="4:14" x14ac:dyDescent="0.2">
      <c r="D1538">
        <f t="shared" si="142"/>
        <v>1515</v>
      </c>
      <c r="E1538" s="1">
        <f>IF($H$11=1,IF(D1538&lt;=$A$15, E1537+LN($D$11)-LN(60/$E$11)-LN(MIN(D1538,$F$11)), E1537-LN(60/$E$11)-LN(MIN(D1538,$F$11))), IF(D1538&lt;=$A$15, E1537+LN($D$11)-LN(60/$E$11)-LN(MIN(D1538,$F$11)), E1537+LN($D$11)+LN(1-$H$11)-LN(60/$E$11)-LN(MIN(D1538,$F$11))))</f>
        <v>-182.00373287681796</v>
      </c>
      <c r="F1538" s="1">
        <f t="shared" si="143"/>
        <v>-184.00576568601701</v>
      </c>
      <c r="G1538" s="1">
        <f t="shared" si="141"/>
        <v>1.2226758217606059E-80</v>
      </c>
      <c r="H1538" s="1">
        <f t="shared" si="138"/>
        <v>1.2001453605300713E-81</v>
      </c>
      <c r="I1538">
        <f>IF($F$11&lt;=D1538, IF(D1538&lt;=$A$15,D1538-$F$11,$C$11),0)</f>
        <v>60</v>
      </c>
      <c r="J1538">
        <f t="shared" si="139"/>
        <v>1451</v>
      </c>
      <c r="K1538" s="5">
        <f>IF(D1538&lt;$F$11,H1538,0)</f>
        <v>0</v>
      </c>
      <c r="L1538">
        <f>IF(D1538&lt;$A$15,$D$11,$D$11*(1-$H$11))</f>
        <v>85</v>
      </c>
      <c r="M1538">
        <f t="shared" si="140"/>
        <v>1</v>
      </c>
      <c r="N1538">
        <f>IF(SUM(I1538:J1538)&lt;=($G$11/60*$F$11/($E$11/60)),1,0)</f>
        <v>0</v>
      </c>
    </row>
    <row r="1539" spans="4:14" x14ac:dyDescent="0.2">
      <c r="D1539">
        <f t="shared" si="142"/>
        <v>1516</v>
      </c>
      <c r="E1539" s="1">
        <f>IF($H$11=1,IF(D1539&lt;=$A$15, E1538+LN($D$11)-LN(60/$E$11)-LN(MIN(D1539,$F$11)), E1538-LN(60/$E$11)-LN(MIN(D1539,$F$11))), IF(D1539&lt;=$A$15, E1538+LN($D$11)-LN(60/$E$11)-LN(MIN(D1539,$F$11)), E1538+LN($D$11)+LN(1-$H$11)-LN(60/$E$11)-LN(MIN(D1539,$F$11))))</f>
        <v>-182.1254298117955</v>
      </c>
      <c r="F1539" s="1">
        <f t="shared" si="143"/>
        <v>-184.12746262099455</v>
      </c>
      <c r="G1539" s="1">
        <f t="shared" si="141"/>
        <v>1.0825775505171863E-80</v>
      </c>
      <c r="H1539" s="1">
        <f t="shared" si="138"/>
        <v>1.0626287046359841E-81</v>
      </c>
      <c r="I1539">
        <f>IF($F$11&lt;=D1539, IF(D1539&lt;=$A$15,D1539-$F$11,$C$11),0)</f>
        <v>60</v>
      </c>
      <c r="J1539">
        <f t="shared" si="139"/>
        <v>1452</v>
      </c>
      <c r="K1539" s="5">
        <f>IF(D1539&lt;$F$11,H1539,0)</f>
        <v>0</v>
      </c>
      <c r="L1539">
        <f>IF(D1539&lt;$A$15,$D$11,$D$11*(1-$H$11))</f>
        <v>85</v>
      </c>
      <c r="M1539">
        <f t="shared" si="140"/>
        <v>1</v>
      </c>
      <c r="N1539">
        <f>IF(SUM(I1539:J1539)&lt;=($G$11/60*$F$11/($E$11/60)),1,0)</f>
        <v>0</v>
      </c>
    </row>
    <row r="1540" spans="4:14" x14ac:dyDescent="0.2">
      <c r="D1540">
        <f t="shared" si="142"/>
        <v>1517</v>
      </c>
      <c r="E1540" s="1">
        <f>IF($H$11=1,IF(D1540&lt;=$A$15, E1539+LN($D$11)-LN(60/$E$11)-LN(MIN(D1540,$F$11)), E1539-LN(60/$E$11)-LN(MIN(D1540,$F$11))), IF(D1540&lt;=$A$15, E1539+LN($D$11)-LN(60/$E$11)-LN(MIN(D1540,$F$11)), E1539+LN($D$11)+LN(1-$H$11)-LN(60/$E$11)-LN(MIN(D1540,$F$11))))</f>
        <v>-182.24712674677303</v>
      </c>
      <c r="F1540" s="1">
        <f t="shared" si="143"/>
        <v>-184.24915955597208</v>
      </c>
      <c r="G1540" s="1">
        <f t="shared" si="141"/>
        <v>9.5853220618707699E-81</v>
      </c>
      <c r="H1540" s="1">
        <f t="shared" si="138"/>
        <v>9.4086916556309615E-82</v>
      </c>
      <c r="I1540">
        <f>IF($F$11&lt;=D1540, IF(D1540&lt;=$A$15,D1540-$F$11,$C$11),0)</f>
        <v>60</v>
      </c>
      <c r="J1540">
        <f t="shared" si="139"/>
        <v>1453</v>
      </c>
      <c r="K1540" s="5">
        <f>IF(D1540&lt;$F$11,H1540,0)</f>
        <v>0</v>
      </c>
      <c r="L1540">
        <f>IF(D1540&lt;$A$15,$D$11,$D$11*(1-$H$11))</f>
        <v>85</v>
      </c>
      <c r="M1540">
        <f t="shared" si="140"/>
        <v>1</v>
      </c>
      <c r="N1540">
        <f>IF(SUM(I1540:J1540)&lt;=($G$11/60*$F$11/($E$11/60)),1,0)</f>
        <v>0</v>
      </c>
    </row>
    <row r="1541" spans="4:14" x14ac:dyDescent="0.2">
      <c r="D1541">
        <f t="shared" si="142"/>
        <v>1518</v>
      </c>
      <c r="E1541" s="1">
        <f>IF($H$11=1,IF(D1541&lt;=$A$15, E1540+LN($D$11)-LN(60/$E$11)-LN(MIN(D1541,$F$11)), E1540-LN(60/$E$11)-LN(MIN(D1541,$F$11))), IF(D1541&lt;=$A$15, E1540+LN($D$11)-LN(60/$E$11)-LN(MIN(D1541,$F$11)), E1540+LN($D$11)+LN(1-$H$11)-LN(60/$E$11)-LN(MIN(D1541,$F$11))))</f>
        <v>-182.36882368175057</v>
      </c>
      <c r="F1541" s="1">
        <f t="shared" si="143"/>
        <v>-184.37085649094962</v>
      </c>
      <c r="G1541" s="1">
        <f t="shared" si="141"/>
        <v>8.4870039089479457E-81</v>
      </c>
      <c r="H1541" s="1">
        <f t="shared" si="138"/>
        <v>8.3306124034231182E-82</v>
      </c>
      <c r="I1541">
        <f>IF($F$11&lt;=D1541, IF(D1541&lt;=$A$15,D1541-$F$11,$C$11),0)</f>
        <v>60</v>
      </c>
      <c r="J1541">
        <f t="shared" si="139"/>
        <v>1454</v>
      </c>
      <c r="K1541" s="5">
        <f>IF(D1541&lt;$F$11,H1541,0)</f>
        <v>0</v>
      </c>
      <c r="L1541">
        <f>IF(D1541&lt;$A$15,$D$11,$D$11*(1-$H$11))</f>
        <v>85</v>
      </c>
      <c r="M1541">
        <f t="shared" si="140"/>
        <v>1</v>
      </c>
      <c r="N1541">
        <f>IF(SUM(I1541:J1541)&lt;=($G$11/60*$F$11/($E$11/60)),1,0)</f>
        <v>0</v>
      </c>
    </row>
    <row r="1542" spans="4:14" x14ac:dyDescent="0.2">
      <c r="D1542">
        <f t="shared" si="142"/>
        <v>1519</v>
      </c>
      <c r="E1542" s="1">
        <f>IF($H$11=1,IF(D1542&lt;=$A$15, E1541+LN($D$11)-LN(60/$E$11)-LN(MIN(D1542,$F$11)), E1541-LN(60/$E$11)-LN(MIN(D1542,$F$11))), IF(D1542&lt;=$A$15, E1541+LN($D$11)-LN(60/$E$11)-LN(MIN(D1542,$F$11)), E1541+LN($D$11)+LN(1-$H$11)-LN(60/$E$11)-LN(MIN(D1542,$F$11))))</f>
        <v>-182.49052061672811</v>
      </c>
      <c r="F1542" s="1">
        <f t="shared" si="143"/>
        <v>-184.49255342592716</v>
      </c>
      <c r="G1542" s="1">
        <f t="shared" si="141"/>
        <v>7.5145347110475421E-81</v>
      </c>
      <c r="H1542" s="1">
        <f t="shared" si="138"/>
        <v>7.3760630655307696E-82</v>
      </c>
      <c r="I1542">
        <f>IF($F$11&lt;=D1542, IF(D1542&lt;=$A$15,D1542-$F$11,$C$11),0)</f>
        <v>60</v>
      </c>
      <c r="J1542">
        <f t="shared" si="139"/>
        <v>1455</v>
      </c>
      <c r="K1542" s="5">
        <f>IF(D1542&lt;$F$11,H1542,0)</f>
        <v>0</v>
      </c>
      <c r="L1542">
        <f>IF(D1542&lt;$A$15,$D$11,$D$11*(1-$H$11))</f>
        <v>85</v>
      </c>
      <c r="M1542">
        <f t="shared" si="140"/>
        <v>1</v>
      </c>
      <c r="N1542">
        <f>IF(SUM(I1542:J1542)&lt;=($G$11/60*$F$11/($E$11/60)),1,0)</f>
        <v>0</v>
      </c>
    </row>
    <row r="1543" spans="4:14" x14ac:dyDescent="0.2">
      <c r="D1543">
        <f t="shared" si="142"/>
        <v>1520</v>
      </c>
      <c r="E1543" s="1">
        <f>IF($H$11=1,IF(D1543&lt;=$A$15, E1542+LN($D$11)-LN(60/$E$11)-LN(MIN(D1543,$F$11)), E1542-LN(60/$E$11)-LN(MIN(D1543,$F$11))), IF(D1543&lt;=$A$15, E1542+LN($D$11)-LN(60/$E$11)-LN(MIN(D1543,$F$11)), E1542+LN($D$11)+LN(1-$H$11)-LN(60/$E$11)-LN(MIN(D1543,$F$11))))</f>
        <v>-182.61221755170564</v>
      </c>
      <c r="F1543" s="1">
        <f t="shared" si="143"/>
        <v>-184.61425036090469</v>
      </c>
      <c r="G1543" s="1">
        <f t="shared" si="141"/>
        <v>6.6534942754065743E-81</v>
      </c>
      <c r="H1543" s="1">
        <f t="shared" si="138"/>
        <v>6.5308891726052674E-82</v>
      </c>
      <c r="I1543">
        <f>IF($F$11&lt;=D1543, IF(D1543&lt;=$A$15,D1543-$F$11,$C$11),0)</f>
        <v>60</v>
      </c>
      <c r="J1543">
        <f t="shared" si="139"/>
        <v>1456</v>
      </c>
      <c r="K1543" s="5">
        <f>IF(D1543&lt;$F$11,H1543,0)</f>
        <v>0</v>
      </c>
      <c r="L1543">
        <f>IF(D1543&lt;$A$15,$D$11,$D$11*(1-$H$11))</f>
        <v>85</v>
      </c>
      <c r="M1543">
        <f t="shared" si="140"/>
        <v>1</v>
      </c>
      <c r="N1543">
        <f>IF(SUM(I1543:J1543)&lt;=($G$11/60*$F$11/($E$11/60)),1,0)</f>
        <v>0</v>
      </c>
    </row>
    <row r="1544" spans="4:14" x14ac:dyDescent="0.2">
      <c r="D1544">
        <f t="shared" si="142"/>
        <v>1521</v>
      </c>
      <c r="E1544" s="1">
        <f>IF($H$11=1,IF(D1544&lt;=$A$15, E1543+LN($D$11)-LN(60/$E$11)-LN(MIN(D1544,$F$11)), E1543-LN(60/$E$11)-LN(MIN(D1544,$F$11))), IF(D1544&lt;=$A$15, E1543+LN($D$11)-LN(60/$E$11)-LN(MIN(D1544,$F$11)), E1543+LN($D$11)+LN(1-$H$11)-LN(60/$E$11)-LN(MIN(D1544,$F$11))))</f>
        <v>-182.73391448668318</v>
      </c>
      <c r="F1544" s="1">
        <f t="shared" si="143"/>
        <v>-184.73594729588223</v>
      </c>
      <c r="G1544" s="1">
        <f t="shared" si="141"/>
        <v>5.8911147230161456E-81</v>
      </c>
      <c r="H1544" s="1">
        <f t="shared" si="138"/>
        <v>5.7825581215774895E-82</v>
      </c>
      <c r="I1544">
        <f>IF($F$11&lt;=D1544, IF(D1544&lt;=$A$15,D1544-$F$11,$C$11),0)</f>
        <v>60</v>
      </c>
      <c r="J1544">
        <f t="shared" si="139"/>
        <v>1457</v>
      </c>
      <c r="K1544" s="5">
        <f>IF(D1544&lt;$F$11,H1544,0)</f>
        <v>0</v>
      </c>
      <c r="L1544">
        <f>IF(D1544&lt;$A$15,$D$11,$D$11*(1-$H$11))</f>
        <v>85</v>
      </c>
      <c r="M1544">
        <f t="shared" si="140"/>
        <v>1</v>
      </c>
      <c r="N1544">
        <f>IF(SUM(I1544:J1544)&lt;=($G$11/60*$F$11/($E$11/60)),1,0)</f>
        <v>0</v>
      </c>
    </row>
    <row r="1545" spans="4:14" x14ac:dyDescent="0.2">
      <c r="D1545">
        <f t="shared" si="142"/>
        <v>1522</v>
      </c>
      <c r="E1545" s="1">
        <f>IF($H$11=1,IF(D1545&lt;=$A$15, E1544+LN($D$11)-LN(60/$E$11)-LN(MIN(D1545,$F$11)), E1544-LN(60/$E$11)-LN(MIN(D1545,$F$11))), IF(D1545&lt;=$A$15, E1544+LN($D$11)-LN(60/$E$11)-LN(MIN(D1545,$F$11)), E1544+LN($D$11)+LN(1-$H$11)-LN(60/$E$11)-LN(MIN(D1545,$F$11))))</f>
        <v>-182.85561142166071</v>
      </c>
      <c r="F1545" s="1">
        <f t="shared" si="143"/>
        <v>-184.85764423085976</v>
      </c>
      <c r="G1545" s="1">
        <f t="shared" si="141"/>
        <v>5.2160911610037966E-81</v>
      </c>
      <c r="H1545" s="1">
        <f t="shared" si="138"/>
        <v>5.1199733368133218E-82</v>
      </c>
      <c r="I1545">
        <f>IF($F$11&lt;=D1545, IF(D1545&lt;=$A$15,D1545-$F$11,$C$11),0)</f>
        <v>60</v>
      </c>
      <c r="J1545">
        <f t="shared" si="139"/>
        <v>1458</v>
      </c>
      <c r="K1545" s="5">
        <f>IF(D1545&lt;$F$11,H1545,0)</f>
        <v>0</v>
      </c>
      <c r="L1545">
        <f>IF(D1545&lt;$A$15,$D$11,$D$11*(1-$H$11))</f>
        <v>85</v>
      </c>
      <c r="M1545">
        <f t="shared" si="140"/>
        <v>1</v>
      </c>
      <c r="N1545">
        <f>IF(SUM(I1545:J1545)&lt;=($G$11/60*$F$11/($E$11/60)),1,0)</f>
        <v>0</v>
      </c>
    </row>
    <row r="1546" spans="4:14" x14ac:dyDescent="0.2">
      <c r="D1546">
        <f t="shared" si="142"/>
        <v>1523</v>
      </c>
      <c r="E1546" s="1">
        <f>IF($H$11=1,IF(D1546&lt;=$A$15, E1545+LN($D$11)-LN(60/$E$11)-LN(MIN(D1546,$F$11)), E1545-LN(60/$E$11)-LN(MIN(D1546,$F$11))), IF(D1546&lt;=$A$15, E1545+LN($D$11)-LN(60/$E$11)-LN(MIN(D1546,$F$11)), E1545+LN($D$11)+LN(1-$H$11)-LN(60/$E$11)-LN(MIN(D1546,$F$11))))</f>
        <v>-182.97730835663825</v>
      </c>
      <c r="F1546" s="1">
        <f t="shared" si="143"/>
        <v>-184.9793411658373</v>
      </c>
      <c r="G1546" s="1">
        <f t="shared" si="141"/>
        <v>4.618414048805373E-81</v>
      </c>
      <c r="H1546" s="1">
        <f t="shared" si="138"/>
        <v>4.5333097253033915E-82</v>
      </c>
      <c r="I1546">
        <f>IF($F$11&lt;=D1546, IF(D1546&lt;=$A$15,D1546-$F$11,$C$11),0)</f>
        <v>60</v>
      </c>
      <c r="J1546">
        <f t="shared" si="139"/>
        <v>1459</v>
      </c>
      <c r="K1546" s="5">
        <f>IF(D1546&lt;$F$11,H1546,0)</f>
        <v>0</v>
      </c>
      <c r="L1546">
        <f>IF(D1546&lt;$A$15,$D$11,$D$11*(1-$H$11))</f>
        <v>85</v>
      </c>
      <c r="M1546">
        <f t="shared" si="140"/>
        <v>1</v>
      </c>
      <c r="N1546">
        <f>IF(SUM(I1546:J1546)&lt;=($G$11/60*$F$11/($E$11/60)),1,0)</f>
        <v>0</v>
      </c>
    </row>
    <row r="1547" spans="4:14" x14ac:dyDescent="0.2">
      <c r="D1547">
        <f t="shared" si="142"/>
        <v>1524</v>
      </c>
      <c r="E1547" s="1">
        <f>IF($H$11=1,IF(D1547&lt;=$A$15, E1546+LN($D$11)-LN(60/$E$11)-LN(MIN(D1547,$F$11)), E1546-LN(60/$E$11)-LN(MIN(D1547,$F$11))), IF(D1547&lt;=$A$15, E1546+LN($D$11)-LN(60/$E$11)-LN(MIN(D1547,$F$11)), E1546+LN($D$11)+LN(1-$H$11)-LN(60/$E$11)-LN(MIN(D1547,$F$11))))</f>
        <v>-183.09900529161578</v>
      </c>
      <c r="F1547" s="1">
        <f t="shared" si="143"/>
        <v>-185.10103810081483</v>
      </c>
      <c r="G1547" s="1">
        <f t="shared" si="141"/>
        <v>4.0892207723796935E-81</v>
      </c>
      <c r="H1547" s="1">
        <f t="shared" si="138"/>
        <v>4.0138679859456484E-82</v>
      </c>
      <c r="I1547">
        <f>IF($F$11&lt;=D1547, IF(D1547&lt;=$A$15,D1547-$F$11,$C$11),0)</f>
        <v>60</v>
      </c>
      <c r="J1547">
        <f t="shared" si="139"/>
        <v>1460</v>
      </c>
      <c r="K1547" s="5">
        <f>IF(D1547&lt;$F$11,H1547,0)</f>
        <v>0</v>
      </c>
      <c r="L1547">
        <f>IF(D1547&lt;$A$15,$D$11,$D$11*(1-$H$11))</f>
        <v>85</v>
      </c>
      <c r="M1547">
        <f t="shared" si="140"/>
        <v>1</v>
      </c>
      <c r="N1547">
        <f>IF(SUM(I1547:J1547)&lt;=($G$11/60*$F$11/($E$11/60)),1,0)</f>
        <v>0</v>
      </c>
    </row>
    <row r="1548" spans="4:14" x14ac:dyDescent="0.2">
      <c r="D1548">
        <f t="shared" si="142"/>
        <v>1525</v>
      </c>
      <c r="E1548" s="1">
        <f>IF($H$11=1,IF(D1548&lt;=$A$15, E1547+LN($D$11)-LN(60/$E$11)-LN(MIN(D1548,$F$11)), E1547-LN(60/$E$11)-LN(MIN(D1548,$F$11))), IF(D1548&lt;=$A$15, E1547+LN($D$11)-LN(60/$E$11)-LN(MIN(D1548,$F$11)), E1547+LN($D$11)+LN(1-$H$11)-LN(60/$E$11)-LN(MIN(D1548,$F$11))))</f>
        <v>-183.22070222659332</v>
      </c>
      <c r="F1548" s="1">
        <f t="shared" si="143"/>
        <v>-185.22273503579237</v>
      </c>
      <c r="G1548" s="1">
        <f t="shared" si="141"/>
        <v>3.6206642255444635E-81</v>
      </c>
      <c r="H1548" s="1">
        <f t="shared" si="138"/>
        <v>3.5539456125559872E-82</v>
      </c>
      <c r="I1548">
        <f>IF($F$11&lt;=D1548, IF(D1548&lt;=$A$15,D1548-$F$11,$C$11),0)</f>
        <v>60</v>
      </c>
      <c r="J1548">
        <f t="shared" si="139"/>
        <v>1461</v>
      </c>
      <c r="K1548" s="5">
        <f>IF(D1548&lt;$F$11,H1548,0)</f>
        <v>0</v>
      </c>
      <c r="L1548">
        <f>IF(D1548&lt;$A$15,$D$11,$D$11*(1-$H$11))</f>
        <v>85</v>
      </c>
      <c r="M1548">
        <f t="shared" si="140"/>
        <v>1</v>
      </c>
      <c r="N1548">
        <f>IF(SUM(I1548:J1548)&lt;=($G$11/60*$F$11/($E$11/60)),1,0)</f>
        <v>0</v>
      </c>
    </row>
    <row r="1549" spans="4:14" x14ac:dyDescent="0.2">
      <c r="D1549">
        <f t="shared" si="142"/>
        <v>1526</v>
      </c>
      <c r="E1549" s="1">
        <f>IF($H$11=1,IF(D1549&lt;=$A$15, E1548+LN($D$11)-LN(60/$E$11)-LN(MIN(D1549,$F$11)), E1548-LN(60/$E$11)-LN(MIN(D1549,$F$11))), IF(D1549&lt;=$A$15, E1548+LN($D$11)-LN(60/$E$11)-LN(MIN(D1549,$F$11)), E1548+LN($D$11)+LN(1-$H$11)-LN(60/$E$11)-LN(MIN(D1549,$F$11))))</f>
        <v>-183.34239916157085</v>
      </c>
      <c r="F1549" s="1">
        <f t="shared" si="143"/>
        <v>-185.3444319707699</v>
      </c>
      <c r="G1549" s="1">
        <f t="shared" si="141"/>
        <v>3.2057964497007772E-81</v>
      </c>
      <c r="H1549" s="1">
        <f t="shared" si="138"/>
        <v>3.1467226777838981E-82</v>
      </c>
      <c r="I1549">
        <f>IF($F$11&lt;=D1549, IF(D1549&lt;=$A$15,D1549-$F$11,$C$11),0)</f>
        <v>60</v>
      </c>
      <c r="J1549">
        <f t="shared" si="139"/>
        <v>1462</v>
      </c>
      <c r="K1549" s="5">
        <f>IF(D1549&lt;$F$11,H1549,0)</f>
        <v>0</v>
      </c>
      <c r="L1549">
        <f>IF(D1549&lt;$A$15,$D$11,$D$11*(1-$H$11))</f>
        <v>85</v>
      </c>
      <c r="M1549">
        <f t="shared" si="140"/>
        <v>1</v>
      </c>
      <c r="N1549">
        <f>IF(SUM(I1549:J1549)&lt;=($G$11/60*$F$11/($E$11/60)),1,0)</f>
        <v>0</v>
      </c>
    </row>
    <row r="1550" spans="4:14" x14ac:dyDescent="0.2">
      <c r="D1550">
        <f t="shared" si="142"/>
        <v>1527</v>
      </c>
      <c r="E1550" s="1">
        <f>IF($H$11=1,IF(D1550&lt;=$A$15, E1549+LN($D$11)-LN(60/$E$11)-LN(MIN(D1550,$F$11)), E1549-LN(60/$E$11)-LN(MIN(D1550,$F$11))), IF(D1550&lt;=$A$15, E1549+LN($D$11)-LN(60/$E$11)-LN(MIN(D1550,$F$11)), E1549+LN($D$11)+LN(1-$H$11)-LN(60/$E$11)-LN(MIN(D1550,$F$11))))</f>
        <v>-183.46409609654839</v>
      </c>
      <c r="F1550" s="1">
        <f t="shared" si="143"/>
        <v>-185.46612890574744</v>
      </c>
      <c r="G1550" s="1">
        <f t="shared" si="141"/>
        <v>2.8384656065058519E-81</v>
      </c>
      <c r="H1550" s="1">
        <f t="shared" si="138"/>
        <v>2.7861607042877827E-82</v>
      </c>
      <c r="I1550">
        <f>IF($F$11&lt;=D1550, IF(D1550&lt;=$A$15,D1550-$F$11,$C$11),0)</f>
        <v>60</v>
      </c>
      <c r="J1550">
        <f t="shared" si="139"/>
        <v>1463</v>
      </c>
      <c r="K1550" s="5">
        <f>IF(D1550&lt;$F$11,H1550,0)</f>
        <v>0</v>
      </c>
      <c r="L1550">
        <f>IF(D1550&lt;$A$15,$D$11,$D$11*(1-$H$11))</f>
        <v>85</v>
      </c>
      <c r="M1550">
        <f t="shared" si="140"/>
        <v>1</v>
      </c>
      <c r="N1550">
        <f>IF(SUM(I1550:J1550)&lt;=($G$11/60*$F$11/($E$11/60)),1,0)</f>
        <v>0</v>
      </c>
    </row>
    <row r="1551" spans="4:14" x14ac:dyDescent="0.2">
      <c r="D1551">
        <f t="shared" si="142"/>
        <v>1528</v>
      </c>
      <c r="E1551" s="1">
        <f>IF($H$11=1,IF(D1551&lt;=$A$15, E1550+LN($D$11)-LN(60/$E$11)-LN(MIN(D1551,$F$11)), E1550-LN(60/$E$11)-LN(MIN(D1551,$F$11))), IF(D1551&lt;=$A$15, E1550+LN($D$11)-LN(60/$E$11)-LN(MIN(D1551,$F$11)), E1550+LN($D$11)+LN(1-$H$11)-LN(60/$E$11)-LN(MIN(D1551,$F$11))))</f>
        <v>-183.58579303152592</v>
      </c>
      <c r="F1551" s="1">
        <f t="shared" si="143"/>
        <v>-185.58782584072497</v>
      </c>
      <c r="G1551" s="1">
        <f t="shared" si="141"/>
        <v>2.5132247557603504E-81</v>
      </c>
      <c r="H1551" s="1">
        <f t="shared" si="138"/>
        <v>2.4669131235881023E-82</v>
      </c>
      <c r="I1551">
        <f>IF($F$11&lt;=D1551, IF(D1551&lt;=$A$15,D1551-$F$11,$C$11),0)</f>
        <v>60</v>
      </c>
      <c r="J1551">
        <f t="shared" si="139"/>
        <v>1464</v>
      </c>
      <c r="K1551" s="5">
        <f>IF(D1551&lt;$F$11,H1551,0)</f>
        <v>0</v>
      </c>
      <c r="L1551">
        <f>IF(D1551&lt;$A$15,$D$11,$D$11*(1-$H$11))</f>
        <v>85</v>
      </c>
      <c r="M1551">
        <f t="shared" si="140"/>
        <v>1</v>
      </c>
      <c r="N1551">
        <f>IF(SUM(I1551:J1551)&lt;=($G$11/60*$F$11/($E$11/60)),1,0)</f>
        <v>0</v>
      </c>
    </row>
    <row r="1552" spans="4:14" x14ac:dyDescent="0.2">
      <c r="D1552">
        <f t="shared" si="142"/>
        <v>1529</v>
      </c>
      <c r="E1552" s="1">
        <f>IF($H$11=1,IF(D1552&lt;=$A$15, E1551+LN($D$11)-LN(60/$E$11)-LN(MIN(D1552,$F$11)), E1551-LN(60/$E$11)-LN(MIN(D1552,$F$11))), IF(D1552&lt;=$A$15, E1551+LN($D$11)-LN(60/$E$11)-LN(MIN(D1552,$F$11)), E1551+LN($D$11)+LN(1-$H$11)-LN(60/$E$11)-LN(MIN(D1552,$F$11))))</f>
        <v>-183.70748996650346</v>
      </c>
      <c r="F1552" s="1">
        <f t="shared" si="143"/>
        <v>-185.70952277570251</v>
      </c>
      <c r="G1552" s="1">
        <f t="shared" si="141"/>
        <v>2.2252510858294422E-81</v>
      </c>
      <c r="H1552" s="1">
        <f t="shared" si="138"/>
        <v>2.1842459948435983E-82</v>
      </c>
      <c r="I1552">
        <f>IF($F$11&lt;=D1552, IF(D1552&lt;=$A$15,D1552-$F$11,$C$11),0)</f>
        <v>60</v>
      </c>
      <c r="J1552">
        <f t="shared" si="139"/>
        <v>1465</v>
      </c>
      <c r="K1552" s="5">
        <f>IF(D1552&lt;$F$11,H1552,0)</f>
        <v>0</v>
      </c>
      <c r="L1552">
        <f>IF(D1552&lt;$A$15,$D$11,$D$11*(1-$H$11))</f>
        <v>85</v>
      </c>
      <c r="M1552">
        <f t="shared" si="140"/>
        <v>1</v>
      </c>
      <c r="N1552">
        <f>IF(SUM(I1552:J1552)&lt;=($G$11/60*$F$11/($E$11/60)),1,0)</f>
        <v>0</v>
      </c>
    </row>
    <row r="1553" spans="4:14" x14ac:dyDescent="0.2">
      <c r="D1553">
        <f t="shared" si="142"/>
        <v>1530</v>
      </c>
      <c r="E1553" s="1">
        <f>IF($H$11=1,IF(D1553&lt;=$A$15, E1552+LN($D$11)-LN(60/$E$11)-LN(MIN(D1553,$F$11)), E1552-LN(60/$E$11)-LN(MIN(D1553,$F$11))), IF(D1553&lt;=$A$15, E1552+LN($D$11)-LN(60/$E$11)-LN(MIN(D1553,$F$11)), E1552+LN($D$11)+LN(1-$H$11)-LN(60/$E$11)-LN(MIN(D1553,$F$11))))</f>
        <v>-183.82918690148099</v>
      </c>
      <c r="F1553" s="1">
        <f t="shared" si="143"/>
        <v>-185.83121971068005</v>
      </c>
      <c r="G1553" s="1">
        <f t="shared" si="141"/>
        <v>1.9702743989114545E-81</v>
      </c>
      <c r="H1553" s="1">
        <f t="shared" si="138"/>
        <v>1.9339678079344057E-82</v>
      </c>
      <c r="I1553">
        <f>IF($F$11&lt;=D1553, IF(D1553&lt;=$A$15,D1553-$F$11,$C$11),0)</f>
        <v>60</v>
      </c>
      <c r="J1553">
        <f t="shared" si="139"/>
        <v>1466</v>
      </c>
      <c r="K1553" s="5">
        <f>IF(D1553&lt;$F$11,H1553,0)</f>
        <v>0</v>
      </c>
      <c r="L1553">
        <f>IF(D1553&lt;$A$15,$D$11,$D$11*(1-$H$11))</f>
        <v>85</v>
      </c>
      <c r="M1553">
        <f t="shared" si="140"/>
        <v>1</v>
      </c>
      <c r="N1553">
        <f>IF(SUM(I1553:J1553)&lt;=($G$11/60*$F$11/($E$11/60)),1,0)</f>
        <v>0</v>
      </c>
    </row>
    <row r="1554" spans="4:14" x14ac:dyDescent="0.2">
      <c r="D1554">
        <f t="shared" si="142"/>
        <v>1531</v>
      </c>
      <c r="E1554" s="1">
        <f>IF($H$11=1,IF(D1554&lt;=$A$15, E1553+LN($D$11)-LN(60/$E$11)-LN(MIN(D1554,$F$11)), E1553-LN(60/$E$11)-LN(MIN(D1554,$F$11))), IF(D1554&lt;=$A$15, E1553+LN($D$11)-LN(60/$E$11)-LN(MIN(D1554,$F$11)), E1553+LN($D$11)+LN(1-$H$11)-LN(60/$E$11)-LN(MIN(D1554,$F$11))))</f>
        <v>-183.95088383645853</v>
      </c>
      <c r="F1554" s="1">
        <f t="shared" si="143"/>
        <v>-185.95291664565758</v>
      </c>
      <c r="G1554" s="1">
        <f t="shared" si="141"/>
        <v>1.7445137907028231E-81</v>
      </c>
      <c r="H1554" s="1">
        <f t="shared" si="138"/>
        <v>1.7123673299418949E-82</v>
      </c>
      <c r="I1554">
        <f>IF($F$11&lt;=D1554, IF(D1554&lt;=$A$15,D1554-$F$11,$C$11),0)</f>
        <v>60</v>
      </c>
      <c r="J1554">
        <f t="shared" si="139"/>
        <v>1467</v>
      </c>
      <c r="K1554" s="5">
        <f>IF(D1554&lt;$F$11,H1554,0)</f>
        <v>0</v>
      </c>
      <c r="L1554">
        <f>IF(D1554&lt;$A$15,$D$11,$D$11*(1-$H$11))</f>
        <v>85</v>
      </c>
      <c r="M1554">
        <f t="shared" si="140"/>
        <v>1</v>
      </c>
      <c r="N1554">
        <f>IF(SUM(I1554:J1554)&lt;=($G$11/60*$F$11/($E$11/60)),1,0)</f>
        <v>0</v>
      </c>
    </row>
    <row r="1555" spans="4:14" x14ac:dyDescent="0.2">
      <c r="D1555">
        <f t="shared" si="142"/>
        <v>1532</v>
      </c>
      <c r="E1555" s="1">
        <f>IF($H$11=1,IF(D1555&lt;=$A$15, E1554+LN($D$11)-LN(60/$E$11)-LN(MIN(D1555,$F$11)), E1554-LN(60/$E$11)-LN(MIN(D1555,$F$11))), IF(D1555&lt;=$A$15, E1554+LN($D$11)-LN(60/$E$11)-LN(MIN(D1555,$F$11)), E1554+LN($D$11)+LN(1-$H$11)-LN(60/$E$11)-LN(MIN(D1555,$F$11))))</f>
        <v>-184.07258077143607</v>
      </c>
      <c r="F1555" s="1">
        <f t="shared" si="143"/>
        <v>-186.07461358063512</v>
      </c>
      <c r="G1555" s="1">
        <f t="shared" si="141"/>
        <v>1.5446215855181005E-81</v>
      </c>
      <c r="H1555" s="1">
        <f t="shared" si="138"/>
        <v>1.5161585733860291E-82</v>
      </c>
      <c r="I1555">
        <f>IF($F$11&lt;=D1555, IF(D1555&lt;=$A$15,D1555-$F$11,$C$11),0)</f>
        <v>60</v>
      </c>
      <c r="J1555">
        <f t="shared" si="139"/>
        <v>1468</v>
      </c>
      <c r="K1555" s="5">
        <f>IF(D1555&lt;$F$11,H1555,0)</f>
        <v>0</v>
      </c>
      <c r="L1555">
        <f>IF(D1555&lt;$A$15,$D$11,$D$11*(1-$H$11))</f>
        <v>85</v>
      </c>
      <c r="M1555">
        <f t="shared" si="140"/>
        <v>1</v>
      </c>
      <c r="N1555">
        <f>IF(SUM(I1555:J1555)&lt;=($G$11/60*$F$11/($E$11/60)),1,0)</f>
        <v>0</v>
      </c>
    </row>
    <row r="1556" spans="4:14" x14ac:dyDescent="0.2">
      <c r="D1556">
        <f t="shared" si="142"/>
        <v>1533</v>
      </c>
      <c r="E1556" s="1">
        <f>IF($H$11=1,IF(D1556&lt;=$A$15, E1555+LN($D$11)-LN(60/$E$11)-LN(MIN(D1556,$F$11)), E1555-LN(60/$E$11)-LN(MIN(D1556,$F$11))), IF(D1556&lt;=$A$15, E1555+LN($D$11)-LN(60/$E$11)-LN(MIN(D1556,$F$11)), E1555+LN($D$11)+LN(1-$H$11)-LN(60/$E$11)-LN(MIN(D1556,$F$11))))</f>
        <v>-184.1942777064136</v>
      </c>
      <c r="F1556" s="1">
        <f t="shared" si="143"/>
        <v>-186.19631051561265</v>
      </c>
      <c r="G1556" s="1">
        <f t="shared" si="141"/>
        <v>1.3676336955107966E-81</v>
      </c>
      <c r="H1556" s="1">
        <f t="shared" si="138"/>
        <v>1.3424320701855256E-82</v>
      </c>
      <c r="I1556">
        <f>IF($F$11&lt;=D1556, IF(D1556&lt;=$A$15,D1556-$F$11,$C$11),0)</f>
        <v>60</v>
      </c>
      <c r="J1556">
        <f t="shared" si="139"/>
        <v>1469</v>
      </c>
      <c r="K1556" s="5">
        <f>IF(D1556&lt;$F$11,H1556,0)</f>
        <v>0</v>
      </c>
      <c r="L1556">
        <f>IF(D1556&lt;$A$15,$D$11,$D$11*(1-$H$11))</f>
        <v>85</v>
      </c>
      <c r="M1556">
        <f t="shared" si="140"/>
        <v>1</v>
      </c>
      <c r="N1556">
        <f>IF(SUM(I1556:J1556)&lt;=($G$11/60*$F$11/($E$11/60)),1,0)</f>
        <v>0</v>
      </c>
    </row>
    <row r="1557" spans="4:14" x14ac:dyDescent="0.2">
      <c r="D1557">
        <f t="shared" si="142"/>
        <v>1534</v>
      </c>
      <c r="E1557" s="1">
        <f>IF($H$11=1,IF(D1557&lt;=$A$15, E1556+LN($D$11)-LN(60/$E$11)-LN(MIN(D1557,$F$11)), E1556-LN(60/$E$11)-LN(MIN(D1557,$F$11))), IF(D1557&lt;=$A$15, E1556+LN($D$11)-LN(60/$E$11)-LN(MIN(D1557,$F$11)), E1556+LN($D$11)+LN(1-$H$11)-LN(60/$E$11)-LN(MIN(D1557,$F$11))))</f>
        <v>-184.31597464139114</v>
      </c>
      <c r="F1557" s="1">
        <f t="shared" si="143"/>
        <v>-186.31800745059019</v>
      </c>
      <c r="G1557" s="1">
        <f t="shared" si="141"/>
        <v>1.2109256679001656E-81</v>
      </c>
      <c r="H1557" s="1">
        <f t="shared" si="138"/>
        <v>1.1886117288100821E-82</v>
      </c>
      <c r="I1557">
        <f>IF($F$11&lt;=D1557, IF(D1557&lt;=$A$15,D1557-$F$11,$C$11),0)</f>
        <v>60</v>
      </c>
      <c r="J1557">
        <f t="shared" si="139"/>
        <v>1470</v>
      </c>
      <c r="K1557" s="5">
        <f>IF(D1557&lt;$F$11,H1557,0)</f>
        <v>0</v>
      </c>
      <c r="L1557">
        <f>IF(D1557&lt;$A$15,$D$11,$D$11*(1-$H$11))</f>
        <v>85</v>
      </c>
      <c r="M1557">
        <f t="shared" si="140"/>
        <v>1</v>
      </c>
      <c r="N1557">
        <f>IF(SUM(I1557:J1557)&lt;=($G$11/60*$F$11/($E$11/60)),1,0)</f>
        <v>0</v>
      </c>
    </row>
    <row r="1558" spans="4:14" x14ac:dyDescent="0.2">
      <c r="D1558">
        <f t="shared" si="142"/>
        <v>1535</v>
      </c>
      <c r="E1558" s="1">
        <f>IF($H$11=1,IF(D1558&lt;=$A$15, E1557+LN($D$11)-LN(60/$E$11)-LN(MIN(D1558,$F$11)), E1557-LN(60/$E$11)-LN(MIN(D1558,$F$11))), IF(D1558&lt;=$A$15, E1557+LN($D$11)-LN(60/$E$11)-LN(MIN(D1558,$F$11)), E1557+LN($D$11)+LN(1-$H$11)-LN(60/$E$11)-LN(MIN(D1558,$F$11))))</f>
        <v>-184.43767157636867</v>
      </c>
      <c r="F1558" s="1">
        <f t="shared" si="143"/>
        <v>-186.43970438556772</v>
      </c>
      <c r="G1558" s="1">
        <f t="shared" si="141"/>
        <v>1.0721737684532549E-81</v>
      </c>
      <c r="H1558" s="1">
        <f t="shared" si="138"/>
        <v>1.0524166348839104E-82</v>
      </c>
      <c r="I1558">
        <f>IF($F$11&lt;=D1558, IF(D1558&lt;=$A$15,D1558-$F$11,$C$11),0)</f>
        <v>60</v>
      </c>
      <c r="J1558">
        <f t="shared" si="139"/>
        <v>1471</v>
      </c>
      <c r="K1558" s="5">
        <f>IF(D1558&lt;$F$11,H1558,0)</f>
        <v>0</v>
      </c>
      <c r="L1558">
        <f>IF(D1558&lt;$A$15,$D$11,$D$11*(1-$H$11))</f>
        <v>85</v>
      </c>
      <c r="M1558">
        <f t="shared" si="140"/>
        <v>1</v>
      </c>
      <c r="N1558">
        <f>IF(SUM(I1558:J1558)&lt;=($G$11/60*$F$11/($E$11/60)),1,0)</f>
        <v>0</v>
      </c>
    </row>
    <row r="1559" spans="4:14" x14ac:dyDescent="0.2">
      <c r="D1559">
        <f t="shared" si="142"/>
        <v>1536</v>
      </c>
      <c r="E1559" s="1">
        <f>IF($H$11=1,IF(D1559&lt;=$A$15, E1558+LN($D$11)-LN(60/$E$11)-LN(MIN(D1559,$F$11)), E1558-LN(60/$E$11)-LN(MIN(D1559,$F$11))), IF(D1559&lt;=$A$15, E1558+LN($D$11)-LN(60/$E$11)-LN(MIN(D1559,$F$11)), E1558+LN($D$11)+LN(1-$H$11)-LN(60/$E$11)-LN(MIN(D1559,$F$11))))</f>
        <v>-184.55936851134621</v>
      </c>
      <c r="F1559" s="1">
        <f t="shared" si="143"/>
        <v>-186.56140132054526</v>
      </c>
      <c r="G1559" s="1">
        <f t="shared" si="141"/>
        <v>9.4932052415130456E-82</v>
      </c>
      <c r="H1559" s="1">
        <f t="shared" ref="H1559:H1622" si="144">G1559/$G$21</f>
        <v>9.3182722880344782E-83</v>
      </c>
      <c r="I1559">
        <f>IF($F$11&lt;=D1559, IF(D1559&lt;=$A$15,D1559-$F$11,$C$11),0)</f>
        <v>60</v>
      </c>
      <c r="J1559">
        <f t="shared" ref="J1559:J1622" si="145">IF(D1559&lt;=$A$15,0,D1559-$A$15)</f>
        <v>1472</v>
      </c>
      <c r="K1559" s="5">
        <f>IF(D1559&lt;$F$11,H1559,0)</f>
        <v>0</v>
      </c>
      <c r="L1559">
        <f>IF(D1559&lt;$A$15,$D$11,$D$11*(1-$H$11))</f>
        <v>85</v>
      </c>
      <c r="M1559">
        <f t="shared" ref="M1559:M1622" si="146">IF(D1559&lt;$A$15,0,1)</f>
        <v>1</v>
      </c>
      <c r="N1559">
        <f>IF(SUM(I1559:J1559)&lt;=($G$11/60*$F$11/($E$11/60)),1,0)</f>
        <v>0</v>
      </c>
    </row>
    <row r="1560" spans="4:14" x14ac:dyDescent="0.2">
      <c r="D1560">
        <f t="shared" si="142"/>
        <v>1537</v>
      </c>
      <c r="E1560" s="1">
        <f>IF($H$11=1,IF(D1560&lt;=$A$15, E1559+LN($D$11)-LN(60/$E$11)-LN(MIN(D1560,$F$11)), E1559-LN(60/$E$11)-LN(MIN(D1560,$F$11))), IF(D1560&lt;=$A$15, E1559+LN($D$11)-LN(60/$E$11)-LN(MIN(D1560,$F$11)), E1559+LN($D$11)+LN(1-$H$11)-LN(60/$E$11)-LN(MIN(D1560,$F$11))))</f>
        <v>-184.68106544632374</v>
      </c>
      <c r="F1560" s="1">
        <f t="shared" si="143"/>
        <v>-186.68309825552279</v>
      </c>
      <c r="G1560" s="1">
        <f t="shared" ref="G1560:G1623" si="147">EXP(F1560)</f>
        <v>8.4054421409228772E-82</v>
      </c>
      <c r="H1560" s="1">
        <f t="shared" si="144"/>
        <v>8.2505535883637313E-83</v>
      </c>
      <c r="I1560">
        <f>IF($F$11&lt;=D1560, IF(D1560&lt;=$A$15,D1560-$F$11,$C$11),0)</f>
        <v>60</v>
      </c>
      <c r="J1560">
        <f t="shared" si="145"/>
        <v>1473</v>
      </c>
      <c r="K1560" s="5">
        <f>IF(D1560&lt;$F$11,H1560,0)</f>
        <v>0</v>
      </c>
      <c r="L1560">
        <f>IF(D1560&lt;$A$15,$D$11,$D$11*(1-$H$11))</f>
        <v>85</v>
      </c>
      <c r="M1560">
        <f t="shared" si="146"/>
        <v>1</v>
      </c>
      <c r="N1560">
        <f>IF(SUM(I1560:J1560)&lt;=($G$11/60*$F$11/($E$11/60)),1,0)</f>
        <v>0</v>
      </c>
    </row>
    <row r="1561" spans="4:14" x14ac:dyDescent="0.2">
      <c r="D1561">
        <f t="shared" ref="D1561:D1624" si="148">1+D1560</f>
        <v>1538</v>
      </c>
      <c r="E1561" s="1">
        <f>IF($H$11=1,IF(D1561&lt;=$A$15, E1560+LN($D$11)-LN(60/$E$11)-LN(MIN(D1561,$F$11)), E1560-LN(60/$E$11)-LN(MIN(D1561,$F$11))), IF(D1561&lt;=$A$15, E1560+LN($D$11)-LN(60/$E$11)-LN(MIN(D1561,$F$11)), E1560+LN($D$11)+LN(1-$H$11)-LN(60/$E$11)-LN(MIN(D1561,$F$11))))</f>
        <v>-184.80276238130128</v>
      </c>
      <c r="F1561" s="1">
        <f t="shared" ref="F1561:F1624" si="149">E1561-$E$21</f>
        <v>-186.80479519050033</v>
      </c>
      <c r="G1561" s="1">
        <f t="shared" si="147"/>
        <v>7.4423185622753482E-82</v>
      </c>
      <c r="H1561" s="1">
        <f t="shared" si="144"/>
        <v>7.305177656363606E-83</v>
      </c>
      <c r="I1561">
        <f>IF($F$11&lt;=D1561, IF(D1561&lt;=$A$15,D1561-$F$11,$C$11),0)</f>
        <v>60</v>
      </c>
      <c r="J1561">
        <f t="shared" si="145"/>
        <v>1474</v>
      </c>
      <c r="K1561" s="5">
        <f>IF(D1561&lt;$F$11,H1561,0)</f>
        <v>0</v>
      </c>
      <c r="L1561">
        <f>IF(D1561&lt;$A$15,$D$11,$D$11*(1-$H$11))</f>
        <v>85</v>
      </c>
      <c r="M1561">
        <f t="shared" si="146"/>
        <v>1</v>
      </c>
      <c r="N1561">
        <f>IF(SUM(I1561:J1561)&lt;=($G$11/60*$F$11/($E$11/60)),1,0)</f>
        <v>0</v>
      </c>
    </row>
    <row r="1562" spans="4:14" x14ac:dyDescent="0.2">
      <c r="D1562">
        <f t="shared" si="148"/>
        <v>1539</v>
      </c>
      <c r="E1562" s="1">
        <f>IF($H$11=1,IF(D1562&lt;=$A$15, E1561+LN($D$11)-LN(60/$E$11)-LN(MIN(D1562,$F$11)), E1561-LN(60/$E$11)-LN(MIN(D1562,$F$11))), IF(D1562&lt;=$A$15, E1561+LN($D$11)-LN(60/$E$11)-LN(MIN(D1562,$F$11)), E1561+LN($D$11)+LN(1-$H$11)-LN(60/$E$11)-LN(MIN(D1562,$F$11))))</f>
        <v>-184.92445931627881</v>
      </c>
      <c r="F1562" s="1">
        <f t="shared" si="149"/>
        <v>-186.92649212547786</v>
      </c>
      <c r="G1562" s="1">
        <f t="shared" si="147"/>
        <v>6.5895528936811954E-82</v>
      </c>
      <c r="H1562" s="1">
        <f t="shared" si="144"/>
        <v>6.4681260499051759E-83</v>
      </c>
      <c r="I1562">
        <f>IF($F$11&lt;=D1562, IF(D1562&lt;=$A$15,D1562-$F$11,$C$11),0)</f>
        <v>60</v>
      </c>
      <c r="J1562">
        <f t="shared" si="145"/>
        <v>1475</v>
      </c>
      <c r="K1562" s="5">
        <f>IF(D1562&lt;$F$11,H1562,0)</f>
        <v>0</v>
      </c>
      <c r="L1562">
        <f>IF(D1562&lt;$A$15,$D$11,$D$11*(1-$H$11))</f>
        <v>85</v>
      </c>
      <c r="M1562">
        <f t="shared" si="146"/>
        <v>1</v>
      </c>
      <c r="N1562">
        <f>IF(SUM(I1562:J1562)&lt;=($G$11/60*$F$11/($E$11/60)),1,0)</f>
        <v>0</v>
      </c>
    </row>
    <row r="1563" spans="4:14" x14ac:dyDescent="0.2">
      <c r="D1563">
        <f t="shared" si="148"/>
        <v>1540</v>
      </c>
      <c r="E1563" s="1">
        <f>IF($H$11=1,IF(D1563&lt;=$A$15, E1562+LN($D$11)-LN(60/$E$11)-LN(MIN(D1563,$F$11)), E1562-LN(60/$E$11)-LN(MIN(D1563,$F$11))), IF(D1563&lt;=$A$15, E1562+LN($D$11)-LN(60/$E$11)-LN(MIN(D1563,$F$11)), E1562+LN($D$11)+LN(1-$H$11)-LN(60/$E$11)-LN(MIN(D1563,$F$11))))</f>
        <v>-185.04615625125635</v>
      </c>
      <c r="F1563" s="1">
        <f t="shared" si="149"/>
        <v>-187.0481890604554</v>
      </c>
      <c r="G1563" s="1">
        <f t="shared" si="147"/>
        <v>5.8344999579468001E-82</v>
      </c>
      <c r="H1563" s="1">
        <f t="shared" si="144"/>
        <v>5.7269866066867848E-83</v>
      </c>
      <c r="I1563">
        <f>IF($F$11&lt;=D1563, IF(D1563&lt;=$A$15,D1563-$F$11,$C$11),0)</f>
        <v>60</v>
      </c>
      <c r="J1563">
        <f t="shared" si="145"/>
        <v>1476</v>
      </c>
      <c r="K1563" s="5">
        <f>IF(D1563&lt;$F$11,H1563,0)</f>
        <v>0</v>
      </c>
      <c r="L1563">
        <f>IF(D1563&lt;$A$15,$D$11,$D$11*(1-$H$11))</f>
        <v>85</v>
      </c>
      <c r="M1563">
        <f t="shared" si="146"/>
        <v>1</v>
      </c>
      <c r="N1563">
        <f>IF(SUM(I1563:J1563)&lt;=($G$11/60*$F$11/($E$11/60)),1,0)</f>
        <v>0</v>
      </c>
    </row>
    <row r="1564" spans="4:14" x14ac:dyDescent="0.2">
      <c r="D1564">
        <f t="shared" si="148"/>
        <v>1541</v>
      </c>
      <c r="E1564" s="1">
        <f>IF($H$11=1,IF(D1564&lt;=$A$15, E1563+LN($D$11)-LN(60/$E$11)-LN(MIN(D1564,$F$11)), E1563-LN(60/$E$11)-LN(MIN(D1564,$F$11))), IF(D1564&lt;=$A$15, E1563+LN($D$11)-LN(60/$E$11)-LN(MIN(D1564,$F$11)), E1563+LN($D$11)+LN(1-$H$11)-LN(60/$E$11)-LN(MIN(D1564,$F$11))))</f>
        <v>-185.16785318623388</v>
      </c>
      <c r="F1564" s="1">
        <f t="shared" si="149"/>
        <v>-187.16988599543294</v>
      </c>
      <c r="G1564" s="1">
        <f t="shared" si="147"/>
        <v>5.1659635044319819E-82</v>
      </c>
      <c r="H1564" s="1">
        <f t="shared" si="144"/>
        <v>5.0707693913371782E-83</v>
      </c>
      <c r="I1564">
        <f>IF($F$11&lt;=D1564, IF(D1564&lt;=$A$15,D1564-$F$11,$C$11),0)</f>
        <v>60</v>
      </c>
      <c r="J1564">
        <f t="shared" si="145"/>
        <v>1477</v>
      </c>
      <c r="K1564" s="5">
        <f>IF(D1564&lt;$F$11,H1564,0)</f>
        <v>0</v>
      </c>
      <c r="L1564">
        <f>IF(D1564&lt;$A$15,$D$11,$D$11*(1-$H$11))</f>
        <v>85</v>
      </c>
      <c r="M1564">
        <f t="shared" si="146"/>
        <v>1</v>
      </c>
      <c r="N1564">
        <f>IF(SUM(I1564:J1564)&lt;=($G$11/60*$F$11/($E$11/60)),1,0)</f>
        <v>0</v>
      </c>
    </row>
    <row r="1565" spans="4:14" x14ac:dyDescent="0.2">
      <c r="D1565">
        <f t="shared" si="148"/>
        <v>1542</v>
      </c>
      <c r="E1565" s="1">
        <f>IF($H$11=1,IF(D1565&lt;=$A$15, E1564+LN($D$11)-LN(60/$E$11)-LN(MIN(D1565,$F$11)), E1564-LN(60/$E$11)-LN(MIN(D1565,$F$11))), IF(D1565&lt;=$A$15, E1564+LN($D$11)-LN(60/$E$11)-LN(MIN(D1565,$F$11)), E1564+LN($D$11)+LN(1-$H$11)-LN(60/$E$11)-LN(MIN(D1565,$F$11))))</f>
        <v>-185.28955012121142</v>
      </c>
      <c r="F1565" s="1">
        <f t="shared" si="149"/>
        <v>-187.29158293041047</v>
      </c>
      <c r="G1565" s="1">
        <f t="shared" si="147"/>
        <v>4.5740301862157456E-82</v>
      </c>
      <c r="H1565" s="1">
        <f t="shared" si="144"/>
        <v>4.4897437319130558E-83</v>
      </c>
      <c r="I1565">
        <f>IF($F$11&lt;=D1565, IF(D1565&lt;=$A$15,D1565-$F$11,$C$11),0)</f>
        <v>60</v>
      </c>
      <c r="J1565">
        <f t="shared" si="145"/>
        <v>1478</v>
      </c>
      <c r="K1565" s="5">
        <f>IF(D1565&lt;$F$11,H1565,0)</f>
        <v>0</v>
      </c>
      <c r="L1565">
        <f>IF(D1565&lt;$A$15,$D$11,$D$11*(1-$H$11))</f>
        <v>85</v>
      </c>
      <c r="M1565">
        <f t="shared" si="146"/>
        <v>1</v>
      </c>
      <c r="N1565">
        <f>IF(SUM(I1565:J1565)&lt;=($G$11/60*$F$11/($E$11/60)),1,0)</f>
        <v>0</v>
      </c>
    </row>
    <row r="1566" spans="4:14" x14ac:dyDescent="0.2">
      <c r="D1566">
        <f t="shared" si="148"/>
        <v>1543</v>
      </c>
      <c r="E1566" s="1">
        <f>IF($H$11=1,IF(D1566&lt;=$A$15, E1565+LN($D$11)-LN(60/$E$11)-LN(MIN(D1566,$F$11)), E1565-LN(60/$E$11)-LN(MIN(D1566,$F$11))), IF(D1566&lt;=$A$15, E1565+LN($D$11)-LN(60/$E$11)-LN(MIN(D1566,$F$11)), E1565+LN($D$11)+LN(1-$H$11)-LN(60/$E$11)-LN(MIN(D1566,$F$11))))</f>
        <v>-185.41124705618896</v>
      </c>
      <c r="F1566" s="1">
        <f t="shared" si="149"/>
        <v>-187.41327986538801</v>
      </c>
      <c r="G1566" s="1">
        <f t="shared" si="147"/>
        <v>4.0499225607117949E-82</v>
      </c>
      <c r="H1566" s="1">
        <f t="shared" si="144"/>
        <v>3.9752939292979564E-83</v>
      </c>
      <c r="I1566">
        <f>IF($F$11&lt;=D1566, IF(D1566&lt;=$A$15,D1566-$F$11,$C$11),0)</f>
        <v>60</v>
      </c>
      <c r="J1566">
        <f t="shared" si="145"/>
        <v>1479</v>
      </c>
      <c r="K1566" s="5">
        <f>IF(D1566&lt;$F$11,H1566,0)</f>
        <v>0</v>
      </c>
      <c r="L1566">
        <f>IF(D1566&lt;$A$15,$D$11,$D$11*(1-$H$11))</f>
        <v>85</v>
      </c>
      <c r="M1566">
        <f t="shared" si="146"/>
        <v>1</v>
      </c>
      <c r="N1566">
        <f>IF(SUM(I1566:J1566)&lt;=($G$11/60*$F$11/($E$11/60)),1,0)</f>
        <v>0</v>
      </c>
    </row>
    <row r="1567" spans="4:14" x14ac:dyDescent="0.2">
      <c r="D1567">
        <f t="shared" si="148"/>
        <v>1544</v>
      </c>
      <c r="E1567" s="1">
        <f>IF($H$11=1,IF(D1567&lt;=$A$15, E1566+LN($D$11)-LN(60/$E$11)-LN(MIN(D1567,$F$11)), E1566-LN(60/$E$11)-LN(MIN(D1567,$F$11))), IF(D1567&lt;=$A$15, E1566+LN($D$11)-LN(60/$E$11)-LN(MIN(D1567,$F$11)), E1566+LN($D$11)+LN(1-$H$11)-LN(60/$E$11)-LN(MIN(D1567,$F$11))))</f>
        <v>-185.53294399116649</v>
      </c>
      <c r="F1567" s="1">
        <f t="shared" si="149"/>
        <v>-187.53497680036554</v>
      </c>
      <c r="G1567" s="1">
        <f t="shared" si="147"/>
        <v>3.5858689339635123E-82</v>
      </c>
      <c r="H1567" s="1">
        <f t="shared" si="144"/>
        <v>3.5197914998991772E-83</v>
      </c>
      <c r="I1567">
        <f>IF($F$11&lt;=D1567, IF(D1567&lt;=$A$15,D1567-$F$11,$C$11),0)</f>
        <v>60</v>
      </c>
      <c r="J1567">
        <f t="shared" si="145"/>
        <v>1480</v>
      </c>
      <c r="K1567" s="5">
        <f>IF(D1567&lt;$F$11,H1567,0)</f>
        <v>0</v>
      </c>
      <c r="L1567">
        <f>IF(D1567&lt;$A$15,$D$11,$D$11*(1-$H$11))</f>
        <v>85</v>
      </c>
      <c r="M1567">
        <f t="shared" si="146"/>
        <v>1</v>
      </c>
      <c r="N1567">
        <f>IF(SUM(I1567:J1567)&lt;=($G$11/60*$F$11/($E$11/60)),1,0)</f>
        <v>0</v>
      </c>
    </row>
    <row r="1568" spans="4:14" x14ac:dyDescent="0.2">
      <c r="D1568">
        <f t="shared" si="148"/>
        <v>1545</v>
      </c>
      <c r="E1568" s="1">
        <f>IF($H$11=1,IF(D1568&lt;=$A$15, E1567+LN($D$11)-LN(60/$E$11)-LN(MIN(D1568,$F$11)), E1567-LN(60/$E$11)-LN(MIN(D1568,$F$11))), IF(D1568&lt;=$A$15, E1567+LN($D$11)-LN(60/$E$11)-LN(MIN(D1568,$F$11)), E1567+LN($D$11)+LN(1-$H$11)-LN(60/$E$11)-LN(MIN(D1568,$F$11))))</f>
        <v>-185.65464092614403</v>
      </c>
      <c r="F1568" s="1">
        <f t="shared" si="149"/>
        <v>-187.65667373534308</v>
      </c>
      <c r="G1568" s="1">
        <f t="shared" si="147"/>
        <v>3.1749881186134769E-82</v>
      </c>
      <c r="H1568" s="1">
        <f t="shared" si="144"/>
        <v>3.1164820572023478E-83</v>
      </c>
      <c r="I1568">
        <f>IF($F$11&lt;=D1568, IF(D1568&lt;=$A$15,D1568-$F$11,$C$11),0)</f>
        <v>60</v>
      </c>
      <c r="J1568">
        <f t="shared" si="145"/>
        <v>1481</v>
      </c>
      <c r="K1568" s="5">
        <f>IF(D1568&lt;$F$11,H1568,0)</f>
        <v>0</v>
      </c>
      <c r="L1568">
        <f>IF(D1568&lt;$A$15,$D$11,$D$11*(1-$H$11))</f>
        <v>85</v>
      </c>
      <c r="M1568">
        <f t="shared" si="146"/>
        <v>1</v>
      </c>
      <c r="N1568">
        <f>IF(SUM(I1568:J1568)&lt;=($G$11/60*$F$11/($E$11/60)),1,0)</f>
        <v>0</v>
      </c>
    </row>
    <row r="1569" spans="4:14" x14ac:dyDescent="0.2">
      <c r="D1569">
        <f t="shared" si="148"/>
        <v>1546</v>
      </c>
      <c r="E1569" s="1">
        <f>IF($H$11=1,IF(D1569&lt;=$A$15, E1568+LN($D$11)-LN(60/$E$11)-LN(MIN(D1569,$F$11)), E1568-LN(60/$E$11)-LN(MIN(D1569,$F$11))), IF(D1569&lt;=$A$15, E1568+LN($D$11)-LN(60/$E$11)-LN(MIN(D1569,$F$11)), E1568+LN($D$11)+LN(1-$H$11)-LN(60/$E$11)-LN(MIN(D1569,$F$11))))</f>
        <v>-185.77633786112156</v>
      </c>
      <c r="F1569" s="1">
        <f t="shared" si="149"/>
        <v>-187.77837067032061</v>
      </c>
      <c r="G1569" s="1">
        <f t="shared" si="147"/>
        <v>2.8111873966889723E-82</v>
      </c>
      <c r="H1569" s="1">
        <f t="shared" si="144"/>
        <v>2.7593851548145357E-83</v>
      </c>
      <c r="I1569">
        <f>IF($F$11&lt;=D1569, IF(D1569&lt;=$A$15,D1569-$F$11,$C$11),0)</f>
        <v>60</v>
      </c>
      <c r="J1569">
        <f t="shared" si="145"/>
        <v>1482</v>
      </c>
      <c r="K1569" s="5">
        <f>IF(D1569&lt;$F$11,H1569,0)</f>
        <v>0</v>
      </c>
      <c r="L1569">
        <f>IF(D1569&lt;$A$15,$D$11,$D$11*(1-$H$11))</f>
        <v>85</v>
      </c>
      <c r="M1569">
        <f t="shared" si="146"/>
        <v>1</v>
      </c>
      <c r="N1569">
        <f>IF(SUM(I1569:J1569)&lt;=($G$11/60*$F$11/($E$11/60)),1,0)</f>
        <v>0</v>
      </c>
    </row>
    <row r="1570" spans="4:14" x14ac:dyDescent="0.2">
      <c r="D1570">
        <f t="shared" si="148"/>
        <v>1547</v>
      </c>
      <c r="E1570" s="1">
        <f>IF($H$11=1,IF(D1570&lt;=$A$15, E1569+LN($D$11)-LN(60/$E$11)-LN(MIN(D1570,$F$11)), E1569-LN(60/$E$11)-LN(MIN(D1570,$F$11))), IF(D1570&lt;=$A$15, E1569+LN($D$11)-LN(60/$E$11)-LN(MIN(D1570,$F$11)), E1569+LN($D$11)+LN(1-$H$11)-LN(60/$E$11)-LN(MIN(D1570,$F$11))))</f>
        <v>-185.8980347960991</v>
      </c>
      <c r="F1570" s="1">
        <f t="shared" si="149"/>
        <v>-187.90006760529815</v>
      </c>
      <c r="G1570" s="1">
        <f t="shared" si="147"/>
        <v>2.4890721741516549E-82</v>
      </c>
      <c r="H1570" s="1">
        <f t="shared" si="144"/>
        <v>2.4432056058253317E-83</v>
      </c>
      <c r="I1570">
        <f>IF($F$11&lt;=D1570, IF(D1570&lt;=$A$15,D1570-$F$11,$C$11),0)</f>
        <v>60</v>
      </c>
      <c r="J1570">
        <f t="shared" si="145"/>
        <v>1483</v>
      </c>
      <c r="K1570" s="5">
        <f>IF(D1570&lt;$F$11,H1570,0)</f>
        <v>0</v>
      </c>
      <c r="L1570">
        <f>IF(D1570&lt;$A$15,$D$11,$D$11*(1-$H$11))</f>
        <v>85</v>
      </c>
      <c r="M1570">
        <f t="shared" si="146"/>
        <v>1</v>
      </c>
      <c r="N1570">
        <f>IF(SUM(I1570:J1570)&lt;=($G$11/60*$F$11/($E$11/60)),1,0)</f>
        <v>0</v>
      </c>
    </row>
    <row r="1571" spans="4:14" x14ac:dyDescent="0.2">
      <c r="D1571">
        <f t="shared" si="148"/>
        <v>1548</v>
      </c>
      <c r="E1571" s="1">
        <f>IF($H$11=1,IF(D1571&lt;=$A$15, E1570+LN($D$11)-LN(60/$E$11)-LN(MIN(D1571,$F$11)), E1570-LN(60/$E$11)-LN(MIN(D1571,$F$11))), IF(D1571&lt;=$A$15, E1570+LN($D$11)-LN(60/$E$11)-LN(MIN(D1571,$F$11)), E1570+LN($D$11)+LN(1-$H$11)-LN(60/$E$11)-LN(MIN(D1571,$F$11))))</f>
        <v>-186.01973173107663</v>
      </c>
      <c r="F1571" s="1">
        <f t="shared" si="149"/>
        <v>-188.02176454027568</v>
      </c>
      <c r="G1571" s="1">
        <f t="shared" si="147"/>
        <v>2.2038659875300768E-82</v>
      </c>
      <c r="H1571" s="1">
        <f t="shared" si="144"/>
        <v>2.1632549634911455E-83</v>
      </c>
      <c r="I1571">
        <f>IF($F$11&lt;=D1571, IF(D1571&lt;=$A$15,D1571-$F$11,$C$11),0)</f>
        <v>60</v>
      </c>
      <c r="J1571">
        <f t="shared" si="145"/>
        <v>1484</v>
      </c>
      <c r="K1571" s="5">
        <f>IF(D1571&lt;$F$11,H1571,0)</f>
        <v>0</v>
      </c>
      <c r="L1571">
        <f>IF(D1571&lt;$A$15,$D$11,$D$11*(1-$H$11))</f>
        <v>85</v>
      </c>
      <c r="M1571">
        <f t="shared" si="146"/>
        <v>1</v>
      </c>
      <c r="N1571">
        <f>IF(SUM(I1571:J1571)&lt;=($G$11/60*$F$11/($E$11/60)),1,0)</f>
        <v>0</v>
      </c>
    </row>
    <row r="1572" spans="4:14" x14ac:dyDescent="0.2">
      <c r="D1572">
        <f t="shared" si="148"/>
        <v>1549</v>
      </c>
      <c r="E1572" s="1">
        <f>IF($H$11=1,IF(D1572&lt;=$A$15, E1571+LN($D$11)-LN(60/$E$11)-LN(MIN(D1572,$F$11)), E1571-LN(60/$E$11)-LN(MIN(D1572,$F$11))), IF(D1572&lt;=$A$15, E1571+LN($D$11)-LN(60/$E$11)-LN(MIN(D1572,$F$11)), E1571+LN($D$11)+LN(1-$H$11)-LN(60/$E$11)-LN(MIN(D1572,$F$11))))</f>
        <v>-186.14142866605417</v>
      </c>
      <c r="F1572" s="1">
        <f t="shared" si="149"/>
        <v>-188.14346147525322</v>
      </c>
      <c r="G1572" s="1">
        <f t="shared" si="147"/>
        <v>1.9513396764588916E-82</v>
      </c>
      <c r="H1572" s="1">
        <f t="shared" si="144"/>
        <v>1.9153819989244215E-83</v>
      </c>
      <c r="I1572">
        <f>IF($F$11&lt;=D1572, IF(D1572&lt;=$A$15,D1572-$F$11,$C$11),0)</f>
        <v>60</v>
      </c>
      <c r="J1572">
        <f t="shared" si="145"/>
        <v>1485</v>
      </c>
      <c r="K1572" s="5">
        <f>IF(D1572&lt;$F$11,H1572,0)</f>
        <v>0</v>
      </c>
      <c r="L1572">
        <f>IF(D1572&lt;$A$15,$D$11,$D$11*(1-$H$11))</f>
        <v>85</v>
      </c>
      <c r="M1572">
        <f t="shared" si="146"/>
        <v>1</v>
      </c>
      <c r="N1572">
        <f>IF(SUM(I1572:J1572)&lt;=($G$11/60*$F$11/($E$11/60)),1,0)</f>
        <v>0</v>
      </c>
    </row>
    <row r="1573" spans="4:14" x14ac:dyDescent="0.2">
      <c r="D1573">
        <f t="shared" si="148"/>
        <v>1550</v>
      </c>
      <c r="E1573" s="1">
        <f>IF($H$11=1,IF(D1573&lt;=$A$15, E1572+LN($D$11)-LN(60/$E$11)-LN(MIN(D1573,$F$11)), E1572-LN(60/$E$11)-LN(MIN(D1573,$F$11))), IF(D1573&lt;=$A$15, E1572+LN($D$11)-LN(60/$E$11)-LN(MIN(D1573,$F$11)), E1572+LN($D$11)+LN(1-$H$11)-LN(60/$E$11)-LN(MIN(D1573,$F$11))))</f>
        <v>-186.2631256010317</v>
      </c>
      <c r="F1573" s="1">
        <f t="shared" si="149"/>
        <v>-188.26515841023075</v>
      </c>
      <c r="G1573" s="1">
        <f t="shared" si="147"/>
        <v>1.7277486718646165E-82</v>
      </c>
      <c r="H1573" s="1">
        <f t="shared" si="144"/>
        <v>1.6959111448809717E-83</v>
      </c>
      <c r="I1573">
        <f>IF($F$11&lt;=D1573, IF(D1573&lt;=$A$15,D1573-$F$11,$C$11),0)</f>
        <v>60</v>
      </c>
      <c r="J1573">
        <f t="shared" si="145"/>
        <v>1486</v>
      </c>
      <c r="K1573" s="5">
        <f>IF(D1573&lt;$F$11,H1573,0)</f>
        <v>0</v>
      </c>
      <c r="L1573">
        <f>IF(D1573&lt;$A$15,$D$11,$D$11*(1-$H$11))</f>
        <v>85</v>
      </c>
      <c r="M1573">
        <f t="shared" si="146"/>
        <v>1</v>
      </c>
      <c r="N1573">
        <f>IF(SUM(I1573:J1573)&lt;=($G$11/60*$F$11/($E$11/60)),1,0)</f>
        <v>0</v>
      </c>
    </row>
    <row r="1574" spans="4:14" x14ac:dyDescent="0.2">
      <c r="D1574">
        <f t="shared" si="148"/>
        <v>1551</v>
      </c>
      <c r="E1574" s="1">
        <f>IF($H$11=1,IF(D1574&lt;=$A$15, E1573+LN($D$11)-LN(60/$E$11)-LN(MIN(D1574,$F$11)), E1573-LN(60/$E$11)-LN(MIN(D1574,$F$11))), IF(D1574&lt;=$A$15, E1573+LN($D$11)-LN(60/$E$11)-LN(MIN(D1574,$F$11)), E1573+LN($D$11)+LN(1-$H$11)-LN(60/$E$11)-LN(MIN(D1574,$F$11))))</f>
        <v>-186.38482253600924</v>
      </c>
      <c r="F1574" s="1">
        <f t="shared" si="149"/>
        <v>-188.38685534520829</v>
      </c>
      <c r="G1574" s="1">
        <f t="shared" si="147"/>
        <v>1.5297774698801054E-82</v>
      </c>
      <c r="H1574" s="1">
        <f t="shared" si="144"/>
        <v>1.501587992863337E-83</v>
      </c>
      <c r="I1574">
        <f>IF($F$11&lt;=D1574, IF(D1574&lt;=$A$15,D1574-$F$11,$C$11),0)</f>
        <v>60</v>
      </c>
      <c r="J1574">
        <f t="shared" si="145"/>
        <v>1487</v>
      </c>
      <c r="K1574" s="5">
        <f>IF(D1574&lt;$F$11,H1574,0)</f>
        <v>0</v>
      </c>
      <c r="L1574">
        <f>IF(D1574&lt;$A$15,$D$11,$D$11*(1-$H$11))</f>
        <v>85</v>
      </c>
      <c r="M1574">
        <f t="shared" si="146"/>
        <v>1</v>
      </c>
      <c r="N1574">
        <f>IF(SUM(I1574:J1574)&lt;=($G$11/60*$F$11/($E$11/60)),1,0)</f>
        <v>0</v>
      </c>
    </row>
    <row r="1575" spans="4:14" x14ac:dyDescent="0.2">
      <c r="D1575">
        <f t="shared" si="148"/>
        <v>1552</v>
      </c>
      <c r="E1575" s="1">
        <f>IF($H$11=1,IF(D1575&lt;=$A$15, E1574+LN($D$11)-LN(60/$E$11)-LN(MIN(D1575,$F$11)), E1574-LN(60/$E$11)-LN(MIN(D1575,$F$11))), IF(D1575&lt;=$A$15, E1574+LN($D$11)-LN(60/$E$11)-LN(MIN(D1575,$F$11)), E1574+LN($D$11)+LN(1-$H$11)-LN(60/$E$11)-LN(MIN(D1575,$F$11))))</f>
        <v>-186.50651947098677</v>
      </c>
      <c r="F1575" s="1">
        <f t="shared" si="149"/>
        <v>-188.50855228018582</v>
      </c>
      <c r="G1575" s="1">
        <f t="shared" si="147"/>
        <v>1.3544904681229888E-82</v>
      </c>
      <c r="H1575" s="1">
        <f t="shared" si="144"/>
        <v>1.3295310353477255E-83</v>
      </c>
      <c r="I1575">
        <f>IF($F$11&lt;=D1575, IF(D1575&lt;=$A$15,D1575-$F$11,$C$11),0)</f>
        <v>60</v>
      </c>
      <c r="J1575">
        <f t="shared" si="145"/>
        <v>1488</v>
      </c>
      <c r="K1575" s="5">
        <f>IF(D1575&lt;$F$11,H1575,0)</f>
        <v>0</v>
      </c>
      <c r="L1575">
        <f>IF(D1575&lt;$A$15,$D$11,$D$11*(1-$H$11))</f>
        <v>85</v>
      </c>
      <c r="M1575">
        <f t="shared" si="146"/>
        <v>1</v>
      </c>
      <c r="N1575">
        <f>IF(SUM(I1575:J1575)&lt;=($G$11/60*$F$11/($E$11/60)),1,0)</f>
        <v>0</v>
      </c>
    </row>
    <row r="1576" spans="4:14" x14ac:dyDescent="0.2">
      <c r="D1576">
        <f t="shared" si="148"/>
        <v>1553</v>
      </c>
      <c r="E1576" s="1">
        <f>IF($H$11=1,IF(D1576&lt;=$A$15, E1575+LN($D$11)-LN(60/$E$11)-LN(MIN(D1576,$F$11)), E1575-LN(60/$E$11)-LN(MIN(D1576,$F$11))), IF(D1576&lt;=$A$15, E1575+LN($D$11)-LN(60/$E$11)-LN(MIN(D1576,$F$11)), E1575+LN($D$11)+LN(1-$H$11)-LN(60/$E$11)-LN(MIN(D1576,$F$11))))</f>
        <v>-186.62821640596431</v>
      </c>
      <c r="F1576" s="1">
        <f t="shared" si="149"/>
        <v>-188.63024921516336</v>
      </c>
      <c r="G1576" s="1">
        <f t="shared" si="147"/>
        <v>1.1992884353172109E-82</v>
      </c>
      <c r="H1576" s="1">
        <f t="shared" si="144"/>
        <v>1.1771889375474468E-83</v>
      </c>
      <c r="I1576">
        <f>IF($F$11&lt;=D1576, IF(D1576&lt;=$A$15,D1576-$F$11,$C$11),0)</f>
        <v>60</v>
      </c>
      <c r="J1576">
        <f t="shared" si="145"/>
        <v>1489</v>
      </c>
      <c r="K1576" s="5">
        <f>IF(D1576&lt;$F$11,H1576,0)</f>
        <v>0</v>
      </c>
      <c r="L1576">
        <f>IF(D1576&lt;$A$15,$D$11,$D$11*(1-$H$11))</f>
        <v>85</v>
      </c>
      <c r="M1576">
        <f t="shared" si="146"/>
        <v>1</v>
      </c>
      <c r="N1576">
        <f>IF(SUM(I1576:J1576)&lt;=($G$11/60*$F$11/($E$11/60)),1,0)</f>
        <v>0</v>
      </c>
    </row>
    <row r="1577" spans="4:14" x14ac:dyDescent="0.2">
      <c r="D1577">
        <f t="shared" si="148"/>
        <v>1554</v>
      </c>
      <c r="E1577" s="1">
        <f>IF($H$11=1,IF(D1577&lt;=$A$15, E1576+LN($D$11)-LN(60/$E$11)-LN(MIN(D1577,$F$11)), E1576-LN(60/$E$11)-LN(MIN(D1577,$F$11))), IF(D1577&lt;=$A$15, E1576+LN($D$11)-LN(60/$E$11)-LN(MIN(D1577,$F$11)), E1576+LN($D$11)+LN(1-$H$11)-LN(60/$E$11)-LN(MIN(D1577,$F$11))))</f>
        <v>-186.74991334094184</v>
      </c>
      <c r="F1577" s="1">
        <f t="shared" si="149"/>
        <v>-188.7519461501409</v>
      </c>
      <c r="G1577" s="1">
        <f t="shared" si="147"/>
        <v>1.0618699687704305E-82</v>
      </c>
      <c r="H1577" s="1">
        <f t="shared" si="144"/>
        <v>1.0423027051201189E-83</v>
      </c>
      <c r="I1577">
        <f>IF($F$11&lt;=D1577, IF(D1577&lt;=$A$15,D1577-$F$11,$C$11),0)</f>
        <v>60</v>
      </c>
      <c r="J1577">
        <f t="shared" si="145"/>
        <v>1490</v>
      </c>
      <c r="K1577" s="5">
        <f>IF(D1577&lt;$F$11,H1577,0)</f>
        <v>0</v>
      </c>
      <c r="L1577">
        <f>IF(D1577&lt;$A$15,$D$11,$D$11*(1-$H$11))</f>
        <v>85</v>
      </c>
      <c r="M1577">
        <f t="shared" si="146"/>
        <v>1</v>
      </c>
      <c r="N1577">
        <f>IF(SUM(I1577:J1577)&lt;=($G$11/60*$F$11/($E$11/60)),1,0)</f>
        <v>0</v>
      </c>
    </row>
    <row r="1578" spans="4:14" x14ac:dyDescent="0.2">
      <c r="D1578">
        <f t="shared" si="148"/>
        <v>1555</v>
      </c>
      <c r="E1578" s="1">
        <f>IF($H$11=1,IF(D1578&lt;=$A$15, E1577+LN($D$11)-LN(60/$E$11)-LN(MIN(D1578,$F$11)), E1577-LN(60/$E$11)-LN(MIN(D1578,$F$11))), IF(D1578&lt;=$A$15, E1577+LN($D$11)-LN(60/$E$11)-LN(MIN(D1578,$F$11)), E1577+LN($D$11)+LN(1-$H$11)-LN(60/$E$11)-LN(MIN(D1578,$F$11))))</f>
        <v>-186.87161027591938</v>
      </c>
      <c r="F1578" s="1">
        <f t="shared" si="149"/>
        <v>-188.87364308511843</v>
      </c>
      <c r="G1578" s="1">
        <f t="shared" si="147"/>
        <v>9.4019736818213732E-83</v>
      </c>
      <c r="H1578" s="1">
        <f t="shared" si="144"/>
        <v>9.2287218682509087E-84</v>
      </c>
      <c r="I1578">
        <f>IF($F$11&lt;=D1578, IF(D1578&lt;=$A$15,D1578-$F$11,$C$11),0)</f>
        <v>60</v>
      </c>
      <c r="J1578">
        <f t="shared" si="145"/>
        <v>1491</v>
      </c>
      <c r="K1578" s="5">
        <f>IF(D1578&lt;$F$11,H1578,0)</f>
        <v>0</v>
      </c>
      <c r="L1578">
        <f>IF(D1578&lt;$A$15,$D$11,$D$11*(1-$H$11))</f>
        <v>85</v>
      </c>
      <c r="M1578">
        <f t="shared" si="146"/>
        <v>1</v>
      </c>
      <c r="N1578">
        <f>IF(SUM(I1578:J1578)&lt;=($G$11/60*$F$11/($E$11/60)),1,0)</f>
        <v>0</v>
      </c>
    </row>
    <row r="1579" spans="4:14" x14ac:dyDescent="0.2">
      <c r="D1579">
        <f t="shared" si="148"/>
        <v>1556</v>
      </c>
      <c r="E1579" s="1">
        <f>IF($H$11=1,IF(D1579&lt;=$A$15, E1578+LN($D$11)-LN(60/$E$11)-LN(MIN(D1579,$F$11)), E1578-LN(60/$E$11)-LN(MIN(D1579,$F$11))), IF(D1579&lt;=$A$15, E1578+LN($D$11)-LN(60/$E$11)-LN(MIN(D1579,$F$11)), E1578+LN($D$11)+LN(1-$H$11)-LN(60/$E$11)-LN(MIN(D1579,$F$11))))</f>
        <v>-186.99330721089692</v>
      </c>
      <c r="F1579" s="1">
        <f t="shared" si="149"/>
        <v>-188.99534002009597</v>
      </c>
      <c r="G1579" s="1">
        <f t="shared" si="147"/>
        <v>8.324664197445877E-83</v>
      </c>
      <c r="H1579" s="1">
        <f t="shared" si="144"/>
        <v>8.171264154180364E-84</v>
      </c>
      <c r="I1579">
        <f>IF($F$11&lt;=D1579, IF(D1579&lt;=$A$15,D1579-$F$11,$C$11),0)</f>
        <v>60</v>
      </c>
      <c r="J1579">
        <f t="shared" si="145"/>
        <v>1492</v>
      </c>
      <c r="K1579" s="5">
        <f>IF(D1579&lt;$F$11,H1579,0)</f>
        <v>0</v>
      </c>
      <c r="L1579">
        <f>IF(D1579&lt;$A$15,$D$11,$D$11*(1-$H$11))</f>
        <v>85</v>
      </c>
      <c r="M1579">
        <f t="shared" si="146"/>
        <v>1</v>
      </c>
      <c r="N1579">
        <f>IF(SUM(I1579:J1579)&lt;=($G$11/60*$F$11/($E$11/60)),1,0)</f>
        <v>0</v>
      </c>
    </row>
    <row r="1580" spans="4:14" x14ac:dyDescent="0.2">
      <c r="D1580">
        <f t="shared" si="148"/>
        <v>1557</v>
      </c>
      <c r="E1580" s="1">
        <f>IF($H$11=1,IF(D1580&lt;=$A$15, E1579+LN($D$11)-LN(60/$E$11)-LN(MIN(D1580,$F$11)), E1579-LN(60/$E$11)-LN(MIN(D1580,$F$11))), IF(D1580&lt;=$A$15, E1579+LN($D$11)-LN(60/$E$11)-LN(MIN(D1580,$F$11)), E1579+LN($D$11)+LN(1-$H$11)-LN(60/$E$11)-LN(MIN(D1580,$F$11))))</f>
        <v>-187.11500414587445</v>
      </c>
      <c r="F1580" s="1">
        <f t="shared" si="149"/>
        <v>-189.1170369550735</v>
      </c>
      <c r="G1580" s="1">
        <f t="shared" si="147"/>
        <v>7.3707964248217554E-83</v>
      </c>
      <c r="H1580" s="1">
        <f t="shared" si="144"/>
        <v>7.2349734698470844E-84</v>
      </c>
      <c r="I1580">
        <f>IF($F$11&lt;=D1580, IF(D1580&lt;=$A$15,D1580-$F$11,$C$11),0)</f>
        <v>60</v>
      </c>
      <c r="J1580">
        <f t="shared" si="145"/>
        <v>1493</v>
      </c>
      <c r="K1580" s="5">
        <f>IF(D1580&lt;$F$11,H1580,0)</f>
        <v>0</v>
      </c>
      <c r="L1580">
        <f>IF(D1580&lt;$A$15,$D$11,$D$11*(1-$H$11))</f>
        <v>85</v>
      </c>
      <c r="M1580">
        <f t="shared" si="146"/>
        <v>1</v>
      </c>
      <c r="N1580">
        <f>IF(SUM(I1580:J1580)&lt;=($G$11/60*$F$11/($E$11/60)),1,0)</f>
        <v>0</v>
      </c>
    </row>
    <row r="1581" spans="4:14" x14ac:dyDescent="0.2">
      <c r="D1581">
        <f t="shared" si="148"/>
        <v>1558</v>
      </c>
      <c r="E1581" s="1">
        <f>IF($H$11=1,IF(D1581&lt;=$A$15, E1580+LN($D$11)-LN(60/$E$11)-LN(MIN(D1581,$F$11)), E1580-LN(60/$E$11)-LN(MIN(D1581,$F$11))), IF(D1581&lt;=$A$15, E1580+LN($D$11)-LN(60/$E$11)-LN(MIN(D1581,$F$11)), E1580+LN($D$11)+LN(1-$H$11)-LN(60/$E$11)-LN(MIN(D1581,$F$11))))</f>
        <v>-187.23670108085199</v>
      </c>
      <c r="F1581" s="1">
        <f t="shared" si="149"/>
        <v>-189.23873389005104</v>
      </c>
      <c r="G1581" s="1">
        <f t="shared" si="147"/>
        <v>6.5262260011441604E-83</v>
      </c>
      <c r="H1581" s="1">
        <f t="shared" si="144"/>
        <v>6.4059660930936723E-84</v>
      </c>
      <c r="I1581">
        <f>IF($F$11&lt;=D1581, IF(D1581&lt;=$A$15,D1581-$F$11,$C$11),0)</f>
        <v>60</v>
      </c>
      <c r="J1581">
        <f t="shared" si="145"/>
        <v>1494</v>
      </c>
      <c r="K1581" s="5">
        <f>IF(D1581&lt;$F$11,H1581,0)</f>
        <v>0</v>
      </c>
      <c r="L1581">
        <f>IF(D1581&lt;$A$15,$D$11,$D$11*(1-$H$11))</f>
        <v>85</v>
      </c>
      <c r="M1581">
        <f t="shared" si="146"/>
        <v>1</v>
      </c>
      <c r="N1581">
        <f>IF(SUM(I1581:J1581)&lt;=($G$11/60*$F$11/($E$11/60)),1,0)</f>
        <v>0</v>
      </c>
    </row>
    <row r="1582" spans="4:14" x14ac:dyDescent="0.2">
      <c r="D1582">
        <f t="shared" si="148"/>
        <v>1559</v>
      </c>
      <c r="E1582" s="1">
        <f>IF($H$11=1,IF(D1582&lt;=$A$15, E1581+LN($D$11)-LN(60/$E$11)-LN(MIN(D1582,$F$11)), E1581-LN(60/$E$11)-LN(MIN(D1582,$F$11))), IF(D1582&lt;=$A$15, E1581+LN($D$11)-LN(60/$E$11)-LN(MIN(D1582,$F$11)), E1581+LN($D$11)+LN(1-$H$11)-LN(60/$E$11)-LN(MIN(D1582,$F$11))))</f>
        <v>-187.35839801582952</v>
      </c>
      <c r="F1582" s="1">
        <f t="shared" si="149"/>
        <v>-189.36043082502857</v>
      </c>
      <c r="G1582" s="1">
        <f t="shared" si="147"/>
        <v>5.7784292718463017E-83</v>
      </c>
      <c r="H1582" s="1">
        <f t="shared" si="144"/>
        <v>5.6719491449266006E-84</v>
      </c>
      <c r="I1582">
        <f>IF($F$11&lt;=D1582, IF(D1582&lt;=$A$15,D1582-$F$11,$C$11),0)</f>
        <v>60</v>
      </c>
      <c r="J1582">
        <f t="shared" si="145"/>
        <v>1495</v>
      </c>
      <c r="K1582" s="5">
        <f>IF(D1582&lt;$F$11,H1582,0)</f>
        <v>0</v>
      </c>
      <c r="L1582">
        <f>IF(D1582&lt;$A$15,$D$11,$D$11*(1-$H$11))</f>
        <v>85</v>
      </c>
      <c r="M1582">
        <f t="shared" si="146"/>
        <v>1</v>
      </c>
      <c r="N1582">
        <f>IF(SUM(I1582:J1582)&lt;=($G$11/60*$F$11/($E$11/60)),1,0)</f>
        <v>0</v>
      </c>
    </row>
    <row r="1583" spans="4:14" x14ac:dyDescent="0.2">
      <c r="D1583">
        <f t="shared" si="148"/>
        <v>1560</v>
      </c>
      <c r="E1583" s="1">
        <f>IF($H$11=1,IF(D1583&lt;=$A$15, E1582+LN($D$11)-LN(60/$E$11)-LN(MIN(D1583,$F$11)), E1582-LN(60/$E$11)-LN(MIN(D1583,$F$11))), IF(D1583&lt;=$A$15, E1582+LN($D$11)-LN(60/$E$11)-LN(MIN(D1583,$F$11)), E1582+LN($D$11)+LN(1-$H$11)-LN(60/$E$11)-LN(MIN(D1583,$F$11))))</f>
        <v>-187.48009495080706</v>
      </c>
      <c r="F1583" s="1">
        <f t="shared" si="149"/>
        <v>-189.48212776000611</v>
      </c>
      <c r="G1583" s="1">
        <f t="shared" si="147"/>
        <v>5.1163175844471668E-83</v>
      </c>
      <c r="H1583" s="1">
        <f t="shared" si="144"/>
        <v>5.0220383054036827E-84</v>
      </c>
      <c r="I1583">
        <f>IF($F$11&lt;=D1583, IF(D1583&lt;=$A$15,D1583-$F$11,$C$11),0)</f>
        <v>60</v>
      </c>
      <c r="J1583">
        <f t="shared" si="145"/>
        <v>1496</v>
      </c>
      <c r="K1583" s="5">
        <f>IF(D1583&lt;$F$11,H1583,0)</f>
        <v>0</v>
      </c>
      <c r="L1583">
        <f>IF(D1583&lt;$A$15,$D$11,$D$11*(1-$H$11))</f>
        <v>85</v>
      </c>
      <c r="M1583">
        <f t="shared" si="146"/>
        <v>1</v>
      </c>
      <c r="N1583">
        <f>IF(SUM(I1583:J1583)&lt;=($G$11/60*$F$11/($E$11/60)),1,0)</f>
        <v>0</v>
      </c>
    </row>
    <row r="1584" spans="4:14" x14ac:dyDescent="0.2">
      <c r="D1584">
        <f t="shared" si="148"/>
        <v>1561</v>
      </c>
      <c r="E1584" s="1">
        <f>IF($H$11=1,IF(D1584&lt;=$A$15, E1583+LN($D$11)-LN(60/$E$11)-LN(MIN(D1584,$F$11)), E1583-LN(60/$E$11)-LN(MIN(D1584,$F$11))), IF(D1584&lt;=$A$15, E1583+LN($D$11)-LN(60/$E$11)-LN(MIN(D1584,$F$11)), E1583+LN($D$11)+LN(1-$H$11)-LN(60/$E$11)-LN(MIN(D1584,$F$11))))</f>
        <v>-187.60179188578459</v>
      </c>
      <c r="F1584" s="1">
        <f t="shared" si="149"/>
        <v>-189.60382469498364</v>
      </c>
      <c r="G1584" s="1">
        <f t="shared" si="147"/>
        <v>4.5300728612291915E-83</v>
      </c>
      <c r="H1584" s="1">
        <f t="shared" si="144"/>
        <v>4.4465964162427745E-84</v>
      </c>
      <c r="I1584">
        <f>IF($F$11&lt;=D1584, IF(D1584&lt;=$A$15,D1584-$F$11,$C$11),0)</f>
        <v>60</v>
      </c>
      <c r="J1584">
        <f t="shared" si="145"/>
        <v>1497</v>
      </c>
      <c r="K1584" s="5">
        <f>IF(D1584&lt;$F$11,H1584,0)</f>
        <v>0</v>
      </c>
      <c r="L1584">
        <f>IF(D1584&lt;$A$15,$D$11,$D$11*(1-$H$11))</f>
        <v>85</v>
      </c>
      <c r="M1584">
        <f t="shared" si="146"/>
        <v>1</v>
      </c>
      <c r="N1584">
        <f>IF(SUM(I1584:J1584)&lt;=($G$11/60*$F$11/($E$11/60)),1,0)</f>
        <v>0</v>
      </c>
    </row>
    <row r="1585" spans="4:14" x14ac:dyDescent="0.2">
      <c r="D1585">
        <f t="shared" si="148"/>
        <v>1562</v>
      </c>
      <c r="E1585" s="1">
        <f>IF($H$11=1,IF(D1585&lt;=$A$15, E1584+LN($D$11)-LN(60/$E$11)-LN(MIN(D1585,$F$11)), E1584-LN(60/$E$11)-LN(MIN(D1585,$F$11))), IF(D1585&lt;=$A$15, E1584+LN($D$11)-LN(60/$E$11)-LN(MIN(D1585,$F$11)), E1584+LN($D$11)+LN(1-$H$11)-LN(60/$E$11)-LN(MIN(D1585,$F$11))))</f>
        <v>-187.72348882076213</v>
      </c>
      <c r="F1585" s="1">
        <f t="shared" si="149"/>
        <v>-189.72552162996118</v>
      </c>
      <c r="G1585" s="1">
        <f t="shared" si="147"/>
        <v>4.0110020125466169E-83</v>
      </c>
      <c r="H1585" s="1">
        <f t="shared" si="144"/>
        <v>3.9370905768815615E-84</v>
      </c>
      <c r="I1585">
        <f>IF($F$11&lt;=D1585, IF(D1585&lt;=$A$15,D1585-$F$11,$C$11),0)</f>
        <v>60</v>
      </c>
      <c r="J1585">
        <f t="shared" si="145"/>
        <v>1498</v>
      </c>
      <c r="K1585" s="5">
        <f>IF(D1585&lt;$F$11,H1585,0)</f>
        <v>0</v>
      </c>
      <c r="L1585">
        <f>IF(D1585&lt;$A$15,$D$11,$D$11*(1-$H$11))</f>
        <v>85</v>
      </c>
      <c r="M1585">
        <f t="shared" si="146"/>
        <v>1</v>
      </c>
      <c r="N1585">
        <f>IF(SUM(I1585:J1585)&lt;=($G$11/60*$F$11/($E$11/60)),1,0)</f>
        <v>0</v>
      </c>
    </row>
    <row r="1586" spans="4:14" x14ac:dyDescent="0.2">
      <c r="D1586">
        <f t="shared" si="148"/>
        <v>1563</v>
      </c>
      <c r="E1586" s="1">
        <f>IF($H$11=1,IF(D1586&lt;=$A$15, E1585+LN($D$11)-LN(60/$E$11)-LN(MIN(D1586,$F$11)), E1585-LN(60/$E$11)-LN(MIN(D1586,$F$11))), IF(D1586&lt;=$A$15, E1585+LN($D$11)-LN(60/$E$11)-LN(MIN(D1586,$F$11)), E1585+LN($D$11)+LN(1-$H$11)-LN(60/$E$11)-LN(MIN(D1586,$F$11))))</f>
        <v>-187.84518575573966</v>
      </c>
      <c r="F1586" s="1">
        <f t="shared" si="149"/>
        <v>-189.84721856493871</v>
      </c>
      <c r="G1586" s="1">
        <f t="shared" si="147"/>
        <v>3.5514080319422616E-83</v>
      </c>
      <c r="H1586" s="1">
        <f t="shared" si="144"/>
        <v>3.4859656149471616E-84</v>
      </c>
      <c r="I1586">
        <f>IF($F$11&lt;=D1586, IF(D1586&lt;=$A$15,D1586-$F$11,$C$11),0)</f>
        <v>60</v>
      </c>
      <c r="J1586">
        <f t="shared" si="145"/>
        <v>1499</v>
      </c>
      <c r="K1586" s="5">
        <f>IF(D1586&lt;$F$11,H1586,0)</f>
        <v>0</v>
      </c>
      <c r="L1586">
        <f>IF(D1586&lt;$A$15,$D$11,$D$11*(1-$H$11))</f>
        <v>85</v>
      </c>
      <c r="M1586">
        <f t="shared" si="146"/>
        <v>1</v>
      </c>
      <c r="N1586">
        <f>IF(SUM(I1586:J1586)&lt;=($G$11/60*$F$11/($E$11/60)),1,0)</f>
        <v>0</v>
      </c>
    </row>
    <row r="1587" spans="4:14" x14ac:dyDescent="0.2">
      <c r="D1587">
        <f t="shared" si="148"/>
        <v>1564</v>
      </c>
      <c r="E1587" s="1">
        <f>IF($H$11=1,IF(D1587&lt;=$A$15, E1586+LN($D$11)-LN(60/$E$11)-LN(MIN(D1587,$F$11)), E1586-LN(60/$E$11)-LN(MIN(D1587,$F$11))), IF(D1587&lt;=$A$15, E1586+LN($D$11)-LN(60/$E$11)-LN(MIN(D1587,$F$11)), E1586+LN($D$11)+LN(1-$H$11)-LN(60/$E$11)-LN(MIN(D1587,$F$11))))</f>
        <v>-187.9668826907172</v>
      </c>
      <c r="F1587" s="1">
        <f t="shared" si="149"/>
        <v>-189.96891549991625</v>
      </c>
      <c r="G1587" s="1">
        <f t="shared" si="147"/>
        <v>3.1444758616154948E-83</v>
      </c>
      <c r="H1587" s="1">
        <f t="shared" si="144"/>
        <v>3.0865320549010839E-84</v>
      </c>
      <c r="I1587">
        <f>IF($F$11&lt;=D1587, IF(D1587&lt;=$A$15,D1587-$F$11,$C$11),0)</f>
        <v>60</v>
      </c>
      <c r="J1587">
        <f t="shared" si="145"/>
        <v>1500</v>
      </c>
      <c r="K1587" s="5">
        <f>IF(D1587&lt;$F$11,H1587,0)</f>
        <v>0</v>
      </c>
      <c r="L1587">
        <f>IF(D1587&lt;$A$15,$D$11,$D$11*(1-$H$11))</f>
        <v>85</v>
      </c>
      <c r="M1587">
        <f t="shared" si="146"/>
        <v>1</v>
      </c>
      <c r="N1587">
        <f>IF(SUM(I1587:J1587)&lt;=($G$11/60*$F$11/($E$11/60)),1,0)</f>
        <v>0</v>
      </c>
    </row>
    <row r="1588" spans="4:14" x14ac:dyDescent="0.2">
      <c r="D1588">
        <f t="shared" si="148"/>
        <v>1565</v>
      </c>
      <c r="E1588" s="1">
        <f>IF($H$11=1,IF(D1588&lt;=$A$15, E1587+LN($D$11)-LN(60/$E$11)-LN(MIN(D1588,$F$11)), E1587-LN(60/$E$11)-LN(MIN(D1588,$F$11))), IF(D1588&lt;=$A$15, E1587+LN($D$11)-LN(60/$E$11)-LN(MIN(D1588,$F$11)), E1587+LN($D$11)+LN(1-$H$11)-LN(60/$E$11)-LN(MIN(D1588,$F$11))))</f>
        <v>-188.08857962569473</v>
      </c>
      <c r="F1588" s="1">
        <f t="shared" si="149"/>
        <v>-190.09061243489379</v>
      </c>
      <c r="G1588" s="1">
        <f t="shared" si="147"/>
        <v>2.7841713358053427E-83</v>
      </c>
      <c r="H1588" s="1">
        <f t="shared" si="144"/>
        <v>2.7328669236102923E-84</v>
      </c>
      <c r="I1588">
        <f>IF($F$11&lt;=D1588, IF(D1588&lt;=$A$15,D1588-$F$11,$C$11),0)</f>
        <v>60</v>
      </c>
      <c r="J1588">
        <f t="shared" si="145"/>
        <v>1501</v>
      </c>
      <c r="K1588" s="5">
        <f>IF(D1588&lt;$F$11,H1588,0)</f>
        <v>0</v>
      </c>
      <c r="L1588">
        <f>IF(D1588&lt;$A$15,$D$11,$D$11*(1-$H$11))</f>
        <v>85</v>
      </c>
      <c r="M1588">
        <f t="shared" si="146"/>
        <v>1</v>
      </c>
      <c r="N1588">
        <f>IF(SUM(I1588:J1588)&lt;=($G$11/60*$F$11/($E$11/60)),1,0)</f>
        <v>0</v>
      </c>
    </row>
    <row r="1589" spans="4:14" x14ac:dyDescent="0.2">
      <c r="D1589">
        <f t="shared" si="148"/>
        <v>1566</v>
      </c>
      <c r="E1589" s="1">
        <f>IF($H$11=1,IF(D1589&lt;=$A$15, E1588+LN($D$11)-LN(60/$E$11)-LN(MIN(D1589,$F$11)), E1588-LN(60/$E$11)-LN(MIN(D1589,$F$11))), IF(D1589&lt;=$A$15, E1588+LN($D$11)-LN(60/$E$11)-LN(MIN(D1589,$F$11)), E1588+LN($D$11)+LN(1-$H$11)-LN(60/$E$11)-LN(MIN(D1589,$F$11))))</f>
        <v>-188.21027656067227</v>
      </c>
      <c r="F1589" s="1">
        <f t="shared" si="149"/>
        <v>-190.21230936987132</v>
      </c>
      <c r="G1589" s="1">
        <f t="shared" si="147"/>
        <v>2.4651517035776085E-83</v>
      </c>
      <c r="H1589" s="1">
        <f t="shared" si="144"/>
        <v>2.419725921946575E-84</v>
      </c>
      <c r="I1589">
        <f>IF($F$11&lt;=D1589, IF(D1589&lt;=$A$15,D1589-$F$11,$C$11),0)</f>
        <v>60</v>
      </c>
      <c r="J1589">
        <f t="shared" si="145"/>
        <v>1502</v>
      </c>
      <c r="K1589" s="5">
        <f>IF(D1589&lt;$F$11,H1589,0)</f>
        <v>0</v>
      </c>
      <c r="L1589">
        <f>IF(D1589&lt;$A$15,$D$11,$D$11*(1-$H$11))</f>
        <v>85</v>
      </c>
      <c r="M1589">
        <f t="shared" si="146"/>
        <v>1</v>
      </c>
      <c r="N1589">
        <f>IF(SUM(I1589:J1589)&lt;=($G$11/60*$F$11/($E$11/60)),1,0)</f>
        <v>0</v>
      </c>
    </row>
    <row r="1590" spans="4:14" x14ac:dyDescent="0.2">
      <c r="D1590">
        <f t="shared" si="148"/>
        <v>1567</v>
      </c>
      <c r="E1590" s="1">
        <f>IF($H$11=1,IF(D1590&lt;=$A$15, E1589+LN($D$11)-LN(60/$E$11)-LN(MIN(D1590,$F$11)), E1589-LN(60/$E$11)-LN(MIN(D1590,$F$11))), IF(D1590&lt;=$A$15, E1589+LN($D$11)-LN(60/$E$11)-LN(MIN(D1590,$F$11)), E1589+LN($D$11)+LN(1-$H$11)-LN(60/$E$11)-LN(MIN(D1590,$F$11))))</f>
        <v>-188.33197349564981</v>
      </c>
      <c r="F1590" s="1">
        <f t="shared" si="149"/>
        <v>-190.33400630484886</v>
      </c>
      <c r="G1590" s="1">
        <f t="shared" si="147"/>
        <v>2.1826864042093066E-83</v>
      </c>
      <c r="H1590" s="1">
        <f t="shared" si="144"/>
        <v>2.1424656600568298E-84</v>
      </c>
      <c r="I1590">
        <f>IF($F$11&lt;=D1590, IF(D1590&lt;=$A$15,D1590-$F$11,$C$11),0)</f>
        <v>60</v>
      </c>
      <c r="J1590">
        <f t="shared" si="145"/>
        <v>1503</v>
      </c>
      <c r="K1590" s="5">
        <f>IF(D1590&lt;$F$11,H1590,0)</f>
        <v>0</v>
      </c>
      <c r="L1590">
        <f>IF(D1590&lt;$A$15,$D$11,$D$11*(1-$H$11))</f>
        <v>85</v>
      </c>
      <c r="M1590">
        <f t="shared" si="146"/>
        <v>1</v>
      </c>
      <c r="N1590">
        <f>IF(SUM(I1590:J1590)&lt;=($G$11/60*$F$11/($E$11/60)),1,0)</f>
        <v>0</v>
      </c>
    </row>
    <row r="1591" spans="4:14" x14ac:dyDescent="0.2">
      <c r="D1591">
        <f t="shared" si="148"/>
        <v>1568</v>
      </c>
      <c r="E1591" s="1">
        <f>IF($H$11=1,IF(D1591&lt;=$A$15, E1590+LN($D$11)-LN(60/$E$11)-LN(MIN(D1591,$F$11)), E1590-LN(60/$E$11)-LN(MIN(D1591,$F$11))), IF(D1591&lt;=$A$15, E1590+LN($D$11)-LN(60/$E$11)-LN(MIN(D1591,$F$11)), E1590+LN($D$11)+LN(1-$H$11)-LN(60/$E$11)-LN(MIN(D1591,$F$11))))</f>
        <v>-188.45367043062734</v>
      </c>
      <c r="F1591" s="1">
        <f t="shared" si="149"/>
        <v>-190.45570323982639</v>
      </c>
      <c r="G1591" s="1">
        <f t="shared" si="147"/>
        <v>1.932586920393627E-83</v>
      </c>
      <c r="H1591" s="1">
        <f t="shared" si="144"/>
        <v>1.8969748031752887E-84</v>
      </c>
      <c r="I1591">
        <f>IF($F$11&lt;=D1591, IF(D1591&lt;=$A$15,D1591-$F$11,$C$11),0)</f>
        <v>60</v>
      </c>
      <c r="J1591">
        <f t="shared" si="145"/>
        <v>1504</v>
      </c>
      <c r="K1591" s="5">
        <f>IF(D1591&lt;$F$11,H1591,0)</f>
        <v>0</v>
      </c>
      <c r="L1591">
        <f>IF(D1591&lt;$A$15,$D$11,$D$11*(1-$H$11))</f>
        <v>85</v>
      </c>
      <c r="M1591">
        <f t="shared" si="146"/>
        <v>1</v>
      </c>
      <c r="N1591">
        <f>IF(SUM(I1591:J1591)&lt;=($G$11/60*$F$11/($E$11/60)),1,0)</f>
        <v>0</v>
      </c>
    </row>
    <row r="1592" spans="4:14" x14ac:dyDescent="0.2">
      <c r="D1592">
        <f t="shared" si="148"/>
        <v>1569</v>
      </c>
      <c r="E1592" s="1">
        <f>IF($H$11=1,IF(D1592&lt;=$A$15, E1591+LN($D$11)-LN(60/$E$11)-LN(MIN(D1592,$F$11)), E1591-LN(60/$E$11)-LN(MIN(D1592,$F$11))), IF(D1592&lt;=$A$15, E1591+LN($D$11)-LN(60/$E$11)-LN(MIN(D1592,$F$11)), E1591+LN($D$11)+LN(1-$H$11)-LN(60/$E$11)-LN(MIN(D1592,$F$11))))</f>
        <v>-188.57536736560488</v>
      </c>
      <c r="F1592" s="1">
        <f t="shared" si="149"/>
        <v>-190.57740017480393</v>
      </c>
      <c r="G1592" s="1">
        <f t="shared" si="147"/>
        <v>1.7111446690984969E-83</v>
      </c>
      <c r="H1592" s="1">
        <f t="shared" si="144"/>
        <v>1.6796131069780937E-84</v>
      </c>
      <c r="I1592">
        <f>IF($F$11&lt;=D1592, IF(D1592&lt;=$A$15,D1592-$F$11,$C$11),0)</f>
        <v>60</v>
      </c>
      <c r="J1592">
        <f t="shared" si="145"/>
        <v>1505</v>
      </c>
      <c r="K1592" s="5">
        <f>IF(D1592&lt;$F$11,H1592,0)</f>
        <v>0</v>
      </c>
      <c r="L1592">
        <f>IF(D1592&lt;$A$15,$D$11,$D$11*(1-$H$11))</f>
        <v>85</v>
      </c>
      <c r="M1592">
        <f t="shared" si="146"/>
        <v>1</v>
      </c>
      <c r="N1592">
        <f>IF(SUM(I1592:J1592)&lt;=($G$11/60*$F$11/($E$11/60)),1,0)</f>
        <v>0</v>
      </c>
    </row>
    <row r="1593" spans="4:14" x14ac:dyDescent="0.2">
      <c r="D1593">
        <f t="shared" si="148"/>
        <v>1570</v>
      </c>
      <c r="E1593" s="1">
        <f>IF($H$11=1,IF(D1593&lt;=$A$15, E1592+LN($D$11)-LN(60/$E$11)-LN(MIN(D1593,$F$11)), E1592-LN(60/$E$11)-LN(MIN(D1593,$F$11))), IF(D1593&lt;=$A$15, E1592+LN($D$11)-LN(60/$E$11)-LN(MIN(D1593,$F$11)), E1592+LN($D$11)+LN(1-$H$11)-LN(60/$E$11)-LN(MIN(D1593,$F$11))))</f>
        <v>-188.69706430058241</v>
      </c>
      <c r="F1593" s="1">
        <f t="shared" si="149"/>
        <v>-190.69909710978146</v>
      </c>
      <c r="G1593" s="1">
        <f t="shared" si="147"/>
        <v>1.5150760090976039E-83</v>
      </c>
      <c r="H1593" s="1">
        <f t="shared" si="144"/>
        <v>1.4871574384701639E-84</v>
      </c>
      <c r="I1593">
        <f>IF($F$11&lt;=D1593, IF(D1593&lt;=$A$15,D1593-$F$11,$C$11),0)</f>
        <v>60</v>
      </c>
      <c r="J1593">
        <f t="shared" si="145"/>
        <v>1506</v>
      </c>
      <c r="K1593" s="5">
        <f>IF(D1593&lt;$F$11,H1593,0)</f>
        <v>0</v>
      </c>
      <c r="L1593">
        <f>IF(D1593&lt;$A$15,$D$11,$D$11*(1-$H$11))</f>
        <v>85</v>
      </c>
      <c r="M1593">
        <f t="shared" si="146"/>
        <v>1</v>
      </c>
      <c r="N1593">
        <f>IF(SUM(I1593:J1593)&lt;=($G$11/60*$F$11/($E$11/60)),1,0)</f>
        <v>0</v>
      </c>
    </row>
    <row r="1594" spans="4:14" x14ac:dyDescent="0.2">
      <c r="D1594">
        <f t="shared" si="148"/>
        <v>1571</v>
      </c>
      <c r="E1594" s="1">
        <f>IF($H$11=1,IF(D1594&lt;=$A$15, E1593+LN($D$11)-LN(60/$E$11)-LN(MIN(D1594,$F$11)), E1593-LN(60/$E$11)-LN(MIN(D1594,$F$11))), IF(D1594&lt;=$A$15, E1593+LN($D$11)-LN(60/$E$11)-LN(MIN(D1594,$F$11)), E1593+LN($D$11)+LN(1-$H$11)-LN(60/$E$11)-LN(MIN(D1594,$F$11))))</f>
        <v>-188.81876123555995</v>
      </c>
      <c r="F1594" s="1">
        <f t="shared" si="149"/>
        <v>-190.820794044759</v>
      </c>
      <c r="G1594" s="1">
        <f t="shared" si="147"/>
        <v>1.3414735497218157E-83</v>
      </c>
      <c r="H1594" s="1">
        <f t="shared" si="144"/>
        <v>1.3167539819787704E-84</v>
      </c>
      <c r="I1594">
        <f>IF($F$11&lt;=D1594, IF(D1594&lt;=$A$15,D1594-$F$11,$C$11),0)</f>
        <v>60</v>
      </c>
      <c r="J1594">
        <f t="shared" si="145"/>
        <v>1507</v>
      </c>
      <c r="K1594" s="5">
        <f>IF(D1594&lt;$F$11,H1594,0)</f>
        <v>0</v>
      </c>
      <c r="L1594">
        <f>IF(D1594&lt;$A$15,$D$11,$D$11*(1-$H$11))</f>
        <v>85</v>
      </c>
      <c r="M1594">
        <f t="shared" si="146"/>
        <v>1</v>
      </c>
      <c r="N1594">
        <f>IF(SUM(I1594:J1594)&lt;=($G$11/60*$F$11/($E$11/60)),1,0)</f>
        <v>0</v>
      </c>
    </row>
    <row r="1595" spans="4:14" x14ac:dyDescent="0.2">
      <c r="D1595">
        <f t="shared" si="148"/>
        <v>1572</v>
      </c>
      <c r="E1595" s="1">
        <f>IF($H$11=1,IF(D1595&lt;=$A$15, E1594+LN($D$11)-LN(60/$E$11)-LN(MIN(D1595,$F$11)), E1594-LN(60/$E$11)-LN(MIN(D1595,$F$11))), IF(D1595&lt;=$A$15, E1594+LN($D$11)-LN(60/$E$11)-LN(MIN(D1595,$F$11)), E1594+LN($D$11)+LN(1-$H$11)-LN(60/$E$11)-LN(MIN(D1595,$F$11))))</f>
        <v>-188.94045817053748</v>
      </c>
      <c r="F1595" s="1">
        <f t="shared" si="149"/>
        <v>-190.94249097973653</v>
      </c>
      <c r="G1595" s="1">
        <f t="shared" si="147"/>
        <v>1.1877630388161725E-83</v>
      </c>
      <c r="H1595" s="1">
        <f t="shared" si="144"/>
        <v>1.1658759215436848E-84</v>
      </c>
      <c r="I1595">
        <f>IF($F$11&lt;=D1595, IF(D1595&lt;=$A$15,D1595-$F$11,$C$11),0)</f>
        <v>60</v>
      </c>
      <c r="J1595">
        <f t="shared" si="145"/>
        <v>1508</v>
      </c>
      <c r="K1595" s="5">
        <f>IF(D1595&lt;$F$11,H1595,0)</f>
        <v>0</v>
      </c>
      <c r="L1595">
        <f>IF(D1595&lt;$A$15,$D$11,$D$11*(1-$H$11))</f>
        <v>85</v>
      </c>
      <c r="M1595">
        <f t="shared" si="146"/>
        <v>1</v>
      </c>
      <c r="N1595">
        <f>IF(SUM(I1595:J1595)&lt;=($G$11/60*$F$11/($E$11/60)),1,0)</f>
        <v>0</v>
      </c>
    </row>
    <row r="1596" spans="4:14" x14ac:dyDescent="0.2">
      <c r="D1596">
        <f t="shared" si="148"/>
        <v>1573</v>
      </c>
      <c r="E1596" s="1">
        <f>IF($H$11=1,IF(D1596&lt;=$A$15, E1595+LN($D$11)-LN(60/$E$11)-LN(MIN(D1596,$F$11)), E1595-LN(60/$E$11)-LN(MIN(D1596,$F$11))), IF(D1596&lt;=$A$15, E1595+LN($D$11)-LN(60/$E$11)-LN(MIN(D1596,$F$11)), E1595+LN($D$11)+LN(1-$H$11)-LN(60/$E$11)-LN(MIN(D1596,$F$11))))</f>
        <v>-189.06215510551502</v>
      </c>
      <c r="F1596" s="1">
        <f t="shared" si="149"/>
        <v>-191.06418791471407</v>
      </c>
      <c r="G1596" s="1">
        <f t="shared" si="147"/>
        <v>1.0516651906184696E-83</v>
      </c>
      <c r="H1596" s="1">
        <f t="shared" si="144"/>
        <v>1.0322859722001213E-84</v>
      </c>
      <c r="I1596">
        <f>IF($F$11&lt;=D1596, IF(D1596&lt;=$A$15,D1596-$F$11,$C$11),0)</f>
        <v>60</v>
      </c>
      <c r="J1596">
        <f t="shared" si="145"/>
        <v>1509</v>
      </c>
      <c r="K1596" s="5">
        <f>IF(D1596&lt;$F$11,H1596,0)</f>
        <v>0</v>
      </c>
      <c r="L1596">
        <f>IF(D1596&lt;$A$15,$D$11,$D$11*(1-$H$11))</f>
        <v>85</v>
      </c>
      <c r="M1596">
        <f t="shared" si="146"/>
        <v>1</v>
      </c>
      <c r="N1596">
        <f>IF(SUM(I1596:J1596)&lt;=($G$11/60*$F$11/($E$11/60)),1,0)</f>
        <v>0</v>
      </c>
    </row>
    <row r="1597" spans="4:14" x14ac:dyDescent="0.2">
      <c r="D1597">
        <f t="shared" si="148"/>
        <v>1574</v>
      </c>
      <c r="E1597" s="1">
        <f>IF($H$11=1,IF(D1597&lt;=$A$15, E1596+LN($D$11)-LN(60/$E$11)-LN(MIN(D1597,$F$11)), E1596-LN(60/$E$11)-LN(MIN(D1597,$F$11))), IF(D1597&lt;=$A$15, E1596+LN($D$11)-LN(60/$E$11)-LN(MIN(D1597,$F$11)), E1596+LN($D$11)+LN(1-$H$11)-LN(60/$E$11)-LN(MIN(D1597,$F$11))))</f>
        <v>-189.18385204049255</v>
      </c>
      <c r="F1597" s="1">
        <f t="shared" si="149"/>
        <v>-191.1858848496916</v>
      </c>
      <c r="G1597" s="1">
        <f t="shared" si="147"/>
        <v>9.3116188752675541E-84</v>
      </c>
      <c r="H1597" s="1">
        <f t="shared" si="144"/>
        <v>9.1400320455217648E-85</v>
      </c>
      <c r="I1597">
        <f>IF($F$11&lt;=D1597, IF(D1597&lt;=$A$15,D1597-$F$11,$C$11),0)</f>
        <v>60</v>
      </c>
      <c r="J1597">
        <f t="shared" si="145"/>
        <v>1510</v>
      </c>
      <c r="K1597" s="5">
        <f>IF(D1597&lt;$F$11,H1597,0)</f>
        <v>0</v>
      </c>
      <c r="L1597">
        <f>IF(D1597&lt;$A$15,$D$11,$D$11*(1-$H$11))</f>
        <v>85</v>
      </c>
      <c r="M1597">
        <f t="shared" si="146"/>
        <v>1</v>
      </c>
      <c r="N1597">
        <f>IF(SUM(I1597:J1597)&lt;=($G$11/60*$F$11/($E$11/60)),1,0)</f>
        <v>0</v>
      </c>
    </row>
    <row r="1598" spans="4:14" x14ac:dyDescent="0.2">
      <c r="D1598">
        <f t="shared" si="148"/>
        <v>1575</v>
      </c>
      <c r="E1598" s="1">
        <f>IF($H$11=1,IF(D1598&lt;=$A$15, E1597+LN($D$11)-LN(60/$E$11)-LN(MIN(D1598,$F$11)), E1597-LN(60/$E$11)-LN(MIN(D1598,$F$11))), IF(D1598&lt;=$A$15, E1597+LN($D$11)-LN(60/$E$11)-LN(MIN(D1598,$F$11)), E1597+LN($D$11)+LN(1-$H$11)-LN(60/$E$11)-LN(MIN(D1598,$F$11))))</f>
        <v>-189.30554897547009</v>
      </c>
      <c r="F1598" s="1">
        <f t="shared" si="149"/>
        <v>-191.30758178466914</v>
      </c>
      <c r="G1598" s="1">
        <f t="shared" si="147"/>
        <v>8.2446625458096842E-84</v>
      </c>
      <c r="H1598" s="1">
        <f t="shared" si="144"/>
        <v>8.0927367069722699E-85</v>
      </c>
      <c r="I1598">
        <f>IF($F$11&lt;=D1598, IF(D1598&lt;=$A$15,D1598-$F$11,$C$11),0)</f>
        <v>60</v>
      </c>
      <c r="J1598">
        <f t="shared" si="145"/>
        <v>1511</v>
      </c>
      <c r="K1598" s="5">
        <f>IF(D1598&lt;$F$11,H1598,0)</f>
        <v>0</v>
      </c>
      <c r="L1598">
        <f>IF(D1598&lt;$A$15,$D$11,$D$11*(1-$H$11))</f>
        <v>85</v>
      </c>
      <c r="M1598">
        <f t="shared" si="146"/>
        <v>1</v>
      </c>
      <c r="N1598">
        <f>IF(SUM(I1598:J1598)&lt;=($G$11/60*$F$11/($E$11/60)),1,0)</f>
        <v>0</v>
      </c>
    </row>
    <row r="1599" spans="4:14" x14ac:dyDescent="0.2">
      <c r="D1599">
        <f t="shared" si="148"/>
        <v>1576</v>
      </c>
      <c r="E1599" s="1">
        <f>IF($H$11=1,IF(D1599&lt;=$A$15, E1598+LN($D$11)-LN(60/$E$11)-LN(MIN(D1599,$F$11)), E1598-LN(60/$E$11)-LN(MIN(D1599,$F$11))), IF(D1599&lt;=$A$15, E1598+LN($D$11)-LN(60/$E$11)-LN(MIN(D1599,$F$11)), E1598+LN($D$11)+LN(1-$H$11)-LN(60/$E$11)-LN(MIN(D1599,$F$11))))</f>
        <v>-189.42724591044762</v>
      </c>
      <c r="F1599" s="1">
        <f t="shared" si="149"/>
        <v>-191.42927871964667</v>
      </c>
      <c r="G1599" s="1">
        <f t="shared" si="147"/>
        <v>7.2999616291022103E-84</v>
      </c>
      <c r="H1599" s="1">
        <f t="shared" si="144"/>
        <v>7.1654439592982514E-85</v>
      </c>
      <c r="I1599">
        <f>IF($F$11&lt;=D1599, IF(D1599&lt;=$A$15,D1599-$F$11,$C$11),0)</f>
        <v>60</v>
      </c>
      <c r="J1599">
        <f t="shared" si="145"/>
        <v>1512</v>
      </c>
      <c r="K1599" s="5">
        <f>IF(D1599&lt;$F$11,H1599,0)</f>
        <v>0</v>
      </c>
      <c r="L1599">
        <f>IF(D1599&lt;$A$15,$D$11,$D$11*(1-$H$11))</f>
        <v>85</v>
      </c>
      <c r="M1599">
        <f t="shared" si="146"/>
        <v>1</v>
      </c>
      <c r="N1599">
        <f>IF(SUM(I1599:J1599)&lt;=($G$11/60*$F$11/($E$11/60)),1,0)</f>
        <v>0</v>
      </c>
    </row>
    <row r="1600" spans="4:14" x14ac:dyDescent="0.2">
      <c r="D1600">
        <f t="shared" si="148"/>
        <v>1577</v>
      </c>
      <c r="E1600" s="1">
        <f>IF($H$11=1,IF(D1600&lt;=$A$15, E1599+LN($D$11)-LN(60/$E$11)-LN(MIN(D1600,$F$11)), E1599-LN(60/$E$11)-LN(MIN(D1600,$F$11))), IF(D1600&lt;=$A$15, E1599+LN($D$11)-LN(60/$E$11)-LN(MIN(D1600,$F$11)), E1599+LN($D$11)+LN(1-$H$11)-LN(60/$E$11)-LN(MIN(D1600,$F$11))))</f>
        <v>-189.54894284542516</v>
      </c>
      <c r="F1600" s="1">
        <f t="shared" si="149"/>
        <v>-191.55097565462421</v>
      </c>
      <c r="G1600" s="1">
        <f t="shared" si="147"/>
        <v>6.4635076924341484E-84</v>
      </c>
      <c r="H1600" s="1">
        <f t="shared" si="144"/>
        <v>6.3444035056285614E-85</v>
      </c>
      <c r="I1600">
        <f>IF($F$11&lt;=D1600, IF(D1600&lt;=$A$15,D1600-$F$11,$C$11),0)</f>
        <v>60</v>
      </c>
      <c r="J1600">
        <f t="shared" si="145"/>
        <v>1513</v>
      </c>
      <c r="K1600" s="5">
        <f>IF(D1600&lt;$F$11,H1600,0)</f>
        <v>0</v>
      </c>
      <c r="L1600">
        <f>IF(D1600&lt;$A$15,$D$11,$D$11*(1-$H$11))</f>
        <v>85</v>
      </c>
      <c r="M1600">
        <f t="shared" si="146"/>
        <v>1</v>
      </c>
      <c r="N1600">
        <f>IF(SUM(I1600:J1600)&lt;=($G$11/60*$F$11/($E$11/60)),1,0)</f>
        <v>0</v>
      </c>
    </row>
    <row r="1601" spans="4:14" x14ac:dyDescent="0.2">
      <c r="D1601">
        <f t="shared" si="148"/>
        <v>1578</v>
      </c>
      <c r="E1601" s="1">
        <f>IF($H$11=1,IF(D1601&lt;=$A$15, E1600+LN($D$11)-LN(60/$E$11)-LN(MIN(D1601,$F$11)), E1600-LN(60/$E$11)-LN(MIN(D1601,$F$11))), IF(D1601&lt;=$A$15, E1600+LN($D$11)-LN(60/$E$11)-LN(MIN(D1601,$F$11)), E1600+LN($D$11)+LN(1-$H$11)-LN(60/$E$11)-LN(MIN(D1601,$F$11))))</f>
        <v>-189.67063978040269</v>
      </c>
      <c r="F1601" s="1">
        <f t="shared" si="149"/>
        <v>-191.67267258960175</v>
      </c>
      <c r="G1601" s="1">
        <f t="shared" si="147"/>
        <v>5.7228974360093119E-84</v>
      </c>
      <c r="H1601" s="1">
        <f t="shared" si="144"/>
        <v>5.6174406039418664E-85</v>
      </c>
      <c r="I1601">
        <f>IF($F$11&lt;=D1601, IF(D1601&lt;=$A$15,D1601-$F$11,$C$11),0)</f>
        <v>60</v>
      </c>
      <c r="J1601">
        <f t="shared" si="145"/>
        <v>1514</v>
      </c>
      <c r="K1601" s="5">
        <f>IF(D1601&lt;$F$11,H1601,0)</f>
        <v>0</v>
      </c>
      <c r="L1601">
        <f>IF(D1601&lt;$A$15,$D$11,$D$11*(1-$H$11))</f>
        <v>85</v>
      </c>
      <c r="M1601">
        <f t="shared" si="146"/>
        <v>1</v>
      </c>
      <c r="N1601">
        <f>IF(SUM(I1601:J1601)&lt;=($G$11/60*$F$11/($E$11/60)),1,0)</f>
        <v>0</v>
      </c>
    </row>
    <row r="1602" spans="4:14" x14ac:dyDescent="0.2">
      <c r="D1602">
        <f t="shared" si="148"/>
        <v>1579</v>
      </c>
      <c r="E1602" s="1">
        <f>IF($H$11=1,IF(D1602&lt;=$A$15, E1601+LN($D$11)-LN(60/$E$11)-LN(MIN(D1602,$F$11)), E1601-LN(60/$E$11)-LN(MIN(D1602,$F$11))), IF(D1602&lt;=$A$15, E1601+LN($D$11)-LN(60/$E$11)-LN(MIN(D1602,$F$11)), E1601+LN($D$11)+LN(1-$H$11)-LN(60/$E$11)-LN(MIN(D1602,$F$11))))</f>
        <v>-189.79233671538023</v>
      </c>
      <c r="F1602" s="1">
        <f t="shared" si="149"/>
        <v>-191.79436952457928</v>
      </c>
      <c r="G1602" s="1">
        <f t="shared" si="147"/>
        <v>5.0671487714664997E-84</v>
      </c>
      <c r="H1602" s="1">
        <f t="shared" si="144"/>
        <v>4.9737755347401176E-85</v>
      </c>
      <c r="I1602">
        <f>IF($F$11&lt;=D1602, IF(D1602&lt;=$A$15,D1602-$F$11,$C$11),0)</f>
        <v>60</v>
      </c>
      <c r="J1602">
        <f t="shared" si="145"/>
        <v>1515</v>
      </c>
      <c r="K1602" s="5">
        <f>IF(D1602&lt;$F$11,H1602,0)</f>
        <v>0</v>
      </c>
      <c r="L1602">
        <f>IF(D1602&lt;$A$15,$D$11,$D$11*(1-$H$11))</f>
        <v>85</v>
      </c>
      <c r="M1602">
        <f t="shared" si="146"/>
        <v>1</v>
      </c>
      <c r="N1602">
        <f>IF(SUM(I1602:J1602)&lt;=($G$11/60*$F$11/($E$11/60)),1,0)</f>
        <v>0</v>
      </c>
    </row>
    <row r="1603" spans="4:14" x14ac:dyDescent="0.2">
      <c r="D1603">
        <f t="shared" si="148"/>
        <v>1580</v>
      </c>
      <c r="E1603" s="1">
        <f>IF($H$11=1,IF(D1603&lt;=$A$15, E1602+LN($D$11)-LN(60/$E$11)-LN(MIN(D1603,$F$11)), E1602-LN(60/$E$11)-LN(MIN(D1603,$F$11))), IF(D1603&lt;=$A$15, E1602+LN($D$11)-LN(60/$E$11)-LN(MIN(D1603,$F$11)), E1602+LN($D$11)+LN(1-$H$11)-LN(60/$E$11)-LN(MIN(D1603,$F$11))))</f>
        <v>-189.91403365035777</v>
      </c>
      <c r="F1603" s="1">
        <f t="shared" si="149"/>
        <v>-191.91606645955682</v>
      </c>
      <c r="G1603" s="1">
        <f t="shared" si="147"/>
        <v>4.4865379747358928E-84</v>
      </c>
      <c r="H1603" s="1">
        <f t="shared" si="144"/>
        <v>4.4038637547177432E-85</v>
      </c>
      <c r="I1603">
        <f>IF($F$11&lt;=D1603, IF(D1603&lt;=$A$15,D1603-$F$11,$C$11),0)</f>
        <v>60</v>
      </c>
      <c r="J1603">
        <f t="shared" si="145"/>
        <v>1516</v>
      </c>
      <c r="K1603" s="5">
        <f>IF(D1603&lt;$F$11,H1603,0)</f>
        <v>0</v>
      </c>
      <c r="L1603">
        <f>IF(D1603&lt;$A$15,$D$11,$D$11*(1-$H$11))</f>
        <v>85</v>
      </c>
      <c r="M1603">
        <f t="shared" si="146"/>
        <v>1</v>
      </c>
      <c r="N1603">
        <f>IF(SUM(I1603:J1603)&lt;=($G$11/60*$F$11/($E$11/60)),1,0)</f>
        <v>0</v>
      </c>
    </row>
    <row r="1604" spans="4:14" x14ac:dyDescent="0.2">
      <c r="D1604">
        <f t="shared" si="148"/>
        <v>1581</v>
      </c>
      <c r="E1604" s="1">
        <f>IF($H$11=1,IF(D1604&lt;=$A$15, E1603+LN($D$11)-LN(60/$E$11)-LN(MIN(D1604,$F$11)), E1603-LN(60/$E$11)-LN(MIN(D1604,$F$11))), IF(D1604&lt;=$A$15, E1603+LN($D$11)-LN(60/$E$11)-LN(MIN(D1604,$F$11)), E1603+LN($D$11)+LN(1-$H$11)-LN(60/$E$11)-LN(MIN(D1604,$F$11))))</f>
        <v>-190.0357305853353</v>
      </c>
      <c r="F1604" s="1">
        <f t="shared" si="149"/>
        <v>-192.03776339453435</v>
      </c>
      <c r="G1604" s="1">
        <f t="shared" si="147"/>
        <v>3.9724554984640096E-84</v>
      </c>
      <c r="H1604" s="1">
        <f t="shared" si="144"/>
        <v>3.8992543661562744E-85</v>
      </c>
      <c r="I1604">
        <f>IF($F$11&lt;=D1604, IF(D1604&lt;=$A$15,D1604-$F$11,$C$11),0)</f>
        <v>60</v>
      </c>
      <c r="J1604">
        <f t="shared" si="145"/>
        <v>1517</v>
      </c>
      <c r="K1604" s="5">
        <f>IF(D1604&lt;$F$11,H1604,0)</f>
        <v>0</v>
      </c>
      <c r="L1604">
        <f>IF(D1604&lt;$A$15,$D$11,$D$11*(1-$H$11))</f>
        <v>85</v>
      </c>
      <c r="M1604">
        <f t="shared" si="146"/>
        <v>1</v>
      </c>
      <c r="N1604">
        <f>IF(SUM(I1604:J1604)&lt;=($G$11/60*$F$11/($E$11/60)),1,0)</f>
        <v>0</v>
      </c>
    </row>
    <row r="1605" spans="4:14" x14ac:dyDescent="0.2">
      <c r="D1605">
        <f t="shared" si="148"/>
        <v>1582</v>
      </c>
      <c r="E1605" s="1">
        <f>IF($H$11=1,IF(D1605&lt;=$A$15, E1604+LN($D$11)-LN(60/$E$11)-LN(MIN(D1605,$F$11)), E1604-LN(60/$E$11)-LN(MIN(D1605,$F$11))), IF(D1605&lt;=$A$15, E1604+LN($D$11)-LN(60/$E$11)-LN(MIN(D1605,$F$11)), E1604+LN($D$11)+LN(1-$H$11)-LN(60/$E$11)-LN(MIN(D1605,$F$11))))</f>
        <v>-190.15742752031284</v>
      </c>
      <c r="F1605" s="1">
        <f t="shared" si="149"/>
        <v>-192.15946032951189</v>
      </c>
      <c r="G1605" s="1">
        <f t="shared" si="147"/>
        <v>3.5172783059316204E-84</v>
      </c>
      <c r="H1605" s="1">
        <f t="shared" si="144"/>
        <v>3.4524648033674809E-85</v>
      </c>
      <c r="I1605">
        <f>IF($F$11&lt;=D1605, IF(D1605&lt;=$A$15,D1605-$F$11,$C$11),0)</f>
        <v>60</v>
      </c>
      <c r="J1605">
        <f t="shared" si="145"/>
        <v>1518</v>
      </c>
      <c r="K1605" s="5">
        <f>IF(D1605&lt;$F$11,H1605,0)</f>
        <v>0</v>
      </c>
      <c r="L1605">
        <f>IF(D1605&lt;$A$15,$D$11,$D$11*(1-$H$11))</f>
        <v>85</v>
      </c>
      <c r="M1605">
        <f t="shared" si="146"/>
        <v>1</v>
      </c>
      <c r="N1605">
        <f>IF(SUM(I1605:J1605)&lt;=($G$11/60*$F$11/($E$11/60)),1,0)</f>
        <v>0</v>
      </c>
    </row>
    <row r="1606" spans="4:14" x14ac:dyDescent="0.2">
      <c r="D1606">
        <f t="shared" si="148"/>
        <v>1583</v>
      </c>
      <c r="E1606" s="1">
        <f>IF($H$11=1,IF(D1606&lt;=$A$15, E1605+LN($D$11)-LN(60/$E$11)-LN(MIN(D1606,$F$11)), E1605-LN(60/$E$11)-LN(MIN(D1606,$F$11))), IF(D1606&lt;=$A$15, E1605+LN($D$11)-LN(60/$E$11)-LN(MIN(D1606,$F$11)), E1605+LN($D$11)+LN(1-$H$11)-LN(60/$E$11)-LN(MIN(D1606,$F$11))))</f>
        <v>-190.27912445529037</v>
      </c>
      <c r="F1606" s="1">
        <f t="shared" si="149"/>
        <v>-192.28115726448942</v>
      </c>
      <c r="G1606" s="1">
        <f t="shared" si="147"/>
        <v>3.1142568333769068E-84</v>
      </c>
      <c r="H1606" s="1">
        <f t="shared" si="144"/>
        <v>3.0568698779815757E-85</v>
      </c>
      <c r="I1606">
        <f>IF($F$11&lt;=D1606, IF(D1606&lt;=$A$15,D1606-$F$11,$C$11),0)</f>
        <v>60</v>
      </c>
      <c r="J1606">
        <f t="shared" si="145"/>
        <v>1519</v>
      </c>
      <c r="K1606" s="5">
        <f>IF(D1606&lt;$F$11,H1606,0)</f>
        <v>0</v>
      </c>
      <c r="L1606">
        <f>IF(D1606&lt;$A$15,$D$11,$D$11*(1-$H$11))</f>
        <v>85</v>
      </c>
      <c r="M1606">
        <f t="shared" si="146"/>
        <v>1</v>
      </c>
      <c r="N1606">
        <f>IF(SUM(I1606:J1606)&lt;=($G$11/60*$F$11/($E$11/60)),1,0)</f>
        <v>0</v>
      </c>
    </row>
    <row r="1607" spans="4:14" x14ac:dyDescent="0.2">
      <c r="D1607">
        <f t="shared" si="148"/>
        <v>1584</v>
      </c>
      <c r="E1607" s="1">
        <f>IF($H$11=1,IF(D1607&lt;=$A$15, E1606+LN($D$11)-LN(60/$E$11)-LN(MIN(D1607,$F$11)), E1606-LN(60/$E$11)-LN(MIN(D1607,$F$11))), IF(D1607&lt;=$A$15, E1606+LN($D$11)-LN(60/$E$11)-LN(MIN(D1607,$F$11)), E1606+LN($D$11)+LN(1-$H$11)-LN(60/$E$11)-LN(MIN(D1607,$F$11))))</f>
        <v>-190.40082139026791</v>
      </c>
      <c r="F1607" s="1">
        <f t="shared" si="149"/>
        <v>-192.40285419946696</v>
      </c>
      <c r="G1607" s="1">
        <f t="shared" si="147"/>
        <v>2.7574149045524263E-84</v>
      </c>
      <c r="H1607" s="1">
        <f t="shared" si="144"/>
        <v>2.7066035377961445E-85</v>
      </c>
      <c r="I1607">
        <f>IF($F$11&lt;=D1607, IF(D1607&lt;=$A$15,D1607-$F$11,$C$11),0)</f>
        <v>60</v>
      </c>
      <c r="J1607">
        <f t="shared" si="145"/>
        <v>1520</v>
      </c>
      <c r="K1607" s="5">
        <f>IF(D1607&lt;$F$11,H1607,0)</f>
        <v>0</v>
      </c>
      <c r="L1607">
        <f>IF(D1607&lt;$A$15,$D$11,$D$11*(1-$H$11))</f>
        <v>85</v>
      </c>
      <c r="M1607">
        <f t="shared" si="146"/>
        <v>1</v>
      </c>
      <c r="N1607">
        <f>IF(SUM(I1607:J1607)&lt;=($G$11/60*$F$11/($E$11/60)),1,0)</f>
        <v>0</v>
      </c>
    </row>
    <row r="1608" spans="4:14" x14ac:dyDescent="0.2">
      <c r="D1608">
        <f t="shared" si="148"/>
        <v>1585</v>
      </c>
      <c r="E1608" s="1">
        <f>IF($H$11=1,IF(D1608&lt;=$A$15, E1607+LN($D$11)-LN(60/$E$11)-LN(MIN(D1608,$F$11)), E1607-LN(60/$E$11)-LN(MIN(D1608,$F$11))), IF(D1608&lt;=$A$15, E1607+LN($D$11)-LN(60/$E$11)-LN(MIN(D1608,$F$11)), E1607+LN($D$11)+LN(1-$H$11)-LN(60/$E$11)-LN(MIN(D1608,$F$11))))</f>
        <v>-190.52251832524544</v>
      </c>
      <c r="F1608" s="1">
        <f t="shared" si="149"/>
        <v>-192.52455113444449</v>
      </c>
      <c r="G1608" s="1">
        <f t="shared" si="147"/>
        <v>2.441461113405756E-84</v>
      </c>
      <c r="H1608" s="1">
        <f t="shared" si="144"/>
        <v>2.396471882423632E-85</v>
      </c>
      <c r="I1608">
        <f>IF($F$11&lt;=D1608, IF(D1608&lt;=$A$15,D1608-$F$11,$C$11),0)</f>
        <v>60</v>
      </c>
      <c r="J1608">
        <f t="shared" si="145"/>
        <v>1521</v>
      </c>
      <c r="K1608" s="5">
        <f>IF(D1608&lt;$F$11,H1608,0)</f>
        <v>0</v>
      </c>
      <c r="L1608">
        <f>IF(D1608&lt;$A$15,$D$11,$D$11*(1-$H$11))</f>
        <v>85</v>
      </c>
      <c r="M1608">
        <f t="shared" si="146"/>
        <v>1</v>
      </c>
      <c r="N1608">
        <f>IF(SUM(I1608:J1608)&lt;=($G$11/60*$F$11/($E$11/60)),1,0)</f>
        <v>0</v>
      </c>
    </row>
    <row r="1609" spans="4:14" x14ac:dyDescent="0.2">
      <c r="D1609">
        <f t="shared" si="148"/>
        <v>1586</v>
      </c>
      <c r="E1609" s="1">
        <f>IF($H$11=1,IF(D1609&lt;=$A$15, E1608+LN($D$11)-LN(60/$E$11)-LN(MIN(D1609,$F$11)), E1608-LN(60/$E$11)-LN(MIN(D1609,$F$11))), IF(D1609&lt;=$A$15, E1608+LN($D$11)-LN(60/$E$11)-LN(MIN(D1609,$F$11)), E1608+LN($D$11)+LN(1-$H$11)-LN(60/$E$11)-LN(MIN(D1609,$F$11))))</f>
        <v>-190.64421526022298</v>
      </c>
      <c r="F1609" s="1">
        <f t="shared" si="149"/>
        <v>-192.64624806942203</v>
      </c>
      <c r="G1609" s="1">
        <f t="shared" si="147"/>
        <v>2.1617103608279793E-84</v>
      </c>
      <c r="H1609" s="1">
        <f t="shared" si="144"/>
        <v>2.1218761458958909E-85</v>
      </c>
      <c r="I1609">
        <f>IF($F$11&lt;=D1609, IF(D1609&lt;=$A$15,D1609-$F$11,$C$11),0)</f>
        <v>60</v>
      </c>
      <c r="J1609">
        <f t="shared" si="145"/>
        <v>1522</v>
      </c>
      <c r="K1609" s="5">
        <f>IF(D1609&lt;$F$11,H1609,0)</f>
        <v>0</v>
      </c>
      <c r="L1609">
        <f>IF(D1609&lt;$A$15,$D$11,$D$11*(1-$H$11))</f>
        <v>85</v>
      </c>
      <c r="M1609">
        <f t="shared" si="146"/>
        <v>1</v>
      </c>
      <c r="N1609">
        <f>IF(SUM(I1609:J1609)&lt;=($G$11/60*$F$11/($E$11/60)),1,0)</f>
        <v>0</v>
      </c>
    </row>
    <row r="1610" spans="4:14" x14ac:dyDescent="0.2">
      <c r="D1610">
        <f t="shared" si="148"/>
        <v>1587</v>
      </c>
      <c r="E1610" s="1">
        <f>IF($H$11=1,IF(D1610&lt;=$A$15, E1609+LN($D$11)-LN(60/$E$11)-LN(MIN(D1610,$F$11)), E1609-LN(60/$E$11)-LN(MIN(D1610,$F$11))), IF(D1610&lt;=$A$15, E1609+LN($D$11)-LN(60/$E$11)-LN(MIN(D1610,$F$11)), E1609+LN($D$11)+LN(1-$H$11)-LN(60/$E$11)-LN(MIN(D1610,$F$11))))</f>
        <v>-190.76591219520051</v>
      </c>
      <c r="F1610" s="1">
        <f t="shared" si="149"/>
        <v>-192.76794500439956</v>
      </c>
      <c r="G1610" s="1">
        <f t="shared" si="147"/>
        <v>1.9140143819830769E-84</v>
      </c>
      <c r="H1610" s="1">
        <f t="shared" si="144"/>
        <v>1.8787445041786242E-85</v>
      </c>
      <c r="I1610">
        <f>IF($F$11&lt;=D1610, IF(D1610&lt;=$A$15,D1610-$F$11,$C$11),0)</f>
        <v>60</v>
      </c>
      <c r="J1610">
        <f t="shared" si="145"/>
        <v>1523</v>
      </c>
      <c r="K1610" s="5">
        <f>IF(D1610&lt;$F$11,H1610,0)</f>
        <v>0</v>
      </c>
      <c r="L1610">
        <f>IF(D1610&lt;$A$15,$D$11,$D$11*(1-$H$11))</f>
        <v>85</v>
      </c>
      <c r="M1610">
        <f t="shared" si="146"/>
        <v>1</v>
      </c>
      <c r="N1610">
        <f>IF(SUM(I1610:J1610)&lt;=($G$11/60*$F$11/($E$11/60)),1,0)</f>
        <v>0</v>
      </c>
    </row>
    <row r="1611" spans="4:14" x14ac:dyDescent="0.2">
      <c r="D1611">
        <f t="shared" si="148"/>
        <v>1588</v>
      </c>
      <c r="E1611" s="1">
        <f>IF($H$11=1,IF(D1611&lt;=$A$15, E1610+LN($D$11)-LN(60/$E$11)-LN(MIN(D1611,$F$11)), E1610-LN(60/$E$11)-LN(MIN(D1611,$F$11))), IF(D1611&lt;=$A$15, E1610+LN($D$11)-LN(60/$E$11)-LN(MIN(D1611,$F$11)), E1610+LN($D$11)+LN(1-$H$11)-LN(60/$E$11)-LN(MIN(D1611,$F$11))))</f>
        <v>-190.88760913017805</v>
      </c>
      <c r="F1611" s="1">
        <f t="shared" si="149"/>
        <v>-192.8896419393771</v>
      </c>
      <c r="G1611" s="1">
        <f t="shared" si="147"/>
        <v>1.6947002340474893E-84</v>
      </c>
      <c r="H1611" s="1">
        <f t="shared" si="144"/>
        <v>1.6634716964081306E-85</v>
      </c>
      <c r="I1611">
        <f>IF($F$11&lt;=D1611, IF(D1611&lt;=$A$15,D1611-$F$11,$C$11),0)</f>
        <v>60</v>
      </c>
      <c r="J1611">
        <f t="shared" si="145"/>
        <v>1524</v>
      </c>
      <c r="K1611" s="5">
        <f>IF(D1611&lt;$F$11,H1611,0)</f>
        <v>0</v>
      </c>
      <c r="L1611">
        <f>IF(D1611&lt;$A$15,$D$11,$D$11*(1-$H$11))</f>
        <v>85</v>
      </c>
      <c r="M1611">
        <f t="shared" si="146"/>
        <v>1</v>
      </c>
      <c r="N1611">
        <f>IF(SUM(I1611:J1611)&lt;=($G$11/60*$F$11/($E$11/60)),1,0)</f>
        <v>0</v>
      </c>
    </row>
    <row r="1612" spans="4:14" x14ac:dyDescent="0.2">
      <c r="D1612">
        <f t="shared" si="148"/>
        <v>1589</v>
      </c>
      <c r="E1612" s="1">
        <f>IF($H$11=1,IF(D1612&lt;=$A$15, E1611+LN($D$11)-LN(60/$E$11)-LN(MIN(D1612,$F$11)), E1611-LN(60/$E$11)-LN(MIN(D1612,$F$11))), IF(D1612&lt;=$A$15, E1611+LN($D$11)-LN(60/$E$11)-LN(MIN(D1612,$F$11)), E1611+LN($D$11)+LN(1-$H$11)-LN(60/$E$11)-LN(MIN(D1612,$F$11))))</f>
        <v>-191.00930606515558</v>
      </c>
      <c r="F1612" s="1">
        <f t="shared" si="149"/>
        <v>-193.01133887435464</v>
      </c>
      <c r="G1612" s="1">
        <f t="shared" si="147"/>
        <v>1.5005158322295244E-84</v>
      </c>
      <c r="H1612" s="1">
        <f t="shared" si="144"/>
        <v>1.4728655645280095E-85</v>
      </c>
      <c r="I1612">
        <f>IF($F$11&lt;=D1612, IF(D1612&lt;=$A$15,D1612-$F$11,$C$11),0)</f>
        <v>60</v>
      </c>
      <c r="J1612">
        <f t="shared" si="145"/>
        <v>1525</v>
      </c>
      <c r="K1612" s="5">
        <f>IF(D1612&lt;$F$11,H1612,0)</f>
        <v>0</v>
      </c>
      <c r="L1612">
        <f>IF(D1612&lt;$A$15,$D$11,$D$11*(1-$H$11))</f>
        <v>85</v>
      </c>
      <c r="M1612">
        <f t="shared" si="146"/>
        <v>1</v>
      </c>
      <c r="N1612">
        <f>IF(SUM(I1612:J1612)&lt;=($G$11/60*$F$11/($E$11/60)),1,0)</f>
        <v>0</v>
      </c>
    </row>
    <row r="1613" spans="4:14" x14ac:dyDescent="0.2">
      <c r="D1613">
        <f t="shared" si="148"/>
        <v>1590</v>
      </c>
      <c r="E1613" s="1">
        <f>IF($H$11=1,IF(D1613&lt;=$A$15, E1612+LN($D$11)-LN(60/$E$11)-LN(MIN(D1613,$F$11)), E1612-LN(60/$E$11)-LN(MIN(D1613,$F$11))), IF(D1613&lt;=$A$15, E1612+LN($D$11)-LN(60/$E$11)-LN(MIN(D1613,$F$11)), E1612+LN($D$11)+LN(1-$H$11)-LN(60/$E$11)-LN(MIN(D1613,$F$11))))</f>
        <v>-191.13100300013312</v>
      </c>
      <c r="F1613" s="1">
        <f t="shared" si="149"/>
        <v>-193.13303580933217</v>
      </c>
      <c r="G1613" s="1">
        <f t="shared" si="147"/>
        <v>1.3285817264532039E-84</v>
      </c>
      <c r="H1613" s="1">
        <f t="shared" si="144"/>
        <v>1.304099718592488E-85</v>
      </c>
      <c r="I1613">
        <f>IF($F$11&lt;=D1613, IF(D1613&lt;=$A$15,D1613-$F$11,$C$11),0)</f>
        <v>60</v>
      </c>
      <c r="J1613">
        <f t="shared" si="145"/>
        <v>1526</v>
      </c>
      <c r="K1613" s="5">
        <f>IF(D1613&lt;$F$11,H1613,0)</f>
        <v>0</v>
      </c>
      <c r="L1613">
        <f>IF(D1613&lt;$A$15,$D$11,$D$11*(1-$H$11))</f>
        <v>85</v>
      </c>
      <c r="M1613">
        <f t="shared" si="146"/>
        <v>1</v>
      </c>
      <c r="N1613">
        <f>IF(SUM(I1613:J1613)&lt;=($G$11/60*$F$11/($E$11/60)),1,0)</f>
        <v>0</v>
      </c>
    </row>
    <row r="1614" spans="4:14" x14ac:dyDescent="0.2">
      <c r="D1614">
        <f t="shared" si="148"/>
        <v>1591</v>
      </c>
      <c r="E1614" s="1">
        <f>IF($H$11=1,IF(D1614&lt;=$A$15, E1613+LN($D$11)-LN(60/$E$11)-LN(MIN(D1614,$F$11)), E1613-LN(60/$E$11)-LN(MIN(D1614,$F$11))), IF(D1614&lt;=$A$15, E1613+LN($D$11)-LN(60/$E$11)-LN(MIN(D1614,$F$11)), E1613+LN($D$11)+LN(1-$H$11)-LN(60/$E$11)-LN(MIN(D1614,$F$11))))</f>
        <v>-191.25269993511066</v>
      </c>
      <c r="F1614" s="1">
        <f t="shared" si="149"/>
        <v>-193.25473274430971</v>
      </c>
      <c r="G1614" s="1">
        <f t="shared" si="147"/>
        <v>1.1763484036304227E-84</v>
      </c>
      <c r="H1614" s="1">
        <f t="shared" si="144"/>
        <v>1.1546716258370807E-85</v>
      </c>
      <c r="I1614">
        <f>IF($F$11&lt;=D1614, IF(D1614&lt;=$A$15,D1614-$F$11,$C$11),0)</f>
        <v>60</v>
      </c>
      <c r="J1614">
        <f t="shared" si="145"/>
        <v>1527</v>
      </c>
      <c r="K1614" s="5">
        <f>IF(D1614&lt;$F$11,H1614,0)</f>
        <v>0</v>
      </c>
      <c r="L1614">
        <f>IF(D1614&lt;$A$15,$D$11,$D$11*(1-$H$11))</f>
        <v>85</v>
      </c>
      <c r="M1614">
        <f t="shared" si="146"/>
        <v>1</v>
      </c>
      <c r="N1614">
        <f>IF(SUM(I1614:J1614)&lt;=($G$11/60*$F$11/($E$11/60)),1,0)</f>
        <v>0</v>
      </c>
    </row>
    <row r="1615" spans="4:14" x14ac:dyDescent="0.2">
      <c r="D1615">
        <f t="shared" si="148"/>
        <v>1592</v>
      </c>
      <c r="E1615" s="1">
        <f>IF($H$11=1,IF(D1615&lt;=$A$15, E1614+LN($D$11)-LN(60/$E$11)-LN(MIN(D1615,$F$11)), E1614-LN(60/$E$11)-LN(MIN(D1615,$F$11))), IF(D1615&lt;=$A$15, E1614+LN($D$11)-LN(60/$E$11)-LN(MIN(D1615,$F$11)), E1614+LN($D$11)+LN(1-$H$11)-LN(60/$E$11)-LN(MIN(D1615,$F$11))))</f>
        <v>-191.37439687008819</v>
      </c>
      <c r="F1615" s="1">
        <f t="shared" si="149"/>
        <v>-193.37642967928724</v>
      </c>
      <c r="G1615" s="1">
        <f t="shared" si="147"/>
        <v>1.041558482381087E-84</v>
      </c>
      <c r="H1615" s="1">
        <f t="shared" si="144"/>
        <v>1.0223655020432323E-85</v>
      </c>
      <c r="I1615">
        <f>IF($F$11&lt;=D1615, IF(D1615&lt;=$A$15,D1615-$F$11,$C$11),0)</f>
        <v>60</v>
      </c>
      <c r="J1615">
        <f t="shared" si="145"/>
        <v>1528</v>
      </c>
      <c r="K1615" s="5">
        <f>IF(D1615&lt;$F$11,H1615,0)</f>
        <v>0</v>
      </c>
      <c r="L1615">
        <f>IF(D1615&lt;$A$15,$D$11,$D$11*(1-$H$11))</f>
        <v>85</v>
      </c>
      <c r="M1615">
        <f t="shared" si="146"/>
        <v>1</v>
      </c>
      <c r="N1615">
        <f>IF(SUM(I1615:J1615)&lt;=($G$11/60*$F$11/($E$11/60)),1,0)</f>
        <v>0</v>
      </c>
    </row>
    <row r="1616" spans="4:14" x14ac:dyDescent="0.2">
      <c r="D1616">
        <f t="shared" si="148"/>
        <v>1593</v>
      </c>
      <c r="E1616" s="1">
        <f>IF($H$11=1,IF(D1616&lt;=$A$15, E1615+LN($D$11)-LN(60/$E$11)-LN(MIN(D1616,$F$11)), E1615-LN(60/$E$11)-LN(MIN(D1616,$F$11))), IF(D1616&lt;=$A$15, E1615+LN($D$11)-LN(60/$E$11)-LN(MIN(D1616,$F$11)), E1615+LN($D$11)+LN(1-$H$11)-LN(60/$E$11)-LN(MIN(D1616,$F$11))))</f>
        <v>-191.49609380506573</v>
      </c>
      <c r="F1616" s="1">
        <f t="shared" si="149"/>
        <v>-193.49812661426478</v>
      </c>
      <c r="G1616" s="1">
        <f t="shared" si="147"/>
        <v>9.2221323960823971E-85</v>
      </c>
      <c r="H1616" s="1">
        <f t="shared" si="144"/>
        <v>9.0521945493409795E-86</v>
      </c>
      <c r="I1616">
        <f>IF($F$11&lt;=D1616, IF(D1616&lt;=$A$15,D1616-$F$11,$C$11),0)</f>
        <v>60</v>
      </c>
      <c r="J1616">
        <f t="shared" si="145"/>
        <v>1529</v>
      </c>
      <c r="K1616" s="5">
        <f>IF(D1616&lt;$F$11,H1616,0)</f>
        <v>0</v>
      </c>
      <c r="L1616">
        <f>IF(D1616&lt;$A$15,$D$11,$D$11*(1-$H$11))</f>
        <v>85</v>
      </c>
      <c r="M1616">
        <f t="shared" si="146"/>
        <v>1</v>
      </c>
      <c r="N1616">
        <f>IF(SUM(I1616:J1616)&lt;=($G$11/60*$F$11/($E$11/60)),1,0)</f>
        <v>0</v>
      </c>
    </row>
    <row r="1617" spans="4:14" x14ac:dyDescent="0.2">
      <c r="D1617">
        <f t="shared" si="148"/>
        <v>1594</v>
      </c>
      <c r="E1617" s="1">
        <f>IF($H$11=1,IF(D1617&lt;=$A$15, E1616+LN($D$11)-LN(60/$E$11)-LN(MIN(D1617,$F$11)), E1616-LN(60/$E$11)-LN(MIN(D1617,$F$11))), IF(D1617&lt;=$A$15, E1616+LN($D$11)-LN(60/$E$11)-LN(MIN(D1617,$F$11)), E1616+LN($D$11)+LN(1-$H$11)-LN(60/$E$11)-LN(MIN(D1617,$F$11))))</f>
        <v>-191.61779074004326</v>
      </c>
      <c r="F1617" s="1">
        <f t="shared" si="149"/>
        <v>-193.61982354924231</v>
      </c>
      <c r="G1617" s="1">
        <f t="shared" si="147"/>
        <v>8.1654297256978282E-85</v>
      </c>
      <c r="H1617" s="1">
        <f t="shared" si="144"/>
        <v>8.0149639238955326E-86</v>
      </c>
      <c r="I1617">
        <f>IF($F$11&lt;=D1617, IF(D1617&lt;=$A$15,D1617-$F$11,$C$11),0)</f>
        <v>60</v>
      </c>
      <c r="J1617">
        <f t="shared" si="145"/>
        <v>1530</v>
      </c>
      <c r="K1617" s="5">
        <f>IF(D1617&lt;$F$11,H1617,0)</f>
        <v>0</v>
      </c>
      <c r="L1617">
        <f>IF(D1617&lt;$A$15,$D$11,$D$11*(1-$H$11))</f>
        <v>85</v>
      </c>
      <c r="M1617">
        <f t="shared" si="146"/>
        <v>1</v>
      </c>
      <c r="N1617">
        <f>IF(SUM(I1617:J1617)&lt;=($G$11/60*$F$11/($E$11/60)),1,0)</f>
        <v>0</v>
      </c>
    </row>
    <row r="1618" spans="4:14" x14ac:dyDescent="0.2">
      <c r="D1618">
        <f t="shared" si="148"/>
        <v>1595</v>
      </c>
      <c r="E1618" s="1">
        <f>IF($H$11=1,IF(D1618&lt;=$A$15, E1617+LN($D$11)-LN(60/$E$11)-LN(MIN(D1618,$F$11)), E1617-LN(60/$E$11)-LN(MIN(D1618,$F$11))), IF(D1618&lt;=$A$15, E1617+LN($D$11)-LN(60/$E$11)-LN(MIN(D1618,$F$11)), E1617+LN($D$11)+LN(1-$H$11)-LN(60/$E$11)-LN(MIN(D1618,$F$11))))</f>
        <v>-191.7394876750208</v>
      </c>
      <c r="F1618" s="1">
        <f t="shared" si="149"/>
        <v>-193.74152048421985</v>
      </c>
      <c r="G1618" s="1">
        <f t="shared" si="147"/>
        <v>7.2298075696281731E-85</v>
      </c>
      <c r="H1618" s="1">
        <f t="shared" si="144"/>
        <v>7.0965826409490598E-86</v>
      </c>
      <c r="I1618">
        <f>IF($F$11&lt;=D1618, IF(D1618&lt;=$A$15,D1618-$F$11,$C$11),0)</f>
        <v>60</v>
      </c>
      <c r="J1618">
        <f t="shared" si="145"/>
        <v>1531</v>
      </c>
      <c r="K1618" s="5">
        <f>IF(D1618&lt;$F$11,H1618,0)</f>
        <v>0</v>
      </c>
      <c r="L1618">
        <f>IF(D1618&lt;$A$15,$D$11,$D$11*(1-$H$11))</f>
        <v>85</v>
      </c>
      <c r="M1618">
        <f t="shared" si="146"/>
        <v>1</v>
      </c>
      <c r="N1618">
        <f>IF(SUM(I1618:J1618)&lt;=($G$11/60*$F$11/($E$11/60)),1,0)</f>
        <v>0</v>
      </c>
    </row>
    <row r="1619" spans="4:14" x14ac:dyDescent="0.2">
      <c r="D1619">
        <f t="shared" si="148"/>
        <v>1596</v>
      </c>
      <c r="E1619" s="1">
        <f>IF($H$11=1,IF(D1619&lt;=$A$15, E1618+LN($D$11)-LN(60/$E$11)-LN(MIN(D1619,$F$11)), E1618-LN(60/$E$11)-LN(MIN(D1619,$F$11))), IF(D1619&lt;=$A$15, E1618+LN($D$11)-LN(60/$E$11)-LN(MIN(D1619,$F$11)), E1618+LN($D$11)+LN(1-$H$11)-LN(60/$E$11)-LN(MIN(D1619,$F$11))))</f>
        <v>-191.86118460999833</v>
      </c>
      <c r="F1619" s="1">
        <f t="shared" si="149"/>
        <v>-193.86321741919738</v>
      </c>
      <c r="G1619" s="1">
        <f t="shared" si="147"/>
        <v>6.4013921189415108E-85</v>
      </c>
      <c r="H1619" s="1">
        <f t="shared" si="144"/>
        <v>6.2834325466735481E-86</v>
      </c>
      <c r="I1619">
        <f>IF($F$11&lt;=D1619, IF(D1619&lt;=$A$15,D1619-$F$11,$C$11),0)</f>
        <v>60</v>
      </c>
      <c r="J1619">
        <f t="shared" si="145"/>
        <v>1532</v>
      </c>
      <c r="K1619" s="5">
        <f>IF(D1619&lt;$F$11,H1619,0)</f>
        <v>0</v>
      </c>
      <c r="L1619">
        <f>IF(D1619&lt;$A$15,$D$11,$D$11*(1-$H$11))</f>
        <v>85</v>
      </c>
      <c r="M1619">
        <f t="shared" si="146"/>
        <v>1</v>
      </c>
      <c r="N1619">
        <f>IF(SUM(I1619:J1619)&lt;=($G$11/60*$F$11/($E$11/60)),1,0)</f>
        <v>0</v>
      </c>
    </row>
    <row r="1620" spans="4:14" x14ac:dyDescent="0.2">
      <c r="D1620">
        <f t="shared" si="148"/>
        <v>1597</v>
      </c>
      <c r="E1620" s="1">
        <f>IF($H$11=1,IF(D1620&lt;=$A$15, E1619+LN($D$11)-LN(60/$E$11)-LN(MIN(D1620,$F$11)), E1619-LN(60/$E$11)-LN(MIN(D1620,$F$11))), IF(D1620&lt;=$A$15, E1619+LN($D$11)-LN(60/$E$11)-LN(MIN(D1620,$F$11)), E1619+LN($D$11)+LN(1-$H$11)-LN(60/$E$11)-LN(MIN(D1620,$F$11))))</f>
        <v>-191.98288154497587</v>
      </c>
      <c r="F1620" s="1">
        <f t="shared" si="149"/>
        <v>-193.98491435417492</v>
      </c>
      <c r="G1620" s="1">
        <f t="shared" si="147"/>
        <v>5.6678992719793745E-85</v>
      </c>
      <c r="H1620" s="1">
        <f t="shared" si="144"/>
        <v>5.5634559007004503E-86</v>
      </c>
      <c r="I1620">
        <f>IF($F$11&lt;=D1620, IF(D1620&lt;=$A$15,D1620-$F$11,$C$11),0)</f>
        <v>60</v>
      </c>
      <c r="J1620">
        <f t="shared" si="145"/>
        <v>1533</v>
      </c>
      <c r="K1620" s="5">
        <f>IF(D1620&lt;$F$11,H1620,0)</f>
        <v>0</v>
      </c>
      <c r="L1620">
        <f>IF(D1620&lt;$A$15,$D$11,$D$11*(1-$H$11))</f>
        <v>85</v>
      </c>
      <c r="M1620">
        <f t="shared" si="146"/>
        <v>1</v>
      </c>
      <c r="N1620">
        <f>IF(SUM(I1620:J1620)&lt;=($G$11/60*$F$11/($E$11/60)),1,0)</f>
        <v>0</v>
      </c>
    </row>
    <row r="1621" spans="4:14" x14ac:dyDescent="0.2">
      <c r="D1621">
        <f t="shared" si="148"/>
        <v>1598</v>
      </c>
      <c r="E1621" s="1">
        <f>IF($H$11=1,IF(D1621&lt;=$A$15, E1620+LN($D$11)-LN(60/$E$11)-LN(MIN(D1621,$F$11)), E1620-LN(60/$E$11)-LN(MIN(D1621,$F$11))), IF(D1621&lt;=$A$15, E1620+LN($D$11)-LN(60/$E$11)-LN(MIN(D1621,$F$11)), E1620+LN($D$11)+LN(1-$H$11)-LN(60/$E$11)-LN(MIN(D1621,$F$11))))</f>
        <v>-192.1045784799534</v>
      </c>
      <c r="F1621" s="1">
        <f t="shared" si="149"/>
        <v>-194.10661128915245</v>
      </c>
      <c r="G1621" s="1">
        <f t="shared" si="147"/>
        <v>5.018452480398326E-85</v>
      </c>
      <c r="H1621" s="1">
        <f t="shared" si="144"/>
        <v>4.9259765787451134E-86</v>
      </c>
      <c r="I1621">
        <f>IF($F$11&lt;=D1621, IF(D1621&lt;=$A$15,D1621-$F$11,$C$11),0)</f>
        <v>60</v>
      </c>
      <c r="J1621">
        <f t="shared" si="145"/>
        <v>1534</v>
      </c>
      <c r="K1621" s="5">
        <f>IF(D1621&lt;$F$11,H1621,0)</f>
        <v>0</v>
      </c>
      <c r="L1621">
        <f>IF(D1621&lt;$A$15,$D$11,$D$11*(1-$H$11))</f>
        <v>85</v>
      </c>
      <c r="M1621">
        <f t="shared" si="146"/>
        <v>1</v>
      </c>
      <c r="N1621">
        <f>IF(SUM(I1621:J1621)&lt;=($G$11/60*$F$11/($E$11/60)),1,0)</f>
        <v>0</v>
      </c>
    </row>
    <row r="1622" spans="4:14" x14ac:dyDescent="0.2">
      <c r="D1622">
        <f t="shared" si="148"/>
        <v>1599</v>
      </c>
      <c r="E1622" s="1">
        <f>IF($H$11=1,IF(D1622&lt;=$A$15, E1621+LN($D$11)-LN(60/$E$11)-LN(MIN(D1622,$F$11)), E1621-LN(60/$E$11)-LN(MIN(D1622,$F$11))), IF(D1622&lt;=$A$15, E1621+LN($D$11)-LN(60/$E$11)-LN(MIN(D1622,$F$11)), E1621+LN($D$11)+LN(1-$H$11)-LN(60/$E$11)-LN(MIN(D1622,$F$11))))</f>
        <v>-192.22627541493094</v>
      </c>
      <c r="F1622" s="1">
        <f t="shared" si="149"/>
        <v>-194.22830822412999</v>
      </c>
      <c r="G1622" s="1">
        <f t="shared" si="147"/>
        <v>4.4434214670192815E-85</v>
      </c>
      <c r="H1622" s="1">
        <f t="shared" si="144"/>
        <v>4.3615417624305005E-86</v>
      </c>
      <c r="I1622">
        <f>IF($F$11&lt;=D1622, IF(D1622&lt;=$A$15,D1622-$F$11,$C$11),0)</f>
        <v>60</v>
      </c>
      <c r="J1622">
        <f t="shared" si="145"/>
        <v>1535</v>
      </c>
      <c r="K1622" s="5">
        <f>IF(D1622&lt;$F$11,H1622,0)</f>
        <v>0</v>
      </c>
      <c r="L1622">
        <f>IF(D1622&lt;$A$15,$D$11,$D$11*(1-$H$11))</f>
        <v>85</v>
      </c>
      <c r="M1622">
        <f t="shared" si="146"/>
        <v>1</v>
      </c>
      <c r="N1622">
        <f>IF(SUM(I1622:J1622)&lt;=($G$11/60*$F$11/($E$11/60)),1,0)</f>
        <v>0</v>
      </c>
    </row>
    <row r="1623" spans="4:14" x14ac:dyDescent="0.2">
      <c r="D1623">
        <f t="shared" si="148"/>
        <v>1600</v>
      </c>
      <c r="E1623" s="1">
        <f>IF($H$11=1,IF(D1623&lt;=$A$15, E1622+LN($D$11)-LN(60/$E$11)-LN(MIN(D1623,$F$11)), E1622-LN(60/$E$11)-LN(MIN(D1623,$F$11))), IF(D1623&lt;=$A$15, E1622+LN($D$11)-LN(60/$E$11)-LN(MIN(D1623,$F$11)), E1622+LN($D$11)+LN(1-$H$11)-LN(60/$E$11)-LN(MIN(D1623,$F$11))))</f>
        <v>-192.34797234990847</v>
      </c>
      <c r="F1623" s="1">
        <f t="shared" si="149"/>
        <v>-194.35000515910752</v>
      </c>
      <c r="G1623" s="1">
        <f t="shared" si="147"/>
        <v>3.9342794239232607E-85</v>
      </c>
      <c r="H1623" s="1">
        <f t="shared" ref="H1623:H1686" si="150">G1623/$G$21</f>
        <v>3.8617817688186122E-86</v>
      </c>
      <c r="I1623">
        <f>IF($F$11&lt;=D1623, IF(D1623&lt;=$A$15,D1623-$F$11,$C$11),0)</f>
        <v>60</v>
      </c>
      <c r="J1623">
        <f t="shared" ref="J1623:J1686" si="151">IF(D1623&lt;=$A$15,0,D1623-$A$15)</f>
        <v>1536</v>
      </c>
      <c r="K1623" s="5">
        <f>IF(D1623&lt;$F$11,H1623,0)</f>
        <v>0</v>
      </c>
      <c r="L1623">
        <f>IF(D1623&lt;$A$15,$D$11,$D$11*(1-$H$11))</f>
        <v>85</v>
      </c>
      <c r="M1623">
        <f t="shared" ref="M1623:M1686" si="152">IF(D1623&lt;$A$15,0,1)</f>
        <v>1</v>
      </c>
      <c r="N1623">
        <f>IF(SUM(I1623:J1623)&lt;=($G$11/60*$F$11/($E$11/60)),1,0)</f>
        <v>0</v>
      </c>
    </row>
    <row r="1624" spans="4:14" x14ac:dyDescent="0.2">
      <c r="D1624">
        <f t="shared" si="148"/>
        <v>1601</v>
      </c>
      <c r="E1624" s="1">
        <f>IF($H$11=1,IF(D1624&lt;=$A$15, E1623+LN($D$11)-LN(60/$E$11)-LN(MIN(D1624,$F$11)), E1623-LN(60/$E$11)-LN(MIN(D1624,$F$11))), IF(D1624&lt;=$A$15, E1623+LN($D$11)-LN(60/$E$11)-LN(MIN(D1624,$F$11)), E1623+LN($D$11)+LN(1-$H$11)-LN(60/$E$11)-LN(MIN(D1624,$F$11))))</f>
        <v>-192.46966928488601</v>
      </c>
      <c r="F1624" s="1">
        <f t="shared" si="149"/>
        <v>-194.47170209408506</v>
      </c>
      <c r="G1624" s="1">
        <f t="shared" ref="G1624:G1687" si="153">EXP(F1624)</f>
        <v>3.4834765732653325E-85</v>
      </c>
      <c r="H1624" s="1">
        <f t="shared" si="150"/>
        <v>3.4192859411414259E-86</v>
      </c>
      <c r="I1624">
        <f>IF($F$11&lt;=D1624, IF(D1624&lt;=$A$15,D1624-$F$11,$C$11),0)</f>
        <v>60</v>
      </c>
      <c r="J1624">
        <f t="shared" si="151"/>
        <v>1537</v>
      </c>
      <c r="K1624" s="5">
        <f>IF(D1624&lt;$F$11,H1624,0)</f>
        <v>0</v>
      </c>
      <c r="L1624">
        <f>IF(D1624&lt;$A$15,$D$11,$D$11*(1-$H$11))</f>
        <v>85</v>
      </c>
      <c r="M1624">
        <f t="shared" si="152"/>
        <v>1</v>
      </c>
      <c r="N1624">
        <f>IF(SUM(I1624:J1624)&lt;=($G$11/60*$F$11/($E$11/60)),1,0)</f>
        <v>0</v>
      </c>
    </row>
    <row r="1625" spans="4:14" x14ac:dyDescent="0.2">
      <c r="D1625">
        <f t="shared" ref="D1625:D1688" si="154">1+D1624</f>
        <v>1602</v>
      </c>
      <c r="E1625" s="1">
        <f>IF($H$11=1,IF(D1625&lt;=$A$15, E1624+LN($D$11)-LN(60/$E$11)-LN(MIN(D1625,$F$11)), E1624-LN(60/$E$11)-LN(MIN(D1625,$F$11))), IF(D1625&lt;=$A$15, E1624+LN($D$11)-LN(60/$E$11)-LN(MIN(D1625,$F$11)), E1624+LN($D$11)+LN(1-$H$11)-LN(60/$E$11)-LN(MIN(D1625,$F$11))))</f>
        <v>-192.59136621986354</v>
      </c>
      <c r="F1625" s="1">
        <f t="shared" ref="F1625:F1688" si="155">E1625-$E$21</f>
        <v>-194.5933990290626</v>
      </c>
      <c r="G1625" s="1">
        <f t="shared" si="153"/>
        <v>3.0843282159119652E-85</v>
      </c>
      <c r="H1625" s="1">
        <f t="shared" si="150"/>
        <v>3.0274927603855907E-86</v>
      </c>
      <c r="I1625">
        <f>IF($F$11&lt;=D1625, IF(D1625&lt;=$A$15,D1625-$F$11,$C$11),0)</f>
        <v>60</v>
      </c>
      <c r="J1625">
        <f t="shared" si="151"/>
        <v>1538</v>
      </c>
      <c r="K1625" s="5">
        <f>IF(D1625&lt;$F$11,H1625,0)</f>
        <v>0</v>
      </c>
      <c r="L1625">
        <f>IF(D1625&lt;$A$15,$D$11,$D$11*(1-$H$11))</f>
        <v>85</v>
      </c>
      <c r="M1625">
        <f t="shared" si="152"/>
        <v>1</v>
      </c>
      <c r="N1625">
        <f>IF(SUM(I1625:J1625)&lt;=($G$11/60*$F$11/($E$11/60)),1,0)</f>
        <v>0</v>
      </c>
    </row>
    <row r="1626" spans="4:14" x14ac:dyDescent="0.2">
      <c r="D1626">
        <f t="shared" si="154"/>
        <v>1603</v>
      </c>
      <c r="E1626" s="1">
        <f>IF($H$11=1,IF(D1626&lt;=$A$15, E1625+LN($D$11)-LN(60/$E$11)-LN(MIN(D1626,$F$11)), E1625-LN(60/$E$11)-LN(MIN(D1626,$F$11))), IF(D1626&lt;=$A$15, E1625+LN($D$11)-LN(60/$E$11)-LN(MIN(D1626,$F$11)), E1625+LN($D$11)+LN(1-$H$11)-LN(60/$E$11)-LN(MIN(D1626,$F$11))))</f>
        <v>-192.71306315484108</v>
      </c>
      <c r="F1626" s="1">
        <f t="shared" si="155"/>
        <v>-194.71509596404013</v>
      </c>
      <c r="G1626" s="1">
        <f t="shared" si="153"/>
        <v>2.730915607838676E-85</v>
      </c>
      <c r="H1626" s="1">
        <f t="shared" si="150"/>
        <v>2.6805925482580326E-86</v>
      </c>
      <c r="I1626">
        <f>IF($F$11&lt;=D1626, IF(D1626&lt;=$A$15,D1626-$F$11,$C$11),0)</f>
        <v>60</v>
      </c>
      <c r="J1626">
        <f t="shared" si="151"/>
        <v>1539</v>
      </c>
      <c r="K1626" s="5">
        <f>IF(D1626&lt;$F$11,H1626,0)</f>
        <v>0</v>
      </c>
      <c r="L1626">
        <f>IF(D1626&lt;$A$15,$D$11,$D$11*(1-$H$11))</f>
        <v>85</v>
      </c>
      <c r="M1626">
        <f t="shared" si="152"/>
        <v>1</v>
      </c>
      <c r="N1626">
        <f>IF(SUM(I1626:J1626)&lt;=($G$11/60*$F$11/($E$11/60)),1,0)</f>
        <v>0</v>
      </c>
    </row>
    <row r="1627" spans="4:14" x14ac:dyDescent="0.2">
      <c r="D1627">
        <f t="shared" si="154"/>
        <v>1604</v>
      </c>
      <c r="E1627" s="1">
        <f>IF($H$11=1,IF(D1627&lt;=$A$15, E1626+LN($D$11)-LN(60/$E$11)-LN(MIN(D1627,$F$11)), E1626-LN(60/$E$11)-LN(MIN(D1627,$F$11))), IF(D1627&lt;=$A$15, E1626+LN($D$11)-LN(60/$E$11)-LN(MIN(D1627,$F$11)), E1626+LN($D$11)+LN(1-$H$11)-LN(60/$E$11)-LN(MIN(D1627,$F$11))))</f>
        <v>-192.83476008981862</v>
      </c>
      <c r="F1627" s="1">
        <f t="shared" si="155"/>
        <v>-194.83679289901767</v>
      </c>
      <c r="G1627" s="1">
        <f t="shared" si="153"/>
        <v>2.417998194440457E-85</v>
      </c>
      <c r="H1627" s="1">
        <f t="shared" si="150"/>
        <v>2.3734413187700962E-86</v>
      </c>
      <c r="I1627">
        <f>IF($F$11&lt;=D1627, IF(D1627&lt;=$A$15,D1627-$F$11,$C$11),0)</f>
        <v>60</v>
      </c>
      <c r="J1627">
        <f t="shared" si="151"/>
        <v>1540</v>
      </c>
      <c r="K1627" s="5">
        <f>IF(D1627&lt;$F$11,H1627,0)</f>
        <v>0</v>
      </c>
      <c r="L1627">
        <f>IF(D1627&lt;$A$15,$D$11,$D$11*(1-$H$11))</f>
        <v>85</v>
      </c>
      <c r="M1627">
        <f t="shared" si="152"/>
        <v>1</v>
      </c>
      <c r="N1627">
        <f>IF(SUM(I1627:J1627)&lt;=($G$11/60*$F$11/($E$11/60)),1,0)</f>
        <v>0</v>
      </c>
    </row>
    <row r="1628" spans="4:14" x14ac:dyDescent="0.2">
      <c r="D1628">
        <f t="shared" si="154"/>
        <v>1605</v>
      </c>
      <c r="E1628" s="1">
        <f>IF($H$11=1,IF(D1628&lt;=$A$15, E1627+LN($D$11)-LN(60/$E$11)-LN(MIN(D1628,$F$11)), E1627-LN(60/$E$11)-LN(MIN(D1628,$F$11))), IF(D1628&lt;=$A$15, E1627+LN($D$11)-LN(60/$E$11)-LN(MIN(D1628,$F$11)), E1627+LN($D$11)+LN(1-$H$11)-LN(60/$E$11)-LN(MIN(D1628,$F$11))))</f>
        <v>-192.95645702479615</v>
      </c>
      <c r="F1628" s="1">
        <f t="shared" si="155"/>
        <v>-194.9584898339952</v>
      </c>
      <c r="G1628" s="1">
        <f t="shared" si="153"/>
        <v>2.1409359013274544E-85</v>
      </c>
      <c r="H1628" s="1">
        <f t="shared" si="150"/>
        <v>2.1014845009943234E-86</v>
      </c>
      <c r="I1628">
        <f>IF($F$11&lt;=D1628, IF(D1628&lt;=$A$15,D1628-$F$11,$C$11),0)</f>
        <v>60</v>
      </c>
      <c r="J1628">
        <f t="shared" si="151"/>
        <v>1541</v>
      </c>
      <c r="K1628" s="5">
        <f>IF(D1628&lt;$F$11,H1628,0)</f>
        <v>0</v>
      </c>
      <c r="L1628">
        <f>IF(D1628&lt;$A$15,$D$11,$D$11*(1-$H$11))</f>
        <v>85</v>
      </c>
      <c r="M1628">
        <f t="shared" si="152"/>
        <v>1</v>
      </c>
      <c r="N1628">
        <f>IF(SUM(I1628:J1628)&lt;=($G$11/60*$F$11/($E$11/60)),1,0)</f>
        <v>0</v>
      </c>
    </row>
    <row r="1629" spans="4:14" x14ac:dyDescent="0.2">
      <c r="D1629">
        <f t="shared" si="154"/>
        <v>1606</v>
      </c>
      <c r="E1629" s="1">
        <f>IF($H$11=1,IF(D1629&lt;=$A$15, E1628+LN($D$11)-LN(60/$E$11)-LN(MIN(D1629,$F$11)), E1628-LN(60/$E$11)-LN(MIN(D1629,$F$11))), IF(D1629&lt;=$A$15, E1628+LN($D$11)-LN(60/$E$11)-LN(MIN(D1629,$F$11)), E1628+LN($D$11)+LN(1-$H$11)-LN(60/$E$11)-LN(MIN(D1629,$F$11))))</f>
        <v>-193.07815395977369</v>
      </c>
      <c r="F1629" s="1">
        <f t="shared" si="155"/>
        <v>-195.08018676897274</v>
      </c>
      <c r="G1629" s="1">
        <f t="shared" si="153"/>
        <v>1.8956203293003207E-85</v>
      </c>
      <c r="H1629" s="1">
        <f t="shared" si="150"/>
        <v>1.8606894019220281E-86</v>
      </c>
      <c r="I1629">
        <f>IF($F$11&lt;=D1629, IF(D1629&lt;=$A$15,D1629-$F$11,$C$11),0)</f>
        <v>60</v>
      </c>
      <c r="J1629">
        <f t="shared" si="151"/>
        <v>1542</v>
      </c>
      <c r="K1629" s="5">
        <f>IF(D1629&lt;$F$11,H1629,0)</f>
        <v>0</v>
      </c>
      <c r="L1629">
        <f>IF(D1629&lt;$A$15,$D$11,$D$11*(1-$H$11))</f>
        <v>85</v>
      </c>
      <c r="M1629">
        <f t="shared" si="152"/>
        <v>1</v>
      </c>
      <c r="N1629">
        <f>IF(SUM(I1629:J1629)&lt;=($G$11/60*$F$11/($E$11/60)),1,0)</f>
        <v>0</v>
      </c>
    </row>
    <row r="1630" spans="4:14" x14ac:dyDescent="0.2">
      <c r="D1630">
        <f t="shared" si="154"/>
        <v>1607</v>
      </c>
      <c r="E1630" s="1">
        <f>IF($H$11=1,IF(D1630&lt;=$A$15, E1629+LN($D$11)-LN(60/$E$11)-LN(MIN(D1630,$F$11)), E1629-LN(60/$E$11)-LN(MIN(D1630,$F$11))), IF(D1630&lt;=$A$15, E1629+LN($D$11)-LN(60/$E$11)-LN(MIN(D1630,$F$11)), E1629+LN($D$11)+LN(1-$H$11)-LN(60/$E$11)-LN(MIN(D1630,$F$11))))</f>
        <v>-193.19985089475122</v>
      </c>
      <c r="F1630" s="1">
        <f t="shared" si="155"/>
        <v>-195.20188370395027</v>
      </c>
      <c r="G1630" s="1">
        <f t="shared" si="153"/>
        <v>1.6784138332346327E-85</v>
      </c>
      <c r="H1630" s="1">
        <f t="shared" si="150"/>
        <v>1.6474854079517698E-86</v>
      </c>
      <c r="I1630">
        <f>IF($F$11&lt;=D1630, IF(D1630&lt;=$A$15,D1630-$F$11,$C$11),0)</f>
        <v>60</v>
      </c>
      <c r="J1630">
        <f t="shared" si="151"/>
        <v>1543</v>
      </c>
      <c r="K1630" s="5">
        <f>IF(D1630&lt;$F$11,H1630,0)</f>
        <v>0</v>
      </c>
      <c r="L1630">
        <f>IF(D1630&lt;$A$15,$D$11,$D$11*(1-$H$11))</f>
        <v>85</v>
      </c>
      <c r="M1630">
        <f t="shared" si="152"/>
        <v>1</v>
      </c>
      <c r="N1630">
        <f>IF(SUM(I1630:J1630)&lt;=($G$11/60*$F$11/($E$11/60)),1,0)</f>
        <v>0</v>
      </c>
    </row>
    <row r="1631" spans="4:14" x14ac:dyDescent="0.2">
      <c r="D1631">
        <f t="shared" si="154"/>
        <v>1608</v>
      </c>
      <c r="E1631" s="1">
        <f>IF($H$11=1,IF(D1631&lt;=$A$15, E1630+LN($D$11)-LN(60/$E$11)-LN(MIN(D1631,$F$11)), E1630-LN(60/$E$11)-LN(MIN(D1631,$F$11))), IF(D1631&lt;=$A$15, E1630+LN($D$11)-LN(60/$E$11)-LN(MIN(D1631,$F$11)), E1630+LN($D$11)+LN(1-$H$11)-LN(60/$E$11)-LN(MIN(D1631,$F$11))))</f>
        <v>-193.32154782972876</v>
      </c>
      <c r="F1631" s="1">
        <f t="shared" si="155"/>
        <v>-195.32358063892781</v>
      </c>
      <c r="G1631" s="1">
        <f t="shared" si="153"/>
        <v>1.4860955815098078E-85</v>
      </c>
      <c r="H1631" s="1">
        <f t="shared" si="150"/>
        <v>1.4587110382906067E-86</v>
      </c>
      <c r="I1631">
        <f>IF($F$11&lt;=D1631, IF(D1631&lt;=$A$15,D1631-$F$11,$C$11),0)</f>
        <v>60</v>
      </c>
      <c r="J1631">
        <f t="shared" si="151"/>
        <v>1544</v>
      </c>
      <c r="K1631" s="5">
        <f>IF(D1631&lt;$F$11,H1631,0)</f>
        <v>0</v>
      </c>
      <c r="L1631">
        <f>IF(D1631&lt;$A$15,$D$11,$D$11*(1-$H$11))</f>
        <v>85</v>
      </c>
      <c r="M1631">
        <f t="shared" si="152"/>
        <v>1</v>
      </c>
      <c r="N1631">
        <f>IF(SUM(I1631:J1631)&lt;=($G$11/60*$F$11/($E$11/60)),1,0)</f>
        <v>0</v>
      </c>
    </row>
    <row r="1632" spans="4:14" x14ac:dyDescent="0.2">
      <c r="D1632">
        <f t="shared" si="154"/>
        <v>1609</v>
      </c>
      <c r="E1632" s="1">
        <f>IF($H$11=1,IF(D1632&lt;=$A$15, E1631+LN($D$11)-LN(60/$E$11)-LN(MIN(D1632,$F$11)), E1631-LN(60/$E$11)-LN(MIN(D1632,$F$11))), IF(D1632&lt;=$A$15, E1631+LN($D$11)-LN(60/$E$11)-LN(MIN(D1632,$F$11)), E1631+LN($D$11)+LN(1-$H$11)-LN(60/$E$11)-LN(MIN(D1632,$F$11))))</f>
        <v>-193.44324476470629</v>
      </c>
      <c r="F1632" s="1">
        <f t="shared" si="155"/>
        <v>-195.44527757390534</v>
      </c>
      <c r="G1632" s="1">
        <f t="shared" si="153"/>
        <v>1.3158137961284549E-85</v>
      </c>
      <c r="H1632" s="1">
        <f t="shared" si="150"/>
        <v>1.2915670651531211E-86</v>
      </c>
      <c r="I1632">
        <f>IF($F$11&lt;=D1632, IF(D1632&lt;=$A$15,D1632-$F$11,$C$11),0)</f>
        <v>60</v>
      </c>
      <c r="J1632">
        <f t="shared" si="151"/>
        <v>1545</v>
      </c>
      <c r="K1632" s="5">
        <f>IF(D1632&lt;$F$11,H1632,0)</f>
        <v>0</v>
      </c>
      <c r="L1632">
        <f>IF(D1632&lt;$A$15,$D$11,$D$11*(1-$H$11))</f>
        <v>85</v>
      </c>
      <c r="M1632">
        <f t="shared" si="152"/>
        <v>1</v>
      </c>
      <c r="N1632">
        <f>IF(SUM(I1632:J1632)&lt;=($G$11/60*$F$11/($E$11/60)),1,0)</f>
        <v>0</v>
      </c>
    </row>
    <row r="1633" spans="4:14" x14ac:dyDescent="0.2">
      <c r="D1633">
        <f t="shared" si="154"/>
        <v>1610</v>
      </c>
      <c r="E1633" s="1">
        <f>IF($H$11=1,IF(D1633&lt;=$A$15, E1632+LN($D$11)-LN(60/$E$11)-LN(MIN(D1633,$F$11)), E1632-LN(60/$E$11)-LN(MIN(D1633,$F$11))), IF(D1633&lt;=$A$15, E1632+LN($D$11)-LN(60/$E$11)-LN(MIN(D1633,$F$11)), E1632+LN($D$11)+LN(1-$H$11)-LN(60/$E$11)-LN(MIN(D1633,$F$11))))</f>
        <v>-193.56494169968383</v>
      </c>
      <c r="F1633" s="1">
        <f t="shared" si="155"/>
        <v>-195.56697450888288</v>
      </c>
      <c r="G1633" s="1">
        <f t="shared" si="153"/>
        <v>1.1650434653220513E-85</v>
      </c>
      <c r="H1633" s="1">
        <f t="shared" si="150"/>
        <v>1.1435750056043081E-86</v>
      </c>
      <c r="I1633">
        <f>IF($F$11&lt;=D1633, IF(D1633&lt;=$A$15,D1633-$F$11,$C$11),0)</f>
        <v>60</v>
      </c>
      <c r="J1633">
        <f t="shared" si="151"/>
        <v>1546</v>
      </c>
      <c r="K1633" s="5">
        <f>IF(D1633&lt;$F$11,H1633,0)</f>
        <v>0</v>
      </c>
      <c r="L1633">
        <f>IF(D1633&lt;$A$15,$D$11,$D$11*(1-$H$11))</f>
        <v>85</v>
      </c>
      <c r="M1633">
        <f t="shared" si="152"/>
        <v>1</v>
      </c>
      <c r="N1633">
        <f>IF(SUM(I1633:J1633)&lt;=($G$11/60*$F$11/($E$11/60)),1,0)</f>
        <v>0</v>
      </c>
    </row>
    <row r="1634" spans="4:14" x14ac:dyDescent="0.2">
      <c r="D1634">
        <f t="shared" si="154"/>
        <v>1611</v>
      </c>
      <c r="E1634" s="1">
        <f>IF($H$11=1,IF(D1634&lt;=$A$15, E1633+LN($D$11)-LN(60/$E$11)-LN(MIN(D1634,$F$11)), E1633-LN(60/$E$11)-LN(MIN(D1634,$F$11))), IF(D1634&lt;=$A$15, E1633+LN($D$11)-LN(60/$E$11)-LN(MIN(D1634,$F$11)), E1633+LN($D$11)+LN(1-$H$11)-LN(60/$E$11)-LN(MIN(D1634,$F$11))))</f>
        <v>-193.68663863466136</v>
      </c>
      <c r="F1634" s="1">
        <f t="shared" si="155"/>
        <v>-195.68867144386041</v>
      </c>
      <c r="G1634" s="1">
        <f t="shared" si="153"/>
        <v>1.0315489015872168E-85</v>
      </c>
      <c r="H1634" s="1">
        <f t="shared" si="150"/>
        <v>1.0125403695454653E-86</v>
      </c>
      <c r="I1634">
        <f>IF($F$11&lt;=D1634, IF(D1634&lt;=$A$15,D1634-$F$11,$C$11),0)</f>
        <v>60</v>
      </c>
      <c r="J1634">
        <f t="shared" si="151"/>
        <v>1547</v>
      </c>
      <c r="K1634" s="5">
        <f>IF(D1634&lt;$F$11,H1634,0)</f>
        <v>0</v>
      </c>
      <c r="L1634">
        <f>IF(D1634&lt;$A$15,$D$11,$D$11*(1-$H$11))</f>
        <v>85</v>
      </c>
      <c r="M1634">
        <f t="shared" si="152"/>
        <v>1</v>
      </c>
      <c r="N1634">
        <f>IF(SUM(I1634:J1634)&lt;=($G$11/60*$F$11/($E$11/60)),1,0)</f>
        <v>0</v>
      </c>
    </row>
    <row r="1635" spans="4:14" x14ac:dyDescent="0.2">
      <c r="D1635">
        <f t="shared" si="154"/>
        <v>1612</v>
      </c>
      <c r="E1635" s="1">
        <f>IF($H$11=1,IF(D1635&lt;=$A$15, E1634+LN($D$11)-LN(60/$E$11)-LN(MIN(D1635,$F$11)), E1634-LN(60/$E$11)-LN(MIN(D1635,$F$11))), IF(D1635&lt;=$A$15, E1634+LN($D$11)-LN(60/$E$11)-LN(MIN(D1635,$F$11)), E1634+LN($D$11)+LN(1-$H$11)-LN(60/$E$11)-LN(MIN(D1635,$F$11))))</f>
        <v>-193.8083355696389</v>
      </c>
      <c r="F1635" s="1">
        <f t="shared" si="155"/>
        <v>-195.81036837883795</v>
      </c>
      <c r="G1635" s="1">
        <f t="shared" si="153"/>
        <v>9.1335058994700053E-86</v>
      </c>
      <c r="H1635" s="1">
        <f t="shared" si="150"/>
        <v>8.9652011886836672E-87</v>
      </c>
      <c r="I1635">
        <f>IF($F$11&lt;=D1635, IF(D1635&lt;=$A$15,D1635-$F$11,$C$11),0)</f>
        <v>60</v>
      </c>
      <c r="J1635">
        <f t="shared" si="151"/>
        <v>1548</v>
      </c>
      <c r="K1635" s="5">
        <f>IF(D1635&lt;$F$11,H1635,0)</f>
        <v>0</v>
      </c>
      <c r="L1635">
        <f>IF(D1635&lt;$A$15,$D$11,$D$11*(1-$H$11))</f>
        <v>85</v>
      </c>
      <c r="M1635">
        <f t="shared" si="152"/>
        <v>1</v>
      </c>
      <c r="N1635">
        <f>IF(SUM(I1635:J1635)&lt;=($G$11/60*$F$11/($E$11/60)),1,0)</f>
        <v>0</v>
      </c>
    </row>
    <row r="1636" spans="4:14" x14ac:dyDescent="0.2">
      <c r="D1636">
        <f t="shared" si="154"/>
        <v>1613</v>
      </c>
      <c r="E1636" s="1">
        <f>IF($H$11=1,IF(D1636&lt;=$A$15, E1635+LN($D$11)-LN(60/$E$11)-LN(MIN(D1636,$F$11)), E1635-LN(60/$E$11)-LN(MIN(D1636,$F$11))), IF(D1636&lt;=$A$15, E1635+LN($D$11)-LN(60/$E$11)-LN(MIN(D1636,$F$11)), E1635+LN($D$11)+LN(1-$H$11)-LN(60/$E$11)-LN(MIN(D1636,$F$11))))</f>
        <v>-193.93003250461643</v>
      </c>
      <c r="F1636" s="1">
        <f t="shared" si="155"/>
        <v>-195.93206531381549</v>
      </c>
      <c r="G1636" s="1">
        <f t="shared" si="153"/>
        <v>8.0869583484889411E-86</v>
      </c>
      <c r="H1636" s="1">
        <f t="shared" si="150"/>
        <v>7.9379385524802063E-87</v>
      </c>
      <c r="I1636">
        <f>IF($F$11&lt;=D1636, IF(D1636&lt;=$A$15,D1636-$F$11,$C$11),0)</f>
        <v>60</v>
      </c>
      <c r="J1636">
        <f t="shared" si="151"/>
        <v>1549</v>
      </c>
      <c r="K1636" s="5">
        <f>IF(D1636&lt;$F$11,H1636,0)</f>
        <v>0</v>
      </c>
      <c r="L1636">
        <f>IF(D1636&lt;$A$15,$D$11,$D$11*(1-$H$11))</f>
        <v>85</v>
      </c>
      <c r="M1636">
        <f t="shared" si="152"/>
        <v>1</v>
      </c>
      <c r="N1636">
        <f>IF(SUM(I1636:J1636)&lt;=($G$11/60*$F$11/($E$11/60)),1,0)</f>
        <v>0</v>
      </c>
    </row>
    <row r="1637" spans="4:14" x14ac:dyDescent="0.2">
      <c r="D1637">
        <f t="shared" si="154"/>
        <v>1614</v>
      </c>
      <c r="E1637" s="1">
        <f>IF($H$11=1,IF(D1637&lt;=$A$15, E1636+LN($D$11)-LN(60/$E$11)-LN(MIN(D1637,$F$11)), E1636-LN(60/$E$11)-LN(MIN(D1637,$F$11))), IF(D1637&lt;=$A$15, E1636+LN($D$11)-LN(60/$E$11)-LN(MIN(D1637,$F$11)), E1636+LN($D$11)+LN(1-$H$11)-LN(60/$E$11)-LN(MIN(D1637,$F$11))))</f>
        <v>-194.05172943959397</v>
      </c>
      <c r="F1637" s="1">
        <f t="shared" si="155"/>
        <v>-196.05376224879302</v>
      </c>
      <c r="G1637" s="1">
        <f t="shared" si="153"/>
        <v>7.1603277043911382E-86</v>
      </c>
      <c r="H1637" s="1">
        <f t="shared" si="150"/>
        <v>7.0283830933417393E-87</v>
      </c>
      <c r="I1637">
        <f>IF($F$11&lt;=D1637, IF(D1637&lt;=$A$15,D1637-$F$11,$C$11),0)</f>
        <v>60</v>
      </c>
      <c r="J1637">
        <f t="shared" si="151"/>
        <v>1550</v>
      </c>
      <c r="K1637" s="5">
        <f>IF(D1637&lt;$F$11,H1637,0)</f>
        <v>0</v>
      </c>
      <c r="L1637">
        <f>IF(D1637&lt;$A$15,$D$11,$D$11*(1-$H$11))</f>
        <v>85</v>
      </c>
      <c r="M1637">
        <f t="shared" si="152"/>
        <v>1</v>
      </c>
      <c r="N1637">
        <f>IF(SUM(I1637:J1637)&lt;=($G$11/60*$F$11/($E$11/60)),1,0)</f>
        <v>0</v>
      </c>
    </row>
    <row r="1638" spans="4:14" x14ac:dyDescent="0.2">
      <c r="D1638">
        <f t="shared" si="154"/>
        <v>1615</v>
      </c>
      <c r="E1638" s="1">
        <f>IF($H$11=1,IF(D1638&lt;=$A$15, E1637+LN($D$11)-LN(60/$E$11)-LN(MIN(D1638,$F$11)), E1637-LN(60/$E$11)-LN(MIN(D1638,$F$11))), IF(D1638&lt;=$A$15, E1637+LN($D$11)-LN(60/$E$11)-LN(MIN(D1638,$F$11)), E1637+LN($D$11)+LN(1-$H$11)-LN(60/$E$11)-LN(MIN(D1638,$F$11))))</f>
        <v>-194.17342637457151</v>
      </c>
      <c r="F1638" s="1">
        <f t="shared" si="155"/>
        <v>-196.17545918377056</v>
      </c>
      <c r="G1638" s="1">
        <f t="shared" si="153"/>
        <v>6.3398734882628877E-86</v>
      </c>
      <c r="H1638" s="1">
        <f t="shared" si="150"/>
        <v>6.2230475305629011E-87</v>
      </c>
      <c r="I1638">
        <f>IF($F$11&lt;=D1638, IF(D1638&lt;=$A$15,D1638-$F$11,$C$11),0)</f>
        <v>60</v>
      </c>
      <c r="J1638">
        <f t="shared" si="151"/>
        <v>1551</v>
      </c>
      <c r="K1638" s="5">
        <f>IF(D1638&lt;$F$11,H1638,0)</f>
        <v>0</v>
      </c>
      <c r="L1638">
        <f>IF(D1638&lt;$A$15,$D$11,$D$11*(1-$H$11))</f>
        <v>85</v>
      </c>
      <c r="M1638">
        <f t="shared" si="152"/>
        <v>1</v>
      </c>
      <c r="N1638">
        <f>IF(SUM(I1638:J1638)&lt;=($G$11/60*$F$11/($E$11/60)),1,0)</f>
        <v>0</v>
      </c>
    </row>
    <row r="1639" spans="4:14" x14ac:dyDescent="0.2">
      <c r="D1639">
        <f t="shared" si="154"/>
        <v>1616</v>
      </c>
      <c r="E1639" s="1">
        <f>IF($H$11=1,IF(D1639&lt;=$A$15, E1638+LN($D$11)-LN(60/$E$11)-LN(MIN(D1639,$F$11)), E1638-LN(60/$E$11)-LN(MIN(D1639,$F$11))), IF(D1639&lt;=$A$15, E1638+LN($D$11)-LN(60/$E$11)-LN(MIN(D1639,$F$11)), E1638+LN($D$11)+LN(1-$H$11)-LN(60/$E$11)-LN(MIN(D1639,$F$11))))</f>
        <v>-194.29512330954904</v>
      </c>
      <c r="F1639" s="1">
        <f t="shared" si="155"/>
        <v>-196.29715611874809</v>
      </c>
      <c r="G1639" s="1">
        <f t="shared" si="153"/>
        <v>5.6134296510660105E-86</v>
      </c>
      <c r="H1639" s="1">
        <f t="shared" si="150"/>
        <v>5.5099900010191485E-87</v>
      </c>
      <c r="I1639">
        <f>IF($F$11&lt;=D1639, IF(D1639&lt;=$A$15,D1639-$F$11,$C$11),0)</f>
        <v>60</v>
      </c>
      <c r="J1639">
        <f t="shared" si="151"/>
        <v>1552</v>
      </c>
      <c r="K1639" s="5">
        <f>IF(D1639&lt;$F$11,H1639,0)</f>
        <v>0</v>
      </c>
      <c r="L1639">
        <f>IF(D1639&lt;$A$15,$D$11,$D$11*(1-$H$11))</f>
        <v>85</v>
      </c>
      <c r="M1639">
        <f t="shared" si="152"/>
        <v>1</v>
      </c>
      <c r="N1639">
        <f>IF(SUM(I1639:J1639)&lt;=($G$11/60*$F$11/($E$11/60)),1,0)</f>
        <v>0</v>
      </c>
    </row>
    <row r="1640" spans="4:14" x14ac:dyDescent="0.2">
      <c r="D1640">
        <f t="shared" si="154"/>
        <v>1617</v>
      </c>
      <c r="E1640" s="1">
        <f>IF($H$11=1,IF(D1640&lt;=$A$15, E1639+LN($D$11)-LN(60/$E$11)-LN(MIN(D1640,$F$11)), E1639-LN(60/$E$11)-LN(MIN(D1640,$F$11))), IF(D1640&lt;=$A$15, E1639+LN($D$11)-LN(60/$E$11)-LN(MIN(D1640,$F$11)), E1639+LN($D$11)+LN(1-$H$11)-LN(60/$E$11)-LN(MIN(D1640,$F$11))))</f>
        <v>-194.41682024452658</v>
      </c>
      <c r="F1640" s="1">
        <f t="shared" si="155"/>
        <v>-196.41885305372563</v>
      </c>
      <c r="G1640" s="1">
        <f t="shared" si="153"/>
        <v>4.9702241702146194E-86</v>
      </c>
      <c r="H1640" s="1">
        <f t="shared" si="150"/>
        <v>4.8786369800689617E-87</v>
      </c>
      <c r="I1640">
        <f>IF($F$11&lt;=D1640, IF(D1640&lt;=$A$15,D1640-$F$11,$C$11),0)</f>
        <v>60</v>
      </c>
      <c r="J1640">
        <f t="shared" si="151"/>
        <v>1553</v>
      </c>
      <c r="K1640" s="5">
        <f>IF(D1640&lt;$F$11,H1640,0)</f>
        <v>0</v>
      </c>
      <c r="L1640">
        <f>IF(D1640&lt;$A$15,$D$11,$D$11*(1-$H$11))</f>
        <v>85</v>
      </c>
      <c r="M1640">
        <f t="shared" si="152"/>
        <v>1</v>
      </c>
      <c r="N1640">
        <f>IF(SUM(I1640:J1640)&lt;=($G$11/60*$F$11/($E$11/60)),1,0)</f>
        <v>0</v>
      </c>
    </row>
    <row r="1641" spans="4:14" x14ac:dyDescent="0.2">
      <c r="D1641">
        <f t="shared" si="154"/>
        <v>1618</v>
      </c>
      <c r="E1641" s="1">
        <f>IF($H$11=1,IF(D1641&lt;=$A$15, E1640+LN($D$11)-LN(60/$E$11)-LN(MIN(D1641,$F$11)), E1640-LN(60/$E$11)-LN(MIN(D1641,$F$11))), IF(D1641&lt;=$A$15, E1640+LN($D$11)-LN(60/$E$11)-LN(MIN(D1641,$F$11)), E1640+LN($D$11)+LN(1-$H$11)-LN(60/$E$11)-LN(MIN(D1641,$F$11))))</f>
        <v>-194.53851717950411</v>
      </c>
      <c r="F1641" s="1">
        <f t="shared" si="155"/>
        <v>-196.54054998870316</v>
      </c>
      <c r="G1641" s="1">
        <f t="shared" si="153"/>
        <v>4.4007193173774589E-86</v>
      </c>
      <c r="H1641" s="1">
        <f t="shared" si="150"/>
        <v>4.3196264927693257E-87</v>
      </c>
      <c r="I1641">
        <f>IF($F$11&lt;=D1641, IF(D1641&lt;=$A$15,D1641-$F$11,$C$11),0)</f>
        <v>60</v>
      </c>
      <c r="J1641">
        <f t="shared" si="151"/>
        <v>1554</v>
      </c>
      <c r="K1641" s="5">
        <f>IF(D1641&lt;$F$11,H1641,0)</f>
        <v>0</v>
      </c>
      <c r="L1641">
        <f>IF(D1641&lt;$A$15,$D$11,$D$11*(1-$H$11))</f>
        <v>85</v>
      </c>
      <c r="M1641">
        <f t="shared" si="152"/>
        <v>1</v>
      </c>
      <c r="N1641">
        <f>IF(SUM(I1641:J1641)&lt;=($G$11/60*$F$11/($E$11/60)),1,0)</f>
        <v>0</v>
      </c>
    </row>
    <row r="1642" spans="4:14" x14ac:dyDescent="0.2">
      <c r="D1642">
        <f t="shared" si="154"/>
        <v>1619</v>
      </c>
      <c r="E1642" s="1">
        <f>IF($H$11=1,IF(D1642&lt;=$A$15, E1641+LN($D$11)-LN(60/$E$11)-LN(MIN(D1642,$F$11)), E1641-LN(60/$E$11)-LN(MIN(D1642,$F$11))), IF(D1642&lt;=$A$15, E1641+LN($D$11)-LN(60/$E$11)-LN(MIN(D1642,$F$11)), E1641+LN($D$11)+LN(1-$H$11)-LN(60/$E$11)-LN(MIN(D1642,$F$11))))</f>
        <v>-194.66021411448165</v>
      </c>
      <c r="F1642" s="1">
        <f t="shared" si="155"/>
        <v>-196.6622469236807</v>
      </c>
      <c r="G1642" s="1">
        <f t="shared" si="153"/>
        <v>3.8964702289278974E-86</v>
      </c>
      <c r="H1642" s="1">
        <f t="shared" si="150"/>
        <v>3.8246692904727809E-87</v>
      </c>
      <c r="I1642">
        <f>IF($F$11&lt;=D1642, IF(D1642&lt;=$A$15,D1642-$F$11,$C$11),0)</f>
        <v>60</v>
      </c>
      <c r="J1642">
        <f t="shared" si="151"/>
        <v>1555</v>
      </c>
      <c r="K1642" s="5">
        <f>IF(D1642&lt;$F$11,H1642,0)</f>
        <v>0</v>
      </c>
      <c r="L1642">
        <f>IF(D1642&lt;$A$15,$D$11,$D$11*(1-$H$11))</f>
        <v>85</v>
      </c>
      <c r="M1642">
        <f t="shared" si="152"/>
        <v>1</v>
      </c>
      <c r="N1642">
        <f>IF(SUM(I1642:J1642)&lt;=($G$11/60*$F$11/($E$11/60)),1,0)</f>
        <v>0</v>
      </c>
    </row>
    <row r="1643" spans="4:14" x14ac:dyDescent="0.2">
      <c r="D1643">
        <f t="shared" si="154"/>
        <v>1620</v>
      </c>
      <c r="E1643" s="1">
        <f>IF($H$11=1,IF(D1643&lt;=$A$15, E1642+LN($D$11)-LN(60/$E$11)-LN(MIN(D1643,$F$11)), E1642-LN(60/$E$11)-LN(MIN(D1643,$F$11))), IF(D1643&lt;=$A$15, E1642+LN($D$11)-LN(60/$E$11)-LN(MIN(D1643,$F$11)), E1642+LN($D$11)+LN(1-$H$11)-LN(60/$E$11)-LN(MIN(D1643,$F$11))))</f>
        <v>-194.78191104945918</v>
      </c>
      <c r="F1643" s="1">
        <f t="shared" si="155"/>
        <v>-196.78394385865823</v>
      </c>
      <c r="G1643" s="1">
        <f t="shared" si="153"/>
        <v>3.4499996818631881E-86</v>
      </c>
      <c r="H1643" s="1">
        <f t="shared" si="150"/>
        <v>3.3864259342727213E-87</v>
      </c>
      <c r="I1643">
        <f>IF($F$11&lt;=D1643, IF(D1643&lt;=$A$15,D1643-$F$11,$C$11),0)</f>
        <v>60</v>
      </c>
      <c r="J1643">
        <f t="shared" si="151"/>
        <v>1556</v>
      </c>
      <c r="K1643" s="5">
        <f>IF(D1643&lt;$F$11,H1643,0)</f>
        <v>0</v>
      </c>
      <c r="L1643">
        <f>IF(D1643&lt;$A$15,$D$11,$D$11*(1-$H$11))</f>
        <v>85</v>
      </c>
      <c r="M1643">
        <f t="shared" si="152"/>
        <v>1</v>
      </c>
      <c r="N1643">
        <f>IF(SUM(I1643:J1643)&lt;=($G$11/60*$F$11/($E$11/60)),1,0)</f>
        <v>0</v>
      </c>
    </row>
    <row r="1644" spans="4:14" x14ac:dyDescent="0.2">
      <c r="D1644">
        <f t="shared" si="154"/>
        <v>1621</v>
      </c>
      <c r="E1644" s="1">
        <f>IF($H$11=1,IF(D1644&lt;=$A$15, E1643+LN($D$11)-LN(60/$E$11)-LN(MIN(D1644,$F$11)), E1643-LN(60/$E$11)-LN(MIN(D1644,$F$11))), IF(D1644&lt;=$A$15, E1643+LN($D$11)-LN(60/$E$11)-LN(MIN(D1644,$F$11)), E1643+LN($D$11)+LN(1-$H$11)-LN(60/$E$11)-LN(MIN(D1644,$F$11))))</f>
        <v>-194.90360798443672</v>
      </c>
      <c r="F1644" s="1">
        <f t="shared" si="155"/>
        <v>-196.90564079363577</v>
      </c>
      <c r="G1644" s="1">
        <f t="shared" si="153"/>
        <v>3.0546872183163171E-86</v>
      </c>
      <c r="H1644" s="1">
        <f t="shared" si="150"/>
        <v>2.998397962637259E-87</v>
      </c>
      <c r="I1644">
        <f>IF($F$11&lt;=D1644, IF(D1644&lt;=$A$15,D1644-$F$11,$C$11),0)</f>
        <v>60</v>
      </c>
      <c r="J1644">
        <f t="shared" si="151"/>
        <v>1557</v>
      </c>
      <c r="K1644" s="5">
        <f>IF(D1644&lt;$F$11,H1644,0)</f>
        <v>0</v>
      </c>
      <c r="L1644">
        <f>IF(D1644&lt;$A$15,$D$11,$D$11*(1-$H$11))</f>
        <v>85</v>
      </c>
      <c r="M1644">
        <f t="shared" si="152"/>
        <v>1</v>
      </c>
      <c r="N1644">
        <f>IF(SUM(I1644:J1644)&lt;=($G$11/60*$F$11/($E$11/60)),1,0)</f>
        <v>0</v>
      </c>
    </row>
    <row r="1645" spans="4:14" x14ac:dyDescent="0.2">
      <c r="D1645">
        <f t="shared" si="154"/>
        <v>1622</v>
      </c>
      <c r="E1645" s="1">
        <f>IF($H$11=1,IF(D1645&lt;=$A$15, E1644+LN($D$11)-LN(60/$E$11)-LN(MIN(D1645,$F$11)), E1644-LN(60/$E$11)-LN(MIN(D1645,$F$11))), IF(D1645&lt;=$A$15, E1644+LN($D$11)-LN(60/$E$11)-LN(MIN(D1645,$F$11)), E1644+LN($D$11)+LN(1-$H$11)-LN(60/$E$11)-LN(MIN(D1645,$F$11))))</f>
        <v>-195.02530491941425</v>
      </c>
      <c r="F1645" s="1">
        <f t="shared" si="155"/>
        <v>-197.0273377286133</v>
      </c>
      <c r="G1645" s="1">
        <f t="shared" si="153"/>
        <v>2.7046709745508636E-86</v>
      </c>
      <c r="H1645" s="1">
        <f t="shared" si="150"/>
        <v>2.6548315294183648E-87</v>
      </c>
      <c r="I1645">
        <f>IF($F$11&lt;=D1645, IF(D1645&lt;=$A$15,D1645-$F$11,$C$11),0)</f>
        <v>60</v>
      </c>
      <c r="J1645">
        <f t="shared" si="151"/>
        <v>1558</v>
      </c>
      <c r="K1645" s="5">
        <f>IF(D1645&lt;$F$11,H1645,0)</f>
        <v>0</v>
      </c>
      <c r="L1645">
        <f>IF(D1645&lt;$A$15,$D$11,$D$11*(1-$H$11))</f>
        <v>85</v>
      </c>
      <c r="M1645">
        <f t="shared" si="152"/>
        <v>1</v>
      </c>
      <c r="N1645">
        <f>IF(SUM(I1645:J1645)&lt;=($G$11/60*$F$11/($E$11/60)),1,0)</f>
        <v>0</v>
      </c>
    </row>
    <row r="1646" spans="4:14" x14ac:dyDescent="0.2">
      <c r="D1646">
        <f t="shared" si="154"/>
        <v>1623</v>
      </c>
      <c r="E1646" s="1">
        <f>IF($H$11=1,IF(D1646&lt;=$A$15, E1645+LN($D$11)-LN(60/$E$11)-LN(MIN(D1646,$F$11)), E1645-LN(60/$E$11)-LN(MIN(D1646,$F$11))), IF(D1646&lt;=$A$15, E1645+LN($D$11)-LN(60/$E$11)-LN(MIN(D1646,$F$11)), E1645+LN($D$11)+LN(1-$H$11)-LN(60/$E$11)-LN(MIN(D1646,$F$11))))</f>
        <v>-195.14700185439179</v>
      </c>
      <c r="F1646" s="1">
        <f t="shared" si="155"/>
        <v>-197.14903466359084</v>
      </c>
      <c r="G1646" s="1">
        <f t="shared" si="153"/>
        <v>2.3947607587168727E-86</v>
      </c>
      <c r="H1646" s="1">
        <f t="shared" si="150"/>
        <v>2.35063208333914E-87</v>
      </c>
      <c r="I1646">
        <f>IF($F$11&lt;=D1646, IF(D1646&lt;=$A$15,D1646-$F$11,$C$11),0)</f>
        <v>60</v>
      </c>
      <c r="J1646">
        <f t="shared" si="151"/>
        <v>1559</v>
      </c>
      <c r="K1646" s="5">
        <f>IF(D1646&lt;$F$11,H1646,0)</f>
        <v>0</v>
      </c>
      <c r="L1646">
        <f>IF(D1646&lt;$A$15,$D$11,$D$11*(1-$H$11))</f>
        <v>85</v>
      </c>
      <c r="M1646">
        <f t="shared" si="152"/>
        <v>1</v>
      </c>
      <c r="N1646">
        <f>IF(SUM(I1646:J1646)&lt;=($G$11/60*$F$11/($E$11/60)),1,0)</f>
        <v>0</v>
      </c>
    </row>
    <row r="1647" spans="4:14" x14ac:dyDescent="0.2">
      <c r="D1647">
        <f t="shared" si="154"/>
        <v>1624</v>
      </c>
      <c r="E1647" s="1">
        <f>IF($H$11=1,IF(D1647&lt;=$A$15, E1646+LN($D$11)-LN(60/$E$11)-LN(MIN(D1647,$F$11)), E1646-LN(60/$E$11)-LN(MIN(D1647,$F$11))), IF(D1647&lt;=$A$15, E1646+LN($D$11)-LN(60/$E$11)-LN(MIN(D1647,$F$11)), E1646+LN($D$11)+LN(1-$H$11)-LN(60/$E$11)-LN(MIN(D1647,$F$11))))</f>
        <v>-195.26869878936932</v>
      </c>
      <c r="F1647" s="1">
        <f t="shared" si="155"/>
        <v>-197.27073159856837</v>
      </c>
      <c r="G1647" s="1">
        <f t="shared" si="153"/>
        <v>2.1203610884471979E-86</v>
      </c>
      <c r="H1647" s="1">
        <f t="shared" si="150"/>
        <v>2.0812888237898313E-87</v>
      </c>
      <c r="I1647">
        <f>IF($F$11&lt;=D1647, IF(D1647&lt;=$A$15,D1647-$F$11,$C$11),0)</f>
        <v>60</v>
      </c>
      <c r="J1647">
        <f t="shared" si="151"/>
        <v>1560</v>
      </c>
      <c r="K1647" s="5">
        <f>IF(D1647&lt;$F$11,H1647,0)</f>
        <v>0</v>
      </c>
      <c r="L1647">
        <f>IF(D1647&lt;$A$15,$D$11,$D$11*(1-$H$11))</f>
        <v>85</v>
      </c>
      <c r="M1647">
        <f t="shared" si="152"/>
        <v>1</v>
      </c>
      <c r="N1647">
        <f>IF(SUM(I1647:J1647)&lt;=($G$11/60*$F$11/($E$11/60)),1,0)</f>
        <v>0</v>
      </c>
    </row>
    <row r="1648" spans="4:14" x14ac:dyDescent="0.2">
      <c r="D1648">
        <f t="shared" si="154"/>
        <v>1625</v>
      </c>
      <c r="E1648" s="1">
        <f>IF($H$11=1,IF(D1648&lt;=$A$15, E1647+LN($D$11)-LN(60/$E$11)-LN(MIN(D1648,$F$11)), E1647-LN(60/$E$11)-LN(MIN(D1648,$F$11))), IF(D1648&lt;=$A$15, E1647+LN($D$11)-LN(60/$E$11)-LN(MIN(D1648,$F$11)), E1647+LN($D$11)+LN(1-$H$11)-LN(60/$E$11)-LN(MIN(D1648,$F$11))))</f>
        <v>-195.39039572434686</v>
      </c>
      <c r="F1648" s="1">
        <f t="shared" si="155"/>
        <v>-197.39242853354591</v>
      </c>
      <c r="G1648" s="1">
        <f t="shared" si="153"/>
        <v>1.877403047062594E-86</v>
      </c>
      <c r="H1648" s="1">
        <f t="shared" si="150"/>
        <v>1.8428078127305511E-87</v>
      </c>
      <c r="I1648">
        <f>IF($F$11&lt;=D1648, IF(D1648&lt;=$A$15,D1648-$F$11,$C$11),0)</f>
        <v>60</v>
      </c>
      <c r="J1648">
        <f t="shared" si="151"/>
        <v>1561</v>
      </c>
      <c r="K1648" s="5">
        <f>IF(D1648&lt;$F$11,H1648,0)</f>
        <v>0</v>
      </c>
      <c r="L1648">
        <f>IF(D1648&lt;$A$15,$D$11,$D$11*(1-$H$11))</f>
        <v>85</v>
      </c>
      <c r="M1648">
        <f t="shared" si="152"/>
        <v>1</v>
      </c>
      <c r="N1648">
        <f>IF(SUM(I1648:J1648)&lt;=($G$11/60*$F$11/($E$11/60)),1,0)</f>
        <v>0</v>
      </c>
    </row>
    <row r="1649" spans="4:14" x14ac:dyDescent="0.2">
      <c r="D1649">
        <f t="shared" si="154"/>
        <v>1626</v>
      </c>
      <c r="E1649" s="1">
        <f>IF($H$11=1,IF(D1649&lt;=$A$15, E1648+LN($D$11)-LN(60/$E$11)-LN(MIN(D1649,$F$11)), E1648-LN(60/$E$11)-LN(MIN(D1649,$F$11))), IF(D1649&lt;=$A$15, E1648+LN($D$11)-LN(60/$E$11)-LN(MIN(D1649,$F$11)), E1648+LN($D$11)+LN(1-$H$11)-LN(60/$E$11)-LN(MIN(D1649,$F$11))))</f>
        <v>-195.5120926593244</v>
      </c>
      <c r="F1649" s="1">
        <f t="shared" si="155"/>
        <v>-197.51412546852345</v>
      </c>
      <c r="G1649" s="1">
        <f t="shared" si="153"/>
        <v>1.6622839479199791E-86</v>
      </c>
      <c r="H1649" s="1">
        <f t="shared" si="150"/>
        <v>1.6316527508551498E-87</v>
      </c>
      <c r="I1649">
        <f>IF($F$11&lt;=D1649, IF(D1649&lt;=$A$15,D1649-$F$11,$C$11),0)</f>
        <v>60</v>
      </c>
      <c r="J1649">
        <f t="shared" si="151"/>
        <v>1562</v>
      </c>
      <c r="K1649" s="5">
        <f>IF(D1649&lt;$F$11,H1649,0)</f>
        <v>0</v>
      </c>
      <c r="L1649">
        <f>IF(D1649&lt;$A$15,$D$11,$D$11*(1-$H$11))</f>
        <v>85</v>
      </c>
      <c r="M1649">
        <f t="shared" si="152"/>
        <v>1</v>
      </c>
      <c r="N1649">
        <f>IF(SUM(I1649:J1649)&lt;=($G$11/60*$F$11/($E$11/60)),1,0)</f>
        <v>0</v>
      </c>
    </row>
    <row r="1650" spans="4:14" x14ac:dyDescent="0.2">
      <c r="D1650">
        <f t="shared" si="154"/>
        <v>1627</v>
      </c>
      <c r="E1650" s="1">
        <f>IF($H$11=1,IF(D1650&lt;=$A$15, E1649+LN($D$11)-LN(60/$E$11)-LN(MIN(D1650,$F$11)), E1649-LN(60/$E$11)-LN(MIN(D1650,$F$11))), IF(D1650&lt;=$A$15, E1649+LN($D$11)-LN(60/$E$11)-LN(MIN(D1650,$F$11)), E1649+LN($D$11)+LN(1-$H$11)-LN(60/$E$11)-LN(MIN(D1650,$F$11))))</f>
        <v>-195.63378959430193</v>
      </c>
      <c r="F1650" s="1">
        <f t="shared" si="155"/>
        <v>-197.63582240350098</v>
      </c>
      <c r="G1650" s="1">
        <f t="shared" si="153"/>
        <v>1.4718139122207917E-86</v>
      </c>
      <c r="H1650" s="1">
        <f t="shared" si="150"/>
        <v>1.4446925398196412E-87</v>
      </c>
      <c r="I1650">
        <f>IF($F$11&lt;=D1650, IF(D1650&lt;=$A$15,D1650-$F$11,$C$11),0)</f>
        <v>60</v>
      </c>
      <c r="J1650">
        <f t="shared" si="151"/>
        <v>1563</v>
      </c>
      <c r="K1650" s="5">
        <f>IF(D1650&lt;$F$11,H1650,0)</f>
        <v>0</v>
      </c>
      <c r="L1650">
        <f>IF(D1650&lt;$A$15,$D$11,$D$11*(1-$H$11))</f>
        <v>85</v>
      </c>
      <c r="M1650">
        <f t="shared" si="152"/>
        <v>1</v>
      </c>
      <c r="N1650">
        <f>IF(SUM(I1650:J1650)&lt;=($G$11/60*$F$11/($E$11/60)),1,0)</f>
        <v>0</v>
      </c>
    </row>
    <row r="1651" spans="4:14" x14ac:dyDescent="0.2">
      <c r="D1651">
        <f t="shared" si="154"/>
        <v>1628</v>
      </c>
      <c r="E1651" s="1">
        <f>IF($H$11=1,IF(D1651&lt;=$A$15, E1650+LN($D$11)-LN(60/$E$11)-LN(MIN(D1651,$F$11)), E1650-LN(60/$E$11)-LN(MIN(D1651,$F$11))), IF(D1651&lt;=$A$15, E1650+LN($D$11)-LN(60/$E$11)-LN(MIN(D1651,$F$11)), E1650+LN($D$11)+LN(1-$H$11)-LN(60/$E$11)-LN(MIN(D1651,$F$11))))</f>
        <v>-195.75548652927947</v>
      </c>
      <c r="F1651" s="1">
        <f t="shared" si="155"/>
        <v>-197.75751933847852</v>
      </c>
      <c r="G1651" s="1">
        <f t="shared" si="153"/>
        <v>1.3031685681121391E-86</v>
      </c>
      <c r="H1651" s="1">
        <f t="shared" si="150"/>
        <v>1.2791548529652875E-87</v>
      </c>
      <c r="I1651">
        <f>IF($F$11&lt;=D1651, IF(D1651&lt;=$A$15,D1651-$F$11,$C$11),0)</f>
        <v>60</v>
      </c>
      <c r="J1651">
        <f t="shared" si="151"/>
        <v>1564</v>
      </c>
      <c r="K1651" s="5">
        <f>IF(D1651&lt;$F$11,H1651,0)</f>
        <v>0</v>
      </c>
      <c r="L1651">
        <f>IF(D1651&lt;$A$15,$D$11,$D$11*(1-$H$11))</f>
        <v>85</v>
      </c>
      <c r="M1651">
        <f t="shared" si="152"/>
        <v>1</v>
      </c>
      <c r="N1651">
        <f>IF(SUM(I1651:J1651)&lt;=($G$11/60*$F$11/($E$11/60)),1,0)</f>
        <v>0</v>
      </c>
    </row>
    <row r="1652" spans="4:14" x14ac:dyDescent="0.2">
      <c r="D1652">
        <f t="shared" si="154"/>
        <v>1629</v>
      </c>
      <c r="E1652" s="1">
        <f>IF($H$11=1,IF(D1652&lt;=$A$15, E1651+LN($D$11)-LN(60/$E$11)-LN(MIN(D1652,$F$11)), E1651-LN(60/$E$11)-LN(MIN(D1652,$F$11))), IF(D1652&lt;=$A$15, E1651+LN($D$11)-LN(60/$E$11)-LN(MIN(D1652,$F$11)), E1651+LN($D$11)+LN(1-$H$11)-LN(60/$E$11)-LN(MIN(D1652,$F$11))))</f>
        <v>-195.877183464257</v>
      </c>
      <c r="F1652" s="1">
        <f t="shared" si="155"/>
        <v>-197.87921627345605</v>
      </c>
      <c r="G1652" s="1">
        <f t="shared" si="153"/>
        <v>1.153847169682605E-86</v>
      </c>
      <c r="H1652" s="1">
        <f t="shared" si="150"/>
        <v>1.1325850260629973E-87</v>
      </c>
      <c r="I1652">
        <f>IF($F$11&lt;=D1652, IF(D1652&lt;=$A$15,D1652-$F$11,$C$11),0)</f>
        <v>60</v>
      </c>
      <c r="J1652">
        <f t="shared" si="151"/>
        <v>1565</v>
      </c>
      <c r="K1652" s="5">
        <f>IF(D1652&lt;$F$11,H1652,0)</f>
        <v>0</v>
      </c>
      <c r="L1652">
        <f>IF(D1652&lt;$A$15,$D$11,$D$11*(1-$H$11))</f>
        <v>85</v>
      </c>
      <c r="M1652">
        <f t="shared" si="152"/>
        <v>1</v>
      </c>
      <c r="N1652">
        <f>IF(SUM(I1652:J1652)&lt;=($G$11/60*$F$11/($E$11/60)),1,0)</f>
        <v>0</v>
      </c>
    </row>
    <row r="1653" spans="4:14" x14ac:dyDescent="0.2">
      <c r="D1653">
        <f t="shared" si="154"/>
        <v>1630</v>
      </c>
      <c r="E1653" s="1">
        <f>IF($H$11=1,IF(D1653&lt;=$A$15, E1652+LN($D$11)-LN(60/$E$11)-LN(MIN(D1653,$F$11)), E1652-LN(60/$E$11)-LN(MIN(D1653,$F$11))), IF(D1653&lt;=$A$15, E1652+LN($D$11)-LN(60/$E$11)-LN(MIN(D1653,$F$11)), E1652+LN($D$11)+LN(1-$H$11)-LN(60/$E$11)-LN(MIN(D1653,$F$11))))</f>
        <v>-195.99888039923454</v>
      </c>
      <c r="F1653" s="1">
        <f t="shared" si="155"/>
        <v>-198.00091320843359</v>
      </c>
      <c r="G1653" s="1">
        <f t="shared" si="153"/>
        <v>1.0216355148231239E-86</v>
      </c>
      <c r="H1653" s="1">
        <f t="shared" si="150"/>
        <v>1.0028096584932631E-87</v>
      </c>
      <c r="I1653">
        <f>IF($F$11&lt;=D1653, IF(D1653&lt;=$A$15,D1653-$F$11,$C$11),0)</f>
        <v>60</v>
      </c>
      <c r="J1653">
        <f t="shared" si="151"/>
        <v>1566</v>
      </c>
      <c r="K1653" s="5">
        <f>IF(D1653&lt;$F$11,H1653,0)</f>
        <v>0</v>
      </c>
      <c r="L1653">
        <f>IF(D1653&lt;$A$15,$D$11,$D$11*(1-$H$11))</f>
        <v>85</v>
      </c>
      <c r="M1653">
        <f t="shared" si="152"/>
        <v>1</v>
      </c>
      <c r="N1653">
        <f>IF(SUM(I1653:J1653)&lt;=($G$11/60*$F$11/($E$11/60)),1,0)</f>
        <v>0</v>
      </c>
    </row>
    <row r="1654" spans="4:14" x14ac:dyDescent="0.2">
      <c r="D1654">
        <f t="shared" si="154"/>
        <v>1631</v>
      </c>
      <c r="E1654" s="1">
        <f>IF($H$11=1,IF(D1654&lt;=$A$15, E1653+LN($D$11)-LN(60/$E$11)-LN(MIN(D1654,$F$11)), E1653-LN(60/$E$11)-LN(MIN(D1654,$F$11))), IF(D1654&lt;=$A$15, E1653+LN($D$11)-LN(60/$E$11)-LN(MIN(D1654,$F$11)), E1653+LN($D$11)+LN(1-$H$11)-LN(60/$E$11)-LN(MIN(D1654,$F$11))))</f>
        <v>-196.12057733421207</v>
      </c>
      <c r="F1654" s="1">
        <f t="shared" si="155"/>
        <v>-198.12261014341112</v>
      </c>
      <c r="G1654" s="1">
        <f t="shared" si="153"/>
        <v>9.0457311208296016E-87</v>
      </c>
      <c r="H1654" s="1">
        <f t="shared" si="150"/>
        <v>8.8790438512422953E-88</v>
      </c>
      <c r="I1654">
        <f>IF($F$11&lt;=D1654, IF(D1654&lt;=$A$15,D1654-$F$11,$C$11),0)</f>
        <v>60</v>
      </c>
      <c r="J1654">
        <f t="shared" si="151"/>
        <v>1567</v>
      </c>
      <c r="K1654" s="5">
        <f>IF(D1654&lt;$F$11,H1654,0)</f>
        <v>0</v>
      </c>
      <c r="L1654">
        <f>IF(D1654&lt;$A$15,$D$11,$D$11*(1-$H$11))</f>
        <v>85</v>
      </c>
      <c r="M1654">
        <f t="shared" si="152"/>
        <v>1</v>
      </c>
      <c r="N1654">
        <f>IF(SUM(I1654:J1654)&lt;=($G$11/60*$F$11/($E$11/60)),1,0)</f>
        <v>0</v>
      </c>
    </row>
    <row r="1655" spans="4:14" x14ac:dyDescent="0.2">
      <c r="D1655">
        <f t="shared" si="154"/>
        <v>1632</v>
      </c>
      <c r="E1655" s="1">
        <f>IF($H$11=1,IF(D1655&lt;=$A$15, E1654+LN($D$11)-LN(60/$E$11)-LN(MIN(D1655,$F$11)), E1654-LN(60/$E$11)-LN(MIN(D1655,$F$11))), IF(D1655&lt;=$A$15, E1654+LN($D$11)-LN(60/$E$11)-LN(MIN(D1655,$F$11)), E1654+LN($D$11)+LN(1-$H$11)-LN(60/$E$11)-LN(MIN(D1655,$F$11))))</f>
        <v>-196.24227426918961</v>
      </c>
      <c r="F1655" s="1">
        <f t="shared" si="155"/>
        <v>-198.24430707838866</v>
      </c>
      <c r="G1655" s="1">
        <f t="shared" si="153"/>
        <v>8.0092410965677513E-87</v>
      </c>
      <c r="H1655" s="1">
        <f t="shared" si="150"/>
        <v>7.8616534099539924E-88</v>
      </c>
      <c r="I1655">
        <f>IF($F$11&lt;=D1655, IF(D1655&lt;=$A$15,D1655-$F$11,$C$11),0)</f>
        <v>60</v>
      </c>
      <c r="J1655">
        <f t="shared" si="151"/>
        <v>1568</v>
      </c>
      <c r="K1655" s="5">
        <f>IF(D1655&lt;$F$11,H1655,0)</f>
        <v>0</v>
      </c>
      <c r="L1655">
        <f>IF(D1655&lt;$A$15,$D$11,$D$11*(1-$H$11))</f>
        <v>85</v>
      </c>
      <c r="M1655">
        <f t="shared" si="152"/>
        <v>1</v>
      </c>
      <c r="N1655">
        <f>IF(SUM(I1655:J1655)&lt;=($G$11/60*$F$11/($E$11/60)),1,0)</f>
        <v>0</v>
      </c>
    </row>
    <row r="1656" spans="4:14" x14ac:dyDescent="0.2">
      <c r="D1656">
        <f t="shared" si="154"/>
        <v>1633</v>
      </c>
      <c r="E1656" s="1">
        <f>IF($H$11=1,IF(D1656&lt;=$A$15, E1655+LN($D$11)-LN(60/$E$11)-LN(MIN(D1656,$F$11)), E1655-LN(60/$E$11)-LN(MIN(D1656,$F$11))), IF(D1656&lt;=$A$15, E1655+LN($D$11)-LN(60/$E$11)-LN(MIN(D1656,$F$11)), E1655+LN($D$11)+LN(1-$H$11)-LN(60/$E$11)-LN(MIN(D1656,$F$11))))</f>
        <v>-196.36397120416714</v>
      </c>
      <c r="F1656" s="1">
        <f t="shared" si="155"/>
        <v>-198.36600401336619</v>
      </c>
      <c r="G1656" s="1">
        <f t="shared" si="153"/>
        <v>7.0915155542525849E-87</v>
      </c>
      <c r="H1656" s="1">
        <f t="shared" si="150"/>
        <v>6.9608389567299879E-88</v>
      </c>
      <c r="I1656">
        <f>IF($F$11&lt;=D1656, IF(D1656&lt;=$A$15,D1656-$F$11,$C$11),0)</f>
        <v>60</v>
      </c>
      <c r="J1656">
        <f t="shared" si="151"/>
        <v>1569</v>
      </c>
      <c r="K1656" s="5">
        <f>IF(D1656&lt;$F$11,H1656,0)</f>
        <v>0</v>
      </c>
      <c r="L1656">
        <f>IF(D1656&lt;$A$15,$D$11,$D$11*(1-$H$11))</f>
        <v>85</v>
      </c>
      <c r="M1656">
        <f t="shared" si="152"/>
        <v>1</v>
      </c>
      <c r="N1656">
        <f>IF(SUM(I1656:J1656)&lt;=($G$11/60*$F$11/($E$11/60)),1,0)</f>
        <v>0</v>
      </c>
    </row>
    <row r="1657" spans="4:14" x14ac:dyDescent="0.2">
      <c r="D1657">
        <f t="shared" si="154"/>
        <v>1634</v>
      </c>
      <c r="E1657" s="1">
        <f>IF($H$11=1,IF(D1657&lt;=$A$15, E1656+LN($D$11)-LN(60/$E$11)-LN(MIN(D1657,$F$11)), E1656-LN(60/$E$11)-LN(MIN(D1657,$F$11))), IF(D1657&lt;=$A$15, E1656+LN($D$11)-LN(60/$E$11)-LN(MIN(D1657,$F$11)), E1656+LN($D$11)+LN(1-$H$11)-LN(60/$E$11)-LN(MIN(D1657,$F$11))))</f>
        <v>-196.48566813914468</v>
      </c>
      <c r="F1657" s="1">
        <f t="shared" si="155"/>
        <v>-198.48770094834373</v>
      </c>
      <c r="G1657" s="1">
        <f t="shared" si="153"/>
        <v>6.2789460636610451E-87</v>
      </c>
      <c r="H1657" s="1">
        <f t="shared" si="150"/>
        <v>6.1632428262712479E-88</v>
      </c>
      <c r="I1657">
        <f>IF($F$11&lt;=D1657, IF(D1657&lt;=$A$15,D1657-$F$11,$C$11),0)</f>
        <v>60</v>
      </c>
      <c r="J1657">
        <f t="shared" si="151"/>
        <v>1570</v>
      </c>
      <c r="K1657" s="5">
        <f>IF(D1657&lt;$F$11,H1657,0)</f>
        <v>0</v>
      </c>
      <c r="L1657">
        <f>IF(D1657&lt;$A$15,$D$11,$D$11*(1-$H$11))</f>
        <v>85</v>
      </c>
      <c r="M1657">
        <f t="shared" si="152"/>
        <v>1</v>
      </c>
      <c r="N1657">
        <f>IF(SUM(I1657:J1657)&lt;=($G$11/60*$F$11/($E$11/60)),1,0)</f>
        <v>0</v>
      </c>
    </row>
    <row r="1658" spans="4:14" x14ac:dyDescent="0.2">
      <c r="D1658">
        <f t="shared" si="154"/>
        <v>1635</v>
      </c>
      <c r="E1658" s="1">
        <f>IF($H$11=1,IF(D1658&lt;=$A$15, E1657+LN($D$11)-LN(60/$E$11)-LN(MIN(D1658,$F$11)), E1657-LN(60/$E$11)-LN(MIN(D1658,$F$11))), IF(D1658&lt;=$A$15, E1657+LN($D$11)-LN(60/$E$11)-LN(MIN(D1658,$F$11)), E1657+LN($D$11)+LN(1-$H$11)-LN(60/$E$11)-LN(MIN(D1658,$F$11))))</f>
        <v>-196.60736507412221</v>
      </c>
      <c r="F1658" s="1">
        <f t="shared" si="155"/>
        <v>-198.60939788332126</v>
      </c>
      <c r="G1658" s="1">
        <f t="shared" si="153"/>
        <v>5.5594834938664633E-87</v>
      </c>
      <c r="H1658" s="1">
        <f t="shared" si="150"/>
        <v>5.457037919094249E-88</v>
      </c>
      <c r="I1658">
        <f>IF($F$11&lt;=D1658, IF(D1658&lt;=$A$15,D1658-$F$11,$C$11),0)</f>
        <v>60</v>
      </c>
      <c r="J1658">
        <f t="shared" si="151"/>
        <v>1571</v>
      </c>
      <c r="K1658" s="5">
        <f>IF(D1658&lt;$F$11,H1658,0)</f>
        <v>0</v>
      </c>
      <c r="L1658">
        <f>IF(D1658&lt;$A$15,$D$11,$D$11*(1-$H$11))</f>
        <v>85</v>
      </c>
      <c r="M1658">
        <f t="shared" si="152"/>
        <v>1</v>
      </c>
      <c r="N1658">
        <f>IF(SUM(I1658:J1658)&lt;=($G$11/60*$F$11/($E$11/60)),1,0)</f>
        <v>0</v>
      </c>
    </row>
    <row r="1659" spans="4:14" x14ac:dyDescent="0.2">
      <c r="D1659">
        <f t="shared" si="154"/>
        <v>1636</v>
      </c>
      <c r="E1659" s="1">
        <f>IF($H$11=1,IF(D1659&lt;=$A$15, E1658+LN($D$11)-LN(60/$E$11)-LN(MIN(D1659,$F$11)), E1658-LN(60/$E$11)-LN(MIN(D1659,$F$11))), IF(D1659&lt;=$A$15, E1658+LN($D$11)-LN(60/$E$11)-LN(MIN(D1659,$F$11)), E1658+LN($D$11)+LN(1-$H$11)-LN(60/$E$11)-LN(MIN(D1659,$F$11))))</f>
        <v>-196.72906200909975</v>
      </c>
      <c r="F1659" s="1">
        <f t="shared" si="155"/>
        <v>-198.7310948182988</v>
      </c>
      <c r="G1659" s="1">
        <f t="shared" si="153"/>
        <v>4.9224593435275206E-87</v>
      </c>
      <c r="H1659" s="1">
        <f t="shared" si="150"/>
        <v>4.8317523241979567E-88</v>
      </c>
      <c r="I1659">
        <f>IF($F$11&lt;=D1659, IF(D1659&lt;=$A$15,D1659-$F$11,$C$11),0)</f>
        <v>60</v>
      </c>
      <c r="J1659">
        <f t="shared" si="151"/>
        <v>1572</v>
      </c>
      <c r="K1659" s="5">
        <f>IF(D1659&lt;$F$11,H1659,0)</f>
        <v>0</v>
      </c>
      <c r="L1659">
        <f>IF(D1659&lt;$A$15,$D$11,$D$11*(1-$H$11))</f>
        <v>85</v>
      </c>
      <c r="M1659">
        <f t="shared" si="152"/>
        <v>1</v>
      </c>
      <c r="N1659">
        <f>IF(SUM(I1659:J1659)&lt;=($G$11/60*$F$11/($E$11/60)),1,0)</f>
        <v>0</v>
      </c>
    </row>
    <row r="1660" spans="4:14" x14ac:dyDescent="0.2">
      <c r="D1660">
        <f t="shared" si="154"/>
        <v>1637</v>
      </c>
      <c r="E1660" s="1">
        <f>IF($H$11=1,IF(D1660&lt;=$A$15, E1659+LN($D$11)-LN(60/$E$11)-LN(MIN(D1660,$F$11)), E1659-LN(60/$E$11)-LN(MIN(D1660,$F$11))), IF(D1660&lt;=$A$15, E1659+LN($D$11)-LN(60/$E$11)-LN(MIN(D1660,$F$11)), E1659+LN($D$11)+LN(1-$H$11)-LN(60/$E$11)-LN(MIN(D1660,$F$11))))</f>
        <v>-196.85075894407728</v>
      </c>
      <c r="F1660" s="1">
        <f t="shared" si="155"/>
        <v>-198.85279175327634</v>
      </c>
      <c r="G1660" s="1">
        <f t="shared" si="153"/>
        <v>4.3584275437482577E-87</v>
      </c>
      <c r="H1660" s="1">
        <f t="shared" si="150"/>
        <v>4.2781140370502077E-88</v>
      </c>
      <c r="I1660">
        <f>IF($F$11&lt;=D1660, IF(D1660&lt;=$A$15,D1660-$F$11,$C$11),0)</f>
        <v>60</v>
      </c>
      <c r="J1660">
        <f t="shared" si="151"/>
        <v>1573</v>
      </c>
      <c r="K1660" s="5">
        <f>IF(D1660&lt;$F$11,H1660,0)</f>
        <v>0</v>
      </c>
      <c r="L1660">
        <f>IF(D1660&lt;$A$15,$D$11,$D$11*(1-$H$11))</f>
        <v>85</v>
      </c>
      <c r="M1660">
        <f t="shared" si="152"/>
        <v>1</v>
      </c>
      <c r="N1660">
        <f>IF(SUM(I1660:J1660)&lt;=($G$11/60*$F$11/($E$11/60)),1,0)</f>
        <v>0</v>
      </c>
    </row>
    <row r="1661" spans="4:14" x14ac:dyDescent="0.2">
      <c r="D1661">
        <f t="shared" si="154"/>
        <v>1638</v>
      </c>
      <c r="E1661" s="1">
        <f>IF($H$11=1,IF(D1661&lt;=$A$15, E1660+LN($D$11)-LN(60/$E$11)-LN(MIN(D1661,$F$11)), E1660-LN(60/$E$11)-LN(MIN(D1661,$F$11))), IF(D1661&lt;=$A$15, E1660+LN($D$11)-LN(60/$E$11)-LN(MIN(D1661,$F$11)), E1660+LN($D$11)+LN(1-$H$11)-LN(60/$E$11)-LN(MIN(D1661,$F$11))))</f>
        <v>-196.97245587905482</v>
      </c>
      <c r="F1661" s="1">
        <f t="shared" si="155"/>
        <v>-198.97448868825387</v>
      </c>
      <c r="G1661" s="1">
        <f t="shared" si="153"/>
        <v>3.8590243876937094E-87</v>
      </c>
      <c r="H1661" s="1">
        <f t="shared" si="150"/>
        <v>3.7879134703048119E-88</v>
      </c>
      <c r="I1661">
        <f>IF($F$11&lt;=D1661, IF(D1661&lt;=$A$15,D1661-$F$11,$C$11),0)</f>
        <v>60</v>
      </c>
      <c r="J1661">
        <f t="shared" si="151"/>
        <v>1574</v>
      </c>
      <c r="K1661" s="5">
        <f>IF(D1661&lt;$F$11,H1661,0)</f>
        <v>0</v>
      </c>
      <c r="L1661">
        <f>IF(D1661&lt;$A$15,$D$11,$D$11*(1-$H$11))</f>
        <v>85</v>
      </c>
      <c r="M1661">
        <f t="shared" si="152"/>
        <v>1</v>
      </c>
      <c r="N1661">
        <f>IF(SUM(I1661:J1661)&lt;=($G$11/60*$F$11/($E$11/60)),1,0)</f>
        <v>0</v>
      </c>
    </row>
    <row r="1662" spans="4:14" x14ac:dyDescent="0.2">
      <c r="D1662">
        <f t="shared" si="154"/>
        <v>1639</v>
      </c>
      <c r="E1662" s="1">
        <f>IF($H$11=1,IF(D1662&lt;=$A$15, E1661+LN($D$11)-LN(60/$E$11)-LN(MIN(D1662,$F$11)), E1661-LN(60/$E$11)-LN(MIN(D1662,$F$11))), IF(D1662&lt;=$A$15, E1661+LN($D$11)-LN(60/$E$11)-LN(MIN(D1662,$F$11)), E1661+LN($D$11)+LN(1-$H$11)-LN(60/$E$11)-LN(MIN(D1662,$F$11))))</f>
        <v>-197.09415281403236</v>
      </c>
      <c r="F1662" s="1">
        <f t="shared" si="155"/>
        <v>-199.09618562323141</v>
      </c>
      <c r="G1662" s="1">
        <f t="shared" si="153"/>
        <v>3.4168445099370849E-87</v>
      </c>
      <c r="H1662" s="1">
        <f t="shared" si="150"/>
        <v>3.3538817184989995E-88</v>
      </c>
      <c r="I1662">
        <f>IF($F$11&lt;=D1662, IF(D1662&lt;=$A$15,D1662-$F$11,$C$11),0)</f>
        <v>60</v>
      </c>
      <c r="J1662">
        <f t="shared" si="151"/>
        <v>1575</v>
      </c>
      <c r="K1662" s="5">
        <f>IF(D1662&lt;$F$11,H1662,0)</f>
        <v>0</v>
      </c>
      <c r="L1662">
        <f>IF(D1662&lt;$A$15,$D$11,$D$11*(1-$H$11))</f>
        <v>85</v>
      </c>
      <c r="M1662">
        <f t="shared" si="152"/>
        <v>1</v>
      </c>
      <c r="N1662">
        <f>IF(SUM(I1662:J1662)&lt;=($G$11/60*$F$11/($E$11/60)),1,0)</f>
        <v>0</v>
      </c>
    </row>
    <row r="1663" spans="4:14" x14ac:dyDescent="0.2">
      <c r="D1663">
        <f t="shared" si="154"/>
        <v>1640</v>
      </c>
      <c r="E1663" s="1">
        <f>IF($H$11=1,IF(D1663&lt;=$A$15, E1662+LN($D$11)-LN(60/$E$11)-LN(MIN(D1663,$F$11)), E1662-LN(60/$E$11)-LN(MIN(D1663,$F$11))), IF(D1663&lt;=$A$15, E1662+LN($D$11)-LN(60/$E$11)-LN(MIN(D1663,$F$11)), E1662+LN($D$11)+LN(1-$H$11)-LN(60/$E$11)-LN(MIN(D1663,$F$11))))</f>
        <v>-197.21584974900989</v>
      </c>
      <c r="F1663" s="1">
        <f t="shared" si="155"/>
        <v>-199.21788255820894</v>
      </c>
      <c r="G1663" s="1">
        <f t="shared" si="153"/>
        <v>3.0253310765067466E-87</v>
      </c>
      <c r="H1663" s="1">
        <f t="shared" si="150"/>
        <v>2.9695827715876096E-88</v>
      </c>
      <c r="I1663">
        <f>IF($F$11&lt;=D1663, IF(D1663&lt;=$A$15,D1663-$F$11,$C$11),0)</f>
        <v>60</v>
      </c>
      <c r="J1663">
        <f t="shared" si="151"/>
        <v>1576</v>
      </c>
      <c r="K1663" s="5">
        <f>IF(D1663&lt;$F$11,H1663,0)</f>
        <v>0</v>
      </c>
      <c r="L1663">
        <f>IF(D1663&lt;$A$15,$D$11,$D$11*(1-$H$11))</f>
        <v>85</v>
      </c>
      <c r="M1663">
        <f t="shared" si="152"/>
        <v>1</v>
      </c>
      <c r="N1663">
        <f>IF(SUM(I1663:J1663)&lt;=($G$11/60*$F$11/($E$11/60)),1,0)</f>
        <v>0</v>
      </c>
    </row>
    <row r="1664" spans="4:14" x14ac:dyDescent="0.2">
      <c r="D1664">
        <f t="shared" si="154"/>
        <v>1641</v>
      </c>
      <c r="E1664" s="1">
        <f>IF($H$11=1,IF(D1664&lt;=$A$15, E1663+LN($D$11)-LN(60/$E$11)-LN(MIN(D1664,$F$11)), E1663-LN(60/$E$11)-LN(MIN(D1664,$F$11))), IF(D1664&lt;=$A$15, E1663+LN($D$11)-LN(60/$E$11)-LN(MIN(D1664,$F$11)), E1663+LN($D$11)+LN(1-$H$11)-LN(60/$E$11)-LN(MIN(D1664,$F$11))))</f>
        <v>-197.33754668398743</v>
      </c>
      <c r="F1664" s="1">
        <f t="shared" si="155"/>
        <v>-199.33957949318648</v>
      </c>
      <c r="G1664" s="1">
        <f t="shared" si="153"/>
        <v>2.6786785573236402E-87</v>
      </c>
      <c r="H1664" s="1">
        <f t="shared" si="150"/>
        <v>2.6293180790098217E-88</v>
      </c>
      <c r="I1664">
        <f>IF($F$11&lt;=D1664, IF(D1664&lt;=$A$15,D1664-$F$11,$C$11),0)</f>
        <v>60</v>
      </c>
      <c r="J1664">
        <f t="shared" si="151"/>
        <v>1577</v>
      </c>
      <c r="K1664" s="5">
        <f>IF(D1664&lt;$F$11,H1664,0)</f>
        <v>0</v>
      </c>
      <c r="L1664">
        <f>IF(D1664&lt;$A$15,$D$11,$D$11*(1-$H$11))</f>
        <v>85</v>
      </c>
      <c r="M1664">
        <f t="shared" si="152"/>
        <v>1</v>
      </c>
      <c r="N1664">
        <f>IF(SUM(I1664:J1664)&lt;=($G$11/60*$F$11/($E$11/60)),1,0)</f>
        <v>0</v>
      </c>
    </row>
    <row r="1665" spans="4:14" x14ac:dyDescent="0.2">
      <c r="D1665">
        <f t="shared" si="154"/>
        <v>1642</v>
      </c>
      <c r="E1665" s="1">
        <f>IF($H$11=1,IF(D1665&lt;=$A$15, E1664+LN($D$11)-LN(60/$E$11)-LN(MIN(D1665,$F$11)), E1664-LN(60/$E$11)-LN(MIN(D1665,$F$11))), IF(D1665&lt;=$A$15, E1664+LN($D$11)-LN(60/$E$11)-LN(MIN(D1665,$F$11)), E1664+LN($D$11)+LN(1-$H$11)-LN(60/$E$11)-LN(MIN(D1665,$F$11))))</f>
        <v>-197.45924361896496</v>
      </c>
      <c r="F1665" s="1">
        <f t="shared" si="155"/>
        <v>-199.46127642816401</v>
      </c>
      <c r="G1665" s="1">
        <f t="shared" si="153"/>
        <v>2.3717466392969358E-87</v>
      </c>
      <c r="H1665" s="1">
        <f t="shared" si="150"/>
        <v>2.328042049123243E-88</v>
      </c>
      <c r="I1665">
        <f>IF($F$11&lt;=D1665, IF(D1665&lt;=$A$15,D1665-$F$11,$C$11),0)</f>
        <v>60</v>
      </c>
      <c r="J1665">
        <f t="shared" si="151"/>
        <v>1578</v>
      </c>
      <c r="K1665" s="5">
        <f>IF(D1665&lt;$F$11,H1665,0)</f>
        <v>0</v>
      </c>
      <c r="L1665">
        <f>IF(D1665&lt;$A$15,$D$11,$D$11*(1-$H$11))</f>
        <v>85</v>
      </c>
      <c r="M1665">
        <f t="shared" si="152"/>
        <v>1</v>
      </c>
      <c r="N1665">
        <f>IF(SUM(I1665:J1665)&lt;=($G$11/60*$F$11/($E$11/60)),1,0)</f>
        <v>0</v>
      </c>
    </row>
    <row r="1666" spans="4:14" x14ac:dyDescent="0.2">
      <c r="D1666">
        <f t="shared" si="154"/>
        <v>1643</v>
      </c>
      <c r="E1666" s="1">
        <f>IF($H$11=1,IF(D1666&lt;=$A$15, E1665+LN($D$11)-LN(60/$E$11)-LN(MIN(D1666,$F$11)), E1665-LN(60/$E$11)-LN(MIN(D1666,$F$11))), IF(D1666&lt;=$A$15, E1665+LN($D$11)-LN(60/$E$11)-LN(MIN(D1666,$F$11)), E1665+LN($D$11)+LN(1-$H$11)-LN(60/$E$11)-LN(MIN(D1666,$F$11))))</f>
        <v>-197.5809405539425</v>
      </c>
      <c r="F1666" s="1">
        <f t="shared" si="155"/>
        <v>-199.58297336314155</v>
      </c>
      <c r="G1666" s="1">
        <f t="shared" si="153"/>
        <v>2.0999840035441293E-87</v>
      </c>
      <c r="H1666" s="1">
        <f t="shared" si="150"/>
        <v>2.0612872309945061E-88</v>
      </c>
      <c r="I1666">
        <f>IF($F$11&lt;=D1666, IF(D1666&lt;=$A$15,D1666-$F$11,$C$11),0)</f>
        <v>60</v>
      </c>
      <c r="J1666">
        <f t="shared" si="151"/>
        <v>1579</v>
      </c>
      <c r="K1666" s="5">
        <f>IF(D1666&lt;$F$11,H1666,0)</f>
        <v>0</v>
      </c>
      <c r="L1666">
        <f>IF(D1666&lt;$A$15,$D$11,$D$11*(1-$H$11))</f>
        <v>85</v>
      </c>
      <c r="M1666">
        <f t="shared" si="152"/>
        <v>1</v>
      </c>
      <c r="N1666">
        <f>IF(SUM(I1666:J1666)&lt;=($G$11/60*$F$11/($E$11/60)),1,0)</f>
        <v>0</v>
      </c>
    </row>
    <row r="1667" spans="4:14" x14ac:dyDescent="0.2">
      <c r="D1667">
        <f t="shared" si="154"/>
        <v>1644</v>
      </c>
      <c r="E1667" s="1">
        <f>IF($H$11=1,IF(D1667&lt;=$A$15, E1666+LN($D$11)-LN(60/$E$11)-LN(MIN(D1667,$F$11)), E1666-LN(60/$E$11)-LN(MIN(D1667,$F$11))), IF(D1667&lt;=$A$15, E1666+LN($D$11)-LN(60/$E$11)-LN(MIN(D1667,$F$11)), E1666+LN($D$11)+LN(1-$H$11)-LN(60/$E$11)-LN(MIN(D1667,$F$11))))</f>
        <v>-197.70263748892003</v>
      </c>
      <c r="F1667" s="1">
        <f t="shared" si="155"/>
        <v>-199.70467029811908</v>
      </c>
      <c r="G1667" s="1">
        <f t="shared" si="153"/>
        <v>1.8593608364713354E-87</v>
      </c>
      <c r="H1667" s="1">
        <f t="shared" si="150"/>
        <v>1.8250980691096904E-88</v>
      </c>
      <c r="I1667">
        <f>IF($F$11&lt;=D1667, IF(D1667&lt;=$A$15,D1667-$F$11,$C$11),0)</f>
        <v>60</v>
      </c>
      <c r="J1667">
        <f t="shared" si="151"/>
        <v>1580</v>
      </c>
      <c r="K1667" s="5">
        <f>IF(D1667&lt;$F$11,H1667,0)</f>
        <v>0</v>
      </c>
      <c r="L1667">
        <f>IF(D1667&lt;$A$15,$D$11,$D$11*(1-$H$11))</f>
        <v>85</v>
      </c>
      <c r="M1667">
        <f t="shared" si="152"/>
        <v>1</v>
      </c>
      <c r="N1667">
        <f>IF(SUM(I1667:J1667)&lt;=($G$11/60*$F$11/($E$11/60)),1,0)</f>
        <v>0</v>
      </c>
    </row>
    <row r="1668" spans="4:14" x14ac:dyDescent="0.2">
      <c r="D1668">
        <f t="shared" si="154"/>
        <v>1645</v>
      </c>
      <c r="E1668" s="1">
        <f>IF($H$11=1,IF(D1668&lt;=$A$15, E1667+LN($D$11)-LN(60/$E$11)-LN(MIN(D1668,$F$11)), E1667-LN(60/$E$11)-LN(MIN(D1668,$F$11))), IF(D1668&lt;=$A$15, E1667+LN($D$11)-LN(60/$E$11)-LN(MIN(D1668,$F$11)), E1667+LN($D$11)+LN(1-$H$11)-LN(60/$E$11)-LN(MIN(D1668,$F$11))))</f>
        <v>-197.82433442389757</v>
      </c>
      <c r="F1668" s="1">
        <f t="shared" si="155"/>
        <v>-199.82636723309662</v>
      </c>
      <c r="G1668" s="1">
        <f t="shared" si="153"/>
        <v>1.6463090739589692E-87</v>
      </c>
      <c r="H1668" s="1">
        <f t="shared" si="150"/>
        <v>1.6159722486908464E-88</v>
      </c>
      <c r="I1668">
        <f>IF($F$11&lt;=D1668, IF(D1668&lt;=$A$15,D1668-$F$11,$C$11),0)</f>
        <v>60</v>
      </c>
      <c r="J1668">
        <f t="shared" si="151"/>
        <v>1581</v>
      </c>
      <c r="K1668" s="5">
        <f>IF(D1668&lt;$F$11,H1668,0)</f>
        <v>0</v>
      </c>
      <c r="L1668">
        <f>IF(D1668&lt;$A$15,$D$11,$D$11*(1-$H$11))</f>
        <v>85</v>
      </c>
      <c r="M1668">
        <f t="shared" si="152"/>
        <v>1</v>
      </c>
      <c r="N1668">
        <f>IF(SUM(I1668:J1668)&lt;=($G$11/60*$F$11/($E$11/60)),1,0)</f>
        <v>0</v>
      </c>
    </row>
    <row r="1669" spans="4:14" x14ac:dyDescent="0.2">
      <c r="D1669">
        <f t="shared" si="154"/>
        <v>1646</v>
      </c>
      <c r="E1669" s="1">
        <f>IF($H$11=1,IF(D1669&lt;=$A$15, E1668+LN($D$11)-LN(60/$E$11)-LN(MIN(D1669,$F$11)), E1668-LN(60/$E$11)-LN(MIN(D1669,$F$11))), IF(D1669&lt;=$A$15, E1668+LN($D$11)-LN(60/$E$11)-LN(MIN(D1669,$F$11)), E1668+LN($D$11)+LN(1-$H$11)-LN(60/$E$11)-LN(MIN(D1669,$F$11))))</f>
        <v>-197.9460313588751</v>
      </c>
      <c r="F1669" s="1">
        <f t="shared" si="155"/>
        <v>-199.94806416807415</v>
      </c>
      <c r="G1669" s="1">
        <f t="shared" si="153"/>
        <v>1.4576694925678143E-87</v>
      </c>
      <c r="H1669" s="1">
        <f t="shared" si="150"/>
        <v>1.4308087618616644E-88</v>
      </c>
      <c r="I1669">
        <f>IF($F$11&lt;=D1669, IF(D1669&lt;=$A$15,D1669-$F$11,$C$11),0)</f>
        <v>60</v>
      </c>
      <c r="J1669">
        <f t="shared" si="151"/>
        <v>1582</v>
      </c>
      <c r="K1669" s="5">
        <f>IF(D1669&lt;$F$11,H1669,0)</f>
        <v>0</v>
      </c>
      <c r="L1669">
        <f>IF(D1669&lt;$A$15,$D$11,$D$11*(1-$H$11))</f>
        <v>85</v>
      </c>
      <c r="M1669">
        <f t="shared" si="152"/>
        <v>1</v>
      </c>
      <c r="N1669">
        <f>IF(SUM(I1669:J1669)&lt;=($G$11/60*$F$11/($E$11/60)),1,0)</f>
        <v>0</v>
      </c>
    </row>
    <row r="1670" spans="4:14" x14ac:dyDescent="0.2">
      <c r="D1670">
        <f t="shared" si="154"/>
        <v>1647</v>
      </c>
      <c r="E1670" s="1">
        <f>IF($H$11=1,IF(D1670&lt;=$A$15, E1669+LN($D$11)-LN(60/$E$11)-LN(MIN(D1670,$F$11)), E1669-LN(60/$E$11)-LN(MIN(D1670,$F$11))), IF(D1670&lt;=$A$15, E1669+LN($D$11)-LN(60/$E$11)-LN(MIN(D1670,$F$11)), E1669+LN($D$11)+LN(1-$H$11)-LN(60/$E$11)-LN(MIN(D1670,$F$11))))</f>
        <v>-198.06772829385264</v>
      </c>
      <c r="F1670" s="1">
        <f t="shared" si="155"/>
        <v>-200.06976110305169</v>
      </c>
      <c r="G1670" s="1">
        <f t="shared" si="153"/>
        <v>1.2906448632110656E-87</v>
      </c>
      <c r="H1670" s="1">
        <f t="shared" si="150"/>
        <v>1.2668619245649957E-88</v>
      </c>
      <c r="I1670">
        <f>IF($F$11&lt;=D1670, IF(D1670&lt;=$A$15,D1670-$F$11,$C$11),0)</f>
        <v>60</v>
      </c>
      <c r="J1670">
        <f t="shared" si="151"/>
        <v>1583</v>
      </c>
      <c r="K1670" s="5">
        <f>IF(D1670&lt;$F$11,H1670,0)</f>
        <v>0</v>
      </c>
      <c r="L1670">
        <f>IF(D1670&lt;$A$15,$D$11,$D$11*(1-$H$11))</f>
        <v>85</v>
      </c>
      <c r="M1670">
        <f t="shared" si="152"/>
        <v>1</v>
      </c>
      <c r="N1670">
        <f>IF(SUM(I1670:J1670)&lt;=($G$11/60*$F$11/($E$11/60)),1,0)</f>
        <v>0</v>
      </c>
    </row>
    <row r="1671" spans="4:14" x14ac:dyDescent="0.2">
      <c r="D1671">
        <f t="shared" si="154"/>
        <v>1648</v>
      </c>
      <c r="E1671" s="1">
        <f>IF($H$11=1,IF(D1671&lt;=$A$15, E1670+LN($D$11)-LN(60/$E$11)-LN(MIN(D1671,$F$11)), E1670-LN(60/$E$11)-LN(MIN(D1671,$F$11))), IF(D1671&lt;=$A$15, E1670+LN($D$11)-LN(60/$E$11)-LN(MIN(D1671,$F$11)), E1670+LN($D$11)+LN(1-$H$11)-LN(60/$E$11)-LN(MIN(D1671,$F$11))))</f>
        <v>-198.18942522883017</v>
      </c>
      <c r="F1671" s="1">
        <f t="shared" si="155"/>
        <v>-200.19145803802923</v>
      </c>
      <c r="G1671" s="1">
        <f t="shared" si="153"/>
        <v>1.1427584726347797E-87</v>
      </c>
      <c r="H1671" s="1">
        <f t="shared" si="150"/>
        <v>1.121700662375239E-88</v>
      </c>
      <c r="I1671">
        <f>IF($F$11&lt;=D1671, IF(D1671&lt;=$A$15,D1671-$F$11,$C$11),0)</f>
        <v>60</v>
      </c>
      <c r="J1671">
        <f t="shared" si="151"/>
        <v>1584</v>
      </c>
      <c r="K1671" s="5">
        <f>IF(D1671&lt;$F$11,H1671,0)</f>
        <v>0</v>
      </c>
      <c r="L1671">
        <f>IF(D1671&lt;$A$15,$D$11,$D$11*(1-$H$11))</f>
        <v>85</v>
      </c>
      <c r="M1671">
        <f t="shared" si="152"/>
        <v>1</v>
      </c>
      <c r="N1671">
        <f>IF(SUM(I1671:J1671)&lt;=($G$11/60*$F$11/($E$11/60)),1,0)</f>
        <v>0</v>
      </c>
    </row>
    <row r="1672" spans="4:14" x14ac:dyDescent="0.2">
      <c r="D1672">
        <f t="shared" si="154"/>
        <v>1649</v>
      </c>
      <c r="E1672" s="1">
        <f>IF($H$11=1,IF(D1672&lt;=$A$15, E1671+LN($D$11)-LN(60/$E$11)-LN(MIN(D1672,$F$11)), E1671-LN(60/$E$11)-LN(MIN(D1672,$F$11))), IF(D1672&lt;=$A$15, E1671+LN($D$11)-LN(60/$E$11)-LN(MIN(D1672,$F$11)), E1671+LN($D$11)+LN(1-$H$11)-LN(60/$E$11)-LN(MIN(D1672,$F$11))))</f>
        <v>-198.31112216380771</v>
      </c>
      <c r="F1672" s="1">
        <f t="shared" si="155"/>
        <v>-200.31315497300676</v>
      </c>
      <c r="G1672" s="1">
        <f t="shared" si="153"/>
        <v>1.0118173976453619E-87</v>
      </c>
      <c r="H1672" s="1">
        <f t="shared" si="150"/>
        <v>9.9317246147806062E-89</v>
      </c>
      <c r="I1672">
        <f>IF($F$11&lt;=D1672, IF(D1672&lt;=$A$15,D1672-$F$11,$C$11),0)</f>
        <v>60</v>
      </c>
      <c r="J1672">
        <f t="shared" si="151"/>
        <v>1585</v>
      </c>
      <c r="K1672" s="5">
        <f>IF(D1672&lt;$F$11,H1672,0)</f>
        <v>0</v>
      </c>
      <c r="L1672">
        <f>IF(D1672&lt;$A$15,$D$11,$D$11*(1-$H$11))</f>
        <v>85</v>
      </c>
      <c r="M1672">
        <f t="shared" si="152"/>
        <v>1</v>
      </c>
      <c r="N1672">
        <f>IF(SUM(I1672:J1672)&lt;=($G$11/60*$F$11/($E$11/60)),1,0)</f>
        <v>0</v>
      </c>
    </row>
    <row r="1673" spans="4:14" x14ac:dyDescent="0.2">
      <c r="D1673">
        <f t="shared" si="154"/>
        <v>1650</v>
      </c>
      <c r="E1673" s="1">
        <f>IF($H$11=1,IF(D1673&lt;=$A$15, E1672+LN($D$11)-LN(60/$E$11)-LN(MIN(D1673,$F$11)), E1672-LN(60/$E$11)-LN(MIN(D1673,$F$11))), IF(D1673&lt;=$A$15, E1672+LN($D$11)-LN(60/$E$11)-LN(MIN(D1673,$F$11)), E1672+LN($D$11)+LN(1-$H$11)-LN(60/$E$11)-LN(MIN(D1673,$F$11))))</f>
        <v>-198.43281909878525</v>
      </c>
      <c r="F1673" s="1">
        <f t="shared" si="155"/>
        <v>-200.4348519079843</v>
      </c>
      <c r="G1673" s="1">
        <f t="shared" si="153"/>
        <v>8.9587998749848366E-88</v>
      </c>
      <c r="H1673" s="1">
        <f t="shared" si="150"/>
        <v>8.7937145026701914E-89</v>
      </c>
      <c r="I1673">
        <f>IF($F$11&lt;=D1673, IF(D1673&lt;=$A$15,D1673-$F$11,$C$11),0)</f>
        <v>60</v>
      </c>
      <c r="J1673">
        <f t="shared" si="151"/>
        <v>1586</v>
      </c>
      <c r="K1673" s="5">
        <f>IF(D1673&lt;$F$11,H1673,0)</f>
        <v>0</v>
      </c>
      <c r="L1673">
        <f>IF(D1673&lt;$A$15,$D$11,$D$11*(1-$H$11))</f>
        <v>85</v>
      </c>
      <c r="M1673">
        <f t="shared" si="152"/>
        <v>1</v>
      </c>
      <c r="N1673">
        <f>IF(SUM(I1673:J1673)&lt;=($G$11/60*$F$11/($E$11/60)),1,0)</f>
        <v>0</v>
      </c>
    </row>
    <row r="1674" spans="4:14" x14ac:dyDescent="0.2">
      <c r="D1674">
        <f t="shared" si="154"/>
        <v>1651</v>
      </c>
      <c r="E1674" s="1">
        <f>IF($H$11=1,IF(D1674&lt;=$A$15, E1673+LN($D$11)-LN(60/$E$11)-LN(MIN(D1674,$F$11)), E1673-LN(60/$E$11)-LN(MIN(D1674,$F$11))), IF(D1674&lt;=$A$15, E1673+LN($D$11)-LN(60/$E$11)-LN(MIN(D1674,$F$11)), E1673+LN($D$11)+LN(1-$H$11)-LN(60/$E$11)-LN(MIN(D1674,$F$11))))</f>
        <v>-198.55451603376278</v>
      </c>
      <c r="F1674" s="1">
        <f t="shared" si="155"/>
        <v>-200.55654884296183</v>
      </c>
      <c r="G1674" s="1">
        <f t="shared" si="153"/>
        <v>7.9322707226426994E-88</v>
      </c>
      <c r="H1674" s="1">
        <f t="shared" si="150"/>
        <v>7.7861013825724436E-89</v>
      </c>
      <c r="I1674">
        <f>IF($F$11&lt;=D1674, IF(D1674&lt;=$A$15,D1674-$F$11,$C$11),0)</f>
        <v>60</v>
      </c>
      <c r="J1674">
        <f t="shared" si="151"/>
        <v>1587</v>
      </c>
      <c r="K1674" s="5">
        <f>IF(D1674&lt;$F$11,H1674,0)</f>
        <v>0</v>
      </c>
      <c r="L1674">
        <f>IF(D1674&lt;$A$15,$D$11,$D$11*(1-$H$11))</f>
        <v>85</v>
      </c>
      <c r="M1674">
        <f t="shared" si="152"/>
        <v>1</v>
      </c>
      <c r="N1674">
        <f>IF(SUM(I1674:J1674)&lt;=($G$11/60*$F$11/($E$11/60)),1,0)</f>
        <v>0</v>
      </c>
    </row>
    <row r="1675" spans="4:14" x14ac:dyDescent="0.2">
      <c r="D1675">
        <f t="shared" si="154"/>
        <v>1652</v>
      </c>
      <c r="E1675" s="1">
        <f>IF($H$11=1,IF(D1675&lt;=$A$15, E1674+LN($D$11)-LN(60/$E$11)-LN(MIN(D1675,$F$11)), E1674-LN(60/$E$11)-LN(MIN(D1675,$F$11))), IF(D1675&lt;=$A$15, E1674+LN($D$11)-LN(60/$E$11)-LN(MIN(D1675,$F$11)), E1674+LN($D$11)+LN(1-$H$11)-LN(60/$E$11)-LN(MIN(D1675,$F$11))))</f>
        <v>-198.67621296874032</v>
      </c>
      <c r="F1675" s="1">
        <f t="shared" si="155"/>
        <v>-200.67824577793937</v>
      </c>
      <c r="G1675" s="1">
        <f t="shared" si="153"/>
        <v>7.0233647023397806E-88</v>
      </c>
      <c r="H1675" s="1">
        <f t="shared" si="150"/>
        <v>6.8939439324859107E-89</v>
      </c>
      <c r="I1675">
        <f>IF($F$11&lt;=D1675, IF(D1675&lt;=$A$15,D1675-$F$11,$C$11),0)</f>
        <v>60</v>
      </c>
      <c r="J1675">
        <f t="shared" si="151"/>
        <v>1588</v>
      </c>
      <c r="K1675" s="5">
        <f>IF(D1675&lt;$F$11,H1675,0)</f>
        <v>0</v>
      </c>
      <c r="L1675">
        <f>IF(D1675&lt;$A$15,$D$11,$D$11*(1-$H$11))</f>
        <v>85</v>
      </c>
      <c r="M1675">
        <f t="shared" si="152"/>
        <v>1</v>
      </c>
      <c r="N1675">
        <f>IF(SUM(I1675:J1675)&lt;=($G$11/60*$F$11/($E$11/60)),1,0)</f>
        <v>0</v>
      </c>
    </row>
    <row r="1676" spans="4:14" x14ac:dyDescent="0.2">
      <c r="D1676">
        <f t="shared" si="154"/>
        <v>1653</v>
      </c>
      <c r="E1676" s="1">
        <f>IF($H$11=1,IF(D1676&lt;=$A$15, E1675+LN($D$11)-LN(60/$E$11)-LN(MIN(D1676,$F$11)), E1675-LN(60/$E$11)-LN(MIN(D1676,$F$11))), IF(D1676&lt;=$A$15, E1675+LN($D$11)-LN(60/$E$11)-LN(MIN(D1676,$F$11)), E1675+LN($D$11)+LN(1-$H$11)-LN(60/$E$11)-LN(MIN(D1676,$F$11))))</f>
        <v>-198.79790990371785</v>
      </c>
      <c r="F1676" s="1">
        <f t="shared" si="155"/>
        <v>-200.7999427129169</v>
      </c>
      <c r="G1676" s="1">
        <f t="shared" si="153"/>
        <v>6.2186041635299164E-88</v>
      </c>
      <c r="H1676" s="1">
        <f t="shared" si="150"/>
        <v>6.1040128568884702E-89</v>
      </c>
      <c r="I1676">
        <f>IF($F$11&lt;=D1676, IF(D1676&lt;=$A$15,D1676-$F$11,$C$11),0)</f>
        <v>60</v>
      </c>
      <c r="J1676">
        <f t="shared" si="151"/>
        <v>1589</v>
      </c>
      <c r="K1676" s="5">
        <f>IF(D1676&lt;$F$11,H1676,0)</f>
        <v>0</v>
      </c>
      <c r="L1676">
        <f>IF(D1676&lt;$A$15,$D$11,$D$11*(1-$H$11))</f>
        <v>85</v>
      </c>
      <c r="M1676">
        <f t="shared" si="152"/>
        <v>1</v>
      </c>
      <c r="N1676">
        <f>IF(SUM(I1676:J1676)&lt;=($G$11/60*$F$11/($E$11/60)),1,0)</f>
        <v>0</v>
      </c>
    </row>
    <row r="1677" spans="4:14" x14ac:dyDescent="0.2">
      <c r="D1677">
        <f t="shared" si="154"/>
        <v>1654</v>
      </c>
      <c r="E1677" s="1">
        <f>IF($H$11=1,IF(D1677&lt;=$A$15, E1676+LN($D$11)-LN(60/$E$11)-LN(MIN(D1677,$F$11)), E1676-LN(60/$E$11)-LN(MIN(D1677,$F$11))), IF(D1677&lt;=$A$15, E1676+LN($D$11)-LN(60/$E$11)-LN(MIN(D1677,$F$11)), E1676+LN($D$11)+LN(1-$H$11)-LN(60/$E$11)-LN(MIN(D1677,$F$11))))</f>
        <v>-198.91960683869539</v>
      </c>
      <c r="F1677" s="1">
        <f t="shared" si="155"/>
        <v>-200.92163964789444</v>
      </c>
      <c r="G1677" s="1">
        <f t="shared" si="153"/>
        <v>5.5060557697920282E-88</v>
      </c>
      <c r="H1677" s="1">
        <f t="shared" si="150"/>
        <v>5.4045947170365826E-89</v>
      </c>
      <c r="I1677">
        <f>IF($F$11&lt;=D1677, IF(D1677&lt;=$A$15,D1677-$F$11,$C$11),0)</f>
        <v>60</v>
      </c>
      <c r="J1677">
        <f t="shared" si="151"/>
        <v>1590</v>
      </c>
      <c r="K1677" s="5">
        <f>IF(D1677&lt;$F$11,H1677,0)</f>
        <v>0</v>
      </c>
      <c r="L1677">
        <f>IF(D1677&lt;$A$15,$D$11,$D$11*(1-$H$11))</f>
        <v>85</v>
      </c>
      <c r="M1677">
        <f t="shared" si="152"/>
        <v>1</v>
      </c>
      <c r="N1677">
        <f>IF(SUM(I1677:J1677)&lt;=($G$11/60*$F$11/($E$11/60)),1,0)</f>
        <v>0</v>
      </c>
    </row>
    <row r="1678" spans="4:14" x14ac:dyDescent="0.2">
      <c r="D1678">
        <f t="shared" si="154"/>
        <v>1655</v>
      </c>
      <c r="E1678" s="1">
        <f>IF($H$11=1,IF(D1678&lt;=$A$15, E1677+LN($D$11)-LN(60/$E$11)-LN(MIN(D1678,$F$11)), E1677-LN(60/$E$11)-LN(MIN(D1678,$F$11))), IF(D1678&lt;=$A$15, E1677+LN($D$11)-LN(60/$E$11)-LN(MIN(D1678,$F$11)), E1677+LN($D$11)+LN(1-$H$11)-LN(60/$E$11)-LN(MIN(D1678,$F$11))))</f>
        <v>-199.04130377367292</v>
      </c>
      <c r="F1678" s="1">
        <f t="shared" si="155"/>
        <v>-201.04333658287197</v>
      </c>
      <c r="G1678" s="1">
        <f t="shared" si="153"/>
        <v>4.8751535461699483E-88</v>
      </c>
      <c r="H1678" s="1">
        <f t="shared" si="150"/>
        <v>4.7853182390427327E-89</v>
      </c>
      <c r="I1678">
        <f>IF($F$11&lt;=D1678, IF(D1678&lt;=$A$15,D1678-$F$11,$C$11),0)</f>
        <v>60</v>
      </c>
      <c r="J1678">
        <f t="shared" si="151"/>
        <v>1591</v>
      </c>
      <c r="K1678" s="5">
        <f>IF(D1678&lt;$F$11,H1678,0)</f>
        <v>0</v>
      </c>
      <c r="L1678">
        <f>IF(D1678&lt;$A$15,$D$11,$D$11*(1-$H$11))</f>
        <v>85</v>
      </c>
      <c r="M1678">
        <f t="shared" si="152"/>
        <v>1</v>
      </c>
      <c r="N1678">
        <f>IF(SUM(I1678:J1678)&lt;=($G$11/60*$F$11/($E$11/60)),1,0)</f>
        <v>0</v>
      </c>
    </row>
    <row r="1679" spans="4:14" x14ac:dyDescent="0.2">
      <c r="D1679">
        <f t="shared" si="154"/>
        <v>1656</v>
      </c>
      <c r="E1679" s="1">
        <f>IF($H$11=1,IF(D1679&lt;=$A$15, E1678+LN($D$11)-LN(60/$E$11)-LN(MIN(D1679,$F$11)), E1678-LN(60/$E$11)-LN(MIN(D1679,$F$11))), IF(D1679&lt;=$A$15, E1678+LN($D$11)-LN(60/$E$11)-LN(MIN(D1679,$F$11)), E1678+LN($D$11)+LN(1-$H$11)-LN(60/$E$11)-LN(MIN(D1679,$F$11))))</f>
        <v>-199.16300070865046</v>
      </c>
      <c r="F1679" s="1">
        <f t="shared" si="155"/>
        <v>-201.16503351784951</v>
      </c>
      <c r="G1679" s="1">
        <f t="shared" si="153"/>
        <v>4.3165422023379074E-88</v>
      </c>
      <c r="H1679" s="1">
        <f t="shared" si="150"/>
        <v>4.2370005241523528E-89</v>
      </c>
      <c r="I1679">
        <f>IF($F$11&lt;=D1679, IF(D1679&lt;=$A$15,D1679-$F$11,$C$11),0)</f>
        <v>60</v>
      </c>
      <c r="J1679">
        <f t="shared" si="151"/>
        <v>1592</v>
      </c>
      <c r="K1679" s="5">
        <f>IF(D1679&lt;$F$11,H1679,0)</f>
        <v>0</v>
      </c>
      <c r="L1679">
        <f>IF(D1679&lt;$A$15,$D$11,$D$11*(1-$H$11))</f>
        <v>85</v>
      </c>
      <c r="M1679">
        <f t="shared" si="152"/>
        <v>1</v>
      </c>
      <c r="N1679">
        <f>IF(SUM(I1679:J1679)&lt;=($G$11/60*$F$11/($E$11/60)),1,0)</f>
        <v>0</v>
      </c>
    </row>
    <row r="1680" spans="4:14" x14ac:dyDescent="0.2">
      <c r="D1680">
        <f t="shared" si="154"/>
        <v>1657</v>
      </c>
      <c r="E1680" s="1">
        <f>IF($H$11=1,IF(D1680&lt;=$A$15, E1679+LN($D$11)-LN(60/$E$11)-LN(MIN(D1680,$F$11)), E1679-LN(60/$E$11)-LN(MIN(D1680,$F$11))), IF(D1680&lt;=$A$15, E1679+LN($D$11)-LN(60/$E$11)-LN(MIN(D1680,$F$11)), E1679+LN($D$11)+LN(1-$H$11)-LN(60/$E$11)-LN(MIN(D1680,$F$11))))</f>
        <v>-199.28469764362799</v>
      </c>
      <c r="F1680" s="1">
        <f t="shared" si="155"/>
        <v>-201.28673045282704</v>
      </c>
      <c r="G1680" s="1">
        <f t="shared" si="153"/>
        <v>3.8219384083199628E-88</v>
      </c>
      <c r="H1680" s="1">
        <f t="shared" si="150"/>
        <v>3.7515108807598372E-89</v>
      </c>
      <c r="I1680">
        <f>IF($F$11&lt;=D1680, IF(D1680&lt;=$A$15,D1680-$F$11,$C$11),0)</f>
        <v>60</v>
      </c>
      <c r="J1680">
        <f t="shared" si="151"/>
        <v>1593</v>
      </c>
      <c r="K1680" s="5">
        <f>IF(D1680&lt;$F$11,H1680,0)</f>
        <v>0</v>
      </c>
      <c r="L1680">
        <f>IF(D1680&lt;$A$15,$D$11,$D$11*(1-$H$11))</f>
        <v>85</v>
      </c>
      <c r="M1680">
        <f t="shared" si="152"/>
        <v>1</v>
      </c>
      <c r="N1680">
        <f>IF(SUM(I1680:J1680)&lt;=($G$11/60*$F$11/($E$11/60)),1,0)</f>
        <v>0</v>
      </c>
    </row>
    <row r="1681" spans="4:14" x14ac:dyDescent="0.2">
      <c r="D1681">
        <f t="shared" si="154"/>
        <v>1658</v>
      </c>
      <c r="E1681" s="1">
        <f>IF($H$11=1,IF(D1681&lt;=$A$15, E1680+LN($D$11)-LN(60/$E$11)-LN(MIN(D1681,$F$11)), E1680-LN(60/$E$11)-LN(MIN(D1681,$F$11))), IF(D1681&lt;=$A$15, E1680+LN($D$11)-LN(60/$E$11)-LN(MIN(D1681,$F$11)), E1680+LN($D$11)+LN(1-$H$11)-LN(60/$E$11)-LN(MIN(D1681,$F$11))))</f>
        <v>-199.40639457860553</v>
      </c>
      <c r="F1681" s="1">
        <f t="shared" si="155"/>
        <v>-201.40842738780458</v>
      </c>
      <c r="G1681" s="1">
        <f t="shared" si="153"/>
        <v>3.3840079656999142E-88</v>
      </c>
      <c r="H1681" s="1">
        <f t="shared" si="150"/>
        <v>3.3216502590060543E-89</v>
      </c>
      <c r="I1681">
        <f>IF($F$11&lt;=D1681, IF(D1681&lt;=$A$15,D1681-$F$11,$C$11),0)</f>
        <v>60</v>
      </c>
      <c r="J1681">
        <f t="shared" si="151"/>
        <v>1594</v>
      </c>
      <c r="K1681" s="5">
        <f>IF(D1681&lt;$F$11,H1681,0)</f>
        <v>0</v>
      </c>
      <c r="L1681">
        <f>IF(D1681&lt;$A$15,$D$11,$D$11*(1-$H$11))</f>
        <v>85</v>
      </c>
      <c r="M1681">
        <f t="shared" si="152"/>
        <v>1</v>
      </c>
      <c r="N1681">
        <f>IF(SUM(I1681:J1681)&lt;=($G$11/60*$F$11/($E$11/60)),1,0)</f>
        <v>0</v>
      </c>
    </row>
    <row r="1682" spans="4:14" x14ac:dyDescent="0.2">
      <c r="D1682">
        <f t="shared" si="154"/>
        <v>1659</v>
      </c>
      <c r="E1682" s="1">
        <f>IF($H$11=1,IF(D1682&lt;=$A$15, E1681+LN($D$11)-LN(60/$E$11)-LN(MIN(D1682,$F$11)), E1681-LN(60/$E$11)-LN(MIN(D1682,$F$11))), IF(D1682&lt;=$A$15, E1681+LN($D$11)-LN(60/$E$11)-LN(MIN(D1682,$F$11)), E1681+LN($D$11)+LN(1-$H$11)-LN(60/$E$11)-LN(MIN(D1682,$F$11))))</f>
        <v>-199.52809151358306</v>
      </c>
      <c r="F1682" s="1">
        <f t="shared" si="155"/>
        <v>-201.53012432278211</v>
      </c>
      <c r="G1682" s="1">
        <f t="shared" si="153"/>
        <v>2.9962570529634188E-88</v>
      </c>
      <c r="H1682" s="1">
        <f t="shared" si="150"/>
        <v>2.9410445001615646E-89</v>
      </c>
      <c r="I1682">
        <f>IF($F$11&lt;=D1682, IF(D1682&lt;=$A$15,D1682-$F$11,$C$11),0)</f>
        <v>60</v>
      </c>
      <c r="J1682">
        <f t="shared" si="151"/>
        <v>1595</v>
      </c>
      <c r="K1682" s="5">
        <f>IF(D1682&lt;$F$11,H1682,0)</f>
        <v>0</v>
      </c>
      <c r="L1682">
        <f>IF(D1682&lt;$A$15,$D$11,$D$11*(1-$H$11))</f>
        <v>85</v>
      </c>
      <c r="M1682">
        <f t="shared" si="152"/>
        <v>1</v>
      </c>
      <c r="N1682">
        <f>IF(SUM(I1682:J1682)&lt;=($G$11/60*$F$11/($E$11/60)),1,0)</f>
        <v>0</v>
      </c>
    </row>
    <row r="1683" spans="4:14" x14ac:dyDescent="0.2">
      <c r="D1683">
        <f t="shared" si="154"/>
        <v>1660</v>
      </c>
      <c r="E1683" s="1">
        <f>IF($H$11=1,IF(D1683&lt;=$A$15, E1682+LN($D$11)-LN(60/$E$11)-LN(MIN(D1683,$F$11)), E1682-LN(60/$E$11)-LN(MIN(D1683,$F$11))), IF(D1683&lt;=$A$15, E1682+LN($D$11)-LN(60/$E$11)-LN(MIN(D1683,$F$11)), E1682+LN($D$11)+LN(1-$H$11)-LN(60/$E$11)-LN(MIN(D1683,$F$11))))</f>
        <v>-199.6497884485606</v>
      </c>
      <c r="F1683" s="1">
        <f t="shared" si="155"/>
        <v>-201.65182125775965</v>
      </c>
      <c r="G1683" s="1">
        <f t="shared" si="153"/>
        <v>2.6529359323113189E-88</v>
      </c>
      <c r="H1683" s="1">
        <f t="shared" si="150"/>
        <v>2.6040498178513443E-89</v>
      </c>
      <c r="I1683">
        <f>IF($F$11&lt;=D1683, IF(D1683&lt;=$A$15,D1683-$F$11,$C$11),0)</f>
        <v>60</v>
      </c>
      <c r="J1683">
        <f t="shared" si="151"/>
        <v>1596</v>
      </c>
      <c r="K1683" s="5">
        <f>IF(D1683&lt;$F$11,H1683,0)</f>
        <v>0</v>
      </c>
      <c r="L1683">
        <f>IF(D1683&lt;$A$15,$D$11,$D$11*(1-$H$11))</f>
        <v>85</v>
      </c>
      <c r="M1683">
        <f t="shared" si="152"/>
        <v>1</v>
      </c>
      <c r="N1683">
        <f>IF(SUM(I1683:J1683)&lt;=($G$11/60*$F$11/($E$11/60)),1,0)</f>
        <v>0</v>
      </c>
    </row>
    <row r="1684" spans="4:14" x14ac:dyDescent="0.2">
      <c r="D1684">
        <f t="shared" si="154"/>
        <v>1661</v>
      </c>
      <c r="E1684" s="1">
        <f>IF($H$11=1,IF(D1684&lt;=$A$15, E1683+LN($D$11)-LN(60/$E$11)-LN(MIN(D1684,$F$11)), E1683-LN(60/$E$11)-LN(MIN(D1684,$F$11))), IF(D1684&lt;=$A$15, E1683+LN($D$11)-LN(60/$E$11)-LN(MIN(D1684,$F$11)), E1683+LN($D$11)+LN(1-$H$11)-LN(60/$E$11)-LN(MIN(D1684,$F$11))))</f>
        <v>-199.77148538353813</v>
      </c>
      <c r="F1684" s="1">
        <f t="shared" si="155"/>
        <v>-201.77351819273719</v>
      </c>
      <c r="G1684" s="1">
        <f t="shared" si="153"/>
        <v>2.3489536900672767E-88</v>
      </c>
      <c r="H1684" s="1">
        <f t="shared" si="150"/>
        <v>2.3056691095558416E-89</v>
      </c>
      <c r="I1684">
        <f>IF($F$11&lt;=D1684, IF(D1684&lt;=$A$15,D1684-$F$11,$C$11),0)</f>
        <v>60</v>
      </c>
      <c r="J1684">
        <f t="shared" si="151"/>
        <v>1597</v>
      </c>
      <c r="K1684" s="5">
        <f>IF(D1684&lt;$F$11,H1684,0)</f>
        <v>0</v>
      </c>
      <c r="L1684">
        <f>IF(D1684&lt;$A$15,$D$11,$D$11*(1-$H$11))</f>
        <v>85</v>
      </c>
      <c r="M1684">
        <f t="shared" si="152"/>
        <v>1</v>
      </c>
      <c r="N1684">
        <f>IF(SUM(I1684:J1684)&lt;=($G$11/60*$F$11/($E$11/60)),1,0)</f>
        <v>0</v>
      </c>
    </row>
    <row r="1685" spans="4:14" x14ac:dyDescent="0.2">
      <c r="D1685">
        <f t="shared" si="154"/>
        <v>1662</v>
      </c>
      <c r="E1685" s="1">
        <f>IF($H$11=1,IF(D1685&lt;=$A$15, E1684+LN($D$11)-LN(60/$E$11)-LN(MIN(D1685,$F$11)), E1684-LN(60/$E$11)-LN(MIN(D1685,$F$11))), IF(D1685&lt;=$A$15, E1684+LN($D$11)-LN(60/$E$11)-LN(MIN(D1685,$F$11)), E1684+LN($D$11)+LN(1-$H$11)-LN(60/$E$11)-LN(MIN(D1685,$F$11))))</f>
        <v>-199.89318231851567</v>
      </c>
      <c r="F1685" s="1">
        <f t="shared" si="155"/>
        <v>-201.89521512771472</v>
      </c>
      <c r="G1685" s="1">
        <f t="shared" si="153"/>
        <v>2.0798027464137021E-88</v>
      </c>
      <c r="H1685" s="1">
        <f t="shared" si="150"/>
        <v>2.0414778574192029E-89</v>
      </c>
      <c r="I1685">
        <f>IF($F$11&lt;=D1685, IF(D1685&lt;=$A$15,D1685-$F$11,$C$11),0)</f>
        <v>60</v>
      </c>
      <c r="J1685">
        <f t="shared" si="151"/>
        <v>1598</v>
      </c>
      <c r="K1685" s="5">
        <f>IF(D1685&lt;$F$11,H1685,0)</f>
        <v>0</v>
      </c>
      <c r="L1685">
        <f>IF(D1685&lt;$A$15,$D$11,$D$11*(1-$H$11))</f>
        <v>85</v>
      </c>
      <c r="M1685">
        <f t="shared" si="152"/>
        <v>1</v>
      </c>
      <c r="N1685">
        <f>IF(SUM(I1685:J1685)&lt;=($G$11/60*$F$11/($E$11/60)),1,0)</f>
        <v>0</v>
      </c>
    </row>
    <row r="1686" spans="4:14" x14ac:dyDescent="0.2">
      <c r="D1686">
        <f t="shared" si="154"/>
        <v>1663</v>
      </c>
      <c r="E1686" s="1">
        <f>IF($H$11=1,IF(D1686&lt;=$A$15, E1685+LN($D$11)-LN(60/$E$11)-LN(MIN(D1686,$F$11)), E1685-LN(60/$E$11)-LN(MIN(D1686,$F$11))), IF(D1686&lt;=$A$15, E1685+LN($D$11)-LN(60/$E$11)-LN(MIN(D1686,$F$11)), E1685+LN($D$11)+LN(1-$H$11)-LN(60/$E$11)-LN(MIN(D1686,$F$11))))</f>
        <v>-200.01487925349321</v>
      </c>
      <c r="F1686" s="1">
        <f t="shared" si="155"/>
        <v>-202.01691206269226</v>
      </c>
      <c r="G1686" s="1">
        <f t="shared" si="153"/>
        <v>1.84149201505377E-88</v>
      </c>
      <c r="H1686" s="1">
        <f t="shared" si="150"/>
        <v>1.807558519589891E-89</v>
      </c>
      <c r="I1686">
        <f>IF($F$11&lt;=D1686, IF(D1686&lt;=$A$15,D1686-$F$11,$C$11),0)</f>
        <v>60</v>
      </c>
      <c r="J1686">
        <f t="shared" si="151"/>
        <v>1599</v>
      </c>
      <c r="K1686" s="5">
        <f>IF(D1686&lt;$F$11,H1686,0)</f>
        <v>0</v>
      </c>
      <c r="L1686">
        <f>IF(D1686&lt;$A$15,$D$11,$D$11*(1-$H$11))</f>
        <v>85</v>
      </c>
      <c r="M1686">
        <f t="shared" si="152"/>
        <v>1</v>
      </c>
      <c r="N1686">
        <f>IF(SUM(I1686:J1686)&lt;=($G$11/60*$F$11/($E$11/60)),1,0)</f>
        <v>0</v>
      </c>
    </row>
    <row r="1687" spans="4:14" x14ac:dyDescent="0.2">
      <c r="D1687">
        <f t="shared" si="154"/>
        <v>1664</v>
      </c>
      <c r="E1687" s="1">
        <f>IF($H$11=1,IF(D1687&lt;=$A$15, E1686+LN($D$11)-LN(60/$E$11)-LN(MIN(D1687,$F$11)), E1686-LN(60/$E$11)-LN(MIN(D1687,$F$11))), IF(D1687&lt;=$A$15, E1686+LN($D$11)-LN(60/$E$11)-LN(MIN(D1687,$F$11)), E1686+LN($D$11)+LN(1-$H$11)-LN(60/$E$11)-LN(MIN(D1687,$F$11))))</f>
        <v>-200.13657618847074</v>
      </c>
      <c r="F1687" s="1">
        <f t="shared" si="155"/>
        <v>-202.13860899766979</v>
      </c>
      <c r="G1687" s="1">
        <f t="shared" si="153"/>
        <v>1.6304877216621667E-88</v>
      </c>
      <c r="H1687" s="1">
        <f t="shared" ref="H1687:H1750" si="156">G1687/$G$21</f>
        <v>1.6004424392201911E-89</v>
      </c>
      <c r="I1687">
        <f>IF($F$11&lt;=D1687, IF(D1687&lt;=$A$15,D1687-$F$11,$C$11),0)</f>
        <v>60</v>
      </c>
      <c r="J1687">
        <f t="shared" ref="J1687:J1750" si="157">IF(D1687&lt;=$A$15,0,D1687-$A$15)</f>
        <v>1600</v>
      </c>
      <c r="K1687" s="5">
        <f>IF(D1687&lt;$F$11,H1687,0)</f>
        <v>0</v>
      </c>
      <c r="L1687">
        <f>IF(D1687&lt;$A$15,$D$11,$D$11*(1-$H$11))</f>
        <v>85</v>
      </c>
      <c r="M1687">
        <f t="shared" ref="M1687:M1750" si="158">IF(D1687&lt;$A$15,0,1)</f>
        <v>1</v>
      </c>
      <c r="N1687">
        <f>IF(SUM(I1687:J1687)&lt;=($G$11/60*$F$11/($E$11/60)),1,0)</f>
        <v>0</v>
      </c>
    </row>
    <row r="1688" spans="4:14" x14ac:dyDescent="0.2">
      <c r="D1688">
        <f t="shared" si="154"/>
        <v>1665</v>
      </c>
      <c r="E1688" s="1">
        <f>IF($H$11=1,IF(D1688&lt;=$A$15, E1687+LN($D$11)-LN(60/$E$11)-LN(MIN(D1688,$F$11)), E1687-LN(60/$E$11)-LN(MIN(D1688,$F$11))), IF(D1688&lt;=$A$15, E1687+LN($D$11)-LN(60/$E$11)-LN(MIN(D1688,$F$11)), E1687+LN($D$11)+LN(1-$H$11)-LN(60/$E$11)-LN(MIN(D1688,$F$11))))</f>
        <v>-200.25827312344828</v>
      </c>
      <c r="F1688" s="1">
        <f t="shared" si="155"/>
        <v>-202.26030593264733</v>
      </c>
      <c r="G1688" s="1">
        <f t="shared" ref="G1688:G1751" si="159">EXP(F1688)</f>
        <v>1.4436610035550207E-88</v>
      </c>
      <c r="H1688" s="1">
        <f t="shared" si="156"/>
        <v>1.4170584097261886E-89</v>
      </c>
      <c r="I1688">
        <f>IF($F$11&lt;=D1688, IF(D1688&lt;=$A$15,D1688-$F$11,$C$11),0)</f>
        <v>60</v>
      </c>
      <c r="J1688">
        <f t="shared" si="157"/>
        <v>1601</v>
      </c>
      <c r="K1688" s="5">
        <f>IF(D1688&lt;$F$11,H1688,0)</f>
        <v>0</v>
      </c>
      <c r="L1688">
        <f>IF(D1688&lt;$A$15,$D$11,$D$11*(1-$H$11))</f>
        <v>85</v>
      </c>
      <c r="M1688">
        <f t="shared" si="158"/>
        <v>1</v>
      </c>
      <c r="N1688">
        <f>IF(SUM(I1688:J1688)&lt;=($G$11/60*$F$11/($E$11/60)),1,0)</f>
        <v>0</v>
      </c>
    </row>
    <row r="1689" spans="4:14" x14ac:dyDescent="0.2">
      <c r="D1689">
        <f t="shared" ref="D1689:D1752" si="160">1+D1688</f>
        <v>1666</v>
      </c>
      <c r="E1689" s="1">
        <f>IF($H$11=1,IF(D1689&lt;=$A$15, E1688+LN($D$11)-LN(60/$E$11)-LN(MIN(D1689,$F$11)), E1688-LN(60/$E$11)-LN(MIN(D1689,$F$11))), IF(D1689&lt;=$A$15, E1688+LN($D$11)-LN(60/$E$11)-LN(MIN(D1689,$F$11)), E1688+LN($D$11)+LN(1-$H$11)-LN(60/$E$11)-LN(MIN(D1689,$F$11))))</f>
        <v>-200.37997005842581</v>
      </c>
      <c r="F1689" s="1">
        <f t="shared" ref="F1689:F1752" si="161">E1689-$E$21</f>
        <v>-202.38200286762486</v>
      </c>
      <c r="G1689" s="1">
        <f t="shared" si="159"/>
        <v>1.2782415135643212E-88</v>
      </c>
      <c r="H1689" s="1">
        <f t="shared" si="156"/>
        <v>1.2546871336117098E-89</v>
      </c>
      <c r="I1689">
        <f>IF($F$11&lt;=D1689, IF(D1689&lt;=$A$15,D1689-$F$11,$C$11),0)</f>
        <v>60</v>
      </c>
      <c r="J1689">
        <f t="shared" si="157"/>
        <v>1602</v>
      </c>
      <c r="K1689" s="5">
        <f>IF(D1689&lt;$F$11,H1689,0)</f>
        <v>0</v>
      </c>
      <c r="L1689">
        <f>IF(D1689&lt;$A$15,$D$11,$D$11*(1-$H$11))</f>
        <v>85</v>
      </c>
      <c r="M1689">
        <f t="shared" si="158"/>
        <v>1</v>
      </c>
      <c r="N1689">
        <f>IF(SUM(I1689:J1689)&lt;=($G$11/60*$F$11/($E$11/60)),1,0)</f>
        <v>0</v>
      </c>
    </row>
    <row r="1690" spans="4:14" x14ac:dyDescent="0.2">
      <c r="D1690">
        <f t="shared" si="160"/>
        <v>1667</v>
      </c>
      <c r="E1690" s="1">
        <f>IF($H$11=1,IF(D1690&lt;=$A$15, E1689+LN($D$11)-LN(60/$E$11)-LN(MIN(D1690,$F$11)), E1689-LN(60/$E$11)-LN(MIN(D1690,$F$11))), IF(D1690&lt;=$A$15, E1689+LN($D$11)-LN(60/$E$11)-LN(MIN(D1690,$F$11)), E1689+LN($D$11)+LN(1-$H$11)-LN(60/$E$11)-LN(MIN(D1690,$F$11))))</f>
        <v>-200.50166699340335</v>
      </c>
      <c r="F1690" s="1">
        <f t="shared" si="161"/>
        <v>-202.5036998026024</v>
      </c>
      <c r="G1690" s="1">
        <f t="shared" si="159"/>
        <v>1.1317763401350584E-88</v>
      </c>
      <c r="H1690" s="1">
        <f t="shared" si="156"/>
        <v>1.1109208995520174E-89</v>
      </c>
      <c r="I1690">
        <f>IF($F$11&lt;=D1690, IF(D1690&lt;=$A$15,D1690-$F$11,$C$11),0)</f>
        <v>60</v>
      </c>
      <c r="J1690">
        <f t="shared" si="157"/>
        <v>1603</v>
      </c>
      <c r="K1690" s="5">
        <f>IF(D1690&lt;$F$11,H1690,0)</f>
        <v>0</v>
      </c>
      <c r="L1690">
        <f>IF(D1690&lt;$A$15,$D$11,$D$11*(1-$H$11))</f>
        <v>85</v>
      </c>
      <c r="M1690">
        <f t="shared" si="158"/>
        <v>1</v>
      </c>
      <c r="N1690">
        <f>IF(SUM(I1690:J1690)&lt;=($G$11/60*$F$11/($E$11/60)),1,0)</f>
        <v>0</v>
      </c>
    </row>
    <row r="1691" spans="4:14" x14ac:dyDescent="0.2">
      <c r="D1691">
        <f t="shared" si="160"/>
        <v>1668</v>
      </c>
      <c r="E1691" s="1">
        <f>IF($H$11=1,IF(D1691&lt;=$A$15, E1690+LN($D$11)-LN(60/$E$11)-LN(MIN(D1691,$F$11)), E1690-LN(60/$E$11)-LN(MIN(D1691,$F$11))), IF(D1691&lt;=$A$15, E1690+LN($D$11)-LN(60/$E$11)-LN(MIN(D1691,$F$11)), E1690+LN($D$11)+LN(1-$H$11)-LN(60/$E$11)-LN(MIN(D1691,$F$11))))</f>
        <v>-200.62336392838088</v>
      </c>
      <c r="F1691" s="1">
        <f t="shared" si="161"/>
        <v>-202.62539673757993</v>
      </c>
      <c r="G1691" s="1">
        <f t="shared" si="159"/>
        <v>1.0020936344945673E-88</v>
      </c>
      <c r="H1691" s="1">
        <f t="shared" si="156"/>
        <v>9.8362787981166671E-90</v>
      </c>
      <c r="I1691">
        <f>IF($F$11&lt;=D1691, IF(D1691&lt;=$A$15,D1691-$F$11,$C$11),0)</f>
        <v>60</v>
      </c>
      <c r="J1691">
        <f t="shared" si="157"/>
        <v>1604</v>
      </c>
      <c r="K1691" s="5">
        <f>IF(D1691&lt;$F$11,H1691,0)</f>
        <v>0</v>
      </c>
      <c r="L1691">
        <f>IF(D1691&lt;$A$15,$D$11,$D$11*(1-$H$11))</f>
        <v>85</v>
      </c>
      <c r="M1691">
        <f t="shared" si="158"/>
        <v>1</v>
      </c>
      <c r="N1691">
        <f>IF(SUM(I1691:J1691)&lt;=($G$11/60*$F$11/($E$11/60)),1,0)</f>
        <v>0</v>
      </c>
    </row>
    <row r="1692" spans="4:14" x14ac:dyDescent="0.2">
      <c r="D1692">
        <f t="shared" si="160"/>
        <v>1669</v>
      </c>
      <c r="E1692" s="1">
        <f>IF($H$11=1,IF(D1692&lt;=$A$15, E1691+LN($D$11)-LN(60/$E$11)-LN(MIN(D1692,$F$11)), E1691-LN(60/$E$11)-LN(MIN(D1692,$F$11))), IF(D1692&lt;=$A$15, E1691+LN($D$11)-LN(60/$E$11)-LN(MIN(D1692,$F$11)), E1691+LN($D$11)+LN(1-$H$11)-LN(60/$E$11)-LN(MIN(D1692,$F$11))))</f>
        <v>-200.74506086335842</v>
      </c>
      <c r="F1692" s="1">
        <f t="shared" si="161"/>
        <v>-202.74709367255747</v>
      </c>
      <c r="G1692" s="1">
        <f t="shared" si="159"/>
        <v>8.8727040554205103E-89</v>
      </c>
      <c r="H1692" s="1">
        <f t="shared" si="156"/>
        <v>8.7092051858323307E-90</v>
      </c>
      <c r="I1692">
        <f>IF($F$11&lt;=D1692, IF(D1692&lt;=$A$15,D1692-$F$11,$C$11),0)</f>
        <v>60</v>
      </c>
      <c r="J1692">
        <f t="shared" si="157"/>
        <v>1605</v>
      </c>
      <c r="K1692" s="5">
        <f>IF(D1692&lt;$F$11,H1692,0)</f>
        <v>0</v>
      </c>
      <c r="L1692">
        <f>IF(D1692&lt;$A$15,$D$11,$D$11*(1-$H$11))</f>
        <v>85</v>
      </c>
      <c r="M1692">
        <f t="shared" si="158"/>
        <v>1</v>
      </c>
      <c r="N1692">
        <f>IF(SUM(I1692:J1692)&lt;=($G$11/60*$F$11/($E$11/60)),1,0)</f>
        <v>0</v>
      </c>
    </row>
    <row r="1693" spans="4:14" x14ac:dyDescent="0.2">
      <c r="D1693">
        <f t="shared" si="160"/>
        <v>1670</v>
      </c>
      <c r="E1693" s="1">
        <f>IF($H$11=1,IF(D1693&lt;=$A$15, E1692+LN($D$11)-LN(60/$E$11)-LN(MIN(D1693,$F$11)), E1692-LN(60/$E$11)-LN(MIN(D1693,$F$11))), IF(D1693&lt;=$A$15, E1692+LN($D$11)-LN(60/$E$11)-LN(MIN(D1693,$F$11)), E1692+LN($D$11)+LN(1-$H$11)-LN(60/$E$11)-LN(MIN(D1693,$F$11))))</f>
        <v>-200.86675779833595</v>
      </c>
      <c r="F1693" s="1">
        <f t="shared" si="161"/>
        <v>-202.868790607535</v>
      </c>
      <c r="G1693" s="1">
        <f t="shared" si="159"/>
        <v>7.856040049070121E-89</v>
      </c>
      <c r="H1693" s="1">
        <f t="shared" si="156"/>
        <v>7.7112754249555882E-90</v>
      </c>
      <c r="I1693">
        <f>IF($F$11&lt;=D1693, IF(D1693&lt;=$A$15,D1693-$F$11,$C$11),0)</f>
        <v>60</v>
      </c>
      <c r="J1693">
        <f t="shared" si="157"/>
        <v>1606</v>
      </c>
      <c r="K1693" s="5">
        <f>IF(D1693&lt;$F$11,H1693,0)</f>
        <v>0</v>
      </c>
      <c r="L1693">
        <f>IF(D1693&lt;$A$15,$D$11,$D$11*(1-$H$11))</f>
        <v>85</v>
      </c>
      <c r="M1693">
        <f t="shared" si="158"/>
        <v>1</v>
      </c>
      <c r="N1693">
        <f>IF(SUM(I1693:J1693)&lt;=($G$11/60*$F$11/($E$11/60)),1,0)</f>
        <v>0</v>
      </c>
    </row>
    <row r="1694" spans="4:14" x14ac:dyDescent="0.2">
      <c r="D1694">
        <f t="shared" si="160"/>
        <v>1671</v>
      </c>
      <c r="E1694" s="1">
        <f>IF($H$11=1,IF(D1694&lt;=$A$15, E1693+LN($D$11)-LN(60/$E$11)-LN(MIN(D1694,$F$11)), E1693-LN(60/$E$11)-LN(MIN(D1694,$F$11))), IF(D1694&lt;=$A$15, E1693+LN($D$11)-LN(60/$E$11)-LN(MIN(D1694,$F$11)), E1693+LN($D$11)+LN(1-$H$11)-LN(60/$E$11)-LN(MIN(D1694,$F$11))))</f>
        <v>-200.98845473331349</v>
      </c>
      <c r="F1694" s="1">
        <f t="shared" si="161"/>
        <v>-202.99048754251254</v>
      </c>
      <c r="G1694" s="1">
        <f t="shared" si="159"/>
        <v>6.9558687934473932E-89</v>
      </c>
      <c r="H1694" s="1">
        <f t="shared" si="156"/>
        <v>6.827691782512653E-90</v>
      </c>
      <c r="I1694">
        <f>IF($F$11&lt;=D1694, IF(D1694&lt;=$A$15,D1694-$F$11,$C$11),0)</f>
        <v>60</v>
      </c>
      <c r="J1694">
        <f t="shared" si="157"/>
        <v>1607</v>
      </c>
      <c r="K1694" s="5">
        <f>IF(D1694&lt;$F$11,H1694,0)</f>
        <v>0</v>
      </c>
      <c r="L1694">
        <f>IF(D1694&lt;$A$15,$D$11,$D$11*(1-$H$11))</f>
        <v>85</v>
      </c>
      <c r="M1694">
        <f t="shared" si="158"/>
        <v>1</v>
      </c>
      <c r="N1694">
        <f>IF(SUM(I1694:J1694)&lt;=($G$11/60*$F$11/($E$11/60)),1,0)</f>
        <v>0</v>
      </c>
    </row>
    <row r="1695" spans="4:14" x14ac:dyDescent="0.2">
      <c r="D1695">
        <f t="shared" si="160"/>
        <v>1672</v>
      </c>
      <c r="E1695" s="1">
        <f>IF($H$11=1,IF(D1695&lt;=$A$15, E1694+LN($D$11)-LN(60/$E$11)-LN(MIN(D1695,$F$11)), E1694-LN(60/$E$11)-LN(MIN(D1695,$F$11))), IF(D1695&lt;=$A$15, E1694+LN($D$11)-LN(60/$E$11)-LN(MIN(D1695,$F$11)), E1694+LN($D$11)+LN(1-$H$11)-LN(60/$E$11)-LN(MIN(D1695,$F$11))))</f>
        <v>-201.11015166829102</v>
      </c>
      <c r="F1695" s="1">
        <f t="shared" si="161"/>
        <v>-203.11218447749008</v>
      </c>
      <c r="G1695" s="1">
        <f t="shared" si="159"/>
        <v>6.1588421608647832E-89</v>
      </c>
      <c r="H1695" s="1">
        <f t="shared" si="156"/>
        <v>6.0453520990996505E-90</v>
      </c>
      <c r="I1695">
        <f>IF($F$11&lt;=D1695, IF(D1695&lt;=$A$15,D1695-$F$11,$C$11),0)</f>
        <v>60</v>
      </c>
      <c r="J1695">
        <f t="shared" si="157"/>
        <v>1608</v>
      </c>
      <c r="K1695" s="5">
        <f>IF(D1695&lt;$F$11,H1695,0)</f>
        <v>0</v>
      </c>
      <c r="L1695">
        <f>IF(D1695&lt;$A$15,$D$11,$D$11*(1-$H$11))</f>
        <v>85</v>
      </c>
      <c r="M1695">
        <f t="shared" si="158"/>
        <v>1</v>
      </c>
      <c r="N1695">
        <f>IF(SUM(I1695:J1695)&lt;=($G$11/60*$F$11/($E$11/60)),1,0)</f>
        <v>0</v>
      </c>
    </row>
    <row r="1696" spans="4:14" x14ac:dyDescent="0.2">
      <c r="D1696">
        <f t="shared" si="160"/>
        <v>1673</v>
      </c>
      <c r="E1696" s="1">
        <f>IF($H$11=1,IF(D1696&lt;=$A$15, E1695+LN($D$11)-LN(60/$E$11)-LN(MIN(D1696,$F$11)), E1695-LN(60/$E$11)-LN(MIN(D1696,$F$11))), IF(D1696&lt;=$A$15, E1695+LN($D$11)-LN(60/$E$11)-LN(MIN(D1696,$F$11)), E1695+LN($D$11)+LN(1-$H$11)-LN(60/$E$11)-LN(MIN(D1696,$F$11))))</f>
        <v>-201.23184860326856</v>
      </c>
      <c r="F1696" s="1">
        <f t="shared" si="161"/>
        <v>-203.23388141246761</v>
      </c>
      <c r="G1696" s="1">
        <f t="shared" si="159"/>
        <v>5.453141496598942E-89</v>
      </c>
      <c r="H1696" s="1">
        <f t="shared" si="156"/>
        <v>5.3526555044110651E-90</v>
      </c>
      <c r="I1696">
        <f>IF($F$11&lt;=D1696, IF(D1696&lt;=$A$15,D1696-$F$11,$C$11),0)</f>
        <v>60</v>
      </c>
      <c r="J1696">
        <f t="shared" si="157"/>
        <v>1609</v>
      </c>
      <c r="K1696" s="5">
        <f>IF(D1696&lt;$F$11,H1696,0)</f>
        <v>0</v>
      </c>
      <c r="L1696">
        <f>IF(D1696&lt;$A$15,$D$11,$D$11*(1-$H$11))</f>
        <v>85</v>
      </c>
      <c r="M1696">
        <f t="shared" si="158"/>
        <v>1</v>
      </c>
      <c r="N1696">
        <f>IF(SUM(I1696:J1696)&lt;=($G$11/60*$F$11/($E$11/60)),1,0)</f>
        <v>0</v>
      </c>
    </row>
    <row r="1697" spans="4:14" x14ac:dyDescent="0.2">
      <c r="D1697">
        <f t="shared" si="160"/>
        <v>1674</v>
      </c>
      <c r="E1697" s="1">
        <f>IF($H$11=1,IF(D1697&lt;=$A$15, E1696+LN($D$11)-LN(60/$E$11)-LN(MIN(D1697,$F$11)), E1696-LN(60/$E$11)-LN(MIN(D1697,$F$11))), IF(D1697&lt;=$A$15, E1696+LN($D$11)-LN(60/$E$11)-LN(MIN(D1697,$F$11)), E1696+LN($D$11)+LN(1-$H$11)-LN(60/$E$11)-LN(MIN(D1697,$F$11))))</f>
        <v>-201.3535455382461</v>
      </c>
      <c r="F1697" s="1">
        <f t="shared" si="161"/>
        <v>-203.35557834744515</v>
      </c>
      <c r="G1697" s="1">
        <f t="shared" si="159"/>
        <v>4.8283023667802373E-89</v>
      </c>
      <c r="H1697" s="1">
        <f t="shared" si="156"/>
        <v>4.7393303945305561E-90</v>
      </c>
      <c r="I1697">
        <f>IF($F$11&lt;=D1697, IF(D1697&lt;=$A$15,D1697-$F$11,$C$11),0)</f>
        <v>60</v>
      </c>
      <c r="J1697">
        <f t="shared" si="157"/>
        <v>1610</v>
      </c>
      <c r="K1697" s="5">
        <f>IF(D1697&lt;$F$11,H1697,0)</f>
        <v>0</v>
      </c>
      <c r="L1697">
        <f>IF(D1697&lt;$A$15,$D$11,$D$11*(1-$H$11))</f>
        <v>85</v>
      </c>
      <c r="M1697">
        <f t="shared" si="158"/>
        <v>1</v>
      </c>
      <c r="N1697">
        <f>IF(SUM(I1697:J1697)&lt;=($G$11/60*$F$11/($E$11/60)),1,0)</f>
        <v>0</v>
      </c>
    </row>
    <row r="1698" spans="4:14" x14ac:dyDescent="0.2">
      <c r="D1698">
        <f t="shared" si="160"/>
        <v>1675</v>
      </c>
      <c r="E1698" s="1">
        <f>IF($H$11=1,IF(D1698&lt;=$A$15, E1697+LN($D$11)-LN(60/$E$11)-LN(MIN(D1698,$F$11)), E1697-LN(60/$E$11)-LN(MIN(D1698,$F$11))), IF(D1698&lt;=$A$15, E1697+LN($D$11)-LN(60/$E$11)-LN(MIN(D1698,$F$11)), E1697+LN($D$11)+LN(1-$H$11)-LN(60/$E$11)-LN(MIN(D1698,$F$11))))</f>
        <v>-201.47524247322363</v>
      </c>
      <c r="F1698" s="1">
        <f t="shared" si="161"/>
        <v>-203.47727528242268</v>
      </c>
      <c r="G1698" s="1">
        <f t="shared" si="159"/>
        <v>4.2750593872532685E-89</v>
      </c>
      <c r="H1698" s="1">
        <f t="shared" si="156"/>
        <v>4.1962821201571977E-90</v>
      </c>
      <c r="I1698">
        <f>IF($F$11&lt;=D1698, IF(D1698&lt;=$A$15,D1698-$F$11,$C$11),0)</f>
        <v>60</v>
      </c>
      <c r="J1698">
        <f t="shared" si="157"/>
        <v>1611</v>
      </c>
      <c r="K1698" s="5">
        <f>IF(D1698&lt;$F$11,H1698,0)</f>
        <v>0</v>
      </c>
      <c r="L1698">
        <f>IF(D1698&lt;$A$15,$D$11,$D$11*(1-$H$11))</f>
        <v>85</v>
      </c>
      <c r="M1698">
        <f t="shared" si="158"/>
        <v>1</v>
      </c>
      <c r="N1698">
        <f>IF(SUM(I1698:J1698)&lt;=($G$11/60*$F$11/($E$11/60)),1,0)</f>
        <v>0</v>
      </c>
    </row>
    <row r="1699" spans="4:14" x14ac:dyDescent="0.2">
      <c r="D1699">
        <f t="shared" si="160"/>
        <v>1676</v>
      </c>
      <c r="E1699" s="1">
        <f>IF($H$11=1,IF(D1699&lt;=$A$15, E1698+LN($D$11)-LN(60/$E$11)-LN(MIN(D1699,$F$11)), E1698-LN(60/$E$11)-LN(MIN(D1699,$F$11))), IF(D1699&lt;=$A$15, E1698+LN($D$11)-LN(60/$E$11)-LN(MIN(D1699,$F$11)), E1698+LN($D$11)+LN(1-$H$11)-LN(60/$E$11)-LN(MIN(D1699,$F$11))))</f>
        <v>-201.59693940820117</v>
      </c>
      <c r="F1699" s="1">
        <f t="shared" si="161"/>
        <v>-203.59897221740022</v>
      </c>
      <c r="G1699" s="1">
        <f t="shared" si="159"/>
        <v>3.7852088324637722E-89</v>
      </c>
      <c r="H1699" s="1">
        <f t="shared" si="156"/>
        <v>3.7154581272224608E-90</v>
      </c>
      <c r="I1699">
        <f>IF($F$11&lt;=D1699, IF(D1699&lt;=$A$15,D1699-$F$11,$C$11),0)</f>
        <v>60</v>
      </c>
      <c r="J1699">
        <f t="shared" si="157"/>
        <v>1612</v>
      </c>
      <c r="K1699" s="5">
        <f>IF(D1699&lt;$F$11,H1699,0)</f>
        <v>0</v>
      </c>
      <c r="L1699">
        <f>IF(D1699&lt;$A$15,$D$11,$D$11*(1-$H$11))</f>
        <v>85</v>
      </c>
      <c r="M1699">
        <f t="shared" si="158"/>
        <v>1</v>
      </c>
      <c r="N1699">
        <f>IF(SUM(I1699:J1699)&lt;=($G$11/60*$F$11/($E$11/60)),1,0)</f>
        <v>0</v>
      </c>
    </row>
    <row r="1700" spans="4:14" x14ac:dyDescent="0.2">
      <c r="D1700">
        <f t="shared" si="160"/>
        <v>1677</v>
      </c>
      <c r="E1700" s="1">
        <f>IF($H$11=1,IF(D1700&lt;=$A$15, E1699+LN($D$11)-LN(60/$E$11)-LN(MIN(D1700,$F$11)), E1699-LN(60/$E$11)-LN(MIN(D1700,$F$11))), IF(D1700&lt;=$A$15, E1699+LN($D$11)-LN(60/$E$11)-LN(MIN(D1700,$F$11)), E1699+LN($D$11)+LN(1-$H$11)-LN(60/$E$11)-LN(MIN(D1700,$F$11))))</f>
        <v>-201.7186363431787</v>
      </c>
      <c r="F1700" s="1">
        <f t="shared" si="161"/>
        <v>-203.72066915237775</v>
      </c>
      <c r="G1700" s="1">
        <f t="shared" si="159"/>
        <v>3.351486987077246E-89</v>
      </c>
      <c r="H1700" s="1">
        <f t="shared" si="156"/>
        <v>3.289728550144836E-90</v>
      </c>
      <c r="I1700">
        <f>IF($F$11&lt;=D1700, IF(D1700&lt;=$A$15,D1700-$F$11,$C$11),0)</f>
        <v>60</v>
      </c>
      <c r="J1700">
        <f t="shared" si="157"/>
        <v>1613</v>
      </c>
      <c r="K1700" s="5">
        <f>IF(D1700&lt;$F$11,H1700,0)</f>
        <v>0</v>
      </c>
      <c r="L1700">
        <f>IF(D1700&lt;$A$15,$D$11,$D$11*(1-$H$11))</f>
        <v>85</v>
      </c>
      <c r="M1700">
        <f t="shared" si="158"/>
        <v>1</v>
      </c>
      <c r="N1700">
        <f>IF(SUM(I1700:J1700)&lt;=($G$11/60*$F$11/($E$11/60)),1,0)</f>
        <v>0</v>
      </c>
    </row>
    <row r="1701" spans="4:14" x14ac:dyDescent="0.2">
      <c r="D1701">
        <f t="shared" si="160"/>
        <v>1678</v>
      </c>
      <c r="E1701" s="1">
        <f>IF($H$11=1,IF(D1701&lt;=$A$15, E1700+LN($D$11)-LN(60/$E$11)-LN(MIN(D1701,$F$11)), E1700-LN(60/$E$11)-LN(MIN(D1701,$F$11))), IF(D1701&lt;=$A$15, E1700+LN($D$11)-LN(60/$E$11)-LN(MIN(D1701,$F$11)), E1700+LN($D$11)+LN(1-$H$11)-LN(60/$E$11)-LN(MIN(D1701,$F$11))))</f>
        <v>-201.84033327815624</v>
      </c>
      <c r="F1701" s="1">
        <f t="shared" si="161"/>
        <v>-203.84236608735529</v>
      </c>
      <c r="G1701" s="1">
        <f t="shared" si="159"/>
        <v>2.9674624364745983E-89</v>
      </c>
      <c r="H1701" s="1">
        <f t="shared" si="156"/>
        <v>2.9127804871073611E-90</v>
      </c>
      <c r="I1701">
        <f>IF($F$11&lt;=D1701, IF(D1701&lt;=$A$15,D1701-$F$11,$C$11),0)</f>
        <v>60</v>
      </c>
      <c r="J1701">
        <f t="shared" si="157"/>
        <v>1614</v>
      </c>
      <c r="K1701" s="5">
        <f>IF(D1701&lt;$F$11,H1701,0)</f>
        <v>0</v>
      </c>
      <c r="L1701">
        <f>IF(D1701&lt;$A$15,$D$11,$D$11*(1-$H$11))</f>
        <v>85</v>
      </c>
      <c r="M1701">
        <f t="shared" si="158"/>
        <v>1</v>
      </c>
      <c r="N1701">
        <f>IF(SUM(I1701:J1701)&lt;=($G$11/60*$F$11/($E$11/60)),1,0)</f>
        <v>0</v>
      </c>
    </row>
    <row r="1702" spans="4:14" x14ac:dyDescent="0.2">
      <c r="D1702">
        <f t="shared" si="160"/>
        <v>1679</v>
      </c>
      <c r="E1702" s="1">
        <f>IF($H$11=1,IF(D1702&lt;=$A$15, E1701+LN($D$11)-LN(60/$E$11)-LN(MIN(D1702,$F$11)), E1701-LN(60/$E$11)-LN(MIN(D1702,$F$11))), IF(D1702&lt;=$A$15, E1701+LN($D$11)-LN(60/$E$11)-LN(MIN(D1702,$F$11)), E1701+LN($D$11)+LN(1-$H$11)-LN(60/$E$11)-LN(MIN(D1702,$F$11))))</f>
        <v>-201.96203021313377</v>
      </c>
      <c r="F1702" s="1">
        <f t="shared" si="161"/>
        <v>-203.96406302233282</v>
      </c>
      <c r="G1702" s="1">
        <f t="shared" si="159"/>
        <v>2.6274406989618429E-89</v>
      </c>
      <c r="H1702" s="1">
        <f t="shared" si="156"/>
        <v>2.579024389626269E-90</v>
      </c>
      <c r="I1702">
        <f>IF($F$11&lt;=D1702, IF(D1702&lt;=$A$15,D1702-$F$11,$C$11),0)</f>
        <v>60</v>
      </c>
      <c r="J1702">
        <f t="shared" si="157"/>
        <v>1615</v>
      </c>
      <c r="K1702" s="5">
        <f>IF(D1702&lt;$F$11,H1702,0)</f>
        <v>0</v>
      </c>
      <c r="L1702">
        <f>IF(D1702&lt;$A$15,$D$11,$D$11*(1-$H$11))</f>
        <v>85</v>
      </c>
      <c r="M1702">
        <f t="shared" si="158"/>
        <v>1</v>
      </c>
      <c r="N1702">
        <f>IF(SUM(I1702:J1702)&lt;=($G$11/60*$F$11/($E$11/60)),1,0)</f>
        <v>0</v>
      </c>
    </row>
    <row r="1703" spans="4:14" x14ac:dyDescent="0.2">
      <c r="D1703">
        <f t="shared" si="160"/>
        <v>1680</v>
      </c>
      <c r="E1703" s="1">
        <f>IF($H$11=1,IF(D1703&lt;=$A$15, E1702+LN($D$11)-LN(60/$E$11)-LN(MIN(D1703,$F$11)), E1702-LN(60/$E$11)-LN(MIN(D1703,$F$11))), IF(D1703&lt;=$A$15, E1702+LN($D$11)-LN(60/$E$11)-LN(MIN(D1703,$F$11)), E1702+LN($D$11)+LN(1-$H$11)-LN(60/$E$11)-LN(MIN(D1703,$F$11))))</f>
        <v>-202.08372714811131</v>
      </c>
      <c r="F1703" s="1">
        <f t="shared" si="161"/>
        <v>-204.08575995731036</v>
      </c>
      <c r="G1703" s="1">
        <f t="shared" si="159"/>
        <v>2.3263797855390953E-89</v>
      </c>
      <c r="H1703" s="1">
        <f t="shared" si="156"/>
        <v>2.2835111783148897E-90</v>
      </c>
      <c r="I1703">
        <f>IF($F$11&lt;=D1703, IF(D1703&lt;=$A$15,D1703-$F$11,$C$11),0)</f>
        <v>60</v>
      </c>
      <c r="J1703">
        <f t="shared" si="157"/>
        <v>1616</v>
      </c>
      <c r="K1703" s="5">
        <f>IF(D1703&lt;$F$11,H1703,0)</f>
        <v>0</v>
      </c>
      <c r="L1703">
        <f>IF(D1703&lt;$A$15,$D$11,$D$11*(1-$H$11))</f>
        <v>85</v>
      </c>
      <c r="M1703">
        <f t="shared" si="158"/>
        <v>1</v>
      </c>
      <c r="N1703">
        <f>IF(SUM(I1703:J1703)&lt;=($G$11/60*$F$11/($E$11/60)),1,0)</f>
        <v>0</v>
      </c>
    </row>
    <row r="1704" spans="4:14" x14ac:dyDescent="0.2">
      <c r="D1704">
        <f t="shared" si="160"/>
        <v>1681</v>
      </c>
      <c r="E1704" s="1">
        <f>IF($H$11=1,IF(D1704&lt;=$A$15, E1703+LN($D$11)-LN(60/$E$11)-LN(MIN(D1704,$F$11)), E1703-LN(60/$E$11)-LN(MIN(D1704,$F$11))), IF(D1704&lt;=$A$15, E1703+LN($D$11)-LN(60/$E$11)-LN(MIN(D1704,$F$11)), E1703+LN($D$11)+LN(1-$H$11)-LN(60/$E$11)-LN(MIN(D1704,$F$11))))</f>
        <v>-202.20542408308884</v>
      </c>
      <c r="F1704" s="1">
        <f t="shared" si="161"/>
        <v>-204.20745689228789</v>
      </c>
      <c r="G1704" s="1">
        <f t="shared" si="159"/>
        <v>2.0598154351127085E-89</v>
      </c>
      <c r="H1704" s="1">
        <f t="shared" si="156"/>
        <v>2.0218588557996108E-90</v>
      </c>
      <c r="I1704">
        <f>IF($F$11&lt;=D1704, IF(D1704&lt;=$A$15,D1704-$F$11,$C$11),0)</f>
        <v>60</v>
      </c>
      <c r="J1704">
        <f t="shared" si="157"/>
        <v>1617</v>
      </c>
      <c r="K1704" s="5">
        <f>IF(D1704&lt;$F$11,H1704,0)</f>
        <v>0</v>
      </c>
      <c r="L1704">
        <f>IF(D1704&lt;$A$15,$D$11,$D$11*(1-$H$11))</f>
        <v>85</v>
      </c>
      <c r="M1704">
        <f t="shared" si="158"/>
        <v>1</v>
      </c>
      <c r="N1704">
        <f>IF(SUM(I1704:J1704)&lt;=($G$11/60*$F$11/($E$11/60)),1,0)</f>
        <v>0</v>
      </c>
    </row>
    <row r="1705" spans="4:14" x14ac:dyDescent="0.2">
      <c r="D1705">
        <f t="shared" si="160"/>
        <v>1682</v>
      </c>
      <c r="E1705" s="1">
        <f>IF($H$11=1,IF(D1705&lt;=$A$15, E1704+LN($D$11)-LN(60/$E$11)-LN(MIN(D1705,$F$11)), E1704-LN(60/$E$11)-LN(MIN(D1705,$F$11))), IF(D1705&lt;=$A$15, E1704+LN($D$11)-LN(60/$E$11)-LN(MIN(D1705,$F$11)), E1704+LN($D$11)+LN(1-$H$11)-LN(60/$E$11)-LN(MIN(D1705,$F$11))))</f>
        <v>-202.32712101806638</v>
      </c>
      <c r="F1705" s="1">
        <f t="shared" si="161"/>
        <v>-204.32915382726543</v>
      </c>
      <c r="G1705" s="1">
        <f t="shared" si="159"/>
        <v>1.8237949165060154E-89</v>
      </c>
      <c r="H1705" s="1">
        <f t="shared" si="156"/>
        <v>1.7901875285725439E-90</v>
      </c>
      <c r="I1705">
        <f>IF($F$11&lt;=D1705, IF(D1705&lt;=$A$15,D1705-$F$11,$C$11),0)</f>
        <v>60</v>
      </c>
      <c r="J1705">
        <f t="shared" si="157"/>
        <v>1618</v>
      </c>
      <c r="K1705" s="5">
        <f>IF(D1705&lt;$F$11,H1705,0)</f>
        <v>0</v>
      </c>
      <c r="L1705">
        <f>IF(D1705&lt;$A$15,$D$11,$D$11*(1-$H$11))</f>
        <v>85</v>
      </c>
      <c r="M1705">
        <f t="shared" si="158"/>
        <v>1</v>
      </c>
      <c r="N1705">
        <f>IF(SUM(I1705:J1705)&lt;=($G$11/60*$F$11/($E$11/60)),1,0)</f>
        <v>0</v>
      </c>
    </row>
    <row r="1706" spans="4:14" x14ac:dyDescent="0.2">
      <c r="D1706">
        <f t="shared" si="160"/>
        <v>1683</v>
      </c>
      <c r="E1706" s="1">
        <f>IF($H$11=1,IF(D1706&lt;=$A$15, E1705+LN($D$11)-LN(60/$E$11)-LN(MIN(D1706,$F$11)), E1705-LN(60/$E$11)-LN(MIN(D1706,$F$11))), IF(D1706&lt;=$A$15, E1705+LN($D$11)-LN(60/$E$11)-LN(MIN(D1706,$F$11)), E1705+LN($D$11)+LN(1-$H$11)-LN(60/$E$11)-LN(MIN(D1706,$F$11))))</f>
        <v>-202.44881795304391</v>
      </c>
      <c r="F1706" s="1">
        <f t="shared" si="161"/>
        <v>-204.45085076224296</v>
      </c>
      <c r="G1706" s="1">
        <f t="shared" si="159"/>
        <v>1.6148184156563425E-89</v>
      </c>
      <c r="H1706" s="1">
        <f t="shared" si="156"/>
        <v>1.5850618742569151E-90</v>
      </c>
      <c r="I1706">
        <f>IF($F$11&lt;=D1706, IF(D1706&lt;=$A$15,D1706-$F$11,$C$11),0)</f>
        <v>60</v>
      </c>
      <c r="J1706">
        <f t="shared" si="157"/>
        <v>1619</v>
      </c>
      <c r="K1706" s="5">
        <f>IF(D1706&lt;$F$11,H1706,0)</f>
        <v>0</v>
      </c>
      <c r="L1706">
        <f>IF(D1706&lt;$A$15,$D$11,$D$11*(1-$H$11))</f>
        <v>85</v>
      </c>
      <c r="M1706">
        <f t="shared" si="158"/>
        <v>1</v>
      </c>
      <c r="N1706">
        <f>IF(SUM(I1706:J1706)&lt;=($G$11/60*$F$11/($E$11/60)),1,0)</f>
        <v>0</v>
      </c>
    </row>
    <row r="1707" spans="4:14" x14ac:dyDescent="0.2">
      <c r="D1707">
        <f t="shared" si="160"/>
        <v>1684</v>
      </c>
      <c r="E1707" s="1">
        <f>IF($H$11=1,IF(D1707&lt;=$A$15, E1706+LN($D$11)-LN(60/$E$11)-LN(MIN(D1707,$F$11)), E1706-LN(60/$E$11)-LN(MIN(D1707,$F$11))), IF(D1707&lt;=$A$15, E1706+LN($D$11)-LN(60/$E$11)-LN(MIN(D1707,$F$11)), E1706+LN($D$11)+LN(1-$H$11)-LN(60/$E$11)-LN(MIN(D1707,$F$11))))</f>
        <v>-202.57051488802145</v>
      </c>
      <c r="F1707" s="1">
        <f t="shared" si="161"/>
        <v>-204.5725476972205</v>
      </c>
      <c r="G1707" s="1">
        <f t="shared" si="159"/>
        <v>1.4297871388623643E-89</v>
      </c>
      <c r="H1707" s="1">
        <f t="shared" si="156"/>
        <v>1.4034402011649551E-90</v>
      </c>
      <c r="I1707">
        <f>IF($F$11&lt;=D1707, IF(D1707&lt;=$A$15,D1707-$F$11,$C$11),0)</f>
        <v>60</v>
      </c>
      <c r="J1707">
        <f t="shared" si="157"/>
        <v>1620</v>
      </c>
      <c r="K1707" s="5">
        <f>IF(D1707&lt;$F$11,H1707,0)</f>
        <v>0</v>
      </c>
      <c r="L1707">
        <f>IF(D1707&lt;$A$15,$D$11,$D$11*(1-$H$11))</f>
        <v>85</v>
      </c>
      <c r="M1707">
        <f t="shared" si="158"/>
        <v>1</v>
      </c>
      <c r="N1707">
        <f>IF(SUM(I1707:J1707)&lt;=($G$11/60*$F$11/($E$11/60)),1,0)</f>
        <v>0</v>
      </c>
    </row>
    <row r="1708" spans="4:14" x14ac:dyDescent="0.2">
      <c r="D1708">
        <f t="shared" si="160"/>
        <v>1685</v>
      </c>
      <c r="E1708" s="1">
        <f>IF($H$11=1,IF(D1708&lt;=$A$15, E1707+LN($D$11)-LN(60/$E$11)-LN(MIN(D1708,$F$11)), E1707-LN(60/$E$11)-LN(MIN(D1708,$F$11))), IF(D1708&lt;=$A$15, E1707+LN($D$11)-LN(60/$E$11)-LN(MIN(D1708,$F$11)), E1707+LN($D$11)+LN(1-$H$11)-LN(60/$E$11)-LN(MIN(D1708,$F$11))))</f>
        <v>-202.69221182299898</v>
      </c>
      <c r="F1708" s="1">
        <f t="shared" si="161"/>
        <v>-204.69424463219804</v>
      </c>
      <c r="G1708" s="1">
        <f t="shared" si="159"/>
        <v>1.2659573625343653E-89</v>
      </c>
      <c r="H1708" s="1">
        <f t="shared" si="156"/>
        <v>1.2426293447814511E-90</v>
      </c>
      <c r="I1708">
        <f>IF($F$11&lt;=D1708, IF(D1708&lt;=$A$15,D1708-$F$11,$C$11),0)</f>
        <v>60</v>
      </c>
      <c r="J1708">
        <f t="shared" si="157"/>
        <v>1621</v>
      </c>
      <c r="K1708" s="5">
        <f>IF(D1708&lt;$F$11,H1708,0)</f>
        <v>0</v>
      </c>
      <c r="L1708">
        <f>IF(D1708&lt;$A$15,$D$11,$D$11*(1-$H$11))</f>
        <v>85</v>
      </c>
      <c r="M1708">
        <f t="shared" si="158"/>
        <v>1</v>
      </c>
      <c r="N1708">
        <f>IF(SUM(I1708:J1708)&lt;=($G$11/60*$F$11/($E$11/60)),1,0)</f>
        <v>0</v>
      </c>
    </row>
    <row r="1709" spans="4:14" x14ac:dyDescent="0.2">
      <c r="D1709">
        <f t="shared" si="160"/>
        <v>1686</v>
      </c>
      <c r="E1709" s="1">
        <f>IF($H$11=1,IF(D1709&lt;=$A$15, E1708+LN($D$11)-LN(60/$E$11)-LN(MIN(D1709,$F$11)), E1708-LN(60/$E$11)-LN(MIN(D1709,$F$11))), IF(D1709&lt;=$A$15, E1708+LN($D$11)-LN(60/$E$11)-LN(MIN(D1709,$F$11)), E1708+LN($D$11)+LN(1-$H$11)-LN(60/$E$11)-LN(MIN(D1709,$F$11))))</f>
        <v>-202.81390875797652</v>
      </c>
      <c r="F1709" s="1">
        <f t="shared" si="161"/>
        <v>-204.81594156717557</v>
      </c>
      <c r="G1709" s="1">
        <f t="shared" si="159"/>
        <v>1.1208997480772851E-89</v>
      </c>
      <c r="H1709" s="1">
        <f t="shared" si="156"/>
        <v>1.1002447323585593E-90</v>
      </c>
      <c r="I1709">
        <f>IF($F$11&lt;=D1709, IF(D1709&lt;=$A$15,D1709-$F$11,$C$11),0)</f>
        <v>60</v>
      </c>
      <c r="J1709">
        <f t="shared" si="157"/>
        <v>1622</v>
      </c>
      <c r="K1709" s="5">
        <f>IF(D1709&lt;$F$11,H1709,0)</f>
        <v>0</v>
      </c>
      <c r="L1709">
        <f>IF(D1709&lt;$A$15,$D$11,$D$11*(1-$H$11))</f>
        <v>85</v>
      </c>
      <c r="M1709">
        <f t="shared" si="158"/>
        <v>1</v>
      </c>
      <c r="N1709">
        <f>IF(SUM(I1709:J1709)&lt;=($G$11/60*$F$11/($E$11/60)),1,0)</f>
        <v>0</v>
      </c>
    </row>
    <row r="1710" spans="4:14" x14ac:dyDescent="0.2">
      <c r="D1710">
        <f t="shared" si="160"/>
        <v>1687</v>
      </c>
      <c r="E1710" s="1">
        <f>IF($H$11=1,IF(D1710&lt;=$A$15, E1709+LN($D$11)-LN(60/$E$11)-LN(MIN(D1710,$F$11)), E1709-LN(60/$E$11)-LN(MIN(D1710,$F$11))), IF(D1710&lt;=$A$15, E1709+LN($D$11)-LN(60/$E$11)-LN(MIN(D1710,$F$11)), E1709+LN($D$11)+LN(1-$H$11)-LN(60/$E$11)-LN(MIN(D1710,$F$11))))</f>
        <v>-202.93560569295406</v>
      </c>
      <c r="F1710" s="1">
        <f t="shared" si="161"/>
        <v>-204.93763850215311</v>
      </c>
      <c r="G1710" s="1">
        <f t="shared" si="159"/>
        <v>9.9246331861008058E-90</v>
      </c>
      <c r="H1710" s="1">
        <f t="shared" si="156"/>
        <v>9.7417502344245914E-91</v>
      </c>
      <c r="I1710">
        <f>IF($F$11&lt;=D1710, IF(D1710&lt;=$A$15,D1710-$F$11,$C$11),0)</f>
        <v>60</v>
      </c>
      <c r="J1710">
        <f t="shared" si="157"/>
        <v>1623</v>
      </c>
      <c r="K1710" s="5">
        <f>IF(D1710&lt;$F$11,H1710,0)</f>
        <v>0</v>
      </c>
      <c r="L1710">
        <f>IF(D1710&lt;$A$15,$D$11,$D$11*(1-$H$11))</f>
        <v>85</v>
      </c>
      <c r="M1710">
        <f t="shared" si="158"/>
        <v>1</v>
      </c>
      <c r="N1710">
        <f>IF(SUM(I1710:J1710)&lt;=($G$11/60*$F$11/($E$11/60)),1,0)</f>
        <v>0</v>
      </c>
    </row>
    <row r="1711" spans="4:14" x14ac:dyDescent="0.2">
      <c r="D1711">
        <f t="shared" si="160"/>
        <v>1688</v>
      </c>
      <c r="E1711" s="1">
        <f>IF($H$11=1,IF(D1711&lt;=$A$15, E1710+LN($D$11)-LN(60/$E$11)-LN(MIN(D1711,$F$11)), E1710-LN(60/$E$11)-LN(MIN(D1711,$F$11))), IF(D1711&lt;=$A$15, E1710+LN($D$11)-LN(60/$E$11)-LN(MIN(D1711,$F$11)), E1710+LN($D$11)+LN(1-$H$11)-LN(60/$E$11)-LN(MIN(D1711,$F$11))))</f>
        <v>-203.05730262793159</v>
      </c>
      <c r="F1711" s="1">
        <f t="shared" si="161"/>
        <v>-205.05933543713064</v>
      </c>
      <c r="G1711" s="1">
        <f t="shared" si="159"/>
        <v>8.7874356335266182E-90</v>
      </c>
      <c r="H1711" s="1">
        <f t="shared" si="156"/>
        <v>8.6255080200633052E-91</v>
      </c>
      <c r="I1711">
        <f>IF($F$11&lt;=D1711, IF(D1711&lt;=$A$15,D1711-$F$11,$C$11),0)</f>
        <v>60</v>
      </c>
      <c r="J1711">
        <f t="shared" si="157"/>
        <v>1624</v>
      </c>
      <c r="K1711" s="5">
        <f>IF(D1711&lt;$F$11,H1711,0)</f>
        <v>0</v>
      </c>
      <c r="L1711">
        <f>IF(D1711&lt;$A$15,$D$11,$D$11*(1-$H$11))</f>
        <v>85</v>
      </c>
      <c r="M1711">
        <f t="shared" si="158"/>
        <v>1</v>
      </c>
      <c r="N1711">
        <f>IF(SUM(I1711:J1711)&lt;=($G$11/60*$F$11/($E$11/60)),1,0)</f>
        <v>0</v>
      </c>
    </row>
    <row r="1712" spans="4:14" x14ac:dyDescent="0.2">
      <c r="D1712">
        <f t="shared" si="160"/>
        <v>1689</v>
      </c>
      <c r="E1712" s="1">
        <f>IF($H$11=1,IF(D1712&lt;=$A$15, E1711+LN($D$11)-LN(60/$E$11)-LN(MIN(D1712,$F$11)), E1711-LN(60/$E$11)-LN(MIN(D1712,$F$11))), IF(D1712&lt;=$A$15, E1711+LN($D$11)-LN(60/$E$11)-LN(MIN(D1712,$F$11)), E1711+LN($D$11)+LN(1-$H$11)-LN(60/$E$11)-LN(MIN(D1712,$F$11))))</f>
        <v>-203.17899956290913</v>
      </c>
      <c r="F1712" s="1">
        <f t="shared" si="161"/>
        <v>-205.18103237210818</v>
      </c>
      <c r="G1712" s="1">
        <f t="shared" si="159"/>
        <v>7.780541967184905E-90</v>
      </c>
      <c r="H1712" s="1">
        <f t="shared" si="156"/>
        <v>7.6371685594309328E-91</v>
      </c>
      <c r="I1712">
        <f>IF($F$11&lt;=D1712, IF(D1712&lt;=$A$15,D1712-$F$11,$C$11),0)</f>
        <v>60</v>
      </c>
      <c r="J1712">
        <f t="shared" si="157"/>
        <v>1625</v>
      </c>
      <c r="K1712" s="5">
        <f>IF(D1712&lt;$F$11,H1712,0)</f>
        <v>0</v>
      </c>
      <c r="L1712">
        <f>IF(D1712&lt;$A$15,$D$11,$D$11*(1-$H$11))</f>
        <v>85</v>
      </c>
      <c r="M1712">
        <f t="shared" si="158"/>
        <v>1</v>
      </c>
      <c r="N1712">
        <f>IF(SUM(I1712:J1712)&lt;=($G$11/60*$F$11/($E$11/60)),1,0)</f>
        <v>0</v>
      </c>
    </row>
    <row r="1713" spans="4:14" x14ac:dyDescent="0.2">
      <c r="D1713">
        <f t="shared" si="160"/>
        <v>1690</v>
      </c>
      <c r="E1713" s="1">
        <f>IF($H$11=1,IF(D1713&lt;=$A$15, E1712+LN($D$11)-LN(60/$E$11)-LN(MIN(D1713,$F$11)), E1712-LN(60/$E$11)-LN(MIN(D1713,$F$11))), IF(D1713&lt;=$A$15, E1712+LN($D$11)-LN(60/$E$11)-LN(MIN(D1713,$F$11)), E1712+LN($D$11)+LN(1-$H$11)-LN(60/$E$11)-LN(MIN(D1713,$F$11))))</f>
        <v>-203.30069649788666</v>
      </c>
      <c r="F1713" s="1">
        <f t="shared" si="161"/>
        <v>-205.30272930708571</v>
      </c>
      <c r="G1713" s="1">
        <f t="shared" si="159"/>
        <v>6.8890215334448606E-90</v>
      </c>
      <c r="H1713" s="1">
        <f t="shared" si="156"/>
        <v>6.7620763286626994E-91</v>
      </c>
      <c r="I1713">
        <f>IF($F$11&lt;=D1713, IF(D1713&lt;=$A$15,D1713-$F$11,$C$11),0)</f>
        <v>60</v>
      </c>
      <c r="J1713">
        <f t="shared" si="157"/>
        <v>1626</v>
      </c>
      <c r="K1713" s="5">
        <f>IF(D1713&lt;$F$11,H1713,0)</f>
        <v>0</v>
      </c>
      <c r="L1713">
        <f>IF(D1713&lt;$A$15,$D$11,$D$11*(1-$H$11))</f>
        <v>85</v>
      </c>
      <c r="M1713">
        <f t="shared" si="158"/>
        <v>1</v>
      </c>
      <c r="N1713">
        <f>IF(SUM(I1713:J1713)&lt;=($G$11/60*$F$11/($E$11/60)),1,0)</f>
        <v>0</v>
      </c>
    </row>
    <row r="1714" spans="4:14" x14ac:dyDescent="0.2">
      <c r="D1714">
        <f t="shared" si="160"/>
        <v>1691</v>
      </c>
      <c r="E1714" s="1">
        <f>IF($H$11=1,IF(D1714&lt;=$A$15, E1713+LN($D$11)-LN(60/$E$11)-LN(MIN(D1714,$F$11)), E1713-LN(60/$E$11)-LN(MIN(D1714,$F$11))), IF(D1714&lt;=$A$15, E1713+LN($D$11)-LN(60/$E$11)-LN(MIN(D1714,$F$11)), E1713+LN($D$11)+LN(1-$H$11)-LN(60/$E$11)-LN(MIN(D1714,$F$11))))</f>
        <v>-203.4223934328642</v>
      </c>
      <c r="F1714" s="1">
        <f t="shared" si="161"/>
        <v>-205.42442624206325</v>
      </c>
      <c r="G1714" s="1">
        <f t="shared" si="159"/>
        <v>6.0996544827375411E-90</v>
      </c>
      <c r="H1714" s="1">
        <f t="shared" si="156"/>
        <v>5.9872550826700038E-91</v>
      </c>
      <c r="I1714">
        <f>IF($F$11&lt;=D1714, IF(D1714&lt;=$A$15,D1714-$F$11,$C$11),0)</f>
        <v>60</v>
      </c>
      <c r="J1714">
        <f t="shared" si="157"/>
        <v>1627</v>
      </c>
      <c r="K1714" s="5">
        <f>IF(D1714&lt;$F$11,H1714,0)</f>
        <v>0</v>
      </c>
      <c r="L1714">
        <f>IF(D1714&lt;$A$15,$D$11,$D$11*(1-$H$11))</f>
        <v>85</v>
      </c>
      <c r="M1714">
        <f t="shared" si="158"/>
        <v>1</v>
      </c>
      <c r="N1714">
        <f>IF(SUM(I1714:J1714)&lt;=($G$11/60*$F$11/($E$11/60)),1,0)</f>
        <v>0</v>
      </c>
    </row>
    <row r="1715" spans="4:14" x14ac:dyDescent="0.2">
      <c r="D1715">
        <f t="shared" si="160"/>
        <v>1692</v>
      </c>
      <c r="E1715" s="1">
        <f>IF($H$11=1,IF(D1715&lt;=$A$15, E1714+LN($D$11)-LN(60/$E$11)-LN(MIN(D1715,$F$11)), E1714-LN(60/$E$11)-LN(MIN(D1715,$F$11))), IF(D1715&lt;=$A$15, E1714+LN($D$11)-LN(60/$E$11)-LN(MIN(D1715,$F$11)), E1714+LN($D$11)+LN(1-$H$11)-LN(60/$E$11)-LN(MIN(D1715,$F$11))))</f>
        <v>-203.54409036784173</v>
      </c>
      <c r="F1715" s="1">
        <f t="shared" si="161"/>
        <v>-205.54612317704078</v>
      </c>
      <c r="G1715" s="1">
        <f t="shared" si="159"/>
        <v>5.4007357399237799E-90</v>
      </c>
      <c r="H1715" s="1">
        <f t="shared" si="156"/>
        <v>5.3012154377806503E-91</v>
      </c>
      <c r="I1715">
        <f>IF($F$11&lt;=D1715, IF(D1715&lt;=$A$15,D1715-$F$11,$C$11),0)</f>
        <v>60</v>
      </c>
      <c r="J1715">
        <f t="shared" si="157"/>
        <v>1628</v>
      </c>
      <c r="K1715" s="5">
        <f>IF(D1715&lt;$F$11,H1715,0)</f>
        <v>0</v>
      </c>
      <c r="L1715">
        <f>IF(D1715&lt;$A$15,$D$11,$D$11*(1-$H$11))</f>
        <v>85</v>
      </c>
      <c r="M1715">
        <f t="shared" si="158"/>
        <v>1</v>
      </c>
      <c r="N1715">
        <f>IF(SUM(I1715:J1715)&lt;=($G$11/60*$F$11/($E$11/60)),1,0)</f>
        <v>0</v>
      </c>
    </row>
    <row r="1716" spans="4:14" x14ac:dyDescent="0.2">
      <c r="D1716">
        <f t="shared" si="160"/>
        <v>1693</v>
      </c>
      <c r="E1716" s="1">
        <f>IF($H$11=1,IF(D1716&lt;=$A$15, E1715+LN($D$11)-LN(60/$E$11)-LN(MIN(D1716,$F$11)), E1715-LN(60/$E$11)-LN(MIN(D1716,$F$11))), IF(D1716&lt;=$A$15, E1715+LN($D$11)-LN(60/$E$11)-LN(MIN(D1716,$F$11)), E1715+LN($D$11)+LN(1-$H$11)-LN(60/$E$11)-LN(MIN(D1716,$F$11))))</f>
        <v>-203.66578730281927</v>
      </c>
      <c r="F1716" s="1">
        <f t="shared" si="161"/>
        <v>-205.66782011201832</v>
      </c>
      <c r="G1716" s="1">
        <f t="shared" si="159"/>
        <v>4.7819014363907726E-90</v>
      </c>
      <c r="H1716" s="1">
        <f t="shared" si="156"/>
        <v>4.6937845022015444E-91</v>
      </c>
      <c r="I1716">
        <f>IF($F$11&lt;=D1716, IF(D1716&lt;=$A$15,D1716-$F$11,$C$11),0)</f>
        <v>60</v>
      </c>
      <c r="J1716">
        <f t="shared" si="157"/>
        <v>1629</v>
      </c>
      <c r="K1716" s="5">
        <f>IF(D1716&lt;$F$11,H1716,0)</f>
        <v>0</v>
      </c>
      <c r="L1716">
        <f>IF(D1716&lt;$A$15,$D$11,$D$11*(1-$H$11))</f>
        <v>85</v>
      </c>
      <c r="M1716">
        <f t="shared" si="158"/>
        <v>1</v>
      </c>
      <c r="N1716">
        <f>IF(SUM(I1716:J1716)&lt;=($G$11/60*$F$11/($E$11/60)),1,0)</f>
        <v>0</v>
      </c>
    </row>
    <row r="1717" spans="4:14" x14ac:dyDescent="0.2">
      <c r="D1717">
        <f t="shared" si="160"/>
        <v>1694</v>
      </c>
      <c r="E1717" s="1">
        <f>IF($H$11=1,IF(D1717&lt;=$A$15, E1716+LN($D$11)-LN(60/$E$11)-LN(MIN(D1717,$F$11)), E1716-LN(60/$E$11)-LN(MIN(D1717,$F$11))), IF(D1717&lt;=$A$15, E1716+LN($D$11)-LN(60/$E$11)-LN(MIN(D1717,$F$11)), E1716+LN($D$11)+LN(1-$H$11)-LN(60/$E$11)-LN(MIN(D1717,$F$11))))</f>
        <v>-203.7874842377968</v>
      </c>
      <c r="F1717" s="1">
        <f t="shared" si="161"/>
        <v>-205.78951704699585</v>
      </c>
      <c r="G1717" s="1">
        <f t="shared" si="159"/>
        <v>4.2339752301375965E-90</v>
      </c>
      <c r="H1717" s="1">
        <f t="shared" si="156"/>
        <v>4.155955027990885E-91</v>
      </c>
      <c r="I1717">
        <f>IF($F$11&lt;=D1717, IF(D1717&lt;=$A$15,D1717-$F$11,$C$11),0)</f>
        <v>60</v>
      </c>
      <c r="J1717">
        <f t="shared" si="157"/>
        <v>1630</v>
      </c>
      <c r="K1717" s="5">
        <f>IF(D1717&lt;$F$11,H1717,0)</f>
        <v>0</v>
      </c>
      <c r="L1717">
        <f>IF(D1717&lt;$A$15,$D$11,$D$11*(1-$H$11))</f>
        <v>85</v>
      </c>
      <c r="M1717">
        <f t="shared" si="158"/>
        <v>1</v>
      </c>
      <c r="N1717">
        <f>IF(SUM(I1717:J1717)&lt;=($G$11/60*$F$11/($E$11/60)),1,0)</f>
        <v>0</v>
      </c>
    </row>
    <row r="1718" spans="4:14" x14ac:dyDescent="0.2">
      <c r="D1718">
        <f t="shared" si="160"/>
        <v>1695</v>
      </c>
      <c r="E1718" s="1">
        <f>IF($H$11=1,IF(D1718&lt;=$A$15, E1717+LN($D$11)-LN(60/$E$11)-LN(MIN(D1718,$F$11)), E1717-LN(60/$E$11)-LN(MIN(D1718,$F$11))), IF(D1718&lt;=$A$15, E1717+LN($D$11)-LN(60/$E$11)-LN(MIN(D1718,$F$11)), E1717+LN($D$11)+LN(1-$H$11)-LN(60/$E$11)-LN(MIN(D1718,$F$11))))</f>
        <v>-203.90918117277434</v>
      </c>
      <c r="F1718" s="1">
        <f t="shared" si="161"/>
        <v>-205.91121398197339</v>
      </c>
      <c r="G1718" s="1">
        <f t="shared" si="159"/>
        <v>3.7488322350176052E-90</v>
      </c>
      <c r="H1718" s="1">
        <f t="shared" si="156"/>
        <v>3.6797518477002056E-91</v>
      </c>
      <c r="I1718">
        <f>IF($F$11&lt;=D1718, IF(D1718&lt;=$A$15,D1718-$F$11,$C$11),0)</f>
        <v>60</v>
      </c>
      <c r="J1718">
        <f t="shared" si="157"/>
        <v>1631</v>
      </c>
      <c r="K1718" s="5">
        <f>IF(D1718&lt;$F$11,H1718,0)</f>
        <v>0</v>
      </c>
      <c r="L1718">
        <f>IF(D1718&lt;$A$15,$D$11,$D$11*(1-$H$11))</f>
        <v>85</v>
      </c>
      <c r="M1718">
        <f t="shared" si="158"/>
        <v>1</v>
      </c>
      <c r="N1718">
        <f>IF(SUM(I1718:J1718)&lt;=($G$11/60*$F$11/($E$11/60)),1,0)</f>
        <v>0</v>
      </c>
    </row>
    <row r="1719" spans="4:14" x14ac:dyDescent="0.2">
      <c r="D1719">
        <f t="shared" si="160"/>
        <v>1696</v>
      </c>
      <c r="E1719" s="1">
        <f>IF($H$11=1,IF(D1719&lt;=$A$15, E1718+LN($D$11)-LN(60/$E$11)-LN(MIN(D1719,$F$11)), E1718-LN(60/$E$11)-LN(MIN(D1719,$F$11))), IF(D1719&lt;=$A$15, E1718+LN($D$11)-LN(60/$E$11)-LN(MIN(D1719,$F$11)), E1718+LN($D$11)+LN(1-$H$11)-LN(60/$E$11)-LN(MIN(D1719,$F$11))))</f>
        <v>-204.03087810775187</v>
      </c>
      <c r="F1719" s="1">
        <f t="shared" si="161"/>
        <v>-206.03291091695093</v>
      </c>
      <c r="G1719" s="1">
        <f t="shared" si="159"/>
        <v>3.3192785414217858E-90</v>
      </c>
      <c r="H1719" s="1">
        <f t="shared" si="156"/>
        <v>3.2581136151511724E-91</v>
      </c>
      <c r="I1719">
        <f>IF($F$11&lt;=D1719, IF(D1719&lt;=$A$15,D1719-$F$11,$C$11),0)</f>
        <v>60</v>
      </c>
      <c r="J1719">
        <f t="shared" si="157"/>
        <v>1632</v>
      </c>
      <c r="K1719" s="5">
        <f>IF(D1719&lt;$F$11,H1719,0)</f>
        <v>0</v>
      </c>
      <c r="L1719">
        <f>IF(D1719&lt;$A$15,$D$11,$D$11*(1-$H$11))</f>
        <v>85</v>
      </c>
      <c r="M1719">
        <f t="shared" si="158"/>
        <v>1</v>
      </c>
      <c r="N1719">
        <f>IF(SUM(I1719:J1719)&lt;=($G$11/60*$F$11/($E$11/60)),1,0)</f>
        <v>0</v>
      </c>
    </row>
    <row r="1720" spans="4:14" x14ac:dyDescent="0.2">
      <c r="D1720">
        <f t="shared" si="160"/>
        <v>1697</v>
      </c>
      <c r="E1720" s="1">
        <f>IF($H$11=1,IF(D1720&lt;=$A$15, E1719+LN($D$11)-LN(60/$E$11)-LN(MIN(D1720,$F$11)), E1719-LN(60/$E$11)-LN(MIN(D1720,$F$11))), IF(D1720&lt;=$A$15, E1719+LN($D$11)-LN(60/$E$11)-LN(MIN(D1720,$F$11)), E1719+LN($D$11)+LN(1-$H$11)-LN(60/$E$11)-LN(MIN(D1720,$F$11))))</f>
        <v>-204.15257504272941</v>
      </c>
      <c r="F1720" s="1">
        <f t="shared" si="161"/>
        <v>-206.15460785192846</v>
      </c>
      <c r="G1720" s="1">
        <f t="shared" si="159"/>
        <v>2.938944541883827E-90</v>
      </c>
      <c r="H1720" s="1">
        <f t="shared" si="156"/>
        <v>2.8847880967483889E-91</v>
      </c>
      <c r="I1720">
        <f>IF($F$11&lt;=D1720, IF(D1720&lt;=$A$15,D1720-$F$11,$C$11),0)</f>
        <v>60</v>
      </c>
      <c r="J1720">
        <f t="shared" si="157"/>
        <v>1633</v>
      </c>
      <c r="K1720" s="5">
        <f>IF(D1720&lt;$F$11,H1720,0)</f>
        <v>0</v>
      </c>
      <c r="L1720">
        <f>IF(D1720&lt;$A$15,$D$11,$D$11*(1-$H$11))</f>
        <v>85</v>
      </c>
      <c r="M1720">
        <f t="shared" si="158"/>
        <v>1</v>
      </c>
      <c r="N1720">
        <f>IF(SUM(I1720:J1720)&lt;=($G$11/60*$F$11/($E$11/60)),1,0)</f>
        <v>0</v>
      </c>
    </row>
    <row r="1721" spans="4:14" x14ac:dyDescent="0.2">
      <c r="D1721">
        <f t="shared" si="160"/>
        <v>1698</v>
      </c>
      <c r="E1721" s="1">
        <f>IF($H$11=1,IF(D1721&lt;=$A$15, E1720+LN($D$11)-LN(60/$E$11)-LN(MIN(D1721,$F$11)), E1720-LN(60/$E$11)-LN(MIN(D1721,$F$11))), IF(D1721&lt;=$A$15, E1720+LN($D$11)-LN(60/$E$11)-LN(MIN(D1721,$F$11)), E1720+LN($D$11)+LN(1-$H$11)-LN(60/$E$11)-LN(MIN(D1721,$F$11))))</f>
        <v>-204.27427197770695</v>
      </c>
      <c r="F1721" s="1">
        <f t="shared" si="161"/>
        <v>-206.276304786906</v>
      </c>
      <c r="G1721" s="1">
        <f t="shared" si="159"/>
        <v>2.6021904797929313E-90</v>
      </c>
      <c r="H1721" s="1">
        <f t="shared" si="156"/>
        <v>2.5542394606625963E-91</v>
      </c>
      <c r="I1721">
        <f>IF($F$11&lt;=D1721, IF(D1721&lt;=$A$15,D1721-$F$11,$C$11),0)</f>
        <v>60</v>
      </c>
      <c r="J1721">
        <f t="shared" si="157"/>
        <v>1634</v>
      </c>
      <c r="K1721" s="5">
        <f>IF(D1721&lt;$F$11,H1721,0)</f>
        <v>0</v>
      </c>
      <c r="L1721">
        <f>IF(D1721&lt;$A$15,$D$11,$D$11*(1-$H$11))</f>
        <v>85</v>
      </c>
      <c r="M1721">
        <f t="shared" si="158"/>
        <v>1</v>
      </c>
      <c r="N1721">
        <f>IF(SUM(I1721:J1721)&lt;=($G$11/60*$F$11/($E$11/60)),1,0)</f>
        <v>0</v>
      </c>
    </row>
    <row r="1722" spans="4:14" x14ac:dyDescent="0.2">
      <c r="D1722">
        <f t="shared" si="160"/>
        <v>1699</v>
      </c>
      <c r="E1722" s="1">
        <f>IF($H$11=1,IF(D1722&lt;=$A$15, E1721+LN($D$11)-LN(60/$E$11)-LN(MIN(D1722,$F$11)), E1721-LN(60/$E$11)-LN(MIN(D1722,$F$11))), IF(D1722&lt;=$A$15, E1721+LN($D$11)-LN(60/$E$11)-LN(MIN(D1722,$F$11)), E1721+LN($D$11)+LN(1-$H$11)-LN(60/$E$11)-LN(MIN(D1722,$F$11))))</f>
        <v>-204.39596891268448</v>
      </c>
      <c r="F1722" s="1">
        <f t="shared" si="161"/>
        <v>-206.39800172188353</v>
      </c>
      <c r="G1722" s="1">
        <f t="shared" si="159"/>
        <v>2.3040228206499552E-90</v>
      </c>
      <c r="H1722" s="1">
        <f t="shared" si="156"/>
        <v>2.2615661891283051E-91</v>
      </c>
      <c r="I1722">
        <f>IF($F$11&lt;=D1722, IF(D1722&lt;=$A$15,D1722-$F$11,$C$11),0)</f>
        <v>60</v>
      </c>
      <c r="J1722">
        <f t="shared" si="157"/>
        <v>1635</v>
      </c>
      <c r="K1722" s="5">
        <f>IF(D1722&lt;$F$11,H1722,0)</f>
        <v>0</v>
      </c>
      <c r="L1722">
        <f>IF(D1722&lt;$A$15,$D$11,$D$11*(1-$H$11))</f>
        <v>85</v>
      </c>
      <c r="M1722">
        <f t="shared" si="158"/>
        <v>1</v>
      </c>
      <c r="N1722">
        <f>IF(SUM(I1722:J1722)&lt;=($G$11/60*$F$11/($E$11/60)),1,0)</f>
        <v>0</v>
      </c>
    </row>
    <row r="1723" spans="4:14" x14ac:dyDescent="0.2">
      <c r="D1723">
        <f t="shared" si="160"/>
        <v>1700</v>
      </c>
      <c r="E1723" s="1">
        <f>IF($H$11=1,IF(D1723&lt;=$A$15, E1722+LN($D$11)-LN(60/$E$11)-LN(MIN(D1723,$F$11)), E1722-LN(60/$E$11)-LN(MIN(D1723,$F$11))), IF(D1723&lt;=$A$15, E1722+LN($D$11)-LN(60/$E$11)-LN(MIN(D1723,$F$11)), E1722+LN($D$11)+LN(1-$H$11)-LN(60/$E$11)-LN(MIN(D1723,$F$11))))</f>
        <v>-204.51766584766202</v>
      </c>
      <c r="F1723" s="1">
        <f t="shared" si="161"/>
        <v>-206.51969865686107</v>
      </c>
      <c r="G1723" s="1">
        <f t="shared" si="159"/>
        <v>2.0400202057837825E-90</v>
      </c>
      <c r="H1723" s="1">
        <f t="shared" si="156"/>
        <v>2.0024283966239888E-91</v>
      </c>
      <c r="I1723">
        <f>IF($F$11&lt;=D1723, IF(D1723&lt;=$A$15,D1723-$F$11,$C$11),0)</f>
        <v>60</v>
      </c>
      <c r="J1723">
        <f t="shared" si="157"/>
        <v>1636</v>
      </c>
      <c r="K1723" s="5">
        <f>IF(D1723&lt;$F$11,H1723,0)</f>
        <v>0</v>
      </c>
      <c r="L1723">
        <f>IF(D1723&lt;$A$15,$D$11,$D$11*(1-$H$11))</f>
        <v>85</v>
      </c>
      <c r="M1723">
        <f t="shared" si="158"/>
        <v>1</v>
      </c>
      <c r="N1723">
        <f>IF(SUM(I1723:J1723)&lt;=($G$11/60*$F$11/($E$11/60)),1,0)</f>
        <v>0</v>
      </c>
    </row>
    <row r="1724" spans="4:14" x14ac:dyDescent="0.2">
      <c r="D1724">
        <f t="shared" si="160"/>
        <v>1701</v>
      </c>
      <c r="E1724" s="1">
        <f>IF($H$11=1,IF(D1724&lt;=$A$15, E1723+LN($D$11)-LN(60/$E$11)-LN(MIN(D1724,$F$11)), E1723-LN(60/$E$11)-LN(MIN(D1724,$F$11))), IF(D1724&lt;=$A$15, E1723+LN($D$11)-LN(60/$E$11)-LN(MIN(D1724,$F$11)), E1723+LN($D$11)+LN(1-$H$11)-LN(60/$E$11)-LN(MIN(D1724,$F$11))))</f>
        <v>-204.63936278263955</v>
      </c>
      <c r="F1724" s="1">
        <f t="shared" si="161"/>
        <v>-206.6413955918386</v>
      </c>
      <c r="G1724" s="1">
        <f t="shared" si="159"/>
        <v>1.8062678905376959E-90</v>
      </c>
      <c r="H1724" s="1">
        <f t="shared" si="156"/>
        <v>1.7729834761774623E-91</v>
      </c>
      <c r="I1724">
        <f>IF($F$11&lt;=D1724, IF(D1724&lt;=$A$15,D1724-$F$11,$C$11),0)</f>
        <v>60</v>
      </c>
      <c r="J1724">
        <f t="shared" si="157"/>
        <v>1637</v>
      </c>
      <c r="K1724" s="5">
        <f>IF(D1724&lt;$F$11,H1724,0)</f>
        <v>0</v>
      </c>
      <c r="L1724">
        <f>IF(D1724&lt;$A$15,$D$11,$D$11*(1-$H$11))</f>
        <v>85</v>
      </c>
      <c r="M1724">
        <f t="shared" si="158"/>
        <v>1</v>
      </c>
      <c r="N1724">
        <f>IF(SUM(I1724:J1724)&lt;=($G$11/60*$F$11/($E$11/60)),1,0)</f>
        <v>0</v>
      </c>
    </row>
    <row r="1725" spans="4:14" x14ac:dyDescent="0.2">
      <c r="D1725">
        <f t="shared" si="160"/>
        <v>1702</v>
      </c>
      <c r="E1725" s="1">
        <f>IF($H$11=1,IF(D1725&lt;=$A$15, E1724+LN($D$11)-LN(60/$E$11)-LN(MIN(D1725,$F$11)), E1724-LN(60/$E$11)-LN(MIN(D1725,$F$11))), IF(D1725&lt;=$A$15, E1724+LN($D$11)-LN(60/$E$11)-LN(MIN(D1725,$F$11)), E1724+LN($D$11)+LN(1-$H$11)-LN(60/$E$11)-LN(MIN(D1725,$F$11))))</f>
        <v>-204.76105971761709</v>
      </c>
      <c r="F1725" s="1">
        <f t="shared" si="161"/>
        <v>-206.76309252681614</v>
      </c>
      <c r="G1725" s="1">
        <f t="shared" si="159"/>
        <v>1.5992996947468932E-90</v>
      </c>
      <c r="H1725" s="1">
        <f t="shared" si="156"/>
        <v>1.5698291195321035E-91</v>
      </c>
      <c r="I1725">
        <f>IF($F$11&lt;=D1725, IF(D1725&lt;=$A$15,D1725-$F$11,$C$11),0)</f>
        <v>60</v>
      </c>
      <c r="J1725">
        <f t="shared" si="157"/>
        <v>1638</v>
      </c>
      <c r="K1725" s="5">
        <f>IF(D1725&lt;$F$11,H1725,0)</f>
        <v>0</v>
      </c>
      <c r="L1725">
        <f>IF(D1725&lt;$A$15,$D$11,$D$11*(1-$H$11))</f>
        <v>85</v>
      </c>
      <c r="M1725">
        <f t="shared" si="158"/>
        <v>1</v>
      </c>
      <c r="N1725">
        <f>IF(SUM(I1725:J1725)&lt;=($G$11/60*$F$11/($E$11/60)),1,0)</f>
        <v>0</v>
      </c>
    </row>
    <row r="1726" spans="4:14" x14ac:dyDescent="0.2">
      <c r="D1726">
        <f t="shared" si="160"/>
        <v>1703</v>
      </c>
      <c r="E1726" s="1">
        <f>IF($H$11=1,IF(D1726&lt;=$A$15, E1725+LN($D$11)-LN(60/$E$11)-LN(MIN(D1726,$F$11)), E1725-LN(60/$E$11)-LN(MIN(D1726,$F$11))), IF(D1726&lt;=$A$15, E1725+LN($D$11)-LN(60/$E$11)-LN(MIN(D1726,$F$11)), E1725+LN($D$11)+LN(1-$H$11)-LN(60/$E$11)-LN(MIN(D1726,$F$11))))</f>
        <v>-204.88275665259462</v>
      </c>
      <c r="F1726" s="1">
        <f t="shared" si="161"/>
        <v>-206.88478946179367</v>
      </c>
      <c r="G1726" s="1">
        <f t="shared" si="159"/>
        <v>1.4160466047237895E-90</v>
      </c>
      <c r="H1726" s="1">
        <f t="shared" si="156"/>
        <v>1.3899528662523616E-91</v>
      </c>
      <c r="I1726">
        <f>IF($F$11&lt;=D1726, IF(D1726&lt;=$A$15,D1726-$F$11,$C$11),0)</f>
        <v>60</v>
      </c>
      <c r="J1726">
        <f t="shared" si="157"/>
        <v>1639</v>
      </c>
      <c r="K1726" s="5">
        <f>IF(D1726&lt;$F$11,H1726,0)</f>
        <v>0</v>
      </c>
      <c r="L1726">
        <f>IF(D1726&lt;$A$15,$D$11,$D$11*(1-$H$11))</f>
        <v>85</v>
      </c>
      <c r="M1726">
        <f t="shared" si="158"/>
        <v>1</v>
      </c>
      <c r="N1726">
        <f>IF(SUM(I1726:J1726)&lt;=($G$11/60*$F$11/($E$11/60)),1,0)</f>
        <v>0</v>
      </c>
    </row>
    <row r="1727" spans="4:14" x14ac:dyDescent="0.2">
      <c r="D1727">
        <f t="shared" si="160"/>
        <v>1704</v>
      </c>
      <c r="E1727" s="1">
        <f>IF($H$11=1,IF(D1727&lt;=$A$15, E1726+LN($D$11)-LN(60/$E$11)-LN(MIN(D1727,$F$11)), E1726-LN(60/$E$11)-LN(MIN(D1727,$F$11))), IF(D1727&lt;=$A$15, E1726+LN($D$11)-LN(60/$E$11)-LN(MIN(D1727,$F$11)), E1726+LN($D$11)+LN(1-$H$11)-LN(60/$E$11)-LN(MIN(D1727,$F$11))))</f>
        <v>-205.00445358757216</v>
      </c>
      <c r="F1727" s="1">
        <f t="shared" si="161"/>
        <v>-207.00648639677121</v>
      </c>
      <c r="G1727" s="1">
        <f t="shared" si="159"/>
        <v>1.2537912645991692E-90</v>
      </c>
      <c r="H1727" s="1">
        <f t="shared" si="156"/>
        <v>1.2306874336609261E-91</v>
      </c>
      <c r="I1727">
        <f>IF($F$11&lt;=D1727, IF(D1727&lt;=$A$15,D1727-$F$11,$C$11),0)</f>
        <v>60</v>
      </c>
      <c r="J1727">
        <f t="shared" si="157"/>
        <v>1640</v>
      </c>
      <c r="K1727" s="5">
        <f>IF(D1727&lt;$F$11,H1727,0)</f>
        <v>0</v>
      </c>
      <c r="L1727">
        <f>IF(D1727&lt;$A$15,$D$11,$D$11*(1-$H$11))</f>
        <v>85</v>
      </c>
      <c r="M1727">
        <f t="shared" si="158"/>
        <v>1</v>
      </c>
      <c r="N1727">
        <f>IF(SUM(I1727:J1727)&lt;=($G$11/60*$F$11/($E$11/60)),1,0)</f>
        <v>0</v>
      </c>
    </row>
    <row r="1728" spans="4:14" x14ac:dyDescent="0.2">
      <c r="D1728">
        <f t="shared" si="160"/>
        <v>1705</v>
      </c>
      <c r="E1728" s="1">
        <f>IF($H$11=1,IF(D1728&lt;=$A$15, E1727+LN($D$11)-LN(60/$E$11)-LN(MIN(D1728,$F$11)), E1727-LN(60/$E$11)-LN(MIN(D1728,$F$11))), IF(D1728&lt;=$A$15, E1727+LN($D$11)-LN(60/$E$11)-LN(MIN(D1728,$F$11)), E1727+LN($D$11)+LN(1-$H$11)-LN(60/$E$11)-LN(MIN(D1728,$F$11))))</f>
        <v>-205.12615052254969</v>
      </c>
      <c r="F1728" s="1">
        <f t="shared" si="161"/>
        <v>-207.12818333174874</v>
      </c>
      <c r="G1728" s="1">
        <f t="shared" si="159"/>
        <v>1.1101276821971635E-90</v>
      </c>
      <c r="H1728" s="1">
        <f t="shared" si="156"/>
        <v>1.0896711652205944E-91</v>
      </c>
      <c r="I1728">
        <f>IF($F$11&lt;=D1728, IF(D1728&lt;=$A$15,D1728-$F$11,$C$11),0)</f>
        <v>60</v>
      </c>
      <c r="J1728">
        <f t="shared" si="157"/>
        <v>1641</v>
      </c>
      <c r="K1728" s="5">
        <f>IF(D1728&lt;$F$11,H1728,0)</f>
        <v>0</v>
      </c>
      <c r="L1728">
        <f>IF(D1728&lt;$A$15,$D$11,$D$11*(1-$H$11))</f>
        <v>85</v>
      </c>
      <c r="M1728">
        <f t="shared" si="158"/>
        <v>1</v>
      </c>
      <c r="N1728">
        <f>IF(SUM(I1728:J1728)&lt;=($G$11/60*$F$11/($E$11/60)),1,0)</f>
        <v>0</v>
      </c>
    </row>
    <row r="1729" spans="4:14" x14ac:dyDescent="0.2">
      <c r="D1729">
        <f t="shared" si="160"/>
        <v>1706</v>
      </c>
      <c r="E1729" s="1">
        <f>IF($H$11=1,IF(D1729&lt;=$A$15, E1728+LN($D$11)-LN(60/$E$11)-LN(MIN(D1729,$F$11)), E1728-LN(60/$E$11)-LN(MIN(D1729,$F$11))), IF(D1729&lt;=$A$15, E1728+LN($D$11)-LN(60/$E$11)-LN(MIN(D1729,$F$11)), E1728+LN($D$11)+LN(1-$H$11)-LN(60/$E$11)-LN(MIN(D1729,$F$11))))</f>
        <v>-205.24784745752723</v>
      </c>
      <c r="F1729" s="1">
        <f t="shared" si="161"/>
        <v>-207.24988026672628</v>
      </c>
      <c r="G1729" s="1">
        <f t="shared" si="159"/>
        <v>9.8292555194538995E-91</v>
      </c>
      <c r="H1729" s="1">
        <f t="shared" si="156"/>
        <v>9.6481301087238633E-92</v>
      </c>
      <c r="I1729">
        <f>IF($F$11&lt;=D1729, IF(D1729&lt;=$A$15,D1729-$F$11,$C$11),0)</f>
        <v>60</v>
      </c>
      <c r="J1729">
        <f t="shared" si="157"/>
        <v>1642</v>
      </c>
      <c r="K1729" s="5">
        <f>IF(D1729&lt;$F$11,H1729,0)</f>
        <v>0</v>
      </c>
      <c r="L1729">
        <f>IF(D1729&lt;$A$15,$D$11,$D$11*(1-$H$11))</f>
        <v>85</v>
      </c>
      <c r="M1729">
        <f t="shared" si="158"/>
        <v>1</v>
      </c>
      <c r="N1729">
        <f>IF(SUM(I1729:J1729)&lt;=($G$11/60*$F$11/($E$11/60)),1,0)</f>
        <v>0</v>
      </c>
    </row>
    <row r="1730" spans="4:14" x14ac:dyDescent="0.2">
      <c r="D1730">
        <f t="shared" si="160"/>
        <v>1707</v>
      </c>
      <c r="E1730" s="1">
        <f>IF($H$11=1,IF(D1730&lt;=$A$15, E1729+LN($D$11)-LN(60/$E$11)-LN(MIN(D1730,$F$11)), E1729-LN(60/$E$11)-LN(MIN(D1730,$F$11))), IF(D1730&lt;=$A$15, E1729+LN($D$11)-LN(60/$E$11)-LN(MIN(D1730,$F$11)), E1729+LN($D$11)+LN(1-$H$11)-LN(60/$E$11)-LN(MIN(D1730,$F$11))))</f>
        <v>-205.36954439250476</v>
      </c>
      <c r="F1730" s="1">
        <f t="shared" si="161"/>
        <v>-207.37157720170381</v>
      </c>
      <c r="G1730" s="1">
        <f t="shared" si="159"/>
        <v>8.7029866578496706E-91</v>
      </c>
      <c r="H1730" s="1">
        <f t="shared" si="156"/>
        <v>8.5426152004324543E-92</v>
      </c>
      <c r="I1730">
        <f>IF($F$11&lt;=D1730, IF(D1730&lt;=$A$15,D1730-$F$11,$C$11),0)</f>
        <v>60</v>
      </c>
      <c r="J1730">
        <f t="shared" si="157"/>
        <v>1643</v>
      </c>
      <c r="K1730" s="5">
        <f>IF(D1730&lt;$F$11,H1730,0)</f>
        <v>0</v>
      </c>
      <c r="L1730">
        <f>IF(D1730&lt;$A$15,$D$11,$D$11*(1-$H$11))</f>
        <v>85</v>
      </c>
      <c r="M1730">
        <f t="shared" si="158"/>
        <v>1</v>
      </c>
      <c r="N1730">
        <f>IF(SUM(I1730:J1730)&lt;=($G$11/60*$F$11/($E$11/60)),1,0)</f>
        <v>0</v>
      </c>
    </row>
    <row r="1731" spans="4:14" x14ac:dyDescent="0.2">
      <c r="D1731">
        <f t="shared" si="160"/>
        <v>1708</v>
      </c>
      <c r="E1731" s="1">
        <f>IF($H$11=1,IF(D1731&lt;=$A$15, E1730+LN($D$11)-LN(60/$E$11)-LN(MIN(D1731,$F$11)), E1730-LN(60/$E$11)-LN(MIN(D1731,$F$11))), IF(D1731&lt;=$A$15, E1730+LN($D$11)-LN(60/$E$11)-LN(MIN(D1731,$F$11)), E1730+LN($D$11)+LN(1-$H$11)-LN(60/$E$11)-LN(MIN(D1731,$F$11))))</f>
        <v>-205.4912413274823</v>
      </c>
      <c r="F1731" s="1">
        <f t="shared" si="161"/>
        <v>-207.49327413668135</v>
      </c>
      <c r="G1731" s="1">
        <f t="shared" si="159"/>
        <v>7.7057694366376082E-91</v>
      </c>
      <c r="H1731" s="1">
        <f t="shared" si="156"/>
        <v>7.5637738753827828E-92</v>
      </c>
      <c r="I1731">
        <f>IF($F$11&lt;=D1731, IF(D1731&lt;=$A$15,D1731-$F$11,$C$11),0)</f>
        <v>60</v>
      </c>
      <c r="J1731">
        <f t="shared" si="157"/>
        <v>1644</v>
      </c>
      <c r="K1731" s="5">
        <f>IF(D1731&lt;$F$11,H1731,0)</f>
        <v>0</v>
      </c>
      <c r="L1731">
        <f>IF(D1731&lt;$A$15,$D$11,$D$11*(1-$H$11))</f>
        <v>85</v>
      </c>
      <c r="M1731">
        <f t="shared" si="158"/>
        <v>1</v>
      </c>
      <c r="N1731">
        <f>IF(SUM(I1731:J1731)&lt;=($G$11/60*$F$11/($E$11/60)),1,0)</f>
        <v>0</v>
      </c>
    </row>
    <row r="1732" spans="4:14" x14ac:dyDescent="0.2">
      <c r="D1732">
        <f t="shared" si="160"/>
        <v>1709</v>
      </c>
      <c r="E1732" s="1">
        <f>IF($H$11=1,IF(D1732&lt;=$A$15, E1731+LN($D$11)-LN(60/$E$11)-LN(MIN(D1732,$F$11)), E1731-LN(60/$E$11)-LN(MIN(D1732,$F$11))), IF(D1732&lt;=$A$15, E1731+LN($D$11)-LN(60/$E$11)-LN(MIN(D1732,$F$11)), E1731+LN($D$11)+LN(1-$H$11)-LN(60/$E$11)-LN(MIN(D1732,$F$11))))</f>
        <v>-205.61293826245983</v>
      </c>
      <c r="F1732" s="1">
        <f t="shared" si="161"/>
        <v>-207.61497107165889</v>
      </c>
      <c r="G1732" s="1">
        <f t="shared" si="159"/>
        <v>6.8228166886894429E-91</v>
      </c>
      <c r="H1732" s="1">
        <f t="shared" si="156"/>
        <v>6.6970914521617353E-92</v>
      </c>
      <c r="I1732">
        <f>IF($F$11&lt;=D1732, IF(D1732&lt;=$A$15,D1732-$F$11,$C$11),0)</f>
        <v>60</v>
      </c>
      <c r="J1732">
        <f t="shared" si="157"/>
        <v>1645</v>
      </c>
      <c r="K1732" s="5">
        <f>IF(D1732&lt;$F$11,H1732,0)</f>
        <v>0</v>
      </c>
      <c r="L1732">
        <f>IF(D1732&lt;$A$15,$D$11,$D$11*(1-$H$11))</f>
        <v>85</v>
      </c>
      <c r="M1732">
        <f t="shared" si="158"/>
        <v>1</v>
      </c>
      <c r="N1732">
        <f>IF(SUM(I1732:J1732)&lt;=($G$11/60*$F$11/($E$11/60)),1,0)</f>
        <v>0</v>
      </c>
    </row>
    <row r="1733" spans="4:14" x14ac:dyDescent="0.2">
      <c r="D1733">
        <f t="shared" si="160"/>
        <v>1710</v>
      </c>
      <c r="E1733" s="1">
        <f>IF($H$11=1,IF(D1733&lt;=$A$15, E1732+LN($D$11)-LN(60/$E$11)-LN(MIN(D1733,$F$11)), E1732-LN(60/$E$11)-LN(MIN(D1733,$F$11))), IF(D1733&lt;=$A$15, E1732+LN($D$11)-LN(60/$E$11)-LN(MIN(D1733,$F$11)), E1732+LN($D$11)+LN(1-$H$11)-LN(60/$E$11)-LN(MIN(D1733,$F$11))))</f>
        <v>-205.73463519743737</v>
      </c>
      <c r="F1733" s="1">
        <f t="shared" si="161"/>
        <v>-207.73666800663642</v>
      </c>
      <c r="G1733" s="1">
        <f t="shared" si="159"/>
        <v>6.0410356097770165E-91</v>
      </c>
      <c r="H1733" s="1">
        <f t="shared" si="156"/>
        <v>5.9297163899347772E-92</v>
      </c>
      <c r="I1733">
        <f>IF($F$11&lt;=D1733, IF(D1733&lt;=$A$15,D1733-$F$11,$C$11),0)</f>
        <v>60</v>
      </c>
      <c r="J1733">
        <f t="shared" si="157"/>
        <v>1646</v>
      </c>
      <c r="K1733" s="5">
        <f>IF(D1733&lt;$F$11,H1733,0)</f>
        <v>0</v>
      </c>
      <c r="L1733">
        <f>IF(D1733&lt;$A$15,$D$11,$D$11*(1-$H$11))</f>
        <v>85</v>
      </c>
      <c r="M1733">
        <f t="shared" si="158"/>
        <v>1</v>
      </c>
      <c r="N1733">
        <f>IF(SUM(I1733:J1733)&lt;=($G$11/60*$F$11/($E$11/60)),1,0)</f>
        <v>0</v>
      </c>
    </row>
    <row r="1734" spans="4:14" x14ac:dyDescent="0.2">
      <c r="D1734">
        <f t="shared" si="160"/>
        <v>1711</v>
      </c>
      <c r="E1734" s="1">
        <f>IF($H$11=1,IF(D1734&lt;=$A$15, E1733+LN($D$11)-LN(60/$E$11)-LN(MIN(D1734,$F$11)), E1733-LN(60/$E$11)-LN(MIN(D1734,$F$11))), IF(D1734&lt;=$A$15, E1733+LN($D$11)-LN(60/$E$11)-LN(MIN(D1734,$F$11)), E1733+LN($D$11)+LN(1-$H$11)-LN(60/$E$11)-LN(MIN(D1734,$F$11))))</f>
        <v>-205.85633213241491</v>
      </c>
      <c r="F1734" s="1">
        <f t="shared" si="161"/>
        <v>-207.85836494161396</v>
      </c>
      <c r="G1734" s="1">
        <f t="shared" si="159"/>
        <v>5.3488336128233163E-91</v>
      </c>
      <c r="H1734" s="1">
        <f t="shared" si="156"/>
        <v>5.250269720254668E-92</v>
      </c>
      <c r="I1734">
        <f>IF($F$11&lt;=D1734, IF(D1734&lt;=$A$15,D1734-$F$11,$C$11),0)</f>
        <v>60</v>
      </c>
      <c r="J1734">
        <f t="shared" si="157"/>
        <v>1647</v>
      </c>
      <c r="K1734" s="5">
        <f>IF(D1734&lt;$F$11,H1734,0)</f>
        <v>0</v>
      </c>
      <c r="L1734">
        <f>IF(D1734&lt;$A$15,$D$11,$D$11*(1-$H$11))</f>
        <v>85</v>
      </c>
      <c r="M1734">
        <f t="shared" si="158"/>
        <v>1</v>
      </c>
      <c r="N1734">
        <f>IF(SUM(I1734:J1734)&lt;=($G$11/60*$F$11/($E$11/60)),1,0)</f>
        <v>0</v>
      </c>
    </row>
    <row r="1735" spans="4:14" x14ac:dyDescent="0.2">
      <c r="D1735">
        <f t="shared" si="160"/>
        <v>1712</v>
      </c>
      <c r="E1735" s="1">
        <f>IF($H$11=1,IF(D1735&lt;=$A$15, E1734+LN($D$11)-LN(60/$E$11)-LN(MIN(D1735,$F$11)), E1734-LN(60/$E$11)-LN(MIN(D1735,$F$11))), IF(D1735&lt;=$A$15, E1734+LN($D$11)-LN(60/$E$11)-LN(MIN(D1735,$F$11)), E1734+LN($D$11)+LN(1-$H$11)-LN(60/$E$11)-LN(MIN(D1735,$F$11))))</f>
        <v>-205.97802906739244</v>
      </c>
      <c r="F1735" s="1">
        <f t="shared" si="161"/>
        <v>-207.98006187659149</v>
      </c>
      <c r="G1735" s="1">
        <f t="shared" si="159"/>
        <v>4.7359464280205705E-91</v>
      </c>
      <c r="H1735" s="1">
        <f t="shared" si="156"/>
        <v>4.6486763148087478E-92</v>
      </c>
      <c r="I1735">
        <f>IF($F$11&lt;=D1735, IF(D1735&lt;=$A$15,D1735-$F$11,$C$11),0)</f>
        <v>60</v>
      </c>
      <c r="J1735">
        <f t="shared" si="157"/>
        <v>1648</v>
      </c>
      <c r="K1735" s="5">
        <f>IF(D1735&lt;$F$11,H1735,0)</f>
        <v>0</v>
      </c>
      <c r="L1735">
        <f>IF(D1735&lt;$A$15,$D$11,$D$11*(1-$H$11))</f>
        <v>85</v>
      </c>
      <c r="M1735">
        <f t="shared" si="158"/>
        <v>1</v>
      </c>
      <c r="N1735">
        <f>IF(SUM(I1735:J1735)&lt;=($G$11/60*$F$11/($E$11/60)),1,0)</f>
        <v>0</v>
      </c>
    </row>
    <row r="1736" spans="4:14" x14ac:dyDescent="0.2">
      <c r="D1736">
        <f t="shared" si="160"/>
        <v>1713</v>
      </c>
      <c r="E1736" s="1">
        <f>IF($H$11=1,IF(D1736&lt;=$A$15, E1735+LN($D$11)-LN(60/$E$11)-LN(MIN(D1736,$F$11)), E1735-LN(60/$E$11)-LN(MIN(D1736,$F$11))), IF(D1736&lt;=$A$15, E1735+LN($D$11)-LN(60/$E$11)-LN(MIN(D1736,$F$11)), E1735+LN($D$11)+LN(1-$H$11)-LN(60/$E$11)-LN(MIN(D1736,$F$11))))</f>
        <v>-206.09972600236998</v>
      </c>
      <c r="F1736" s="1">
        <f t="shared" si="161"/>
        <v>-208.10175881156903</v>
      </c>
      <c r="G1736" s="1">
        <f t="shared" si="159"/>
        <v>4.1932858998098145E-91</v>
      </c>
      <c r="H1736" s="1">
        <f t="shared" si="156"/>
        <v>4.1160154870701813E-92</v>
      </c>
      <c r="I1736">
        <f>IF($F$11&lt;=D1736, IF(D1736&lt;=$A$15,D1736-$F$11,$C$11),0)</f>
        <v>60</v>
      </c>
      <c r="J1736">
        <f t="shared" si="157"/>
        <v>1649</v>
      </c>
      <c r="K1736" s="5">
        <f>IF(D1736&lt;$F$11,H1736,0)</f>
        <v>0</v>
      </c>
      <c r="L1736">
        <f>IF(D1736&lt;$A$15,$D$11,$D$11*(1-$H$11))</f>
        <v>85</v>
      </c>
      <c r="M1736">
        <f t="shared" si="158"/>
        <v>1</v>
      </c>
      <c r="N1736">
        <f>IF(SUM(I1736:J1736)&lt;=($G$11/60*$F$11/($E$11/60)),1,0)</f>
        <v>0</v>
      </c>
    </row>
    <row r="1737" spans="4:14" x14ac:dyDescent="0.2">
      <c r="D1737">
        <f t="shared" si="160"/>
        <v>1714</v>
      </c>
      <c r="E1737" s="1">
        <f>IF($H$11=1,IF(D1737&lt;=$A$15, E1736+LN($D$11)-LN(60/$E$11)-LN(MIN(D1737,$F$11)), E1736-LN(60/$E$11)-LN(MIN(D1737,$F$11))), IF(D1737&lt;=$A$15, E1736+LN($D$11)-LN(60/$E$11)-LN(MIN(D1737,$F$11)), E1736+LN($D$11)+LN(1-$H$11)-LN(60/$E$11)-LN(MIN(D1737,$F$11))))</f>
        <v>-206.22142293734751</v>
      </c>
      <c r="F1737" s="1">
        <f t="shared" si="161"/>
        <v>-208.22345574654656</v>
      </c>
      <c r="G1737" s="1">
        <f t="shared" si="159"/>
        <v>3.7128052237898816E-91</v>
      </c>
      <c r="H1737" s="1">
        <f t="shared" si="156"/>
        <v>3.6443887125099992E-92</v>
      </c>
      <c r="I1737">
        <f>IF($F$11&lt;=D1737, IF(D1737&lt;=$A$15,D1737-$F$11,$C$11),0)</f>
        <v>60</v>
      </c>
      <c r="J1737">
        <f t="shared" si="157"/>
        <v>1650</v>
      </c>
      <c r="K1737" s="5">
        <f>IF(D1737&lt;$F$11,H1737,0)</f>
        <v>0</v>
      </c>
      <c r="L1737">
        <f>IF(D1737&lt;$A$15,$D$11,$D$11*(1-$H$11))</f>
        <v>85</v>
      </c>
      <c r="M1737">
        <f t="shared" si="158"/>
        <v>1</v>
      </c>
      <c r="N1737">
        <f>IF(SUM(I1737:J1737)&lt;=($G$11/60*$F$11/($E$11/60)),1,0)</f>
        <v>0</v>
      </c>
    </row>
    <row r="1738" spans="4:14" x14ac:dyDescent="0.2">
      <c r="D1738">
        <f t="shared" si="160"/>
        <v>1715</v>
      </c>
      <c r="E1738" s="1">
        <f>IF($H$11=1,IF(D1738&lt;=$A$15, E1737+LN($D$11)-LN(60/$E$11)-LN(MIN(D1738,$F$11)), E1737-LN(60/$E$11)-LN(MIN(D1738,$F$11))), IF(D1738&lt;=$A$15, E1737+LN($D$11)-LN(60/$E$11)-LN(MIN(D1738,$F$11)), E1737+LN($D$11)+LN(1-$H$11)-LN(60/$E$11)-LN(MIN(D1738,$F$11))))</f>
        <v>-206.34311987232505</v>
      </c>
      <c r="F1738" s="1">
        <f t="shared" si="161"/>
        <v>-208.3451526815241</v>
      </c>
      <c r="G1738" s="1">
        <f t="shared" si="159"/>
        <v>3.2873796252305728E-91</v>
      </c>
      <c r="H1738" s="1">
        <f t="shared" si="156"/>
        <v>3.226802505868178E-92</v>
      </c>
      <c r="I1738">
        <f>IF($F$11&lt;=D1738, IF(D1738&lt;=$A$15,D1738-$F$11,$C$11),0)</f>
        <v>60</v>
      </c>
      <c r="J1738">
        <f t="shared" si="157"/>
        <v>1651</v>
      </c>
      <c r="K1738" s="5">
        <f>IF(D1738&lt;$F$11,H1738,0)</f>
        <v>0</v>
      </c>
      <c r="L1738">
        <f>IF(D1738&lt;$A$15,$D$11,$D$11*(1-$H$11))</f>
        <v>85</v>
      </c>
      <c r="M1738">
        <f t="shared" si="158"/>
        <v>1</v>
      </c>
      <c r="N1738">
        <f>IF(SUM(I1738:J1738)&lt;=($G$11/60*$F$11/($E$11/60)),1,0)</f>
        <v>0</v>
      </c>
    </row>
    <row r="1739" spans="4:14" x14ac:dyDescent="0.2">
      <c r="D1739">
        <f t="shared" si="160"/>
        <v>1716</v>
      </c>
      <c r="E1739" s="1">
        <f>IF($H$11=1,IF(D1739&lt;=$A$15, E1738+LN($D$11)-LN(60/$E$11)-LN(MIN(D1739,$F$11)), E1738-LN(60/$E$11)-LN(MIN(D1739,$F$11))), IF(D1739&lt;=$A$15, E1738+LN($D$11)-LN(60/$E$11)-LN(MIN(D1739,$F$11)), E1738+LN($D$11)+LN(1-$H$11)-LN(60/$E$11)-LN(MIN(D1739,$F$11))))</f>
        <v>-206.46481680730258</v>
      </c>
      <c r="F1739" s="1">
        <f t="shared" si="161"/>
        <v>-208.46684961650163</v>
      </c>
      <c r="G1739" s="1">
        <f t="shared" si="159"/>
        <v>2.9107007098395242E-91</v>
      </c>
      <c r="H1739" s="1">
        <f t="shared" si="156"/>
        <v>2.8570647187374044E-92</v>
      </c>
      <c r="I1739">
        <f>IF($F$11&lt;=D1739, IF(D1739&lt;=$A$15,D1739-$F$11,$C$11),0)</f>
        <v>60</v>
      </c>
      <c r="J1739">
        <f t="shared" si="157"/>
        <v>1652</v>
      </c>
      <c r="K1739" s="5">
        <f>IF(D1739&lt;$F$11,H1739,0)</f>
        <v>0</v>
      </c>
      <c r="L1739">
        <f>IF(D1739&lt;$A$15,$D$11,$D$11*(1-$H$11))</f>
        <v>85</v>
      </c>
      <c r="M1739">
        <f t="shared" si="158"/>
        <v>1</v>
      </c>
      <c r="N1739">
        <f>IF(SUM(I1739:J1739)&lt;=($G$11/60*$F$11/($E$11/60)),1,0)</f>
        <v>0</v>
      </c>
    </row>
    <row r="1740" spans="4:14" x14ac:dyDescent="0.2">
      <c r="D1740">
        <f t="shared" si="160"/>
        <v>1717</v>
      </c>
      <c r="E1740" s="1">
        <f>IF($H$11=1,IF(D1740&lt;=$A$15, E1739+LN($D$11)-LN(60/$E$11)-LN(MIN(D1740,$F$11)), E1739-LN(60/$E$11)-LN(MIN(D1740,$F$11))), IF(D1740&lt;=$A$15, E1739+LN($D$11)-LN(60/$E$11)-LN(MIN(D1740,$F$11)), E1739+LN($D$11)+LN(1-$H$11)-LN(60/$E$11)-LN(MIN(D1740,$F$11))))</f>
        <v>-206.58651374228012</v>
      </c>
      <c r="F1740" s="1">
        <f t="shared" si="161"/>
        <v>-208.58854655147917</v>
      </c>
      <c r="G1740" s="1">
        <f t="shared" si="159"/>
        <v>2.5771829201703718E-91</v>
      </c>
      <c r="H1740" s="1">
        <f t="shared" si="156"/>
        <v>2.5296927197153707E-92</v>
      </c>
      <c r="I1740">
        <f>IF($F$11&lt;=D1740, IF(D1740&lt;=$A$15,D1740-$F$11,$C$11),0)</f>
        <v>60</v>
      </c>
      <c r="J1740">
        <f t="shared" si="157"/>
        <v>1653</v>
      </c>
      <c r="K1740" s="5">
        <f>IF(D1740&lt;$F$11,H1740,0)</f>
        <v>0</v>
      </c>
      <c r="L1740">
        <f>IF(D1740&lt;$A$15,$D$11,$D$11*(1-$H$11))</f>
        <v>85</v>
      </c>
      <c r="M1740">
        <f t="shared" si="158"/>
        <v>1</v>
      </c>
      <c r="N1740">
        <f>IF(SUM(I1740:J1740)&lt;=($G$11/60*$F$11/($E$11/60)),1,0)</f>
        <v>0</v>
      </c>
    </row>
    <row r="1741" spans="4:14" x14ac:dyDescent="0.2">
      <c r="D1741">
        <f t="shared" si="160"/>
        <v>1718</v>
      </c>
      <c r="E1741" s="1">
        <f>IF($H$11=1,IF(D1741&lt;=$A$15, E1740+LN($D$11)-LN(60/$E$11)-LN(MIN(D1741,$F$11)), E1740-LN(60/$E$11)-LN(MIN(D1741,$F$11))), IF(D1741&lt;=$A$15, E1740+LN($D$11)-LN(60/$E$11)-LN(MIN(D1741,$F$11)), E1740+LN($D$11)+LN(1-$H$11)-LN(60/$E$11)-LN(MIN(D1741,$F$11))))</f>
        <v>-206.70821067725765</v>
      </c>
      <c r="F1741" s="1">
        <f t="shared" si="161"/>
        <v>-208.7102434864567</v>
      </c>
      <c r="G1741" s="1">
        <f t="shared" si="159"/>
        <v>2.2818807105674811E-91</v>
      </c>
      <c r="H1741" s="1">
        <f t="shared" si="156"/>
        <v>2.2398320955812826E-92</v>
      </c>
      <c r="I1741">
        <f>IF($F$11&lt;=D1741, IF(D1741&lt;=$A$15,D1741-$F$11,$C$11),0)</f>
        <v>60</v>
      </c>
      <c r="J1741">
        <f t="shared" si="157"/>
        <v>1654</v>
      </c>
      <c r="K1741" s="5">
        <f>IF(D1741&lt;$F$11,H1741,0)</f>
        <v>0</v>
      </c>
      <c r="L1741">
        <f>IF(D1741&lt;$A$15,$D$11,$D$11*(1-$H$11))</f>
        <v>85</v>
      </c>
      <c r="M1741">
        <f t="shared" si="158"/>
        <v>1</v>
      </c>
      <c r="N1741">
        <f>IF(SUM(I1741:J1741)&lt;=($G$11/60*$F$11/($E$11/60)),1,0)</f>
        <v>0</v>
      </c>
    </row>
    <row r="1742" spans="4:14" x14ac:dyDescent="0.2">
      <c r="D1742">
        <f t="shared" si="160"/>
        <v>1719</v>
      </c>
      <c r="E1742" s="1">
        <f>IF($H$11=1,IF(D1742&lt;=$A$15, E1741+LN($D$11)-LN(60/$E$11)-LN(MIN(D1742,$F$11)), E1741-LN(60/$E$11)-LN(MIN(D1742,$F$11))), IF(D1742&lt;=$A$15, E1741+LN($D$11)-LN(60/$E$11)-LN(MIN(D1742,$F$11)), E1741+LN($D$11)+LN(1-$H$11)-LN(60/$E$11)-LN(MIN(D1742,$F$11))))</f>
        <v>-206.82990761223519</v>
      </c>
      <c r="F1742" s="1">
        <f t="shared" si="161"/>
        <v>-208.83194042143424</v>
      </c>
      <c r="G1742" s="1">
        <f t="shared" si="159"/>
        <v>2.0204152124815923E-91</v>
      </c>
      <c r="H1742" s="1">
        <f t="shared" si="156"/>
        <v>1.9831846679625631E-92</v>
      </c>
      <c r="I1742">
        <f>IF($F$11&lt;=D1742, IF(D1742&lt;=$A$15,D1742-$F$11,$C$11),0)</f>
        <v>60</v>
      </c>
      <c r="J1742">
        <f t="shared" si="157"/>
        <v>1655</v>
      </c>
      <c r="K1742" s="5">
        <f>IF(D1742&lt;$F$11,H1742,0)</f>
        <v>0</v>
      </c>
      <c r="L1742">
        <f>IF(D1742&lt;$A$15,$D$11,$D$11*(1-$H$11))</f>
        <v>85</v>
      </c>
      <c r="M1742">
        <f t="shared" si="158"/>
        <v>1</v>
      </c>
      <c r="N1742">
        <f>IF(SUM(I1742:J1742)&lt;=($G$11/60*$F$11/($E$11/60)),1,0)</f>
        <v>0</v>
      </c>
    </row>
    <row r="1743" spans="4:14" x14ac:dyDescent="0.2">
      <c r="D1743">
        <f t="shared" si="160"/>
        <v>1720</v>
      </c>
      <c r="E1743" s="1">
        <f>IF($H$11=1,IF(D1743&lt;=$A$15, E1742+LN($D$11)-LN(60/$E$11)-LN(MIN(D1743,$F$11)), E1742-LN(60/$E$11)-LN(MIN(D1743,$F$11))), IF(D1743&lt;=$A$15, E1742+LN($D$11)-LN(60/$E$11)-LN(MIN(D1743,$F$11)), E1742+LN($D$11)+LN(1-$H$11)-LN(60/$E$11)-LN(MIN(D1743,$F$11))))</f>
        <v>-206.95160454721272</v>
      </c>
      <c r="F1743" s="1">
        <f t="shared" si="161"/>
        <v>-208.95363735641178</v>
      </c>
      <c r="G1743" s="1">
        <f t="shared" si="159"/>
        <v>1.7889093027180485E-91</v>
      </c>
      <c r="H1743" s="1">
        <f t="shared" si="156"/>
        <v>1.7559447580918251E-92</v>
      </c>
      <c r="I1743">
        <f>IF($F$11&lt;=D1743, IF(D1743&lt;=$A$15,D1743-$F$11,$C$11),0)</f>
        <v>60</v>
      </c>
      <c r="J1743">
        <f t="shared" si="157"/>
        <v>1656</v>
      </c>
      <c r="K1743" s="5">
        <f>IF(D1743&lt;$F$11,H1743,0)</f>
        <v>0</v>
      </c>
      <c r="L1743">
        <f>IF(D1743&lt;$A$15,$D$11,$D$11*(1-$H$11))</f>
        <v>85</v>
      </c>
      <c r="M1743">
        <f t="shared" si="158"/>
        <v>1</v>
      </c>
      <c r="N1743">
        <f>IF(SUM(I1743:J1743)&lt;=($G$11/60*$F$11/($E$11/60)),1,0)</f>
        <v>0</v>
      </c>
    </row>
    <row r="1744" spans="4:14" x14ac:dyDescent="0.2">
      <c r="D1744">
        <f t="shared" si="160"/>
        <v>1721</v>
      </c>
      <c r="E1744" s="1">
        <f>IF($H$11=1,IF(D1744&lt;=$A$15, E1743+LN($D$11)-LN(60/$E$11)-LN(MIN(D1744,$F$11)), E1743-LN(60/$E$11)-LN(MIN(D1744,$F$11))), IF(D1744&lt;=$A$15, E1743+LN($D$11)-LN(60/$E$11)-LN(MIN(D1744,$F$11)), E1743+LN($D$11)+LN(1-$H$11)-LN(60/$E$11)-LN(MIN(D1744,$F$11))))</f>
        <v>-207.07330148219026</v>
      </c>
      <c r="F1744" s="1">
        <f t="shared" si="161"/>
        <v>-209.07533429138931</v>
      </c>
      <c r="G1744" s="1">
        <f t="shared" si="159"/>
        <v>1.5839301117815806E-91</v>
      </c>
      <c r="H1744" s="1">
        <f t="shared" si="156"/>
        <v>1.5547427545604459E-92</v>
      </c>
      <c r="I1744">
        <f>IF($F$11&lt;=D1744, IF(D1744&lt;=$A$15,D1744-$F$11,$C$11),0)</f>
        <v>60</v>
      </c>
      <c r="J1744">
        <f t="shared" si="157"/>
        <v>1657</v>
      </c>
      <c r="K1744" s="5">
        <f>IF(D1744&lt;$F$11,H1744,0)</f>
        <v>0</v>
      </c>
      <c r="L1744">
        <f>IF(D1744&lt;$A$15,$D$11,$D$11*(1-$H$11))</f>
        <v>85</v>
      </c>
      <c r="M1744">
        <f t="shared" si="158"/>
        <v>1</v>
      </c>
      <c r="N1744">
        <f>IF(SUM(I1744:J1744)&lt;=($G$11/60*$F$11/($E$11/60)),1,0)</f>
        <v>0</v>
      </c>
    </row>
    <row r="1745" spans="4:14" x14ac:dyDescent="0.2">
      <c r="D1745">
        <f t="shared" si="160"/>
        <v>1722</v>
      </c>
      <c r="E1745" s="1">
        <f>IF($H$11=1,IF(D1745&lt;=$A$15, E1744+LN($D$11)-LN(60/$E$11)-LN(MIN(D1745,$F$11)), E1744-LN(60/$E$11)-LN(MIN(D1745,$F$11))), IF(D1745&lt;=$A$15, E1744+LN($D$11)-LN(60/$E$11)-LN(MIN(D1745,$F$11)), E1744+LN($D$11)+LN(1-$H$11)-LN(60/$E$11)-LN(MIN(D1745,$F$11))))</f>
        <v>-207.1949984171678</v>
      </c>
      <c r="F1745" s="1">
        <f t="shared" si="161"/>
        <v>-209.19703122636685</v>
      </c>
      <c r="G1745" s="1">
        <f t="shared" si="159"/>
        <v>1.402438119806586E-91</v>
      </c>
      <c r="H1745" s="1">
        <f t="shared" si="156"/>
        <v>1.3765951472670401E-92</v>
      </c>
      <c r="I1745">
        <f>IF($F$11&lt;=D1745, IF(D1745&lt;=$A$15,D1745-$F$11,$C$11),0)</f>
        <v>60</v>
      </c>
      <c r="J1745">
        <f t="shared" si="157"/>
        <v>1658</v>
      </c>
      <c r="K1745" s="5">
        <f>IF(D1745&lt;$F$11,H1745,0)</f>
        <v>0</v>
      </c>
      <c r="L1745">
        <f>IF(D1745&lt;$A$15,$D$11,$D$11*(1-$H$11))</f>
        <v>85</v>
      </c>
      <c r="M1745">
        <f t="shared" si="158"/>
        <v>1</v>
      </c>
      <c r="N1745">
        <f>IF(SUM(I1745:J1745)&lt;=($G$11/60*$F$11/($E$11/60)),1,0)</f>
        <v>0</v>
      </c>
    </row>
    <row r="1746" spans="4:14" x14ac:dyDescent="0.2">
      <c r="D1746">
        <f t="shared" si="160"/>
        <v>1723</v>
      </c>
      <c r="E1746" s="1">
        <f>IF($H$11=1,IF(D1746&lt;=$A$15, E1745+LN($D$11)-LN(60/$E$11)-LN(MIN(D1746,$F$11)), E1745-LN(60/$E$11)-LN(MIN(D1746,$F$11))), IF(D1746&lt;=$A$15, E1745+LN($D$11)-LN(60/$E$11)-LN(MIN(D1746,$F$11)), E1745+LN($D$11)+LN(1-$H$11)-LN(60/$E$11)-LN(MIN(D1746,$F$11))))</f>
        <v>-207.31669535214533</v>
      </c>
      <c r="F1746" s="1">
        <f t="shared" si="161"/>
        <v>-209.31872816134438</v>
      </c>
      <c r="G1746" s="1">
        <f t="shared" si="159"/>
        <v>1.2417420852453952E-91</v>
      </c>
      <c r="H1746" s="1">
        <f t="shared" si="156"/>
        <v>1.2188602866426727E-92</v>
      </c>
      <c r="I1746">
        <f>IF($F$11&lt;=D1746, IF(D1746&lt;=$A$15,D1746-$F$11,$C$11),0)</f>
        <v>60</v>
      </c>
      <c r="J1746">
        <f t="shared" si="157"/>
        <v>1659</v>
      </c>
      <c r="K1746" s="5">
        <f>IF(D1746&lt;$F$11,H1746,0)</f>
        <v>0</v>
      </c>
      <c r="L1746">
        <f>IF(D1746&lt;$A$15,$D$11,$D$11*(1-$H$11))</f>
        <v>85</v>
      </c>
      <c r="M1746">
        <f t="shared" si="158"/>
        <v>1</v>
      </c>
      <c r="N1746">
        <f>IF(SUM(I1746:J1746)&lt;=($G$11/60*$F$11/($E$11/60)),1,0)</f>
        <v>0</v>
      </c>
    </row>
    <row r="1747" spans="4:14" x14ac:dyDescent="0.2">
      <c r="D1747">
        <f t="shared" si="160"/>
        <v>1724</v>
      </c>
      <c r="E1747" s="1">
        <f>IF($H$11=1,IF(D1747&lt;=$A$15, E1746+LN($D$11)-LN(60/$E$11)-LN(MIN(D1747,$F$11)), E1746-LN(60/$E$11)-LN(MIN(D1747,$F$11))), IF(D1747&lt;=$A$15, E1746+LN($D$11)-LN(60/$E$11)-LN(MIN(D1747,$F$11)), E1746+LN($D$11)+LN(1-$H$11)-LN(60/$E$11)-LN(MIN(D1747,$F$11))))</f>
        <v>-207.43839228712287</v>
      </c>
      <c r="F1747" s="1">
        <f t="shared" si="161"/>
        <v>-209.44042509632192</v>
      </c>
      <c r="G1747" s="1">
        <f t="shared" si="159"/>
        <v>1.0994591379776765E-91</v>
      </c>
      <c r="H1747" s="1">
        <f t="shared" si="156"/>
        <v>1.0791992121315161E-92</v>
      </c>
      <c r="I1747">
        <f>IF($F$11&lt;=D1747, IF(D1747&lt;=$A$15,D1747-$F$11,$C$11),0)</f>
        <v>60</v>
      </c>
      <c r="J1747">
        <f t="shared" si="157"/>
        <v>1660</v>
      </c>
      <c r="K1747" s="5">
        <f>IF(D1747&lt;$F$11,H1747,0)</f>
        <v>0</v>
      </c>
      <c r="L1747">
        <f>IF(D1747&lt;$A$15,$D$11,$D$11*(1-$H$11))</f>
        <v>85</v>
      </c>
      <c r="M1747">
        <f t="shared" si="158"/>
        <v>1</v>
      </c>
      <c r="N1747">
        <f>IF(SUM(I1747:J1747)&lt;=($G$11/60*$F$11/($E$11/60)),1,0)</f>
        <v>0</v>
      </c>
    </row>
    <row r="1748" spans="4:14" x14ac:dyDescent="0.2">
      <c r="D1748">
        <f t="shared" si="160"/>
        <v>1725</v>
      </c>
      <c r="E1748" s="1">
        <f>IF($H$11=1,IF(D1748&lt;=$A$15, E1747+LN($D$11)-LN(60/$E$11)-LN(MIN(D1748,$F$11)), E1747-LN(60/$E$11)-LN(MIN(D1748,$F$11))), IF(D1748&lt;=$A$15, E1747+LN($D$11)-LN(60/$E$11)-LN(MIN(D1748,$F$11)), E1747+LN($D$11)+LN(1-$H$11)-LN(60/$E$11)-LN(MIN(D1748,$F$11))))</f>
        <v>-207.5600892221004</v>
      </c>
      <c r="F1748" s="1">
        <f t="shared" si="161"/>
        <v>-209.56212203129945</v>
      </c>
      <c r="G1748" s="1">
        <f t="shared" si="159"/>
        <v>9.734794450843859E-92</v>
      </c>
      <c r="H1748" s="1">
        <f t="shared" si="156"/>
        <v>9.5554096907476513E-93</v>
      </c>
      <c r="I1748">
        <f>IF($F$11&lt;=D1748, IF(D1748&lt;=$A$15,D1748-$F$11,$C$11),0)</f>
        <v>60</v>
      </c>
      <c r="J1748">
        <f t="shared" si="157"/>
        <v>1661</v>
      </c>
      <c r="K1748" s="5">
        <f>IF(D1748&lt;$F$11,H1748,0)</f>
        <v>0</v>
      </c>
      <c r="L1748">
        <f>IF(D1748&lt;$A$15,$D$11,$D$11*(1-$H$11))</f>
        <v>85</v>
      </c>
      <c r="M1748">
        <f t="shared" si="158"/>
        <v>1</v>
      </c>
      <c r="N1748">
        <f>IF(SUM(I1748:J1748)&lt;=($G$11/60*$F$11/($E$11/60)),1,0)</f>
        <v>0</v>
      </c>
    </row>
    <row r="1749" spans="4:14" x14ac:dyDescent="0.2">
      <c r="D1749">
        <f t="shared" si="160"/>
        <v>1726</v>
      </c>
      <c r="E1749" s="1">
        <f>IF($H$11=1,IF(D1749&lt;=$A$15, E1748+LN($D$11)-LN(60/$E$11)-LN(MIN(D1749,$F$11)), E1748-LN(60/$E$11)-LN(MIN(D1749,$F$11))), IF(D1749&lt;=$A$15, E1748+LN($D$11)-LN(60/$E$11)-LN(MIN(D1749,$F$11)), E1748+LN($D$11)+LN(1-$H$11)-LN(60/$E$11)-LN(MIN(D1749,$F$11))))</f>
        <v>-207.68178615707794</v>
      </c>
      <c r="F1749" s="1">
        <f t="shared" si="161"/>
        <v>-209.68381896627699</v>
      </c>
      <c r="G1749" s="1">
        <f t="shared" si="159"/>
        <v>8.619349253351199E-92</v>
      </c>
      <c r="H1749" s="1">
        <f t="shared" si="156"/>
        <v>8.4605189970160163E-93</v>
      </c>
      <c r="I1749">
        <f>IF($F$11&lt;=D1749, IF(D1749&lt;=$A$15,D1749-$F$11,$C$11),0)</f>
        <v>60</v>
      </c>
      <c r="J1749">
        <f t="shared" si="157"/>
        <v>1662</v>
      </c>
      <c r="K1749" s="5">
        <f>IF(D1749&lt;$F$11,H1749,0)</f>
        <v>0</v>
      </c>
      <c r="L1749">
        <f>IF(D1749&lt;$A$15,$D$11,$D$11*(1-$H$11))</f>
        <v>85</v>
      </c>
      <c r="M1749">
        <f t="shared" si="158"/>
        <v>1</v>
      </c>
      <c r="N1749">
        <f>IF(SUM(I1749:J1749)&lt;=($G$11/60*$F$11/($E$11/60)),1,0)</f>
        <v>0</v>
      </c>
    </row>
    <row r="1750" spans="4:14" x14ac:dyDescent="0.2">
      <c r="D1750">
        <f t="shared" si="160"/>
        <v>1727</v>
      </c>
      <c r="E1750" s="1">
        <f>IF($H$11=1,IF(D1750&lt;=$A$15, E1749+LN($D$11)-LN(60/$E$11)-LN(MIN(D1750,$F$11)), E1749-LN(60/$E$11)-LN(MIN(D1750,$F$11))), IF(D1750&lt;=$A$15, E1749+LN($D$11)-LN(60/$E$11)-LN(MIN(D1750,$F$11)), E1749+LN($D$11)+LN(1-$H$11)-LN(60/$E$11)-LN(MIN(D1750,$F$11))))</f>
        <v>-207.80348309205547</v>
      </c>
      <c r="F1750" s="1">
        <f t="shared" si="161"/>
        <v>-209.80551590125452</v>
      </c>
      <c r="G1750" s="1">
        <f t="shared" si="159"/>
        <v>7.6317154847379207E-92</v>
      </c>
      <c r="H1750" s="1">
        <f t="shared" si="156"/>
        <v>7.4910845286078138E-93</v>
      </c>
      <c r="I1750">
        <f>IF($F$11&lt;=D1750, IF(D1750&lt;=$A$15,D1750-$F$11,$C$11),0)</f>
        <v>60</v>
      </c>
      <c r="J1750">
        <f t="shared" si="157"/>
        <v>1663</v>
      </c>
      <c r="K1750" s="5">
        <f>IF(D1750&lt;$F$11,H1750,0)</f>
        <v>0</v>
      </c>
      <c r="L1750">
        <f>IF(D1750&lt;$A$15,$D$11,$D$11*(1-$H$11))</f>
        <v>85</v>
      </c>
      <c r="M1750">
        <f t="shared" si="158"/>
        <v>1</v>
      </c>
      <c r="N1750">
        <f>IF(SUM(I1750:J1750)&lt;=($G$11/60*$F$11/($E$11/60)),1,0)</f>
        <v>0</v>
      </c>
    </row>
    <row r="1751" spans="4:14" x14ac:dyDescent="0.2">
      <c r="D1751">
        <f t="shared" si="160"/>
        <v>1728</v>
      </c>
      <c r="E1751" s="1">
        <f>IF($H$11=1,IF(D1751&lt;=$A$15, E1750+LN($D$11)-LN(60/$E$11)-LN(MIN(D1751,$F$11)), E1750-LN(60/$E$11)-LN(MIN(D1751,$F$11))), IF(D1751&lt;=$A$15, E1750+LN($D$11)-LN(60/$E$11)-LN(MIN(D1751,$F$11)), E1750+LN($D$11)+LN(1-$H$11)-LN(60/$E$11)-LN(MIN(D1751,$F$11))))</f>
        <v>-207.92518002703301</v>
      </c>
      <c r="F1751" s="1">
        <f t="shared" si="161"/>
        <v>-209.92721283623206</v>
      </c>
      <c r="G1751" s="1">
        <f t="shared" si="159"/>
        <v>6.7572480854449281E-92</v>
      </c>
      <c r="H1751" s="1">
        <f t="shared" ref="H1751:H1814" si="162">G1751/$G$21</f>
        <v>6.6327310930380645E-93</v>
      </c>
      <c r="I1751">
        <f>IF($F$11&lt;=D1751, IF(D1751&lt;=$A$15,D1751-$F$11,$C$11),0)</f>
        <v>60</v>
      </c>
      <c r="J1751">
        <f t="shared" ref="J1751:J1814" si="163">IF(D1751&lt;=$A$15,0,D1751-$A$15)</f>
        <v>1664</v>
      </c>
      <c r="K1751" s="5">
        <f>IF(D1751&lt;$F$11,H1751,0)</f>
        <v>0</v>
      </c>
      <c r="L1751">
        <f>IF(D1751&lt;$A$15,$D$11,$D$11*(1-$H$11))</f>
        <v>85</v>
      </c>
      <c r="M1751">
        <f t="shared" ref="M1751:M1814" si="164">IF(D1751&lt;$A$15,0,1)</f>
        <v>1</v>
      </c>
      <c r="N1751">
        <f>IF(SUM(I1751:J1751)&lt;=($G$11/60*$F$11/($E$11/60)),1,0)</f>
        <v>0</v>
      </c>
    </row>
    <row r="1752" spans="4:14" x14ac:dyDescent="0.2">
      <c r="D1752">
        <f t="shared" si="160"/>
        <v>1729</v>
      </c>
      <c r="E1752" s="1">
        <f>IF($H$11=1,IF(D1752&lt;=$A$15, E1751+LN($D$11)-LN(60/$E$11)-LN(MIN(D1752,$F$11)), E1751-LN(60/$E$11)-LN(MIN(D1752,$F$11))), IF(D1752&lt;=$A$15, E1751+LN($D$11)-LN(60/$E$11)-LN(MIN(D1752,$F$11)), E1751+LN($D$11)+LN(1-$H$11)-LN(60/$E$11)-LN(MIN(D1752,$F$11))))</f>
        <v>-208.04687696201054</v>
      </c>
      <c r="F1752" s="1">
        <f t="shared" si="161"/>
        <v>-210.04890977120959</v>
      </c>
      <c r="G1752" s="1">
        <f t="shared" ref="G1752:G1815" si="165">EXP(F1752)</f>
        <v>5.9829800756542703E-92</v>
      </c>
      <c r="H1752" s="1">
        <f t="shared" si="162"/>
        <v>5.8727306552940286E-93</v>
      </c>
      <c r="I1752">
        <f>IF($F$11&lt;=D1752, IF(D1752&lt;=$A$15,D1752-$F$11,$C$11),0)</f>
        <v>60</v>
      </c>
      <c r="J1752">
        <f t="shared" si="163"/>
        <v>1665</v>
      </c>
      <c r="K1752" s="5">
        <f>IF(D1752&lt;$F$11,H1752,0)</f>
        <v>0</v>
      </c>
      <c r="L1752">
        <f>IF(D1752&lt;$A$15,$D$11,$D$11*(1-$H$11))</f>
        <v>85</v>
      </c>
      <c r="M1752">
        <f t="shared" si="164"/>
        <v>1</v>
      </c>
      <c r="N1752">
        <f>IF(SUM(I1752:J1752)&lt;=($G$11/60*$F$11/($E$11/60)),1,0)</f>
        <v>0</v>
      </c>
    </row>
    <row r="1753" spans="4:14" x14ac:dyDescent="0.2">
      <c r="D1753">
        <f t="shared" ref="D1753:D1816" si="166">1+D1752</f>
        <v>1730</v>
      </c>
      <c r="E1753" s="1">
        <f>IF($H$11=1,IF(D1753&lt;=$A$15, E1752+LN($D$11)-LN(60/$E$11)-LN(MIN(D1753,$F$11)), E1752-LN(60/$E$11)-LN(MIN(D1753,$F$11))), IF(D1753&lt;=$A$15, E1752+LN($D$11)-LN(60/$E$11)-LN(MIN(D1753,$F$11)), E1752+LN($D$11)+LN(1-$H$11)-LN(60/$E$11)-LN(MIN(D1753,$F$11))))</f>
        <v>-208.16857389698808</v>
      </c>
      <c r="F1753" s="1">
        <f t="shared" ref="F1753:F1816" si="167">E1753-$E$21</f>
        <v>-210.17060670618713</v>
      </c>
      <c r="G1753" s="1">
        <f t="shared" si="165"/>
        <v>5.2974302753188023E-92</v>
      </c>
      <c r="H1753" s="1">
        <f t="shared" si="162"/>
        <v>5.1998136010415065E-93</v>
      </c>
      <c r="I1753">
        <f>IF($F$11&lt;=D1753, IF(D1753&lt;=$A$15,D1753-$F$11,$C$11),0)</f>
        <v>60</v>
      </c>
      <c r="J1753">
        <f t="shared" si="163"/>
        <v>1666</v>
      </c>
      <c r="K1753" s="5">
        <f>IF(D1753&lt;$F$11,H1753,0)</f>
        <v>0</v>
      </c>
      <c r="L1753">
        <f>IF(D1753&lt;$A$15,$D$11,$D$11*(1-$H$11))</f>
        <v>85</v>
      </c>
      <c r="M1753">
        <f t="shared" si="164"/>
        <v>1</v>
      </c>
      <c r="N1753">
        <f>IF(SUM(I1753:J1753)&lt;=($G$11/60*$F$11/($E$11/60)),1,0)</f>
        <v>0</v>
      </c>
    </row>
    <row r="1754" spans="4:14" x14ac:dyDescent="0.2">
      <c r="D1754">
        <f t="shared" si="166"/>
        <v>1731</v>
      </c>
      <c r="E1754" s="1">
        <f>IF($H$11=1,IF(D1754&lt;=$A$15, E1753+LN($D$11)-LN(60/$E$11)-LN(MIN(D1754,$F$11)), E1753-LN(60/$E$11)-LN(MIN(D1754,$F$11))), IF(D1754&lt;=$A$15, E1753+LN($D$11)-LN(60/$E$11)-LN(MIN(D1754,$F$11)), E1753+LN($D$11)+LN(1-$H$11)-LN(60/$E$11)-LN(MIN(D1754,$F$11))))</f>
        <v>-208.29027083196561</v>
      </c>
      <c r="F1754" s="1">
        <f t="shared" si="167"/>
        <v>-210.29230364116466</v>
      </c>
      <c r="G1754" s="1">
        <f t="shared" si="165"/>
        <v>4.690433056271783E-92</v>
      </c>
      <c r="H1754" s="1">
        <f t="shared" si="162"/>
        <v>4.6040016259220948E-93</v>
      </c>
      <c r="I1754">
        <f>IF($F$11&lt;=D1754, IF(D1754&lt;=$A$15,D1754-$F$11,$C$11),0)</f>
        <v>60</v>
      </c>
      <c r="J1754">
        <f t="shared" si="163"/>
        <v>1667</v>
      </c>
      <c r="K1754" s="5">
        <f>IF(D1754&lt;$F$11,H1754,0)</f>
        <v>0</v>
      </c>
      <c r="L1754">
        <f>IF(D1754&lt;$A$15,$D$11,$D$11*(1-$H$11))</f>
        <v>85</v>
      </c>
      <c r="M1754">
        <f t="shared" si="164"/>
        <v>1</v>
      </c>
      <c r="N1754">
        <f>IF(SUM(I1754:J1754)&lt;=($G$11/60*$F$11/($E$11/60)),1,0)</f>
        <v>0</v>
      </c>
    </row>
    <row r="1755" spans="4:14" x14ac:dyDescent="0.2">
      <c r="D1755">
        <f t="shared" si="166"/>
        <v>1732</v>
      </c>
      <c r="E1755" s="1">
        <f>IF($H$11=1,IF(D1755&lt;=$A$15, E1754+LN($D$11)-LN(60/$E$11)-LN(MIN(D1755,$F$11)), E1754-LN(60/$E$11)-LN(MIN(D1755,$F$11))), IF(D1755&lt;=$A$15, E1754+LN($D$11)-LN(60/$E$11)-LN(MIN(D1755,$F$11)), E1754+LN($D$11)+LN(1-$H$11)-LN(60/$E$11)-LN(MIN(D1755,$F$11))))</f>
        <v>-208.41196776694315</v>
      </c>
      <c r="F1755" s="1">
        <f t="shared" si="167"/>
        <v>-210.4140005761422</v>
      </c>
      <c r="G1755" s="1">
        <f t="shared" si="165"/>
        <v>4.1529876019072428E-92</v>
      </c>
      <c r="H1755" s="1">
        <f t="shared" si="162"/>
        <v>4.0764597729517914E-93</v>
      </c>
      <c r="I1755">
        <f>IF($F$11&lt;=D1755, IF(D1755&lt;=$A$15,D1755-$F$11,$C$11),0)</f>
        <v>60</v>
      </c>
      <c r="J1755">
        <f t="shared" si="163"/>
        <v>1668</v>
      </c>
      <c r="K1755" s="5">
        <f>IF(D1755&lt;$F$11,H1755,0)</f>
        <v>0</v>
      </c>
      <c r="L1755">
        <f>IF(D1755&lt;$A$15,$D$11,$D$11*(1-$H$11))</f>
        <v>85</v>
      </c>
      <c r="M1755">
        <f t="shared" si="164"/>
        <v>1</v>
      </c>
      <c r="N1755">
        <f>IF(SUM(I1755:J1755)&lt;=($G$11/60*$F$11/($E$11/60)),1,0)</f>
        <v>0</v>
      </c>
    </row>
    <row r="1756" spans="4:14" x14ac:dyDescent="0.2">
      <c r="D1756">
        <f t="shared" si="166"/>
        <v>1733</v>
      </c>
      <c r="E1756" s="1">
        <f>IF($H$11=1,IF(D1756&lt;=$A$15, E1755+LN($D$11)-LN(60/$E$11)-LN(MIN(D1756,$F$11)), E1755-LN(60/$E$11)-LN(MIN(D1756,$F$11))), IF(D1756&lt;=$A$15, E1755+LN($D$11)-LN(60/$E$11)-LN(MIN(D1756,$F$11)), E1755+LN($D$11)+LN(1-$H$11)-LN(60/$E$11)-LN(MIN(D1756,$F$11))))</f>
        <v>-208.53366470192069</v>
      </c>
      <c r="F1756" s="1">
        <f t="shared" si="167"/>
        <v>-210.53569751111974</v>
      </c>
      <c r="G1756" s="1">
        <f t="shared" si="165"/>
        <v>3.677124439188647E-92</v>
      </c>
      <c r="H1756" s="1">
        <f t="shared" si="162"/>
        <v>3.6093654239676754E-93</v>
      </c>
      <c r="I1756">
        <f>IF($F$11&lt;=D1756, IF(D1756&lt;=$A$15,D1756-$F$11,$C$11),0)</f>
        <v>60</v>
      </c>
      <c r="J1756">
        <f t="shared" si="163"/>
        <v>1669</v>
      </c>
      <c r="K1756" s="5">
        <f>IF(D1756&lt;$F$11,H1756,0)</f>
        <v>0</v>
      </c>
      <c r="L1756">
        <f>IF(D1756&lt;$A$15,$D$11,$D$11*(1-$H$11))</f>
        <v>85</v>
      </c>
      <c r="M1756">
        <f t="shared" si="164"/>
        <v>1</v>
      </c>
      <c r="N1756">
        <f>IF(SUM(I1756:J1756)&lt;=($G$11/60*$F$11/($E$11/60)),1,0)</f>
        <v>0</v>
      </c>
    </row>
    <row r="1757" spans="4:14" x14ac:dyDescent="0.2">
      <c r="D1757">
        <f t="shared" si="166"/>
        <v>1734</v>
      </c>
      <c r="E1757" s="1">
        <f>IF($H$11=1,IF(D1757&lt;=$A$15, E1756+LN($D$11)-LN(60/$E$11)-LN(MIN(D1757,$F$11)), E1756-LN(60/$E$11)-LN(MIN(D1757,$F$11))), IF(D1757&lt;=$A$15, E1756+LN($D$11)-LN(60/$E$11)-LN(MIN(D1757,$F$11)), E1756+LN($D$11)+LN(1-$H$11)-LN(60/$E$11)-LN(MIN(D1757,$F$11))))</f>
        <v>-208.65536163689822</v>
      </c>
      <c r="F1757" s="1">
        <f t="shared" si="167"/>
        <v>-210.65739444609727</v>
      </c>
      <c r="G1757" s="1">
        <f t="shared" si="165"/>
        <v>3.2557872638648973E-92</v>
      </c>
      <c r="H1757" s="1">
        <f t="shared" si="162"/>
        <v>3.1957923024713297E-93</v>
      </c>
      <c r="I1757">
        <f>IF($F$11&lt;=D1757, IF(D1757&lt;=$A$15,D1757-$F$11,$C$11),0)</f>
        <v>60</v>
      </c>
      <c r="J1757">
        <f t="shared" si="163"/>
        <v>1670</v>
      </c>
      <c r="K1757" s="5">
        <f>IF(D1757&lt;$F$11,H1757,0)</f>
        <v>0</v>
      </c>
      <c r="L1757">
        <f>IF(D1757&lt;$A$15,$D$11,$D$11*(1-$H$11))</f>
        <v>85</v>
      </c>
      <c r="M1757">
        <f t="shared" si="164"/>
        <v>1</v>
      </c>
      <c r="N1757">
        <f>IF(SUM(I1757:J1757)&lt;=($G$11/60*$F$11/($E$11/60)),1,0)</f>
        <v>0</v>
      </c>
    </row>
    <row r="1758" spans="4:14" x14ac:dyDescent="0.2">
      <c r="D1758">
        <f t="shared" si="166"/>
        <v>1735</v>
      </c>
      <c r="E1758" s="1">
        <f>IF($H$11=1,IF(D1758&lt;=$A$15, E1757+LN($D$11)-LN(60/$E$11)-LN(MIN(D1758,$F$11)), E1757-LN(60/$E$11)-LN(MIN(D1758,$F$11))), IF(D1758&lt;=$A$15, E1757+LN($D$11)-LN(60/$E$11)-LN(MIN(D1758,$F$11)), E1757+LN($D$11)+LN(1-$H$11)-LN(60/$E$11)-LN(MIN(D1758,$F$11))))</f>
        <v>-208.77705857187576</v>
      </c>
      <c r="F1758" s="1">
        <f t="shared" si="167"/>
        <v>-210.77909138107481</v>
      </c>
      <c r="G1758" s="1">
        <f t="shared" si="165"/>
        <v>2.8827283065469992E-92</v>
      </c>
      <c r="H1758" s="1">
        <f t="shared" si="162"/>
        <v>2.829607767813112E-93</v>
      </c>
      <c r="I1758">
        <f>IF($F$11&lt;=D1758, IF(D1758&lt;=$A$15,D1758-$F$11,$C$11),0)</f>
        <v>60</v>
      </c>
      <c r="J1758">
        <f t="shared" si="163"/>
        <v>1671</v>
      </c>
      <c r="K1758" s="5">
        <f>IF(D1758&lt;$F$11,H1758,0)</f>
        <v>0</v>
      </c>
      <c r="L1758">
        <f>IF(D1758&lt;$A$15,$D$11,$D$11*(1-$H$11))</f>
        <v>85</v>
      </c>
      <c r="M1758">
        <f t="shared" si="164"/>
        <v>1</v>
      </c>
      <c r="N1758">
        <f>IF(SUM(I1758:J1758)&lt;=($G$11/60*$F$11/($E$11/60)),1,0)</f>
        <v>0</v>
      </c>
    </row>
    <row r="1759" spans="4:14" x14ac:dyDescent="0.2">
      <c r="D1759">
        <f t="shared" si="166"/>
        <v>1736</v>
      </c>
      <c r="E1759" s="1">
        <f>IF($H$11=1,IF(D1759&lt;=$A$15, E1758+LN($D$11)-LN(60/$E$11)-LN(MIN(D1759,$F$11)), E1758-LN(60/$E$11)-LN(MIN(D1759,$F$11))), IF(D1759&lt;=$A$15, E1758+LN($D$11)-LN(60/$E$11)-LN(MIN(D1759,$F$11)), E1758+LN($D$11)+LN(1-$H$11)-LN(60/$E$11)-LN(MIN(D1759,$F$11))))</f>
        <v>-208.89875550685329</v>
      </c>
      <c r="F1759" s="1">
        <f t="shared" si="167"/>
        <v>-210.90078831605234</v>
      </c>
      <c r="G1759" s="1">
        <f t="shared" si="165"/>
        <v>2.552415688088449E-92</v>
      </c>
      <c r="H1759" s="1">
        <f t="shared" si="162"/>
        <v>2.5053818777511539E-93</v>
      </c>
      <c r="I1759">
        <f>IF($F$11&lt;=D1759, IF(D1759&lt;=$A$15,D1759-$F$11,$C$11),0)</f>
        <v>60</v>
      </c>
      <c r="J1759">
        <f t="shared" si="163"/>
        <v>1672</v>
      </c>
      <c r="K1759" s="5">
        <f>IF(D1759&lt;$F$11,H1759,0)</f>
        <v>0</v>
      </c>
      <c r="L1759">
        <f>IF(D1759&lt;$A$15,$D$11,$D$11*(1-$H$11))</f>
        <v>85</v>
      </c>
      <c r="M1759">
        <f t="shared" si="164"/>
        <v>1</v>
      </c>
      <c r="N1759">
        <f>IF(SUM(I1759:J1759)&lt;=($G$11/60*$F$11/($E$11/60)),1,0)</f>
        <v>0</v>
      </c>
    </row>
    <row r="1760" spans="4:14" x14ac:dyDescent="0.2">
      <c r="D1760">
        <f t="shared" si="166"/>
        <v>1737</v>
      </c>
      <c r="E1760" s="1">
        <f>IF($H$11=1,IF(D1760&lt;=$A$15, E1759+LN($D$11)-LN(60/$E$11)-LN(MIN(D1760,$F$11)), E1759-LN(60/$E$11)-LN(MIN(D1760,$F$11))), IF(D1760&lt;=$A$15, E1759+LN($D$11)-LN(60/$E$11)-LN(MIN(D1760,$F$11)), E1759+LN($D$11)+LN(1-$H$11)-LN(60/$E$11)-LN(MIN(D1760,$F$11))))</f>
        <v>-209.02045244183083</v>
      </c>
      <c r="F1760" s="1">
        <f t="shared" si="167"/>
        <v>-211.02248525102988</v>
      </c>
      <c r="G1760" s="1">
        <f t="shared" si="165"/>
        <v>2.2599513904949456E-92</v>
      </c>
      <c r="H1760" s="1">
        <f t="shared" si="162"/>
        <v>2.2183068709254659E-93</v>
      </c>
      <c r="I1760">
        <f>IF($F$11&lt;=D1760, IF(D1760&lt;=$A$15,D1760-$F$11,$C$11),0)</f>
        <v>60</v>
      </c>
      <c r="J1760">
        <f t="shared" si="163"/>
        <v>1673</v>
      </c>
      <c r="K1760" s="5">
        <f>IF(D1760&lt;$F$11,H1760,0)</f>
        <v>0</v>
      </c>
      <c r="L1760">
        <f>IF(D1760&lt;$A$15,$D$11,$D$11*(1-$H$11))</f>
        <v>85</v>
      </c>
      <c r="M1760">
        <f t="shared" si="164"/>
        <v>1</v>
      </c>
      <c r="N1760">
        <f>IF(SUM(I1760:J1760)&lt;=($G$11/60*$F$11/($E$11/60)),1,0)</f>
        <v>0</v>
      </c>
    </row>
    <row r="1761" spans="4:14" x14ac:dyDescent="0.2">
      <c r="D1761">
        <f t="shared" si="166"/>
        <v>1738</v>
      </c>
      <c r="E1761" s="1">
        <f>IF($H$11=1,IF(D1761&lt;=$A$15, E1760+LN($D$11)-LN(60/$E$11)-LN(MIN(D1761,$F$11)), E1760-LN(60/$E$11)-LN(MIN(D1761,$F$11))), IF(D1761&lt;=$A$15, E1760+LN($D$11)-LN(60/$E$11)-LN(MIN(D1761,$F$11)), E1760+LN($D$11)+LN(1-$H$11)-LN(60/$E$11)-LN(MIN(D1761,$F$11))))</f>
        <v>-209.14214937680836</v>
      </c>
      <c r="F1761" s="1">
        <f t="shared" si="167"/>
        <v>-211.14418218600741</v>
      </c>
      <c r="G1761" s="1">
        <f t="shared" si="165"/>
        <v>2.0009986270007018E-92</v>
      </c>
      <c r="H1761" s="1">
        <f t="shared" si="162"/>
        <v>1.9641258752985592E-93</v>
      </c>
      <c r="I1761">
        <f>IF($F$11&lt;=D1761, IF(D1761&lt;=$A$15,D1761-$F$11,$C$11),0)</f>
        <v>60</v>
      </c>
      <c r="J1761">
        <f t="shared" si="163"/>
        <v>1674</v>
      </c>
      <c r="K1761" s="5">
        <f>IF(D1761&lt;$F$11,H1761,0)</f>
        <v>0</v>
      </c>
      <c r="L1761">
        <f>IF(D1761&lt;$A$15,$D$11,$D$11*(1-$H$11))</f>
        <v>85</v>
      </c>
      <c r="M1761">
        <f t="shared" si="164"/>
        <v>1</v>
      </c>
      <c r="N1761">
        <f>IF(SUM(I1761:J1761)&lt;=($G$11/60*$F$11/($E$11/60)),1,0)</f>
        <v>0</v>
      </c>
    </row>
    <row r="1762" spans="4:14" x14ac:dyDescent="0.2">
      <c r="D1762">
        <f t="shared" si="166"/>
        <v>1739</v>
      </c>
      <c r="E1762" s="1">
        <f>IF($H$11=1,IF(D1762&lt;=$A$15, E1761+LN($D$11)-LN(60/$E$11)-LN(MIN(D1762,$F$11)), E1761-LN(60/$E$11)-LN(MIN(D1762,$F$11))), IF(D1762&lt;=$A$15, E1761+LN($D$11)-LN(60/$E$11)-LN(MIN(D1762,$F$11)), E1761+LN($D$11)+LN(1-$H$11)-LN(60/$E$11)-LN(MIN(D1762,$F$11))))</f>
        <v>-209.2638463117859</v>
      </c>
      <c r="F1762" s="1">
        <f t="shared" si="167"/>
        <v>-211.26587912098495</v>
      </c>
      <c r="G1762" s="1">
        <f t="shared" si="165"/>
        <v>1.7717175343235101E-92</v>
      </c>
      <c r="H1762" s="1">
        <f t="shared" si="162"/>
        <v>1.7390697854205717E-93</v>
      </c>
      <c r="I1762">
        <f>IF($F$11&lt;=D1762, IF(D1762&lt;=$A$15,D1762-$F$11,$C$11),0)</f>
        <v>60</v>
      </c>
      <c r="J1762">
        <f t="shared" si="163"/>
        <v>1675</v>
      </c>
      <c r="K1762" s="5">
        <f>IF(D1762&lt;$F$11,H1762,0)</f>
        <v>0</v>
      </c>
      <c r="L1762">
        <f>IF(D1762&lt;$A$15,$D$11,$D$11*(1-$H$11))</f>
        <v>85</v>
      </c>
      <c r="M1762">
        <f t="shared" si="164"/>
        <v>1</v>
      </c>
      <c r="N1762">
        <f>IF(SUM(I1762:J1762)&lt;=($G$11/60*$F$11/($E$11/60)),1,0)</f>
        <v>0</v>
      </c>
    </row>
    <row r="1763" spans="4:14" x14ac:dyDescent="0.2">
      <c r="D1763">
        <f t="shared" si="166"/>
        <v>1740</v>
      </c>
      <c r="E1763" s="1">
        <f>IF($H$11=1,IF(D1763&lt;=$A$15, E1762+LN($D$11)-LN(60/$E$11)-LN(MIN(D1763,$F$11)), E1762-LN(60/$E$11)-LN(MIN(D1763,$F$11))), IF(D1763&lt;=$A$15, E1762+LN($D$11)-LN(60/$E$11)-LN(MIN(D1763,$F$11)), E1762+LN($D$11)+LN(1-$H$11)-LN(60/$E$11)-LN(MIN(D1763,$F$11))))</f>
        <v>-209.38554324676343</v>
      </c>
      <c r="F1763" s="1">
        <f t="shared" si="167"/>
        <v>-211.38757605596248</v>
      </c>
      <c r="G1763" s="1">
        <f t="shared" si="165"/>
        <v>1.5687082335155837E-92</v>
      </c>
      <c r="H1763" s="1">
        <f t="shared" si="162"/>
        <v>1.5398013725077741E-93</v>
      </c>
      <c r="I1763">
        <f>IF($F$11&lt;=D1763, IF(D1763&lt;=$A$15,D1763-$F$11,$C$11),0)</f>
        <v>60</v>
      </c>
      <c r="J1763">
        <f t="shared" si="163"/>
        <v>1676</v>
      </c>
      <c r="K1763" s="5">
        <f>IF(D1763&lt;$F$11,H1763,0)</f>
        <v>0</v>
      </c>
      <c r="L1763">
        <f>IF(D1763&lt;$A$15,$D$11,$D$11*(1-$H$11))</f>
        <v>85</v>
      </c>
      <c r="M1763">
        <f t="shared" si="164"/>
        <v>1</v>
      </c>
      <c r="N1763">
        <f>IF(SUM(I1763:J1763)&lt;=($G$11/60*$F$11/($E$11/60)),1,0)</f>
        <v>0</v>
      </c>
    </row>
    <row r="1764" spans="4:14" x14ac:dyDescent="0.2">
      <c r="D1764">
        <f t="shared" si="166"/>
        <v>1741</v>
      </c>
      <c r="E1764" s="1">
        <f>IF($H$11=1,IF(D1764&lt;=$A$15, E1763+LN($D$11)-LN(60/$E$11)-LN(MIN(D1764,$F$11)), E1763-LN(60/$E$11)-LN(MIN(D1764,$F$11))), IF(D1764&lt;=$A$15, E1763+LN($D$11)-LN(60/$E$11)-LN(MIN(D1764,$F$11)), E1763+LN($D$11)+LN(1-$H$11)-LN(60/$E$11)-LN(MIN(D1764,$F$11))))</f>
        <v>-209.50724018174097</v>
      </c>
      <c r="F1764" s="1">
        <f t="shared" si="167"/>
        <v>-211.50927299094002</v>
      </c>
      <c r="G1764" s="1">
        <f t="shared" si="165"/>
        <v>1.3889604150919012E-92</v>
      </c>
      <c r="H1764" s="1">
        <f t="shared" si="162"/>
        <v>1.3633657985745703E-93</v>
      </c>
      <c r="I1764">
        <f>IF($F$11&lt;=D1764, IF(D1764&lt;=$A$15,D1764-$F$11,$C$11),0)</f>
        <v>60</v>
      </c>
      <c r="J1764">
        <f t="shared" si="163"/>
        <v>1677</v>
      </c>
      <c r="K1764" s="5">
        <f>IF(D1764&lt;$F$11,H1764,0)</f>
        <v>0</v>
      </c>
      <c r="L1764">
        <f>IF(D1764&lt;$A$15,$D$11,$D$11*(1-$H$11))</f>
        <v>85</v>
      </c>
      <c r="M1764">
        <f t="shared" si="164"/>
        <v>1</v>
      </c>
      <c r="N1764">
        <f>IF(SUM(I1764:J1764)&lt;=($G$11/60*$F$11/($E$11/60)),1,0)</f>
        <v>0</v>
      </c>
    </row>
    <row r="1765" spans="4:14" x14ac:dyDescent="0.2">
      <c r="D1765">
        <f t="shared" si="166"/>
        <v>1742</v>
      </c>
      <c r="E1765" s="1">
        <f>IF($H$11=1,IF(D1765&lt;=$A$15, E1764+LN($D$11)-LN(60/$E$11)-LN(MIN(D1765,$F$11)), E1764-LN(60/$E$11)-LN(MIN(D1765,$F$11))), IF(D1765&lt;=$A$15, E1764+LN($D$11)-LN(60/$E$11)-LN(MIN(D1765,$F$11)), E1764+LN($D$11)+LN(1-$H$11)-LN(60/$E$11)-LN(MIN(D1765,$F$11))))</f>
        <v>-209.6289371167185</v>
      </c>
      <c r="F1765" s="1">
        <f t="shared" si="167"/>
        <v>-211.63096992591755</v>
      </c>
      <c r="G1765" s="1">
        <f t="shared" si="165"/>
        <v>1.2298087008626016E-92</v>
      </c>
      <c r="H1765" s="1">
        <f t="shared" si="162"/>
        <v>1.2071468008212151E-93</v>
      </c>
      <c r="I1765">
        <f>IF($F$11&lt;=D1765, IF(D1765&lt;=$A$15,D1765-$F$11,$C$11),0)</f>
        <v>60</v>
      </c>
      <c r="J1765">
        <f t="shared" si="163"/>
        <v>1678</v>
      </c>
      <c r="K1765" s="5">
        <f>IF(D1765&lt;$F$11,H1765,0)</f>
        <v>0</v>
      </c>
      <c r="L1765">
        <f>IF(D1765&lt;$A$15,$D$11,$D$11*(1-$H$11))</f>
        <v>85</v>
      </c>
      <c r="M1765">
        <f t="shared" si="164"/>
        <v>1</v>
      </c>
      <c r="N1765">
        <f>IF(SUM(I1765:J1765)&lt;=($G$11/60*$F$11/($E$11/60)),1,0)</f>
        <v>0</v>
      </c>
    </row>
    <row r="1766" spans="4:14" x14ac:dyDescent="0.2">
      <c r="D1766">
        <f t="shared" si="166"/>
        <v>1743</v>
      </c>
      <c r="E1766" s="1">
        <f>IF($H$11=1,IF(D1766&lt;=$A$15, E1765+LN($D$11)-LN(60/$E$11)-LN(MIN(D1766,$F$11)), E1765-LN(60/$E$11)-LN(MIN(D1766,$F$11))), IF(D1766&lt;=$A$15, E1765+LN($D$11)-LN(60/$E$11)-LN(MIN(D1766,$F$11)), E1765+LN($D$11)+LN(1-$H$11)-LN(60/$E$11)-LN(MIN(D1766,$F$11))))</f>
        <v>-209.75063405169604</v>
      </c>
      <c r="F1766" s="1">
        <f t="shared" si="167"/>
        <v>-211.75266686089509</v>
      </c>
      <c r="G1766" s="1">
        <f t="shared" si="165"/>
        <v>1.0888931205554116E-92</v>
      </c>
      <c r="H1766" s="1">
        <f t="shared" si="162"/>
        <v>1.0688278965604342E-93</v>
      </c>
      <c r="I1766">
        <f>IF($F$11&lt;=D1766, IF(D1766&lt;=$A$15,D1766-$F$11,$C$11),0)</f>
        <v>60</v>
      </c>
      <c r="J1766">
        <f t="shared" si="163"/>
        <v>1679</v>
      </c>
      <c r="K1766" s="5">
        <f>IF(D1766&lt;$F$11,H1766,0)</f>
        <v>0</v>
      </c>
      <c r="L1766">
        <f>IF(D1766&lt;$A$15,$D$11,$D$11*(1-$H$11))</f>
        <v>85</v>
      </c>
      <c r="M1766">
        <f t="shared" si="164"/>
        <v>1</v>
      </c>
      <c r="N1766">
        <f>IF(SUM(I1766:J1766)&lt;=($G$11/60*$F$11/($E$11/60)),1,0)</f>
        <v>0</v>
      </c>
    </row>
    <row r="1767" spans="4:14" x14ac:dyDescent="0.2">
      <c r="D1767">
        <f t="shared" si="166"/>
        <v>1744</v>
      </c>
      <c r="E1767" s="1">
        <f>IF($H$11=1,IF(D1767&lt;=$A$15, E1766+LN($D$11)-LN(60/$E$11)-LN(MIN(D1767,$F$11)), E1766-LN(60/$E$11)-LN(MIN(D1767,$F$11))), IF(D1767&lt;=$A$15, E1766+LN($D$11)-LN(60/$E$11)-LN(MIN(D1767,$F$11)), E1766+LN($D$11)+LN(1-$H$11)-LN(60/$E$11)-LN(MIN(D1767,$F$11))))</f>
        <v>-209.87233098667357</v>
      </c>
      <c r="F1767" s="1">
        <f t="shared" si="167"/>
        <v>-211.87436379587263</v>
      </c>
      <c r="G1767" s="1">
        <f t="shared" si="165"/>
        <v>9.6412411715842209E-93</v>
      </c>
      <c r="H1767" s="1">
        <f t="shared" si="162"/>
        <v>9.4635803341286956E-94</v>
      </c>
      <c r="I1767">
        <f>IF($F$11&lt;=D1767, IF(D1767&lt;=$A$15,D1767-$F$11,$C$11),0)</f>
        <v>60</v>
      </c>
      <c r="J1767">
        <f t="shared" si="163"/>
        <v>1680</v>
      </c>
      <c r="K1767" s="5">
        <f>IF(D1767&lt;$F$11,H1767,0)</f>
        <v>0</v>
      </c>
      <c r="L1767">
        <f>IF(D1767&lt;$A$15,$D$11,$D$11*(1-$H$11))</f>
        <v>85</v>
      </c>
      <c r="M1767">
        <f t="shared" si="164"/>
        <v>1</v>
      </c>
      <c r="N1767">
        <f>IF(SUM(I1767:J1767)&lt;=($G$11/60*$F$11/($E$11/60)),1,0)</f>
        <v>0</v>
      </c>
    </row>
    <row r="1768" spans="4:14" x14ac:dyDescent="0.2">
      <c r="D1768">
        <f t="shared" si="166"/>
        <v>1745</v>
      </c>
      <c r="E1768" s="1">
        <f>IF($H$11=1,IF(D1768&lt;=$A$15, E1767+LN($D$11)-LN(60/$E$11)-LN(MIN(D1768,$F$11)), E1767-LN(60/$E$11)-LN(MIN(D1768,$F$11))), IF(D1768&lt;=$A$15, E1767+LN($D$11)-LN(60/$E$11)-LN(MIN(D1768,$F$11)), E1767+LN($D$11)+LN(1-$H$11)-LN(60/$E$11)-LN(MIN(D1768,$F$11))))</f>
        <v>-209.99402792165111</v>
      </c>
      <c r="F1768" s="1">
        <f t="shared" si="167"/>
        <v>-211.99606073085016</v>
      </c>
      <c r="G1768" s="1">
        <f t="shared" si="165"/>
        <v>8.5365156206733954E-93</v>
      </c>
      <c r="H1768" s="1">
        <f t="shared" si="162"/>
        <v>8.3792117541763184E-94</v>
      </c>
      <c r="I1768">
        <f>IF($F$11&lt;=D1768, IF(D1768&lt;=$A$15,D1768-$F$11,$C$11),0)</f>
        <v>60</v>
      </c>
      <c r="J1768">
        <f t="shared" si="163"/>
        <v>1681</v>
      </c>
      <c r="K1768" s="5">
        <f>IF(D1768&lt;$F$11,H1768,0)</f>
        <v>0</v>
      </c>
      <c r="L1768">
        <f>IF(D1768&lt;$A$15,$D$11,$D$11*(1-$H$11))</f>
        <v>85</v>
      </c>
      <c r="M1768">
        <f t="shared" si="164"/>
        <v>1</v>
      </c>
      <c r="N1768">
        <f>IF(SUM(I1768:J1768)&lt;=($G$11/60*$F$11/($E$11/60)),1,0)</f>
        <v>0</v>
      </c>
    </row>
    <row r="1769" spans="4:14" x14ac:dyDescent="0.2">
      <c r="D1769">
        <f t="shared" si="166"/>
        <v>1746</v>
      </c>
      <c r="E1769" s="1">
        <f>IF($H$11=1,IF(D1769&lt;=$A$15, E1768+LN($D$11)-LN(60/$E$11)-LN(MIN(D1769,$F$11)), E1768-LN(60/$E$11)-LN(MIN(D1769,$F$11))), IF(D1769&lt;=$A$15, E1768+LN($D$11)-LN(60/$E$11)-LN(MIN(D1769,$F$11)), E1768+LN($D$11)+LN(1-$H$11)-LN(60/$E$11)-LN(MIN(D1769,$F$11))))</f>
        <v>-210.11572485662865</v>
      </c>
      <c r="F1769" s="1">
        <f t="shared" si="167"/>
        <v>-212.1177576658277</v>
      </c>
      <c r="G1769" s="1">
        <f t="shared" si="165"/>
        <v>7.5583732058044514E-93</v>
      </c>
      <c r="H1769" s="1">
        <f t="shared" si="162"/>
        <v>7.4190937406768334E-94</v>
      </c>
      <c r="I1769">
        <f>IF($F$11&lt;=D1769, IF(D1769&lt;=$A$15,D1769-$F$11,$C$11),0)</f>
        <v>60</v>
      </c>
      <c r="J1769">
        <f t="shared" si="163"/>
        <v>1682</v>
      </c>
      <c r="K1769" s="5">
        <f>IF(D1769&lt;$F$11,H1769,0)</f>
        <v>0</v>
      </c>
      <c r="L1769">
        <f>IF(D1769&lt;$A$15,$D$11,$D$11*(1-$H$11))</f>
        <v>85</v>
      </c>
      <c r="M1769">
        <f t="shared" si="164"/>
        <v>1</v>
      </c>
      <c r="N1769">
        <f>IF(SUM(I1769:J1769)&lt;=($G$11/60*$F$11/($E$11/60)),1,0)</f>
        <v>0</v>
      </c>
    </row>
    <row r="1770" spans="4:14" x14ac:dyDescent="0.2">
      <c r="D1770">
        <f t="shared" si="166"/>
        <v>1747</v>
      </c>
      <c r="E1770" s="1">
        <f>IF($H$11=1,IF(D1770&lt;=$A$15, E1769+LN($D$11)-LN(60/$E$11)-LN(MIN(D1770,$F$11)), E1769-LN(60/$E$11)-LN(MIN(D1770,$F$11))), IF(D1770&lt;=$A$15, E1769+LN($D$11)-LN(60/$E$11)-LN(MIN(D1770,$F$11)), E1769+LN($D$11)+LN(1-$H$11)-LN(60/$E$11)-LN(MIN(D1770,$F$11))))</f>
        <v>-210.23742179160618</v>
      </c>
      <c r="F1770" s="1">
        <f t="shared" si="167"/>
        <v>-212.23945460080523</v>
      </c>
      <c r="G1770" s="1">
        <f t="shared" si="165"/>
        <v>6.6923096093059199E-93</v>
      </c>
      <c r="H1770" s="1">
        <f t="shared" si="162"/>
        <v>6.5689892495575093E-94</v>
      </c>
      <c r="I1770">
        <f>IF($F$11&lt;=D1770, IF(D1770&lt;=$A$15,D1770-$F$11,$C$11),0)</f>
        <v>60</v>
      </c>
      <c r="J1770">
        <f t="shared" si="163"/>
        <v>1683</v>
      </c>
      <c r="K1770" s="5">
        <f>IF(D1770&lt;$F$11,H1770,0)</f>
        <v>0</v>
      </c>
      <c r="L1770">
        <f>IF(D1770&lt;$A$15,$D$11,$D$11*(1-$H$11))</f>
        <v>85</v>
      </c>
      <c r="M1770">
        <f t="shared" si="164"/>
        <v>1</v>
      </c>
      <c r="N1770">
        <f>IF(SUM(I1770:J1770)&lt;=($G$11/60*$F$11/($E$11/60)),1,0)</f>
        <v>0</v>
      </c>
    </row>
    <row r="1771" spans="4:14" x14ac:dyDescent="0.2">
      <c r="D1771">
        <f t="shared" si="166"/>
        <v>1748</v>
      </c>
      <c r="E1771" s="1">
        <f>IF($H$11=1,IF(D1771&lt;=$A$15, E1770+LN($D$11)-LN(60/$E$11)-LN(MIN(D1771,$F$11)), E1770-LN(60/$E$11)-LN(MIN(D1771,$F$11))), IF(D1771&lt;=$A$15, E1770+LN($D$11)-LN(60/$E$11)-LN(MIN(D1771,$F$11)), E1770+LN($D$11)+LN(1-$H$11)-LN(60/$E$11)-LN(MIN(D1771,$F$11))))</f>
        <v>-210.35911872658372</v>
      </c>
      <c r="F1771" s="1">
        <f t="shared" si="167"/>
        <v>-212.36115153578277</v>
      </c>
      <c r="G1771" s="1">
        <f t="shared" si="165"/>
        <v>5.9254824665728572E-93</v>
      </c>
      <c r="H1771" s="1">
        <f t="shared" si="162"/>
        <v>5.8162925647122872E-94</v>
      </c>
      <c r="I1771">
        <f>IF($F$11&lt;=D1771, IF(D1771&lt;=$A$15,D1771-$F$11,$C$11),0)</f>
        <v>60</v>
      </c>
      <c r="J1771">
        <f t="shared" si="163"/>
        <v>1684</v>
      </c>
      <c r="K1771" s="5">
        <f>IF(D1771&lt;$F$11,H1771,0)</f>
        <v>0</v>
      </c>
      <c r="L1771">
        <f>IF(D1771&lt;$A$15,$D$11,$D$11*(1-$H$11))</f>
        <v>85</v>
      </c>
      <c r="M1771">
        <f t="shared" si="164"/>
        <v>1</v>
      </c>
      <c r="N1771">
        <f>IF(SUM(I1771:J1771)&lt;=($G$11/60*$F$11/($E$11/60)),1,0)</f>
        <v>0</v>
      </c>
    </row>
    <row r="1772" spans="4:14" x14ac:dyDescent="0.2">
      <c r="D1772">
        <f t="shared" si="166"/>
        <v>1749</v>
      </c>
      <c r="E1772" s="1">
        <f>IF($H$11=1,IF(D1772&lt;=$A$15, E1771+LN($D$11)-LN(60/$E$11)-LN(MIN(D1772,$F$11)), E1771-LN(60/$E$11)-LN(MIN(D1772,$F$11))), IF(D1772&lt;=$A$15, E1771+LN($D$11)-LN(60/$E$11)-LN(MIN(D1772,$F$11)), E1771+LN($D$11)+LN(1-$H$11)-LN(60/$E$11)-LN(MIN(D1772,$F$11))))</f>
        <v>-210.48081566156125</v>
      </c>
      <c r="F1772" s="1">
        <f t="shared" si="167"/>
        <v>-212.4828484707603</v>
      </c>
      <c r="G1772" s="1">
        <f t="shared" si="165"/>
        <v>5.2465209339446355E-93</v>
      </c>
      <c r="H1772" s="1">
        <f t="shared" si="162"/>
        <v>5.1498423750055912E-94</v>
      </c>
      <c r="I1772">
        <f>IF($F$11&lt;=D1772, IF(D1772&lt;=$A$15,D1772-$F$11,$C$11),0)</f>
        <v>60</v>
      </c>
      <c r="J1772">
        <f t="shared" si="163"/>
        <v>1685</v>
      </c>
      <c r="K1772" s="5">
        <f>IF(D1772&lt;$F$11,H1772,0)</f>
        <v>0</v>
      </c>
      <c r="L1772">
        <f>IF(D1772&lt;$A$15,$D$11,$D$11*(1-$H$11))</f>
        <v>85</v>
      </c>
      <c r="M1772">
        <f t="shared" si="164"/>
        <v>1</v>
      </c>
      <c r="N1772">
        <f>IF(SUM(I1772:J1772)&lt;=($G$11/60*$F$11/($E$11/60)),1,0)</f>
        <v>0</v>
      </c>
    </row>
    <row r="1773" spans="4:14" x14ac:dyDescent="0.2">
      <c r="D1773">
        <f t="shared" si="166"/>
        <v>1750</v>
      </c>
      <c r="E1773" s="1">
        <f>IF($H$11=1,IF(D1773&lt;=$A$15, E1772+LN($D$11)-LN(60/$E$11)-LN(MIN(D1773,$F$11)), E1772-LN(60/$E$11)-LN(MIN(D1773,$F$11))), IF(D1773&lt;=$A$15, E1772+LN($D$11)-LN(60/$E$11)-LN(MIN(D1773,$F$11)), E1772+LN($D$11)+LN(1-$H$11)-LN(60/$E$11)-LN(MIN(D1773,$F$11))))</f>
        <v>-210.60251259653879</v>
      </c>
      <c r="F1773" s="1">
        <f t="shared" si="167"/>
        <v>-212.60454540573784</v>
      </c>
      <c r="G1773" s="1">
        <f t="shared" si="165"/>
        <v>4.645357076930073E-93</v>
      </c>
      <c r="H1773" s="1">
        <f t="shared" si="162"/>
        <v>4.5597562695361288E-94</v>
      </c>
      <c r="I1773">
        <f>IF($F$11&lt;=D1773, IF(D1773&lt;=$A$15,D1773-$F$11,$C$11),0)</f>
        <v>60</v>
      </c>
      <c r="J1773">
        <f t="shared" si="163"/>
        <v>1686</v>
      </c>
      <c r="K1773" s="5">
        <f>IF(D1773&lt;$F$11,H1773,0)</f>
        <v>0</v>
      </c>
      <c r="L1773">
        <f>IF(D1773&lt;$A$15,$D$11,$D$11*(1-$H$11))</f>
        <v>85</v>
      </c>
      <c r="M1773">
        <f t="shared" si="164"/>
        <v>1</v>
      </c>
      <c r="N1773">
        <f>IF(SUM(I1773:J1773)&lt;=($G$11/60*$F$11/($E$11/60)),1,0)</f>
        <v>0</v>
      </c>
    </row>
    <row r="1774" spans="4:14" x14ac:dyDescent="0.2">
      <c r="D1774">
        <f t="shared" si="166"/>
        <v>1751</v>
      </c>
      <c r="E1774" s="1">
        <f>IF($H$11=1,IF(D1774&lt;=$A$15, E1773+LN($D$11)-LN(60/$E$11)-LN(MIN(D1774,$F$11)), E1773-LN(60/$E$11)-LN(MIN(D1774,$F$11))), IF(D1774&lt;=$A$15, E1773+LN($D$11)-LN(60/$E$11)-LN(MIN(D1774,$F$11)), E1773+LN($D$11)+LN(1-$H$11)-LN(60/$E$11)-LN(MIN(D1774,$F$11))))</f>
        <v>-210.72420953151632</v>
      </c>
      <c r="F1774" s="1">
        <f t="shared" si="167"/>
        <v>-212.72624234071537</v>
      </c>
      <c r="G1774" s="1">
        <f t="shared" si="165"/>
        <v>4.1130765785317716E-93</v>
      </c>
      <c r="H1774" s="1">
        <f t="shared" si="162"/>
        <v>4.0372841969850513E-94</v>
      </c>
      <c r="I1774">
        <f>IF($F$11&lt;=D1774, IF(D1774&lt;=$A$15,D1774-$F$11,$C$11),0)</f>
        <v>60</v>
      </c>
      <c r="J1774">
        <f t="shared" si="163"/>
        <v>1687</v>
      </c>
      <c r="K1774" s="5">
        <f>IF(D1774&lt;$F$11,H1774,0)</f>
        <v>0</v>
      </c>
      <c r="L1774">
        <f>IF(D1774&lt;$A$15,$D$11,$D$11*(1-$H$11))</f>
        <v>85</v>
      </c>
      <c r="M1774">
        <f t="shared" si="164"/>
        <v>1</v>
      </c>
      <c r="N1774">
        <f>IF(SUM(I1774:J1774)&lt;=($G$11/60*$F$11/($E$11/60)),1,0)</f>
        <v>0</v>
      </c>
    </row>
    <row r="1775" spans="4:14" x14ac:dyDescent="0.2">
      <c r="D1775">
        <f t="shared" si="166"/>
        <v>1752</v>
      </c>
      <c r="E1775" s="1">
        <f>IF($H$11=1,IF(D1775&lt;=$A$15, E1774+LN($D$11)-LN(60/$E$11)-LN(MIN(D1775,$F$11)), E1774-LN(60/$E$11)-LN(MIN(D1775,$F$11))), IF(D1775&lt;=$A$15, E1774+LN($D$11)-LN(60/$E$11)-LN(MIN(D1775,$F$11)), E1774+LN($D$11)+LN(1-$H$11)-LN(60/$E$11)-LN(MIN(D1775,$F$11))))</f>
        <v>-210.84590646649386</v>
      </c>
      <c r="F1775" s="1">
        <f t="shared" si="167"/>
        <v>-212.84793927569291</v>
      </c>
      <c r="G1775" s="1">
        <f t="shared" si="165"/>
        <v>3.6417865539082823E-93</v>
      </c>
      <c r="H1775" s="1">
        <f t="shared" si="162"/>
        <v>3.5746787160804579E-94</v>
      </c>
      <c r="I1775">
        <f>IF($F$11&lt;=D1775, IF(D1775&lt;=$A$15,D1775-$F$11,$C$11),0)</f>
        <v>60</v>
      </c>
      <c r="J1775">
        <f t="shared" si="163"/>
        <v>1688</v>
      </c>
      <c r="K1775" s="5">
        <f>IF(D1775&lt;$F$11,H1775,0)</f>
        <v>0</v>
      </c>
      <c r="L1775">
        <f>IF(D1775&lt;$A$15,$D$11,$D$11*(1-$H$11))</f>
        <v>85</v>
      </c>
      <c r="M1775">
        <f t="shared" si="164"/>
        <v>1</v>
      </c>
      <c r="N1775">
        <f>IF(SUM(I1775:J1775)&lt;=($G$11/60*$F$11/($E$11/60)),1,0)</f>
        <v>0</v>
      </c>
    </row>
    <row r="1776" spans="4:14" x14ac:dyDescent="0.2">
      <c r="D1776">
        <f t="shared" si="166"/>
        <v>1753</v>
      </c>
      <c r="E1776" s="1">
        <f>IF($H$11=1,IF(D1776&lt;=$A$15, E1775+LN($D$11)-LN(60/$E$11)-LN(MIN(D1776,$F$11)), E1775-LN(60/$E$11)-LN(MIN(D1776,$F$11))), IF(D1776&lt;=$A$15, E1775+LN($D$11)-LN(60/$E$11)-LN(MIN(D1776,$F$11)), E1775+LN($D$11)+LN(1-$H$11)-LN(60/$E$11)-LN(MIN(D1776,$F$11))))</f>
        <v>-210.96760340147139</v>
      </c>
      <c r="F1776" s="1">
        <f t="shared" si="167"/>
        <v>-212.96963621067044</v>
      </c>
      <c r="G1776" s="1">
        <f t="shared" si="165"/>
        <v>3.2244985112729078E-93</v>
      </c>
      <c r="H1776" s="1">
        <f t="shared" si="162"/>
        <v>3.1650801131961894E-94</v>
      </c>
      <c r="I1776">
        <f>IF($F$11&lt;=D1776, IF(D1776&lt;=$A$15,D1776-$F$11,$C$11),0)</f>
        <v>60</v>
      </c>
      <c r="J1776">
        <f t="shared" si="163"/>
        <v>1689</v>
      </c>
      <c r="K1776" s="5">
        <f>IF(D1776&lt;$F$11,H1776,0)</f>
        <v>0</v>
      </c>
      <c r="L1776">
        <f>IF(D1776&lt;$A$15,$D$11,$D$11*(1-$H$11))</f>
        <v>85</v>
      </c>
      <c r="M1776">
        <f t="shared" si="164"/>
        <v>1</v>
      </c>
      <c r="N1776">
        <f>IF(SUM(I1776:J1776)&lt;=($G$11/60*$F$11/($E$11/60)),1,0)</f>
        <v>0</v>
      </c>
    </row>
    <row r="1777" spans="4:14" x14ac:dyDescent="0.2">
      <c r="D1777">
        <f t="shared" si="166"/>
        <v>1754</v>
      </c>
      <c r="E1777" s="1">
        <f>IF($H$11=1,IF(D1777&lt;=$A$15, E1776+LN($D$11)-LN(60/$E$11)-LN(MIN(D1777,$F$11)), E1776-LN(60/$E$11)-LN(MIN(D1777,$F$11))), IF(D1777&lt;=$A$15, E1776+LN($D$11)-LN(60/$E$11)-LN(MIN(D1777,$F$11)), E1776+LN($D$11)+LN(1-$H$11)-LN(60/$E$11)-LN(MIN(D1777,$F$11))))</f>
        <v>-211.08930033644893</v>
      </c>
      <c r="F1777" s="1">
        <f t="shared" si="167"/>
        <v>-213.09133314564798</v>
      </c>
      <c r="G1777" s="1">
        <f t="shared" si="165"/>
        <v>2.8550247235228426E-93</v>
      </c>
      <c r="H1777" s="1">
        <f t="shared" si="162"/>
        <v>2.8024146835590821E-94</v>
      </c>
      <c r="I1777">
        <f>IF($F$11&lt;=D1777, IF(D1777&lt;=$A$15,D1777-$F$11,$C$11),0)</f>
        <v>60</v>
      </c>
      <c r="J1777">
        <f t="shared" si="163"/>
        <v>1690</v>
      </c>
      <c r="K1777" s="5">
        <f>IF(D1777&lt;$F$11,H1777,0)</f>
        <v>0</v>
      </c>
      <c r="L1777">
        <f>IF(D1777&lt;$A$15,$D$11,$D$11*(1-$H$11))</f>
        <v>85</v>
      </c>
      <c r="M1777">
        <f t="shared" si="164"/>
        <v>1</v>
      </c>
      <c r="N1777">
        <f>IF(SUM(I1777:J1777)&lt;=($G$11/60*$F$11/($E$11/60)),1,0)</f>
        <v>0</v>
      </c>
    </row>
    <row r="1778" spans="4:14" x14ac:dyDescent="0.2">
      <c r="D1778">
        <f t="shared" si="166"/>
        <v>1755</v>
      </c>
      <c r="E1778" s="1">
        <f>IF($H$11=1,IF(D1778&lt;=$A$15, E1777+LN($D$11)-LN(60/$E$11)-LN(MIN(D1778,$F$11)), E1777-LN(60/$E$11)-LN(MIN(D1778,$F$11))), IF(D1778&lt;=$A$15, E1777+LN($D$11)-LN(60/$E$11)-LN(MIN(D1778,$F$11)), E1777+LN($D$11)+LN(1-$H$11)-LN(60/$E$11)-LN(MIN(D1778,$F$11))))</f>
        <v>-211.21099727142646</v>
      </c>
      <c r="F1778" s="1">
        <f t="shared" si="167"/>
        <v>-213.21303008062551</v>
      </c>
      <c r="G1778" s="1">
        <f t="shared" si="165"/>
        <v>2.5278864739524772E-93</v>
      </c>
      <c r="H1778" s="1">
        <f t="shared" si="162"/>
        <v>2.4813046677345652E-94</v>
      </c>
      <c r="I1778">
        <f>IF($F$11&lt;=D1778, IF(D1778&lt;=$A$15,D1778-$F$11,$C$11),0)</f>
        <v>60</v>
      </c>
      <c r="J1778">
        <f t="shared" si="163"/>
        <v>1691</v>
      </c>
      <c r="K1778" s="5">
        <f>IF(D1778&lt;$F$11,H1778,0)</f>
        <v>0</v>
      </c>
      <c r="L1778">
        <f>IF(D1778&lt;$A$15,$D$11,$D$11*(1-$H$11))</f>
        <v>85</v>
      </c>
      <c r="M1778">
        <f t="shared" si="164"/>
        <v>1</v>
      </c>
      <c r="N1778">
        <f>IF(SUM(I1778:J1778)&lt;=($G$11/60*$F$11/($E$11/60)),1,0)</f>
        <v>0</v>
      </c>
    </row>
    <row r="1779" spans="4:14" x14ac:dyDescent="0.2">
      <c r="D1779">
        <f t="shared" si="166"/>
        <v>1756</v>
      </c>
      <c r="E1779" s="1">
        <f>IF($H$11=1,IF(D1779&lt;=$A$15, E1778+LN($D$11)-LN(60/$E$11)-LN(MIN(D1779,$F$11)), E1778-LN(60/$E$11)-LN(MIN(D1779,$F$11))), IF(D1779&lt;=$A$15, E1778+LN($D$11)-LN(60/$E$11)-LN(MIN(D1779,$F$11)), E1778+LN($D$11)+LN(1-$H$11)-LN(60/$E$11)-LN(MIN(D1779,$F$11))))</f>
        <v>-211.332694206404</v>
      </c>
      <c r="F1779" s="1">
        <f t="shared" si="167"/>
        <v>-213.33472701560305</v>
      </c>
      <c r="G1779" s="1">
        <f t="shared" si="165"/>
        <v>2.238232815478721E-93</v>
      </c>
      <c r="H1779" s="1">
        <f t="shared" si="162"/>
        <v>2.1969885078899454E-94</v>
      </c>
      <c r="I1779">
        <f>IF($F$11&lt;=D1779, IF(D1779&lt;=$A$15,D1779-$F$11,$C$11),0)</f>
        <v>60</v>
      </c>
      <c r="J1779">
        <f t="shared" si="163"/>
        <v>1692</v>
      </c>
      <c r="K1779" s="5">
        <f>IF(D1779&lt;$F$11,H1779,0)</f>
        <v>0</v>
      </c>
      <c r="L1779">
        <f>IF(D1779&lt;$A$15,$D$11,$D$11*(1-$H$11))</f>
        <v>85</v>
      </c>
      <c r="M1779">
        <f t="shared" si="164"/>
        <v>1</v>
      </c>
      <c r="N1779">
        <f>IF(SUM(I1779:J1779)&lt;=($G$11/60*$F$11/($E$11/60)),1,0)</f>
        <v>0</v>
      </c>
    </row>
    <row r="1780" spans="4:14" x14ac:dyDescent="0.2">
      <c r="D1780">
        <f t="shared" si="166"/>
        <v>1757</v>
      </c>
      <c r="E1780" s="1">
        <f>IF($H$11=1,IF(D1780&lt;=$A$15, E1779+LN($D$11)-LN(60/$E$11)-LN(MIN(D1780,$F$11)), E1779-LN(60/$E$11)-LN(MIN(D1780,$F$11))), IF(D1780&lt;=$A$15, E1779+LN($D$11)-LN(60/$E$11)-LN(MIN(D1780,$F$11)), E1779+LN($D$11)+LN(1-$H$11)-LN(60/$E$11)-LN(MIN(D1780,$F$11))))</f>
        <v>-211.45439114138154</v>
      </c>
      <c r="F1780" s="1">
        <f t="shared" si="167"/>
        <v>-213.45642395058059</v>
      </c>
      <c r="G1780" s="1">
        <f t="shared" si="165"/>
        <v>1.9817686387050863E-93</v>
      </c>
      <c r="H1780" s="1">
        <f t="shared" si="162"/>
        <v>1.9452502413608585E-94</v>
      </c>
      <c r="I1780">
        <f>IF($F$11&lt;=D1780, IF(D1780&lt;=$A$15,D1780-$F$11,$C$11),0)</f>
        <v>60</v>
      </c>
      <c r="J1780">
        <f t="shared" si="163"/>
        <v>1693</v>
      </c>
      <c r="K1780" s="5">
        <f>IF(D1780&lt;$F$11,H1780,0)</f>
        <v>0</v>
      </c>
      <c r="L1780">
        <f>IF(D1780&lt;$A$15,$D$11,$D$11*(1-$H$11))</f>
        <v>85</v>
      </c>
      <c r="M1780">
        <f t="shared" si="164"/>
        <v>1</v>
      </c>
      <c r="N1780">
        <f>IF(SUM(I1780:J1780)&lt;=($G$11/60*$F$11/($E$11/60)),1,0)</f>
        <v>0</v>
      </c>
    </row>
    <row r="1781" spans="4:14" x14ac:dyDescent="0.2">
      <c r="D1781">
        <f t="shared" si="166"/>
        <v>1758</v>
      </c>
      <c r="E1781" s="1">
        <f>IF($H$11=1,IF(D1781&lt;=$A$15, E1780+LN($D$11)-LN(60/$E$11)-LN(MIN(D1781,$F$11)), E1780-LN(60/$E$11)-LN(MIN(D1781,$F$11))), IF(D1781&lt;=$A$15, E1780+LN($D$11)-LN(60/$E$11)-LN(MIN(D1781,$F$11)), E1780+LN($D$11)+LN(1-$H$11)-LN(60/$E$11)-LN(MIN(D1781,$F$11))))</f>
        <v>-211.57608807635907</v>
      </c>
      <c r="F1781" s="1">
        <f t="shared" si="167"/>
        <v>-213.57812088555812</v>
      </c>
      <c r="G1781" s="1">
        <f t="shared" si="165"/>
        <v>1.7546909821867679E-93</v>
      </c>
      <c r="H1781" s="1">
        <f t="shared" si="162"/>
        <v>1.7223569845382331E-94</v>
      </c>
      <c r="I1781">
        <f>IF($F$11&lt;=D1781, IF(D1781&lt;=$A$15,D1781-$F$11,$C$11),0)</f>
        <v>60</v>
      </c>
      <c r="J1781">
        <f t="shared" si="163"/>
        <v>1694</v>
      </c>
      <c r="K1781" s="5">
        <f>IF(D1781&lt;$F$11,H1781,0)</f>
        <v>0</v>
      </c>
      <c r="L1781">
        <f>IF(D1781&lt;$A$15,$D$11,$D$11*(1-$H$11))</f>
        <v>85</v>
      </c>
      <c r="M1781">
        <f t="shared" si="164"/>
        <v>1</v>
      </c>
      <c r="N1781">
        <f>IF(SUM(I1781:J1781)&lt;=($G$11/60*$F$11/($E$11/60)),1,0)</f>
        <v>0</v>
      </c>
    </row>
    <row r="1782" spans="4:14" x14ac:dyDescent="0.2">
      <c r="D1782">
        <f t="shared" si="166"/>
        <v>1759</v>
      </c>
      <c r="E1782" s="1">
        <f>IF($H$11=1,IF(D1782&lt;=$A$15, E1781+LN($D$11)-LN(60/$E$11)-LN(MIN(D1782,$F$11)), E1781-LN(60/$E$11)-LN(MIN(D1782,$F$11))), IF(D1782&lt;=$A$15, E1781+LN($D$11)-LN(60/$E$11)-LN(MIN(D1782,$F$11)), E1781+LN($D$11)+LN(1-$H$11)-LN(60/$E$11)-LN(MIN(D1782,$F$11))))</f>
        <v>-211.69778501133661</v>
      </c>
      <c r="F1782" s="1">
        <f t="shared" si="167"/>
        <v>-213.69981782053566</v>
      </c>
      <c r="G1782" s="1">
        <f t="shared" si="165"/>
        <v>1.5536326404778431E-93</v>
      </c>
      <c r="H1782" s="1">
        <f t="shared" si="162"/>
        <v>1.5250035800598703E-94</v>
      </c>
      <c r="I1782">
        <f>IF($F$11&lt;=D1782, IF(D1782&lt;=$A$15,D1782-$F$11,$C$11),0)</f>
        <v>60</v>
      </c>
      <c r="J1782">
        <f t="shared" si="163"/>
        <v>1695</v>
      </c>
      <c r="K1782" s="5">
        <f>IF(D1782&lt;$F$11,H1782,0)</f>
        <v>0</v>
      </c>
      <c r="L1782">
        <f>IF(D1782&lt;$A$15,$D$11,$D$11*(1-$H$11))</f>
        <v>85</v>
      </c>
      <c r="M1782">
        <f t="shared" si="164"/>
        <v>1</v>
      </c>
      <c r="N1782">
        <f>IF(SUM(I1782:J1782)&lt;=($G$11/60*$F$11/($E$11/60)),1,0)</f>
        <v>0</v>
      </c>
    </row>
    <row r="1783" spans="4:14" x14ac:dyDescent="0.2">
      <c r="D1783">
        <f t="shared" si="166"/>
        <v>1760</v>
      </c>
      <c r="E1783" s="1">
        <f>IF($H$11=1,IF(D1783&lt;=$A$15, E1782+LN($D$11)-LN(60/$E$11)-LN(MIN(D1783,$F$11)), E1782-LN(60/$E$11)-LN(MIN(D1783,$F$11))), IF(D1783&lt;=$A$15, E1782+LN($D$11)-LN(60/$E$11)-LN(MIN(D1783,$F$11)), E1782+LN($D$11)+LN(1-$H$11)-LN(60/$E$11)-LN(MIN(D1783,$F$11))))</f>
        <v>-211.81948194631414</v>
      </c>
      <c r="F1783" s="1">
        <f t="shared" si="167"/>
        <v>-213.82151475551319</v>
      </c>
      <c r="G1783" s="1">
        <f t="shared" si="165"/>
        <v>1.3756122337564021E-93</v>
      </c>
      <c r="H1783" s="1">
        <f t="shared" si="162"/>
        <v>1.3502635865113223E-94</v>
      </c>
      <c r="I1783">
        <f>IF($F$11&lt;=D1783, IF(D1783&lt;=$A$15,D1783-$F$11,$C$11),0)</f>
        <v>60</v>
      </c>
      <c r="J1783">
        <f t="shared" si="163"/>
        <v>1696</v>
      </c>
      <c r="K1783" s="5">
        <f>IF(D1783&lt;$F$11,H1783,0)</f>
        <v>0</v>
      </c>
      <c r="L1783">
        <f>IF(D1783&lt;$A$15,$D$11,$D$11*(1-$H$11))</f>
        <v>85</v>
      </c>
      <c r="M1783">
        <f t="shared" si="164"/>
        <v>1</v>
      </c>
      <c r="N1783">
        <f>IF(SUM(I1783:J1783)&lt;=($G$11/60*$F$11/($E$11/60)),1,0)</f>
        <v>0</v>
      </c>
    </row>
    <row r="1784" spans="4:14" x14ac:dyDescent="0.2">
      <c r="D1784">
        <f t="shared" si="166"/>
        <v>1761</v>
      </c>
      <c r="E1784" s="1">
        <f>IF($H$11=1,IF(D1784&lt;=$A$15, E1783+LN($D$11)-LN(60/$E$11)-LN(MIN(D1784,$F$11)), E1783-LN(60/$E$11)-LN(MIN(D1784,$F$11))), IF(D1784&lt;=$A$15, E1783+LN($D$11)-LN(60/$E$11)-LN(MIN(D1784,$F$11)), E1783+LN($D$11)+LN(1-$H$11)-LN(60/$E$11)-LN(MIN(D1784,$F$11))))</f>
        <v>-211.94117888129168</v>
      </c>
      <c r="F1784" s="1">
        <f t="shared" si="167"/>
        <v>-213.94321169049073</v>
      </c>
      <c r="G1784" s="1">
        <f t="shared" si="165"/>
        <v>1.2179899986384619E-93</v>
      </c>
      <c r="H1784" s="1">
        <f t="shared" si="162"/>
        <v>1.1955458838902145E-94</v>
      </c>
      <c r="I1784">
        <f>IF($F$11&lt;=D1784, IF(D1784&lt;=$A$15,D1784-$F$11,$C$11),0)</f>
        <v>60</v>
      </c>
      <c r="J1784">
        <f t="shared" si="163"/>
        <v>1697</v>
      </c>
      <c r="K1784" s="5">
        <f>IF(D1784&lt;$F$11,H1784,0)</f>
        <v>0</v>
      </c>
      <c r="L1784">
        <f>IF(D1784&lt;$A$15,$D$11,$D$11*(1-$H$11))</f>
        <v>85</v>
      </c>
      <c r="M1784">
        <f t="shared" si="164"/>
        <v>1</v>
      </c>
      <c r="N1784">
        <f>IF(SUM(I1784:J1784)&lt;=($G$11/60*$F$11/($E$11/60)),1,0)</f>
        <v>0</v>
      </c>
    </row>
    <row r="1785" spans="4:14" x14ac:dyDescent="0.2">
      <c r="D1785">
        <f t="shared" si="166"/>
        <v>1762</v>
      </c>
      <c r="E1785" s="1">
        <f>IF($H$11=1,IF(D1785&lt;=$A$15, E1784+LN($D$11)-LN(60/$E$11)-LN(MIN(D1785,$F$11)), E1784-LN(60/$E$11)-LN(MIN(D1785,$F$11))), IF(D1785&lt;=$A$15, E1784+LN($D$11)-LN(60/$E$11)-LN(MIN(D1785,$F$11)), E1784+LN($D$11)+LN(1-$H$11)-LN(60/$E$11)-LN(MIN(D1785,$F$11))))</f>
        <v>-212.06287581626921</v>
      </c>
      <c r="F1785" s="1">
        <f t="shared" si="167"/>
        <v>-214.06490862546826</v>
      </c>
      <c r="G1785" s="1">
        <f t="shared" si="165"/>
        <v>1.078428644627788E-93</v>
      </c>
      <c r="H1785" s="1">
        <f t="shared" si="162"/>
        <v>1.0585562513611109E-94</v>
      </c>
      <c r="I1785">
        <f>IF($F$11&lt;=D1785, IF(D1785&lt;=$A$15,D1785-$F$11,$C$11),0)</f>
        <v>60</v>
      </c>
      <c r="J1785">
        <f t="shared" si="163"/>
        <v>1698</v>
      </c>
      <c r="K1785" s="5">
        <f>IF(D1785&lt;$F$11,H1785,0)</f>
        <v>0</v>
      </c>
      <c r="L1785">
        <f>IF(D1785&lt;$A$15,$D$11,$D$11*(1-$H$11))</f>
        <v>85</v>
      </c>
      <c r="M1785">
        <f t="shared" si="164"/>
        <v>1</v>
      </c>
      <c r="N1785">
        <f>IF(SUM(I1785:J1785)&lt;=($G$11/60*$F$11/($E$11/60)),1,0)</f>
        <v>0</v>
      </c>
    </row>
    <row r="1786" spans="4:14" x14ac:dyDescent="0.2">
      <c r="D1786">
        <f t="shared" si="166"/>
        <v>1763</v>
      </c>
      <c r="E1786" s="1">
        <f>IF($H$11=1,IF(D1786&lt;=$A$15, E1785+LN($D$11)-LN(60/$E$11)-LN(MIN(D1786,$F$11)), E1785-LN(60/$E$11)-LN(MIN(D1786,$F$11))), IF(D1786&lt;=$A$15, E1785+LN($D$11)-LN(60/$E$11)-LN(MIN(D1786,$F$11)), E1785+LN($D$11)+LN(1-$H$11)-LN(60/$E$11)-LN(MIN(D1786,$F$11))))</f>
        <v>-212.18457275124675</v>
      </c>
      <c r="F1786" s="1">
        <f t="shared" si="167"/>
        <v>-214.1866055604458</v>
      </c>
      <c r="G1786" s="1">
        <f t="shared" si="165"/>
        <v>9.5485869576417238E-94</v>
      </c>
      <c r="H1786" s="1">
        <f t="shared" si="162"/>
        <v>9.3726334755930233E-95</v>
      </c>
      <c r="I1786">
        <f>IF($F$11&lt;=D1786, IF(D1786&lt;=$A$15,D1786-$F$11,$C$11),0)</f>
        <v>60</v>
      </c>
      <c r="J1786">
        <f t="shared" si="163"/>
        <v>1699</v>
      </c>
      <c r="K1786" s="5">
        <f>IF(D1786&lt;$F$11,H1786,0)</f>
        <v>0</v>
      </c>
      <c r="L1786">
        <f>IF(D1786&lt;$A$15,$D$11,$D$11*(1-$H$11))</f>
        <v>85</v>
      </c>
      <c r="M1786">
        <f t="shared" si="164"/>
        <v>1</v>
      </c>
      <c r="N1786">
        <f>IF(SUM(I1786:J1786)&lt;=($G$11/60*$F$11/($E$11/60)),1,0)</f>
        <v>0</v>
      </c>
    </row>
    <row r="1787" spans="4:14" x14ac:dyDescent="0.2">
      <c r="D1787">
        <f t="shared" si="166"/>
        <v>1764</v>
      </c>
      <c r="E1787" s="1">
        <f>IF($H$11=1,IF(D1787&lt;=$A$15, E1786+LN($D$11)-LN(60/$E$11)-LN(MIN(D1787,$F$11)), E1786-LN(60/$E$11)-LN(MIN(D1787,$F$11))), IF(D1787&lt;=$A$15, E1786+LN($D$11)-LN(60/$E$11)-LN(MIN(D1787,$F$11)), E1786+LN($D$11)+LN(1-$H$11)-LN(60/$E$11)-LN(MIN(D1787,$F$11))))</f>
        <v>-212.30626968622428</v>
      </c>
      <c r="F1787" s="1">
        <f t="shared" si="167"/>
        <v>-214.30830249542333</v>
      </c>
      <c r="G1787" s="1">
        <f t="shared" si="165"/>
        <v>8.4544780354118108E-94</v>
      </c>
      <c r="H1787" s="1">
        <f t="shared" si="162"/>
        <v>8.2986858898478599E-95</v>
      </c>
      <c r="I1787">
        <f>IF($F$11&lt;=D1787, IF(D1787&lt;=$A$15,D1787-$F$11,$C$11),0)</f>
        <v>60</v>
      </c>
      <c r="J1787">
        <f t="shared" si="163"/>
        <v>1700</v>
      </c>
      <c r="K1787" s="5">
        <f>IF(D1787&lt;$F$11,H1787,0)</f>
        <v>0</v>
      </c>
      <c r="L1787">
        <f>IF(D1787&lt;$A$15,$D$11,$D$11*(1-$H$11))</f>
        <v>85</v>
      </c>
      <c r="M1787">
        <f t="shared" si="164"/>
        <v>1</v>
      </c>
      <c r="N1787">
        <f>IF(SUM(I1787:J1787)&lt;=($G$11/60*$F$11/($E$11/60)),1,0)</f>
        <v>0</v>
      </c>
    </row>
    <row r="1788" spans="4:14" x14ac:dyDescent="0.2">
      <c r="D1788">
        <f t="shared" si="166"/>
        <v>1765</v>
      </c>
      <c r="E1788" s="1">
        <f>IF($H$11=1,IF(D1788&lt;=$A$15, E1787+LN($D$11)-LN(60/$E$11)-LN(MIN(D1788,$F$11)), E1787-LN(60/$E$11)-LN(MIN(D1788,$F$11))), IF(D1788&lt;=$A$15, E1787+LN($D$11)-LN(60/$E$11)-LN(MIN(D1788,$F$11)), E1787+LN($D$11)+LN(1-$H$11)-LN(60/$E$11)-LN(MIN(D1788,$F$11))))</f>
        <v>-212.42796662120182</v>
      </c>
      <c r="F1788" s="1">
        <f t="shared" si="167"/>
        <v>-214.42999943040087</v>
      </c>
      <c r="G1788" s="1">
        <f t="shared" si="165"/>
        <v>7.4857357605207566E-94</v>
      </c>
      <c r="H1788" s="1">
        <f t="shared" si="162"/>
        <v>7.3477947983026771E-95</v>
      </c>
      <c r="I1788">
        <f>IF($F$11&lt;=D1788, IF(D1788&lt;=$A$15,D1788-$F$11,$C$11),0)</f>
        <v>60</v>
      </c>
      <c r="J1788">
        <f t="shared" si="163"/>
        <v>1701</v>
      </c>
      <c r="K1788" s="5">
        <f>IF(D1788&lt;$F$11,H1788,0)</f>
        <v>0</v>
      </c>
      <c r="L1788">
        <f>IF(D1788&lt;$A$15,$D$11,$D$11*(1-$H$11))</f>
        <v>85</v>
      </c>
      <c r="M1788">
        <f t="shared" si="164"/>
        <v>1</v>
      </c>
      <c r="N1788">
        <f>IF(SUM(I1788:J1788)&lt;=($G$11/60*$F$11/($E$11/60)),1,0)</f>
        <v>0</v>
      </c>
    </row>
    <row r="1789" spans="4:14" x14ac:dyDescent="0.2">
      <c r="D1789">
        <f t="shared" si="166"/>
        <v>1766</v>
      </c>
      <c r="E1789" s="1">
        <f>IF($H$11=1,IF(D1789&lt;=$A$15, E1788+LN($D$11)-LN(60/$E$11)-LN(MIN(D1789,$F$11)), E1788-LN(60/$E$11)-LN(MIN(D1789,$F$11))), IF(D1789&lt;=$A$15, E1788+LN($D$11)-LN(60/$E$11)-LN(MIN(D1789,$F$11)), E1788+LN($D$11)+LN(1-$H$11)-LN(60/$E$11)-LN(MIN(D1789,$F$11))))</f>
        <v>-212.54966355617935</v>
      </c>
      <c r="F1789" s="1">
        <f t="shared" si="167"/>
        <v>-214.5516963653784</v>
      </c>
      <c r="G1789" s="1">
        <f t="shared" si="165"/>
        <v>6.62799520462765E-94</v>
      </c>
      <c r="H1789" s="1">
        <f t="shared" si="162"/>
        <v>6.5058599776637279E-95</v>
      </c>
      <c r="I1789">
        <f>IF($F$11&lt;=D1789, IF(D1789&lt;=$A$15,D1789-$F$11,$C$11),0)</f>
        <v>60</v>
      </c>
      <c r="J1789">
        <f t="shared" si="163"/>
        <v>1702</v>
      </c>
      <c r="K1789" s="5">
        <f>IF(D1789&lt;$F$11,H1789,0)</f>
        <v>0</v>
      </c>
      <c r="L1789">
        <f>IF(D1789&lt;$A$15,$D$11,$D$11*(1-$H$11))</f>
        <v>85</v>
      </c>
      <c r="M1789">
        <f t="shared" si="164"/>
        <v>1</v>
      </c>
      <c r="N1789">
        <f>IF(SUM(I1789:J1789)&lt;=($G$11/60*$F$11/($E$11/60)),1,0)</f>
        <v>0</v>
      </c>
    </row>
    <row r="1790" spans="4:14" x14ac:dyDescent="0.2">
      <c r="D1790">
        <f t="shared" si="166"/>
        <v>1767</v>
      </c>
      <c r="E1790" s="1">
        <f>IF($H$11=1,IF(D1790&lt;=$A$15, E1789+LN($D$11)-LN(60/$E$11)-LN(MIN(D1790,$F$11)), E1789-LN(60/$E$11)-LN(MIN(D1790,$F$11))), IF(D1790&lt;=$A$15, E1789+LN($D$11)-LN(60/$E$11)-LN(MIN(D1790,$F$11)), E1789+LN($D$11)+LN(1-$H$11)-LN(60/$E$11)-LN(MIN(D1790,$F$11))))</f>
        <v>-212.67136049115689</v>
      </c>
      <c r="F1790" s="1">
        <f t="shared" si="167"/>
        <v>-214.67339330035594</v>
      </c>
      <c r="G1790" s="1">
        <f t="shared" si="165"/>
        <v>5.8685374207639737E-94</v>
      </c>
      <c r="H1790" s="1">
        <f t="shared" si="162"/>
        <v>5.7603968552230025E-95</v>
      </c>
      <c r="I1790">
        <f>IF($F$11&lt;=D1790, IF(D1790&lt;=$A$15,D1790-$F$11,$C$11),0)</f>
        <v>60</v>
      </c>
      <c r="J1790">
        <f t="shared" si="163"/>
        <v>1703</v>
      </c>
      <c r="K1790" s="5">
        <f>IF(D1790&lt;$F$11,H1790,0)</f>
        <v>0</v>
      </c>
      <c r="L1790">
        <f>IF(D1790&lt;$A$15,$D$11,$D$11*(1-$H$11))</f>
        <v>85</v>
      </c>
      <c r="M1790">
        <f t="shared" si="164"/>
        <v>1</v>
      </c>
      <c r="N1790">
        <f>IF(SUM(I1790:J1790)&lt;=($G$11/60*$F$11/($E$11/60)),1,0)</f>
        <v>0</v>
      </c>
    </row>
    <row r="1791" spans="4:14" x14ac:dyDescent="0.2">
      <c r="D1791">
        <f t="shared" si="166"/>
        <v>1768</v>
      </c>
      <c r="E1791" s="1">
        <f>IF($H$11=1,IF(D1791&lt;=$A$15, E1790+LN($D$11)-LN(60/$E$11)-LN(MIN(D1791,$F$11)), E1790-LN(60/$E$11)-LN(MIN(D1791,$F$11))), IF(D1791&lt;=$A$15, E1790+LN($D$11)-LN(60/$E$11)-LN(MIN(D1791,$F$11)), E1790+LN($D$11)+LN(1-$H$11)-LN(60/$E$11)-LN(MIN(D1791,$F$11))))</f>
        <v>-212.79305742613442</v>
      </c>
      <c r="F1791" s="1">
        <f t="shared" si="167"/>
        <v>-214.79509023533348</v>
      </c>
      <c r="G1791" s="1">
        <f t="shared" si="165"/>
        <v>5.1961008413013531E-94</v>
      </c>
      <c r="H1791" s="1">
        <f t="shared" si="162"/>
        <v>5.1003513822286194E-95</v>
      </c>
      <c r="I1791">
        <f>IF($F$11&lt;=D1791, IF(D1791&lt;=$A$15,D1791-$F$11,$C$11),0)</f>
        <v>60</v>
      </c>
      <c r="J1791">
        <f t="shared" si="163"/>
        <v>1704</v>
      </c>
      <c r="K1791" s="5">
        <f>IF(D1791&lt;$F$11,H1791,0)</f>
        <v>0</v>
      </c>
      <c r="L1791">
        <f>IF(D1791&lt;$A$15,$D$11,$D$11*(1-$H$11))</f>
        <v>85</v>
      </c>
      <c r="M1791">
        <f t="shared" si="164"/>
        <v>1</v>
      </c>
      <c r="N1791">
        <f>IF(SUM(I1791:J1791)&lt;=($G$11/60*$F$11/($E$11/60)),1,0)</f>
        <v>0</v>
      </c>
    </row>
    <row r="1792" spans="4:14" x14ac:dyDescent="0.2">
      <c r="D1792">
        <f t="shared" si="166"/>
        <v>1769</v>
      </c>
      <c r="E1792" s="1">
        <f>IF($H$11=1,IF(D1792&lt;=$A$15, E1791+LN($D$11)-LN(60/$E$11)-LN(MIN(D1792,$F$11)), E1791-LN(60/$E$11)-LN(MIN(D1792,$F$11))), IF(D1792&lt;=$A$15, E1791+LN($D$11)-LN(60/$E$11)-LN(MIN(D1792,$F$11)), E1791+LN($D$11)+LN(1-$H$11)-LN(60/$E$11)-LN(MIN(D1792,$F$11))))</f>
        <v>-212.91475436111196</v>
      </c>
      <c r="F1792" s="1">
        <f t="shared" si="167"/>
        <v>-214.91678717031101</v>
      </c>
      <c r="G1792" s="1">
        <f t="shared" si="165"/>
        <v>4.6007142865688349E-94</v>
      </c>
      <c r="H1792" s="1">
        <f t="shared" si="162"/>
        <v>4.5159361196815201E-95</v>
      </c>
      <c r="I1792">
        <f>IF($F$11&lt;=D1792, IF(D1792&lt;=$A$15,D1792-$F$11,$C$11),0)</f>
        <v>60</v>
      </c>
      <c r="J1792">
        <f t="shared" si="163"/>
        <v>1705</v>
      </c>
      <c r="K1792" s="5">
        <f>IF(D1792&lt;$F$11,H1792,0)</f>
        <v>0</v>
      </c>
      <c r="L1792">
        <f>IF(D1792&lt;$A$15,$D$11,$D$11*(1-$H$11))</f>
        <v>85</v>
      </c>
      <c r="M1792">
        <f t="shared" si="164"/>
        <v>1</v>
      </c>
      <c r="N1792">
        <f>IF(SUM(I1792:J1792)&lt;=($G$11/60*$F$11/($E$11/60)),1,0)</f>
        <v>0</v>
      </c>
    </row>
    <row r="1793" spans="4:14" x14ac:dyDescent="0.2">
      <c r="D1793">
        <f t="shared" si="166"/>
        <v>1770</v>
      </c>
      <c r="E1793" s="1">
        <f>IF($H$11=1,IF(D1793&lt;=$A$15, E1792+LN($D$11)-LN(60/$E$11)-LN(MIN(D1793,$F$11)), E1792-LN(60/$E$11)-LN(MIN(D1793,$F$11))), IF(D1793&lt;=$A$15, E1792+LN($D$11)-LN(60/$E$11)-LN(MIN(D1793,$F$11)), E1792+LN($D$11)+LN(1-$H$11)-LN(60/$E$11)-LN(MIN(D1793,$F$11))))</f>
        <v>-213.0364512960895</v>
      </c>
      <c r="F1793" s="1">
        <f t="shared" si="167"/>
        <v>-215.03848410528855</v>
      </c>
      <c r="G1793" s="1">
        <f t="shared" si="165"/>
        <v>4.0735491078994256E-94</v>
      </c>
      <c r="H1793" s="1">
        <f t="shared" si="162"/>
        <v>3.99848510596795E-95</v>
      </c>
      <c r="I1793">
        <f>IF($F$11&lt;=D1793, IF(D1793&lt;=$A$15,D1793-$F$11,$C$11),0)</f>
        <v>60</v>
      </c>
      <c r="J1793">
        <f t="shared" si="163"/>
        <v>1706</v>
      </c>
      <c r="K1793" s="5">
        <f>IF(D1793&lt;$F$11,H1793,0)</f>
        <v>0</v>
      </c>
      <c r="L1793">
        <f>IF(D1793&lt;$A$15,$D$11,$D$11*(1-$H$11))</f>
        <v>85</v>
      </c>
      <c r="M1793">
        <f t="shared" si="164"/>
        <v>1</v>
      </c>
      <c r="N1793">
        <f>IF(SUM(I1793:J1793)&lt;=($G$11/60*$F$11/($E$11/60)),1,0)</f>
        <v>0</v>
      </c>
    </row>
    <row r="1794" spans="4:14" x14ac:dyDescent="0.2">
      <c r="D1794">
        <f t="shared" si="166"/>
        <v>1771</v>
      </c>
      <c r="E1794" s="1">
        <f>IF($H$11=1,IF(D1794&lt;=$A$15, E1793+LN($D$11)-LN(60/$E$11)-LN(MIN(D1794,$F$11)), E1793-LN(60/$E$11)-LN(MIN(D1794,$F$11))), IF(D1794&lt;=$A$15, E1793+LN($D$11)-LN(60/$E$11)-LN(MIN(D1794,$F$11)), E1793+LN($D$11)+LN(1-$H$11)-LN(60/$E$11)-LN(MIN(D1794,$F$11))))</f>
        <v>-213.15814823106703</v>
      </c>
      <c r="F1794" s="1">
        <f t="shared" si="167"/>
        <v>-215.16018104026608</v>
      </c>
      <c r="G1794" s="1">
        <f t="shared" si="165"/>
        <v>3.6067882726192267E-94</v>
      </c>
      <c r="H1794" s="1">
        <f t="shared" si="162"/>
        <v>3.5403253542424003E-95</v>
      </c>
      <c r="I1794">
        <f>IF($F$11&lt;=D1794, IF(D1794&lt;=$A$15,D1794-$F$11,$C$11),0)</f>
        <v>60</v>
      </c>
      <c r="J1794">
        <f t="shared" si="163"/>
        <v>1707</v>
      </c>
      <c r="K1794" s="5">
        <f>IF(D1794&lt;$F$11,H1794,0)</f>
        <v>0</v>
      </c>
      <c r="L1794">
        <f>IF(D1794&lt;$A$15,$D$11,$D$11*(1-$H$11))</f>
        <v>85</v>
      </c>
      <c r="M1794">
        <f t="shared" si="164"/>
        <v>1</v>
      </c>
      <c r="N1794">
        <f>IF(SUM(I1794:J1794)&lt;=($G$11/60*$F$11/($E$11/60)),1,0)</f>
        <v>0</v>
      </c>
    </row>
    <row r="1795" spans="4:14" x14ac:dyDescent="0.2">
      <c r="D1795">
        <f t="shared" si="166"/>
        <v>1772</v>
      </c>
      <c r="E1795" s="1">
        <f>IF($H$11=1,IF(D1795&lt;=$A$15, E1794+LN($D$11)-LN(60/$E$11)-LN(MIN(D1795,$F$11)), E1794-LN(60/$E$11)-LN(MIN(D1795,$F$11))), IF(D1795&lt;=$A$15, E1794+LN($D$11)-LN(60/$E$11)-LN(MIN(D1795,$F$11)), E1794+LN($D$11)+LN(1-$H$11)-LN(60/$E$11)-LN(MIN(D1795,$F$11))))</f>
        <v>-213.27984516604457</v>
      </c>
      <c r="F1795" s="1">
        <f t="shared" si="167"/>
        <v>-215.28187797524362</v>
      </c>
      <c r="G1795" s="1">
        <f t="shared" si="165"/>
        <v>3.1935104497148901E-94</v>
      </c>
      <c r="H1795" s="1">
        <f t="shared" si="162"/>
        <v>3.1346630740687427E-95</v>
      </c>
      <c r="I1795">
        <f>IF($F$11&lt;=D1795, IF(D1795&lt;=$A$15,D1795-$F$11,$C$11),0)</f>
        <v>60</v>
      </c>
      <c r="J1795">
        <f t="shared" si="163"/>
        <v>1708</v>
      </c>
      <c r="K1795" s="5">
        <f>IF(D1795&lt;$F$11,H1795,0)</f>
        <v>0</v>
      </c>
      <c r="L1795">
        <f>IF(D1795&lt;$A$15,$D$11,$D$11*(1-$H$11))</f>
        <v>85</v>
      </c>
      <c r="M1795">
        <f t="shared" si="164"/>
        <v>1</v>
      </c>
      <c r="N1795">
        <f>IF(SUM(I1795:J1795)&lt;=($G$11/60*$F$11/($E$11/60)),1,0)</f>
        <v>0</v>
      </c>
    </row>
    <row r="1796" spans="4:14" x14ac:dyDescent="0.2">
      <c r="D1796">
        <f t="shared" si="166"/>
        <v>1773</v>
      </c>
      <c r="E1796" s="1">
        <f>IF($H$11=1,IF(D1796&lt;=$A$15, E1795+LN($D$11)-LN(60/$E$11)-LN(MIN(D1796,$F$11)), E1795-LN(60/$E$11)-LN(MIN(D1796,$F$11))), IF(D1796&lt;=$A$15, E1795+LN($D$11)-LN(60/$E$11)-LN(MIN(D1796,$F$11)), E1795+LN($D$11)+LN(1-$H$11)-LN(60/$E$11)-LN(MIN(D1796,$F$11))))</f>
        <v>-213.4015421010221</v>
      </c>
      <c r="F1796" s="1">
        <f t="shared" si="167"/>
        <v>-215.40357491022115</v>
      </c>
      <c r="G1796" s="1">
        <f t="shared" si="165"/>
        <v>2.8275873773516815E-94</v>
      </c>
      <c r="H1796" s="1">
        <f t="shared" si="162"/>
        <v>2.7754829301649892E-95</v>
      </c>
      <c r="I1796">
        <f>IF($F$11&lt;=D1796, IF(D1796&lt;=$A$15,D1796-$F$11,$C$11),0)</f>
        <v>60</v>
      </c>
      <c r="J1796">
        <f t="shared" si="163"/>
        <v>1709</v>
      </c>
      <c r="K1796" s="5">
        <f>IF(D1796&lt;$F$11,H1796,0)</f>
        <v>0</v>
      </c>
      <c r="L1796">
        <f>IF(D1796&lt;$A$15,$D$11,$D$11*(1-$H$11))</f>
        <v>85</v>
      </c>
      <c r="M1796">
        <f t="shared" si="164"/>
        <v>1</v>
      </c>
      <c r="N1796">
        <f>IF(SUM(I1796:J1796)&lt;=($G$11/60*$F$11/($E$11/60)),1,0)</f>
        <v>0</v>
      </c>
    </row>
    <row r="1797" spans="4:14" x14ac:dyDescent="0.2">
      <c r="D1797">
        <f t="shared" si="166"/>
        <v>1774</v>
      </c>
      <c r="E1797" s="1">
        <f>IF($H$11=1,IF(D1797&lt;=$A$15, E1796+LN($D$11)-LN(60/$E$11)-LN(MIN(D1797,$F$11)), E1796-LN(60/$E$11)-LN(MIN(D1797,$F$11))), IF(D1797&lt;=$A$15, E1796+LN($D$11)-LN(60/$E$11)-LN(MIN(D1797,$F$11)), E1796+LN($D$11)+LN(1-$H$11)-LN(60/$E$11)-LN(MIN(D1797,$F$11))))</f>
        <v>-213.52323903599964</v>
      </c>
      <c r="F1797" s="1">
        <f t="shared" si="167"/>
        <v>-215.52527184519869</v>
      </c>
      <c r="G1797" s="1">
        <f t="shared" si="165"/>
        <v>2.5035929903634286E-94</v>
      </c>
      <c r="H1797" s="1">
        <f t="shared" si="162"/>
        <v>2.4574588444168789E-95</v>
      </c>
      <c r="I1797">
        <f>IF($F$11&lt;=D1797, IF(D1797&lt;=$A$15,D1797-$F$11,$C$11),0)</f>
        <v>60</v>
      </c>
      <c r="J1797">
        <f t="shared" si="163"/>
        <v>1710</v>
      </c>
      <c r="K1797" s="5">
        <f>IF(D1797&lt;$F$11,H1797,0)</f>
        <v>0</v>
      </c>
      <c r="L1797">
        <f>IF(D1797&lt;$A$15,$D$11,$D$11*(1-$H$11))</f>
        <v>85</v>
      </c>
      <c r="M1797">
        <f t="shared" si="164"/>
        <v>1</v>
      </c>
      <c r="N1797">
        <f>IF(SUM(I1797:J1797)&lt;=($G$11/60*$F$11/($E$11/60)),1,0)</f>
        <v>0</v>
      </c>
    </row>
    <row r="1798" spans="4:14" x14ac:dyDescent="0.2">
      <c r="D1798">
        <f t="shared" si="166"/>
        <v>1775</v>
      </c>
      <c r="E1798" s="1">
        <f>IF($H$11=1,IF(D1798&lt;=$A$15, E1797+LN($D$11)-LN(60/$E$11)-LN(MIN(D1798,$F$11)), E1797-LN(60/$E$11)-LN(MIN(D1798,$F$11))), IF(D1798&lt;=$A$15, E1797+LN($D$11)-LN(60/$E$11)-LN(MIN(D1798,$F$11)), E1797+LN($D$11)+LN(1-$H$11)-LN(60/$E$11)-LN(MIN(D1798,$F$11))))</f>
        <v>-213.64493597097717</v>
      </c>
      <c r="F1798" s="1">
        <f t="shared" si="167"/>
        <v>-215.64696878017622</v>
      </c>
      <c r="G1798" s="1">
        <f t="shared" si="165"/>
        <v>2.2167229602175845E-94</v>
      </c>
      <c r="H1798" s="1">
        <f t="shared" si="162"/>
        <v>2.1758750184940775E-95</v>
      </c>
      <c r="I1798">
        <f>IF($F$11&lt;=D1798, IF(D1798&lt;=$A$15,D1798-$F$11,$C$11),0)</f>
        <v>60</v>
      </c>
      <c r="J1798">
        <f t="shared" si="163"/>
        <v>1711</v>
      </c>
      <c r="K1798" s="5">
        <f>IF(D1798&lt;$F$11,H1798,0)</f>
        <v>0</v>
      </c>
      <c r="L1798">
        <f>IF(D1798&lt;$A$15,$D$11,$D$11*(1-$H$11))</f>
        <v>85</v>
      </c>
      <c r="M1798">
        <f t="shared" si="164"/>
        <v>1</v>
      </c>
      <c r="N1798">
        <f>IF(SUM(I1798:J1798)&lt;=($G$11/60*$F$11/($E$11/60)),1,0)</f>
        <v>0</v>
      </c>
    </row>
    <row r="1799" spans="4:14" x14ac:dyDescent="0.2">
      <c r="D1799">
        <f t="shared" si="166"/>
        <v>1776</v>
      </c>
      <c r="E1799" s="1">
        <f>IF($H$11=1,IF(D1799&lt;=$A$15, E1798+LN($D$11)-LN(60/$E$11)-LN(MIN(D1799,$F$11)), E1798-LN(60/$E$11)-LN(MIN(D1799,$F$11))), IF(D1799&lt;=$A$15, E1798+LN($D$11)-LN(60/$E$11)-LN(MIN(D1799,$F$11)), E1798+LN($D$11)+LN(1-$H$11)-LN(60/$E$11)-LN(MIN(D1799,$F$11))))</f>
        <v>-213.76663290595471</v>
      </c>
      <c r="F1799" s="1">
        <f t="shared" si="167"/>
        <v>-215.76866571515376</v>
      </c>
      <c r="G1799" s="1">
        <f t="shared" si="165"/>
        <v>1.962723454359289E-94</v>
      </c>
      <c r="H1799" s="1">
        <f t="shared" si="162"/>
        <v>1.926556005958268E-95</v>
      </c>
      <c r="I1799">
        <f>IF($F$11&lt;=D1799, IF(D1799&lt;=$A$15,D1799-$F$11,$C$11),0)</f>
        <v>60</v>
      </c>
      <c r="J1799">
        <f t="shared" si="163"/>
        <v>1712</v>
      </c>
      <c r="K1799" s="5">
        <f>IF(D1799&lt;$F$11,H1799,0)</f>
        <v>0</v>
      </c>
      <c r="L1799">
        <f>IF(D1799&lt;$A$15,$D$11,$D$11*(1-$H$11))</f>
        <v>85</v>
      </c>
      <c r="M1799">
        <f t="shared" si="164"/>
        <v>1</v>
      </c>
      <c r="N1799">
        <f>IF(SUM(I1799:J1799)&lt;=($G$11/60*$F$11/($E$11/60)),1,0)</f>
        <v>0</v>
      </c>
    </row>
    <row r="1800" spans="4:14" x14ac:dyDescent="0.2">
      <c r="D1800">
        <f t="shared" si="166"/>
        <v>1777</v>
      </c>
      <c r="E1800" s="1">
        <f>IF($H$11=1,IF(D1800&lt;=$A$15, E1799+LN($D$11)-LN(60/$E$11)-LN(MIN(D1800,$F$11)), E1799-LN(60/$E$11)-LN(MIN(D1800,$F$11))), IF(D1800&lt;=$A$15, E1799+LN($D$11)-LN(60/$E$11)-LN(MIN(D1800,$F$11)), E1799+LN($D$11)+LN(1-$H$11)-LN(60/$E$11)-LN(MIN(D1800,$F$11))))</f>
        <v>-213.88832984093224</v>
      </c>
      <c r="F1800" s="1">
        <f t="shared" si="167"/>
        <v>-215.89036265013129</v>
      </c>
      <c r="G1800" s="1">
        <f t="shared" si="165"/>
        <v>1.7378280585472599E-94</v>
      </c>
      <c r="H1800" s="1">
        <f t="shared" si="162"/>
        <v>1.7058047969421895E-95</v>
      </c>
      <c r="I1800">
        <f>IF($F$11&lt;=D1800, IF(D1800&lt;=$A$15,D1800-$F$11,$C$11),0)</f>
        <v>60</v>
      </c>
      <c r="J1800">
        <f t="shared" si="163"/>
        <v>1713</v>
      </c>
      <c r="K1800" s="5">
        <f>IF(D1800&lt;$F$11,H1800,0)</f>
        <v>0</v>
      </c>
      <c r="L1800">
        <f>IF(D1800&lt;$A$15,$D$11,$D$11*(1-$H$11))</f>
        <v>85</v>
      </c>
      <c r="M1800">
        <f t="shared" si="164"/>
        <v>1</v>
      </c>
      <c r="N1800">
        <f>IF(SUM(I1800:J1800)&lt;=($G$11/60*$F$11/($E$11/60)),1,0)</f>
        <v>0</v>
      </c>
    </row>
    <row r="1801" spans="4:14" x14ac:dyDescent="0.2">
      <c r="D1801">
        <f t="shared" si="166"/>
        <v>1778</v>
      </c>
      <c r="E1801" s="1">
        <f>IF($H$11=1,IF(D1801&lt;=$A$15, E1800+LN($D$11)-LN(60/$E$11)-LN(MIN(D1801,$F$11)), E1800-LN(60/$E$11)-LN(MIN(D1801,$F$11))), IF(D1801&lt;=$A$15, E1800+LN($D$11)-LN(60/$E$11)-LN(MIN(D1801,$F$11)), E1800+LN($D$11)+LN(1-$H$11)-LN(60/$E$11)-LN(MIN(D1801,$F$11))))</f>
        <v>-214.01002677590978</v>
      </c>
      <c r="F1801" s="1">
        <f t="shared" si="167"/>
        <v>-216.01205958510883</v>
      </c>
      <c r="G1801" s="1">
        <f t="shared" si="165"/>
        <v>1.5387019268386958E-94</v>
      </c>
      <c r="H1801" s="1">
        <f t="shared" si="162"/>
        <v>1.5103479972925401E-95</v>
      </c>
      <c r="I1801">
        <f>IF($F$11&lt;=D1801, IF(D1801&lt;=$A$15,D1801-$F$11,$C$11),0)</f>
        <v>60</v>
      </c>
      <c r="J1801">
        <f t="shared" si="163"/>
        <v>1714</v>
      </c>
      <c r="K1801" s="5">
        <f>IF(D1801&lt;$F$11,H1801,0)</f>
        <v>0</v>
      </c>
      <c r="L1801">
        <f>IF(D1801&lt;$A$15,$D$11,$D$11*(1-$H$11))</f>
        <v>85</v>
      </c>
      <c r="M1801">
        <f t="shared" si="164"/>
        <v>1</v>
      </c>
      <c r="N1801">
        <f>IF(SUM(I1801:J1801)&lt;=($G$11/60*$F$11/($E$11/60)),1,0)</f>
        <v>0</v>
      </c>
    </row>
    <row r="1802" spans="4:14" x14ac:dyDescent="0.2">
      <c r="D1802">
        <f t="shared" si="166"/>
        <v>1779</v>
      </c>
      <c r="E1802" s="1">
        <f>IF($H$11=1,IF(D1802&lt;=$A$15, E1801+LN($D$11)-LN(60/$E$11)-LN(MIN(D1802,$F$11)), E1801-LN(60/$E$11)-LN(MIN(D1802,$F$11))), IF(D1802&lt;=$A$15, E1801+LN($D$11)-LN(60/$E$11)-LN(MIN(D1802,$F$11)), E1801+LN($D$11)+LN(1-$H$11)-LN(60/$E$11)-LN(MIN(D1802,$F$11))))</f>
        <v>-214.13172371088731</v>
      </c>
      <c r="F1802" s="1">
        <f t="shared" si="167"/>
        <v>-216.13375652008637</v>
      </c>
      <c r="G1802" s="1">
        <f t="shared" si="165"/>
        <v>1.3623923310550738E-94</v>
      </c>
      <c r="H1802" s="1">
        <f t="shared" si="162"/>
        <v>1.3372872892694157E-95</v>
      </c>
      <c r="I1802">
        <f>IF($F$11&lt;=D1802, IF(D1802&lt;=$A$15,D1802-$F$11,$C$11),0)</f>
        <v>60</v>
      </c>
      <c r="J1802">
        <f t="shared" si="163"/>
        <v>1715</v>
      </c>
      <c r="K1802" s="5">
        <f>IF(D1802&lt;$F$11,H1802,0)</f>
        <v>0</v>
      </c>
      <c r="L1802">
        <f>IF(D1802&lt;$A$15,$D$11,$D$11*(1-$H$11))</f>
        <v>85</v>
      </c>
      <c r="M1802">
        <f t="shared" si="164"/>
        <v>1</v>
      </c>
      <c r="N1802">
        <f>IF(SUM(I1802:J1802)&lt;=($G$11/60*$F$11/($E$11/60)),1,0)</f>
        <v>0</v>
      </c>
    </row>
    <row r="1803" spans="4:14" x14ac:dyDescent="0.2">
      <c r="D1803">
        <f t="shared" si="166"/>
        <v>1780</v>
      </c>
      <c r="E1803" s="1">
        <f>IF($H$11=1,IF(D1803&lt;=$A$15, E1802+LN($D$11)-LN(60/$E$11)-LN(MIN(D1803,$F$11)), E1802-LN(60/$E$11)-LN(MIN(D1803,$F$11))), IF(D1803&lt;=$A$15, E1802+LN($D$11)-LN(60/$E$11)-LN(MIN(D1803,$F$11)), E1802+LN($D$11)+LN(1-$H$11)-LN(60/$E$11)-LN(MIN(D1803,$F$11))))</f>
        <v>-214.25342064586485</v>
      </c>
      <c r="F1803" s="1">
        <f t="shared" si="167"/>
        <v>-216.2554534550639</v>
      </c>
      <c r="G1803" s="1">
        <f t="shared" si="165"/>
        <v>1.2062848764549944E-94</v>
      </c>
      <c r="H1803" s="1">
        <f t="shared" si="162"/>
        <v>1.1840564540406099E-95</v>
      </c>
      <c r="I1803">
        <f>IF($F$11&lt;=D1803, IF(D1803&lt;=$A$15,D1803-$F$11,$C$11),0)</f>
        <v>60</v>
      </c>
      <c r="J1803">
        <f t="shared" si="163"/>
        <v>1716</v>
      </c>
      <c r="K1803" s="5">
        <f>IF(D1803&lt;$F$11,H1803,0)</f>
        <v>0</v>
      </c>
      <c r="L1803">
        <f>IF(D1803&lt;$A$15,$D$11,$D$11*(1-$H$11))</f>
        <v>85</v>
      </c>
      <c r="M1803">
        <f t="shared" si="164"/>
        <v>1</v>
      </c>
      <c r="N1803">
        <f>IF(SUM(I1803:J1803)&lt;=($G$11/60*$F$11/($E$11/60)),1,0)</f>
        <v>0</v>
      </c>
    </row>
    <row r="1804" spans="4:14" x14ac:dyDescent="0.2">
      <c r="D1804">
        <f t="shared" si="166"/>
        <v>1781</v>
      </c>
      <c r="E1804" s="1">
        <f>IF($H$11=1,IF(D1804&lt;=$A$15, E1803+LN($D$11)-LN(60/$E$11)-LN(MIN(D1804,$F$11)), E1803-LN(60/$E$11)-LN(MIN(D1804,$F$11))), IF(D1804&lt;=$A$15, E1803+LN($D$11)-LN(60/$E$11)-LN(MIN(D1804,$F$11)), E1803+LN($D$11)+LN(1-$H$11)-LN(60/$E$11)-LN(MIN(D1804,$F$11))))</f>
        <v>-214.37511758084239</v>
      </c>
      <c r="F1804" s="1">
        <f t="shared" si="167"/>
        <v>-216.37715039004144</v>
      </c>
      <c r="G1804" s="1">
        <f t="shared" si="165"/>
        <v>1.0680647343611763E-94</v>
      </c>
      <c r="H1804" s="1">
        <f t="shared" si="162"/>
        <v>1.0483833186817736E-95</v>
      </c>
      <c r="I1804">
        <f>IF($F$11&lt;=D1804, IF(D1804&lt;=$A$15,D1804-$F$11,$C$11),0)</f>
        <v>60</v>
      </c>
      <c r="J1804">
        <f t="shared" si="163"/>
        <v>1717</v>
      </c>
      <c r="K1804" s="5">
        <f>IF(D1804&lt;$F$11,H1804,0)</f>
        <v>0</v>
      </c>
      <c r="L1804">
        <f>IF(D1804&lt;$A$15,$D$11,$D$11*(1-$H$11))</f>
        <v>85</v>
      </c>
      <c r="M1804">
        <f t="shared" si="164"/>
        <v>1</v>
      </c>
      <c r="N1804">
        <f>IF(SUM(I1804:J1804)&lt;=($G$11/60*$F$11/($E$11/60)),1,0)</f>
        <v>0</v>
      </c>
    </row>
    <row r="1805" spans="4:14" x14ac:dyDescent="0.2">
      <c r="D1805">
        <f t="shared" si="166"/>
        <v>1782</v>
      </c>
      <c r="E1805" s="1">
        <f>IF($H$11=1,IF(D1805&lt;=$A$15, E1804+LN($D$11)-LN(60/$E$11)-LN(MIN(D1805,$F$11)), E1804-LN(60/$E$11)-LN(MIN(D1805,$F$11))), IF(D1805&lt;=$A$15, E1804+LN($D$11)-LN(60/$E$11)-LN(MIN(D1805,$F$11)), E1804+LN($D$11)+LN(1-$H$11)-LN(60/$E$11)-LN(MIN(D1805,$F$11))))</f>
        <v>-214.49681451581992</v>
      </c>
      <c r="F1805" s="1">
        <f t="shared" si="167"/>
        <v>-216.49884732501897</v>
      </c>
      <c r="G1805" s="1">
        <f t="shared" si="165"/>
        <v>9.4568231688227669E-95</v>
      </c>
      <c r="H1805" s="1">
        <f t="shared" si="162"/>
        <v>9.2825606341613914E-96</v>
      </c>
      <c r="I1805">
        <f>IF($F$11&lt;=D1805, IF(D1805&lt;=$A$15,D1805-$F$11,$C$11),0)</f>
        <v>60</v>
      </c>
      <c r="J1805">
        <f t="shared" si="163"/>
        <v>1718</v>
      </c>
      <c r="K1805" s="5">
        <f>IF(D1805&lt;$F$11,H1805,0)</f>
        <v>0</v>
      </c>
      <c r="L1805">
        <f>IF(D1805&lt;$A$15,$D$11,$D$11*(1-$H$11))</f>
        <v>85</v>
      </c>
      <c r="M1805">
        <f t="shared" si="164"/>
        <v>1</v>
      </c>
      <c r="N1805">
        <f>IF(SUM(I1805:J1805)&lt;=($G$11/60*$F$11/($E$11/60)),1,0)</f>
        <v>0</v>
      </c>
    </row>
    <row r="1806" spans="4:14" x14ac:dyDescent="0.2">
      <c r="D1806">
        <f t="shared" si="166"/>
        <v>1783</v>
      </c>
      <c r="E1806" s="1">
        <f>IF($H$11=1,IF(D1806&lt;=$A$15, E1805+LN($D$11)-LN(60/$E$11)-LN(MIN(D1806,$F$11)), E1805-LN(60/$E$11)-LN(MIN(D1806,$F$11))), IF(D1806&lt;=$A$15, E1805+LN($D$11)-LN(60/$E$11)-LN(MIN(D1806,$F$11)), E1805+LN($D$11)+LN(1-$H$11)-LN(60/$E$11)-LN(MIN(D1806,$F$11))))</f>
        <v>-214.61851145079746</v>
      </c>
      <c r="F1806" s="1">
        <f t="shared" si="167"/>
        <v>-216.62054425999651</v>
      </c>
      <c r="G1806" s="1">
        <f t="shared" si="165"/>
        <v>8.3732288473950274E-95</v>
      </c>
      <c r="H1806" s="1">
        <f t="shared" si="162"/>
        <v>8.2189338948302713E-96</v>
      </c>
      <c r="I1806">
        <f>IF($F$11&lt;=D1806, IF(D1806&lt;=$A$15,D1806-$F$11,$C$11),0)</f>
        <v>60</v>
      </c>
      <c r="J1806">
        <f t="shared" si="163"/>
        <v>1719</v>
      </c>
      <c r="K1806" s="5">
        <f>IF(D1806&lt;$F$11,H1806,0)</f>
        <v>0</v>
      </c>
      <c r="L1806">
        <f>IF(D1806&lt;$A$15,$D$11,$D$11*(1-$H$11))</f>
        <v>85</v>
      </c>
      <c r="M1806">
        <f t="shared" si="164"/>
        <v>1</v>
      </c>
      <c r="N1806">
        <f>IF(SUM(I1806:J1806)&lt;=($G$11/60*$F$11/($E$11/60)),1,0)</f>
        <v>0</v>
      </c>
    </row>
    <row r="1807" spans="4:14" x14ac:dyDescent="0.2">
      <c r="D1807">
        <f t="shared" si="166"/>
        <v>1784</v>
      </c>
      <c r="E1807" s="1">
        <f>IF($H$11=1,IF(D1807&lt;=$A$15, E1806+LN($D$11)-LN(60/$E$11)-LN(MIN(D1807,$F$11)), E1806-LN(60/$E$11)-LN(MIN(D1807,$F$11))), IF(D1807&lt;=$A$15, E1806+LN($D$11)-LN(60/$E$11)-LN(MIN(D1807,$F$11)), E1806+LN($D$11)+LN(1-$H$11)-LN(60/$E$11)-LN(MIN(D1807,$F$11))))</f>
        <v>-214.74020838577499</v>
      </c>
      <c r="F1807" s="1">
        <f t="shared" si="167"/>
        <v>-216.74224119497404</v>
      </c>
      <c r="G1807" s="1">
        <f t="shared" si="165"/>
        <v>7.4137963752975644E-95</v>
      </c>
      <c r="H1807" s="1">
        <f t="shared" si="162"/>
        <v>7.2771810527141888E-96</v>
      </c>
      <c r="I1807">
        <f>IF($F$11&lt;=D1807, IF(D1807&lt;=$A$15,D1807-$F$11,$C$11),0)</f>
        <v>60</v>
      </c>
      <c r="J1807">
        <f t="shared" si="163"/>
        <v>1720</v>
      </c>
      <c r="K1807" s="5">
        <f>IF(D1807&lt;$F$11,H1807,0)</f>
        <v>0</v>
      </c>
      <c r="L1807">
        <f>IF(D1807&lt;$A$15,$D$11,$D$11*(1-$H$11))</f>
        <v>85</v>
      </c>
      <c r="M1807">
        <f t="shared" si="164"/>
        <v>1</v>
      </c>
      <c r="N1807">
        <f>IF(SUM(I1807:J1807)&lt;=($G$11/60*$F$11/($E$11/60)),1,0)</f>
        <v>0</v>
      </c>
    </row>
    <row r="1808" spans="4:14" x14ac:dyDescent="0.2">
      <c r="D1808">
        <f t="shared" si="166"/>
        <v>1785</v>
      </c>
      <c r="E1808" s="1">
        <f>IF($H$11=1,IF(D1808&lt;=$A$15, E1807+LN($D$11)-LN(60/$E$11)-LN(MIN(D1808,$F$11)), E1807-LN(60/$E$11)-LN(MIN(D1808,$F$11))), IF(D1808&lt;=$A$15, E1807+LN($D$11)-LN(60/$E$11)-LN(MIN(D1808,$F$11)), E1807+LN($D$11)+LN(1-$H$11)-LN(60/$E$11)-LN(MIN(D1808,$F$11))))</f>
        <v>-214.86190532075253</v>
      </c>
      <c r="F1808" s="1">
        <f t="shared" si="167"/>
        <v>-216.86393812995158</v>
      </c>
      <c r="G1808" s="1">
        <f t="shared" si="165"/>
        <v>6.5642988739612831E-95</v>
      </c>
      <c r="H1808" s="1">
        <f t="shared" si="162"/>
        <v>6.4433373904239211E-96</v>
      </c>
      <c r="I1808">
        <f>IF($F$11&lt;=D1808, IF(D1808&lt;=$A$15,D1808-$F$11,$C$11),0)</f>
        <v>60</v>
      </c>
      <c r="J1808">
        <f t="shared" si="163"/>
        <v>1721</v>
      </c>
      <c r="K1808" s="5">
        <f>IF(D1808&lt;$F$11,H1808,0)</f>
        <v>0</v>
      </c>
      <c r="L1808">
        <f>IF(D1808&lt;$A$15,$D$11,$D$11*(1-$H$11))</f>
        <v>85</v>
      </c>
      <c r="M1808">
        <f t="shared" si="164"/>
        <v>1</v>
      </c>
      <c r="N1808">
        <f>IF(SUM(I1808:J1808)&lt;=($G$11/60*$F$11/($E$11/60)),1,0)</f>
        <v>0</v>
      </c>
    </row>
    <row r="1809" spans="4:14" x14ac:dyDescent="0.2">
      <c r="D1809">
        <f t="shared" si="166"/>
        <v>1786</v>
      </c>
      <c r="E1809" s="1">
        <f>IF($H$11=1,IF(D1809&lt;=$A$15, E1808+LN($D$11)-LN(60/$E$11)-LN(MIN(D1809,$F$11)), E1808-LN(60/$E$11)-LN(MIN(D1809,$F$11))), IF(D1809&lt;=$A$15, E1808+LN($D$11)-LN(60/$E$11)-LN(MIN(D1809,$F$11)), E1808+LN($D$11)+LN(1-$H$11)-LN(60/$E$11)-LN(MIN(D1809,$F$11))))</f>
        <v>-214.98360225573006</v>
      </c>
      <c r="F1809" s="1">
        <f t="shared" si="167"/>
        <v>-216.98563506492911</v>
      </c>
      <c r="G1809" s="1">
        <f t="shared" si="165"/>
        <v>5.8121396279864614E-95</v>
      </c>
      <c r="H1809" s="1">
        <f t="shared" si="162"/>
        <v>5.7050383144377571E-96</v>
      </c>
      <c r="I1809">
        <f>IF($F$11&lt;=D1809, IF(D1809&lt;=$A$15,D1809-$F$11,$C$11),0)</f>
        <v>60</v>
      </c>
      <c r="J1809">
        <f t="shared" si="163"/>
        <v>1722</v>
      </c>
      <c r="K1809" s="5">
        <f>IF(D1809&lt;$F$11,H1809,0)</f>
        <v>0</v>
      </c>
      <c r="L1809">
        <f>IF(D1809&lt;$A$15,$D$11,$D$11*(1-$H$11))</f>
        <v>85</v>
      </c>
      <c r="M1809">
        <f t="shared" si="164"/>
        <v>1</v>
      </c>
      <c r="N1809">
        <f>IF(SUM(I1809:J1809)&lt;=($G$11/60*$F$11/($E$11/60)),1,0)</f>
        <v>0</v>
      </c>
    </row>
    <row r="1810" spans="4:14" x14ac:dyDescent="0.2">
      <c r="D1810">
        <f t="shared" si="166"/>
        <v>1787</v>
      </c>
      <c r="E1810" s="1">
        <f>IF($H$11=1,IF(D1810&lt;=$A$15, E1809+LN($D$11)-LN(60/$E$11)-LN(MIN(D1810,$F$11)), E1809-LN(60/$E$11)-LN(MIN(D1810,$F$11))), IF(D1810&lt;=$A$15, E1809+LN($D$11)-LN(60/$E$11)-LN(MIN(D1810,$F$11)), E1809+LN($D$11)+LN(1-$H$11)-LN(60/$E$11)-LN(MIN(D1810,$F$11))))</f>
        <v>-215.1052991907076</v>
      </c>
      <c r="F1810" s="1">
        <f t="shared" si="167"/>
        <v>-217.10733199990665</v>
      </c>
      <c r="G1810" s="1">
        <f t="shared" si="165"/>
        <v>5.1461652956129328E-95</v>
      </c>
      <c r="H1810" s="1">
        <f t="shared" si="162"/>
        <v>5.0513360075750185E-96</v>
      </c>
      <c r="I1810">
        <f>IF($F$11&lt;=D1810, IF(D1810&lt;=$A$15,D1810-$F$11,$C$11),0)</f>
        <v>60</v>
      </c>
      <c r="J1810">
        <f t="shared" si="163"/>
        <v>1723</v>
      </c>
      <c r="K1810" s="5">
        <f>IF(D1810&lt;$F$11,H1810,0)</f>
        <v>0</v>
      </c>
      <c r="L1810">
        <f>IF(D1810&lt;$A$15,$D$11,$D$11*(1-$H$11))</f>
        <v>85</v>
      </c>
      <c r="M1810">
        <f t="shared" si="164"/>
        <v>1</v>
      </c>
      <c r="N1810">
        <f>IF(SUM(I1810:J1810)&lt;=($G$11/60*$F$11/($E$11/60)),1,0)</f>
        <v>0</v>
      </c>
    </row>
    <row r="1811" spans="4:14" x14ac:dyDescent="0.2">
      <c r="D1811">
        <f t="shared" si="166"/>
        <v>1788</v>
      </c>
      <c r="E1811" s="1">
        <f>IF($H$11=1,IF(D1811&lt;=$A$15, E1810+LN($D$11)-LN(60/$E$11)-LN(MIN(D1811,$F$11)), E1810-LN(60/$E$11)-LN(MIN(D1811,$F$11))), IF(D1811&lt;=$A$15, E1810+LN($D$11)-LN(60/$E$11)-LN(MIN(D1811,$F$11)), E1810+LN($D$11)+LN(1-$H$11)-LN(60/$E$11)-LN(MIN(D1811,$F$11))))</f>
        <v>-215.22699612568513</v>
      </c>
      <c r="F1811" s="1">
        <f t="shared" si="167"/>
        <v>-217.22902893488418</v>
      </c>
      <c r="G1811" s="1">
        <f t="shared" si="165"/>
        <v>4.5565005221572128E-95</v>
      </c>
      <c r="H1811" s="1">
        <f t="shared" si="162"/>
        <v>4.4725370900403113E-96</v>
      </c>
      <c r="I1811">
        <f>IF($F$11&lt;=D1811, IF(D1811&lt;=$A$15,D1811-$F$11,$C$11),0)</f>
        <v>60</v>
      </c>
      <c r="J1811">
        <f t="shared" si="163"/>
        <v>1724</v>
      </c>
      <c r="K1811" s="5">
        <f>IF(D1811&lt;$F$11,H1811,0)</f>
        <v>0</v>
      </c>
      <c r="L1811">
        <f>IF(D1811&lt;$A$15,$D$11,$D$11*(1-$H$11))</f>
        <v>85</v>
      </c>
      <c r="M1811">
        <f t="shared" si="164"/>
        <v>1</v>
      </c>
      <c r="N1811">
        <f>IF(SUM(I1811:J1811)&lt;=($G$11/60*$F$11/($E$11/60)),1,0)</f>
        <v>0</v>
      </c>
    </row>
    <row r="1812" spans="4:14" x14ac:dyDescent="0.2">
      <c r="D1812">
        <f t="shared" si="166"/>
        <v>1789</v>
      </c>
      <c r="E1812" s="1">
        <f>IF($H$11=1,IF(D1812&lt;=$A$15, E1811+LN($D$11)-LN(60/$E$11)-LN(MIN(D1812,$F$11)), E1811-LN(60/$E$11)-LN(MIN(D1812,$F$11))), IF(D1812&lt;=$A$15, E1811+LN($D$11)-LN(60/$E$11)-LN(MIN(D1812,$F$11)), E1811+LN($D$11)+LN(1-$H$11)-LN(60/$E$11)-LN(MIN(D1812,$F$11))))</f>
        <v>-215.34869306066267</v>
      </c>
      <c r="F1812" s="1">
        <f t="shared" si="167"/>
        <v>-217.35072586986172</v>
      </c>
      <c r="G1812" s="1">
        <f t="shared" si="165"/>
        <v>4.0344015039933022E-95</v>
      </c>
      <c r="H1812" s="1">
        <f t="shared" si="162"/>
        <v>3.9600588818064632E-96</v>
      </c>
      <c r="I1812">
        <f>IF($F$11&lt;=D1812, IF(D1812&lt;=$A$15,D1812-$F$11,$C$11),0)</f>
        <v>60</v>
      </c>
      <c r="J1812">
        <f t="shared" si="163"/>
        <v>1725</v>
      </c>
      <c r="K1812" s="5">
        <f>IF(D1812&lt;$F$11,H1812,0)</f>
        <v>0</v>
      </c>
      <c r="L1812">
        <f>IF(D1812&lt;$A$15,$D$11,$D$11*(1-$H$11))</f>
        <v>85</v>
      </c>
      <c r="M1812">
        <f t="shared" si="164"/>
        <v>1</v>
      </c>
      <c r="N1812">
        <f>IF(SUM(I1812:J1812)&lt;=($G$11/60*$F$11/($E$11/60)),1,0)</f>
        <v>0</v>
      </c>
    </row>
    <row r="1813" spans="4:14" x14ac:dyDescent="0.2">
      <c r="D1813">
        <f t="shared" si="166"/>
        <v>1790</v>
      </c>
      <c r="E1813" s="1">
        <f>IF($H$11=1,IF(D1813&lt;=$A$15, E1812+LN($D$11)-LN(60/$E$11)-LN(MIN(D1813,$F$11)), E1812-LN(60/$E$11)-LN(MIN(D1813,$F$11))), IF(D1813&lt;=$A$15, E1812+LN($D$11)-LN(60/$E$11)-LN(MIN(D1813,$F$11)), E1812+LN($D$11)+LN(1-$H$11)-LN(60/$E$11)-LN(MIN(D1813,$F$11))))</f>
        <v>-215.4703899956402</v>
      </c>
      <c r="F1813" s="1">
        <f t="shared" si="167"/>
        <v>-217.47242280483925</v>
      </c>
      <c r="G1813" s="1">
        <f t="shared" si="165"/>
        <v>3.5721263316606808E-95</v>
      </c>
      <c r="H1813" s="1">
        <f t="shared" si="162"/>
        <v>3.5063021349327517E-96</v>
      </c>
      <c r="I1813">
        <f>IF($F$11&lt;=D1813, IF(D1813&lt;=$A$15,D1813-$F$11,$C$11),0)</f>
        <v>60</v>
      </c>
      <c r="J1813">
        <f t="shared" si="163"/>
        <v>1726</v>
      </c>
      <c r="K1813" s="5">
        <f>IF(D1813&lt;$F$11,H1813,0)</f>
        <v>0</v>
      </c>
      <c r="L1813">
        <f>IF(D1813&lt;$A$15,$D$11,$D$11*(1-$H$11))</f>
        <v>85</v>
      </c>
      <c r="M1813">
        <f t="shared" si="164"/>
        <v>1</v>
      </c>
      <c r="N1813">
        <f>IF(SUM(I1813:J1813)&lt;=($G$11/60*$F$11/($E$11/60)),1,0)</f>
        <v>0</v>
      </c>
    </row>
    <row r="1814" spans="4:14" x14ac:dyDescent="0.2">
      <c r="D1814">
        <f t="shared" si="166"/>
        <v>1791</v>
      </c>
      <c r="E1814" s="1">
        <f>IF($H$11=1,IF(D1814&lt;=$A$15, E1813+LN($D$11)-LN(60/$E$11)-LN(MIN(D1814,$F$11)), E1813-LN(60/$E$11)-LN(MIN(D1814,$F$11))), IF(D1814&lt;=$A$15, E1813+LN($D$11)-LN(60/$E$11)-LN(MIN(D1814,$F$11)), E1813+LN($D$11)+LN(1-$H$11)-LN(60/$E$11)-LN(MIN(D1814,$F$11))))</f>
        <v>-215.59208693061774</v>
      </c>
      <c r="F1814" s="1">
        <f t="shared" si="167"/>
        <v>-217.59411973981679</v>
      </c>
      <c r="G1814" s="1">
        <f t="shared" si="165"/>
        <v>3.1628201894911781E-95</v>
      </c>
      <c r="H1814" s="1">
        <f t="shared" si="162"/>
        <v>3.104538348638325E-96</v>
      </c>
      <c r="I1814">
        <f>IF($F$11&lt;=D1814, IF(D1814&lt;=$A$15,D1814-$F$11,$C$11),0)</f>
        <v>60</v>
      </c>
      <c r="J1814">
        <f t="shared" si="163"/>
        <v>1727</v>
      </c>
      <c r="K1814" s="5">
        <f>IF(D1814&lt;$F$11,H1814,0)</f>
        <v>0</v>
      </c>
      <c r="L1814">
        <f>IF(D1814&lt;$A$15,$D$11,$D$11*(1-$H$11))</f>
        <v>85</v>
      </c>
      <c r="M1814">
        <f t="shared" si="164"/>
        <v>1</v>
      </c>
      <c r="N1814">
        <f>IF(SUM(I1814:J1814)&lt;=($G$11/60*$F$11/($E$11/60)),1,0)</f>
        <v>0</v>
      </c>
    </row>
    <row r="1815" spans="4:14" x14ac:dyDescent="0.2">
      <c r="D1815">
        <f t="shared" si="166"/>
        <v>1792</v>
      </c>
      <c r="E1815" s="1">
        <f>IF($H$11=1,IF(D1815&lt;=$A$15, E1814+LN($D$11)-LN(60/$E$11)-LN(MIN(D1815,$F$11)), E1814-LN(60/$E$11)-LN(MIN(D1815,$F$11))), IF(D1815&lt;=$A$15, E1814+LN($D$11)-LN(60/$E$11)-LN(MIN(D1815,$F$11)), E1814+LN($D$11)+LN(1-$H$11)-LN(60/$E$11)-LN(MIN(D1815,$F$11))))</f>
        <v>-215.71378386559527</v>
      </c>
      <c r="F1815" s="1">
        <f t="shared" si="167"/>
        <v>-217.71581667479433</v>
      </c>
      <c r="G1815" s="1">
        <f t="shared" si="165"/>
        <v>2.8004137094452703E-95</v>
      </c>
      <c r="H1815" s="1">
        <f t="shared" ref="H1815:H1878" si="168">G1815/$G$21</f>
        <v>2.7488099961901407E-96</v>
      </c>
      <c r="I1815">
        <f>IF($F$11&lt;=D1815, IF(D1815&lt;=$A$15,D1815-$F$11,$C$11),0)</f>
        <v>60</v>
      </c>
      <c r="J1815">
        <f t="shared" ref="J1815:J1878" si="169">IF(D1815&lt;=$A$15,0,D1815-$A$15)</f>
        <v>1728</v>
      </c>
      <c r="K1815" s="5">
        <f>IF(D1815&lt;$F$11,H1815,0)</f>
        <v>0</v>
      </c>
      <c r="L1815">
        <f>IF(D1815&lt;$A$15,$D$11,$D$11*(1-$H$11))</f>
        <v>85</v>
      </c>
      <c r="M1815">
        <f t="shared" ref="M1815:M1878" si="170">IF(D1815&lt;$A$15,0,1)</f>
        <v>1</v>
      </c>
      <c r="N1815">
        <f>IF(SUM(I1815:J1815)&lt;=($G$11/60*$F$11/($E$11/60)),1,0)</f>
        <v>0</v>
      </c>
    </row>
    <row r="1816" spans="4:14" x14ac:dyDescent="0.2">
      <c r="D1816">
        <f t="shared" si="166"/>
        <v>1793</v>
      </c>
      <c r="E1816" s="1">
        <f>IF($H$11=1,IF(D1816&lt;=$A$15, E1815+LN($D$11)-LN(60/$E$11)-LN(MIN(D1816,$F$11)), E1815-LN(60/$E$11)-LN(MIN(D1816,$F$11))), IF(D1816&lt;=$A$15, E1815+LN($D$11)-LN(60/$E$11)-LN(MIN(D1816,$F$11)), E1815+LN($D$11)+LN(1-$H$11)-LN(60/$E$11)-LN(MIN(D1816,$F$11))))</f>
        <v>-215.83548080057281</v>
      </c>
      <c r="F1816" s="1">
        <f t="shared" si="167"/>
        <v>-217.83751360977186</v>
      </c>
      <c r="G1816" s="1">
        <f t="shared" ref="G1816:G1879" si="171">EXP(F1816)</f>
        <v>2.4795329719046276E-95</v>
      </c>
      <c r="H1816" s="1">
        <f t="shared" si="168"/>
        <v>2.4338421841266492E-96</v>
      </c>
      <c r="I1816">
        <f>IF($F$11&lt;=D1816, IF(D1816&lt;=$A$15,D1816-$F$11,$C$11),0)</f>
        <v>60</v>
      </c>
      <c r="J1816">
        <f t="shared" si="169"/>
        <v>1729</v>
      </c>
      <c r="K1816" s="5">
        <f>IF(D1816&lt;$F$11,H1816,0)</f>
        <v>0</v>
      </c>
      <c r="L1816">
        <f>IF(D1816&lt;$A$15,$D$11,$D$11*(1-$H$11))</f>
        <v>85</v>
      </c>
      <c r="M1816">
        <f t="shared" si="170"/>
        <v>1</v>
      </c>
      <c r="N1816">
        <f>IF(SUM(I1816:J1816)&lt;=($G$11/60*$F$11/($E$11/60)),1,0)</f>
        <v>0</v>
      </c>
    </row>
    <row r="1817" spans="4:14" x14ac:dyDescent="0.2">
      <c r="D1817">
        <f t="shared" ref="D1817:D1880" si="172">1+D1816</f>
        <v>1794</v>
      </c>
      <c r="E1817" s="1">
        <f>IF($H$11=1,IF(D1817&lt;=$A$15, E1816+LN($D$11)-LN(60/$E$11)-LN(MIN(D1817,$F$11)), E1816-LN(60/$E$11)-LN(MIN(D1817,$F$11))), IF(D1817&lt;=$A$15, E1816+LN($D$11)-LN(60/$E$11)-LN(MIN(D1817,$F$11)), E1816+LN($D$11)+LN(1-$H$11)-LN(60/$E$11)-LN(MIN(D1817,$F$11))))</f>
        <v>-215.95717773555035</v>
      </c>
      <c r="F1817" s="1">
        <f t="shared" ref="F1817:F1880" si="173">E1817-$E$21</f>
        <v>-217.9592105447494</v>
      </c>
      <c r="G1817" s="1">
        <f t="shared" si="171"/>
        <v>2.1954198188738548E-95</v>
      </c>
      <c r="H1817" s="1">
        <f t="shared" si="168"/>
        <v>2.1549644338621035E-96</v>
      </c>
      <c r="I1817">
        <f>IF($F$11&lt;=D1817, IF(D1817&lt;=$A$15,D1817-$F$11,$C$11),0)</f>
        <v>60</v>
      </c>
      <c r="J1817">
        <f t="shared" si="169"/>
        <v>1730</v>
      </c>
      <c r="K1817" s="5">
        <f>IF(D1817&lt;$F$11,H1817,0)</f>
        <v>0</v>
      </c>
      <c r="L1817">
        <f>IF(D1817&lt;$A$15,$D$11,$D$11*(1-$H$11))</f>
        <v>85</v>
      </c>
      <c r="M1817">
        <f t="shared" si="170"/>
        <v>1</v>
      </c>
      <c r="N1817">
        <f>IF(SUM(I1817:J1817)&lt;=($G$11/60*$F$11/($E$11/60)),1,0)</f>
        <v>0</v>
      </c>
    </row>
    <row r="1818" spans="4:14" x14ac:dyDescent="0.2">
      <c r="D1818">
        <f t="shared" si="172"/>
        <v>1795</v>
      </c>
      <c r="E1818" s="1">
        <f>IF($H$11=1,IF(D1818&lt;=$A$15, E1817+LN($D$11)-LN(60/$E$11)-LN(MIN(D1818,$F$11)), E1817-LN(60/$E$11)-LN(MIN(D1818,$F$11))), IF(D1818&lt;=$A$15, E1817+LN($D$11)-LN(60/$E$11)-LN(MIN(D1818,$F$11)), E1817+LN($D$11)+LN(1-$H$11)-LN(60/$E$11)-LN(MIN(D1818,$F$11))))</f>
        <v>-216.07887467052788</v>
      </c>
      <c r="F1818" s="1">
        <f t="shared" si="173"/>
        <v>-218.08090747972693</v>
      </c>
      <c r="G1818" s="1">
        <f t="shared" si="171"/>
        <v>1.9438612979611949E-95</v>
      </c>
      <c r="H1818" s="1">
        <f t="shared" si="168"/>
        <v>1.9080414258153742E-96</v>
      </c>
      <c r="I1818">
        <f>IF($F$11&lt;=D1818, IF(D1818&lt;=$A$15,D1818-$F$11,$C$11),0)</f>
        <v>60</v>
      </c>
      <c r="J1818">
        <f t="shared" si="169"/>
        <v>1731</v>
      </c>
      <c r="K1818" s="5">
        <f>IF(D1818&lt;$F$11,H1818,0)</f>
        <v>0</v>
      </c>
      <c r="L1818">
        <f>IF(D1818&lt;$A$15,$D$11,$D$11*(1-$H$11))</f>
        <v>85</v>
      </c>
      <c r="M1818">
        <f t="shared" si="170"/>
        <v>1</v>
      </c>
      <c r="N1818">
        <f>IF(SUM(I1818:J1818)&lt;=($G$11/60*$F$11/($E$11/60)),1,0)</f>
        <v>0</v>
      </c>
    </row>
    <row r="1819" spans="4:14" x14ac:dyDescent="0.2">
      <c r="D1819">
        <f t="shared" si="172"/>
        <v>1796</v>
      </c>
      <c r="E1819" s="1">
        <f>IF($H$11=1,IF(D1819&lt;=$A$15, E1818+LN($D$11)-LN(60/$E$11)-LN(MIN(D1819,$F$11)), E1818-LN(60/$E$11)-LN(MIN(D1819,$F$11))), IF(D1819&lt;=$A$15, E1818+LN($D$11)-LN(60/$E$11)-LN(MIN(D1819,$F$11)), E1818+LN($D$11)+LN(1-$H$11)-LN(60/$E$11)-LN(MIN(D1819,$F$11))))</f>
        <v>-216.20057160550542</v>
      </c>
      <c r="F1819" s="1">
        <f t="shared" si="173"/>
        <v>-218.20260441470447</v>
      </c>
      <c r="G1819" s="1">
        <f t="shared" si="171"/>
        <v>1.7211271909031144E-95</v>
      </c>
      <c r="H1819" s="1">
        <f t="shared" si="168"/>
        <v>1.6894116791073361E-96</v>
      </c>
      <c r="I1819">
        <f>IF($F$11&lt;=D1819, IF(D1819&lt;=$A$15,D1819-$F$11,$C$11),0)</f>
        <v>60</v>
      </c>
      <c r="J1819">
        <f t="shared" si="169"/>
        <v>1732</v>
      </c>
      <c r="K1819" s="5">
        <f>IF(D1819&lt;$F$11,H1819,0)</f>
        <v>0</v>
      </c>
      <c r="L1819">
        <f>IF(D1819&lt;$A$15,$D$11,$D$11*(1-$H$11))</f>
        <v>85</v>
      </c>
      <c r="M1819">
        <f t="shared" si="170"/>
        <v>1</v>
      </c>
      <c r="N1819">
        <f>IF(SUM(I1819:J1819)&lt;=($G$11/60*$F$11/($E$11/60)),1,0)</f>
        <v>0</v>
      </c>
    </row>
    <row r="1820" spans="4:14" x14ac:dyDescent="0.2">
      <c r="D1820">
        <f t="shared" si="172"/>
        <v>1797</v>
      </c>
      <c r="E1820" s="1">
        <f>IF($H$11=1,IF(D1820&lt;=$A$15, E1819+LN($D$11)-LN(60/$E$11)-LN(MIN(D1820,$F$11)), E1819-LN(60/$E$11)-LN(MIN(D1820,$F$11))), IF(D1820&lt;=$A$15, E1819+LN($D$11)-LN(60/$E$11)-LN(MIN(D1820,$F$11)), E1819+LN($D$11)+LN(1-$H$11)-LN(60/$E$11)-LN(MIN(D1820,$F$11))))</f>
        <v>-216.32226854048295</v>
      </c>
      <c r="F1820" s="1">
        <f t="shared" si="173"/>
        <v>-218.324301349682</v>
      </c>
      <c r="G1820" s="1">
        <f t="shared" si="171"/>
        <v>1.5239147002787755E-95</v>
      </c>
      <c r="H1820" s="1">
        <f t="shared" si="168"/>
        <v>1.4958332575429306E-96</v>
      </c>
      <c r="I1820">
        <f>IF($F$11&lt;=D1820, IF(D1820&lt;=$A$15,D1820-$F$11,$C$11),0)</f>
        <v>60</v>
      </c>
      <c r="J1820">
        <f t="shared" si="169"/>
        <v>1733</v>
      </c>
      <c r="K1820" s="5">
        <f>IF(D1820&lt;$F$11,H1820,0)</f>
        <v>0</v>
      </c>
      <c r="L1820">
        <f>IF(D1820&lt;$A$15,$D$11,$D$11*(1-$H$11))</f>
        <v>85</v>
      </c>
      <c r="M1820">
        <f t="shared" si="170"/>
        <v>1</v>
      </c>
      <c r="N1820">
        <f>IF(SUM(I1820:J1820)&lt;=($G$11/60*$F$11/($E$11/60)),1,0)</f>
        <v>0</v>
      </c>
    </row>
    <row r="1821" spans="4:14" x14ac:dyDescent="0.2">
      <c r="D1821">
        <f t="shared" si="172"/>
        <v>1798</v>
      </c>
      <c r="E1821" s="1">
        <f>IF($H$11=1,IF(D1821&lt;=$A$15, E1820+LN($D$11)-LN(60/$E$11)-LN(MIN(D1821,$F$11)), E1820-LN(60/$E$11)-LN(MIN(D1821,$F$11))), IF(D1821&lt;=$A$15, E1820+LN($D$11)-LN(60/$E$11)-LN(MIN(D1821,$F$11)), E1820+LN($D$11)+LN(1-$H$11)-LN(60/$E$11)-LN(MIN(D1821,$F$11))))</f>
        <v>-216.44396547546049</v>
      </c>
      <c r="F1821" s="1">
        <f t="shared" si="173"/>
        <v>-218.44599828465954</v>
      </c>
      <c r="G1821" s="1">
        <f t="shared" si="171"/>
        <v>1.3492994742051447E-95</v>
      </c>
      <c r="H1821" s="1">
        <f t="shared" si="168"/>
        <v>1.3244356967827824E-96</v>
      </c>
      <c r="I1821">
        <f>IF($F$11&lt;=D1821, IF(D1821&lt;=$A$15,D1821-$F$11,$C$11),0)</f>
        <v>60</v>
      </c>
      <c r="J1821">
        <f t="shared" si="169"/>
        <v>1734</v>
      </c>
      <c r="K1821" s="5">
        <f>IF(D1821&lt;$F$11,H1821,0)</f>
        <v>0</v>
      </c>
      <c r="L1821">
        <f>IF(D1821&lt;$A$15,$D$11,$D$11*(1-$H$11))</f>
        <v>85</v>
      </c>
      <c r="M1821">
        <f t="shared" si="170"/>
        <v>1</v>
      </c>
      <c r="N1821">
        <f>IF(SUM(I1821:J1821)&lt;=($G$11/60*$F$11/($E$11/60)),1,0)</f>
        <v>0</v>
      </c>
    </row>
    <row r="1822" spans="4:14" x14ac:dyDescent="0.2">
      <c r="D1822">
        <f t="shared" si="172"/>
        <v>1799</v>
      </c>
      <c r="E1822" s="1">
        <f>IF($H$11=1,IF(D1822&lt;=$A$15, E1821+LN($D$11)-LN(60/$E$11)-LN(MIN(D1822,$F$11)), E1821-LN(60/$E$11)-LN(MIN(D1822,$F$11))), IF(D1822&lt;=$A$15, E1821+LN($D$11)-LN(60/$E$11)-LN(MIN(D1822,$F$11)), E1821+LN($D$11)+LN(1-$H$11)-LN(60/$E$11)-LN(MIN(D1822,$F$11))))</f>
        <v>-216.56566241043802</v>
      </c>
      <c r="F1822" s="1">
        <f t="shared" si="173"/>
        <v>-218.56769521963707</v>
      </c>
      <c r="G1822" s="1">
        <f t="shared" si="171"/>
        <v>1.1946922427857865E-95</v>
      </c>
      <c r="H1822" s="1">
        <f t="shared" si="168"/>
        <v>1.1726774398597369E-96</v>
      </c>
      <c r="I1822">
        <f>IF($F$11&lt;=D1822, IF(D1822&lt;=$A$15,D1822-$F$11,$C$11),0)</f>
        <v>60</v>
      </c>
      <c r="J1822">
        <f t="shared" si="169"/>
        <v>1735</v>
      </c>
      <c r="K1822" s="5">
        <f>IF(D1822&lt;$F$11,H1822,0)</f>
        <v>0</v>
      </c>
      <c r="L1822">
        <f>IF(D1822&lt;$A$15,$D$11,$D$11*(1-$H$11))</f>
        <v>85</v>
      </c>
      <c r="M1822">
        <f t="shared" si="170"/>
        <v>1</v>
      </c>
      <c r="N1822">
        <f>IF(SUM(I1822:J1822)&lt;=($G$11/60*$F$11/($E$11/60)),1,0)</f>
        <v>0</v>
      </c>
    </row>
    <row r="1823" spans="4:14" x14ac:dyDescent="0.2">
      <c r="D1823">
        <f t="shared" si="172"/>
        <v>1800</v>
      </c>
      <c r="E1823" s="1">
        <f>IF($H$11=1,IF(D1823&lt;=$A$15, E1822+LN($D$11)-LN(60/$E$11)-LN(MIN(D1823,$F$11)), E1822-LN(60/$E$11)-LN(MIN(D1823,$F$11))), IF(D1823&lt;=$A$15, E1822+LN($D$11)-LN(60/$E$11)-LN(MIN(D1823,$F$11)), E1822+LN($D$11)+LN(1-$H$11)-LN(60/$E$11)-LN(MIN(D1823,$F$11))))</f>
        <v>-216.68735934541556</v>
      </c>
      <c r="F1823" s="1">
        <f t="shared" si="173"/>
        <v>-218.68939215461461</v>
      </c>
      <c r="G1823" s="1">
        <f t="shared" si="171"/>
        <v>1.0578004232998986E-95</v>
      </c>
      <c r="H1823" s="1">
        <f t="shared" si="168"/>
        <v>1.0383081498757925E-96</v>
      </c>
      <c r="I1823">
        <f>IF($F$11&lt;=D1823, IF(D1823&lt;=$A$15,D1823-$F$11,$C$11),0)</f>
        <v>60</v>
      </c>
      <c r="J1823">
        <f t="shared" si="169"/>
        <v>1736</v>
      </c>
      <c r="K1823" s="5">
        <f>IF(D1823&lt;$F$11,H1823,0)</f>
        <v>0</v>
      </c>
      <c r="L1823">
        <f>IF(D1823&lt;$A$15,$D$11,$D$11*(1-$H$11))</f>
        <v>85</v>
      </c>
      <c r="M1823">
        <f t="shared" si="170"/>
        <v>1</v>
      </c>
      <c r="N1823">
        <f>IF(SUM(I1823:J1823)&lt;=($G$11/60*$F$11/($E$11/60)),1,0)</f>
        <v>0</v>
      </c>
    </row>
    <row r="1824" spans="4:14" x14ac:dyDescent="0.2">
      <c r="D1824">
        <f t="shared" si="172"/>
        <v>1801</v>
      </c>
      <c r="E1824" s="1">
        <f>IF($H$11=1,IF(D1824&lt;=$A$15, E1823+LN($D$11)-LN(60/$E$11)-LN(MIN(D1824,$F$11)), E1823-LN(60/$E$11)-LN(MIN(D1824,$F$11))), IF(D1824&lt;=$A$15, E1823+LN($D$11)-LN(60/$E$11)-LN(MIN(D1824,$F$11)), E1823+LN($D$11)+LN(1-$H$11)-LN(60/$E$11)-LN(MIN(D1824,$F$11))))</f>
        <v>-216.80905628039309</v>
      </c>
      <c r="F1824" s="1">
        <f t="shared" si="173"/>
        <v>-218.81108908959214</v>
      </c>
      <c r="G1824" s="1">
        <f t="shared" si="171"/>
        <v>9.3659412479677058E-96</v>
      </c>
      <c r="H1824" s="1">
        <f t="shared" si="168"/>
        <v>9.1933534103584353E-97</v>
      </c>
      <c r="I1824">
        <f>IF($F$11&lt;=D1824, IF(D1824&lt;=$A$15,D1824-$F$11,$C$11),0)</f>
        <v>60</v>
      </c>
      <c r="J1824">
        <f t="shared" si="169"/>
        <v>1737</v>
      </c>
      <c r="K1824" s="5">
        <f>IF(D1824&lt;$F$11,H1824,0)</f>
        <v>0</v>
      </c>
      <c r="L1824">
        <f>IF(D1824&lt;$A$15,$D$11,$D$11*(1-$H$11))</f>
        <v>85</v>
      </c>
      <c r="M1824">
        <f t="shared" si="170"/>
        <v>1</v>
      </c>
      <c r="N1824">
        <f>IF(SUM(I1824:J1824)&lt;=($G$11/60*$F$11/($E$11/60)),1,0)</f>
        <v>0</v>
      </c>
    </row>
    <row r="1825" spans="4:14" x14ac:dyDescent="0.2">
      <c r="D1825">
        <f t="shared" si="172"/>
        <v>1802</v>
      </c>
      <c r="E1825" s="1">
        <f>IF($H$11=1,IF(D1825&lt;=$A$15, E1824+LN($D$11)-LN(60/$E$11)-LN(MIN(D1825,$F$11)), E1824-LN(60/$E$11)-LN(MIN(D1825,$F$11))), IF(D1825&lt;=$A$15, E1824+LN($D$11)-LN(60/$E$11)-LN(MIN(D1825,$F$11)), E1824+LN($D$11)+LN(1-$H$11)-LN(60/$E$11)-LN(MIN(D1825,$F$11))))</f>
        <v>-216.93075321537063</v>
      </c>
      <c r="F1825" s="1">
        <f t="shared" si="173"/>
        <v>-218.93278602456968</v>
      </c>
      <c r="G1825" s="1">
        <f t="shared" si="171"/>
        <v>8.2927604799712769E-96</v>
      </c>
      <c r="H1825" s="1">
        <f t="shared" si="168"/>
        <v>8.1399483320880706E-97</v>
      </c>
      <c r="I1825">
        <f>IF($F$11&lt;=D1825, IF(D1825&lt;=$A$15,D1825-$F$11,$C$11),0)</f>
        <v>60</v>
      </c>
      <c r="J1825">
        <f t="shared" si="169"/>
        <v>1738</v>
      </c>
      <c r="K1825" s="5">
        <f>IF(D1825&lt;$F$11,H1825,0)</f>
        <v>0</v>
      </c>
      <c r="L1825">
        <f>IF(D1825&lt;$A$15,$D$11,$D$11*(1-$H$11))</f>
        <v>85</v>
      </c>
      <c r="M1825">
        <f t="shared" si="170"/>
        <v>1</v>
      </c>
      <c r="N1825">
        <f>IF(SUM(I1825:J1825)&lt;=($G$11/60*$F$11/($E$11/60)),1,0)</f>
        <v>0</v>
      </c>
    </row>
    <row r="1826" spans="4:14" x14ac:dyDescent="0.2">
      <c r="D1826">
        <f t="shared" si="172"/>
        <v>1803</v>
      </c>
      <c r="E1826" s="1">
        <f>IF($H$11=1,IF(D1826&lt;=$A$15, E1825+LN($D$11)-LN(60/$E$11)-LN(MIN(D1826,$F$11)), E1825-LN(60/$E$11)-LN(MIN(D1826,$F$11))), IF(D1826&lt;=$A$15, E1825+LN($D$11)-LN(60/$E$11)-LN(MIN(D1826,$F$11)), E1825+LN($D$11)+LN(1-$H$11)-LN(60/$E$11)-LN(MIN(D1826,$F$11))))</f>
        <v>-217.05245015034816</v>
      </c>
      <c r="F1826" s="1">
        <f t="shared" si="173"/>
        <v>-219.05448295954722</v>
      </c>
      <c r="G1826" s="1">
        <f t="shared" si="171"/>
        <v>7.3425483416411194E-96</v>
      </c>
      <c r="H1826" s="1">
        <f t="shared" si="168"/>
        <v>7.2072459190361997E-97</v>
      </c>
      <c r="I1826">
        <f>IF($F$11&lt;=D1826, IF(D1826&lt;=$A$15,D1826-$F$11,$C$11),0)</f>
        <v>60</v>
      </c>
      <c r="J1826">
        <f t="shared" si="169"/>
        <v>1739</v>
      </c>
      <c r="K1826" s="5">
        <f>IF(D1826&lt;$F$11,H1826,0)</f>
        <v>0</v>
      </c>
      <c r="L1826">
        <f>IF(D1826&lt;$A$15,$D$11,$D$11*(1-$H$11))</f>
        <v>85</v>
      </c>
      <c r="M1826">
        <f t="shared" si="170"/>
        <v>1</v>
      </c>
      <c r="N1826">
        <f>IF(SUM(I1826:J1826)&lt;=($G$11/60*$F$11/($E$11/60)),1,0)</f>
        <v>0</v>
      </c>
    </row>
    <row r="1827" spans="4:14" x14ac:dyDescent="0.2">
      <c r="D1827">
        <f t="shared" si="172"/>
        <v>1804</v>
      </c>
      <c r="E1827" s="1">
        <f>IF($H$11=1,IF(D1827&lt;=$A$15, E1826+LN($D$11)-LN(60/$E$11)-LN(MIN(D1827,$F$11)), E1826-LN(60/$E$11)-LN(MIN(D1827,$F$11))), IF(D1827&lt;=$A$15, E1826+LN($D$11)-LN(60/$E$11)-LN(MIN(D1827,$F$11)), E1826+LN($D$11)+LN(1-$H$11)-LN(60/$E$11)-LN(MIN(D1827,$F$11))))</f>
        <v>-217.1741470853257</v>
      </c>
      <c r="F1827" s="1">
        <f t="shared" si="173"/>
        <v>-219.17617989452475</v>
      </c>
      <c r="G1827" s="1">
        <f t="shared" si="171"/>
        <v>6.5012146774946396E-96</v>
      </c>
      <c r="H1827" s="1">
        <f t="shared" si="168"/>
        <v>6.3814156574798687E-97</v>
      </c>
      <c r="I1827">
        <f>IF($F$11&lt;=D1827, IF(D1827&lt;=$A$15,D1827-$F$11,$C$11),0)</f>
        <v>60</v>
      </c>
      <c r="J1827">
        <f t="shared" si="169"/>
        <v>1740</v>
      </c>
      <c r="K1827" s="5">
        <f>IF(D1827&lt;$F$11,H1827,0)</f>
        <v>0</v>
      </c>
      <c r="L1827">
        <f>IF(D1827&lt;$A$15,$D$11,$D$11*(1-$H$11))</f>
        <v>85</v>
      </c>
      <c r="M1827">
        <f t="shared" si="170"/>
        <v>1</v>
      </c>
      <c r="N1827">
        <f>IF(SUM(I1827:J1827)&lt;=($G$11/60*$F$11/($E$11/60)),1,0)</f>
        <v>0</v>
      </c>
    </row>
    <row r="1828" spans="4:14" x14ac:dyDescent="0.2">
      <c r="D1828">
        <f t="shared" si="172"/>
        <v>1805</v>
      </c>
      <c r="E1828" s="1">
        <f>IF($H$11=1,IF(D1828&lt;=$A$15, E1827+LN($D$11)-LN(60/$E$11)-LN(MIN(D1828,$F$11)), E1827-LN(60/$E$11)-LN(MIN(D1828,$F$11))), IF(D1828&lt;=$A$15, E1827+LN($D$11)-LN(60/$E$11)-LN(MIN(D1828,$F$11)), E1827+LN($D$11)+LN(1-$H$11)-LN(60/$E$11)-LN(MIN(D1828,$F$11))))</f>
        <v>-217.29584402030324</v>
      </c>
      <c r="F1828" s="1">
        <f t="shared" si="173"/>
        <v>-219.29787682950229</v>
      </c>
      <c r="G1828" s="1">
        <f t="shared" si="171"/>
        <v>5.756283829031622E-96</v>
      </c>
      <c r="H1828" s="1">
        <f t="shared" si="168"/>
        <v>5.650211780060212E-97</v>
      </c>
      <c r="I1828">
        <f>IF($F$11&lt;=D1828, IF(D1828&lt;=$A$15,D1828-$F$11,$C$11),0)</f>
        <v>60</v>
      </c>
      <c r="J1828">
        <f t="shared" si="169"/>
        <v>1741</v>
      </c>
      <c r="K1828" s="5">
        <f>IF(D1828&lt;$F$11,H1828,0)</f>
        <v>0</v>
      </c>
      <c r="L1828">
        <f>IF(D1828&lt;$A$15,$D$11,$D$11*(1-$H$11))</f>
        <v>85</v>
      </c>
      <c r="M1828">
        <f t="shared" si="170"/>
        <v>1</v>
      </c>
      <c r="N1828">
        <f>IF(SUM(I1828:J1828)&lt;=($G$11/60*$F$11/($E$11/60)),1,0)</f>
        <v>0</v>
      </c>
    </row>
    <row r="1829" spans="4:14" x14ac:dyDescent="0.2">
      <c r="D1829">
        <f t="shared" si="172"/>
        <v>1806</v>
      </c>
      <c r="E1829" s="1">
        <f>IF($H$11=1,IF(D1829&lt;=$A$15, E1828+LN($D$11)-LN(60/$E$11)-LN(MIN(D1829,$F$11)), E1828-LN(60/$E$11)-LN(MIN(D1829,$F$11))), IF(D1829&lt;=$A$15, E1828+LN($D$11)-LN(60/$E$11)-LN(MIN(D1829,$F$11)), E1828+LN($D$11)+LN(1-$H$11)-LN(60/$E$11)-LN(MIN(D1829,$F$11))))</f>
        <v>-217.41754095528077</v>
      </c>
      <c r="F1829" s="1">
        <f t="shared" si="173"/>
        <v>-219.41957376447982</v>
      </c>
      <c r="G1829" s="1">
        <f t="shared" si="171"/>
        <v>5.0967096402883357E-96</v>
      </c>
      <c r="H1829" s="1">
        <f t="shared" si="168"/>
        <v>5.0027916802615678E-97</v>
      </c>
      <c r="I1829">
        <f>IF($F$11&lt;=D1829, IF(D1829&lt;=$A$15,D1829-$F$11,$C$11),0)</f>
        <v>60</v>
      </c>
      <c r="J1829">
        <f t="shared" si="169"/>
        <v>1742</v>
      </c>
      <c r="K1829" s="5">
        <f>IF(D1829&lt;$F$11,H1829,0)</f>
        <v>0</v>
      </c>
      <c r="L1829">
        <f>IF(D1829&lt;$A$15,$D$11,$D$11*(1-$H$11))</f>
        <v>85</v>
      </c>
      <c r="M1829">
        <f t="shared" si="170"/>
        <v>1</v>
      </c>
      <c r="N1829">
        <f>IF(SUM(I1829:J1829)&lt;=($G$11/60*$F$11/($E$11/60)),1,0)</f>
        <v>0</v>
      </c>
    </row>
    <row r="1830" spans="4:14" x14ac:dyDescent="0.2">
      <c r="D1830">
        <f t="shared" si="172"/>
        <v>1807</v>
      </c>
      <c r="E1830" s="1">
        <f>IF($H$11=1,IF(D1830&lt;=$A$15, E1829+LN($D$11)-LN(60/$E$11)-LN(MIN(D1830,$F$11)), E1829-LN(60/$E$11)-LN(MIN(D1830,$F$11))), IF(D1830&lt;=$A$15, E1829+LN($D$11)-LN(60/$E$11)-LN(MIN(D1830,$F$11)), E1829+LN($D$11)+LN(1-$H$11)-LN(60/$E$11)-LN(MIN(D1830,$F$11))))</f>
        <v>-217.53923789025831</v>
      </c>
      <c r="F1830" s="1">
        <f t="shared" si="173"/>
        <v>-219.54127069945736</v>
      </c>
      <c r="G1830" s="1">
        <f t="shared" si="171"/>
        <v>4.5127116606718935E-96</v>
      </c>
      <c r="H1830" s="1">
        <f t="shared" si="168"/>
        <v>4.4295551335648608E-97</v>
      </c>
      <c r="I1830">
        <f>IF($F$11&lt;=D1830, IF(D1830&lt;=$A$15,D1830-$F$11,$C$11),0)</f>
        <v>60</v>
      </c>
      <c r="J1830">
        <f t="shared" si="169"/>
        <v>1743</v>
      </c>
      <c r="K1830" s="5">
        <f>IF(D1830&lt;$F$11,H1830,0)</f>
        <v>0</v>
      </c>
      <c r="L1830">
        <f>IF(D1830&lt;$A$15,$D$11,$D$11*(1-$H$11))</f>
        <v>85</v>
      </c>
      <c r="M1830">
        <f t="shared" si="170"/>
        <v>1</v>
      </c>
      <c r="N1830">
        <f>IF(SUM(I1830:J1830)&lt;=($G$11/60*$F$11/($E$11/60)),1,0)</f>
        <v>0</v>
      </c>
    </row>
    <row r="1831" spans="4:14" x14ac:dyDescent="0.2">
      <c r="D1831">
        <f t="shared" si="172"/>
        <v>1808</v>
      </c>
      <c r="E1831" s="1">
        <f>IF($H$11=1,IF(D1831&lt;=$A$15, E1830+LN($D$11)-LN(60/$E$11)-LN(MIN(D1831,$F$11)), E1830-LN(60/$E$11)-LN(MIN(D1831,$F$11))), IF(D1831&lt;=$A$15, E1830+LN($D$11)-LN(60/$E$11)-LN(MIN(D1831,$F$11)), E1830+LN($D$11)+LN(1-$H$11)-LN(60/$E$11)-LN(MIN(D1831,$F$11))))</f>
        <v>-217.66093482523584</v>
      </c>
      <c r="F1831" s="1">
        <f t="shared" si="173"/>
        <v>-219.66296763443489</v>
      </c>
      <c r="G1831" s="1">
        <f t="shared" si="171"/>
        <v>3.9956301162198429E-96</v>
      </c>
      <c r="H1831" s="1">
        <f t="shared" si="168"/>
        <v>3.922001941177159E-97</v>
      </c>
      <c r="I1831">
        <f>IF($F$11&lt;=D1831, IF(D1831&lt;=$A$15,D1831-$F$11,$C$11),0)</f>
        <v>60</v>
      </c>
      <c r="J1831">
        <f t="shared" si="169"/>
        <v>1744</v>
      </c>
      <c r="K1831" s="5">
        <f>IF(D1831&lt;$F$11,H1831,0)</f>
        <v>0</v>
      </c>
      <c r="L1831">
        <f>IF(D1831&lt;$A$15,$D$11,$D$11*(1-$H$11))</f>
        <v>85</v>
      </c>
      <c r="M1831">
        <f t="shared" si="170"/>
        <v>1</v>
      </c>
      <c r="N1831">
        <f>IF(SUM(I1831:J1831)&lt;=($G$11/60*$F$11/($E$11/60)),1,0)</f>
        <v>0</v>
      </c>
    </row>
    <row r="1832" spans="4:14" x14ac:dyDescent="0.2">
      <c r="D1832">
        <f t="shared" si="172"/>
        <v>1809</v>
      </c>
      <c r="E1832" s="1">
        <f>IF($H$11=1,IF(D1832&lt;=$A$15, E1831+LN($D$11)-LN(60/$E$11)-LN(MIN(D1832,$F$11)), E1831-LN(60/$E$11)-LN(MIN(D1832,$F$11))), IF(D1832&lt;=$A$15, E1831+LN($D$11)-LN(60/$E$11)-LN(MIN(D1832,$F$11)), E1831+LN($D$11)+LN(1-$H$11)-LN(60/$E$11)-LN(MIN(D1832,$F$11))))</f>
        <v>-217.78263176021338</v>
      </c>
      <c r="F1832" s="1">
        <f t="shared" si="173"/>
        <v>-219.78466456941243</v>
      </c>
      <c r="G1832" s="1">
        <f t="shared" si="171"/>
        <v>3.5377974987362643E-96</v>
      </c>
      <c r="H1832" s="1">
        <f t="shared" si="168"/>
        <v>3.472605885417222E-97</v>
      </c>
      <c r="I1832">
        <f>IF($F$11&lt;=D1832, IF(D1832&lt;=$A$15,D1832-$F$11,$C$11),0)</f>
        <v>60</v>
      </c>
      <c r="J1832">
        <f t="shared" si="169"/>
        <v>1745</v>
      </c>
      <c r="K1832" s="5">
        <f>IF(D1832&lt;$F$11,H1832,0)</f>
        <v>0</v>
      </c>
      <c r="L1832">
        <f>IF(D1832&lt;$A$15,$D$11,$D$11*(1-$H$11))</f>
        <v>85</v>
      </c>
      <c r="M1832">
        <f t="shared" si="170"/>
        <v>1</v>
      </c>
      <c r="N1832">
        <f>IF(SUM(I1832:J1832)&lt;=($G$11/60*$F$11/($E$11/60)),1,0)</f>
        <v>0</v>
      </c>
    </row>
    <row r="1833" spans="4:14" x14ac:dyDescent="0.2">
      <c r="D1833">
        <f t="shared" si="172"/>
        <v>1810</v>
      </c>
      <c r="E1833" s="1">
        <f>IF($H$11=1,IF(D1833&lt;=$A$15, E1832+LN($D$11)-LN(60/$E$11)-LN(MIN(D1833,$F$11)), E1832-LN(60/$E$11)-LN(MIN(D1833,$F$11))), IF(D1833&lt;=$A$15, E1832+LN($D$11)-LN(60/$E$11)-LN(MIN(D1833,$F$11)), E1832+LN($D$11)+LN(1-$H$11)-LN(60/$E$11)-LN(MIN(D1833,$F$11))))</f>
        <v>-217.90432869519091</v>
      </c>
      <c r="F1833" s="1">
        <f t="shared" si="173"/>
        <v>-219.90636150438996</v>
      </c>
      <c r="G1833" s="1">
        <f t="shared" si="171"/>
        <v>3.1324248686726851E-96</v>
      </c>
      <c r="H1833" s="1">
        <f t="shared" si="168"/>
        <v>3.0747031277131176E-97</v>
      </c>
      <c r="I1833">
        <f>IF($F$11&lt;=D1833, IF(D1833&lt;=$A$15,D1833-$F$11,$C$11),0)</f>
        <v>60</v>
      </c>
      <c r="J1833">
        <f t="shared" si="169"/>
        <v>1746</v>
      </c>
      <c r="K1833" s="5">
        <f>IF(D1833&lt;$F$11,H1833,0)</f>
        <v>0</v>
      </c>
      <c r="L1833">
        <f>IF(D1833&lt;$A$15,$D$11,$D$11*(1-$H$11))</f>
        <v>85</v>
      </c>
      <c r="M1833">
        <f t="shared" si="170"/>
        <v>1</v>
      </c>
      <c r="N1833">
        <f>IF(SUM(I1833:J1833)&lt;=($G$11/60*$F$11/($E$11/60)),1,0)</f>
        <v>0</v>
      </c>
    </row>
    <row r="1834" spans="4:14" x14ac:dyDescent="0.2">
      <c r="D1834">
        <f t="shared" si="172"/>
        <v>1811</v>
      </c>
      <c r="E1834" s="1">
        <f>IF($H$11=1,IF(D1834&lt;=$A$15, E1833+LN($D$11)-LN(60/$E$11)-LN(MIN(D1834,$F$11)), E1833-LN(60/$E$11)-LN(MIN(D1834,$F$11))), IF(D1834&lt;=$A$15, E1833+LN($D$11)-LN(60/$E$11)-LN(MIN(D1834,$F$11)), E1833+LN($D$11)+LN(1-$H$11)-LN(60/$E$11)-LN(MIN(D1834,$F$11))))</f>
        <v>-218.02602563016845</v>
      </c>
      <c r="F1834" s="1">
        <f t="shared" si="173"/>
        <v>-220.0280584393675</v>
      </c>
      <c r="G1834" s="1">
        <f t="shared" si="171"/>
        <v>2.7735011858038964E-96</v>
      </c>
      <c r="H1834" s="1">
        <f t="shared" si="168"/>
        <v>2.7223933943292797E-97</v>
      </c>
      <c r="I1834">
        <f>IF($F$11&lt;=D1834, IF(D1834&lt;=$A$15,D1834-$F$11,$C$11),0)</f>
        <v>60</v>
      </c>
      <c r="J1834">
        <f t="shared" si="169"/>
        <v>1747</v>
      </c>
      <c r="K1834" s="5">
        <f>IF(D1834&lt;$F$11,H1834,0)</f>
        <v>0</v>
      </c>
      <c r="L1834">
        <f>IF(D1834&lt;$A$15,$D$11,$D$11*(1-$H$11))</f>
        <v>85</v>
      </c>
      <c r="M1834">
        <f t="shared" si="170"/>
        <v>1</v>
      </c>
      <c r="N1834">
        <f>IF(SUM(I1834:J1834)&lt;=($G$11/60*$F$11/($E$11/60)),1,0)</f>
        <v>0</v>
      </c>
    </row>
    <row r="1835" spans="4:14" x14ac:dyDescent="0.2">
      <c r="D1835">
        <f t="shared" si="172"/>
        <v>1812</v>
      </c>
      <c r="E1835" s="1">
        <f>IF($H$11=1,IF(D1835&lt;=$A$15, E1834+LN($D$11)-LN(60/$E$11)-LN(MIN(D1835,$F$11)), E1834-LN(60/$E$11)-LN(MIN(D1835,$F$11))), IF(D1835&lt;=$A$15, E1834+LN($D$11)-LN(60/$E$11)-LN(MIN(D1835,$F$11)), E1834+LN($D$11)+LN(1-$H$11)-LN(60/$E$11)-LN(MIN(D1835,$F$11))))</f>
        <v>-218.14772256514598</v>
      </c>
      <c r="F1835" s="1">
        <f t="shared" si="173"/>
        <v>-220.14975537434503</v>
      </c>
      <c r="G1835" s="1">
        <f t="shared" si="171"/>
        <v>2.455704174930495E-96</v>
      </c>
      <c r="H1835" s="1">
        <f t="shared" si="168"/>
        <v>2.4104524845623458E-97</v>
      </c>
      <c r="I1835">
        <f>IF($F$11&lt;=D1835, IF(D1835&lt;=$A$15,D1835-$F$11,$C$11),0)</f>
        <v>60</v>
      </c>
      <c r="J1835">
        <f t="shared" si="169"/>
        <v>1748</v>
      </c>
      <c r="K1835" s="5">
        <f>IF(D1835&lt;$F$11,H1835,0)</f>
        <v>0</v>
      </c>
      <c r="L1835">
        <f>IF(D1835&lt;$A$15,$D$11,$D$11*(1-$H$11))</f>
        <v>85</v>
      </c>
      <c r="M1835">
        <f t="shared" si="170"/>
        <v>1</v>
      </c>
      <c r="N1835">
        <f>IF(SUM(I1835:J1835)&lt;=($G$11/60*$F$11/($E$11/60)),1,0)</f>
        <v>0</v>
      </c>
    </row>
    <row r="1836" spans="4:14" x14ac:dyDescent="0.2">
      <c r="D1836">
        <f t="shared" si="172"/>
        <v>1813</v>
      </c>
      <c r="E1836" s="1">
        <f>IF($H$11=1,IF(D1836&lt;=$A$15, E1835+LN($D$11)-LN(60/$E$11)-LN(MIN(D1836,$F$11)), E1835-LN(60/$E$11)-LN(MIN(D1836,$F$11))), IF(D1836&lt;=$A$15, E1835+LN($D$11)-LN(60/$E$11)-LN(MIN(D1836,$F$11)), E1835+LN($D$11)+LN(1-$H$11)-LN(60/$E$11)-LN(MIN(D1836,$F$11))))</f>
        <v>-218.26941950012352</v>
      </c>
      <c r="F1836" s="1">
        <f t="shared" si="173"/>
        <v>-220.27145230932257</v>
      </c>
      <c r="G1836" s="1">
        <f t="shared" si="171"/>
        <v>2.1743214048863416E-96</v>
      </c>
      <c r="H1836" s="1">
        <f t="shared" si="168"/>
        <v>2.1342548040395434E-97</v>
      </c>
      <c r="I1836">
        <f>IF($F$11&lt;=D1836, IF(D1836&lt;=$A$15,D1836-$F$11,$C$11),0)</f>
        <v>60</v>
      </c>
      <c r="J1836">
        <f t="shared" si="169"/>
        <v>1749</v>
      </c>
      <c r="K1836" s="5">
        <f>IF(D1836&lt;$F$11,H1836,0)</f>
        <v>0</v>
      </c>
      <c r="L1836">
        <f>IF(D1836&lt;$A$15,$D$11,$D$11*(1-$H$11))</f>
        <v>85</v>
      </c>
      <c r="M1836">
        <f t="shared" si="170"/>
        <v>1</v>
      </c>
      <c r="N1836">
        <f>IF(SUM(I1836:J1836)&lt;=($G$11/60*$F$11/($E$11/60)),1,0)</f>
        <v>0</v>
      </c>
    </row>
    <row r="1837" spans="4:14" x14ac:dyDescent="0.2">
      <c r="D1837">
        <f t="shared" si="172"/>
        <v>1814</v>
      </c>
      <c r="E1837" s="1">
        <f>IF($H$11=1,IF(D1837&lt;=$A$15, E1836+LN($D$11)-LN(60/$E$11)-LN(MIN(D1837,$F$11)), E1836-LN(60/$E$11)-LN(MIN(D1837,$F$11))), IF(D1837&lt;=$A$15, E1836+LN($D$11)-LN(60/$E$11)-LN(MIN(D1837,$F$11)), E1836+LN($D$11)+LN(1-$H$11)-LN(60/$E$11)-LN(MIN(D1837,$F$11))))</f>
        <v>-218.39111643510105</v>
      </c>
      <c r="F1837" s="1">
        <f t="shared" si="173"/>
        <v>-220.3931492443001</v>
      </c>
      <c r="G1837" s="1">
        <f t="shared" si="171"/>
        <v>1.9251804105764185E-96</v>
      </c>
      <c r="H1837" s="1">
        <f t="shared" si="168"/>
        <v>1.8897047744099831E-97</v>
      </c>
      <c r="I1837">
        <f>IF($F$11&lt;=D1837, IF(D1837&lt;=$A$15,D1837-$F$11,$C$11),0)</f>
        <v>60</v>
      </c>
      <c r="J1837">
        <f t="shared" si="169"/>
        <v>1750</v>
      </c>
      <c r="K1837" s="5">
        <f>IF(D1837&lt;$F$11,H1837,0)</f>
        <v>0</v>
      </c>
      <c r="L1837">
        <f>IF(D1837&lt;$A$15,$D$11,$D$11*(1-$H$11))</f>
        <v>85</v>
      </c>
      <c r="M1837">
        <f t="shared" si="170"/>
        <v>1</v>
      </c>
      <c r="N1837">
        <f>IF(SUM(I1837:J1837)&lt;=($G$11/60*$F$11/($E$11/60)),1,0)</f>
        <v>0</v>
      </c>
    </row>
    <row r="1838" spans="4:14" x14ac:dyDescent="0.2">
      <c r="D1838">
        <f t="shared" si="172"/>
        <v>1815</v>
      </c>
      <c r="E1838" s="1">
        <f>IF($H$11=1,IF(D1838&lt;=$A$15, E1837+LN($D$11)-LN(60/$E$11)-LN(MIN(D1838,$F$11)), E1837-LN(60/$E$11)-LN(MIN(D1838,$F$11))), IF(D1838&lt;=$A$15, E1837+LN($D$11)-LN(60/$E$11)-LN(MIN(D1838,$F$11)), E1837+LN($D$11)+LN(1-$H$11)-LN(60/$E$11)-LN(MIN(D1838,$F$11))))</f>
        <v>-218.51281337007859</v>
      </c>
      <c r="F1838" s="1">
        <f t="shared" si="173"/>
        <v>-220.51484617927764</v>
      </c>
      <c r="G1838" s="1">
        <f t="shared" si="171"/>
        <v>1.7045868218645103E-96</v>
      </c>
      <c r="H1838" s="1">
        <f t="shared" si="168"/>
        <v>1.6731761023421461E-97</v>
      </c>
      <c r="I1838">
        <f>IF($F$11&lt;=D1838, IF(D1838&lt;=$A$15,D1838-$F$11,$C$11),0)</f>
        <v>60</v>
      </c>
      <c r="J1838">
        <f t="shared" si="169"/>
        <v>1751</v>
      </c>
      <c r="K1838" s="5">
        <f>IF(D1838&lt;$F$11,H1838,0)</f>
        <v>0</v>
      </c>
      <c r="L1838">
        <f>IF(D1838&lt;$A$15,$D$11,$D$11*(1-$H$11))</f>
        <v>85</v>
      </c>
      <c r="M1838">
        <f t="shared" si="170"/>
        <v>1</v>
      </c>
      <c r="N1838">
        <f>IF(SUM(I1838:J1838)&lt;=($G$11/60*$F$11/($E$11/60)),1,0)</f>
        <v>0</v>
      </c>
    </row>
    <row r="1839" spans="4:14" x14ac:dyDescent="0.2">
      <c r="D1839">
        <f t="shared" si="172"/>
        <v>1816</v>
      </c>
      <c r="E1839" s="1">
        <f>IF($H$11=1,IF(D1839&lt;=$A$15, E1838+LN($D$11)-LN(60/$E$11)-LN(MIN(D1839,$F$11)), E1838-LN(60/$E$11)-LN(MIN(D1839,$F$11))), IF(D1839&lt;=$A$15, E1838+LN($D$11)-LN(60/$E$11)-LN(MIN(D1839,$F$11)), E1838+LN($D$11)+LN(1-$H$11)-LN(60/$E$11)-LN(MIN(D1839,$F$11))))</f>
        <v>-218.63451030505612</v>
      </c>
      <c r="F1839" s="1">
        <f t="shared" si="173"/>
        <v>-220.63654311425518</v>
      </c>
      <c r="G1839" s="1">
        <f t="shared" si="171"/>
        <v>1.5092695818591784E-96</v>
      </c>
      <c r="H1839" s="1">
        <f t="shared" si="168"/>
        <v>1.4814580072820855E-97</v>
      </c>
      <c r="I1839">
        <f>IF($F$11&lt;=D1839, IF(D1839&lt;=$A$15,D1839-$F$11,$C$11),0)</f>
        <v>60</v>
      </c>
      <c r="J1839">
        <f t="shared" si="169"/>
        <v>1752</v>
      </c>
      <c r="K1839" s="5">
        <f>IF(D1839&lt;$F$11,H1839,0)</f>
        <v>0</v>
      </c>
      <c r="L1839">
        <f>IF(D1839&lt;$A$15,$D$11,$D$11*(1-$H$11))</f>
        <v>85</v>
      </c>
      <c r="M1839">
        <f t="shared" si="170"/>
        <v>1</v>
      </c>
      <c r="N1839">
        <f>IF(SUM(I1839:J1839)&lt;=($G$11/60*$F$11/($E$11/60)),1,0)</f>
        <v>0</v>
      </c>
    </row>
    <row r="1840" spans="4:14" x14ac:dyDescent="0.2">
      <c r="D1840">
        <f t="shared" si="172"/>
        <v>1817</v>
      </c>
      <c r="E1840" s="1">
        <f>IF($H$11=1,IF(D1840&lt;=$A$15, E1839+LN($D$11)-LN(60/$E$11)-LN(MIN(D1840,$F$11)), E1839-LN(60/$E$11)-LN(MIN(D1840,$F$11))), IF(D1840&lt;=$A$15, E1839+LN($D$11)-LN(60/$E$11)-LN(MIN(D1840,$F$11)), E1839+LN($D$11)+LN(1-$H$11)-LN(60/$E$11)-LN(MIN(D1840,$F$11))))</f>
        <v>-218.75620724003366</v>
      </c>
      <c r="F1840" s="1">
        <f t="shared" si="173"/>
        <v>-220.75824004923271</v>
      </c>
      <c r="G1840" s="1">
        <f t="shared" si="171"/>
        <v>1.3363324422711266E-96</v>
      </c>
      <c r="H1840" s="1">
        <f t="shared" si="168"/>
        <v>1.311707610614326E-97</v>
      </c>
      <c r="I1840">
        <f>IF($F$11&lt;=D1840, IF(D1840&lt;=$A$15,D1840-$F$11,$C$11),0)</f>
        <v>60</v>
      </c>
      <c r="J1840">
        <f t="shared" si="169"/>
        <v>1753</v>
      </c>
      <c r="K1840" s="5">
        <f>IF(D1840&lt;$F$11,H1840,0)</f>
        <v>0</v>
      </c>
      <c r="L1840">
        <f>IF(D1840&lt;$A$15,$D$11,$D$11*(1-$H$11))</f>
        <v>85</v>
      </c>
      <c r="M1840">
        <f t="shared" si="170"/>
        <v>1</v>
      </c>
      <c r="N1840">
        <f>IF(SUM(I1840:J1840)&lt;=($G$11/60*$F$11/($E$11/60)),1,0)</f>
        <v>0</v>
      </c>
    </row>
    <row r="1841" spans="4:14" x14ac:dyDescent="0.2">
      <c r="D1841">
        <f t="shared" si="172"/>
        <v>1818</v>
      </c>
      <c r="E1841" s="1">
        <f>IF($H$11=1,IF(D1841&lt;=$A$15, E1840+LN($D$11)-LN(60/$E$11)-LN(MIN(D1841,$F$11)), E1840-LN(60/$E$11)-LN(MIN(D1841,$F$11))), IF(D1841&lt;=$A$15, E1840+LN($D$11)-LN(60/$E$11)-LN(MIN(D1841,$F$11)), E1840+LN($D$11)+LN(1-$H$11)-LN(60/$E$11)-LN(MIN(D1841,$F$11))))</f>
        <v>-218.8779041750112</v>
      </c>
      <c r="F1841" s="1">
        <f t="shared" si="173"/>
        <v>-220.87993698421025</v>
      </c>
      <c r="G1841" s="1">
        <f t="shared" si="171"/>
        <v>1.1832110165942081E-96</v>
      </c>
      <c r="H1841" s="1">
        <f t="shared" si="168"/>
        <v>1.1614077802314163E-97</v>
      </c>
      <c r="I1841">
        <f>IF($F$11&lt;=D1841, IF(D1841&lt;=$A$15,D1841-$F$11,$C$11),0)</f>
        <v>60</v>
      </c>
      <c r="J1841">
        <f t="shared" si="169"/>
        <v>1754</v>
      </c>
      <c r="K1841" s="5">
        <f>IF(D1841&lt;$F$11,H1841,0)</f>
        <v>0</v>
      </c>
      <c r="L1841">
        <f>IF(D1841&lt;$A$15,$D$11,$D$11*(1-$H$11))</f>
        <v>85</v>
      </c>
      <c r="M1841">
        <f t="shared" si="170"/>
        <v>1</v>
      </c>
      <c r="N1841">
        <f>IF(SUM(I1841:J1841)&lt;=($G$11/60*$F$11/($E$11/60)),1,0)</f>
        <v>0</v>
      </c>
    </row>
    <row r="1842" spans="4:14" x14ac:dyDescent="0.2">
      <c r="D1842">
        <f t="shared" si="172"/>
        <v>1819</v>
      </c>
      <c r="E1842" s="1">
        <f>IF($H$11=1,IF(D1842&lt;=$A$15, E1841+LN($D$11)-LN(60/$E$11)-LN(MIN(D1842,$F$11)), E1841-LN(60/$E$11)-LN(MIN(D1842,$F$11))), IF(D1842&lt;=$A$15, E1841+LN($D$11)-LN(60/$E$11)-LN(MIN(D1842,$F$11)), E1841+LN($D$11)+LN(1-$H$11)-LN(60/$E$11)-LN(MIN(D1842,$F$11))))</f>
        <v>-218.99960110998873</v>
      </c>
      <c r="F1842" s="1">
        <f t="shared" si="173"/>
        <v>-221.00163391918778</v>
      </c>
      <c r="G1842" s="1">
        <f t="shared" si="171"/>
        <v>1.0476347542761055E-96</v>
      </c>
      <c r="H1842" s="1">
        <f t="shared" si="168"/>
        <v>1.0283298054132172E-97</v>
      </c>
      <c r="I1842">
        <f>IF($F$11&lt;=D1842, IF(D1842&lt;=$A$15,D1842-$F$11,$C$11),0)</f>
        <v>60</v>
      </c>
      <c r="J1842">
        <f t="shared" si="169"/>
        <v>1755</v>
      </c>
      <c r="K1842" s="5">
        <f>IF(D1842&lt;$F$11,H1842,0)</f>
        <v>0</v>
      </c>
      <c r="L1842">
        <f>IF(D1842&lt;$A$15,$D$11,$D$11*(1-$H$11))</f>
        <v>85</v>
      </c>
      <c r="M1842">
        <f t="shared" si="170"/>
        <v>1</v>
      </c>
      <c r="N1842">
        <f>IF(SUM(I1842:J1842)&lt;=($G$11/60*$F$11/($E$11/60)),1,0)</f>
        <v>0</v>
      </c>
    </row>
    <row r="1843" spans="4:14" x14ac:dyDescent="0.2">
      <c r="D1843">
        <f t="shared" si="172"/>
        <v>1820</v>
      </c>
      <c r="E1843" s="1">
        <f>IF($H$11=1,IF(D1843&lt;=$A$15, E1842+LN($D$11)-LN(60/$E$11)-LN(MIN(D1843,$F$11)), E1842-LN(60/$E$11)-LN(MIN(D1843,$F$11))), IF(D1843&lt;=$A$15, E1842+LN($D$11)-LN(60/$E$11)-LN(MIN(D1843,$F$11)), E1842+LN($D$11)+LN(1-$H$11)-LN(60/$E$11)-LN(MIN(D1843,$F$11))))</f>
        <v>-219.12129804496627</v>
      </c>
      <c r="F1843" s="1">
        <f t="shared" si="173"/>
        <v>-221.12333085416532</v>
      </c>
      <c r="G1843" s="1">
        <f t="shared" si="171"/>
        <v>9.2759327201528715E-97</v>
      </c>
      <c r="H1843" s="1">
        <f t="shared" si="168"/>
        <v>9.1050034854293844E-98</v>
      </c>
      <c r="I1843">
        <f>IF($F$11&lt;=D1843, IF(D1843&lt;=$A$15,D1843-$F$11,$C$11),0)</f>
        <v>60</v>
      </c>
      <c r="J1843">
        <f t="shared" si="169"/>
        <v>1756</v>
      </c>
      <c r="K1843" s="5">
        <f>IF(D1843&lt;$F$11,H1843,0)</f>
        <v>0</v>
      </c>
      <c r="L1843">
        <f>IF(D1843&lt;$A$15,$D$11,$D$11*(1-$H$11))</f>
        <v>85</v>
      </c>
      <c r="M1843">
        <f t="shared" si="170"/>
        <v>1</v>
      </c>
      <c r="N1843">
        <f>IF(SUM(I1843:J1843)&lt;=($G$11/60*$F$11/($E$11/60)),1,0)</f>
        <v>0</v>
      </c>
    </row>
    <row r="1844" spans="4:14" x14ac:dyDescent="0.2">
      <c r="D1844">
        <f t="shared" si="172"/>
        <v>1821</v>
      </c>
      <c r="E1844" s="1">
        <f>IF($H$11=1,IF(D1844&lt;=$A$15, E1843+LN($D$11)-LN(60/$E$11)-LN(MIN(D1844,$F$11)), E1843-LN(60/$E$11)-LN(MIN(D1844,$F$11))), IF(D1844&lt;=$A$15, E1843+LN($D$11)-LN(60/$E$11)-LN(MIN(D1844,$F$11)), E1843+LN($D$11)+LN(1-$H$11)-LN(60/$E$11)-LN(MIN(D1844,$F$11))))</f>
        <v>-219.2429949799438</v>
      </c>
      <c r="F1844" s="1">
        <f t="shared" si="173"/>
        <v>-221.24502778914285</v>
      </c>
      <c r="G1844" s="1">
        <f t="shared" si="171"/>
        <v>8.2130654293018931E-97</v>
      </c>
      <c r="H1844" s="1">
        <f t="shared" si="168"/>
        <v>8.0617218360571407E-98</v>
      </c>
      <c r="I1844">
        <f>IF($F$11&lt;=D1844, IF(D1844&lt;=$A$15,D1844-$F$11,$C$11),0)</f>
        <v>60</v>
      </c>
      <c r="J1844">
        <f t="shared" si="169"/>
        <v>1757</v>
      </c>
      <c r="K1844" s="5">
        <f>IF(D1844&lt;$F$11,H1844,0)</f>
        <v>0</v>
      </c>
      <c r="L1844">
        <f>IF(D1844&lt;$A$15,$D$11,$D$11*(1-$H$11))</f>
        <v>85</v>
      </c>
      <c r="M1844">
        <f t="shared" si="170"/>
        <v>1</v>
      </c>
      <c r="N1844">
        <f>IF(SUM(I1844:J1844)&lt;=($G$11/60*$F$11/($E$11/60)),1,0)</f>
        <v>0</v>
      </c>
    </row>
    <row r="1845" spans="4:14" x14ac:dyDescent="0.2">
      <c r="D1845">
        <f t="shared" si="172"/>
        <v>1822</v>
      </c>
      <c r="E1845" s="1">
        <f>IF($H$11=1,IF(D1845&lt;=$A$15, E1844+LN($D$11)-LN(60/$E$11)-LN(MIN(D1845,$F$11)), E1844-LN(60/$E$11)-LN(MIN(D1845,$F$11))), IF(D1845&lt;=$A$15, E1844+LN($D$11)-LN(60/$E$11)-LN(MIN(D1845,$F$11)), E1844+LN($D$11)+LN(1-$H$11)-LN(60/$E$11)-LN(MIN(D1845,$F$11))))</f>
        <v>-219.36469191492134</v>
      </c>
      <c r="F1845" s="1">
        <f t="shared" si="173"/>
        <v>-221.36672472412039</v>
      </c>
      <c r="G1845" s="1">
        <f t="shared" si="171"/>
        <v>7.2719850155276047E-97</v>
      </c>
      <c r="H1845" s="1">
        <f t="shared" si="168"/>
        <v>7.1379828756754832E-98</v>
      </c>
      <c r="I1845">
        <f>IF($F$11&lt;=D1845, IF(D1845&lt;=$A$15,D1845-$F$11,$C$11),0)</f>
        <v>60</v>
      </c>
      <c r="J1845">
        <f t="shared" si="169"/>
        <v>1758</v>
      </c>
      <c r="K1845" s="5">
        <f>IF(D1845&lt;$F$11,H1845,0)</f>
        <v>0</v>
      </c>
      <c r="L1845">
        <f>IF(D1845&lt;$A$15,$D$11,$D$11*(1-$H$11))</f>
        <v>85</v>
      </c>
      <c r="M1845">
        <f t="shared" si="170"/>
        <v>1</v>
      </c>
      <c r="N1845">
        <f>IF(SUM(I1845:J1845)&lt;=($G$11/60*$F$11/($E$11/60)),1,0)</f>
        <v>0</v>
      </c>
    </row>
    <row r="1846" spans="4:14" x14ac:dyDescent="0.2">
      <c r="D1846">
        <f t="shared" si="172"/>
        <v>1823</v>
      </c>
      <c r="E1846" s="1">
        <f>IF($H$11=1,IF(D1846&lt;=$A$15, E1845+LN($D$11)-LN(60/$E$11)-LN(MIN(D1846,$F$11)), E1845-LN(60/$E$11)-LN(MIN(D1846,$F$11))), IF(D1846&lt;=$A$15, E1845+LN($D$11)-LN(60/$E$11)-LN(MIN(D1846,$F$11)), E1845+LN($D$11)+LN(1-$H$11)-LN(60/$E$11)-LN(MIN(D1846,$F$11))))</f>
        <v>-219.48638884989887</v>
      </c>
      <c r="F1846" s="1">
        <f t="shared" si="173"/>
        <v>-221.48842165909792</v>
      </c>
      <c r="G1846" s="1">
        <f t="shared" si="171"/>
        <v>6.4387367324982991E-97</v>
      </c>
      <c r="H1846" s="1">
        <f t="shared" si="168"/>
        <v>6.3200890045042348E-98</v>
      </c>
      <c r="I1846">
        <f>IF($F$11&lt;=D1846, IF(D1846&lt;=$A$15,D1846-$F$11,$C$11),0)</f>
        <v>60</v>
      </c>
      <c r="J1846">
        <f t="shared" si="169"/>
        <v>1759</v>
      </c>
      <c r="K1846" s="5">
        <f>IF(D1846&lt;$F$11,H1846,0)</f>
        <v>0</v>
      </c>
      <c r="L1846">
        <f>IF(D1846&lt;$A$15,$D$11,$D$11*(1-$H$11))</f>
        <v>85</v>
      </c>
      <c r="M1846">
        <f t="shared" si="170"/>
        <v>1</v>
      </c>
      <c r="N1846">
        <f>IF(SUM(I1846:J1846)&lt;=($G$11/60*$F$11/($E$11/60)),1,0)</f>
        <v>0</v>
      </c>
    </row>
    <row r="1847" spans="4:14" x14ac:dyDescent="0.2">
      <c r="D1847">
        <f t="shared" si="172"/>
        <v>1824</v>
      </c>
      <c r="E1847" s="1">
        <f>IF($H$11=1,IF(D1847&lt;=$A$15, E1846+LN($D$11)-LN(60/$E$11)-LN(MIN(D1847,$F$11)), E1846-LN(60/$E$11)-LN(MIN(D1847,$F$11))), IF(D1847&lt;=$A$15, E1846+LN($D$11)-LN(60/$E$11)-LN(MIN(D1847,$F$11)), E1846+LN($D$11)+LN(1-$H$11)-LN(60/$E$11)-LN(MIN(D1847,$F$11))))</f>
        <v>-219.60808578487641</v>
      </c>
      <c r="F1847" s="1">
        <f t="shared" si="173"/>
        <v>-221.61011859407546</v>
      </c>
      <c r="G1847" s="1">
        <f t="shared" si="171"/>
        <v>5.7009648152327795E-97</v>
      </c>
      <c r="H1847" s="1">
        <f t="shared" si="168"/>
        <v>5.595912139404703E-98</v>
      </c>
      <c r="I1847">
        <f>IF($F$11&lt;=D1847, IF(D1847&lt;=$A$15,D1847-$F$11,$C$11),0)</f>
        <v>60</v>
      </c>
      <c r="J1847">
        <f t="shared" si="169"/>
        <v>1760</v>
      </c>
      <c r="K1847" s="5">
        <f>IF(D1847&lt;$F$11,H1847,0)</f>
        <v>0</v>
      </c>
      <c r="L1847">
        <f>IF(D1847&lt;$A$15,$D$11,$D$11*(1-$H$11))</f>
        <v>85</v>
      </c>
      <c r="M1847">
        <f t="shared" si="170"/>
        <v>1</v>
      </c>
      <c r="N1847">
        <f>IF(SUM(I1847:J1847)&lt;=($G$11/60*$F$11/($E$11/60)),1,0)</f>
        <v>0</v>
      </c>
    </row>
    <row r="1848" spans="4:14" x14ac:dyDescent="0.2">
      <c r="D1848">
        <f t="shared" si="172"/>
        <v>1825</v>
      </c>
      <c r="E1848" s="1">
        <f>IF($H$11=1,IF(D1848&lt;=$A$15, E1847+LN($D$11)-LN(60/$E$11)-LN(MIN(D1848,$F$11)), E1847-LN(60/$E$11)-LN(MIN(D1848,$F$11))), IF(D1848&lt;=$A$15, E1847+LN($D$11)-LN(60/$E$11)-LN(MIN(D1848,$F$11)), E1847+LN($D$11)+LN(1-$H$11)-LN(60/$E$11)-LN(MIN(D1848,$F$11))))</f>
        <v>-219.72978271985394</v>
      </c>
      <c r="F1848" s="1">
        <f t="shared" si="173"/>
        <v>-221.73181552905299</v>
      </c>
      <c r="G1848" s="1">
        <f t="shared" si="171"/>
        <v>5.0477292634872784E-97</v>
      </c>
      <c r="H1848" s="1">
        <f t="shared" si="168"/>
        <v>4.9547138734311707E-98</v>
      </c>
      <c r="I1848">
        <f>IF($F$11&lt;=D1848, IF(D1848&lt;=$A$15,D1848-$F$11,$C$11),0)</f>
        <v>60</v>
      </c>
      <c r="J1848">
        <f t="shared" si="169"/>
        <v>1761</v>
      </c>
      <c r="K1848" s="5">
        <f>IF(D1848&lt;$F$11,H1848,0)</f>
        <v>0</v>
      </c>
      <c r="L1848">
        <f>IF(D1848&lt;$A$15,$D$11,$D$11*(1-$H$11))</f>
        <v>85</v>
      </c>
      <c r="M1848">
        <f t="shared" si="170"/>
        <v>1</v>
      </c>
      <c r="N1848">
        <f>IF(SUM(I1848:J1848)&lt;=($G$11/60*$F$11/($E$11/60)),1,0)</f>
        <v>0</v>
      </c>
    </row>
    <row r="1849" spans="4:14" x14ac:dyDescent="0.2">
      <c r="D1849">
        <f t="shared" si="172"/>
        <v>1826</v>
      </c>
      <c r="E1849" s="1">
        <f>IF($H$11=1,IF(D1849&lt;=$A$15, E1848+LN($D$11)-LN(60/$E$11)-LN(MIN(D1849,$F$11)), E1848-LN(60/$E$11)-LN(MIN(D1849,$F$11))), IF(D1849&lt;=$A$15, E1848+LN($D$11)-LN(60/$E$11)-LN(MIN(D1849,$F$11)), E1848+LN($D$11)+LN(1-$H$11)-LN(60/$E$11)-LN(MIN(D1849,$F$11))))</f>
        <v>-219.85147965483148</v>
      </c>
      <c r="F1849" s="1">
        <f t="shared" si="173"/>
        <v>-221.85351246403053</v>
      </c>
      <c r="G1849" s="1">
        <f t="shared" si="171"/>
        <v>4.4693436187126241E-97</v>
      </c>
      <c r="H1849" s="1">
        <f t="shared" si="168"/>
        <v>4.3869862421004465E-98</v>
      </c>
      <c r="I1849">
        <f>IF($F$11&lt;=D1849, IF(D1849&lt;=$A$15,D1849-$F$11,$C$11),0)</f>
        <v>60</v>
      </c>
      <c r="J1849">
        <f t="shared" si="169"/>
        <v>1762</v>
      </c>
      <c r="K1849" s="5">
        <f>IF(D1849&lt;$F$11,H1849,0)</f>
        <v>0</v>
      </c>
      <c r="L1849">
        <f>IF(D1849&lt;$A$15,$D$11,$D$11*(1-$H$11))</f>
        <v>85</v>
      </c>
      <c r="M1849">
        <f t="shared" si="170"/>
        <v>1</v>
      </c>
      <c r="N1849">
        <f>IF(SUM(I1849:J1849)&lt;=($G$11/60*$F$11/($E$11/60)),1,0)</f>
        <v>0</v>
      </c>
    </row>
    <row r="1850" spans="4:14" x14ac:dyDescent="0.2">
      <c r="D1850">
        <f t="shared" si="172"/>
        <v>1827</v>
      </c>
      <c r="E1850" s="1">
        <f>IF($H$11=1,IF(D1850&lt;=$A$15, E1849+LN($D$11)-LN(60/$E$11)-LN(MIN(D1850,$F$11)), E1849-LN(60/$E$11)-LN(MIN(D1850,$F$11))), IF(D1850&lt;=$A$15, E1849+LN($D$11)-LN(60/$E$11)-LN(MIN(D1850,$F$11)), E1849+LN($D$11)+LN(1-$H$11)-LN(60/$E$11)-LN(MIN(D1850,$F$11))))</f>
        <v>-219.97317658980901</v>
      </c>
      <c r="F1850" s="1">
        <f t="shared" si="173"/>
        <v>-221.97520939900807</v>
      </c>
      <c r="G1850" s="1">
        <f t="shared" si="171"/>
        <v>3.9572313290684075E-97</v>
      </c>
      <c r="H1850" s="1">
        <f t="shared" si="168"/>
        <v>3.884310735193043E-98</v>
      </c>
      <c r="I1850">
        <f>IF($F$11&lt;=D1850, IF(D1850&lt;=$A$15,D1850-$F$11,$C$11),0)</f>
        <v>60</v>
      </c>
      <c r="J1850">
        <f t="shared" si="169"/>
        <v>1763</v>
      </c>
      <c r="K1850" s="5">
        <f>IF(D1850&lt;$F$11,H1850,0)</f>
        <v>0</v>
      </c>
      <c r="L1850">
        <f>IF(D1850&lt;$A$15,$D$11,$D$11*(1-$H$11))</f>
        <v>85</v>
      </c>
      <c r="M1850">
        <f t="shared" si="170"/>
        <v>1</v>
      </c>
      <c r="N1850">
        <f>IF(SUM(I1850:J1850)&lt;=($G$11/60*$F$11/($E$11/60)),1,0)</f>
        <v>0</v>
      </c>
    </row>
    <row r="1851" spans="4:14" x14ac:dyDescent="0.2">
      <c r="D1851">
        <f t="shared" si="172"/>
        <v>1828</v>
      </c>
      <c r="E1851" s="1">
        <f>IF($H$11=1,IF(D1851&lt;=$A$15, E1850+LN($D$11)-LN(60/$E$11)-LN(MIN(D1851,$F$11)), E1850-LN(60/$E$11)-LN(MIN(D1851,$F$11))), IF(D1851&lt;=$A$15, E1850+LN($D$11)-LN(60/$E$11)-LN(MIN(D1851,$F$11)), E1850+LN($D$11)+LN(1-$H$11)-LN(60/$E$11)-LN(MIN(D1851,$F$11))))</f>
        <v>-220.09487352478655</v>
      </c>
      <c r="F1851" s="1">
        <f t="shared" si="173"/>
        <v>-222.0969063339856</v>
      </c>
      <c r="G1851" s="1">
        <f t="shared" si="171"/>
        <v>3.5037985726125976E-97</v>
      </c>
      <c r="H1851" s="1">
        <f t="shared" si="168"/>
        <v>3.4392334634521199E-98</v>
      </c>
      <c r="I1851">
        <f>IF($F$11&lt;=D1851, IF(D1851&lt;=$A$15,D1851-$F$11,$C$11),0)</f>
        <v>60</v>
      </c>
      <c r="J1851">
        <f t="shared" si="169"/>
        <v>1764</v>
      </c>
      <c r="K1851" s="5">
        <f>IF(D1851&lt;$F$11,H1851,0)</f>
        <v>0</v>
      </c>
      <c r="L1851">
        <f>IF(D1851&lt;$A$15,$D$11,$D$11*(1-$H$11))</f>
        <v>85</v>
      </c>
      <c r="M1851">
        <f t="shared" si="170"/>
        <v>1</v>
      </c>
      <c r="N1851">
        <f>IF(SUM(I1851:J1851)&lt;=($G$11/60*$F$11/($E$11/60)),1,0)</f>
        <v>0</v>
      </c>
    </row>
    <row r="1852" spans="4:14" x14ac:dyDescent="0.2">
      <c r="D1852">
        <f t="shared" si="172"/>
        <v>1829</v>
      </c>
      <c r="E1852" s="1">
        <f>IF($H$11=1,IF(D1852&lt;=$A$15, E1851+LN($D$11)-LN(60/$E$11)-LN(MIN(D1852,$F$11)), E1851-LN(60/$E$11)-LN(MIN(D1852,$F$11))), IF(D1852&lt;=$A$15, E1851+LN($D$11)-LN(60/$E$11)-LN(MIN(D1852,$F$11)), E1851+LN($D$11)+LN(1-$H$11)-LN(60/$E$11)-LN(MIN(D1852,$F$11))))</f>
        <v>-220.21657045976409</v>
      </c>
      <c r="F1852" s="1">
        <f t="shared" si="173"/>
        <v>-222.21860326896314</v>
      </c>
      <c r="G1852" s="1">
        <f t="shared" si="171"/>
        <v>3.1023216528340223E-97</v>
      </c>
      <c r="H1852" s="1">
        <f t="shared" si="168"/>
        <v>3.0451546290981832E-98</v>
      </c>
      <c r="I1852">
        <f>IF($F$11&lt;=D1852, IF(D1852&lt;=$A$15,D1852-$F$11,$C$11),0)</f>
        <v>60</v>
      </c>
      <c r="J1852">
        <f t="shared" si="169"/>
        <v>1765</v>
      </c>
      <c r="K1852" s="5">
        <f>IF(D1852&lt;$F$11,H1852,0)</f>
        <v>0</v>
      </c>
      <c r="L1852">
        <f>IF(D1852&lt;$A$15,$D$11,$D$11*(1-$H$11))</f>
        <v>85</v>
      </c>
      <c r="M1852">
        <f t="shared" si="170"/>
        <v>1</v>
      </c>
      <c r="N1852">
        <f>IF(SUM(I1852:J1852)&lt;=($G$11/60*$F$11/($E$11/60)),1,0)</f>
        <v>0</v>
      </c>
    </row>
    <row r="1853" spans="4:14" x14ac:dyDescent="0.2">
      <c r="D1853">
        <f t="shared" si="172"/>
        <v>1830</v>
      </c>
      <c r="E1853" s="1">
        <f>IF($H$11=1,IF(D1853&lt;=$A$15, E1852+LN($D$11)-LN(60/$E$11)-LN(MIN(D1853,$F$11)), E1852-LN(60/$E$11)-LN(MIN(D1853,$F$11))), IF(D1853&lt;=$A$15, E1852+LN($D$11)-LN(60/$E$11)-LN(MIN(D1853,$F$11)), E1852+LN($D$11)+LN(1-$H$11)-LN(60/$E$11)-LN(MIN(D1853,$F$11))))</f>
        <v>-220.33826739474162</v>
      </c>
      <c r="F1853" s="1">
        <f t="shared" si="173"/>
        <v>-222.34030020394067</v>
      </c>
      <c r="G1853" s="1">
        <f t="shared" si="171"/>
        <v>2.7468472967800811E-97</v>
      </c>
      <c r="H1853" s="1">
        <f t="shared" si="168"/>
        <v>2.6962306611806411E-98</v>
      </c>
      <c r="I1853">
        <f>IF($F$11&lt;=D1853, IF(D1853&lt;=$A$15,D1853-$F$11,$C$11),0)</f>
        <v>60</v>
      </c>
      <c r="J1853">
        <f t="shared" si="169"/>
        <v>1766</v>
      </c>
      <c r="K1853" s="5">
        <f>IF(D1853&lt;$F$11,H1853,0)</f>
        <v>0</v>
      </c>
      <c r="L1853">
        <f>IF(D1853&lt;$A$15,$D$11,$D$11*(1-$H$11))</f>
        <v>85</v>
      </c>
      <c r="M1853">
        <f t="shared" si="170"/>
        <v>1</v>
      </c>
      <c r="N1853">
        <f>IF(SUM(I1853:J1853)&lt;=($G$11/60*$F$11/($E$11/60)),1,0)</f>
        <v>0</v>
      </c>
    </row>
    <row r="1854" spans="4:14" x14ac:dyDescent="0.2">
      <c r="D1854">
        <f t="shared" si="172"/>
        <v>1831</v>
      </c>
      <c r="E1854" s="1">
        <f>IF($H$11=1,IF(D1854&lt;=$A$15, E1853+LN($D$11)-LN(60/$E$11)-LN(MIN(D1854,$F$11)), E1853-LN(60/$E$11)-LN(MIN(D1854,$F$11))), IF(D1854&lt;=$A$15, E1853+LN($D$11)-LN(60/$E$11)-LN(MIN(D1854,$F$11)), E1853+LN($D$11)+LN(1-$H$11)-LN(60/$E$11)-LN(MIN(D1854,$F$11))))</f>
        <v>-220.45996432971916</v>
      </c>
      <c r="F1854" s="1">
        <f t="shared" si="173"/>
        <v>-222.46199713891821</v>
      </c>
      <c r="G1854" s="1">
        <f t="shared" si="171"/>
        <v>2.4321043773573255E-97</v>
      </c>
      <c r="H1854" s="1">
        <f t="shared" si="168"/>
        <v>2.387287564586989E-98</v>
      </c>
      <c r="I1854">
        <f>IF($F$11&lt;=D1854, IF(D1854&lt;=$A$15,D1854-$F$11,$C$11),0)</f>
        <v>60</v>
      </c>
      <c r="J1854">
        <f t="shared" si="169"/>
        <v>1767</v>
      </c>
      <c r="K1854" s="5">
        <f>IF(D1854&lt;$F$11,H1854,0)</f>
        <v>0</v>
      </c>
      <c r="L1854">
        <f>IF(D1854&lt;$A$15,$D$11,$D$11*(1-$H$11))</f>
        <v>85</v>
      </c>
      <c r="M1854">
        <f t="shared" si="170"/>
        <v>1</v>
      </c>
      <c r="N1854">
        <f>IF(SUM(I1854:J1854)&lt;=($G$11/60*$F$11/($E$11/60)),1,0)</f>
        <v>0</v>
      </c>
    </row>
    <row r="1855" spans="4:14" x14ac:dyDescent="0.2">
      <c r="D1855">
        <f t="shared" si="172"/>
        <v>1832</v>
      </c>
      <c r="E1855" s="1">
        <f>IF($H$11=1,IF(D1855&lt;=$A$15, E1854+LN($D$11)-LN(60/$E$11)-LN(MIN(D1855,$F$11)), E1854-LN(60/$E$11)-LN(MIN(D1855,$F$11))), IF(D1855&lt;=$A$15, E1854+LN($D$11)-LN(60/$E$11)-LN(MIN(D1855,$F$11)), E1854+LN($D$11)+LN(1-$H$11)-LN(60/$E$11)-LN(MIN(D1855,$F$11))))</f>
        <v>-220.58166126469669</v>
      </c>
      <c r="F1855" s="1">
        <f t="shared" si="173"/>
        <v>-222.58369407389574</v>
      </c>
      <c r="G1855" s="1">
        <f t="shared" si="171"/>
        <v>2.1534257507850981E-97</v>
      </c>
      <c r="H1855" s="1">
        <f t="shared" si="168"/>
        <v>2.1137441978113632E-98</v>
      </c>
      <c r="I1855">
        <f>IF($F$11&lt;=D1855, IF(D1855&lt;=$A$15,D1855-$F$11,$C$11),0)</f>
        <v>60</v>
      </c>
      <c r="J1855">
        <f t="shared" si="169"/>
        <v>1768</v>
      </c>
      <c r="K1855" s="5">
        <f>IF(D1855&lt;$F$11,H1855,0)</f>
        <v>0</v>
      </c>
      <c r="L1855">
        <f>IF(D1855&lt;$A$15,$D$11,$D$11*(1-$H$11))</f>
        <v>85</v>
      </c>
      <c r="M1855">
        <f t="shared" si="170"/>
        <v>1</v>
      </c>
      <c r="N1855">
        <f>IF(SUM(I1855:J1855)&lt;=($G$11/60*$F$11/($E$11/60)),1,0)</f>
        <v>0</v>
      </c>
    </row>
    <row r="1856" spans="4:14" x14ac:dyDescent="0.2">
      <c r="D1856">
        <f t="shared" si="172"/>
        <v>1833</v>
      </c>
      <c r="E1856" s="1">
        <f>IF($H$11=1,IF(D1856&lt;=$A$15, E1855+LN($D$11)-LN(60/$E$11)-LN(MIN(D1856,$F$11)), E1855-LN(60/$E$11)-LN(MIN(D1856,$F$11))), IF(D1856&lt;=$A$15, E1855+LN($D$11)-LN(60/$E$11)-LN(MIN(D1856,$F$11)), E1855+LN($D$11)+LN(1-$H$11)-LN(60/$E$11)-LN(MIN(D1856,$F$11))))</f>
        <v>-220.70335819967423</v>
      </c>
      <c r="F1856" s="1">
        <f t="shared" si="173"/>
        <v>-222.70539100887328</v>
      </c>
      <c r="G1856" s="1">
        <f t="shared" si="171"/>
        <v>1.9066790501742757E-97</v>
      </c>
      <c r="H1856" s="1">
        <f t="shared" si="168"/>
        <v>1.871544341812115E-98</v>
      </c>
      <c r="I1856">
        <f>IF($F$11&lt;=D1856, IF(D1856&lt;=$A$15,D1856-$F$11,$C$11),0)</f>
        <v>60</v>
      </c>
      <c r="J1856">
        <f t="shared" si="169"/>
        <v>1769</v>
      </c>
      <c r="K1856" s="5">
        <f>IF(D1856&lt;$F$11,H1856,0)</f>
        <v>0</v>
      </c>
      <c r="L1856">
        <f>IF(D1856&lt;$A$15,$D$11,$D$11*(1-$H$11))</f>
        <v>85</v>
      </c>
      <c r="M1856">
        <f t="shared" si="170"/>
        <v>1</v>
      </c>
      <c r="N1856">
        <f>IF(SUM(I1856:J1856)&lt;=($G$11/60*$F$11/($E$11/60)),1,0)</f>
        <v>0</v>
      </c>
    </row>
    <row r="1857" spans="4:14" x14ac:dyDescent="0.2">
      <c r="D1857">
        <f t="shared" si="172"/>
        <v>1834</v>
      </c>
      <c r="E1857" s="1">
        <f>IF($H$11=1,IF(D1857&lt;=$A$15, E1856+LN($D$11)-LN(60/$E$11)-LN(MIN(D1857,$F$11)), E1856-LN(60/$E$11)-LN(MIN(D1857,$F$11))), IF(D1857&lt;=$A$15, E1856+LN($D$11)-LN(60/$E$11)-LN(MIN(D1857,$F$11)), E1856+LN($D$11)+LN(1-$H$11)-LN(60/$E$11)-LN(MIN(D1857,$F$11))))</f>
        <v>-220.82505513465176</v>
      </c>
      <c r="F1857" s="1">
        <f t="shared" si="173"/>
        <v>-222.82708794385081</v>
      </c>
      <c r="G1857" s="1">
        <f t="shared" si="171"/>
        <v>1.6882054090084469E-97</v>
      </c>
      <c r="H1857" s="1">
        <f t="shared" si="168"/>
        <v>1.6570965526461178E-98</v>
      </c>
      <c r="I1857">
        <f>IF($F$11&lt;=D1857, IF(D1857&lt;=$A$15,D1857-$F$11,$C$11),0)</f>
        <v>60</v>
      </c>
      <c r="J1857">
        <f t="shared" si="169"/>
        <v>1770</v>
      </c>
      <c r="K1857" s="5">
        <f>IF(D1857&lt;$F$11,H1857,0)</f>
        <v>0</v>
      </c>
      <c r="L1857">
        <f>IF(D1857&lt;$A$15,$D$11,$D$11*(1-$H$11))</f>
        <v>85</v>
      </c>
      <c r="M1857">
        <f t="shared" si="170"/>
        <v>1</v>
      </c>
      <c r="N1857">
        <f>IF(SUM(I1857:J1857)&lt;=($G$11/60*$F$11/($E$11/60)),1,0)</f>
        <v>0</v>
      </c>
    </row>
    <row r="1858" spans="4:14" x14ac:dyDescent="0.2">
      <c r="D1858">
        <f t="shared" si="172"/>
        <v>1835</v>
      </c>
      <c r="E1858" s="1">
        <f>IF($H$11=1,IF(D1858&lt;=$A$15, E1857+LN($D$11)-LN(60/$E$11)-LN(MIN(D1858,$F$11)), E1857-LN(60/$E$11)-LN(MIN(D1858,$F$11))), IF(D1858&lt;=$A$15, E1857+LN($D$11)-LN(60/$E$11)-LN(MIN(D1858,$F$11)), E1857+LN($D$11)+LN(1-$H$11)-LN(60/$E$11)-LN(MIN(D1858,$F$11))))</f>
        <v>-220.9467520696293</v>
      </c>
      <c r="F1858" s="1">
        <f t="shared" si="173"/>
        <v>-222.94878487882835</v>
      </c>
      <c r="G1858" s="1">
        <f t="shared" si="171"/>
        <v>1.4947652058928725E-97</v>
      </c>
      <c r="H1858" s="1">
        <f t="shared" si="168"/>
        <v>1.4672209059887271E-98</v>
      </c>
      <c r="I1858">
        <f>IF($F$11&lt;=D1858, IF(D1858&lt;=$A$15,D1858-$F$11,$C$11),0)</f>
        <v>60</v>
      </c>
      <c r="J1858">
        <f t="shared" si="169"/>
        <v>1771</v>
      </c>
      <c r="K1858" s="5">
        <f>IF(D1858&lt;$F$11,H1858,0)</f>
        <v>0</v>
      </c>
      <c r="L1858">
        <f>IF(D1858&lt;$A$15,$D$11,$D$11*(1-$H$11))</f>
        <v>85</v>
      </c>
      <c r="M1858">
        <f t="shared" si="170"/>
        <v>1</v>
      </c>
      <c r="N1858">
        <f>IF(SUM(I1858:J1858)&lt;=($G$11/60*$F$11/($E$11/60)),1,0)</f>
        <v>0</v>
      </c>
    </row>
    <row r="1859" spans="4:14" x14ac:dyDescent="0.2">
      <c r="D1859">
        <f t="shared" si="172"/>
        <v>1836</v>
      </c>
      <c r="E1859" s="1">
        <f>IF($H$11=1,IF(D1859&lt;=$A$15, E1858+LN($D$11)-LN(60/$E$11)-LN(MIN(D1859,$F$11)), E1858-LN(60/$E$11)-LN(MIN(D1859,$F$11))), IF(D1859&lt;=$A$15, E1858+LN($D$11)-LN(60/$E$11)-LN(MIN(D1859,$F$11)), E1858+LN($D$11)+LN(1-$H$11)-LN(60/$E$11)-LN(MIN(D1859,$F$11))))</f>
        <v>-221.06844900460683</v>
      </c>
      <c r="F1859" s="1">
        <f t="shared" si="173"/>
        <v>-223.07048181380588</v>
      </c>
      <c r="G1859" s="1">
        <f t="shared" si="171"/>
        <v>1.32349002605096E-97</v>
      </c>
      <c r="H1859" s="1">
        <f t="shared" si="168"/>
        <v>1.2991018438441652E-98</v>
      </c>
      <c r="I1859">
        <f>IF($F$11&lt;=D1859, IF(D1859&lt;=$A$15,D1859-$F$11,$C$11),0)</f>
        <v>60</v>
      </c>
      <c r="J1859">
        <f t="shared" si="169"/>
        <v>1772</v>
      </c>
      <c r="K1859" s="5">
        <f>IF(D1859&lt;$F$11,H1859,0)</f>
        <v>0</v>
      </c>
      <c r="L1859">
        <f>IF(D1859&lt;$A$15,$D$11,$D$11*(1-$H$11))</f>
        <v>85</v>
      </c>
      <c r="M1859">
        <f t="shared" si="170"/>
        <v>1</v>
      </c>
      <c r="N1859">
        <f>IF(SUM(I1859:J1859)&lt;=($G$11/60*$F$11/($E$11/60)),1,0)</f>
        <v>0</v>
      </c>
    </row>
    <row r="1860" spans="4:14" x14ac:dyDescent="0.2">
      <c r="D1860">
        <f t="shared" si="172"/>
        <v>1837</v>
      </c>
      <c r="E1860" s="1">
        <f>IF($H$11=1,IF(D1860&lt;=$A$15, E1859+LN($D$11)-LN(60/$E$11)-LN(MIN(D1860,$F$11)), E1859-LN(60/$E$11)-LN(MIN(D1860,$F$11))), IF(D1860&lt;=$A$15, E1859+LN($D$11)-LN(60/$E$11)-LN(MIN(D1860,$F$11)), E1859+LN($D$11)+LN(1-$H$11)-LN(60/$E$11)-LN(MIN(D1860,$F$11))))</f>
        <v>-221.19014593958437</v>
      </c>
      <c r="F1860" s="1">
        <f t="shared" si="173"/>
        <v>-223.19217874878342</v>
      </c>
      <c r="G1860" s="1">
        <f t="shared" si="171"/>
        <v>1.1718401272326026E-97</v>
      </c>
      <c r="H1860" s="1">
        <f t="shared" si="168"/>
        <v>1.1502464242370033E-98</v>
      </c>
      <c r="I1860">
        <f>IF($F$11&lt;=D1860, IF(D1860&lt;=$A$15,D1860-$F$11,$C$11),0)</f>
        <v>60</v>
      </c>
      <c r="J1860">
        <f t="shared" si="169"/>
        <v>1773</v>
      </c>
      <c r="K1860" s="5">
        <f>IF(D1860&lt;$F$11,H1860,0)</f>
        <v>0</v>
      </c>
      <c r="L1860">
        <f>IF(D1860&lt;$A$15,$D$11,$D$11*(1-$H$11))</f>
        <v>85</v>
      </c>
      <c r="M1860">
        <f t="shared" si="170"/>
        <v>1</v>
      </c>
      <c r="N1860">
        <f>IF(SUM(I1860:J1860)&lt;=($G$11/60*$F$11/($E$11/60)),1,0)</f>
        <v>0</v>
      </c>
    </row>
    <row r="1861" spans="4:14" x14ac:dyDescent="0.2">
      <c r="D1861">
        <f t="shared" si="172"/>
        <v>1838</v>
      </c>
      <c r="E1861" s="1">
        <f>IF($H$11=1,IF(D1861&lt;=$A$15, E1860+LN($D$11)-LN(60/$E$11)-LN(MIN(D1861,$F$11)), E1860-LN(60/$E$11)-LN(MIN(D1861,$F$11))), IF(D1861&lt;=$A$15, E1860+LN($D$11)-LN(60/$E$11)-LN(MIN(D1861,$F$11)), E1860+LN($D$11)+LN(1-$H$11)-LN(60/$E$11)-LN(MIN(D1861,$F$11))))</f>
        <v>-221.3118428745619</v>
      </c>
      <c r="F1861" s="1">
        <f t="shared" si="173"/>
        <v>-223.31387568376095</v>
      </c>
      <c r="G1861" s="1">
        <f t="shared" si="171"/>
        <v>1.0375667793205173E-97</v>
      </c>
      <c r="H1861" s="1">
        <f t="shared" si="168"/>
        <v>1.0184473547931641E-98</v>
      </c>
      <c r="I1861">
        <f>IF($F$11&lt;=D1861, IF(D1861&lt;=$A$15,D1861-$F$11,$C$11),0)</f>
        <v>60</v>
      </c>
      <c r="J1861">
        <f t="shared" si="169"/>
        <v>1774</v>
      </c>
      <c r="K1861" s="5">
        <f>IF(D1861&lt;$F$11,H1861,0)</f>
        <v>0</v>
      </c>
      <c r="L1861">
        <f>IF(D1861&lt;$A$15,$D$11,$D$11*(1-$H$11))</f>
        <v>85</v>
      </c>
      <c r="M1861">
        <f t="shared" si="170"/>
        <v>1</v>
      </c>
      <c r="N1861">
        <f>IF(SUM(I1861:J1861)&lt;=($G$11/60*$F$11/($E$11/60)),1,0)</f>
        <v>0</v>
      </c>
    </row>
    <row r="1862" spans="4:14" x14ac:dyDescent="0.2">
      <c r="D1862">
        <f t="shared" si="172"/>
        <v>1839</v>
      </c>
      <c r="E1862" s="1">
        <f>IF($H$11=1,IF(D1862&lt;=$A$15, E1861+LN($D$11)-LN(60/$E$11)-LN(MIN(D1862,$F$11)), E1861-LN(60/$E$11)-LN(MIN(D1862,$F$11))), IF(D1862&lt;=$A$15, E1861+LN($D$11)-LN(60/$E$11)-LN(MIN(D1862,$F$11)), E1861+LN($D$11)+LN(1-$H$11)-LN(60/$E$11)-LN(MIN(D1862,$F$11))))</f>
        <v>-221.43353980953944</v>
      </c>
      <c r="F1862" s="1">
        <f t="shared" si="173"/>
        <v>-223.43557261873849</v>
      </c>
      <c r="G1862" s="1">
        <f t="shared" si="171"/>
        <v>9.1867891919002697E-98</v>
      </c>
      <c r="H1862" s="1">
        <f t="shared" si="168"/>
        <v>9.0175026205643312E-99</v>
      </c>
      <c r="I1862">
        <f>IF($F$11&lt;=D1862, IF(D1862&lt;=$A$15,D1862-$F$11,$C$11),0)</f>
        <v>60</v>
      </c>
      <c r="J1862">
        <f t="shared" si="169"/>
        <v>1775</v>
      </c>
      <c r="K1862" s="5">
        <f>IF(D1862&lt;$F$11,H1862,0)</f>
        <v>0</v>
      </c>
      <c r="L1862">
        <f>IF(D1862&lt;$A$15,$D$11,$D$11*(1-$H$11))</f>
        <v>85</v>
      </c>
      <c r="M1862">
        <f t="shared" si="170"/>
        <v>1</v>
      </c>
      <c r="N1862">
        <f>IF(SUM(I1862:J1862)&lt;=($G$11/60*$F$11/($E$11/60)),1,0)</f>
        <v>0</v>
      </c>
    </row>
    <row r="1863" spans="4:14" x14ac:dyDescent="0.2">
      <c r="D1863">
        <f t="shared" si="172"/>
        <v>1840</v>
      </c>
      <c r="E1863" s="1">
        <f>IF($H$11=1,IF(D1863&lt;=$A$15, E1862+LN($D$11)-LN(60/$E$11)-LN(MIN(D1863,$F$11)), E1862-LN(60/$E$11)-LN(MIN(D1863,$F$11))), IF(D1863&lt;=$A$15, E1862+LN($D$11)-LN(60/$E$11)-LN(MIN(D1863,$F$11)), E1862+LN($D$11)+LN(1-$H$11)-LN(60/$E$11)-LN(MIN(D1863,$F$11))))</f>
        <v>-221.55523674451698</v>
      </c>
      <c r="F1863" s="1">
        <f t="shared" si="173"/>
        <v>-223.55726955371603</v>
      </c>
      <c r="G1863" s="1">
        <f t="shared" si="171"/>
        <v>8.1341362636615707E-98</v>
      </c>
      <c r="H1863" s="1">
        <f t="shared" si="168"/>
        <v>7.9842471119578786E-99</v>
      </c>
      <c r="I1863">
        <f>IF($F$11&lt;=D1863, IF(D1863&lt;=$A$15,D1863-$F$11,$C$11),0)</f>
        <v>60</v>
      </c>
      <c r="J1863">
        <f t="shared" si="169"/>
        <v>1776</v>
      </c>
      <c r="K1863" s="5">
        <f>IF(D1863&lt;$F$11,H1863,0)</f>
        <v>0</v>
      </c>
      <c r="L1863">
        <f>IF(D1863&lt;$A$15,$D$11,$D$11*(1-$H$11))</f>
        <v>85</v>
      </c>
      <c r="M1863">
        <f t="shared" si="170"/>
        <v>1</v>
      </c>
      <c r="N1863">
        <f>IF(SUM(I1863:J1863)&lt;=($G$11/60*$F$11/($E$11/60)),1,0)</f>
        <v>0</v>
      </c>
    </row>
    <row r="1864" spans="4:14" x14ac:dyDescent="0.2">
      <c r="D1864">
        <f t="shared" si="172"/>
        <v>1841</v>
      </c>
      <c r="E1864" s="1">
        <f>IF($H$11=1,IF(D1864&lt;=$A$15, E1863+LN($D$11)-LN(60/$E$11)-LN(MIN(D1864,$F$11)), E1863-LN(60/$E$11)-LN(MIN(D1864,$F$11))), IF(D1864&lt;=$A$15, E1863+LN($D$11)-LN(60/$E$11)-LN(MIN(D1864,$F$11)), E1863+LN($D$11)+LN(1-$H$11)-LN(60/$E$11)-LN(MIN(D1864,$F$11))))</f>
        <v>-221.67693367949451</v>
      </c>
      <c r="F1864" s="1">
        <f t="shared" si="173"/>
        <v>-223.67896648869356</v>
      </c>
      <c r="G1864" s="1">
        <f t="shared" si="171"/>
        <v>7.2020998167835698E-98</v>
      </c>
      <c r="H1864" s="1">
        <f t="shared" si="168"/>
        <v>7.0693854637125944E-99</v>
      </c>
      <c r="I1864">
        <f>IF($F$11&lt;=D1864, IF(D1864&lt;=$A$15,D1864-$F$11,$C$11),0)</f>
        <v>60</v>
      </c>
      <c r="J1864">
        <f t="shared" si="169"/>
        <v>1777</v>
      </c>
      <c r="K1864" s="5">
        <f>IF(D1864&lt;$F$11,H1864,0)</f>
        <v>0</v>
      </c>
      <c r="L1864">
        <f>IF(D1864&lt;$A$15,$D$11,$D$11*(1-$H$11))</f>
        <v>85</v>
      </c>
      <c r="M1864">
        <f t="shared" si="170"/>
        <v>1</v>
      </c>
      <c r="N1864">
        <f>IF(SUM(I1864:J1864)&lt;=($G$11/60*$F$11/($E$11/60)),1,0)</f>
        <v>0</v>
      </c>
    </row>
    <row r="1865" spans="4:14" x14ac:dyDescent="0.2">
      <c r="D1865">
        <f t="shared" si="172"/>
        <v>1842</v>
      </c>
      <c r="E1865" s="1">
        <f>IF($H$11=1,IF(D1865&lt;=$A$15, E1864+LN($D$11)-LN(60/$E$11)-LN(MIN(D1865,$F$11)), E1864-LN(60/$E$11)-LN(MIN(D1865,$F$11))), IF(D1865&lt;=$A$15, E1864+LN($D$11)-LN(60/$E$11)-LN(MIN(D1865,$F$11)), E1864+LN($D$11)+LN(1-$H$11)-LN(60/$E$11)-LN(MIN(D1865,$F$11))))</f>
        <v>-221.79863061447205</v>
      </c>
      <c r="F1865" s="1">
        <f t="shared" si="173"/>
        <v>-223.8006634236711</v>
      </c>
      <c r="G1865" s="1">
        <f t="shared" si="171"/>
        <v>6.3768592127770186E-98</v>
      </c>
      <c r="H1865" s="1">
        <f t="shared" si="168"/>
        <v>6.259351712662094E-99</v>
      </c>
      <c r="I1865">
        <f>IF($F$11&lt;=D1865, IF(D1865&lt;=$A$15,D1865-$F$11,$C$11),0)</f>
        <v>60</v>
      </c>
      <c r="J1865">
        <f t="shared" si="169"/>
        <v>1778</v>
      </c>
      <c r="K1865" s="5">
        <f>IF(D1865&lt;$F$11,H1865,0)</f>
        <v>0</v>
      </c>
      <c r="L1865">
        <f>IF(D1865&lt;$A$15,$D$11,$D$11*(1-$H$11))</f>
        <v>85</v>
      </c>
      <c r="M1865">
        <f t="shared" si="170"/>
        <v>1</v>
      </c>
      <c r="N1865">
        <f>IF(SUM(I1865:J1865)&lt;=($G$11/60*$F$11/($E$11/60)),1,0)</f>
        <v>0</v>
      </c>
    </row>
    <row r="1866" spans="4:14" x14ac:dyDescent="0.2">
      <c r="D1866">
        <f t="shared" si="172"/>
        <v>1843</v>
      </c>
      <c r="E1866" s="1">
        <f>IF($H$11=1,IF(D1866&lt;=$A$15, E1865+LN($D$11)-LN(60/$E$11)-LN(MIN(D1866,$F$11)), E1865-LN(60/$E$11)-LN(MIN(D1866,$F$11))), IF(D1866&lt;=$A$15, E1865+LN($D$11)-LN(60/$E$11)-LN(MIN(D1866,$F$11)), E1865+LN($D$11)+LN(1-$H$11)-LN(60/$E$11)-LN(MIN(D1866,$F$11))))</f>
        <v>-221.92032754944958</v>
      </c>
      <c r="F1866" s="1">
        <f t="shared" si="173"/>
        <v>-223.92236035864863</v>
      </c>
      <c r="G1866" s="1">
        <f t="shared" si="171"/>
        <v>5.6461774279795639E-98</v>
      </c>
      <c r="H1866" s="1">
        <f t="shared" si="168"/>
        <v>5.5421343289194758E-99</v>
      </c>
      <c r="I1866">
        <f>IF($F$11&lt;=D1866, IF(D1866&lt;=$A$15,D1866-$F$11,$C$11),0)</f>
        <v>60</v>
      </c>
      <c r="J1866">
        <f t="shared" si="169"/>
        <v>1779</v>
      </c>
      <c r="K1866" s="5">
        <f>IF(D1866&lt;$F$11,H1866,0)</f>
        <v>0</v>
      </c>
      <c r="L1866">
        <f>IF(D1866&lt;$A$15,$D$11,$D$11*(1-$H$11))</f>
        <v>85</v>
      </c>
      <c r="M1866">
        <f t="shared" si="170"/>
        <v>1</v>
      </c>
      <c r="N1866">
        <f>IF(SUM(I1866:J1866)&lt;=($G$11/60*$F$11/($E$11/60)),1,0)</f>
        <v>0</v>
      </c>
    </row>
    <row r="1867" spans="4:14" x14ac:dyDescent="0.2">
      <c r="D1867">
        <f t="shared" si="172"/>
        <v>1844</v>
      </c>
      <c r="E1867" s="1">
        <f>IF($H$11=1,IF(D1867&lt;=$A$15, E1866+LN($D$11)-LN(60/$E$11)-LN(MIN(D1867,$F$11)), E1866-LN(60/$E$11)-LN(MIN(D1867,$F$11))), IF(D1867&lt;=$A$15, E1866+LN($D$11)-LN(60/$E$11)-LN(MIN(D1867,$F$11)), E1866+LN($D$11)+LN(1-$H$11)-LN(60/$E$11)-LN(MIN(D1867,$F$11))))</f>
        <v>-222.04202448442712</v>
      </c>
      <c r="F1867" s="1">
        <f t="shared" si="173"/>
        <v>-224.04405729362617</v>
      </c>
      <c r="G1867" s="1">
        <f t="shared" si="171"/>
        <v>4.9992195976901604E-98</v>
      </c>
      <c r="H1867" s="1">
        <f t="shared" si="168"/>
        <v>4.9070981037307089E-99</v>
      </c>
      <c r="I1867">
        <f>IF($F$11&lt;=D1867, IF(D1867&lt;=$A$15,D1867-$F$11,$C$11),0)</f>
        <v>60</v>
      </c>
      <c r="J1867">
        <f t="shared" si="169"/>
        <v>1780</v>
      </c>
      <c r="K1867" s="5">
        <f>IF(D1867&lt;$F$11,H1867,0)</f>
        <v>0</v>
      </c>
      <c r="L1867">
        <f>IF(D1867&lt;$A$15,$D$11,$D$11*(1-$H$11))</f>
        <v>85</v>
      </c>
      <c r="M1867">
        <f t="shared" si="170"/>
        <v>1</v>
      </c>
      <c r="N1867">
        <f>IF(SUM(I1867:J1867)&lt;=($G$11/60*$F$11/($E$11/60)),1,0)</f>
        <v>0</v>
      </c>
    </row>
    <row r="1868" spans="4:14" x14ac:dyDescent="0.2">
      <c r="D1868">
        <f t="shared" si="172"/>
        <v>1845</v>
      </c>
      <c r="E1868" s="1">
        <f>IF($H$11=1,IF(D1868&lt;=$A$15, E1867+LN($D$11)-LN(60/$E$11)-LN(MIN(D1868,$F$11)), E1867-LN(60/$E$11)-LN(MIN(D1868,$F$11))), IF(D1868&lt;=$A$15, E1867+LN($D$11)-LN(60/$E$11)-LN(MIN(D1868,$F$11)), E1867+LN($D$11)+LN(1-$H$11)-LN(60/$E$11)-LN(MIN(D1868,$F$11))))</f>
        <v>-222.16372141940465</v>
      </c>
      <c r="F1868" s="1">
        <f t="shared" si="173"/>
        <v>-224.1657542286037</v>
      </c>
      <c r="G1868" s="1">
        <f t="shared" si="171"/>
        <v>4.426392352121427E-98</v>
      </c>
      <c r="H1868" s="1">
        <f t="shared" si="168"/>
        <v>4.3448264460114972E-99</v>
      </c>
      <c r="I1868">
        <f>IF($F$11&lt;=D1868, IF(D1868&lt;=$A$15,D1868-$F$11,$C$11),0)</f>
        <v>60</v>
      </c>
      <c r="J1868">
        <f t="shared" si="169"/>
        <v>1781</v>
      </c>
      <c r="K1868" s="5">
        <f>IF(D1868&lt;$F$11,H1868,0)</f>
        <v>0</v>
      </c>
      <c r="L1868">
        <f>IF(D1868&lt;$A$15,$D$11,$D$11*(1-$H$11))</f>
        <v>85</v>
      </c>
      <c r="M1868">
        <f t="shared" si="170"/>
        <v>1</v>
      </c>
      <c r="N1868">
        <f>IF(SUM(I1868:J1868)&lt;=($G$11/60*$F$11/($E$11/60)),1,0)</f>
        <v>0</v>
      </c>
    </row>
    <row r="1869" spans="4:14" x14ac:dyDescent="0.2">
      <c r="D1869">
        <f t="shared" si="172"/>
        <v>1846</v>
      </c>
      <c r="E1869" s="1">
        <f>IF($H$11=1,IF(D1869&lt;=$A$15, E1868+LN($D$11)-LN(60/$E$11)-LN(MIN(D1869,$F$11)), E1868-LN(60/$E$11)-LN(MIN(D1869,$F$11))), IF(D1869&lt;=$A$15, E1868+LN($D$11)-LN(60/$E$11)-LN(MIN(D1869,$F$11)), E1868+LN($D$11)+LN(1-$H$11)-LN(60/$E$11)-LN(MIN(D1869,$F$11))))</f>
        <v>-222.28541835438219</v>
      </c>
      <c r="F1869" s="1">
        <f t="shared" si="173"/>
        <v>-224.28745116358124</v>
      </c>
      <c r="G1869" s="1">
        <f t="shared" si="171"/>
        <v>3.919201561774119E-98</v>
      </c>
      <c r="H1869" s="1">
        <f t="shared" si="168"/>
        <v>3.8469817490726199E-99</v>
      </c>
      <c r="I1869">
        <f>IF($F$11&lt;=D1869, IF(D1869&lt;=$A$15,D1869-$F$11,$C$11),0)</f>
        <v>60</v>
      </c>
      <c r="J1869">
        <f t="shared" si="169"/>
        <v>1782</v>
      </c>
      <c r="K1869" s="5">
        <f>IF(D1869&lt;$F$11,H1869,0)</f>
        <v>0</v>
      </c>
      <c r="L1869">
        <f>IF(D1869&lt;$A$15,$D$11,$D$11*(1-$H$11))</f>
        <v>85</v>
      </c>
      <c r="M1869">
        <f t="shared" si="170"/>
        <v>1</v>
      </c>
      <c r="N1869">
        <f>IF(SUM(I1869:J1869)&lt;=($G$11/60*$F$11/($E$11/60)),1,0)</f>
        <v>0</v>
      </c>
    </row>
    <row r="1870" spans="4:14" x14ac:dyDescent="0.2">
      <c r="D1870">
        <f t="shared" si="172"/>
        <v>1847</v>
      </c>
      <c r="E1870" s="1">
        <f>IF($H$11=1,IF(D1870&lt;=$A$15, E1869+LN($D$11)-LN(60/$E$11)-LN(MIN(D1870,$F$11)), E1869-LN(60/$E$11)-LN(MIN(D1870,$F$11))), IF(D1870&lt;=$A$15, E1869+LN($D$11)-LN(60/$E$11)-LN(MIN(D1870,$F$11)), E1869+LN($D$11)+LN(1-$H$11)-LN(60/$E$11)-LN(MIN(D1870,$F$11))))</f>
        <v>-222.40711528935972</v>
      </c>
      <c r="F1870" s="1">
        <f t="shared" si="173"/>
        <v>-224.40914809855877</v>
      </c>
      <c r="G1870" s="1">
        <f t="shared" si="171"/>
        <v>3.4701263828207806E-98</v>
      </c>
      <c r="H1870" s="1">
        <f t="shared" si="168"/>
        <v>3.4061817569913293E-99</v>
      </c>
      <c r="I1870">
        <f>IF($F$11&lt;=D1870, IF(D1870&lt;=$A$15,D1870-$F$11,$C$11),0)</f>
        <v>60</v>
      </c>
      <c r="J1870">
        <f t="shared" si="169"/>
        <v>1783</v>
      </c>
      <c r="K1870" s="5">
        <f>IF(D1870&lt;$F$11,H1870,0)</f>
        <v>0</v>
      </c>
      <c r="L1870">
        <f>IF(D1870&lt;$A$15,$D$11,$D$11*(1-$H$11))</f>
        <v>85</v>
      </c>
      <c r="M1870">
        <f t="shared" si="170"/>
        <v>1</v>
      </c>
      <c r="N1870">
        <f>IF(SUM(I1870:J1870)&lt;=($G$11/60*$F$11/($E$11/60)),1,0)</f>
        <v>0</v>
      </c>
    </row>
    <row r="1871" spans="4:14" x14ac:dyDescent="0.2">
      <c r="D1871">
        <f t="shared" si="172"/>
        <v>1848</v>
      </c>
      <c r="E1871" s="1">
        <f>IF($H$11=1,IF(D1871&lt;=$A$15, E1870+LN($D$11)-LN(60/$E$11)-LN(MIN(D1871,$F$11)), E1870-LN(60/$E$11)-LN(MIN(D1871,$F$11))), IF(D1871&lt;=$A$15, E1870+LN($D$11)-LN(60/$E$11)-LN(MIN(D1871,$F$11)), E1870+LN($D$11)+LN(1-$H$11)-LN(60/$E$11)-LN(MIN(D1871,$F$11))))</f>
        <v>-222.52881222433726</v>
      </c>
      <c r="F1871" s="1">
        <f t="shared" si="173"/>
        <v>-224.53084503353631</v>
      </c>
      <c r="G1871" s="1">
        <f t="shared" si="171"/>
        <v>3.0725077347891847E-98</v>
      </c>
      <c r="H1871" s="1">
        <f t="shared" si="168"/>
        <v>3.0158900973360257E-99</v>
      </c>
      <c r="I1871">
        <f>IF($F$11&lt;=D1871, IF(D1871&lt;=$A$15,D1871-$F$11,$C$11),0)</f>
        <v>60</v>
      </c>
      <c r="J1871">
        <f t="shared" si="169"/>
        <v>1784</v>
      </c>
      <c r="K1871" s="5">
        <f>IF(D1871&lt;$F$11,H1871,0)</f>
        <v>0</v>
      </c>
      <c r="L1871">
        <f>IF(D1871&lt;$A$15,$D$11,$D$11*(1-$H$11))</f>
        <v>85</v>
      </c>
      <c r="M1871">
        <f t="shared" si="170"/>
        <v>1</v>
      </c>
      <c r="N1871">
        <f>IF(SUM(I1871:J1871)&lt;=($G$11/60*$F$11/($E$11/60)),1,0)</f>
        <v>0</v>
      </c>
    </row>
    <row r="1872" spans="4:14" x14ac:dyDescent="0.2">
      <c r="D1872">
        <f t="shared" si="172"/>
        <v>1849</v>
      </c>
      <c r="E1872" s="1">
        <f>IF($H$11=1,IF(D1872&lt;=$A$15, E1871+LN($D$11)-LN(60/$E$11)-LN(MIN(D1872,$F$11)), E1871-LN(60/$E$11)-LN(MIN(D1872,$F$11))), IF(D1872&lt;=$A$15, E1871+LN($D$11)-LN(60/$E$11)-LN(MIN(D1872,$F$11)), E1871+LN($D$11)+LN(1-$H$11)-LN(60/$E$11)-LN(MIN(D1872,$F$11))))</f>
        <v>-222.65050915931479</v>
      </c>
      <c r="F1872" s="1">
        <f t="shared" si="173"/>
        <v>-224.65254196851384</v>
      </c>
      <c r="G1872" s="1">
        <f t="shared" si="171"/>
        <v>2.7204495568445478E-98</v>
      </c>
      <c r="H1872" s="1">
        <f t="shared" si="168"/>
        <v>2.6703193570162308E-99</v>
      </c>
      <c r="I1872">
        <f>IF($F$11&lt;=D1872, IF(D1872&lt;=$A$15,D1872-$F$11,$C$11),0)</f>
        <v>60</v>
      </c>
      <c r="J1872">
        <f t="shared" si="169"/>
        <v>1785</v>
      </c>
      <c r="K1872" s="5">
        <f>IF(D1872&lt;$F$11,H1872,0)</f>
        <v>0</v>
      </c>
      <c r="L1872">
        <f>IF(D1872&lt;$A$15,$D$11,$D$11*(1-$H$11))</f>
        <v>85</v>
      </c>
      <c r="M1872">
        <f t="shared" si="170"/>
        <v>1</v>
      </c>
      <c r="N1872">
        <f>IF(SUM(I1872:J1872)&lt;=($G$11/60*$F$11/($E$11/60)),1,0)</f>
        <v>0</v>
      </c>
    </row>
    <row r="1873" spans="4:14" x14ac:dyDescent="0.2">
      <c r="D1873">
        <f t="shared" si="172"/>
        <v>1850</v>
      </c>
      <c r="E1873" s="1">
        <f>IF($H$11=1,IF(D1873&lt;=$A$15, E1872+LN($D$11)-LN(60/$E$11)-LN(MIN(D1873,$F$11)), E1872-LN(60/$E$11)-LN(MIN(D1873,$F$11))), IF(D1873&lt;=$A$15, E1872+LN($D$11)-LN(60/$E$11)-LN(MIN(D1873,$F$11)), E1872+LN($D$11)+LN(1-$H$11)-LN(60/$E$11)-LN(MIN(D1873,$F$11))))</f>
        <v>-222.77220609429233</v>
      </c>
      <c r="F1873" s="1">
        <f t="shared" si="173"/>
        <v>-224.77423890349138</v>
      </c>
      <c r="G1873" s="1">
        <f t="shared" si="171"/>
        <v>2.4087313784560726E-98</v>
      </c>
      <c r="H1873" s="1">
        <f t="shared" si="168"/>
        <v>2.3643452640247507E-99</v>
      </c>
      <c r="I1873">
        <f>IF($F$11&lt;=D1873, IF(D1873&lt;=$A$15,D1873-$F$11,$C$11),0)</f>
        <v>60</v>
      </c>
      <c r="J1873">
        <f t="shared" si="169"/>
        <v>1786</v>
      </c>
      <c r="K1873" s="5">
        <f>IF(D1873&lt;$F$11,H1873,0)</f>
        <v>0</v>
      </c>
      <c r="L1873">
        <f>IF(D1873&lt;$A$15,$D$11,$D$11*(1-$H$11))</f>
        <v>85</v>
      </c>
      <c r="M1873">
        <f t="shared" si="170"/>
        <v>1</v>
      </c>
      <c r="N1873">
        <f>IF(SUM(I1873:J1873)&lt;=($G$11/60*$F$11/($E$11/60)),1,0)</f>
        <v>0</v>
      </c>
    </row>
    <row r="1874" spans="4:14" x14ac:dyDescent="0.2">
      <c r="D1874">
        <f t="shared" si="172"/>
        <v>1851</v>
      </c>
      <c r="E1874" s="1">
        <f>IF($H$11=1,IF(D1874&lt;=$A$15, E1873+LN($D$11)-LN(60/$E$11)-LN(MIN(D1874,$F$11)), E1873-LN(60/$E$11)-LN(MIN(D1874,$F$11))), IF(D1874&lt;=$A$15, E1873+LN($D$11)-LN(60/$E$11)-LN(MIN(D1874,$F$11)), E1873+LN($D$11)+LN(1-$H$11)-LN(60/$E$11)-LN(MIN(D1874,$F$11))))</f>
        <v>-222.89390302926986</v>
      </c>
      <c r="F1874" s="1">
        <f t="shared" si="173"/>
        <v>-224.89593583846892</v>
      </c>
      <c r="G1874" s="1">
        <f t="shared" si="171"/>
        <v>2.1327309080079476E-98</v>
      </c>
      <c r="H1874" s="1">
        <f t="shared" si="168"/>
        <v>2.0934307025218821E-99</v>
      </c>
      <c r="I1874">
        <f>IF($F$11&lt;=D1874, IF(D1874&lt;=$A$15,D1874-$F$11,$C$11),0)</f>
        <v>60</v>
      </c>
      <c r="J1874">
        <f t="shared" si="169"/>
        <v>1787</v>
      </c>
      <c r="K1874" s="5">
        <f>IF(D1874&lt;$F$11,H1874,0)</f>
        <v>0</v>
      </c>
      <c r="L1874">
        <f>IF(D1874&lt;$A$15,$D$11,$D$11*(1-$H$11))</f>
        <v>85</v>
      </c>
      <c r="M1874">
        <f t="shared" si="170"/>
        <v>1</v>
      </c>
      <c r="N1874">
        <f>IF(SUM(I1874:J1874)&lt;=($G$11/60*$F$11/($E$11/60)),1,0)</f>
        <v>0</v>
      </c>
    </row>
    <row r="1875" spans="4:14" x14ac:dyDescent="0.2">
      <c r="D1875">
        <f t="shared" si="172"/>
        <v>1852</v>
      </c>
      <c r="E1875" s="1">
        <f>IF($H$11=1,IF(D1875&lt;=$A$15, E1874+LN($D$11)-LN(60/$E$11)-LN(MIN(D1875,$F$11)), E1874-LN(60/$E$11)-LN(MIN(D1875,$F$11))), IF(D1875&lt;=$A$15, E1874+LN($D$11)-LN(60/$E$11)-LN(MIN(D1875,$F$11)), E1874+LN($D$11)+LN(1-$H$11)-LN(60/$E$11)-LN(MIN(D1875,$F$11))))</f>
        <v>-223.0155999642474</v>
      </c>
      <c r="F1875" s="1">
        <f t="shared" si="173"/>
        <v>-225.01763277344645</v>
      </c>
      <c r="G1875" s="1">
        <f t="shared" si="171"/>
        <v>1.8883554914653407E-98</v>
      </c>
      <c r="H1875" s="1">
        <f t="shared" si="168"/>
        <v>1.853558434524554E-99</v>
      </c>
      <c r="I1875">
        <f>IF($F$11&lt;=D1875, IF(D1875&lt;=$A$15,D1875-$F$11,$C$11),0)</f>
        <v>60</v>
      </c>
      <c r="J1875">
        <f t="shared" si="169"/>
        <v>1788</v>
      </c>
      <c r="K1875" s="5">
        <f>IF(D1875&lt;$F$11,H1875,0)</f>
        <v>0</v>
      </c>
      <c r="L1875">
        <f>IF(D1875&lt;$A$15,$D$11,$D$11*(1-$H$11))</f>
        <v>85</v>
      </c>
      <c r="M1875">
        <f t="shared" si="170"/>
        <v>1</v>
      </c>
      <c r="N1875">
        <f>IF(SUM(I1875:J1875)&lt;=($G$11/60*$F$11/($E$11/60)),1,0)</f>
        <v>0</v>
      </c>
    </row>
    <row r="1876" spans="4:14" x14ac:dyDescent="0.2">
      <c r="D1876">
        <f t="shared" si="172"/>
        <v>1853</v>
      </c>
      <c r="E1876" s="1">
        <f>IF($H$11=1,IF(D1876&lt;=$A$15, E1875+LN($D$11)-LN(60/$E$11)-LN(MIN(D1876,$F$11)), E1875-LN(60/$E$11)-LN(MIN(D1876,$F$11))), IF(D1876&lt;=$A$15, E1875+LN($D$11)-LN(60/$E$11)-LN(MIN(D1876,$F$11)), E1875+LN($D$11)+LN(1-$H$11)-LN(60/$E$11)-LN(MIN(D1876,$F$11))))</f>
        <v>-223.13729689922494</v>
      </c>
      <c r="F1876" s="1">
        <f t="shared" si="173"/>
        <v>-225.13932970842399</v>
      </c>
      <c r="G1876" s="1">
        <f t="shared" si="171"/>
        <v>1.6719814247349109E-98</v>
      </c>
      <c r="H1876" s="1">
        <f t="shared" si="168"/>
        <v>1.6411715305685897E-99</v>
      </c>
      <c r="I1876">
        <f>IF($F$11&lt;=D1876, IF(D1876&lt;=$A$15,D1876-$F$11,$C$11),0)</f>
        <v>60</v>
      </c>
      <c r="J1876">
        <f t="shared" si="169"/>
        <v>1789</v>
      </c>
      <c r="K1876" s="5">
        <f>IF(D1876&lt;$F$11,H1876,0)</f>
        <v>0</v>
      </c>
      <c r="L1876">
        <f>IF(D1876&lt;$A$15,$D$11,$D$11*(1-$H$11))</f>
        <v>85</v>
      </c>
      <c r="M1876">
        <f t="shared" si="170"/>
        <v>1</v>
      </c>
      <c r="N1876">
        <f>IF(SUM(I1876:J1876)&lt;=($G$11/60*$F$11/($E$11/60)),1,0)</f>
        <v>0</v>
      </c>
    </row>
    <row r="1877" spans="4:14" x14ac:dyDescent="0.2">
      <c r="D1877">
        <f t="shared" si="172"/>
        <v>1854</v>
      </c>
      <c r="E1877" s="1">
        <f>IF($H$11=1,IF(D1877&lt;=$A$15, E1876+LN($D$11)-LN(60/$E$11)-LN(MIN(D1877,$F$11)), E1876-LN(60/$E$11)-LN(MIN(D1877,$F$11))), IF(D1877&lt;=$A$15, E1876+LN($D$11)-LN(60/$E$11)-LN(MIN(D1877,$F$11)), E1876+LN($D$11)+LN(1-$H$11)-LN(60/$E$11)-LN(MIN(D1877,$F$11))))</f>
        <v>-223.25899383420247</v>
      </c>
      <c r="F1877" s="1">
        <f t="shared" si="173"/>
        <v>-225.26102664340152</v>
      </c>
      <c r="G1877" s="1">
        <f t="shared" si="171"/>
        <v>1.480400219817346E-98</v>
      </c>
      <c r="H1877" s="1">
        <f t="shared" si="168"/>
        <v>1.4531206260242497E-99</v>
      </c>
      <c r="I1877">
        <f>IF($F$11&lt;=D1877, IF(D1877&lt;=$A$15,D1877-$F$11,$C$11),0)</f>
        <v>60</v>
      </c>
      <c r="J1877">
        <f t="shared" si="169"/>
        <v>1790</v>
      </c>
      <c r="K1877" s="5">
        <f>IF(D1877&lt;$F$11,H1877,0)</f>
        <v>0</v>
      </c>
      <c r="L1877">
        <f>IF(D1877&lt;$A$15,$D$11,$D$11*(1-$H$11))</f>
        <v>85</v>
      </c>
      <c r="M1877">
        <f t="shared" si="170"/>
        <v>1</v>
      </c>
      <c r="N1877">
        <f>IF(SUM(I1877:J1877)&lt;=($G$11/60*$F$11/($E$11/60)),1,0)</f>
        <v>0</v>
      </c>
    </row>
    <row r="1878" spans="4:14" x14ac:dyDescent="0.2">
      <c r="D1878">
        <f t="shared" si="172"/>
        <v>1855</v>
      </c>
      <c r="E1878" s="1">
        <f>IF($H$11=1,IF(D1878&lt;=$A$15, E1877+LN($D$11)-LN(60/$E$11)-LN(MIN(D1878,$F$11)), E1877-LN(60/$E$11)-LN(MIN(D1878,$F$11))), IF(D1878&lt;=$A$15, E1877+LN($D$11)-LN(60/$E$11)-LN(MIN(D1878,$F$11)), E1877+LN($D$11)+LN(1-$H$11)-LN(60/$E$11)-LN(MIN(D1878,$F$11))))</f>
        <v>-223.38069076918001</v>
      </c>
      <c r="F1878" s="1">
        <f t="shared" si="173"/>
        <v>-225.38272357837906</v>
      </c>
      <c r="G1878" s="1">
        <f t="shared" si="171"/>
        <v>1.3107710279632545E-98</v>
      </c>
      <c r="H1878" s="1">
        <f t="shared" si="168"/>
        <v>1.2866172209589508E-99</v>
      </c>
      <c r="I1878">
        <f>IF($F$11&lt;=D1878, IF(D1878&lt;=$A$15,D1878-$F$11,$C$11),0)</f>
        <v>60</v>
      </c>
      <c r="J1878">
        <f t="shared" si="169"/>
        <v>1791</v>
      </c>
      <c r="K1878" s="5">
        <f>IF(D1878&lt;$F$11,H1878,0)</f>
        <v>0</v>
      </c>
      <c r="L1878">
        <f>IF(D1878&lt;$A$15,$D$11,$D$11*(1-$H$11))</f>
        <v>85</v>
      </c>
      <c r="M1878">
        <f t="shared" si="170"/>
        <v>1</v>
      </c>
      <c r="N1878">
        <f>IF(SUM(I1878:J1878)&lt;=($G$11/60*$F$11/($E$11/60)),1,0)</f>
        <v>0</v>
      </c>
    </row>
    <row r="1879" spans="4:14" x14ac:dyDescent="0.2">
      <c r="D1879">
        <f t="shared" si="172"/>
        <v>1856</v>
      </c>
      <c r="E1879" s="1">
        <f>IF($H$11=1,IF(D1879&lt;=$A$15, E1878+LN($D$11)-LN(60/$E$11)-LN(MIN(D1879,$F$11)), E1878-LN(60/$E$11)-LN(MIN(D1879,$F$11))), IF(D1879&lt;=$A$15, E1878+LN($D$11)-LN(60/$E$11)-LN(MIN(D1879,$F$11)), E1878+LN($D$11)+LN(1-$H$11)-LN(60/$E$11)-LN(MIN(D1879,$F$11))))</f>
        <v>-223.50238770415754</v>
      </c>
      <c r="F1879" s="1">
        <f t="shared" si="173"/>
        <v>-225.50442051335659</v>
      </c>
      <c r="G1879" s="1">
        <f t="shared" si="171"/>
        <v>1.1605785143424467E-98</v>
      </c>
      <c r="H1879" s="1">
        <f t="shared" ref="H1879:H1942" si="174">G1879/$G$21</f>
        <v>1.1391923310573866E-99</v>
      </c>
      <c r="I1879">
        <f>IF($F$11&lt;=D1879, IF(D1879&lt;=$A$15,D1879-$F$11,$C$11),0)</f>
        <v>60</v>
      </c>
      <c r="J1879">
        <f t="shared" ref="J1879:J1942" si="175">IF(D1879&lt;=$A$15,0,D1879-$A$15)</f>
        <v>1792</v>
      </c>
      <c r="K1879" s="5">
        <f>IF(D1879&lt;$F$11,H1879,0)</f>
        <v>0</v>
      </c>
      <c r="L1879">
        <f>IF(D1879&lt;$A$15,$D$11,$D$11*(1-$H$11))</f>
        <v>85</v>
      </c>
      <c r="M1879">
        <f t="shared" ref="M1879:M1942" si="176">IF(D1879&lt;$A$15,0,1)</f>
        <v>1</v>
      </c>
      <c r="N1879">
        <f>IF(SUM(I1879:J1879)&lt;=($G$11/60*$F$11/($E$11/60)),1,0)</f>
        <v>0</v>
      </c>
    </row>
    <row r="1880" spans="4:14" x14ac:dyDescent="0.2">
      <c r="D1880">
        <f t="shared" si="172"/>
        <v>1857</v>
      </c>
      <c r="E1880" s="1">
        <f>IF($H$11=1,IF(D1880&lt;=$A$15, E1879+LN($D$11)-LN(60/$E$11)-LN(MIN(D1880,$F$11)), E1879-LN(60/$E$11)-LN(MIN(D1880,$F$11))), IF(D1880&lt;=$A$15, E1879+LN($D$11)-LN(60/$E$11)-LN(MIN(D1880,$F$11)), E1879+LN($D$11)+LN(1-$H$11)-LN(60/$E$11)-LN(MIN(D1880,$F$11))))</f>
        <v>-223.62408463913508</v>
      </c>
      <c r="F1880" s="1">
        <f t="shared" si="173"/>
        <v>-225.62611744833413</v>
      </c>
      <c r="G1880" s="1">
        <f t="shared" ref="G1880:G1943" si="177">EXP(F1880)</f>
        <v>1.0275955595740254E-98</v>
      </c>
      <c r="H1880" s="1">
        <f t="shared" si="174"/>
        <v>1.0086598764570454E-99</v>
      </c>
      <c r="I1880">
        <f>IF($F$11&lt;=D1880, IF(D1880&lt;=$A$15,D1880-$F$11,$C$11),0)</f>
        <v>60</v>
      </c>
      <c r="J1880">
        <f t="shared" si="175"/>
        <v>1793</v>
      </c>
      <c r="K1880" s="5">
        <f>IF(D1880&lt;$F$11,H1880,0)</f>
        <v>0</v>
      </c>
      <c r="L1880">
        <f>IF(D1880&lt;$A$15,$D$11,$D$11*(1-$H$11))</f>
        <v>85</v>
      </c>
      <c r="M1880">
        <f t="shared" si="176"/>
        <v>1</v>
      </c>
      <c r="N1880">
        <f>IF(SUM(I1880:J1880)&lt;=($G$11/60*$F$11/($E$11/60)),1,0)</f>
        <v>0</v>
      </c>
    </row>
    <row r="1881" spans="4:14" x14ac:dyDescent="0.2">
      <c r="D1881">
        <f t="shared" ref="D1881:D1944" si="178">1+D1880</f>
        <v>1858</v>
      </c>
      <c r="E1881" s="1">
        <f>IF($H$11=1,IF(D1881&lt;=$A$15, E1880+LN($D$11)-LN(60/$E$11)-LN(MIN(D1881,$F$11)), E1880-LN(60/$E$11)-LN(MIN(D1881,$F$11))), IF(D1881&lt;=$A$15, E1880+LN($D$11)-LN(60/$E$11)-LN(MIN(D1881,$F$11)), E1880+LN($D$11)+LN(1-$H$11)-LN(60/$E$11)-LN(MIN(D1881,$F$11))))</f>
        <v>-223.74578157411261</v>
      </c>
      <c r="F1881" s="1">
        <f t="shared" ref="F1881:F1944" si="179">E1881-$E$21</f>
        <v>-225.74781438331166</v>
      </c>
      <c r="G1881" s="1">
        <f t="shared" si="177"/>
        <v>9.0985023503948744E-99</v>
      </c>
      <c r="H1881" s="1">
        <f t="shared" si="174"/>
        <v>8.9308426561299495E-100</v>
      </c>
      <c r="I1881">
        <f>IF($F$11&lt;=D1881, IF(D1881&lt;=$A$15,D1881-$F$11,$C$11),0)</f>
        <v>60</v>
      </c>
      <c r="J1881">
        <f t="shared" si="175"/>
        <v>1794</v>
      </c>
      <c r="K1881" s="5">
        <f>IF(D1881&lt;$F$11,H1881,0)</f>
        <v>0</v>
      </c>
      <c r="L1881">
        <f>IF(D1881&lt;$A$15,$D$11,$D$11*(1-$H$11))</f>
        <v>85</v>
      </c>
      <c r="M1881">
        <f t="shared" si="176"/>
        <v>1</v>
      </c>
      <c r="N1881">
        <f>IF(SUM(I1881:J1881)&lt;=($G$11/60*$F$11/($E$11/60)),1,0)</f>
        <v>0</v>
      </c>
    </row>
    <row r="1882" spans="4:14" x14ac:dyDescent="0.2">
      <c r="D1882">
        <f t="shared" si="178"/>
        <v>1859</v>
      </c>
      <c r="E1882" s="1">
        <f>IF($H$11=1,IF(D1882&lt;=$A$15, E1881+LN($D$11)-LN(60/$E$11)-LN(MIN(D1882,$F$11)), E1881-LN(60/$E$11)-LN(MIN(D1882,$F$11))), IF(D1882&lt;=$A$15, E1881+LN($D$11)-LN(60/$E$11)-LN(MIN(D1882,$F$11)), E1881+LN($D$11)+LN(1-$H$11)-LN(60/$E$11)-LN(MIN(D1882,$F$11))))</f>
        <v>-223.86747850909015</v>
      </c>
      <c r="F1882" s="1">
        <f t="shared" si="179"/>
        <v>-225.8695113182892</v>
      </c>
      <c r="G1882" s="1">
        <f t="shared" si="177"/>
        <v>8.055965622745336E-99</v>
      </c>
      <c r="H1882" s="1">
        <f t="shared" si="174"/>
        <v>7.9075169351149363E-100</v>
      </c>
      <c r="I1882">
        <f>IF($F$11&lt;=D1882, IF(D1882&lt;=$A$15,D1882-$F$11,$C$11),0)</f>
        <v>60</v>
      </c>
      <c r="J1882">
        <f t="shared" si="175"/>
        <v>1795</v>
      </c>
      <c r="K1882" s="5">
        <f>IF(D1882&lt;$F$11,H1882,0)</f>
        <v>0</v>
      </c>
      <c r="L1882">
        <f>IF(D1882&lt;$A$15,$D$11,$D$11*(1-$H$11))</f>
        <v>85</v>
      </c>
      <c r="M1882">
        <f t="shared" si="176"/>
        <v>1</v>
      </c>
      <c r="N1882">
        <f>IF(SUM(I1882:J1882)&lt;=($G$11/60*$F$11/($E$11/60)),1,0)</f>
        <v>0</v>
      </c>
    </row>
    <row r="1883" spans="4:14" x14ac:dyDescent="0.2">
      <c r="D1883">
        <f t="shared" si="178"/>
        <v>1860</v>
      </c>
      <c r="E1883" s="1">
        <f>IF($H$11=1,IF(D1883&lt;=$A$15, E1882+LN($D$11)-LN(60/$E$11)-LN(MIN(D1883,$F$11)), E1882-LN(60/$E$11)-LN(MIN(D1883,$F$11))), IF(D1883&lt;=$A$15, E1882+LN($D$11)-LN(60/$E$11)-LN(MIN(D1883,$F$11)), E1882+LN($D$11)+LN(1-$H$11)-LN(60/$E$11)-LN(MIN(D1883,$F$11))))</f>
        <v>-223.98917544406768</v>
      </c>
      <c r="F1883" s="1">
        <f t="shared" si="179"/>
        <v>-225.99120825326673</v>
      </c>
      <c r="G1883" s="1">
        <f t="shared" si="177"/>
        <v>7.1328862284723208E-99</v>
      </c>
      <c r="H1883" s="1">
        <f t="shared" si="174"/>
        <v>7.0014472862995728E-100</v>
      </c>
      <c r="I1883">
        <f>IF($F$11&lt;=D1883, IF(D1883&lt;=$A$15,D1883-$F$11,$C$11),0)</f>
        <v>60</v>
      </c>
      <c r="J1883">
        <f t="shared" si="175"/>
        <v>1796</v>
      </c>
      <c r="K1883" s="5">
        <f>IF(D1883&lt;$F$11,H1883,0)</f>
        <v>0</v>
      </c>
      <c r="L1883">
        <f>IF(D1883&lt;$A$15,$D$11,$D$11*(1-$H$11))</f>
        <v>85</v>
      </c>
      <c r="M1883">
        <f t="shared" si="176"/>
        <v>1</v>
      </c>
      <c r="N1883">
        <f>IF(SUM(I1883:J1883)&lt;=($G$11/60*$F$11/($E$11/60)),1,0)</f>
        <v>0</v>
      </c>
    </row>
    <row r="1884" spans="4:14" x14ac:dyDescent="0.2">
      <c r="D1884">
        <f t="shared" si="178"/>
        <v>1861</v>
      </c>
      <c r="E1884" s="1">
        <f>IF($H$11=1,IF(D1884&lt;=$A$15, E1883+LN($D$11)-LN(60/$E$11)-LN(MIN(D1884,$F$11)), E1883-LN(60/$E$11)-LN(MIN(D1884,$F$11))), IF(D1884&lt;=$A$15, E1883+LN($D$11)-LN(60/$E$11)-LN(MIN(D1884,$F$11)), E1883+LN($D$11)+LN(1-$H$11)-LN(60/$E$11)-LN(MIN(D1884,$F$11))))</f>
        <v>-224.11087237904522</v>
      </c>
      <c r="F1884" s="1">
        <f t="shared" si="179"/>
        <v>-226.11290518824427</v>
      </c>
      <c r="G1884" s="1">
        <f t="shared" si="177"/>
        <v>6.3155763481264354E-99</v>
      </c>
      <c r="H1884" s="1">
        <f t="shared" si="174"/>
        <v>6.19919811807765E-100</v>
      </c>
      <c r="I1884">
        <f>IF($F$11&lt;=D1884, IF(D1884&lt;=$A$15,D1884-$F$11,$C$11),0)</f>
        <v>60</v>
      </c>
      <c r="J1884">
        <f t="shared" si="175"/>
        <v>1797</v>
      </c>
      <c r="K1884" s="5">
        <f>IF(D1884&lt;$F$11,H1884,0)</f>
        <v>0</v>
      </c>
      <c r="L1884">
        <f>IF(D1884&lt;$A$15,$D$11,$D$11*(1-$H$11))</f>
        <v>85</v>
      </c>
      <c r="M1884">
        <f t="shared" si="176"/>
        <v>1</v>
      </c>
      <c r="N1884">
        <f>IF(SUM(I1884:J1884)&lt;=($G$11/60*$F$11/($E$11/60)),1,0)</f>
        <v>0</v>
      </c>
    </row>
    <row r="1885" spans="4:14" x14ac:dyDescent="0.2">
      <c r="D1885">
        <f t="shared" si="178"/>
        <v>1862</v>
      </c>
      <c r="E1885" s="1">
        <f>IF($H$11=1,IF(D1885&lt;=$A$15, E1884+LN($D$11)-LN(60/$E$11)-LN(MIN(D1885,$F$11)), E1884-LN(60/$E$11)-LN(MIN(D1885,$F$11))), IF(D1885&lt;=$A$15, E1884+LN($D$11)-LN(60/$E$11)-LN(MIN(D1885,$F$11)), E1884+LN($D$11)+LN(1-$H$11)-LN(60/$E$11)-LN(MIN(D1885,$F$11))))</f>
        <v>-224.23256931402275</v>
      </c>
      <c r="F1885" s="1">
        <f t="shared" si="179"/>
        <v>-226.2346021232218</v>
      </c>
      <c r="G1885" s="1">
        <f t="shared" si="177"/>
        <v>5.5919165582368604E-99</v>
      </c>
      <c r="H1885" s="1">
        <f t="shared" si="174"/>
        <v>5.4888733337145002E-100</v>
      </c>
      <c r="I1885">
        <f>IF($F$11&lt;=D1885, IF(D1885&lt;=$A$15,D1885-$F$11,$C$11),0)</f>
        <v>60</v>
      </c>
      <c r="J1885">
        <f t="shared" si="175"/>
        <v>1798</v>
      </c>
      <c r="K1885" s="5">
        <f>IF(D1885&lt;$F$11,H1885,0)</f>
        <v>0</v>
      </c>
      <c r="L1885">
        <f>IF(D1885&lt;$A$15,$D$11,$D$11*(1-$H$11))</f>
        <v>85</v>
      </c>
      <c r="M1885">
        <f t="shared" si="176"/>
        <v>1</v>
      </c>
      <c r="N1885">
        <f>IF(SUM(I1885:J1885)&lt;=($G$11/60*$F$11/($E$11/60)),1,0)</f>
        <v>0</v>
      </c>
    </row>
    <row r="1886" spans="4:14" x14ac:dyDescent="0.2">
      <c r="D1886">
        <f t="shared" si="178"/>
        <v>1863</v>
      </c>
      <c r="E1886" s="1">
        <f>IF($H$11=1,IF(D1886&lt;=$A$15, E1885+LN($D$11)-LN(60/$E$11)-LN(MIN(D1886,$F$11)), E1885-LN(60/$E$11)-LN(MIN(D1886,$F$11))), IF(D1886&lt;=$A$15, E1885+LN($D$11)-LN(60/$E$11)-LN(MIN(D1886,$F$11)), E1885+LN($D$11)+LN(1-$H$11)-LN(60/$E$11)-LN(MIN(D1886,$F$11))))</f>
        <v>-224.35426624900029</v>
      </c>
      <c r="F1886" s="1">
        <f t="shared" si="179"/>
        <v>-226.35629905819934</v>
      </c>
      <c r="G1886" s="1">
        <f t="shared" si="177"/>
        <v>4.9511761192721429E-99</v>
      </c>
      <c r="H1886" s="1">
        <f t="shared" si="174"/>
        <v>4.859939930892971E-100</v>
      </c>
      <c r="I1886">
        <f>IF($F$11&lt;=D1886, IF(D1886&lt;=$A$15,D1886-$F$11,$C$11),0)</f>
        <v>60</v>
      </c>
      <c r="J1886">
        <f t="shared" si="175"/>
        <v>1799</v>
      </c>
      <c r="K1886" s="5">
        <f>IF(D1886&lt;$F$11,H1886,0)</f>
        <v>0</v>
      </c>
      <c r="L1886">
        <f>IF(D1886&lt;$A$15,$D$11,$D$11*(1-$H$11))</f>
        <v>85</v>
      </c>
      <c r="M1886">
        <f t="shared" si="176"/>
        <v>1</v>
      </c>
      <c r="N1886">
        <f>IF(SUM(I1886:J1886)&lt;=($G$11/60*$F$11/($E$11/60)),1,0)</f>
        <v>0</v>
      </c>
    </row>
    <row r="1887" spans="4:14" x14ac:dyDescent="0.2">
      <c r="D1887">
        <f t="shared" si="178"/>
        <v>1864</v>
      </c>
      <c r="E1887" s="1">
        <f>IF($H$11=1,IF(D1887&lt;=$A$15, E1886+LN($D$11)-LN(60/$E$11)-LN(MIN(D1887,$F$11)), E1886-LN(60/$E$11)-LN(MIN(D1887,$F$11))), IF(D1887&lt;=$A$15, E1886+LN($D$11)-LN(60/$E$11)-LN(MIN(D1887,$F$11)), E1886+LN($D$11)+LN(1-$H$11)-LN(60/$E$11)-LN(MIN(D1887,$F$11))))</f>
        <v>-224.47596318397783</v>
      </c>
      <c r="F1887" s="1">
        <f t="shared" si="179"/>
        <v>-226.47799599317688</v>
      </c>
      <c r="G1887" s="1">
        <f t="shared" si="177"/>
        <v>4.3838538556054741E-99</v>
      </c>
      <c r="H1887" s="1">
        <f t="shared" si="174"/>
        <v>4.3030718138114169E-100</v>
      </c>
      <c r="I1887">
        <f>IF($F$11&lt;=D1887, IF(D1887&lt;=$A$15,D1887-$F$11,$C$11),0)</f>
        <v>60</v>
      </c>
      <c r="J1887">
        <f t="shared" si="175"/>
        <v>1800</v>
      </c>
      <c r="K1887" s="5">
        <f>IF(D1887&lt;$F$11,H1887,0)</f>
        <v>0</v>
      </c>
      <c r="L1887">
        <f>IF(D1887&lt;$A$15,$D$11,$D$11*(1-$H$11))</f>
        <v>85</v>
      </c>
      <c r="M1887">
        <f t="shared" si="176"/>
        <v>1</v>
      </c>
      <c r="N1887">
        <f>IF(SUM(I1887:J1887)&lt;=($G$11/60*$F$11/($E$11/60)),1,0)</f>
        <v>0</v>
      </c>
    </row>
    <row r="1888" spans="4:14" x14ac:dyDescent="0.2">
      <c r="D1888">
        <f t="shared" si="178"/>
        <v>1865</v>
      </c>
      <c r="E1888" s="1">
        <f>IF($H$11=1,IF(D1888&lt;=$A$15, E1887+LN($D$11)-LN(60/$E$11)-LN(MIN(D1888,$F$11)), E1887-LN(60/$E$11)-LN(MIN(D1888,$F$11))), IF(D1888&lt;=$A$15, E1887+LN($D$11)-LN(60/$E$11)-LN(MIN(D1888,$F$11)), E1887+LN($D$11)+LN(1-$H$11)-LN(60/$E$11)-LN(MIN(D1888,$F$11))))</f>
        <v>-224.59766011895536</v>
      </c>
      <c r="F1888" s="1">
        <f t="shared" si="179"/>
        <v>-226.59969292815441</v>
      </c>
      <c r="G1888" s="1">
        <f t="shared" si="177"/>
        <v>3.8815372679839528E-99</v>
      </c>
      <c r="H1888" s="1">
        <f t="shared" si="174"/>
        <v>3.8100115018121325E-100</v>
      </c>
      <c r="I1888">
        <f>IF($F$11&lt;=D1888, IF(D1888&lt;=$A$15,D1888-$F$11,$C$11),0)</f>
        <v>60</v>
      </c>
      <c r="J1888">
        <f t="shared" si="175"/>
        <v>1801</v>
      </c>
      <c r="K1888" s="5">
        <f>IF(D1888&lt;$F$11,H1888,0)</f>
        <v>0</v>
      </c>
      <c r="L1888">
        <f>IF(D1888&lt;$A$15,$D$11,$D$11*(1-$H$11))</f>
        <v>85</v>
      </c>
      <c r="M1888">
        <f t="shared" si="176"/>
        <v>1</v>
      </c>
      <c r="N1888">
        <f>IF(SUM(I1888:J1888)&lt;=($G$11/60*$F$11/($E$11/60)),1,0)</f>
        <v>0</v>
      </c>
    </row>
    <row r="1889" spans="4:14" x14ac:dyDescent="0.2">
      <c r="D1889">
        <f t="shared" si="178"/>
        <v>1866</v>
      </c>
      <c r="E1889" s="1">
        <f>IF($H$11=1,IF(D1889&lt;=$A$15, E1888+LN($D$11)-LN(60/$E$11)-LN(MIN(D1889,$F$11)), E1888-LN(60/$E$11)-LN(MIN(D1889,$F$11))), IF(D1889&lt;=$A$15, E1888+LN($D$11)-LN(60/$E$11)-LN(MIN(D1889,$F$11)), E1888+LN($D$11)+LN(1-$H$11)-LN(60/$E$11)-LN(MIN(D1889,$F$11))))</f>
        <v>-224.7193570539329</v>
      </c>
      <c r="F1889" s="1">
        <f t="shared" si="179"/>
        <v>-226.72138986313195</v>
      </c>
      <c r="G1889" s="1">
        <f t="shared" si="177"/>
        <v>3.436777789360738E-99</v>
      </c>
      <c r="H1889" s="1">
        <f t="shared" si="174"/>
        <v>3.3734476838961062E-100</v>
      </c>
      <c r="I1889">
        <f>IF($F$11&lt;=D1889, IF(D1889&lt;=$A$15,D1889-$F$11,$C$11),0)</f>
        <v>60</v>
      </c>
      <c r="J1889">
        <f t="shared" si="175"/>
        <v>1802</v>
      </c>
      <c r="K1889" s="5">
        <f>IF(D1889&lt;$F$11,H1889,0)</f>
        <v>0</v>
      </c>
      <c r="L1889">
        <f>IF(D1889&lt;$A$15,$D$11,$D$11*(1-$H$11))</f>
        <v>85</v>
      </c>
      <c r="M1889">
        <f t="shared" si="176"/>
        <v>1</v>
      </c>
      <c r="N1889">
        <f>IF(SUM(I1889:J1889)&lt;=($G$11/60*$F$11/($E$11/60)),1,0)</f>
        <v>0</v>
      </c>
    </row>
    <row r="1890" spans="4:14" x14ac:dyDescent="0.2">
      <c r="D1890">
        <f t="shared" si="178"/>
        <v>1867</v>
      </c>
      <c r="E1890" s="1">
        <f>IF($H$11=1,IF(D1890&lt;=$A$15, E1889+LN($D$11)-LN(60/$E$11)-LN(MIN(D1890,$F$11)), E1889-LN(60/$E$11)-LN(MIN(D1890,$F$11))), IF(D1890&lt;=$A$15, E1889+LN($D$11)-LN(60/$E$11)-LN(MIN(D1890,$F$11)), E1889+LN($D$11)+LN(1-$H$11)-LN(60/$E$11)-LN(MIN(D1890,$F$11))))</f>
        <v>-224.84105398891043</v>
      </c>
      <c r="F1890" s="1">
        <f t="shared" si="179"/>
        <v>-226.84308679810948</v>
      </c>
      <c r="G1890" s="1">
        <f t="shared" si="177"/>
        <v>3.0429803343297725E-99</v>
      </c>
      <c r="H1890" s="1">
        <f t="shared" si="174"/>
        <v>2.9869068034496308E-100</v>
      </c>
      <c r="I1890">
        <f>IF($F$11&lt;=D1890, IF(D1890&lt;=$A$15,D1890-$F$11,$C$11),0)</f>
        <v>60</v>
      </c>
      <c r="J1890">
        <f t="shared" si="175"/>
        <v>1803</v>
      </c>
      <c r="K1890" s="5">
        <f>IF(D1890&lt;$F$11,H1890,0)</f>
        <v>0</v>
      </c>
      <c r="L1890">
        <f>IF(D1890&lt;$A$15,$D$11,$D$11*(1-$H$11))</f>
        <v>85</v>
      </c>
      <c r="M1890">
        <f t="shared" si="176"/>
        <v>1</v>
      </c>
      <c r="N1890">
        <f>IF(SUM(I1890:J1890)&lt;=($G$11/60*$F$11/($E$11/60)),1,0)</f>
        <v>0</v>
      </c>
    </row>
    <row r="1891" spans="4:14" x14ac:dyDescent="0.2">
      <c r="D1891">
        <f t="shared" si="178"/>
        <v>1868</v>
      </c>
      <c r="E1891" s="1">
        <f>IF($H$11=1,IF(D1891&lt;=$A$15, E1890+LN($D$11)-LN(60/$E$11)-LN(MIN(D1891,$F$11)), E1890-LN(60/$E$11)-LN(MIN(D1891,$F$11))), IF(D1891&lt;=$A$15, E1890+LN($D$11)-LN(60/$E$11)-LN(MIN(D1891,$F$11)), E1890+LN($D$11)+LN(1-$H$11)-LN(60/$E$11)-LN(MIN(D1891,$F$11))))</f>
        <v>-224.96275092388797</v>
      </c>
      <c r="F1891" s="1">
        <f t="shared" si="179"/>
        <v>-226.96478373308702</v>
      </c>
      <c r="G1891" s="1">
        <f t="shared" si="177"/>
        <v>2.6943055043544439E-99</v>
      </c>
      <c r="H1891" s="1">
        <f t="shared" si="174"/>
        <v>2.6446570655543191E-100</v>
      </c>
      <c r="I1891">
        <f>IF($F$11&lt;=D1891, IF(D1891&lt;=$A$15,D1891-$F$11,$C$11),0)</f>
        <v>60</v>
      </c>
      <c r="J1891">
        <f t="shared" si="175"/>
        <v>1804</v>
      </c>
      <c r="K1891" s="5">
        <f>IF(D1891&lt;$F$11,H1891,0)</f>
        <v>0</v>
      </c>
      <c r="L1891">
        <f>IF(D1891&lt;$A$15,$D$11,$D$11*(1-$H$11))</f>
        <v>85</v>
      </c>
      <c r="M1891">
        <f t="shared" si="176"/>
        <v>1</v>
      </c>
      <c r="N1891">
        <f>IF(SUM(I1891:J1891)&lt;=($G$11/60*$F$11/($E$11/60)),1,0)</f>
        <v>0</v>
      </c>
    </row>
    <row r="1892" spans="4:14" x14ac:dyDescent="0.2">
      <c r="D1892">
        <f t="shared" si="178"/>
        <v>1869</v>
      </c>
      <c r="E1892" s="1">
        <f>IF($H$11=1,IF(D1892&lt;=$A$15, E1891+LN($D$11)-LN(60/$E$11)-LN(MIN(D1892,$F$11)), E1891-LN(60/$E$11)-LN(MIN(D1892,$F$11))), IF(D1892&lt;=$A$15, E1891+LN($D$11)-LN(60/$E$11)-LN(MIN(D1892,$F$11)), E1891+LN($D$11)+LN(1-$H$11)-LN(60/$E$11)-LN(MIN(D1892,$F$11))))</f>
        <v>-225.0844478588655</v>
      </c>
      <c r="F1892" s="1">
        <f t="shared" si="179"/>
        <v>-227.08648066806455</v>
      </c>
      <c r="G1892" s="1">
        <f t="shared" si="177"/>
        <v>2.3855829986471267E-99</v>
      </c>
      <c r="H1892" s="1">
        <f t="shared" si="174"/>
        <v>2.3416234434595168E-100</v>
      </c>
      <c r="I1892">
        <f>IF($F$11&lt;=D1892, IF(D1892&lt;=$A$15,D1892-$F$11,$C$11),0)</f>
        <v>60</v>
      </c>
      <c r="J1892">
        <f t="shared" si="175"/>
        <v>1805</v>
      </c>
      <c r="K1892" s="5">
        <f>IF(D1892&lt;$F$11,H1892,0)</f>
        <v>0</v>
      </c>
      <c r="L1892">
        <f>IF(D1892&lt;$A$15,$D$11,$D$11*(1-$H$11))</f>
        <v>85</v>
      </c>
      <c r="M1892">
        <f t="shared" si="176"/>
        <v>1</v>
      </c>
      <c r="N1892">
        <f>IF(SUM(I1892:J1892)&lt;=($G$11/60*$F$11/($E$11/60)),1,0)</f>
        <v>0</v>
      </c>
    </row>
    <row r="1893" spans="4:14" x14ac:dyDescent="0.2">
      <c r="D1893">
        <f t="shared" si="178"/>
        <v>1870</v>
      </c>
      <c r="E1893" s="1">
        <f>IF($H$11=1,IF(D1893&lt;=$A$15, E1892+LN($D$11)-LN(60/$E$11)-LN(MIN(D1893,$F$11)), E1892-LN(60/$E$11)-LN(MIN(D1893,$F$11))), IF(D1893&lt;=$A$15, E1892+LN($D$11)-LN(60/$E$11)-LN(MIN(D1893,$F$11)), E1892+LN($D$11)+LN(1-$H$11)-LN(60/$E$11)-LN(MIN(D1893,$F$11))))</f>
        <v>-225.20614479384304</v>
      </c>
      <c r="F1893" s="1">
        <f t="shared" si="179"/>
        <v>-227.20817760304209</v>
      </c>
      <c r="G1893" s="1">
        <f t="shared" si="177"/>
        <v>2.1122349467187773E-99</v>
      </c>
      <c r="H1893" s="1">
        <f t="shared" si="174"/>
        <v>2.073312423896415E-100</v>
      </c>
      <c r="I1893">
        <f>IF($F$11&lt;=D1893, IF(D1893&lt;=$A$15,D1893-$F$11,$C$11),0)</f>
        <v>60</v>
      </c>
      <c r="J1893">
        <f t="shared" si="175"/>
        <v>1806</v>
      </c>
      <c r="K1893" s="5">
        <f>IF(D1893&lt;$F$11,H1893,0)</f>
        <v>0</v>
      </c>
      <c r="L1893">
        <f>IF(D1893&lt;$A$15,$D$11,$D$11*(1-$H$11))</f>
        <v>85</v>
      </c>
      <c r="M1893">
        <f t="shared" si="176"/>
        <v>1</v>
      </c>
      <c r="N1893">
        <f>IF(SUM(I1893:J1893)&lt;=($G$11/60*$F$11/($E$11/60)),1,0)</f>
        <v>0</v>
      </c>
    </row>
    <row r="1894" spans="4:14" x14ac:dyDescent="0.2">
      <c r="D1894">
        <f t="shared" si="178"/>
        <v>1871</v>
      </c>
      <c r="E1894" s="1">
        <f>IF($H$11=1,IF(D1894&lt;=$A$15, E1893+LN($D$11)-LN(60/$E$11)-LN(MIN(D1894,$F$11)), E1893-LN(60/$E$11)-LN(MIN(D1894,$F$11))), IF(D1894&lt;=$A$15, E1893+LN($D$11)-LN(60/$E$11)-LN(MIN(D1894,$F$11)), E1893+LN($D$11)+LN(1-$H$11)-LN(60/$E$11)-LN(MIN(D1894,$F$11))))</f>
        <v>-225.32784172882057</v>
      </c>
      <c r="F1894" s="1">
        <f t="shared" si="179"/>
        <v>-227.32987453801962</v>
      </c>
      <c r="G1894" s="1">
        <f t="shared" si="177"/>
        <v>1.8702080257405545E-99</v>
      </c>
      <c r="H1894" s="1">
        <f t="shared" si="174"/>
        <v>1.8357453753249219E-100</v>
      </c>
      <c r="I1894">
        <f>IF($F$11&lt;=D1894, IF(D1894&lt;=$A$15,D1894-$F$11,$C$11),0)</f>
        <v>60</v>
      </c>
      <c r="J1894">
        <f t="shared" si="175"/>
        <v>1807</v>
      </c>
      <c r="K1894" s="5">
        <f>IF(D1894&lt;$F$11,H1894,0)</f>
        <v>0</v>
      </c>
      <c r="L1894">
        <f>IF(D1894&lt;$A$15,$D$11,$D$11*(1-$H$11))</f>
        <v>85</v>
      </c>
      <c r="M1894">
        <f t="shared" si="176"/>
        <v>1</v>
      </c>
      <c r="N1894">
        <f>IF(SUM(I1894:J1894)&lt;=($G$11/60*$F$11/($E$11/60)),1,0)</f>
        <v>0</v>
      </c>
    </row>
    <row r="1895" spans="4:14" x14ac:dyDescent="0.2">
      <c r="D1895">
        <f t="shared" si="178"/>
        <v>1872</v>
      </c>
      <c r="E1895" s="1">
        <f>IF($H$11=1,IF(D1895&lt;=$A$15, E1894+LN($D$11)-LN(60/$E$11)-LN(MIN(D1895,$F$11)), E1894-LN(60/$E$11)-LN(MIN(D1895,$F$11))), IF(D1895&lt;=$A$15, E1894+LN($D$11)-LN(60/$E$11)-LN(MIN(D1895,$F$11)), E1894+LN($D$11)+LN(1-$H$11)-LN(60/$E$11)-LN(MIN(D1895,$F$11))))</f>
        <v>-225.44953866379811</v>
      </c>
      <c r="F1895" s="1">
        <f t="shared" si="179"/>
        <v>-227.45157147299716</v>
      </c>
      <c r="G1895" s="1">
        <f t="shared" si="177"/>
        <v>1.6559133561244235E-99</v>
      </c>
      <c r="H1895" s="1">
        <f t="shared" si="174"/>
        <v>1.6253995510689159E-100</v>
      </c>
      <c r="I1895">
        <f>IF($F$11&lt;=D1895, IF(D1895&lt;=$A$15,D1895-$F$11,$C$11),0)</f>
        <v>60</v>
      </c>
      <c r="J1895">
        <f t="shared" si="175"/>
        <v>1808</v>
      </c>
      <c r="K1895" s="5">
        <f>IF(D1895&lt;$F$11,H1895,0)</f>
        <v>0</v>
      </c>
      <c r="L1895">
        <f>IF(D1895&lt;$A$15,$D$11,$D$11*(1-$H$11))</f>
        <v>85</v>
      </c>
      <c r="M1895">
        <f t="shared" si="176"/>
        <v>1</v>
      </c>
      <c r="N1895">
        <f>IF(SUM(I1895:J1895)&lt;=($G$11/60*$F$11/($E$11/60)),1,0)</f>
        <v>0</v>
      </c>
    </row>
    <row r="1896" spans="4:14" x14ac:dyDescent="0.2">
      <c r="D1896">
        <f t="shared" si="178"/>
        <v>1873</v>
      </c>
      <c r="E1896" s="1">
        <f>IF($H$11=1,IF(D1896&lt;=$A$15, E1895+LN($D$11)-LN(60/$E$11)-LN(MIN(D1896,$F$11)), E1895-LN(60/$E$11)-LN(MIN(D1896,$F$11))), IF(D1896&lt;=$A$15, E1895+LN($D$11)-LN(60/$E$11)-LN(MIN(D1896,$F$11)), E1895+LN($D$11)+LN(1-$H$11)-LN(60/$E$11)-LN(MIN(D1896,$F$11))))</f>
        <v>-225.57123559877564</v>
      </c>
      <c r="F1896" s="1">
        <f t="shared" si="179"/>
        <v>-227.57326840797469</v>
      </c>
      <c r="G1896" s="1">
        <f t="shared" si="177"/>
        <v>1.4661732840684771E-99</v>
      </c>
      <c r="H1896" s="1">
        <f t="shared" si="174"/>
        <v>1.4391558525089135E-100</v>
      </c>
      <c r="I1896">
        <f>IF($F$11&lt;=D1896, IF(D1896&lt;=$A$15,D1896-$F$11,$C$11),0)</f>
        <v>60</v>
      </c>
      <c r="J1896">
        <f t="shared" si="175"/>
        <v>1809</v>
      </c>
      <c r="K1896" s="5">
        <f>IF(D1896&lt;$F$11,H1896,0)</f>
        <v>0</v>
      </c>
      <c r="L1896">
        <f>IF(D1896&lt;$A$15,$D$11,$D$11*(1-$H$11))</f>
        <v>85</v>
      </c>
      <c r="M1896">
        <f t="shared" si="176"/>
        <v>1</v>
      </c>
      <c r="N1896">
        <f>IF(SUM(I1896:J1896)&lt;=($G$11/60*$F$11/($E$11/60)),1,0)</f>
        <v>0</v>
      </c>
    </row>
    <row r="1897" spans="4:14" x14ac:dyDescent="0.2">
      <c r="D1897">
        <f t="shared" si="178"/>
        <v>1874</v>
      </c>
      <c r="E1897" s="1">
        <f>IF($H$11=1,IF(D1897&lt;=$A$15, E1896+LN($D$11)-LN(60/$E$11)-LN(MIN(D1897,$F$11)), E1896-LN(60/$E$11)-LN(MIN(D1897,$F$11))), IF(D1897&lt;=$A$15, E1896+LN($D$11)-LN(60/$E$11)-LN(MIN(D1897,$F$11)), E1896+LN($D$11)+LN(1-$H$11)-LN(60/$E$11)-LN(MIN(D1897,$F$11))))</f>
        <v>-225.69293253375318</v>
      </c>
      <c r="F1897" s="1">
        <f t="shared" si="179"/>
        <v>-227.69496534295223</v>
      </c>
      <c r="G1897" s="1">
        <f t="shared" si="177"/>
        <v>1.2981742619356104E-99</v>
      </c>
      <c r="H1897" s="1">
        <f t="shared" si="174"/>
        <v>1.2742525777422471E-100</v>
      </c>
      <c r="I1897">
        <f>IF($F$11&lt;=D1897, IF(D1897&lt;=$A$15,D1897-$F$11,$C$11),0)</f>
        <v>60</v>
      </c>
      <c r="J1897">
        <f t="shared" si="175"/>
        <v>1810</v>
      </c>
      <c r="K1897" s="5">
        <f>IF(D1897&lt;$F$11,H1897,0)</f>
        <v>0</v>
      </c>
      <c r="L1897">
        <f>IF(D1897&lt;$A$15,$D$11,$D$11*(1-$H$11))</f>
        <v>85</v>
      </c>
      <c r="M1897">
        <f t="shared" si="176"/>
        <v>1</v>
      </c>
      <c r="N1897">
        <f>IF(SUM(I1897:J1897)&lt;=($G$11/60*$F$11/($E$11/60)),1,0)</f>
        <v>0</v>
      </c>
    </row>
    <row r="1898" spans="4:14" x14ac:dyDescent="0.2">
      <c r="D1898">
        <f t="shared" si="178"/>
        <v>1875</v>
      </c>
      <c r="E1898" s="1">
        <f>IF($H$11=1,IF(D1898&lt;=$A$15, E1897+LN($D$11)-LN(60/$E$11)-LN(MIN(D1898,$F$11)), E1897-LN(60/$E$11)-LN(MIN(D1898,$F$11))), IF(D1898&lt;=$A$15, E1897+LN($D$11)-LN(60/$E$11)-LN(MIN(D1898,$F$11)), E1897+LN($D$11)+LN(1-$H$11)-LN(60/$E$11)-LN(MIN(D1898,$F$11))))</f>
        <v>-225.81462946873071</v>
      </c>
      <c r="F1898" s="1">
        <f t="shared" si="179"/>
        <v>-227.81666227792977</v>
      </c>
      <c r="G1898" s="1">
        <f t="shared" si="177"/>
        <v>1.1494251277554704E-99</v>
      </c>
      <c r="H1898" s="1">
        <f t="shared" si="174"/>
        <v>1.1282444698759303E-100</v>
      </c>
      <c r="I1898">
        <f>IF($F$11&lt;=D1898, IF(D1898&lt;=$A$15,D1898-$F$11,$C$11),0)</f>
        <v>60</v>
      </c>
      <c r="J1898">
        <f t="shared" si="175"/>
        <v>1811</v>
      </c>
      <c r="K1898" s="5">
        <f>IF(D1898&lt;$F$11,H1898,0)</f>
        <v>0</v>
      </c>
      <c r="L1898">
        <f>IF(D1898&lt;$A$15,$D$11,$D$11*(1-$H$11))</f>
        <v>85</v>
      </c>
      <c r="M1898">
        <f t="shared" si="176"/>
        <v>1</v>
      </c>
      <c r="N1898">
        <f>IF(SUM(I1898:J1898)&lt;=($G$11/60*$F$11/($E$11/60)),1,0)</f>
        <v>0</v>
      </c>
    </row>
    <row r="1899" spans="4:14" x14ac:dyDescent="0.2">
      <c r="D1899">
        <f t="shared" si="178"/>
        <v>1876</v>
      </c>
      <c r="E1899" s="1">
        <f>IF($H$11=1,IF(D1899&lt;=$A$15, E1898+LN($D$11)-LN(60/$E$11)-LN(MIN(D1899,$F$11)), E1898-LN(60/$E$11)-LN(MIN(D1899,$F$11))), IF(D1899&lt;=$A$15, E1898+LN($D$11)-LN(60/$E$11)-LN(MIN(D1899,$F$11)), E1898+LN($D$11)+LN(1-$H$11)-LN(60/$E$11)-LN(MIN(D1899,$F$11))))</f>
        <v>-225.93632640370825</v>
      </c>
      <c r="F1899" s="1">
        <f t="shared" si="179"/>
        <v>-227.9383592129073</v>
      </c>
      <c r="G1899" s="1">
        <f t="shared" si="177"/>
        <v>1.0177201652001402E-99</v>
      </c>
      <c r="H1899" s="1">
        <f t="shared" si="174"/>
        <v>9.98966457702631E-101</v>
      </c>
      <c r="I1899">
        <f>IF($F$11&lt;=D1899, IF(D1899&lt;=$A$15,D1899-$F$11,$C$11),0)</f>
        <v>60</v>
      </c>
      <c r="J1899">
        <f t="shared" si="175"/>
        <v>1812</v>
      </c>
      <c r="K1899" s="5">
        <f>IF(D1899&lt;$F$11,H1899,0)</f>
        <v>0</v>
      </c>
      <c r="L1899">
        <f>IF(D1899&lt;$A$15,$D$11,$D$11*(1-$H$11))</f>
        <v>85</v>
      </c>
      <c r="M1899">
        <f t="shared" si="176"/>
        <v>1</v>
      </c>
      <c r="N1899">
        <f>IF(SUM(I1899:J1899)&lt;=($G$11/60*$F$11/($E$11/60)),1,0)</f>
        <v>0</v>
      </c>
    </row>
    <row r="1900" spans="4:14" x14ac:dyDescent="0.2">
      <c r="D1900">
        <f t="shared" si="178"/>
        <v>1877</v>
      </c>
      <c r="E1900" s="1">
        <f>IF($H$11=1,IF(D1900&lt;=$A$15, E1899+LN($D$11)-LN(60/$E$11)-LN(MIN(D1900,$F$11)), E1899-LN(60/$E$11)-LN(MIN(D1900,$F$11))), IF(D1900&lt;=$A$15, E1899+LN($D$11)-LN(60/$E$11)-LN(MIN(D1900,$F$11)), E1899+LN($D$11)+LN(1-$H$11)-LN(60/$E$11)-LN(MIN(D1900,$F$11))))</f>
        <v>-226.05802333868579</v>
      </c>
      <c r="F1900" s="1">
        <f t="shared" si="179"/>
        <v>-228.06005614788484</v>
      </c>
      <c r="G1900" s="1">
        <f t="shared" si="177"/>
        <v>9.0110639627094333E-100</v>
      </c>
      <c r="H1900" s="1">
        <f t="shared" si="174"/>
        <v>8.8450155109085737E-101</v>
      </c>
      <c r="I1900">
        <f>IF($F$11&lt;=D1900, IF(D1900&lt;=$A$15,D1900-$F$11,$C$11),0)</f>
        <v>60</v>
      </c>
      <c r="J1900">
        <f t="shared" si="175"/>
        <v>1813</v>
      </c>
      <c r="K1900" s="5">
        <f>IF(D1900&lt;$F$11,H1900,0)</f>
        <v>0</v>
      </c>
      <c r="L1900">
        <f>IF(D1900&lt;$A$15,$D$11,$D$11*(1-$H$11))</f>
        <v>85</v>
      </c>
      <c r="M1900">
        <f t="shared" si="176"/>
        <v>1</v>
      </c>
      <c r="N1900">
        <f>IF(SUM(I1900:J1900)&lt;=($G$11/60*$F$11/($E$11/60)),1,0)</f>
        <v>0</v>
      </c>
    </row>
    <row r="1901" spans="4:14" x14ac:dyDescent="0.2">
      <c r="D1901">
        <f t="shared" si="178"/>
        <v>1878</v>
      </c>
      <c r="E1901" s="1">
        <f>IF($H$11=1,IF(D1901&lt;=$A$15, E1900+LN($D$11)-LN(60/$E$11)-LN(MIN(D1901,$F$11)), E1900-LN(60/$E$11)-LN(MIN(D1901,$F$11))), IF(D1901&lt;=$A$15, E1900+LN($D$11)-LN(60/$E$11)-LN(MIN(D1901,$F$11)), E1900+LN($D$11)+LN(1-$H$11)-LN(60/$E$11)-LN(MIN(D1901,$F$11))))</f>
        <v>-226.17972027366332</v>
      </c>
      <c r="F1901" s="1">
        <f t="shared" si="179"/>
        <v>-228.18175308286237</v>
      </c>
      <c r="G1901" s="1">
        <f t="shared" si="177"/>
        <v>7.9785462169821864E-100</v>
      </c>
      <c r="H1901" s="1">
        <f t="shared" si="174"/>
        <v>7.8315241502835108E-101</v>
      </c>
      <c r="I1901">
        <f>IF($F$11&lt;=D1901, IF(D1901&lt;=$A$15,D1901-$F$11,$C$11),0)</f>
        <v>60</v>
      </c>
      <c r="J1901">
        <f t="shared" si="175"/>
        <v>1814</v>
      </c>
      <c r="K1901" s="5">
        <f>IF(D1901&lt;$F$11,H1901,0)</f>
        <v>0</v>
      </c>
      <c r="L1901">
        <f>IF(D1901&lt;$A$15,$D$11,$D$11*(1-$H$11))</f>
        <v>85</v>
      </c>
      <c r="M1901">
        <f t="shared" si="176"/>
        <v>1</v>
      </c>
      <c r="N1901">
        <f>IF(SUM(I1901:J1901)&lt;=($G$11/60*$F$11/($E$11/60)),1,0)</f>
        <v>0</v>
      </c>
    </row>
    <row r="1902" spans="4:14" x14ac:dyDescent="0.2">
      <c r="D1902">
        <f t="shared" si="178"/>
        <v>1879</v>
      </c>
      <c r="E1902" s="1">
        <f>IF($H$11=1,IF(D1902&lt;=$A$15, E1901+LN($D$11)-LN(60/$E$11)-LN(MIN(D1902,$F$11)), E1901-LN(60/$E$11)-LN(MIN(D1902,$F$11))), IF(D1902&lt;=$A$15, E1901+LN($D$11)-LN(60/$E$11)-LN(MIN(D1902,$F$11)), E1901+LN($D$11)+LN(1-$H$11)-LN(60/$E$11)-LN(MIN(D1902,$F$11))))</f>
        <v>-226.30141720864086</v>
      </c>
      <c r="F1902" s="1">
        <f t="shared" si="179"/>
        <v>-228.30345001783991</v>
      </c>
      <c r="G1902" s="1">
        <f t="shared" si="177"/>
        <v>7.0643377962862007E-100</v>
      </c>
      <c r="H1902" s="1">
        <f t="shared" si="174"/>
        <v>6.9341620080634172E-101</v>
      </c>
      <c r="I1902">
        <f>IF($F$11&lt;=D1902, IF(D1902&lt;=$A$15,D1902-$F$11,$C$11),0)</f>
        <v>60</v>
      </c>
      <c r="J1902">
        <f t="shared" si="175"/>
        <v>1815</v>
      </c>
      <c r="K1902" s="5">
        <f>IF(D1902&lt;$F$11,H1902,0)</f>
        <v>0</v>
      </c>
      <c r="L1902">
        <f>IF(D1902&lt;$A$15,$D$11,$D$11*(1-$H$11))</f>
        <v>85</v>
      </c>
      <c r="M1902">
        <f t="shared" si="176"/>
        <v>1</v>
      </c>
      <c r="N1902">
        <f>IF(SUM(I1902:J1902)&lt;=($G$11/60*$F$11/($E$11/60)),1,0)</f>
        <v>0</v>
      </c>
    </row>
    <row r="1903" spans="4:14" x14ac:dyDescent="0.2">
      <c r="D1903">
        <f t="shared" si="178"/>
        <v>1880</v>
      </c>
      <c r="E1903" s="1">
        <f>IF($H$11=1,IF(D1903&lt;=$A$15, E1902+LN($D$11)-LN(60/$E$11)-LN(MIN(D1903,$F$11)), E1902-LN(60/$E$11)-LN(MIN(D1903,$F$11))), IF(D1903&lt;=$A$15, E1902+LN($D$11)-LN(60/$E$11)-LN(MIN(D1903,$F$11)), E1902+LN($D$11)+LN(1-$H$11)-LN(60/$E$11)-LN(MIN(D1903,$F$11))))</f>
        <v>-226.42311414361839</v>
      </c>
      <c r="F1903" s="1">
        <f t="shared" si="179"/>
        <v>-228.42514695281744</v>
      </c>
      <c r="G1903" s="1">
        <f t="shared" si="177"/>
        <v>6.2548824237949759E-100</v>
      </c>
      <c r="H1903" s="1">
        <f t="shared" si="174"/>
        <v>6.1396226113060555E-101</v>
      </c>
      <c r="I1903">
        <f>IF($F$11&lt;=D1903, IF(D1903&lt;=$A$15,D1903-$F$11,$C$11),0)</f>
        <v>60</v>
      </c>
      <c r="J1903">
        <f t="shared" si="175"/>
        <v>1816</v>
      </c>
      <c r="K1903" s="5">
        <f>IF(D1903&lt;$F$11,H1903,0)</f>
        <v>0</v>
      </c>
      <c r="L1903">
        <f>IF(D1903&lt;$A$15,$D$11,$D$11*(1-$H$11))</f>
        <v>85</v>
      </c>
      <c r="M1903">
        <f t="shared" si="176"/>
        <v>1</v>
      </c>
      <c r="N1903">
        <f>IF(SUM(I1903:J1903)&lt;=($G$11/60*$F$11/($E$11/60)),1,0)</f>
        <v>0</v>
      </c>
    </row>
    <row r="1904" spans="4:14" x14ac:dyDescent="0.2">
      <c r="D1904">
        <f t="shared" si="178"/>
        <v>1881</v>
      </c>
      <c r="E1904" s="1">
        <f>IF($H$11=1,IF(D1904&lt;=$A$15, E1903+LN($D$11)-LN(60/$E$11)-LN(MIN(D1904,$F$11)), E1903-LN(60/$E$11)-LN(MIN(D1904,$F$11))), IF(D1904&lt;=$A$15, E1903+LN($D$11)-LN(60/$E$11)-LN(MIN(D1904,$F$11)), E1903+LN($D$11)+LN(1-$H$11)-LN(60/$E$11)-LN(MIN(D1904,$F$11))))</f>
        <v>-226.54481107859593</v>
      </c>
      <c r="F1904" s="1">
        <f t="shared" si="179"/>
        <v>-228.54684388779498</v>
      </c>
      <c r="G1904" s="1">
        <f t="shared" si="177"/>
        <v>5.538177146068381E-100</v>
      </c>
      <c r="H1904" s="1">
        <f t="shared" si="174"/>
        <v>5.4361241870938169E-101</v>
      </c>
      <c r="I1904">
        <f>IF($F$11&lt;=D1904, IF(D1904&lt;=$A$15,D1904-$F$11,$C$11),0)</f>
        <v>60</v>
      </c>
      <c r="J1904">
        <f t="shared" si="175"/>
        <v>1817</v>
      </c>
      <c r="K1904" s="5">
        <f>IF(D1904&lt;$F$11,H1904,0)</f>
        <v>0</v>
      </c>
      <c r="L1904">
        <f>IF(D1904&lt;$A$15,$D$11,$D$11*(1-$H$11))</f>
        <v>85</v>
      </c>
      <c r="M1904">
        <f t="shared" si="176"/>
        <v>1</v>
      </c>
      <c r="N1904">
        <f>IF(SUM(I1904:J1904)&lt;=($G$11/60*$F$11/($E$11/60)),1,0)</f>
        <v>0</v>
      </c>
    </row>
    <row r="1905" spans="4:14" x14ac:dyDescent="0.2">
      <c r="D1905">
        <f t="shared" si="178"/>
        <v>1882</v>
      </c>
      <c r="E1905" s="1">
        <f>IF($H$11=1,IF(D1905&lt;=$A$15, E1904+LN($D$11)-LN(60/$E$11)-LN(MIN(D1905,$F$11)), E1904-LN(60/$E$11)-LN(MIN(D1905,$F$11))), IF(D1905&lt;=$A$15, E1904+LN($D$11)-LN(60/$E$11)-LN(MIN(D1905,$F$11)), E1904+LN($D$11)+LN(1-$H$11)-LN(60/$E$11)-LN(MIN(D1905,$F$11))))</f>
        <v>-226.66650801357346</v>
      </c>
      <c r="F1905" s="1">
        <f t="shared" si="179"/>
        <v>-228.66854082277251</v>
      </c>
      <c r="G1905" s="1">
        <f t="shared" si="177"/>
        <v>4.9035943480813028E-100</v>
      </c>
      <c r="H1905" s="1">
        <f t="shared" si="174"/>
        <v>4.8132349573225758E-101</v>
      </c>
      <c r="I1905">
        <f>IF($F$11&lt;=D1905, IF(D1905&lt;=$A$15,D1905-$F$11,$C$11),0)</f>
        <v>60</v>
      </c>
      <c r="J1905">
        <f t="shared" si="175"/>
        <v>1818</v>
      </c>
      <c r="K1905" s="5">
        <f>IF(D1905&lt;$F$11,H1905,0)</f>
        <v>0</v>
      </c>
      <c r="L1905">
        <f>IF(D1905&lt;$A$15,$D$11,$D$11*(1-$H$11))</f>
        <v>85</v>
      </c>
      <c r="M1905">
        <f t="shared" si="176"/>
        <v>1</v>
      </c>
      <c r="N1905">
        <f>IF(SUM(I1905:J1905)&lt;=($G$11/60*$F$11/($E$11/60)),1,0)</f>
        <v>0</v>
      </c>
    </row>
    <row r="1906" spans="4:14" x14ac:dyDescent="0.2">
      <c r="D1906">
        <f t="shared" si="178"/>
        <v>1883</v>
      </c>
      <c r="E1906" s="1">
        <f>IF($H$11=1,IF(D1906&lt;=$A$15, E1905+LN($D$11)-LN(60/$E$11)-LN(MIN(D1906,$F$11)), E1905-LN(60/$E$11)-LN(MIN(D1906,$F$11))), IF(D1906&lt;=$A$15, E1905+LN($D$11)-LN(60/$E$11)-LN(MIN(D1906,$F$11)), E1905+LN($D$11)+LN(1-$H$11)-LN(60/$E$11)-LN(MIN(D1906,$F$11))))</f>
        <v>-226.788204948551</v>
      </c>
      <c r="F1906" s="1">
        <f t="shared" si="179"/>
        <v>-228.79023775775005</v>
      </c>
      <c r="G1906" s="1">
        <f t="shared" si="177"/>
        <v>4.3417241623635854E-100</v>
      </c>
      <c r="H1906" s="1">
        <f t="shared" si="174"/>
        <v>4.2617184517959637E-101</v>
      </c>
      <c r="I1906">
        <f>IF($F$11&lt;=D1906, IF(D1906&lt;=$A$15,D1906-$F$11,$C$11),0)</f>
        <v>60</v>
      </c>
      <c r="J1906">
        <f t="shared" si="175"/>
        <v>1819</v>
      </c>
      <c r="K1906" s="5">
        <f>IF(D1906&lt;$F$11,H1906,0)</f>
        <v>0</v>
      </c>
      <c r="L1906">
        <f>IF(D1906&lt;$A$15,$D$11,$D$11*(1-$H$11))</f>
        <v>85</v>
      </c>
      <c r="M1906">
        <f t="shared" si="176"/>
        <v>1</v>
      </c>
      <c r="N1906">
        <f>IF(SUM(I1906:J1906)&lt;=($G$11/60*$F$11/($E$11/60)),1,0)</f>
        <v>0</v>
      </c>
    </row>
    <row r="1907" spans="4:14" x14ac:dyDescent="0.2">
      <c r="D1907">
        <f t="shared" si="178"/>
        <v>1884</v>
      </c>
      <c r="E1907" s="1">
        <f>IF($H$11=1,IF(D1907&lt;=$A$15, E1906+LN($D$11)-LN(60/$E$11)-LN(MIN(D1907,$F$11)), E1906-LN(60/$E$11)-LN(MIN(D1907,$F$11))), IF(D1907&lt;=$A$15, E1906+LN($D$11)-LN(60/$E$11)-LN(MIN(D1907,$F$11)), E1906+LN($D$11)+LN(1-$H$11)-LN(60/$E$11)-LN(MIN(D1907,$F$11))))</f>
        <v>-226.90990188352853</v>
      </c>
      <c r="F1907" s="1">
        <f t="shared" si="179"/>
        <v>-228.91193469272758</v>
      </c>
      <c r="G1907" s="1">
        <f t="shared" si="177"/>
        <v>3.8442349354260314E-100</v>
      </c>
      <c r="H1907" s="1">
        <f t="shared" si="174"/>
        <v>3.7733965458609506E-101</v>
      </c>
      <c r="I1907">
        <f>IF($F$11&lt;=D1907, IF(D1907&lt;=$A$15,D1907-$F$11,$C$11),0)</f>
        <v>60</v>
      </c>
      <c r="J1907">
        <f t="shared" si="175"/>
        <v>1820</v>
      </c>
      <c r="K1907" s="5">
        <f>IF(D1907&lt;$F$11,H1907,0)</f>
        <v>0</v>
      </c>
      <c r="L1907">
        <f>IF(D1907&lt;$A$15,$D$11,$D$11*(1-$H$11))</f>
        <v>85</v>
      </c>
      <c r="M1907">
        <f t="shared" si="176"/>
        <v>1</v>
      </c>
      <c r="N1907">
        <f>IF(SUM(I1907:J1907)&lt;=($G$11/60*$F$11/($E$11/60)),1,0)</f>
        <v>0</v>
      </c>
    </row>
    <row r="1908" spans="4:14" x14ac:dyDescent="0.2">
      <c r="D1908">
        <f t="shared" si="178"/>
        <v>1885</v>
      </c>
      <c r="E1908" s="1">
        <f>IF($H$11=1,IF(D1908&lt;=$A$15, E1907+LN($D$11)-LN(60/$E$11)-LN(MIN(D1908,$F$11)), E1907-LN(60/$E$11)-LN(MIN(D1908,$F$11))), IF(D1908&lt;=$A$15, E1907+LN($D$11)-LN(60/$E$11)-LN(MIN(D1908,$F$11)), E1907+LN($D$11)+LN(1-$H$11)-LN(60/$E$11)-LN(MIN(D1908,$F$11))))</f>
        <v>-227.03159881850607</v>
      </c>
      <c r="F1908" s="1">
        <f t="shared" si="179"/>
        <v>-229.03363162770512</v>
      </c>
      <c r="G1908" s="1">
        <f t="shared" si="177"/>
        <v>3.4037496824084117E-100</v>
      </c>
      <c r="H1908" s="1">
        <f t="shared" si="174"/>
        <v>3.341028191647664E-101</v>
      </c>
      <c r="I1908">
        <f>IF($F$11&lt;=D1908, IF(D1908&lt;=$A$15,D1908-$F$11,$C$11),0)</f>
        <v>60</v>
      </c>
      <c r="J1908">
        <f t="shared" si="175"/>
        <v>1821</v>
      </c>
      <c r="K1908" s="5">
        <f>IF(D1908&lt;$F$11,H1908,0)</f>
        <v>0</v>
      </c>
      <c r="L1908">
        <f>IF(D1908&lt;$A$15,$D$11,$D$11*(1-$H$11))</f>
        <v>85</v>
      </c>
      <c r="M1908">
        <f t="shared" si="176"/>
        <v>1</v>
      </c>
      <c r="N1908">
        <f>IF(SUM(I1908:J1908)&lt;=($G$11/60*$F$11/($E$11/60)),1,0)</f>
        <v>0</v>
      </c>
    </row>
    <row r="1909" spans="4:14" x14ac:dyDescent="0.2">
      <c r="D1909">
        <f t="shared" si="178"/>
        <v>1886</v>
      </c>
      <c r="E1909" s="1">
        <f>IF($H$11=1,IF(D1909&lt;=$A$15, E1908+LN($D$11)-LN(60/$E$11)-LN(MIN(D1909,$F$11)), E1908-LN(60/$E$11)-LN(MIN(D1909,$F$11))), IF(D1909&lt;=$A$15, E1908+LN($D$11)-LN(60/$E$11)-LN(MIN(D1909,$F$11)), E1908+LN($D$11)+LN(1-$H$11)-LN(60/$E$11)-LN(MIN(D1909,$F$11))))</f>
        <v>-227.1532957534836</v>
      </c>
      <c r="F1909" s="1">
        <f t="shared" si="179"/>
        <v>-229.15532856268266</v>
      </c>
      <c r="G1909" s="1">
        <f t="shared" si="177"/>
        <v>3.0137366979657343E-100</v>
      </c>
      <c r="H1909" s="1">
        <f t="shared" si="174"/>
        <v>2.95820204468799E-101</v>
      </c>
      <c r="I1909">
        <f>IF($F$11&lt;=D1909, IF(D1909&lt;=$A$15,D1909-$F$11,$C$11),0)</f>
        <v>60</v>
      </c>
      <c r="J1909">
        <f t="shared" si="175"/>
        <v>1822</v>
      </c>
      <c r="K1909" s="5">
        <f>IF(D1909&lt;$F$11,H1909,0)</f>
        <v>0</v>
      </c>
      <c r="L1909">
        <f>IF(D1909&lt;$A$15,$D$11,$D$11*(1-$H$11))</f>
        <v>85</v>
      </c>
      <c r="M1909">
        <f t="shared" si="176"/>
        <v>1</v>
      </c>
      <c r="N1909">
        <f>IF(SUM(I1909:J1909)&lt;=($G$11/60*$F$11/($E$11/60)),1,0)</f>
        <v>0</v>
      </c>
    </row>
    <row r="1910" spans="4:14" x14ac:dyDescent="0.2">
      <c r="D1910">
        <f t="shared" si="178"/>
        <v>1887</v>
      </c>
      <c r="E1910" s="1">
        <f>IF($H$11=1,IF(D1910&lt;=$A$15, E1909+LN($D$11)-LN(60/$E$11)-LN(MIN(D1910,$F$11)), E1909-LN(60/$E$11)-LN(MIN(D1910,$F$11))), IF(D1910&lt;=$A$15, E1909+LN($D$11)-LN(60/$E$11)-LN(MIN(D1910,$F$11)), E1909+LN($D$11)+LN(1-$H$11)-LN(60/$E$11)-LN(MIN(D1910,$F$11))))</f>
        <v>-227.27499268846114</v>
      </c>
      <c r="F1910" s="1">
        <f t="shared" si="179"/>
        <v>-229.27702549766019</v>
      </c>
      <c r="G1910" s="1">
        <f t="shared" si="177"/>
        <v>2.6684127013237853E-100</v>
      </c>
      <c r="H1910" s="1">
        <f t="shared" si="174"/>
        <v>2.6192413937341166E-101</v>
      </c>
      <c r="I1910">
        <f>IF($F$11&lt;=D1910, IF(D1910&lt;=$A$15,D1910-$F$11,$C$11),0)</f>
        <v>60</v>
      </c>
      <c r="J1910">
        <f t="shared" si="175"/>
        <v>1823</v>
      </c>
      <c r="K1910" s="5">
        <f>IF(D1910&lt;$F$11,H1910,0)</f>
        <v>0</v>
      </c>
      <c r="L1910">
        <f>IF(D1910&lt;$A$15,$D$11,$D$11*(1-$H$11))</f>
        <v>85</v>
      </c>
      <c r="M1910">
        <f t="shared" si="176"/>
        <v>1</v>
      </c>
      <c r="N1910">
        <f>IF(SUM(I1910:J1910)&lt;=($G$11/60*$F$11/($E$11/60)),1,0)</f>
        <v>0</v>
      </c>
    </row>
    <row r="1911" spans="4:14" x14ac:dyDescent="0.2">
      <c r="D1911">
        <f t="shared" si="178"/>
        <v>1888</v>
      </c>
      <c r="E1911" s="1">
        <f>IF($H$11=1,IF(D1911&lt;=$A$15, E1910+LN($D$11)-LN(60/$E$11)-LN(MIN(D1911,$F$11)), E1910-LN(60/$E$11)-LN(MIN(D1911,$F$11))), IF(D1911&lt;=$A$15, E1910+LN($D$11)-LN(60/$E$11)-LN(MIN(D1911,$F$11)), E1910+LN($D$11)+LN(1-$H$11)-LN(60/$E$11)-LN(MIN(D1911,$F$11))))</f>
        <v>-227.39668962343868</v>
      </c>
      <c r="F1911" s="1">
        <f t="shared" si="179"/>
        <v>-229.39872243263773</v>
      </c>
      <c r="G1911" s="1">
        <f t="shared" si="177"/>
        <v>2.3626570792970646E-100</v>
      </c>
      <c r="H1911" s="1">
        <f t="shared" si="174"/>
        <v>2.3191199840353795E-101</v>
      </c>
      <c r="I1911">
        <f>IF($F$11&lt;=D1911, IF(D1911&lt;=$A$15,D1911-$F$11,$C$11),0)</f>
        <v>60</v>
      </c>
      <c r="J1911">
        <f t="shared" si="175"/>
        <v>1824</v>
      </c>
      <c r="K1911" s="5">
        <f>IF(D1911&lt;$F$11,H1911,0)</f>
        <v>0</v>
      </c>
      <c r="L1911">
        <f>IF(D1911&lt;$A$15,$D$11,$D$11*(1-$H$11))</f>
        <v>85</v>
      </c>
      <c r="M1911">
        <f t="shared" si="176"/>
        <v>1</v>
      </c>
      <c r="N1911">
        <f>IF(SUM(I1911:J1911)&lt;=($G$11/60*$F$11/($E$11/60)),1,0)</f>
        <v>0</v>
      </c>
    </row>
    <row r="1912" spans="4:14" x14ac:dyDescent="0.2">
      <c r="D1912">
        <f t="shared" si="178"/>
        <v>1889</v>
      </c>
      <c r="E1912" s="1">
        <f>IF($H$11=1,IF(D1912&lt;=$A$15, E1911+LN($D$11)-LN(60/$E$11)-LN(MIN(D1912,$F$11)), E1911-LN(60/$E$11)-LN(MIN(D1912,$F$11))), IF(D1912&lt;=$A$15, E1911+LN($D$11)-LN(60/$E$11)-LN(MIN(D1912,$F$11)), E1911+LN($D$11)+LN(1-$H$11)-LN(60/$E$11)-LN(MIN(D1912,$F$11))))</f>
        <v>-227.51838655841621</v>
      </c>
      <c r="F1912" s="1">
        <f t="shared" si="179"/>
        <v>-229.52041936761526</v>
      </c>
      <c r="G1912" s="1">
        <f t="shared" si="177"/>
        <v>2.0919359556275766E-100</v>
      </c>
      <c r="H1912" s="1">
        <f t="shared" si="174"/>
        <v>2.053387485864627E-101</v>
      </c>
      <c r="I1912">
        <f>IF($F$11&lt;=D1912, IF(D1912&lt;=$A$15,D1912-$F$11,$C$11),0)</f>
        <v>60</v>
      </c>
      <c r="J1912">
        <f t="shared" si="175"/>
        <v>1825</v>
      </c>
      <c r="K1912" s="5">
        <f>IF(D1912&lt;$F$11,H1912,0)</f>
        <v>0</v>
      </c>
      <c r="L1912">
        <f>IF(D1912&lt;$A$15,$D$11,$D$11*(1-$H$11))</f>
        <v>85</v>
      </c>
      <c r="M1912">
        <f t="shared" si="176"/>
        <v>1</v>
      </c>
      <c r="N1912">
        <f>IF(SUM(I1912:J1912)&lt;=($G$11/60*$F$11/($E$11/60)),1,0)</f>
        <v>0</v>
      </c>
    </row>
    <row r="1913" spans="4:14" x14ac:dyDescent="0.2">
      <c r="D1913">
        <f t="shared" si="178"/>
        <v>1890</v>
      </c>
      <c r="E1913" s="1">
        <f>IF($H$11=1,IF(D1913&lt;=$A$15, E1912+LN($D$11)-LN(60/$E$11)-LN(MIN(D1913,$F$11)), E1912-LN(60/$E$11)-LN(MIN(D1913,$F$11))), IF(D1913&lt;=$A$15, E1912+LN($D$11)-LN(60/$E$11)-LN(MIN(D1913,$F$11)), E1912+LN($D$11)+LN(1-$H$11)-LN(60/$E$11)-LN(MIN(D1913,$F$11))))</f>
        <v>-227.64008349339375</v>
      </c>
      <c r="F1913" s="1">
        <f t="shared" si="179"/>
        <v>-229.6421163025928</v>
      </c>
      <c r="G1913" s="1">
        <f t="shared" si="177"/>
        <v>1.8522349607118879E-100</v>
      </c>
      <c r="H1913" s="1">
        <f t="shared" si="174"/>
        <v>1.8181035031092766E-101</v>
      </c>
      <c r="I1913">
        <f>IF($F$11&lt;=D1913, IF(D1913&lt;=$A$15,D1913-$F$11,$C$11),0)</f>
        <v>60</v>
      </c>
      <c r="J1913">
        <f t="shared" si="175"/>
        <v>1826</v>
      </c>
      <c r="K1913" s="5">
        <f>IF(D1913&lt;$F$11,H1913,0)</f>
        <v>0</v>
      </c>
      <c r="L1913">
        <f>IF(D1913&lt;$A$15,$D$11,$D$11*(1-$H$11))</f>
        <v>85</v>
      </c>
      <c r="M1913">
        <f t="shared" si="176"/>
        <v>1</v>
      </c>
      <c r="N1913">
        <f>IF(SUM(I1913:J1913)&lt;=($G$11/60*$F$11/($E$11/60)),1,0)</f>
        <v>0</v>
      </c>
    </row>
    <row r="1914" spans="4:14" x14ac:dyDescent="0.2">
      <c r="D1914">
        <f t="shared" si="178"/>
        <v>1891</v>
      </c>
      <c r="E1914" s="1">
        <f>IF($H$11=1,IF(D1914&lt;=$A$15, E1913+LN($D$11)-LN(60/$E$11)-LN(MIN(D1914,$F$11)), E1913-LN(60/$E$11)-LN(MIN(D1914,$F$11))), IF(D1914&lt;=$A$15, E1913+LN($D$11)-LN(60/$E$11)-LN(MIN(D1914,$F$11)), E1913+LN($D$11)+LN(1-$H$11)-LN(60/$E$11)-LN(MIN(D1914,$F$11))))</f>
        <v>-227.76178042837128</v>
      </c>
      <c r="F1914" s="1">
        <f t="shared" si="179"/>
        <v>-229.76381323757033</v>
      </c>
      <c r="G1914" s="1">
        <f t="shared" si="177"/>
        <v>1.6399997047969584E-100</v>
      </c>
      <c r="H1914" s="1">
        <f t="shared" si="174"/>
        <v>1.6097791433779803E-101</v>
      </c>
      <c r="I1914">
        <f>IF($F$11&lt;=D1914, IF(D1914&lt;=$A$15,D1914-$F$11,$C$11),0)</f>
        <v>60</v>
      </c>
      <c r="J1914">
        <f t="shared" si="175"/>
        <v>1827</v>
      </c>
      <c r="K1914" s="5">
        <f>IF(D1914&lt;$F$11,H1914,0)</f>
        <v>0</v>
      </c>
      <c r="L1914">
        <f>IF(D1914&lt;$A$15,$D$11,$D$11*(1-$H$11))</f>
        <v>85</v>
      </c>
      <c r="M1914">
        <f t="shared" si="176"/>
        <v>1</v>
      </c>
      <c r="N1914">
        <f>IF(SUM(I1914:J1914)&lt;=($G$11/60*$F$11/($E$11/60)),1,0)</f>
        <v>0</v>
      </c>
    </row>
    <row r="1915" spans="4:14" x14ac:dyDescent="0.2">
      <c r="D1915">
        <f t="shared" si="178"/>
        <v>1892</v>
      </c>
      <c r="E1915" s="1">
        <f>IF($H$11=1,IF(D1915&lt;=$A$15, E1914+LN($D$11)-LN(60/$E$11)-LN(MIN(D1915,$F$11)), E1914-LN(60/$E$11)-LN(MIN(D1915,$F$11))), IF(D1915&lt;=$A$15, E1914+LN($D$11)-LN(60/$E$11)-LN(MIN(D1915,$F$11)), E1914+LN($D$11)+LN(1-$H$11)-LN(60/$E$11)-LN(MIN(D1915,$F$11))))</f>
        <v>-227.88347736334882</v>
      </c>
      <c r="F1915" s="1">
        <f t="shared" si="179"/>
        <v>-229.88551017254787</v>
      </c>
      <c r="G1915" s="1">
        <f t="shared" si="177"/>
        <v>1.4520830719556175E-100</v>
      </c>
      <c r="H1915" s="1">
        <f t="shared" si="174"/>
        <v>1.4253252831992309E-101</v>
      </c>
      <c r="I1915">
        <f>IF($F$11&lt;=D1915, IF(D1915&lt;=$A$15,D1915-$F$11,$C$11),0)</f>
        <v>60</v>
      </c>
      <c r="J1915">
        <f t="shared" si="175"/>
        <v>1828</v>
      </c>
      <c r="K1915" s="5">
        <f>IF(D1915&lt;$F$11,H1915,0)</f>
        <v>0</v>
      </c>
      <c r="L1915">
        <f>IF(D1915&lt;$A$15,$D$11,$D$11*(1-$H$11))</f>
        <v>85</v>
      </c>
      <c r="M1915">
        <f t="shared" si="176"/>
        <v>1</v>
      </c>
      <c r="N1915">
        <f>IF(SUM(I1915:J1915)&lt;=($G$11/60*$F$11/($E$11/60)),1,0)</f>
        <v>0</v>
      </c>
    </row>
    <row r="1916" spans="4:14" x14ac:dyDescent="0.2">
      <c r="D1916">
        <f t="shared" si="178"/>
        <v>1893</v>
      </c>
      <c r="E1916" s="1">
        <f>IF($H$11=1,IF(D1916&lt;=$A$15, E1915+LN($D$11)-LN(60/$E$11)-LN(MIN(D1916,$F$11)), E1915-LN(60/$E$11)-LN(MIN(D1916,$F$11))), IF(D1916&lt;=$A$15, E1915+LN($D$11)-LN(60/$E$11)-LN(MIN(D1916,$F$11)), E1915+LN($D$11)+LN(1-$H$11)-LN(60/$E$11)-LN(MIN(D1916,$F$11))))</f>
        <v>-228.00517429832635</v>
      </c>
      <c r="F1916" s="1">
        <f t="shared" si="179"/>
        <v>-230.0072071075254</v>
      </c>
      <c r="G1916" s="1">
        <f t="shared" si="177"/>
        <v>1.2856985532940164E-100</v>
      </c>
      <c r="H1916" s="1">
        <f t="shared" si="174"/>
        <v>1.2620067611659661E-101</v>
      </c>
      <c r="I1916">
        <f>IF($F$11&lt;=D1916, IF(D1916&lt;=$A$15,D1916-$F$11,$C$11),0)</f>
        <v>60</v>
      </c>
      <c r="J1916">
        <f t="shared" si="175"/>
        <v>1829</v>
      </c>
      <c r="K1916" s="5">
        <f>IF(D1916&lt;$F$11,H1916,0)</f>
        <v>0</v>
      </c>
      <c r="L1916">
        <f>IF(D1916&lt;$A$15,$D$11,$D$11*(1-$H$11))</f>
        <v>85</v>
      </c>
      <c r="M1916">
        <f t="shared" si="176"/>
        <v>1</v>
      </c>
      <c r="N1916">
        <f>IF(SUM(I1916:J1916)&lt;=($G$11/60*$F$11/($E$11/60)),1,0)</f>
        <v>0</v>
      </c>
    </row>
    <row r="1917" spans="4:14" x14ac:dyDescent="0.2">
      <c r="D1917">
        <f t="shared" si="178"/>
        <v>1894</v>
      </c>
      <c r="E1917" s="1">
        <f>IF($H$11=1,IF(D1917&lt;=$A$15, E1916+LN($D$11)-LN(60/$E$11)-LN(MIN(D1917,$F$11)), E1916-LN(60/$E$11)-LN(MIN(D1917,$F$11))), IF(D1917&lt;=$A$15, E1916+LN($D$11)-LN(60/$E$11)-LN(MIN(D1917,$F$11)), E1916+LN($D$11)+LN(1-$H$11)-LN(60/$E$11)-LN(MIN(D1917,$F$11))))</f>
        <v>-228.12687123330389</v>
      </c>
      <c r="F1917" s="1">
        <f t="shared" si="179"/>
        <v>-230.12890404250294</v>
      </c>
      <c r="G1917" s="1">
        <f t="shared" si="177"/>
        <v>1.1383789273957258E-100</v>
      </c>
      <c r="H1917" s="1">
        <f t="shared" si="174"/>
        <v>1.1174018197823483E-101</v>
      </c>
      <c r="I1917">
        <f>IF($F$11&lt;=D1917, IF(D1917&lt;=$A$15,D1917-$F$11,$C$11),0)</f>
        <v>60</v>
      </c>
      <c r="J1917">
        <f t="shared" si="175"/>
        <v>1830</v>
      </c>
      <c r="K1917" s="5">
        <f>IF(D1917&lt;$F$11,H1917,0)</f>
        <v>0</v>
      </c>
      <c r="L1917">
        <f>IF(D1917&lt;$A$15,$D$11,$D$11*(1-$H$11))</f>
        <v>85</v>
      </c>
      <c r="M1917">
        <f t="shared" si="176"/>
        <v>1</v>
      </c>
      <c r="N1917">
        <f>IF(SUM(I1917:J1917)&lt;=($G$11/60*$F$11/($E$11/60)),1,0)</f>
        <v>0</v>
      </c>
    </row>
    <row r="1918" spans="4:14" x14ac:dyDescent="0.2">
      <c r="D1918">
        <f t="shared" si="178"/>
        <v>1895</v>
      </c>
      <c r="E1918" s="1">
        <f>IF($H$11=1,IF(D1918&lt;=$A$15, E1917+LN($D$11)-LN(60/$E$11)-LN(MIN(D1918,$F$11)), E1917-LN(60/$E$11)-LN(MIN(D1918,$F$11))), IF(D1918&lt;=$A$15, E1917+LN($D$11)-LN(60/$E$11)-LN(MIN(D1918,$F$11)), E1917+LN($D$11)+LN(1-$H$11)-LN(60/$E$11)-LN(MIN(D1918,$F$11))))</f>
        <v>-228.24856816828142</v>
      </c>
      <c r="F1918" s="1">
        <f t="shared" si="179"/>
        <v>-230.25060097748047</v>
      </c>
      <c r="G1918" s="1">
        <f t="shared" si="177"/>
        <v>1.0079396752982831E-100</v>
      </c>
      <c r="H1918" s="1">
        <f t="shared" si="174"/>
        <v>9.8936619459893879E-102</v>
      </c>
      <c r="I1918">
        <f>IF($F$11&lt;=D1918, IF(D1918&lt;=$A$15,D1918-$F$11,$C$11),0)</f>
        <v>60</v>
      </c>
      <c r="J1918">
        <f t="shared" si="175"/>
        <v>1831</v>
      </c>
      <c r="K1918" s="5">
        <f>IF(D1918&lt;$F$11,H1918,0)</f>
        <v>0</v>
      </c>
      <c r="L1918">
        <f>IF(D1918&lt;$A$15,$D$11,$D$11*(1-$H$11))</f>
        <v>85</v>
      </c>
      <c r="M1918">
        <f t="shared" si="176"/>
        <v>1</v>
      </c>
      <c r="N1918">
        <f>IF(SUM(I1918:J1918)&lt;=($G$11/60*$F$11/($E$11/60)),1,0)</f>
        <v>0</v>
      </c>
    </row>
    <row r="1919" spans="4:14" x14ac:dyDescent="0.2">
      <c r="D1919">
        <f t="shared" si="178"/>
        <v>1896</v>
      </c>
      <c r="E1919" s="1">
        <f>IF($H$11=1,IF(D1919&lt;=$A$15, E1918+LN($D$11)-LN(60/$E$11)-LN(MIN(D1919,$F$11)), E1918-LN(60/$E$11)-LN(MIN(D1919,$F$11))), IF(D1919&lt;=$A$15, E1918+LN($D$11)-LN(60/$E$11)-LN(MIN(D1919,$F$11)), E1918+LN($D$11)+LN(1-$H$11)-LN(60/$E$11)-LN(MIN(D1919,$F$11))))</f>
        <v>-228.37026510325896</v>
      </c>
      <c r="F1919" s="1">
        <f t="shared" si="179"/>
        <v>-230.37229791245801</v>
      </c>
      <c r="G1919" s="1">
        <f t="shared" si="177"/>
        <v>8.9244658750367423E-101</v>
      </c>
      <c r="H1919" s="1">
        <f t="shared" si="174"/>
        <v>8.7600131813446335E-102</v>
      </c>
      <c r="I1919">
        <f>IF($F$11&lt;=D1919, IF(D1919&lt;=$A$15,D1919-$F$11,$C$11),0)</f>
        <v>60</v>
      </c>
      <c r="J1919">
        <f t="shared" si="175"/>
        <v>1832</v>
      </c>
      <c r="K1919" s="5">
        <f>IF(D1919&lt;$F$11,H1919,0)</f>
        <v>0</v>
      </c>
      <c r="L1919">
        <f>IF(D1919&lt;$A$15,$D$11,$D$11*(1-$H$11))</f>
        <v>85</v>
      </c>
      <c r="M1919">
        <f t="shared" si="176"/>
        <v>1</v>
      </c>
      <c r="N1919">
        <f>IF(SUM(I1919:J1919)&lt;=($G$11/60*$F$11/($E$11/60)),1,0)</f>
        <v>0</v>
      </c>
    </row>
    <row r="1920" spans="4:14" x14ac:dyDescent="0.2">
      <c r="D1920">
        <f t="shared" si="178"/>
        <v>1897</v>
      </c>
      <c r="E1920" s="1">
        <f>IF($H$11=1,IF(D1920&lt;=$A$15, E1919+LN($D$11)-LN(60/$E$11)-LN(MIN(D1920,$F$11)), E1919-LN(60/$E$11)-LN(MIN(D1920,$F$11))), IF(D1920&lt;=$A$15, E1919+LN($D$11)-LN(60/$E$11)-LN(MIN(D1920,$F$11)), E1919+LN($D$11)+LN(1-$H$11)-LN(60/$E$11)-LN(MIN(D1920,$F$11))))</f>
        <v>-228.49196203823649</v>
      </c>
      <c r="F1920" s="1">
        <f t="shared" si="179"/>
        <v>-230.49399484743554</v>
      </c>
      <c r="G1920" s="1">
        <f t="shared" si="177"/>
        <v>7.9018708268553254E-101</v>
      </c>
      <c r="H1920" s="1">
        <f t="shared" si="174"/>
        <v>7.756261670982106E-102</v>
      </c>
      <c r="I1920">
        <f>IF($F$11&lt;=D1920, IF(D1920&lt;=$A$15,D1920-$F$11,$C$11),0)</f>
        <v>60</v>
      </c>
      <c r="J1920">
        <f t="shared" si="175"/>
        <v>1833</v>
      </c>
      <c r="K1920" s="5">
        <f>IF(D1920&lt;$F$11,H1920,0)</f>
        <v>0</v>
      </c>
      <c r="L1920">
        <f>IF(D1920&lt;$A$15,$D$11,$D$11*(1-$H$11))</f>
        <v>85</v>
      </c>
      <c r="M1920">
        <f t="shared" si="176"/>
        <v>1</v>
      </c>
      <c r="N1920">
        <f>IF(SUM(I1920:J1920)&lt;=($G$11/60*$F$11/($E$11/60)),1,0)</f>
        <v>0</v>
      </c>
    </row>
    <row r="1921" spans="4:14" x14ac:dyDescent="0.2">
      <c r="D1921">
        <f t="shared" si="178"/>
        <v>1898</v>
      </c>
      <c r="E1921" s="1">
        <f>IF($H$11=1,IF(D1921&lt;=$A$15, E1920+LN($D$11)-LN(60/$E$11)-LN(MIN(D1921,$F$11)), E1920-LN(60/$E$11)-LN(MIN(D1921,$F$11))), IF(D1921&lt;=$A$15, E1920+LN($D$11)-LN(60/$E$11)-LN(MIN(D1921,$F$11)), E1920+LN($D$11)+LN(1-$H$11)-LN(60/$E$11)-LN(MIN(D1921,$F$11))))</f>
        <v>-228.61365897321403</v>
      </c>
      <c r="F1921" s="1">
        <f t="shared" si="179"/>
        <v>-230.61569178241308</v>
      </c>
      <c r="G1921" s="1">
        <f t="shared" si="177"/>
        <v>6.9964481279447096E-101</v>
      </c>
      <c r="H1921" s="1">
        <f t="shared" si="174"/>
        <v>6.8675233545152994E-102</v>
      </c>
      <c r="I1921">
        <f>IF($F$11&lt;=D1921, IF(D1921&lt;=$A$15,D1921-$F$11,$C$11),0)</f>
        <v>60</v>
      </c>
      <c r="J1921">
        <f t="shared" si="175"/>
        <v>1834</v>
      </c>
      <c r="K1921" s="5">
        <f>IF(D1921&lt;$F$11,H1921,0)</f>
        <v>0</v>
      </c>
      <c r="L1921">
        <f>IF(D1921&lt;$A$15,$D$11,$D$11*(1-$H$11))</f>
        <v>85</v>
      </c>
      <c r="M1921">
        <f t="shared" si="176"/>
        <v>1</v>
      </c>
      <c r="N1921">
        <f>IF(SUM(I1921:J1921)&lt;=($G$11/60*$F$11/($E$11/60)),1,0)</f>
        <v>0</v>
      </c>
    </row>
    <row r="1922" spans="4:14" x14ac:dyDescent="0.2">
      <c r="D1922">
        <f t="shared" si="178"/>
        <v>1899</v>
      </c>
      <c r="E1922" s="1">
        <f>IF($H$11=1,IF(D1922&lt;=$A$15, E1921+LN($D$11)-LN(60/$E$11)-LN(MIN(D1922,$F$11)), E1921-LN(60/$E$11)-LN(MIN(D1922,$F$11))), IF(D1922&lt;=$A$15, E1921+LN($D$11)-LN(60/$E$11)-LN(MIN(D1922,$F$11)), E1921+LN($D$11)+LN(1-$H$11)-LN(60/$E$11)-LN(MIN(D1922,$F$11))))</f>
        <v>-228.73535590819156</v>
      </c>
      <c r="F1922" s="1">
        <f t="shared" si="179"/>
        <v>-230.73738871739062</v>
      </c>
      <c r="G1922" s="1">
        <f t="shared" si="177"/>
        <v>6.1947717799509477E-101</v>
      </c>
      <c r="H1922" s="1">
        <f t="shared" si="174"/>
        <v>6.0806196368103258E-102</v>
      </c>
      <c r="I1922">
        <f>IF($F$11&lt;=D1922, IF(D1922&lt;=$A$15,D1922-$F$11,$C$11),0)</f>
        <v>60</v>
      </c>
      <c r="J1922">
        <f t="shared" si="175"/>
        <v>1835</v>
      </c>
      <c r="K1922" s="5">
        <f>IF(D1922&lt;$F$11,H1922,0)</f>
        <v>0</v>
      </c>
      <c r="L1922">
        <f>IF(D1922&lt;$A$15,$D$11,$D$11*(1-$H$11))</f>
        <v>85</v>
      </c>
      <c r="M1922">
        <f t="shared" si="176"/>
        <v>1</v>
      </c>
      <c r="N1922">
        <f>IF(SUM(I1922:J1922)&lt;=($G$11/60*$F$11/($E$11/60)),1,0)</f>
        <v>0</v>
      </c>
    </row>
    <row r="1923" spans="4:14" x14ac:dyDescent="0.2">
      <c r="D1923">
        <f t="shared" si="178"/>
        <v>1900</v>
      </c>
      <c r="E1923" s="1">
        <f>IF($H$11=1,IF(D1923&lt;=$A$15, E1922+LN($D$11)-LN(60/$E$11)-LN(MIN(D1923,$F$11)), E1922-LN(60/$E$11)-LN(MIN(D1923,$F$11))), IF(D1923&lt;=$A$15, E1922+LN($D$11)-LN(60/$E$11)-LN(MIN(D1923,$F$11)), E1922+LN($D$11)+LN(1-$H$11)-LN(60/$E$11)-LN(MIN(D1923,$F$11))))</f>
        <v>-228.8570528431691</v>
      </c>
      <c r="F1923" s="1">
        <f t="shared" si="179"/>
        <v>-230.85908565236815</v>
      </c>
      <c r="G1923" s="1">
        <f t="shared" si="177"/>
        <v>5.4849541801648165E-101</v>
      </c>
      <c r="H1923" s="1">
        <f t="shared" si="174"/>
        <v>5.3838819700923926E-102</v>
      </c>
      <c r="I1923">
        <f>IF($F$11&lt;=D1923, IF(D1923&lt;=$A$15,D1923-$F$11,$C$11),0)</f>
        <v>60</v>
      </c>
      <c r="J1923">
        <f t="shared" si="175"/>
        <v>1836</v>
      </c>
      <c r="K1923" s="5">
        <f>IF(D1923&lt;$F$11,H1923,0)</f>
        <v>0</v>
      </c>
      <c r="L1923">
        <f>IF(D1923&lt;$A$15,$D$11,$D$11*(1-$H$11))</f>
        <v>85</v>
      </c>
      <c r="M1923">
        <f t="shared" si="176"/>
        <v>1</v>
      </c>
      <c r="N1923">
        <f>IF(SUM(I1923:J1923)&lt;=($G$11/60*$F$11/($E$11/60)),1,0)</f>
        <v>0</v>
      </c>
    </row>
    <row r="1924" spans="4:14" x14ac:dyDescent="0.2">
      <c r="D1924">
        <f t="shared" si="178"/>
        <v>1901</v>
      </c>
      <c r="E1924" s="1">
        <f>IF($H$11=1,IF(D1924&lt;=$A$15, E1923+LN($D$11)-LN(60/$E$11)-LN(MIN(D1924,$F$11)), E1923-LN(60/$E$11)-LN(MIN(D1924,$F$11))), IF(D1924&lt;=$A$15, E1923+LN($D$11)-LN(60/$E$11)-LN(MIN(D1924,$F$11)), E1923+LN($D$11)+LN(1-$H$11)-LN(60/$E$11)-LN(MIN(D1924,$F$11))))</f>
        <v>-228.97874977814664</v>
      </c>
      <c r="F1924" s="1">
        <f t="shared" si="179"/>
        <v>-230.98078258734569</v>
      </c>
      <c r="G1924" s="1">
        <f t="shared" si="177"/>
        <v>4.8564698470208556E-101</v>
      </c>
      <c r="H1924" s="1">
        <f t="shared" si="174"/>
        <v>4.7669788276858977E-102</v>
      </c>
      <c r="I1924">
        <f>IF($F$11&lt;=D1924, IF(D1924&lt;=$A$15,D1924-$F$11,$C$11),0)</f>
        <v>60</v>
      </c>
      <c r="J1924">
        <f t="shared" si="175"/>
        <v>1837</v>
      </c>
      <c r="K1924" s="5">
        <f>IF(D1924&lt;$F$11,H1924,0)</f>
        <v>0</v>
      </c>
      <c r="L1924">
        <f>IF(D1924&lt;$A$15,$D$11,$D$11*(1-$H$11))</f>
        <v>85</v>
      </c>
      <c r="M1924">
        <f t="shared" si="176"/>
        <v>1</v>
      </c>
      <c r="N1924">
        <f>IF(SUM(I1924:J1924)&lt;=($G$11/60*$F$11/($E$11/60)),1,0)</f>
        <v>0</v>
      </c>
    </row>
    <row r="1925" spans="4:14" x14ac:dyDescent="0.2">
      <c r="D1925">
        <f t="shared" si="178"/>
        <v>1902</v>
      </c>
      <c r="E1925" s="1">
        <f>IF($H$11=1,IF(D1925&lt;=$A$15, E1924+LN($D$11)-LN(60/$E$11)-LN(MIN(D1925,$F$11)), E1924-LN(60/$E$11)-LN(MIN(D1925,$F$11))), IF(D1925&lt;=$A$15, E1924+LN($D$11)-LN(60/$E$11)-LN(MIN(D1925,$F$11)), E1924+LN($D$11)+LN(1-$H$11)-LN(60/$E$11)-LN(MIN(D1925,$F$11))))</f>
        <v>-229.10044671312417</v>
      </c>
      <c r="F1925" s="1">
        <f t="shared" si="179"/>
        <v>-231.10247952232322</v>
      </c>
      <c r="G1925" s="1">
        <f t="shared" si="177"/>
        <v>4.2999993437163153E-101</v>
      </c>
      <c r="H1925" s="1">
        <f t="shared" si="174"/>
        <v>4.2207625036801564E-102</v>
      </c>
      <c r="I1925">
        <f>IF($F$11&lt;=D1925, IF(D1925&lt;=$A$15,D1925-$F$11,$C$11),0)</f>
        <v>60</v>
      </c>
      <c r="J1925">
        <f t="shared" si="175"/>
        <v>1838</v>
      </c>
      <c r="K1925" s="5">
        <f>IF(D1925&lt;$F$11,H1925,0)</f>
        <v>0</v>
      </c>
      <c r="L1925">
        <f>IF(D1925&lt;$A$15,$D$11,$D$11*(1-$H$11))</f>
        <v>85</v>
      </c>
      <c r="M1925">
        <f t="shared" si="176"/>
        <v>1</v>
      </c>
      <c r="N1925">
        <f>IF(SUM(I1925:J1925)&lt;=($G$11/60*$F$11/($E$11/60)),1,0)</f>
        <v>0</v>
      </c>
    </row>
    <row r="1926" spans="4:14" x14ac:dyDescent="0.2">
      <c r="D1926">
        <f t="shared" si="178"/>
        <v>1903</v>
      </c>
      <c r="E1926" s="1">
        <f>IF($H$11=1,IF(D1926&lt;=$A$15, E1925+LN($D$11)-LN(60/$E$11)-LN(MIN(D1926,$F$11)), E1925-LN(60/$E$11)-LN(MIN(D1926,$F$11))), IF(D1926&lt;=$A$15, E1925+LN($D$11)-LN(60/$E$11)-LN(MIN(D1926,$F$11)), E1925+LN($D$11)+LN(1-$H$11)-LN(60/$E$11)-LN(MIN(D1926,$F$11))))</f>
        <v>-229.22214364810171</v>
      </c>
      <c r="F1926" s="1">
        <f t="shared" si="179"/>
        <v>-231.22417645730076</v>
      </c>
      <c r="G1926" s="1">
        <f t="shared" si="177"/>
        <v>3.8072910855820945E-101</v>
      </c>
      <c r="H1926" s="1">
        <f t="shared" si="174"/>
        <v>3.7371334668000793E-102</v>
      </c>
      <c r="I1926">
        <f>IF($F$11&lt;=D1926, IF(D1926&lt;=$A$15,D1926-$F$11,$C$11),0)</f>
        <v>60</v>
      </c>
      <c r="J1926">
        <f t="shared" si="175"/>
        <v>1839</v>
      </c>
      <c r="K1926" s="5">
        <f>IF(D1926&lt;$F$11,H1926,0)</f>
        <v>0</v>
      </c>
      <c r="L1926">
        <f>IF(D1926&lt;$A$15,$D$11,$D$11*(1-$H$11))</f>
        <v>85</v>
      </c>
      <c r="M1926">
        <f t="shared" si="176"/>
        <v>1</v>
      </c>
      <c r="N1926">
        <f>IF(SUM(I1926:J1926)&lt;=($G$11/60*$F$11/($E$11/60)),1,0)</f>
        <v>0</v>
      </c>
    </row>
    <row r="1927" spans="4:14" x14ac:dyDescent="0.2">
      <c r="D1927">
        <f t="shared" si="178"/>
        <v>1904</v>
      </c>
      <c r="E1927" s="1">
        <f>IF($H$11=1,IF(D1927&lt;=$A$15, E1926+LN($D$11)-LN(60/$E$11)-LN(MIN(D1927,$F$11)), E1926-LN(60/$E$11)-LN(MIN(D1927,$F$11))), IF(D1927&lt;=$A$15, E1926+LN($D$11)-LN(60/$E$11)-LN(MIN(D1927,$F$11)), E1926+LN($D$11)+LN(1-$H$11)-LN(60/$E$11)-LN(MIN(D1927,$F$11))))</f>
        <v>-229.34384058307924</v>
      </c>
      <c r="F1927" s="1">
        <f t="shared" si="179"/>
        <v>-231.34587339227829</v>
      </c>
      <c r="G1927" s="1">
        <f t="shared" si="177"/>
        <v>3.3710389820257598E-101</v>
      </c>
      <c r="H1927" s="1">
        <f t="shared" si="174"/>
        <v>3.3089202570625184E-102</v>
      </c>
      <c r="I1927">
        <f>IF($F$11&lt;=D1927, IF(D1927&lt;=$A$15,D1927-$F$11,$C$11),0)</f>
        <v>60</v>
      </c>
      <c r="J1927">
        <f t="shared" si="175"/>
        <v>1840</v>
      </c>
      <c r="K1927" s="5">
        <f>IF(D1927&lt;$F$11,H1927,0)</f>
        <v>0</v>
      </c>
      <c r="L1927">
        <f>IF(D1927&lt;$A$15,$D$11,$D$11*(1-$H$11))</f>
        <v>85</v>
      </c>
      <c r="M1927">
        <f t="shared" si="176"/>
        <v>1</v>
      </c>
      <c r="N1927">
        <f>IF(SUM(I1927:J1927)&lt;=($G$11/60*$F$11/($E$11/60)),1,0)</f>
        <v>0</v>
      </c>
    </row>
    <row r="1928" spans="4:14" x14ac:dyDescent="0.2">
      <c r="D1928">
        <f t="shared" si="178"/>
        <v>1905</v>
      </c>
      <c r="E1928" s="1">
        <f>IF($H$11=1,IF(D1928&lt;=$A$15, E1927+LN($D$11)-LN(60/$E$11)-LN(MIN(D1928,$F$11)), E1927-LN(60/$E$11)-LN(MIN(D1928,$F$11))), IF(D1928&lt;=$A$15, E1927+LN($D$11)-LN(60/$E$11)-LN(MIN(D1928,$F$11)), E1927+LN($D$11)+LN(1-$H$11)-LN(60/$E$11)-LN(MIN(D1928,$F$11))))</f>
        <v>-229.46553751805678</v>
      </c>
      <c r="F1928" s="1">
        <f t="shared" si="179"/>
        <v>-231.46757032725583</v>
      </c>
      <c r="G1928" s="1">
        <f t="shared" si="177"/>
        <v>2.984774098668595E-101</v>
      </c>
      <c r="H1928" s="1">
        <f t="shared" si="174"/>
        <v>2.9297731442740594E-102</v>
      </c>
      <c r="I1928">
        <f>IF($F$11&lt;=D1928, IF(D1928&lt;=$A$15,D1928-$F$11,$C$11),0)</f>
        <v>60</v>
      </c>
      <c r="J1928">
        <f t="shared" si="175"/>
        <v>1841</v>
      </c>
      <c r="K1928" s="5">
        <f>IF(D1928&lt;$F$11,H1928,0)</f>
        <v>0</v>
      </c>
      <c r="L1928">
        <f>IF(D1928&lt;$A$15,$D$11,$D$11*(1-$H$11))</f>
        <v>85</v>
      </c>
      <c r="M1928">
        <f t="shared" si="176"/>
        <v>1</v>
      </c>
      <c r="N1928">
        <f>IF(SUM(I1928:J1928)&lt;=($G$11/60*$F$11/($E$11/60)),1,0)</f>
        <v>0</v>
      </c>
    </row>
    <row r="1929" spans="4:14" x14ac:dyDescent="0.2">
      <c r="D1929">
        <f t="shared" si="178"/>
        <v>1906</v>
      </c>
      <c r="E1929" s="1">
        <f>IF($H$11=1,IF(D1929&lt;=$A$15, E1928+LN($D$11)-LN(60/$E$11)-LN(MIN(D1929,$F$11)), E1928-LN(60/$E$11)-LN(MIN(D1929,$F$11))), IF(D1929&lt;=$A$15, E1928+LN($D$11)-LN(60/$E$11)-LN(MIN(D1929,$F$11)), E1928+LN($D$11)+LN(1-$H$11)-LN(60/$E$11)-LN(MIN(D1929,$F$11))))</f>
        <v>-229.58723445303431</v>
      </c>
      <c r="F1929" s="1">
        <f t="shared" si="179"/>
        <v>-231.58926726223336</v>
      </c>
      <c r="G1929" s="1">
        <f t="shared" si="177"/>
        <v>2.6427687331961106E-101</v>
      </c>
      <c r="H1929" s="1">
        <f t="shared" si="174"/>
        <v>2.594069971492616E-102</v>
      </c>
      <c r="I1929">
        <f>IF($F$11&lt;=D1929, IF(D1929&lt;=$A$15,D1929-$F$11,$C$11),0)</f>
        <v>60</v>
      </c>
      <c r="J1929">
        <f t="shared" si="175"/>
        <v>1842</v>
      </c>
      <c r="K1929" s="5">
        <f>IF(D1929&lt;$F$11,H1929,0)</f>
        <v>0</v>
      </c>
      <c r="L1929">
        <f>IF(D1929&lt;$A$15,$D$11,$D$11*(1-$H$11))</f>
        <v>85</v>
      </c>
      <c r="M1929">
        <f t="shared" si="176"/>
        <v>1</v>
      </c>
      <c r="N1929">
        <f>IF(SUM(I1929:J1929)&lt;=($G$11/60*$F$11/($E$11/60)),1,0)</f>
        <v>0</v>
      </c>
    </row>
    <row r="1930" spans="4:14" x14ac:dyDescent="0.2">
      <c r="D1930">
        <f t="shared" si="178"/>
        <v>1907</v>
      </c>
      <c r="E1930" s="1">
        <f>IF($H$11=1,IF(D1930&lt;=$A$15, E1929+LN($D$11)-LN(60/$E$11)-LN(MIN(D1930,$F$11)), E1929-LN(60/$E$11)-LN(MIN(D1930,$F$11))), IF(D1930&lt;=$A$15, E1929+LN($D$11)-LN(60/$E$11)-LN(MIN(D1930,$F$11)), E1929+LN($D$11)+LN(1-$H$11)-LN(60/$E$11)-LN(MIN(D1930,$F$11))))</f>
        <v>-229.70893138801185</v>
      </c>
      <c r="F1930" s="1">
        <f t="shared" si="179"/>
        <v>-231.7109641972109</v>
      </c>
      <c r="G1930" s="1">
        <f t="shared" si="177"/>
        <v>2.3399514825173529E-101</v>
      </c>
      <c r="H1930" s="1">
        <f t="shared" si="174"/>
        <v>2.2968327872590513E-102</v>
      </c>
      <c r="I1930">
        <f>IF($F$11&lt;=D1930, IF(D1930&lt;=$A$15,D1930-$F$11,$C$11),0)</f>
        <v>60</v>
      </c>
      <c r="J1930">
        <f t="shared" si="175"/>
        <v>1843</v>
      </c>
      <c r="K1930" s="5">
        <f>IF(D1930&lt;$F$11,H1930,0)</f>
        <v>0</v>
      </c>
      <c r="L1930">
        <f>IF(D1930&lt;$A$15,$D$11,$D$11*(1-$H$11))</f>
        <v>85</v>
      </c>
      <c r="M1930">
        <f t="shared" si="176"/>
        <v>1</v>
      </c>
      <c r="N1930">
        <f>IF(SUM(I1930:J1930)&lt;=($G$11/60*$F$11/($E$11/60)),1,0)</f>
        <v>0</v>
      </c>
    </row>
    <row r="1931" spans="4:14" x14ac:dyDescent="0.2">
      <c r="D1931">
        <f t="shared" si="178"/>
        <v>1908</v>
      </c>
      <c r="E1931" s="1">
        <f>IF($H$11=1,IF(D1931&lt;=$A$15, E1930+LN($D$11)-LN(60/$E$11)-LN(MIN(D1931,$F$11)), E1930-LN(60/$E$11)-LN(MIN(D1931,$F$11))), IF(D1931&lt;=$A$15, E1930+LN($D$11)-LN(60/$E$11)-LN(MIN(D1931,$F$11)), E1930+LN($D$11)+LN(1-$H$11)-LN(60/$E$11)-LN(MIN(D1931,$F$11))))</f>
        <v>-229.83062832298938</v>
      </c>
      <c r="F1931" s="1">
        <f t="shared" si="179"/>
        <v>-231.83266113218843</v>
      </c>
      <c r="G1931" s="1">
        <f t="shared" si="177"/>
        <v>2.0718320418122072E-101</v>
      </c>
      <c r="H1931" s="1">
        <f t="shared" si="174"/>
        <v>2.0336540303855865E-102</v>
      </c>
      <c r="I1931">
        <f>IF($F$11&lt;=D1931, IF(D1931&lt;=$A$15,D1931-$F$11,$C$11),0)</f>
        <v>60</v>
      </c>
      <c r="J1931">
        <f t="shared" si="175"/>
        <v>1844</v>
      </c>
      <c r="K1931" s="5">
        <f>IF(D1931&lt;$F$11,H1931,0)</f>
        <v>0</v>
      </c>
      <c r="L1931">
        <f>IF(D1931&lt;$A$15,$D$11,$D$11*(1-$H$11))</f>
        <v>85</v>
      </c>
      <c r="M1931">
        <f t="shared" si="176"/>
        <v>1</v>
      </c>
      <c r="N1931">
        <f>IF(SUM(I1931:J1931)&lt;=($G$11/60*$F$11/($E$11/60)),1,0)</f>
        <v>0</v>
      </c>
    </row>
    <row r="1932" spans="4:14" x14ac:dyDescent="0.2">
      <c r="D1932">
        <f t="shared" si="178"/>
        <v>1909</v>
      </c>
      <c r="E1932" s="1">
        <f>IF($H$11=1,IF(D1932&lt;=$A$15, E1931+LN($D$11)-LN(60/$E$11)-LN(MIN(D1932,$F$11)), E1931-LN(60/$E$11)-LN(MIN(D1932,$F$11))), IF(D1932&lt;=$A$15, E1931+LN($D$11)-LN(60/$E$11)-LN(MIN(D1932,$F$11)), E1931+LN($D$11)+LN(1-$H$11)-LN(60/$E$11)-LN(MIN(D1932,$F$11))))</f>
        <v>-229.95232525796692</v>
      </c>
      <c r="F1932" s="1">
        <f t="shared" si="179"/>
        <v>-231.95435806716597</v>
      </c>
      <c r="G1932" s="1">
        <f t="shared" si="177"/>
        <v>1.8344346203545298E-101</v>
      </c>
      <c r="H1932" s="1">
        <f t="shared" si="174"/>
        <v>1.8006311727372101E-102</v>
      </c>
      <c r="I1932">
        <f>IF($F$11&lt;=D1932, IF(D1932&lt;=$A$15,D1932-$F$11,$C$11),0)</f>
        <v>60</v>
      </c>
      <c r="J1932">
        <f t="shared" si="175"/>
        <v>1845</v>
      </c>
      <c r="K1932" s="5">
        <f>IF(D1932&lt;$F$11,H1932,0)</f>
        <v>0</v>
      </c>
      <c r="L1932">
        <f>IF(D1932&lt;$A$15,$D$11,$D$11*(1-$H$11))</f>
        <v>85</v>
      </c>
      <c r="M1932">
        <f t="shared" si="176"/>
        <v>1</v>
      </c>
      <c r="N1932">
        <f>IF(SUM(I1932:J1932)&lt;=($G$11/60*$F$11/($E$11/60)),1,0)</f>
        <v>0</v>
      </c>
    </row>
    <row r="1933" spans="4:14" x14ac:dyDescent="0.2">
      <c r="D1933">
        <f t="shared" si="178"/>
        <v>1910</v>
      </c>
      <c r="E1933" s="1">
        <f>IF($H$11=1,IF(D1933&lt;=$A$15, E1932+LN($D$11)-LN(60/$E$11)-LN(MIN(D1933,$F$11)), E1932-LN(60/$E$11)-LN(MIN(D1933,$F$11))), IF(D1933&lt;=$A$15, E1932+LN($D$11)-LN(60/$E$11)-LN(MIN(D1933,$F$11)), E1932+LN($D$11)+LN(1-$H$11)-LN(60/$E$11)-LN(MIN(D1933,$F$11))))</f>
        <v>-230.07402219294445</v>
      </c>
      <c r="F1933" s="1">
        <f t="shared" si="179"/>
        <v>-232.07605500214351</v>
      </c>
      <c r="G1933" s="1">
        <f t="shared" si="177"/>
        <v>1.6242389867722145E-101</v>
      </c>
      <c r="H1933" s="1">
        <f t="shared" si="174"/>
        <v>1.5943088508610463E-102</v>
      </c>
      <c r="I1933">
        <f>IF($F$11&lt;=D1933, IF(D1933&lt;=$A$15,D1933-$F$11,$C$11),0)</f>
        <v>60</v>
      </c>
      <c r="J1933">
        <f t="shared" si="175"/>
        <v>1846</v>
      </c>
      <c r="K1933" s="5">
        <f>IF(D1933&lt;$F$11,H1933,0)</f>
        <v>0</v>
      </c>
      <c r="L1933">
        <f>IF(D1933&lt;$A$15,$D$11,$D$11*(1-$H$11))</f>
        <v>85</v>
      </c>
      <c r="M1933">
        <f t="shared" si="176"/>
        <v>1</v>
      </c>
      <c r="N1933">
        <f>IF(SUM(I1933:J1933)&lt;=($G$11/60*$F$11/($E$11/60)),1,0)</f>
        <v>0</v>
      </c>
    </row>
    <row r="1934" spans="4:14" x14ac:dyDescent="0.2">
      <c r="D1934">
        <f t="shared" si="178"/>
        <v>1911</v>
      </c>
      <c r="E1934" s="1">
        <f>IF($H$11=1,IF(D1934&lt;=$A$15, E1933+LN($D$11)-LN(60/$E$11)-LN(MIN(D1934,$F$11)), E1933-LN(60/$E$11)-LN(MIN(D1934,$F$11))), IF(D1934&lt;=$A$15, E1933+LN($D$11)-LN(60/$E$11)-LN(MIN(D1934,$F$11)), E1933+LN($D$11)+LN(1-$H$11)-LN(60/$E$11)-LN(MIN(D1934,$F$11))))</f>
        <v>-230.19571912792199</v>
      </c>
      <c r="F1934" s="1">
        <f t="shared" si="179"/>
        <v>-232.19775193712104</v>
      </c>
      <c r="G1934" s="1">
        <f t="shared" si="177"/>
        <v>1.4381282695378757E-101</v>
      </c>
      <c r="H1934" s="1">
        <f t="shared" si="174"/>
        <v>1.4116276283665294E-102</v>
      </c>
      <c r="I1934">
        <f>IF($F$11&lt;=D1934, IF(D1934&lt;=$A$15,D1934-$F$11,$C$11),0)</f>
        <v>60</v>
      </c>
      <c r="J1934">
        <f t="shared" si="175"/>
        <v>1847</v>
      </c>
      <c r="K1934" s="5">
        <f>IF(D1934&lt;$F$11,H1934,0)</f>
        <v>0</v>
      </c>
      <c r="L1934">
        <f>IF(D1934&lt;$A$15,$D$11,$D$11*(1-$H$11))</f>
        <v>85</v>
      </c>
      <c r="M1934">
        <f t="shared" si="176"/>
        <v>1</v>
      </c>
      <c r="N1934">
        <f>IF(SUM(I1934:J1934)&lt;=($G$11/60*$F$11/($E$11/60)),1,0)</f>
        <v>0</v>
      </c>
    </row>
    <row r="1935" spans="4:14" x14ac:dyDescent="0.2">
      <c r="D1935">
        <f t="shared" si="178"/>
        <v>1912</v>
      </c>
      <c r="E1935" s="1">
        <f>IF($H$11=1,IF(D1935&lt;=$A$15, E1934+LN($D$11)-LN(60/$E$11)-LN(MIN(D1935,$F$11)), E1934-LN(60/$E$11)-LN(MIN(D1935,$F$11))), IF(D1935&lt;=$A$15, E1934+LN($D$11)-LN(60/$E$11)-LN(MIN(D1935,$F$11)), E1934+LN($D$11)+LN(1-$H$11)-LN(60/$E$11)-LN(MIN(D1935,$F$11))))</f>
        <v>-230.31741606289953</v>
      </c>
      <c r="F1935" s="1">
        <f t="shared" si="179"/>
        <v>-232.31944887209858</v>
      </c>
      <c r="G1935" s="1">
        <f t="shared" si="177"/>
        <v>1.2733427386533076E-101</v>
      </c>
      <c r="H1935" s="1">
        <f t="shared" si="174"/>
        <v>1.2498786292828452E-102</v>
      </c>
      <c r="I1935">
        <f>IF($F$11&lt;=D1935, IF(D1935&lt;=$A$15,D1935-$F$11,$C$11),0)</f>
        <v>60</v>
      </c>
      <c r="J1935">
        <f t="shared" si="175"/>
        <v>1848</v>
      </c>
      <c r="K1935" s="5">
        <f>IF(D1935&lt;$F$11,H1935,0)</f>
        <v>0</v>
      </c>
      <c r="L1935">
        <f>IF(D1935&lt;$A$15,$D$11,$D$11*(1-$H$11))</f>
        <v>85</v>
      </c>
      <c r="M1935">
        <f t="shared" si="176"/>
        <v>1</v>
      </c>
      <c r="N1935">
        <f>IF(SUM(I1935:J1935)&lt;=($G$11/60*$F$11/($E$11/60)),1,0)</f>
        <v>0</v>
      </c>
    </row>
    <row r="1936" spans="4:14" x14ac:dyDescent="0.2">
      <c r="D1936">
        <f t="shared" si="178"/>
        <v>1913</v>
      </c>
      <c r="E1936" s="1">
        <f>IF($H$11=1,IF(D1936&lt;=$A$15, E1935+LN($D$11)-LN(60/$E$11)-LN(MIN(D1936,$F$11)), E1935-LN(60/$E$11)-LN(MIN(D1936,$F$11))), IF(D1936&lt;=$A$15, E1935+LN($D$11)-LN(60/$E$11)-LN(MIN(D1936,$F$11)), E1935+LN($D$11)+LN(1-$H$11)-LN(60/$E$11)-LN(MIN(D1936,$F$11))))</f>
        <v>-230.43911299787706</v>
      </c>
      <c r="F1936" s="1">
        <f t="shared" si="179"/>
        <v>-232.44114580707611</v>
      </c>
      <c r="G1936" s="1">
        <f t="shared" si="177"/>
        <v>1.1274388831825985E-101</v>
      </c>
      <c r="H1936" s="1">
        <f t="shared" si="174"/>
        <v>1.1066633696775018E-102</v>
      </c>
      <c r="I1936">
        <f>IF($F$11&lt;=D1936, IF(D1936&lt;=$A$15,D1936-$F$11,$C$11),0)</f>
        <v>60</v>
      </c>
      <c r="J1936">
        <f t="shared" si="175"/>
        <v>1849</v>
      </c>
      <c r="K1936" s="5">
        <f>IF(D1936&lt;$F$11,H1936,0)</f>
        <v>0</v>
      </c>
      <c r="L1936">
        <f>IF(D1936&lt;$A$15,$D$11,$D$11*(1-$H$11))</f>
        <v>85</v>
      </c>
      <c r="M1936">
        <f t="shared" si="176"/>
        <v>1</v>
      </c>
      <c r="N1936">
        <f>IF(SUM(I1936:J1936)&lt;=($G$11/60*$F$11/($E$11/60)),1,0)</f>
        <v>0</v>
      </c>
    </row>
    <row r="1937" spans="4:14" x14ac:dyDescent="0.2">
      <c r="D1937">
        <f t="shared" si="178"/>
        <v>1914</v>
      </c>
      <c r="E1937" s="1">
        <f>IF($H$11=1,IF(D1937&lt;=$A$15, E1936+LN($D$11)-LN(60/$E$11)-LN(MIN(D1937,$F$11)), E1936-LN(60/$E$11)-LN(MIN(D1937,$F$11))), IF(D1937&lt;=$A$15, E1936+LN($D$11)-LN(60/$E$11)-LN(MIN(D1937,$F$11)), E1936+LN($D$11)+LN(1-$H$11)-LN(60/$E$11)-LN(MIN(D1937,$F$11))))</f>
        <v>-230.5608099328546</v>
      </c>
      <c r="F1937" s="1">
        <f t="shared" si="179"/>
        <v>-232.56284274205365</v>
      </c>
      <c r="G1937" s="1">
        <f t="shared" si="177"/>
        <v>9.9825317781791013E-102</v>
      </c>
      <c r="H1937" s="1">
        <f t="shared" si="174"/>
        <v>9.7985819190193926E-103</v>
      </c>
      <c r="I1937">
        <f>IF($F$11&lt;=D1937, IF(D1937&lt;=$A$15,D1937-$F$11,$C$11),0)</f>
        <v>60</v>
      </c>
      <c r="J1937">
        <f t="shared" si="175"/>
        <v>1850</v>
      </c>
      <c r="K1937" s="5">
        <f>IF(D1937&lt;$F$11,H1937,0)</f>
        <v>0</v>
      </c>
      <c r="L1937">
        <f>IF(D1937&lt;$A$15,$D$11,$D$11*(1-$H$11))</f>
        <v>85</v>
      </c>
      <c r="M1937">
        <f t="shared" si="176"/>
        <v>1</v>
      </c>
      <c r="N1937">
        <f>IF(SUM(I1937:J1937)&lt;=($G$11/60*$F$11/($E$11/60)),1,0)</f>
        <v>0</v>
      </c>
    </row>
    <row r="1938" spans="4:14" x14ac:dyDescent="0.2">
      <c r="D1938">
        <f t="shared" si="178"/>
        <v>1915</v>
      </c>
      <c r="E1938" s="1">
        <f>IF($H$11=1,IF(D1938&lt;=$A$15, E1937+LN($D$11)-LN(60/$E$11)-LN(MIN(D1938,$F$11)), E1937-LN(60/$E$11)-LN(MIN(D1938,$F$11))), IF(D1938&lt;=$A$15, E1937+LN($D$11)-LN(60/$E$11)-LN(MIN(D1938,$F$11)), E1937+LN($D$11)+LN(1-$H$11)-LN(60/$E$11)-LN(MIN(D1938,$F$11))))</f>
        <v>-230.68250686783213</v>
      </c>
      <c r="F1938" s="1">
        <f t="shared" si="179"/>
        <v>-232.68453967703118</v>
      </c>
      <c r="G1938" s="1">
        <f t="shared" si="177"/>
        <v>8.838700011929275E-102</v>
      </c>
      <c r="H1938" s="1">
        <f t="shared" si="174"/>
        <v>8.6758277407982864E-103</v>
      </c>
      <c r="I1938">
        <f>IF($F$11&lt;=D1938, IF(D1938&lt;=$A$15,D1938-$F$11,$C$11),0)</f>
        <v>60</v>
      </c>
      <c r="J1938">
        <f t="shared" si="175"/>
        <v>1851</v>
      </c>
      <c r="K1938" s="5">
        <f>IF(D1938&lt;$F$11,H1938,0)</f>
        <v>0</v>
      </c>
      <c r="L1938">
        <f>IF(D1938&lt;$A$15,$D$11,$D$11*(1-$H$11))</f>
        <v>85</v>
      </c>
      <c r="M1938">
        <f t="shared" si="176"/>
        <v>1</v>
      </c>
      <c r="N1938">
        <f>IF(SUM(I1938:J1938)&lt;=($G$11/60*$F$11/($E$11/60)),1,0)</f>
        <v>0</v>
      </c>
    </row>
    <row r="1939" spans="4:14" x14ac:dyDescent="0.2">
      <c r="D1939">
        <f t="shared" si="178"/>
        <v>1916</v>
      </c>
      <c r="E1939" s="1">
        <f>IF($H$11=1,IF(D1939&lt;=$A$15, E1938+LN($D$11)-LN(60/$E$11)-LN(MIN(D1939,$F$11)), E1938-LN(60/$E$11)-LN(MIN(D1939,$F$11))), IF(D1939&lt;=$A$15, E1938+LN($D$11)-LN(60/$E$11)-LN(MIN(D1939,$F$11)), E1938+LN($D$11)+LN(1-$H$11)-LN(60/$E$11)-LN(MIN(D1939,$F$11))))</f>
        <v>-230.80420380280967</v>
      </c>
      <c r="F1939" s="1">
        <f t="shared" si="179"/>
        <v>-232.80623661200872</v>
      </c>
      <c r="G1939" s="1">
        <f t="shared" si="177"/>
        <v>7.8259323022289218E-102</v>
      </c>
      <c r="H1939" s="1">
        <f t="shared" si="174"/>
        <v>7.6817224788316944E-103</v>
      </c>
      <c r="I1939">
        <f>IF($F$11&lt;=D1939, IF(D1939&lt;=$A$15,D1939-$F$11,$C$11),0)</f>
        <v>60</v>
      </c>
      <c r="J1939">
        <f t="shared" si="175"/>
        <v>1852</v>
      </c>
      <c r="K1939" s="5">
        <f>IF(D1939&lt;$F$11,H1939,0)</f>
        <v>0</v>
      </c>
      <c r="L1939">
        <f>IF(D1939&lt;$A$15,$D$11,$D$11*(1-$H$11))</f>
        <v>85</v>
      </c>
      <c r="M1939">
        <f t="shared" si="176"/>
        <v>1</v>
      </c>
      <c r="N1939">
        <f>IF(SUM(I1939:J1939)&lt;=($G$11/60*$F$11/($E$11/60)),1,0)</f>
        <v>0</v>
      </c>
    </row>
    <row r="1940" spans="4:14" x14ac:dyDescent="0.2">
      <c r="D1940">
        <f t="shared" si="178"/>
        <v>1917</v>
      </c>
      <c r="E1940" s="1">
        <f>IF($H$11=1,IF(D1940&lt;=$A$15, E1939+LN($D$11)-LN(60/$E$11)-LN(MIN(D1940,$F$11)), E1939-LN(60/$E$11)-LN(MIN(D1940,$F$11))), IF(D1940&lt;=$A$15, E1939+LN($D$11)-LN(60/$E$11)-LN(MIN(D1940,$F$11)), E1939+LN($D$11)+LN(1-$H$11)-LN(60/$E$11)-LN(MIN(D1940,$F$11))))</f>
        <v>-230.9259007377872</v>
      </c>
      <c r="F1940" s="1">
        <f t="shared" si="179"/>
        <v>-232.92793354698625</v>
      </c>
      <c r="G1940" s="1">
        <f t="shared" si="177"/>
        <v>6.9292108925984168E-102</v>
      </c>
      <c r="H1940" s="1">
        <f t="shared" si="174"/>
        <v>6.8015251114654566E-103</v>
      </c>
      <c r="I1940">
        <f>IF($F$11&lt;=D1940, IF(D1940&lt;=$A$15,D1940-$F$11,$C$11),0)</f>
        <v>60</v>
      </c>
      <c r="J1940">
        <f t="shared" si="175"/>
        <v>1853</v>
      </c>
      <c r="K1940" s="5">
        <f>IF(D1940&lt;$F$11,H1940,0)</f>
        <v>0</v>
      </c>
      <c r="L1940">
        <f>IF(D1940&lt;$A$15,$D$11,$D$11*(1-$H$11))</f>
        <v>85</v>
      </c>
      <c r="M1940">
        <f t="shared" si="176"/>
        <v>1</v>
      </c>
      <c r="N1940">
        <f>IF(SUM(I1940:J1940)&lt;=($G$11/60*$F$11/($E$11/60)),1,0)</f>
        <v>0</v>
      </c>
    </row>
    <row r="1941" spans="4:14" x14ac:dyDescent="0.2">
      <c r="D1941">
        <f t="shared" si="178"/>
        <v>1918</v>
      </c>
      <c r="E1941" s="1">
        <f>IF($H$11=1,IF(D1941&lt;=$A$15, E1940+LN($D$11)-LN(60/$E$11)-LN(MIN(D1941,$F$11)), E1940-LN(60/$E$11)-LN(MIN(D1941,$F$11))), IF(D1941&lt;=$A$15, E1940+LN($D$11)-LN(60/$E$11)-LN(MIN(D1941,$F$11)), E1940+LN($D$11)+LN(1-$H$11)-LN(60/$E$11)-LN(MIN(D1941,$F$11))))</f>
        <v>-231.04759767276474</v>
      </c>
      <c r="F1941" s="1">
        <f t="shared" si="179"/>
        <v>-233.04963048196379</v>
      </c>
      <c r="G1941" s="1">
        <f t="shared" si="177"/>
        <v>6.135238811154752E-102</v>
      </c>
      <c r="H1941" s="1">
        <f t="shared" si="174"/>
        <v>6.0221836924432789E-103</v>
      </c>
      <c r="I1941">
        <f>IF($F$11&lt;=D1941, IF(D1941&lt;=$A$15,D1941-$F$11,$C$11),0)</f>
        <v>60</v>
      </c>
      <c r="J1941">
        <f t="shared" si="175"/>
        <v>1854</v>
      </c>
      <c r="K1941" s="5">
        <f>IF(D1941&lt;$F$11,H1941,0)</f>
        <v>0</v>
      </c>
      <c r="L1941">
        <f>IF(D1941&lt;$A$15,$D$11,$D$11*(1-$H$11))</f>
        <v>85</v>
      </c>
      <c r="M1941">
        <f t="shared" si="176"/>
        <v>1</v>
      </c>
      <c r="N1941">
        <f>IF(SUM(I1941:J1941)&lt;=($G$11/60*$F$11/($E$11/60)),1,0)</f>
        <v>0</v>
      </c>
    </row>
    <row r="1942" spans="4:14" x14ac:dyDescent="0.2">
      <c r="D1942">
        <f t="shared" si="178"/>
        <v>1919</v>
      </c>
      <c r="E1942" s="1">
        <f>IF($H$11=1,IF(D1942&lt;=$A$15, E1941+LN($D$11)-LN(60/$E$11)-LN(MIN(D1942,$F$11)), E1941-LN(60/$E$11)-LN(MIN(D1942,$F$11))), IF(D1942&lt;=$A$15, E1941+LN($D$11)-LN(60/$E$11)-LN(MIN(D1942,$F$11)), E1941+LN($D$11)+LN(1-$H$11)-LN(60/$E$11)-LN(MIN(D1942,$F$11))))</f>
        <v>-231.16929460774227</v>
      </c>
      <c r="F1942" s="1">
        <f t="shared" si="179"/>
        <v>-233.17132741694132</v>
      </c>
      <c r="G1942" s="1">
        <f t="shared" si="177"/>
        <v>5.4322426973765187E-102</v>
      </c>
      <c r="H1942" s="1">
        <f t="shared" si="174"/>
        <v>5.3321418110174031E-103</v>
      </c>
      <c r="I1942">
        <f>IF($F$11&lt;=D1942, IF(D1942&lt;=$A$15,D1942-$F$11,$C$11),0)</f>
        <v>60</v>
      </c>
      <c r="J1942">
        <f t="shared" si="175"/>
        <v>1855</v>
      </c>
      <c r="K1942" s="5">
        <f>IF(D1942&lt;$F$11,H1942,0)</f>
        <v>0</v>
      </c>
      <c r="L1942">
        <f>IF(D1942&lt;$A$15,$D$11,$D$11*(1-$H$11))</f>
        <v>85</v>
      </c>
      <c r="M1942">
        <f t="shared" si="176"/>
        <v>1</v>
      </c>
      <c r="N1942">
        <f>IF(SUM(I1942:J1942)&lt;=($G$11/60*$F$11/($E$11/60)),1,0)</f>
        <v>0</v>
      </c>
    </row>
    <row r="1943" spans="4:14" x14ac:dyDescent="0.2">
      <c r="D1943">
        <f t="shared" si="178"/>
        <v>1920</v>
      </c>
      <c r="E1943" s="1">
        <f>IF($H$11=1,IF(D1943&lt;=$A$15, E1942+LN($D$11)-LN(60/$E$11)-LN(MIN(D1943,$F$11)), E1942-LN(60/$E$11)-LN(MIN(D1943,$F$11))), IF(D1943&lt;=$A$15, E1942+LN($D$11)-LN(60/$E$11)-LN(MIN(D1943,$F$11)), E1942+LN($D$11)+LN(1-$H$11)-LN(60/$E$11)-LN(MIN(D1943,$F$11))))</f>
        <v>-231.29099154271981</v>
      </c>
      <c r="F1943" s="1">
        <f t="shared" si="179"/>
        <v>-233.29302435191886</v>
      </c>
      <c r="G1943" s="1">
        <f t="shared" si="177"/>
        <v>4.8097982216353844E-102</v>
      </c>
      <c r="H1943" s="1">
        <f t="shared" ref="H1943:H2006" si="180">G1943/$G$21</f>
        <v>4.7211672285049196E-103</v>
      </c>
      <c r="I1943">
        <f>IF($F$11&lt;=D1943, IF(D1943&lt;=$A$15,D1943-$F$11,$C$11),0)</f>
        <v>60</v>
      </c>
      <c r="J1943">
        <f t="shared" ref="J1943:J2006" si="181">IF(D1943&lt;=$A$15,0,D1943-$A$15)</f>
        <v>1856</v>
      </c>
      <c r="K1943" s="5">
        <f>IF(D1943&lt;$F$11,H1943,0)</f>
        <v>0</v>
      </c>
      <c r="L1943">
        <f>IF(D1943&lt;$A$15,$D$11,$D$11*(1-$H$11))</f>
        <v>85</v>
      </c>
      <c r="M1943">
        <f t="shared" ref="M1943:M2006" si="182">IF(D1943&lt;$A$15,0,1)</f>
        <v>1</v>
      </c>
      <c r="N1943">
        <f>IF(SUM(I1943:J1943)&lt;=($G$11/60*$F$11/($E$11/60)),1,0)</f>
        <v>0</v>
      </c>
    </row>
    <row r="1944" spans="4:14" x14ac:dyDescent="0.2">
      <c r="D1944">
        <f t="shared" si="178"/>
        <v>1921</v>
      </c>
      <c r="E1944" s="1">
        <f>IF($H$11=1,IF(D1944&lt;=$A$15, E1943+LN($D$11)-LN(60/$E$11)-LN(MIN(D1944,$F$11)), E1943-LN(60/$E$11)-LN(MIN(D1944,$F$11))), IF(D1944&lt;=$A$15, E1943+LN($D$11)-LN(60/$E$11)-LN(MIN(D1944,$F$11)), E1943+LN($D$11)+LN(1-$H$11)-LN(60/$E$11)-LN(MIN(D1944,$F$11))))</f>
        <v>-231.41268847769734</v>
      </c>
      <c r="F1944" s="1">
        <f t="shared" si="179"/>
        <v>-233.41472128689639</v>
      </c>
      <c r="G1944" s="1">
        <f t="shared" ref="G1944:G2007" si="183">EXP(F1944)</f>
        <v>4.2586755087395967E-102</v>
      </c>
      <c r="H1944" s="1">
        <f t="shared" si="180"/>
        <v>4.1802001502386654E-103</v>
      </c>
      <c r="I1944">
        <f>IF($F$11&lt;=D1944, IF(D1944&lt;=$A$15,D1944-$F$11,$C$11),0)</f>
        <v>60</v>
      </c>
      <c r="J1944">
        <f t="shared" si="181"/>
        <v>1857</v>
      </c>
      <c r="K1944" s="5">
        <f>IF(D1944&lt;$F$11,H1944,0)</f>
        <v>0</v>
      </c>
      <c r="L1944">
        <f>IF(D1944&lt;$A$15,$D$11,$D$11*(1-$H$11))</f>
        <v>85</v>
      </c>
      <c r="M1944">
        <f t="shared" si="182"/>
        <v>1</v>
      </c>
      <c r="N1944">
        <f>IF(SUM(I1944:J1944)&lt;=($G$11/60*$F$11/($E$11/60)),1,0)</f>
        <v>0</v>
      </c>
    </row>
    <row r="1945" spans="4:14" x14ac:dyDescent="0.2">
      <c r="D1945">
        <f t="shared" ref="D1945:D2008" si="184">1+D1944</f>
        <v>1922</v>
      </c>
      <c r="E1945" s="1">
        <f>IF($H$11=1,IF(D1945&lt;=$A$15, E1944+LN($D$11)-LN(60/$E$11)-LN(MIN(D1945,$F$11)), E1944-LN(60/$E$11)-LN(MIN(D1945,$F$11))), IF(D1945&lt;=$A$15, E1944+LN($D$11)-LN(60/$E$11)-LN(MIN(D1945,$F$11)), E1944+LN($D$11)+LN(1-$H$11)-LN(60/$E$11)-LN(MIN(D1945,$F$11))))</f>
        <v>-231.53438541267488</v>
      </c>
      <c r="F1945" s="1">
        <f t="shared" ref="F1945:F2008" si="185">E1945-$E$21</f>
        <v>-233.53641822187393</v>
      </c>
      <c r="G1945" s="1">
        <f t="shared" si="183"/>
        <v>3.7707022733631256E-102</v>
      </c>
      <c r="H1945" s="1">
        <f t="shared" si="180"/>
        <v>3.7012188830237602E-103</v>
      </c>
      <c r="I1945">
        <f>IF($F$11&lt;=D1945, IF(D1945&lt;=$A$15,D1945-$F$11,$C$11),0)</f>
        <v>60</v>
      </c>
      <c r="J1945">
        <f t="shared" si="181"/>
        <v>1858</v>
      </c>
      <c r="K1945" s="5">
        <f>IF(D1945&lt;$F$11,H1945,0)</f>
        <v>0</v>
      </c>
      <c r="L1945">
        <f>IF(D1945&lt;$A$15,$D$11,$D$11*(1-$H$11))</f>
        <v>85</v>
      </c>
      <c r="M1945">
        <f t="shared" si="182"/>
        <v>1</v>
      </c>
      <c r="N1945">
        <f>IF(SUM(I1945:J1945)&lt;=($G$11/60*$F$11/($E$11/60)),1,0)</f>
        <v>0</v>
      </c>
    </row>
    <row r="1946" spans="4:14" x14ac:dyDescent="0.2">
      <c r="D1946">
        <f t="shared" si="184"/>
        <v>1923</v>
      </c>
      <c r="E1946" s="1">
        <f>IF($H$11=1,IF(D1946&lt;=$A$15, E1945+LN($D$11)-LN(60/$E$11)-LN(MIN(D1946,$F$11)), E1945-LN(60/$E$11)-LN(MIN(D1946,$F$11))), IF(D1946&lt;=$A$15, E1945+LN($D$11)-LN(60/$E$11)-LN(MIN(D1946,$F$11)), E1945+LN($D$11)+LN(1-$H$11)-LN(60/$E$11)-LN(MIN(D1946,$F$11))))</f>
        <v>-231.65608234765241</v>
      </c>
      <c r="F1946" s="1">
        <f t="shared" si="185"/>
        <v>-233.65811515685147</v>
      </c>
      <c r="G1946" s="1">
        <f t="shared" si="183"/>
        <v>3.3386426378735483E-102</v>
      </c>
      <c r="H1946" s="1">
        <f t="shared" si="180"/>
        <v>3.2771208860105695E-103</v>
      </c>
      <c r="I1946">
        <f>IF($F$11&lt;=D1946, IF(D1946&lt;=$A$15,D1946-$F$11,$C$11),0)</f>
        <v>60</v>
      </c>
      <c r="J1946">
        <f t="shared" si="181"/>
        <v>1859</v>
      </c>
      <c r="K1946" s="5">
        <f>IF(D1946&lt;$F$11,H1946,0)</f>
        <v>0</v>
      </c>
      <c r="L1946">
        <f>IF(D1946&lt;$A$15,$D$11,$D$11*(1-$H$11))</f>
        <v>85</v>
      </c>
      <c r="M1946">
        <f t="shared" si="182"/>
        <v>1</v>
      </c>
      <c r="N1946">
        <f>IF(SUM(I1946:J1946)&lt;=($G$11/60*$F$11/($E$11/60)),1,0)</f>
        <v>0</v>
      </c>
    </row>
    <row r="1947" spans="4:14" x14ac:dyDescent="0.2">
      <c r="D1947">
        <f t="shared" si="184"/>
        <v>1924</v>
      </c>
      <c r="E1947" s="1">
        <f>IF($H$11=1,IF(D1947&lt;=$A$15, E1946+LN($D$11)-LN(60/$E$11)-LN(MIN(D1947,$F$11)), E1946-LN(60/$E$11)-LN(MIN(D1947,$F$11))), IF(D1947&lt;=$A$15, E1946+LN($D$11)-LN(60/$E$11)-LN(MIN(D1947,$F$11)), E1946+LN($D$11)+LN(1-$H$11)-LN(60/$E$11)-LN(MIN(D1947,$F$11))))</f>
        <v>-231.77777928262995</v>
      </c>
      <c r="F1947" s="1">
        <f t="shared" si="185"/>
        <v>-233.779812091829</v>
      </c>
      <c r="G1947" s="1">
        <f t="shared" si="183"/>
        <v>2.9560898356171581E-102</v>
      </c>
      <c r="H1947" s="1">
        <f t="shared" si="180"/>
        <v>2.9016174511551467E-103</v>
      </c>
      <c r="I1947">
        <f>IF($F$11&lt;=D1947, IF(D1947&lt;=$A$15,D1947-$F$11,$C$11),0)</f>
        <v>60</v>
      </c>
      <c r="J1947">
        <f t="shared" si="181"/>
        <v>1860</v>
      </c>
      <c r="K1947" s="5">
        <f>IF(D1947&lt;$F$11,H1947,0)</f>
        <v>0</v>
      </c>
      <c r="L1947">
        <f>IF(D1947&lt;$A$15,$D$11,$D$11*(1-$H$11))</f>
        <v>85</v>
      </c>
      <c r="M1947">
        <f t="shared" si="182"/>
        <v>1</v>
      </c>
      <c r="N1947">
        <f>IF(SUM(I1947:J1947)&lt;=($G$11/60*$F$11/($E$11/60)),1,0)</f>
        <v>0</v>
      </c>
    </row>
    <row r="1948" spans="4:14" x14ac:dyDescent="0.2">
      <c r="D1948">
        <f t="shared" si="184"/>
        <v>1925</v>
      </c>
      <c r="E1948" s="1">
        <f>IF($H$11=1,IF(D1948&lt;=$A$15, E1947+LN($D$11)-LN(60/$E$11)-LN(MIN(D1948,$F$11)), E1947-LN(60/$E$11)-LN(MIN(D1948,$F$11))), IF(D1948&lt;=$A$15, E1947+LN($D$11)-LN(60/$E$11)-LN(MIN(D1948,$F$11)), E1947+LN($D$11)+LN(1-$H$11)-LN(60/$E$11)-LN(MIN(D1948,$F$11))))</f>
        <v>-231.89947621760749</v>
      </c>
      <c r="F1948" s="1">
        <f t="shared" si="185"/>
        <v>-233.90150902680654</v>
      </c>
      <c r="G1948" s="1">
        <f t="shared" si="183"/>
        <v>2.6173712086193176E-102</v>
      </c>
      <c r="H1948" s="1">
        <f t="shared" si="180"/>
        <v>2.5691404515435791E-103</v>
      </c>
      <c r="I1948">
        <f>IF($F$11&lt;=D1948, IF(D1948&lt;=$A$15,D1948-$F$11,$C$11),0)</f>
        <v>60</v>
      </c>
      <c r="J1948">
        <f t="shared" si="181"/>
        <v>1861</v>
      </c>
      <c r="K1948" s="5">
        <f>IF(D1948&lt;$F$11,H1948,0)</f>
        <v>0</v>
      </c>
      <c r="L1948">
        <f>IF(D1948&lt;$A$15,$D$11,$D$11*(1-$H$11))</f>
        <v>85</v>
      </c>
      <c r="M1948">
        <f t="shared" si="182"/>
        <v>1</v>
      </c>
      <c r="N1948">
        <f>IF(SUM(I1948:J1948)&lt;=($G$11/60*$F$11/($E$11/60)),1,0)</f>
        <v>0</v>
      </c>
    </row>
    <row r="1949" spans="4:14" x14ac:dyDescent="0.2">
      <c r="D1949">
        <f t="shared" si="184"/>
        <v>1926</v>
      </c>
      <c r="E1949" s="1">
        <f>IF($H$11=1,IF(D1949&lt;=$A$15, E1948+LN($D$11)-LN(60/$E$11)-LN(MIN(D1949,$F$11)), E1948-LN(60/$E$11)-LN(MIN(D1949,$F$11))), IF(D1949&lt;=$A$15, E1948+LN($D$11)-LN(60/$E$11)-LN(MIN(D1949,$F$11)), E1948+LN($D$11)+LN(1-$H$11)-LN(60/$E$11)-LN(MIN(D1949,$F$11))))</f>
        <v>-232.02117315258502</v>
      </c>
      <c r="F1949" s="1">
        <f t="shared" si="185"/>
        <v>-234.02320596178407</v>
      </c>
      <c r="G1949" s="1">
        <f t="shared" si="183"/>
        <v>2.3174640909649848E-102</v>
      </c>
      <c r="H1949" s="1">
        <f t="shared" si="180"/>
        <v>2.2747597748041754E-103</v>
      </c>
      <c r="I1949">
        <f>IF($F$11&lt;=D1949, IF(D1949&lt;=$A$15,D1949-$F$11,$C$11),0)</f>
        <v>60</v>
      </c>
      <c r="J1949">
        <f t="shared" si="181"/>
        <v>1862</v>
      </c>
      <c r="K1949" s="5">
        <f>IF(D1949&lt;$F$11,H1949,0)</f>
        <v>0</v>
      </c>
      <c r="L1949">
        <f>IF(D1949&lt;$A$15,$D$11,$D$11*(1-$H$11))</f>
        <v>85</v>
      </c>
      <c r="M1949">
        <f t="shared" si="182"/>
        <v>1</v>
      </c>
      <c r="N1949">
        <f>IF(SUM(I1949:J1949)&lt;=($G$11/60*$F$11/($E$11/60)),1,0)</f>
        <v>0</v>
      </c>
    </row>
    <row r="1950" spans="4:14" x14ac:dyDescent="0.2">
      <c r="D1950">
        <f t="shared" si="184"/>
        <v>1927</v>
      </c>
      <c r="E1950" s="1">
        <f>IF($H$11=1,IF(D1950&lt;=$A$15, E1949+LN($D$11)-LN(60/$E$11)-LN(MIN(D1950,$F$11)), E1949-LN(60/$E$11)-LN(MIN(D1950,$F$11))), IF(D1950&lt;=$A$15, E1949+LN($D$11)-LN(60/$E$11)-LN(MIN(D1950,$F$11)), E1949+LN($D$11)+LN(1-$H$11)-LN(60/$E$11)-LN(MIN(D1950,$F$11))))</f>
        <v>-232.14287008756256</v>
      </c>
      <c r="F1950" s="1">
        <f t="shared" si="185"/>
        <v>-234.14490289676161</v>
      </c>
      <c r="G1950" s="1">
        <f t="shared" si="183"/>
        <v>2.0519213305418815E-102</v>
      </c>
      <c r="H1950" s="1">
        <f t="shared" si="180"/>
        <v>2.0141102172744985E-103</v>
      </c>
      <c r="I1950">
        <f>IF($F$11&lt;=D1950, IF(D1950&lt;=$A$15,D1950-$F$11,$C$11),0)</f>
        <v>60</v>
      </c>
      <c r="J1950">
        <f t="shared" si="181"/>
        <v>1863</v>
      </c>
      <c r="K1950" s="5">
        <f>IF(D1950&lt;$F$11,H1950,0)</f>
        <v>0</v>
      </c>
      <c r="L1950">
        <f>IF(D1950&lt;$A$15,$D$11,$D$11*(1-$H$11))</f>
        <v>85</v>
      </c>
      <c r="M1950">
        <f t="shared" si="182"/>
        <v>1</v>
      </c>
      <c r="N1950">
        <f>IF(SUM(I1950:J1950)&lt;=($G$11/60*$F$11/($E$11/60)),1,0)</f>
        <v>0</v>
      </c>
    </row>
    <row r="1951" spans="4:14" x14ac:dyDescent="0.2">
      <c r="D1951">
        <f t="shared" si="184"/>
        <v>1928</v>
      </c>
      <c r="E1951" s="1">
        <f>IF($H$11=1,IF(D1951&lt;=$A$15, E1950+LN($D$11)-LN(60/$E$11)-LN(MIN(D1951,$F$11)), E1950-LN(60/$E$11)-LN(MIN(D1951,$F$11))), IF(D1951&lt;=$A$15, E1950+LN($D$11)-LN(60/$E$11)-LN(MIN(D1951,$F$11)), E1950+LN($D$11)+LN(1-$H$11)-LN(60/$E$11)-LN(MIN(D1951,$F$11))))</f>
        <v>-232.26456702254009</v>
      </c>
      <c r="F1951" s="1">
        <f t="shared" si="185"/>
        <v>-234.26659983173914</v>
      </c>
      <c r="G1951" s="1">
        <f t="shared" si="183"/>
        <v>1.8168053447505957E-102</v>
      </c>
      <c r="H1951" s="1">
        <f t="shared" si="180"/>
        <v>1.7833267548784342E-103</v>
      </c>
      <c r="I1951">
        <f>IF($F$11&lt;=D1951, IF(D1951&lt;=$A$15,D1951-$F$11,$C$11),0)</f>
        <v>60</v>
      </c>
      <c r="J1951">
        <f t="shared" si="181"/>
        <v>1864</v>
      </c>
      <c r="K1951" s="5">
        <f>IF(D1951&lt;$F$11,H1951,0)</f>
        <v>0</v>
      </c>
      <c r="L1951">
        <f>IF(D1951&lt;$A$15,$D$11,$D$11*(1-$H$11))</f>
        <v>85</v>
      </c>
      <c r="M1951">
        <f t="shared" si="182"/>
        <v>1</v>
      </c>
      <c r="N1951">
        <f>IF(SUM(I1951:J1951)&lt;=($G$11/60*$F$11/($E$11/60)),1,0)</f>
        <v>0</v>
      </c>
    </row>
    <row r="1952" spans="4:14" x14ac:dyDescent="0.2">
      <c r="D1952">
        <f t="shared" si="184"/>
        <v>1929</v>
      </c>
      <c r="E1952" s="1">
        <f>IF($H$11=1,IF(D1952&lt;=$A$15, E1951+LN($D$11)-LN(60/$E$11)-LN(MIN(D1952,$F$11)), E1951-LN(60/$E$11)-LN(MIN(D1952,$F$11))), IF(D1952&lt;=$A$15, E1951+LN($D$11)-LN(60/$E$11)-LN(MIN(D1952,$F$11)), E1951+LN($D$11)+LN(1-$H$11)-LN(60/$E$11)-LN(MIN(D1952,$F$11))))</f>
        <v>-232.38626395751763</v>
      </c>
      <c r="F1952" s="1">
        <f t="shared" si="185"/>
        <v>-234.38829676671668</v>
      </c>
      <c r="G1952" s="1">
        <f t="shared" si="183"/>
        <v>1.6086297323312316E-102</v>
      </c>
      <c r="H1952" s="1">
        <f t="shared" si="180"/>
        <v>1.5789872308819224E-103</v>
      </c>
      <c r="I1952">
        <f>IF($F$11&lt;=D1952, IF(D1952&lt;=$A$15,D1952-$F$11,$C$11),0)</f>
        <v>60</v>
      </c>
      <c r="J1952">
        <f t="shared" si="181"/>
        <v>1865</v>
      </c>
      <c r="K1952" s="5">
        <f>IF(D1952&lt;$F$11,H1952,0)</f>
        <v>0</v>
      </c>
      <c r="L1952">
        <f>IF(D1952&lt;$A$15,$D$11,$D$11*(1-$H$11))</f>
        <v>85</v>
      </c>
      <c r="M1952">
        <f t="shared" si="182"/>
        <v>1</v>
      </c>
      <c r="N1952">
        <f>IF(SUM(I1952:J1952)&lt;=($G$11/60*$F$11/($E$11/60)),1,0)</f>
        <v>0</v>
      </c>
    </row>
    <row r="1953" spans="4:14" x14ac:dyDescent="0.2">
      <c r="D1953">
        <f t="shared" si="184"/>
        <v>1930</v>
      </c>
      <c r="E1953" s="1">
        <f>IF($H$11=1,IF(D1953&lt;=$A$15, E1952+LN($D$11)-LN(60/$E$11)-LN(MIN(D1953,$F$11)), E1952-LN(60/$E$11)-LN(MIN(D1953,$F$11))), IF(D1953&lt;=$A$15, E1952+LN($D$11)-LN(60/$E$11)-LN(MIN(D1953,$F$11)), E1952+LN($D$11)+LN(1-$H$11)-LN(60/$E$11)-LN(MIN(D1953,$F$11))))</f>
        <v>-232.50796089249516</v>
      </c>
      <c r="F1953" s="1">
        <f t="shared" si="185"/>
        <v>-234.50999370169421</v>
      </c>
      <c r="G1953" s="1">
        <f t="shared" si="183"/>
        <v>1.4243075755015889E-102</v>
      </c>
      <c r="H1953" s="1">
        <f t="shared" si="180"/>
        <v>1.3980616106766802E-103</v>
      </c>
      <c r="I1953">
        <f>IF($F$11&lt;=D1953, IF(D1953&lt;=$A$15,D1953-$F$11,$C$11),0)</f>
        <v>60</v>
      </c>
      <c r="J1953">
        <f t="shared" si="181"/>
        <v>1866</v>
      </c>
      <c r="K1953" s="5">
        <f>IF(D1953&lt;$F$11,H1953,0)</f>
        <v>0</v>
      </c>
      <c r="L1953">
        <f>IF(D1953&lt;$A$15,$D$11,$D$11*(1-$H$11))</f>
        <v>85</v>
      </c>
      <c r="M1953">
        <f t="shared" si="182"/>
        <v>1</v>
      </c>
      <c r="N1953">
        <f>IF(SUM(I1953:J1953)&lt;=($G$11/60*$F$11/($E$11/60)),1,0)</f>
        <v>0</v>
      </c>
    </row>
    <row r="1954" spans="4:14" x14ac:dyDescent="0.2">
      <c r="D1954">
        <f t="shared" si="184"/>
        <v>1931</v>
      </c>
      <c r="E1954" s="1">
        <f>IF($H$11=1,IF(D1954&lt;=$A$15, E1953+LN($D$11)-LN(60/$E$11)-LN(MIN(D1954,$F$11)), E1953-LN(60/$E$11)-LN(MIN(D1954,$F$11))), IF(D1954&lt;=$A$15, E1953+LN($D$11)-LN(60/$E$11)-LN(MIN(D1954,$F$11)), E1953+LN($D$11)+LN(1-$H$11)-LN(60/$E$11)-LN(MIN(D1954,$F$11))))</f>
        <v>-232.6296578274727</v>
      </c>
      <c r="F1954" s="1">
        <f t="shared" si="185"/>
        <v>-234.63169063667175</v>
      </c>
      <c r="G1954" s="1">
        <f t="shared" si="183"/>
        <v>1.2611056658086789E-102</v>
      </c>
      <c r="H1954" s="1">
        <f t="shared" si="180"/>
        <v>1.2378670511199579E-103</v>
      </c>
      <c r="I1954">
        <f>IF($F$11&lt;=D1954, IF(D1954&lt;=$A$15,D1954-$F$11,$C$11),0)</f>
        <v>60</v>
      </c>
      <c r="J1954">
        <f t="shared" si="181"/>
        <v>1867</v>
      </c>
      <c r="K1954" s="5">
        <f>IF(D1954&lt;$F$11,H1954,0)</f>
        <v>0</v>
      </c>
      <c r="L1954">
        <f>IF(D1954&lt;$A$15,$D$11,$D$11*(1-$H$11))</f>
        <v>85</v>
      </c>
      <c r="M1954">
        <f t="shared" si="182"/>
        <v>1</v>
      </c>
      <c r="N1954">
        <f>IF(SUM(I1954:J1954)&lt;=($G$11/60*$F$11/($E$11/60)),1,0)</f>
        <v>0</v>
      </c>
    </row>
    <row r="1955" spans="4:14" x14ac:dyDescent="0.2">
      <c r="D1955">
        <f t="shared" si="184"/>
        <v>1932</v>
      </c>
      <c r="E1955" s="1">
        <f>IF($H$11=1,IF(D1955&lt;=$A$15, E1954+LN($D$11)-LN(60/$E$11)-LN(MIN(D1955,$F$11)), E1954-LN(60/$E$11)-LN(MIN(D1955,$F$11))), IF(D1955&lt;=$A$15, E1954+LN($D$11)-LN(60/$E$11)-LN(MIN(D1955,$F$11)), E1954+LN($D$11)+LN(1-$H$11)-LN(60/$E$11)-LN(MIN(D1955,$F$11))))</f>
        <v>-232.75135476245023</v>
      </c>
      <c r="F1955" s="1">
        <f t="shared" si="185"/>
        <v>-234.75338757164928</v>
      </c>
      <c r="G1955" s="1">
        <f t="shared" si="183"/>
        <v>1.1166039749347502E-102</v>
      </c>
      <c r="H1955" s="1">
        <f t="shared" si="180"/>
        <v>1.0960281181791123E-103</v>
      </c>
      <c r="I1955">
        <f>IF($F$11&lt;=D1955, IF(D1955&lt;=$A$15,D1955-$F$11,$C$11),0)</f>
        <v>60</v>
      </c>
      <c r="J1955">
        <f t="shared" si="181"/>
        <v>1868</v>
      </c>
      <c r="K1955" s="5">
        <f>IF(D1955&lt;$F$11,H1955,0)</f>
        <v>0</v>
      </c>
      <c r="L1955">
        <f>IF(D1955&lt;$A$15,$D$11,$D$11*(1-$H$11))</f>
        <v>85</v>
      </c>
      <c r="M1955">
        <f t="shared" si="182"/>
        <v>1</v>
      </c>
      <c r="N1955">
        <f>IF(SUM(I1955:J1955)&lt;=($G$11/60*$F$11/($E$11/60)),1,0)</f>
        <v>0</v>
      </c>
    </row>
    <row r="1956" spans="4:14" x14ac:dyDescent="0.2">
      <c r="D1956">
        <f t="shared" si="184"/>
        <v>1933</v>
      </c>
      <c r="E1956" s="1">
        <f>IF($H$11=1,IF(D1956&lt;=$A$15, E1955+LN($D$11)-LN(60/$E$11)-LN(MIN(D1956,$F$11)), E1955-LN(60/$E$11)-LN(MIN(D1956,$F$11))), IF(D1956&lt;=$A$15, E1955+LN($D$11)-LN(60/$E$11)-LN(MIN(D1956,$F$11)), E1955+LN($D$11)+LN(1-$H$11)-LN(60/$E$11)-LN(MIN(D1956,$F$11))))</f>
        <v>-232.87305169742777</v>
      </c>
      <c r="F1956" s="1">
        <f t="shared" si="185"/>
        <v>-234.87508450662682</v>
      </c>
      <c r="G1956" s="1">
        <f t="shared" si="183"/>
        <v>9.8865976947346126E-103</v>
      </c>
      <c r="H1956" s="1">
        <f t="shared" si="180"/>
        <v>9.7044156297107373E-104</v>
      </c>
      <c r="I1956">
        <f>IF($F$11&lt;=D1956, IF(D1956&lt;=$A$15,D1956-$F$11,$C$11),0)</f>
        <v>60</v>
      </c>
      <c r="J1956">
        <f t="shared" si="181"/>
        <v>1869</v>
      </c>
      <c r="K1956" s="5">
        <f>IF(D1956&lt;$F$11,H1956,0)</f>
        <v>0</v>
      </c>
      <c r="L1956">
        <f>IF(D1956&lt;$A$15,$D$11,$D$11*(1-$H$11))</f>
        <v>85</v>
      </c>
      <c r="M1956">
        <f t="shared" si="182"/>
        <v>1</v>
      </c>
      <c r="N1956">
        <f>IF(SUM(I1956:J1956)&lt;=($G$11/60*$F$11/($E$11/60)),1,0)</f>
        <v>0</v>
      </c>
    </row>
    <row r="1957" spans="4:14" x14ac:dyDescent="0.2">
      <c r="D1957">
        <f t="shared" si="184"/>
        <v>1934</v>
      </c>
      <c r="E1957" s="1">
        <f>IF($H$11=1,IF(D1957&lt;=$A$15, E1956+LN($D$11)-LN(60/$E$11)-LN(MIN(D1957,$F$11)), E1956-LN(60/$E$11)-LN(MIN(D1957,$F$11))), IF(D1957&lt;=$A$15, E1956+LN($D$11)-LN(60/$E$11)-LN(MIN(D1957,$F$11)), E1956+LN($D$11)+LN(1-$H$11)-LN(60/$E$11)-LN(MIN(D1957,$F$11))))</f>
        <v>-232.9947486324053</v>
      </c>
      <c r="F1957" s="1">
        <f t="shared" si="185"/>
        <v>-234.99678144160436</v>
      </c>
      <c r="G1957" s="1">
        <f t="shared" si="183"/>
        <v>8.7537583755461356E-103</v>
      </c>
      <c r="H1957" s="1">
        <f t="shared" si="180"/>
        <v>8.5924513388062491E-104</v>
      </c>
      <c r="I1957">
        <f>IF($F$11&lt;=D1957, IF(D1957&lt;=$A$15,D1957-$F$11,$C$11),0)</f>
        <v>60</v>
      </c>
      <c r="J1957">
        <f t="shared" si="181"/>
        <v>1870</v>
      </c>
      <c r="K1957" s="5">
        <f>IF(D1957&lt;$F$11,H1957,0)</f>
        <v>0</v>
      </c>
      <c r="L1957">
        <f>IF(D1957&lt;$A$15,$D$11,$D$11*(1-$H$11))</f>
        <v>85</v>
      </c>
      <c r="M1957">
        <f t="shared" si="182"/>
        <v>1</v>
      </c>
      <c r="N1957">
        <f>IF(SUM(I1957:J1957)&lt;=($G$11/60*$F$11/($E$11/60)),1,0)</f>
        <v>0</v>
      </c>
    </row>
    <row r="1958" spans="4:14" x14ac:dyDescent="0.2">
      <c r="D1958">
        <f t="shared" si="184"/>
        <v>1935</v>
      </c>
      <c r="E1958" s="1">
        <f>IF($H$11=1,IF(D1958&lt;=$A$15, E1957+LN($D$11)-LN(60/$E$11)-LN(MIN(D1958,$F$11)), E1957-LN(60/$E$11)-LN(MIN(D1958,$F$11))), IF(D1958&lt;=$A$15, E1957+LN($D$11)-LN(60/$E$11)-LN(MIN(D1958,$F$11)), E1957+LN($D$11)+LN(1-$H$11)-LN(60/$E$11)-LN(MIN(D1958,$F$11))))</f>
        <v>-233.11644556738284</v>
      </c>
      <c r="F1958" s="1">
        <f t="shared" si="185"/>
        <v>-235.11847837658189</v>
      </c>
      <c r="G1958" s="1">
        <f t="shared" si="183"/>
        <v>7.7507235616813524E-103</v>
      </c>
      <c r="H1958" s="1">
        <f t="shared" si="180"/>
        <v>7.6078996229012468E-104</v>
      </c>
      <c r="I1958">
        <f>IF($F$11&lt;=D1958, IF(D1958&lt;=$A$15,D1958-$F$11,$C$11),0)</f>
        <v>60</v>
      </c>
      <c r="J1958">
        <f t="shared" si="181"/>
        <v>1871</v>
      </c>
      <c r="K1958" s="5">
        <f>IF(D1958&lt;$F$11,H1958,0)</f>
        <v>0</v>
      </c>
      <c r="L1958">
        <f>IF(D1958&lt;$A$15,$D$11,$D$11*(1-$H$11))</f>
        <v>85</v>
      </c>
      <c r="M1958">
        <f t="shared" si="182"/>
        <v>1</v>
      </c>
      <c r="N1958">
        <f>IF(SUM(I1958:J1958)&lt;=($G$11/60*$F$11/($E$11/60)),1,0)</f>
        <v>0</v>
      </c>
    </row>
    <row r="1959" spans="4:14" x14ac:dyDescent="0.2">
      <c r="D1959">
        <f t="shared" si="184"/>
        <v>1936</v>
      </c>
      <c r="E1959" s="1">
        <f>IF($H$11=1,IF(D1959&lt;=$A$15, E1958+LN($D$11)-LN(60/$E$11)-LN(MIN(D1959,$F$11)), E1958-LN(60/$E$11)-LN(MIN(D1959,$F$11))), IF(D1959&lt;=$A$15, E1958+LN($D$11)-LN(60/$E$11)-LN(MIN(D1959,$F$11)), E1958+LN($D$11)+LN(1-$H$11)-LN(60/$E$11)-LN(MIN(D1959,$F$11))))</f>
        <v>-233.23814250236038</v>
      </c>
      <c r="F1959" s="1">
        <f t="shared" si="185"/>
        <v>-235.24017531155943</v>
      </c>
      <c r="G1959" s="1">
        <f t="shared" si="183"/>
        <v>6.8626198202385904E-103</v>
      </c>
      <c r="H1959" s="1">
        <f t="shared" si="180"/>
        <v>6.7361611244437066E-104</v>
      </c>
      <c r="I1959">
        <f>IF($F$11&lt;=D1959, IF(D1959&lt;=$A$15,D1959-$F$11,$C$11),0)</f>
        <v>60</v>
      </c>
      <c r="J1959">
        <f t="shared" si="181"/>
        <v>1872</v>
      </c>
      <c r="K1959" s="5">
        <f>IF(D1959&lt;$F$11,H1959,0)</f>
        <v>0</v>
      </c>
      <c r="L1959">
        <f>IF(D1959&lt;$A$15,$D$11,$D$11*(1-$H$11))</f>
        <v>85</v>
      </c>
      <c r="M1959">
        <f t="shared" si="182"/>
        <v>1</v>
      </c>
      <c r="N1959">
        <f>IF(SUM(I1959:J1959)&lt;=($G$11/60*$F$11/($E$11/60)),1,0)</f>
        <v>0</v>
      </c>
    </row>
    <row r="1960" spans="4:14" x14ac:dyDescent="0.2">
      <c r="D1960">
        <f t="shared" si="184"/>
        <v>1937</v>
      </c>
      <c r="E1960" s="1">
        <f>IF($H$11=1,IF(D1960&lt;=$A$15, E1959+LN($D$11)-LN(60/$E$11)-LN(MIN(D1960,$F$11)), E1959-LN(60/$E$11)-LN(MIN(D1960,$F$11))), IF(D1960&lt;=$A$15, E1959+LN($D$11)-LN(60/$E$11)-LN(MIN(D1960,$F$11)), E1959+LN($D$11)+LN(1-$H$11)-LN(60/$E$11)-LN(MIN(D1960,$F$11))))</f>
        <v>-233.35983943733791</v>
      </c>
      <c r="F1960" s="1">
        <f t="shared" si="185"/>
        <v>-235.36187224653696</v>
      </c>
      <c r="G1960" s="1">
        <f t="shared" si="183"/>
        <v>6.0762779658361566E-103</v>
      </c>
      <c r="H1960" s="1">
        <f t="shared" si="180"/>
        <v>5.9643093289344383E-104</v>
      </c>
      <c r="I1960">
        <f>IF($F$11&lt;=D1960, IF(D1960&lt;=$A$15,D1960-$F$11,$C$11),0)</f>
        <v>60</v>
      </c>
      <c r="J1960">
        <f t="shared" si="181"/>
        <v>1873</v>
      </c>
      <c r="K1960" s="5">
        <f>IF(D1960&lt;$F$11,H1960,0)</f>
        <v>0</v>
      </c>
      <c r="L1960">
        <f>IF(D1960&lt;$A$15,$D$11,$D$11*(1-$H$11))</f>
        <v>85</v>
      </c>
      <c r="M1960">
        <f t="shared" si="182"/>
        <v>1</v>
      </c>
      <c r="N1960">
        <f>IF(SUM(I1960:J1960)&lt;=($G$11/60*$F$11/($E$11/60)),1,0)</f>
        <v>0</v>
      </c>
    </row>
    <row r="1961" spans="4:14" x14ac:dyDescent="0.2">
      <c r="D1961">
        <f t="shared" si="184"/>
        <v>1938</v>
      </c>
      <c r="E1961" s="1">
        <f>IF($H$11=1,IF(D1961&lt;=$A$15, E1960+LN($D$11)-LN(60/$E$11)-LN(MIN(D1961,$F$11)), E1960-LN(60/$E$11)-LN(MIN(D1961,$F$11))), IF(D1961&lt;=$A$15, E1960+LN($D$11)-LN(60/$E$11)-LN(MIN(D1961,$F$11)), E1960+LN($D$11)+LN(1-$H$11)-LN(60/$E$11)-LN(MIN(D1961,$F$11))))</f>
        <v>-233.48153637231545</v>
      </c>
      <c r="F1961" s="1">
        <f t="shared" si="185"/>
        <v>-235.4835691815145</v>
      </c>
      <c r="G1961" s="1">
        <f t="shared" si="183"/>
        <v>5.3800377822506797E-103</v>
      </c>
      <c r="H1961" s="1">
        <f t="shared" si="180"/>
        <v>5.2808988849939517E-104</v>
      </c>
      <c r="I1961">
        <f>IF($F$11&lt;=D1961, IF(D1961&lt;=$A$15,D1961-$F$11,$C$11),0)</f>
        <v>60</v>
      </c>
      <c r="J1961">
        <f t="shared" si="181"/>
        <v>1874</v>
      </c>
      <c r="K1961" s="5">
        <f>IF(D1961&lt;$F$11,H1961,0)</f>
        <v>0</v>
      </c>
      <c r="L1961">
        <f>IF(D1961&lt;$A$15,$D$11,$D$11*(1-$H$11))</f>
        <v>85</v>
      </c>
      <c r="M1961">
        <f t="shared" si="182"/>
        <v>1</v>
      </c>
      <c r="N1961">
        <f>IF(SUM(I1961:J1961)&lt;=($G$11/60*$F$11/($E$11/60)),1,0)</f>
        <v>0</v>
      </c>
    </row>
    <row r="1962" spans="4:14" x14ac:dyDescent="0.2">
      <c r="D1962">
        <f t="shared" si="184"/>
        <v>1939</v>
      </c>
      <c r="E1962" s="1">
        <f>IF($H$11=1,IF(D1962&lt;=$A$15, E1961+LN($D$11)-LN(60/$E$11)-LN(MIN(D1962,$F$11)), E1961-LN(60/$E$11)-LN(MIN(D1962,$F$11))), IF(D1962&lt;=$A$15, E1961+LN($D$11)-LN(60/$E$11)-LN(MIN(D1962,$F$11)), E1961+LN($D$11)+LN(1-$H$11)-LN(60/$E$11)-LN(MIN(D1962,$F$11))))</f>
        <v>-233.60323330729298</v>
      </c>
      <c r="F1962" s="1">
        <f t="shared" si="185"/>
        <v>-235.60526611649203</v>
      </c>
      <c r="G1962" s="1">
        <f t="shared" si="183"/>
        <v>4.7635751197010486E-103</v>
      </c>
      <c r="H1962" s="1">
        <f t="shared" si="180"/>
        <v>4.675795887754989E-104</v>
      </c>
      <c r="I1962">
        <f>IF($F$11&lt;=D1962, IF(D1962&lt;=$A$15,D1962-$F$11,$C$11),0)</f>
        <v>60</v>
      </c>
      <c r="J1962">
        <f t="shared" si="181"/>
        <v>1875</v>
      </c>
      <c r="K1962" s="5">
        <f>IF(D1962&lt;$F$11,H1962,0)</f>
        <v>0</v>
      </c>
      <c r="L1962">
        <f>IF(D1962&lt;$A$15,$D$11,$D$11*(1-$H$11))</f>
        <v>85</v>
      </c>
      <c r="M1962">
        <f t="shared" si="182"/>
        <v>1</v>
      </c>
      <c r="N1962">
        <f>IF(SUM(I1962:J1962)&lt;=($G$11/60*$F$11/($E$11/60)),1,0)</f>
        <v>0</v>
      </c>
    </row>
    <row r="1963" spans="4:14" x14ac:dyDescent="0.2">
      <c r="D1963">
        <f t="shared" si="184"/>
        <v>1940</v>
      </c>
      <c r="E1963" s="1">
        <f>IF($H$11=1,IF(D1963&lt;=$A$15, E1962+LN($D$11)-LN(60/$E$11)-LN(MIN(D1963,$F$11)), E1962-LN(60/$E$11)-LN(MIN(D1963,$F$11))), IF(D1963&lt;=$A$15, E1962+LN($D$11)-LN(60/$E$11)-LN(MIN(D1963,$F$11)), E1962+LN($D$11)+LN(1-$H$11)-LN(60/$E$11)-LN(MIN(D1963,$F$11))))</f>
        <v>-233.72493024227052</v>
      </c>
      <c r="F1963" s="1">
        <f t="shared" si="185"/>
        <v>-235.72696305146957</v>
      </c>
      <c r="G1963" s="1">
        <f t="shared" si="183"/>
        <v>4.217748803901904E-103</v>
      </c>
      <c r="H1963" s="1">
        <f t="shared" si="180"/>
        <v>4.1400276089496646E-104</v>
      </c>
      <c r="I1963">
        <f>IF($F$11&lt;=D1963, IF(D1963&lt;=$A$15,D1963-$F$11,$C$11),0)</f>
        <v>60</v>
      </c>
      <c r="J1963">
        <f t="shared" si="181"/>
        <v>1876</v>
      </c>
      <c r="K1963" s="5">
        <f>IF(D1963&lt;$F$11,H1963,0)</f>
        <v>0</v>
      </c>
      <c r="L1963">
        <f>IF(D1963&lt;$A$15,$D$11,$D$11*(1-$H$11))</f>
        <v>85</v>
      </c>
      <c r="M1963">
        <f t="shared" si="182"/>
        <v>1</v>
      </c>
      <c r="N1963">
        <f>IF(SUM(I1963:J1963)&lt;=($G$11/60*$F$11/($E$11/60)),1,0)</f>
        <v>0</v>
      </c>
    </row>
    <row r="1964" spans="4:14" x14ac:dyDescent="0.2">
      <c r="D1964">
        <f t="shared" si="184"/>
        <v>1941</v>
      </c>
      <c r="E1964" s="1">
        <f>IF($H$11=1,IF(D1964&lt;=$A$15, E1963+LN($D$11)-LN(60/$E$11)-LN(MIN(D1964,$F$11)), E1963-LN(60/$E$11)-LN(MIN(D1964,$F$11))), IF(D1964&lt;=$A$15, E1963+LN($D$11)-LN(60/$E$11)-LN(MIN(D1964,$F$11)), E1963+LN($D$11)+LN(1-$H$11)-LN(60/$E$11)-LN(MIN(D1964,$F$11))))</f>
        <v>-233.84662717724805</v>
      </c>
      <c r="F1964" s="1">
        <f t="shared" si="185"/>
        <v>-235.8486599864471</v>
      </c>
      <c r="G1964" s="1">
        <f t="shared" si="183"/>
        <v>3.7344650867880859E-103</v>
      </c>
      <c r="H1964" s="1">
        <f t="shared" si="180"/>
        <v>3.6656494454241248E-104</v>
      </c>
      <c r="I1964">
        <f>IF($F$11&lt;=D1964, IF(D1964&lt;=$A$15,D1964-$F$11,$C$11),0)</f>
        <v>60</v>
      </c>
      <c r="J1964">
        <f t="shared" si="181"/>
        <v>1877</v>
      </c>
      <c r="K1964" s="5">
        <f>IF(D1964&lt;$F$11,H1964,0)</f>
        <v>0</v>
      </c>
      <c r="L1964">
        <f>IF(D1964&lt;$A$15,$D$11,$D$11*(1-$H$11))</f>
        <v>85</v>
      </c>
      <c r="M1964">
        <f t="shared" si="182"/>
        <v>1</v>
      </c>
      <c r="N1964">
        <f>IF(SUM(I1964:J1964)&lt;=($G$11/60*$F$11/($E$11/60)),1,0)</f>
        <v>0</v>
      </c>
    </row>
    <row r="1965" spans="4:14" x14ac:dyDescent="0.2">
      <c r="D1965">
        <f t="shared" si="184"/>
        <v>1942</v>
      </c>
      <c r="E1965" s="1">
        <f>IF($H$11=1,IF(D1965&lt;=$A$15, E1964+LN($D$11)-LN(60/$E$11)-LN(MIN(D1965,$F$11)), E1964-LN(60/$E$11)-LN(MIN(D1965,$F$11))), IF(D1965&lt;=$A$15, E1964+LN($D$11)-LN(60/$E$11)-LN(MIN(D1965,$F$11)), E1964+LN($D$11)+LN(1-$H$11)-LN(60/$E$11)-LN(MIN(D1965,$F$11))))</f>
        <v>-233.96832411222559</v>
      </c>
      <c r="F1965" s="1">
        <f t="shared" si="185"/>
        <v>-235.97035692142464</v>
      </c>
      <c r="G1965" s="1">
        <f t="shared" si="183"/>
        <v>3.3065576289268993E-103</v>
      </c>
      <c r="H1965" s="1">
        <f t="shared" si="180"/>
        <v>3.2456271131358936E-104</v>
      </c>
      <c r="I1965">
        <f>IF($F$11&lt;=D1965, IF(D1965&lt;=$A$15,D1965-$F$11,$C$11),0)</f>
        <v>60</v>
      </c>
      <c r="J1965">
        <f t="shared" si="181"/>
        <v>1878</v>
      </c>
      <c r="K1965" s="5">
        <f>IF(D1965&lt;$F$11,H1965,0)</f>
        <v>0</v>
      </c>
      <c r="L1965">
        <f>IF(D1965&lt;$A$15,$D$11,$D$11*(1-$H$11))</f>
        <v>85</v>
      </c>
      <c r="M1965">
        <f t="shared" si="182"/>
        <v>1</v>
      </c>
      <c r="N1965">
        <f>IF(SUM(I1965:J1965)&lt;=($G$11/60*$F$11/($E$11/60)),1,0)</f>
        <v>0</v>
      </c>
    </row>
    <row r="1966" spans="4:14" x14ac:dyDescent="0.2">
      <c r="D1966">
        <f t="shared" si="184"/>
        <v>1943</v>
      </c>
      <c r="E1966" s="1">
        <f>IF($H$11=1,IF(D1966&lt;=$A$15, E1965+LN($D$11)-LN(60/$E$11)-LN(MIN(D1966,$F$11)), E1965-LN(60/$E$11)-LN(MIN(D1966,$F$11))), IF(D1966&lt;=$A$15, E1965+LN($D$11)-LN(60/$E$11)-LN(MIN(D1966,$F$11)), E1965+LN($D$11)+LN(1-$H$11)-LN(60/$E$11)-LN(MIN(D1966,$F$11))))</f>
        <v>-234.09002104720312</v>
      </c>
      <c r="F1966" s="1">
        <f t="shared" si="185"/>
        <v>-236.09205385640217</v>
      </c>
      <c r="G1966" s="1">
        <f t="shared" si="183"/>
        <v>2.927681233945646E-103</v>
      </c>
      <c r="H1966" s="1">
        <f t="shared" si="180"/>
        <v>2.8737323397556939E-104</v>
      </c>
      <c r="I1966">
        <f>IF($F$11&lt;=D1966, IF(D1966&lt;=$A$15,D1966-$F$11,$C$11),0)</f>
        <v>60</v>
      </c>
      <c r="J1966">
        <f t="shared" si="181"/>
        <v>1879</v>
      </c>
      <c r="K1966" s="5">
        <f>IF(D1966&lt;$F$11,H1966,0)</f>
        <v>0</v>
      </c>
      <c r="L1966">
        <f>IF(D1966&lt;$A$15,$D$11,$D$11*(1-$H$11))</f>
        <v>85</v>
      </c>
      <c r="M1966">
        <f t="shared" si="182"/>
        <v>1</v>
      </c>
      <c r="N1966">
        <f>IF(SUM(I1966:J1966)&lt;=($G$11/60*$F$11/($E$11/60)),1,0)</f>
        <v>0</v>
      </c>
    </row>
    <row r="1967" spans="4:14" x14ac:dyDescent="0.2">
      <c r="D1967">
        <f t="shared" si="184"/>
        <v>1944</v>
      </c>
      <c r="E1967" s="1">
        <f>IF($H$11=1,IF(D1967&lt;=$A$15, E1966+LN($D$11)-LN(60/$E$11)-LN(MIN(D1967,$F$11)), E1966-LN(60/$E$11)-LN(MIN(D1967,$F$11))), IF(D1967&lt;=$A$15, E1966+LN($D$11)-LN(60/$E$11)-LN(MIN(D1967,$F$11)), E1966+LN($D$11)+LN(1-$H$11)-LN(60/$E$11)-LN(MIN(D1967,$F$11))))</f>
        <v>-234.21171798218066</v>
      </c>
      <c r="F1967" s="1">
        <f t="shared" si="185"/>
        <v>-236.21375079137971</v>
      </c>
      <c r="G1967" s="1">
        <f t="shared" si="183"/>
        <v>2.5922177592226669E-103</v>
      </c>
      <c r="H1967" s="1">
        <f t="shared" si="180"/>
        <v>2.5444505091586473E-104</v>
      </c>
      <c r="I1967">
        <f>IF($F$11&lt;=D1967, IF(D1967&lt;=$A$15,D1967-$F$11,$C$11),0)</f>
        <v>60</v>
      </c>
      <c r="J1967">
        <f t="shared" si="181"/>
        <v>1880</v>
      </c>
      <c r="K1967" s="5">
        <f>IF(D1967&lt;$F$11,H1967,0)</f>
        <v>0</v>
      </c>
      <c r="L1967">
        <f>IF(D1967&lt;$A$15,$D$11,$D$11*(1-$H$11))</f>
        <v>85</v>
      </c>
      <c r="M1967">
        <f t="shared" si="182"/>
        <v>1</v>
      </c>
      <c r="N1967">
        <f>IF(SUM(I1967:J1967)&lt;=($G$11/60*$F$11/($E$11/60)),1,0)</f>
        <v>0</v>
      </c>
    </row>
    <row r="1968" spans="4:14" x14ac:dyDescent="0.2">
      <c r="D1968">
        <f t="shared" si="184"/>
        <v>1945</v>
      </c>
      <c r="E1968" s="1">
        <f>IF($H$11=1,IF(D1968&lt;=$A$15, E1967+LN($D$11)-LN(60/$E$11)-LN(MIN(D1968,$F$11)), E1967-LN(60/$E$11)-LN(MIN(D1968,$F$11))), IF(D1968&lt;=$A$15, E1967+LN($D$11)-LN(60/$E$11)-LN(MIN(D1968,$F$11)), E1967+LN($D$11)+LN(1-$H$11)-LN(60/$E$11)-LN(MIN(D1968,$F$11))))</f>
        <v>-234.33341491715819</v>
      </c>
      <c r="F1968" s="1">
        <f t="shared" si="185"/>
        <v>-236.33544772635724</v>
      </c>
      <c r="G1968" s="1">
        <f t="shared" si="183"/>
        <v>2.2951928076450339E-103</v>
      </c>
      <c r="H1968" s="1">
        <f t="shared" si="180"/>
        <v>2.2528988883175172E-104</v>
      </c>
      <c r="I1968">
        <f>IF($F$11&lt;=D1968, IF(D1968&lt;=$A$15,D1968-$F$11,$C$11),0)</f>
        <v>60</v>
      </c>
      <c r="J1968">
        <f t="shared" si="181"/>
        <v>1881</v>
      </c>
      <c r="K1968" s="5">
        <f>IF(D1968&lt;$F$11,H1968,0)</f>
        <v>0</v>
      </c>
      <c r="L1968">
        <f>IF(D1968&lt;$A$15,$D$11,$D$11*(1-$H$11))</f>
        <v>85</v>
      </c>
      <c r="M1968">
        <f t="shared" si="182"/>
        <v>1</v>
      </c>
      <c r="N1968">
        <f>IF(SUM(I1968:J1968)&lt;=($G$11/60*$F$11/($E$11/60)),1,0)</f>
        <v>0</v>
      </c>
    </row>
    <row r="1969" spans="4:14" x14ac:dyDescent="0.2">
      <c r="D1969">
        <f t="shared" si="184"/>
        <v>1946</v>
      </c>
      <c r="E1969" s="1">
        <f>IF($H$11=1,IF(D1969&lt;=$A$15, E1968+LN($D$11)-LN(60/$E$11)-LN(MIN(D1969,$F$11)), E1968-LN(60/$E$11)-LN(MIN(D1969,$F$11))), IF(D1969&lt;=$A$15, E1968+LN($D$11)-LN(60/$E$11)-LN(MIN(D1969,$F$11)), E1968+LN($D$11)+LN(1-$H$11)-LN(60/$E$11)-LN(MIN(D1969,$F$11))))</f>
        <v>-234.45511185213573</v>
      </c>
      <c r="F1969" s="1">
        <f t="shared" si="185"/>
        <v>-236.45714466133478</v>
      </c>
      <c r="G1969" s="1">
        <f t="shared" si="183"/>
        <v>2.0322019651023421E-103</v>
      </c>
      <c r="H1969" s="1">
        <f t="shared" si="180"/>
        <v>1.9947542240311039E-104</v>
      </c>
      <c r="I1969">
        <f>IF($F$11&lt;=D1969, IF(D1969&lt;=$A$15,D1969-$F$11,$C$11),0)</f>
        <v>60</v>
      </c>
      <c r="J1969">
        <f t="shared" si="181"/>
        <v>1882</v>
      </c>
      <c r="K1969" s="5">
        <f>IF(D1969&lt;$F$11,H1969,0)</f>
        <v>0</v>
      </c>
      <c r="L1969">
        <f>IF(D1969&lt;$A$15,$D$11,$D$11*(1-$H$11))</f>
        <v>85</v>
      </c>
      <c r="M1969">
        <f t="shared" si="182"/>
        <v>1</v>
      </c>
      <c r="N1969">
        <f>IF(SUM(I1969:J1969)&lt;=($G$11/60*$F$11/($E$11/60)),1,0)</f>
        <v>0</v>
      </c>
    </row>
    <row r="1970" spans="4:14" x14ac:dyDescent="0.2">
      <c r="D1970">
        <f t="shared" si="184"/>
        <v>1947</v>
      </c>
      <c r="E1970" s="1">
        <f>IF($H$11=1,IF(D1970&lt;=$A$15, E1969+LN($D$11)-LN(60/$E$11)-LN(MIN(D1970,$F$11)), E1969-LN(60/$E$11)-LN(MIN(D1970,$F$11))), IF(D1970&lt;=$A$15, E1969+LN($D$11)-LN(60/$E$11)-LN(MIN(D1970,$F$11)), E1969+LN($D$11)+LN(1-$H$11)-LN(60/$E$11)-LN(MIN(D1970,$F$11))))</f>
        <v>-234.57680878711326</v>
      </c>
      <c r="F1970" s="1">
        <f t="shared" si="185"/>
        <v>-236.57884159631232</v>
      </c>
      <c r="G1970" s="1">
        <f t="shared" si="183"/>
        <v>1.7993454899343373E-103</v>
      </c>
      <c r="H1970" s="1">
        <f t="shared" si="180"/>
        <v>1.7661886358608456E-104</v>
      </c>
      <c r="I1970">
        <f>IF($F$11&lt;=D1970, IF(D1970&lt;=$A$15,D1970-$F$11,$C$11),0)</f>
        <v>60</v>
      </c>
      <c r="J1970">
        <f t="shared" si="181"/>
        <v>1883</v>
      </c>
      <c r="K1970" s="5">
        <f>IF(D1970&lt;$F$11,H1970,0)</f>
        <v>0</v>
      </c>
      <c r="L1970">
        <f>IF(D1970&lt;$A$15,$D$11,$D$11*(1-$H$11))</f>
        <v>85</v>
      </c>
      <c r="M1970">
        <f t="shared" si="182"/>
        <v>1</v>
      </c>
      <c r="N1970">
        <f>IF(SUM(I1970:J1970)&lt;=($G$11/60*$F$11/($E$11/60)),1,0)</f>
        <v>0</v>
      </c>
    </row>
    <row r="1971" spans="4:14" x14ac:dyDescent="0.2">
      <c r="D1971">
        <f t="shared" si="184"/>
        <v>1948</v>
      </c>
      <c r="E1971" s="1">
        <f>IF($H$11=1,IF(D1971&lt;=$A$15, E1970+LN($D$11)-LN(60/$E$11)-LN(MIN(D1971,$F$11)), E1970-LN(60/$E$11)-LN(MIN(D1971,$F$11))), IF(D1971&lt;=$A$15, E1970+LN($D$11)-LN(60/$E$11)-LN(MIN(D1971,$F$11)), E1970+LN($D$11)+LN(1-$H$11)-LN(60/$E$11)-LN(MIN(D1971,$F$11))))</f>
        <v>-234.6985057220908</v>
      </c>
      <c r="F1971" s="1">
        <f t="shared" si="185"/>
        <v>-236.70053853128985</v>
      </c>
      <c r="G1971" s="1">
        <f t="shared" si="183"/>
        <v>1.593170485879336E-103</v>
      </c>
      <c r="H1971" s="1">
        <f t="shared" si="180"/>
        <v>1.5638128546684324E-104</v>
      </c>
      <c r="I1971">
        <f>IF($F$11&lt;=D1971, IF(D1971&lt;=$A$15,D1971-$F$11,$C$11),0)</f>
        <v>60</v>
      </c>
      <c r="J1971">
        <f t="shared" si="181"/>
        <v>1884</v>
      </c>
      <c r="K1971" s="5">
        <f>IF(D1971&lt;$F$11,H1971,0)</f>
        <v>0</v>
      </c>
      <c r="L1971">
        <f>IF(D1971&lt;$A$15,$D$11,$D$11*(1-$H$11))</f>
        <v>85</v>
      </c>
      <c r="M1971">
        <f t="shared" si="182"/>
        <v>1</v>
      </c>
      <c r="N1971">
        <f>IF(SUM(I1971:J1971)&lt;=($G$11/60*$F$11/($E$11/60)),1,0)</f>
        <v>0</v>
      </c>
    </row>
    <row r="1972" spans="4:14" x14ac:dyDescent="0.2">
      <c r="D1972">
        <f t="shared" si="184"/>
        <v>1949</v>
      </c>
      <c r="E1972" s="1">
        <f>IF($H$11=1,IF(D1972&lt;=$A$15, E1971+LN($D$11)-LN(60/$E$11)-LN(MIN(D1972,$F$11)), E1971-LN(60/$E$11)-LN(MIN(D1972,$F$11))), IF(D1972&lt;=$A$15, E1971+LN($D$11)-LN(60/$E$11)-LN(MIN(D1972,$F$11)), E1971+LN($D$11)+LN(1-$H$11)-LN(60/$E$11)-LN(MIN(D1972,$F$11))))</f>
        <v>-234.82020265706834</v>
      </c>
      <c r="F1972" s="1">
        <f t="shared" si="185"/>
        <v>-236.82223546626739</v>
      </c>
      <c r="G1972" s="1">
        <f t="shared" si="183"/>
        <v>1.4106197010389735E-103</v>
      </c>
      <c r="H1972" s="1">
        <f t="shared" si="180"/>
        <v>1.3846259650709864E-104</v>
      </c>
      <c r="I1972">
        <f>IF($F$11&lt;=D1972, IF(D1972&lt;=$A$15,D1972-$F$11,$C$11),0)</f>
        <v>60</v>
      </c>
      <c r="J1972">
        <f t="shared" si="181"/>
        <v>1885</v>
      </c>
      <c r="K1972" s="5">
        <f>IF(D1972&lt;$F$11,H1972,0)</f>
        <v>0</v>
      </c>
      <c r="L1972">
        <f>IF(D1972&lt;$A$15,$D$11,$D$11*(1-$H$11))</f>
        <v>85</v>
      </c>
      <c r="M1972">
        <f t="shared" si="182"/>
        <v>1</v>
      </c>
      <c r="N1972">
        <f>IF(SUM(I1972:J1972)&lt;=($G$11/60*$F$11/($E$11/60)),1,0)</f>
        <v>0</v>
      </c>
    </row>
    <row r="1973" spans="4:14" x14ac:dyDescent="0.2">
      <c r="D1973">
        <f t="shared" si="184"/>
        <v>1950</v>
      </c>
      <c r="E1973" s="1">
        <f>IF($H$11=1,IF(D1973&lt;=$A$15, E1972+LN($D$11)-LN(60/$E$11)-LN(MIN(D1973,$F$11)), E1972-LN(60/$E$11)-LN(MIN(D1973,$F$11))), IF(D1973&lt;=$A$15, E1972+LN($D$11)-LN(60/$E$11)-LN(MIN(D1973,$F$11)), E1972+LN($D$11)+LN(1-$H$11)-LN(60/$E$11)-LN(MIN(D1973,$F$11))))</f>
        <v>-234.94189959204587</v>
      </c>
      <c r="F1973" s="1">
        <f t="shared" si="185"/>
        <v>-236.94393240124492</v>
      </c>
      <c r="G1973" s="1">
        <f t="shared" si="183"/>
        <v>1.2489861936282382E-103</v>
      </c>
      <c r="H1973" s="1">
        <f t="shared" si="180"/>
        <v>1.22597090657325E-104</v>
      </c>
      <c r="I1973">
        <f>IF($F$11&lt;=D1973, IF(D1973&lt;=$A$15,D1973-$F$11,$C$11),0)</f>
        <v>60</v>
      </c>
      <c r="J1973">
        <f t="shared" si="181"/>
        <v>1886</v>
      </c>
      <c r="K1973" s="5">
        <f>IF(D1973&lt;$F$11,H1973,0)</f>
        <v>0</v>
      </c>
      <c r="L1973">
        <f>IF(D1973&lt;$A$15,$D$11,$D$11*(1-$H$11))</f>
        <v>85</v>
      </c>
      <c r="M1973">
        <f t="shared" si="182"/>
        <v>1</v>
      </c>
      <c r="N1973">
        <f>IF(SUM(I1973:J1973)&lt;=($G$11/60*$F$11/($E$11/60)),1,0)</f>
        <v>0</v>
      </c>
    </row>
    <row r="1974" spans="4:14" x14ac:dyDescent="0.2">
      <c r="D1974">
        <f t="shared" si="184"/>
        <v>1951</v>
      </c>
      <c r="E1974" s="1">
        <f>IF($H$11=1,IF(D1974&lt;=$A$15, E1973+LN($D$11)-LN(60/$E$11)-LN(MIN(D1974,$F$11)), E1973-LN(60/$E$11)-LN(MIN(D1974,$F$11))), IF(D1974&lt;=$A$15, E1973+LN($D$11)-LN(60/$E$11)-LN(MIN(D1974,$F$11)), E1973+LN($D$11)+LN(1-$H$11)-LN(60/$E$11)-LN(MIN(D1974,$F$11))))</f>
        <v>-235.06359652702341</v>
      </c>
      <c r="F1974" s="1">
        <f t="shared" si="185"/>
        <v>-237.06562933622246</v>
      </c>
      <c r="G1974" s="1">
        <f t="shared" si="183"/>
        <v>1.1058731922749853E-103</v>
      </c>
      <c r="H1974" s="1">
        <f t="shared" si="180"/>
        <v>1.0854950735283814E-104</v>
      </c>
      <c r="I1974">
        <f>IF($F$11&lt;=D1974, IF(D1974&lt;=$A$15,D1974-$F$11,$C$11),0)</f>
        <v>60</v>
      </c>
      <c r="J1974">
        <f t="shared" si="181"/>
        <v>1887</v>
      </c>
      <c r="K1974" s="5">
        <f>IF(D1974&lt;$F$11,H1974,0)</f>
        <v>0</v>
      </c>
      <c r="L1974">
        <f>IF(D1974&lt;$A$15,$D$11,$D$11*(1-$H$11))</f>
        <v>85</v>
      </c>
      <c r="M1974">
        <f t="shared" si="182"/>
        <v>1</v>
      </c>
      <c r="N1974">
        <f>IF(SUM(I1974:J1974)&lt;=($G$11/60*$F$11/($E$11/60)),1,0)</f>
        <v>0</v>
      </c>
    </row>
    <row r="1975" spans="4:14" x14ac:dyDescent="0.2">
      <c r="D1975">
        <f t="shared" si="184"/>
        <v>1952</v>
      </c>
      <c r="E1975" s="1">
        <f>IF($H$11=1,IF(D1975&lt;=$A$15, E1974+LN($D$11)-LN(60/$E$11)-LN(MIN(D1975,$F$11)), E1974-LN(60/$E$11)-LN(MIN(D1975,$F$11))), IF(D1975&lt;=$A$15, E1974+LN($D$11)-LN(60/$E$11)-LN(MIN(D1975,$F$11)), E1974+LN($D$11)+LN(1-$H$11)-LN(60/$E$11)-LN(MIN(D1975,$F$11))))</f>
        <v>-235.18529346200094</v>
      </c>
      <c r="F1975" s="1">
        <f t="shared" si="185"/>
        <v>-237.18732627119999</v>
      </c>
      <c r="G1975" s="1">
        <f t="shared" si="183"/>
        <v>9.7915855566012788E-104</v>
      </c>
      <c r="H1975" s="1">
        <f t="shared" si="180"/>
        <v>9.6111542968657273E-105</v>
      </c>
      <c r="I1975">
        <f>IF($F$11&lt;=D1975, IF(D1975&lt;=$A$15,D1975-$F$11,$C$11),0)</f>
        <v>60</v>
      </c>
      <c r="J1975">
        <f t="shared" si="181"/>
        <v>1888</v>
      </c>
      <c r="K1975" s="5">
        <f>IF(D1975&lt;$F$11,H1975,0)</f>
        <v>0</v>
      </c>
      <c r="L1975">
        <f>IF(D1975&lt;$A$15,$D$11,$D$11*(1-$H$11))</f>
        <v>85</v>
      </c>
      <c r="M1975">
        <f t="shared" si="182"/>
        <v>1</v>
      </c>
      <c r="N1975">
        <f>IF(SUM(I1975:J1975)&lt;=($G$11/60*$F$11/($E$11/60)),1,0)</f>
        <v>0</v>
      </c>
    </row>
    <row r="1976" spans="4:14" x14ac:dyDescent="0.2">
      <c r="D1976">
        <f t="shared" si="184"/>
        <v>1953</v>
      </c>
      <c r="E1976" s="1">
        <f>IF($H$11=1,IF(D1976&lt;=$A$15, E1975+LN($D$11)-LN(60/$E$11)-LN(MIN(D1976,$F$11)), E1975-LN(60/$E$11)-LN(MIN(D1976,$F$11))), IF(D1976&lt;=$A$15, E1975+LN($D$11)-LN(60/$E$11)-LN(MIN(D1976,$F$11)), E1975+LN($D$11)+LN(1-$H$11)-LN(60/$E$11)-LN(MIN(D1976,$F$11))))</f>
        <v>-235.30699039697848</v>
      </c>
      <c r="F1976" s="1">
        <f t="shared" si="185"/>
        <v>-237.30902320617753</v>
      </c>
      <c r="G1976" s="1">
        <f t="shared" si="183"/>
        <v>8.6696330449072464E-104</v>
      </c>
      <c r="H1976" s="1">
        <f t="shared" si="180"/>
        <v>8.5098762003497288E-105</v>
      </c>
      <c r="I1976">
        <f>IF($F$11&lt;=D1976, IF(D1976&lt;=$A$15,D1976-$F$11,$C$11),0)</f>
        <v>60</v>
      </c>
      <c r="J1976">
        <f t="shared" si="181"/>
        <v>1889</v>
      </c>
      <c r="K1976" s="5">
        <f>IF(D1976&lt;$F$11,H1976,0)</f>
        <v>0</v>
      </c>
      <c r="L1976">
        <f>IF(D1976&lt;$A$15,$D$11,$D$11*(1-$H$11))</f>
        <v>85</v>
      </c>
      <c r="M1976">
        <f t="shared" si="182"/>
        <v>1</v>
      </c>
      <c r="N1976">
        <f>IF(SUM(I1976:J1976)&lt;=($G$11/60*$F$11/($E$11/60)),1,0)</f>
        <v>0</v>
      </c>
    </row>
    <row r="1977" spans="4:14" x14ac:dyDescent="0.2">
      <c r="D1977">
        <f t="shared" si="184"/>
        <v>1954</v>
      </c>
      <c r="E1977" s="1">
        <f>IF($H$11=1,IF(D1977&lt;=$A$15, E1976+LN($D$11)-LN(60/$E$11)-LN(MIN(D1977,$F$11)), E1976-LN(60/$E$11)-LN(MIN(D1977,$F$11))), IF(D1977&lt;=$A$15, E1976+LN($D$11)-LN(60/$E$11)-LN(MIN(D1977,$F$11)), E1976+LN($D$11)+LN(1-$H$11)-LN(60/$E$11)-LN(MIN(D1977,$F$11))))</f>
        <v>-235.42868733195601</v>
      </c>
      <c r="F1977" s="1">
        <f t="shared" si="185"/>
        <v>-237.43072014115506</v>
      </c>
      <c r="G1977" s="1">
        <f t="shared" si="183"/>
        <v>7.6762375918448383E-104</v>
      </c>
      <c r="H1977" s="1">
        <f t="shared" si="180"/>
        <v>7.5347862190595384E-105</v>
      </c>
      <c r="I1977">
        <f>IF($F$11&lt;=D1977, IF(D1977&lt;=$A$15,D1977-$F$11,$C$11),0)</f>
        <v>60</v>
      </c>
      <c r="J1977">
        <f t="shared" si="181"/>
        <v>1890</v>
      </c>
      <c r="K1977" s="5">
        <f>IF(D1977&lt;$F$11,H1977,0)</f>
        <v>0</v>
      </c>
      <c r="L1977">
        <f>IF(D1977&lt;$A$15,$D$11,$D$11*(1-$H$11))</f>
        <v>85</v>
      </c>
      <c r="M1977">
        <f t="shared" si="182"/>
        <v>1</v>
      </c>
      <c r="N1977">
        <f>IF(SUM(I1977:J1977)&lt;=($G$11/60*$F$11/($E$11/60)),1,0)</f>
        <v>0</v>
      </c>
    </row>
    <row r="1978" spans="4:14" x14ac:dyDescent="0.2">
      <c r="D1978">
        <f t="shared" si="184"/>
        <v>1955</v>
      </c>
      <c r="E1978" s="1">
        <f>IF($H$11=1,IF(D1978&lt;=$A$15, E1977+LN($D$11)-LN(60/$E$11)-LN(MIN(D1978,$F$11)), E1977-LN(60/$E$11)-LN(MIN(D1978,$F$11))), IF(D1978&lt;=$A$15, E1977+LN($D$11)-LN(60/$E$11)-LN(MIN(D1978,$F$11)), E1977+LN($D$11)+LN(1-$H$11)-LN(60/$E$11)-LN(MIN(D1978,$F$11))))</f>
        <v>-235.55038426693355</v>
      </c>
      <c r="F1978" s="1">
        <f t="shared" si="185"/>
        <v>-237.5524170761326</v>
      </c>
      <c r="G1978" s="1">
        <f t="shared" si="183"/>
        <v>6.7966687011125113E-104</v>
      </c>
      <c r="H1978" s="1">
        <f t="shared" si="180"/>
        <v>6.6714252981255294E-105</v>
      </c>
      <c r="I1978">
        <f>IF($F$11&lt;=D1978, IF(D1978&lt;=$A$15,D1978-$F$11,$C$11),0)</f>
        <v>60</v>
      </c>
      <c r="J1978">
        <f t="shared" si="181"/>
        <v>1891</v>
      </c>
      <c r="K1978" s="5">
        <f>IF(D1978&lt;$F$11,H1978,0)</f>
        <v>0</v>
      </c>
      <c r="L1978">
        <f>IF(D1978&lt;$A$15,$D$11,$D$11*(1-$H$11))</f>
        <v>85</v>
      </c>
      <c r="M1978">
        <f t="shared" si="182"/>
        <v>1</v>
      </c>
      <c r="N1978">
        <f>IF(SUM(I1978:J1978)&lt;=($G$11/60*$F$11/($E$11/60)),1,0)</f>
        <v>0</v>
      </c>
    </row>
    <row r="1979" spans="4:14" x14ac:dyDescent="0.2">
      <c r="D1979">
        <f t="shared" si="184"/>
        <v>1956</v>
      </c>
      <c r="E1979" s="1">
        <f>IF($H$11=1,IF(D1979&lt;=$A$15, E1978+LN($D$11)-LN(60/$E$11)-LN(MIN(D1979,$F$11)), E1978-LN(60/$E$11)-LN(MIN(D1979,$F$11))), IF(D1979&lt;=$A$15, E1978+LN($D$11)-LN(60/$E$11)-LN(MIN(D1979,$F$11)), E1978+LN($D$11)+LN(1-$H$11)-LN(60/$E$11)-LN(MIN(D1979,$F$11))))</f>
        <v>-235.67208120191108</v>
      </c>
      <c r="F1979" s="1">
        <f t="shared" si="185"/>
        <v>-237.67411401111013</v>
      </c>
      <c r="G1979" s="1">
        <f t="shared" si="183"/>
        <v>6.0178837457766082E-104</v>
      </c>
      <c r="H1979" s="1">
        <f t="shared" si="180"/>
        <v>5.9069911493818863E-105</v>
      </c>
      <c r="I1979">
        <f>IF($F$11&lt;=D1979, IF(D1979&lt;=$A$15,D1979-$F$11,$C$11),0)</f>
        <v>60</v>
      </c>
      <c r="J1979">
        <f t="shared" si="181"/>
        <v>1892</v>
      </c>
      <c r="K1979" s="5">
        <f>IF(D1979&lt;$F$11,H1979,0)</f>
        <v>0</v>
      </c>
      <c r="L1979">
        <f>IF(D1979&lt;$A$15,$D$11,$D$11*(1-$H$11))</f>
        <v>85</v>
      </c>
      <c r="M1979">
        <f t="shared" si="182"/>
        <v>1</v>
      </c>
      <c r="N1979">
        <f>IF(SUM(I1979:J1979)&lt;=($G$11/60*$F$11/($E$11/60)),1,0)</f>
        <v>0</v>
      </c>
    </row>
    <row r="1980" spans="4:14" x14ac:dyDescent="0.2">
      <c r="D1980">
        <f t="shared" si="184"/>
        <v>1957</v>
      </c>
      <c r="E1980" s="1">
        <f>IF($H$11=1,IF(D1980&lt;=$A$15, E1979+LN($D$11)-LN(60/$E$11)-LN(MIN(D1980,$F$11)), E1979-LN(60/$E$11)-LN(MIN(D1980,$F$11))), IF(D1980&lt;=$A$15, E1979+LN($D$11)-LN(60/$E$11)-LN(MIN(D1980,$F$11)), E1979+LN($D$11)+LN(1-$H$11)-LN(60/$E$11)-LN(MIN(D1980,$F$11))))</f>
        <v>-235.79377813688862</v>
      </c>
      <c r="F1980" s="1">
        <f t="shared" si="185"/>
        <v>-237.79581094608767</v>
      </c>
      <c r="G1980" s="1">
        <f t="shared" si="183"/>
        <v>5.3283345665729555E-104</v>
      </c>
      <c r="H1980" s="1">
        <f t="shared" si="180"/>
        <v>5.2301484135151305E-105</v>
      </c>
      <c r="I1980">
        <f>IF($F$11&lt;=D1980, IF(D1980&lt;=$A$15,D1980-$F$11,$C$11),0)</f>
        <v>60</v>
      </c>
      <c r="J1980">
        <f t="shared" si="181"/>
        <v>1893</v>
      </c>
      <c r="K1980" s="5">
        <f>IF(D1980&lt;$F$11,H1980,0)</f>
        <v>0</v>
      </c>
      <c r="L1980">
        <f>IF(D1980&lt;$A$15,$D$11,$D$11*(1-$H$11))</f>
        <v>85</v>
      </c>
      <c r="M1980">
        <f t="shared" si="182"/>
        <v>1</v>
      </c>
      <c r="N1980">
        <f>IF(SUM(I1980:J1980)&lt;=($G$11/60*$F$11/($E$11/60)),1,0)</f>
        <v>0</v>
      </c>
    </row>
    <row r="1981" spans="4:14" x14ac:dyDescent="0.2">
      <c r="D1981">
        <f t="shared" si="184"/>
        <v>1958</v>
      </c>
      <c r="E1981" s="1">
        <f>IF($H$11=1,IF(D1981&lt;=$A$15, E1980+LN($D$11)-LN(60/$E$11)-LN(MIN(D1981,$F$11)), E1980-LN(60/$E$11)-LN(MIN(D1981,$F$11))), IF(D1981&lt;=$A$15, E1980+LN($D$11)-LN(60/$E$11)-LN(MIN(D1981,$F$11)), E1980+LN($D$11)+LN(1-$H$11)-LN(60/$E$11)-LN(MIN(D1981,$F$11))))</f>
        <v>-235.91547507186615</v>
      </c>
      <c r="F1981" s="1">
        <f t="shared" si="185"/>
        <v>-237.91750788106521</v>
      </c>
      <c r="G1981" s="1">
        <f t="shared" si="183"/>
        <v>4.7177962308197307E-104</v>
      </c>
      <c r="H1981" s="1">
        <f t="shared" si="180"/>
        <v>4.6308605744664492E-105</v>
      </c>
      <c r="I1981">
        <f>IF($F$11&lt;=D1981, IF(D1981&lt;=$A$15,D1981-$F$11,$C$11),0)</f>
        <v>60</v>
      </c>
      <c r="J1981">
        <f t="shared" si="181"/>
        <v>1894</v>
      </c>
      <c r="K1981" s="5">
        <f>IF(D1981&lt;$F$11,H1981,0)</f>
        <v>0</v>
      </c>
      <c r="L1981">
        <f>IF(D1981&lt;$A$15,$D$11,$D$11*(1-$H$11))</f>
        <v>85</v>
      </c>
      <c r="M1981">
        <f t="shared" si="182"/>
        <v>1</v>
      </c>
      <c r="N1981">
        <f>IF(SUM(I1981:J1981)&lt;=($G$11/60*$F$11/($E$11/60)),1,0)</f>
        <v>0</v>
      </c>
    </row>
    <row r="1982" spans="4:14" x14ac:dyDescent="0.2">
      <c r="D1982">
        <f t="shared" si="184"/>
        <v>1959</v>
      </c>
      <c r="E1982" s="1">
        <f>IF($H$11=1,IF(D1982&lt;=$A$15, E1981+LN($D$11)-LN(60/$E$11)-LN(MIN(D1982,$F$11)), E1981-LN(60/$E$11)-LN(MIN(D1982,$F$11))), IF(D1982&lt;=$A$15, E1981+LN($D$11)-LN(60/$E$11)-LN(MIN(D1982,$F$11)), E1981+LN($D$11)+LN(1-$H$11)-LN(60/$E$11)-LN(MIN(D1982,$F$11))))</f>
        <v>-236.03717200684369</v>
      </c>
      <c r="F1982" s="1">
        <f t="shared" si="185"/>
        <v>-238.03920481604274</v>
      </c>
      <c r="G1982" s="1">
        <f t="shared" si="183"/>
        <v>4.1772154127049045E-104</v>
      </c>
      <c r="H1982" s="1">
        <f t="shared" si="180"/>
        <v>4.1002411336421044E-105</v>
      </c>
      <c r="I1982">
        <f>IF($F$11&lt;=D1982, IF(D1982&lt;=$A$15,D1982-$F$11,$C$11),0)</f>
        <v>60</v>
      </c>
      <c r="J1982">
        <f t="shared" si="181"/>
        <v>1895</v>
      </c>
      <c r="K1982" s="5">
        <f>IF(D1982&lt;$F$11,H1982,0)</f>
        <v>0</v>
      </c>
      <c r="L1982">
        <f>IF(D1982&lt;$A$15,$D$11,$D$11*(1-$H$11))</f>
        <v>85</v>
      </c>
      <c r="M1982">
        <f t="shared" si="182"/>
        <v>1</v>
      </c>
      <c r="N1982">
        <f>IF(SUM(I1982:J1982)&lt;=($G$11/60*$F$11/($E$11/60)),1,0)</f>
        <v>0</v>
      </c>
    </row>
    <row r="1983" spans="4:14" x14ac:dyDescent="0.2">
      <c r="D1983">
        <f t="shared" si="184"/>
        <v>1960</v>
      </c>
      <c r="E1983" s="1">
        <f>IF($H$11=1,IF(D1983&lt;=$A$15, E1982+LN($D$11)-LN(60/$E$11)-LN(MIN(D1983,$F$11)), E1982-LN(60/$E$11)-LN(MIN(D1983,$F$11))), IF(D1983&lt;=$A$15, E1982+LN($D$11)-LN(60/$E$11)-LN(MIN(D1983,$F$11)), E1982+LN($D$11)+LN(1-$H$11)-LN(60/$E$11)-LN(MIN(D1983,$F$11))))</f>
        <v>-236.15886894182123</v>
      </c>
      <c r="F1983" s="1">
        <f t="shared" si="185"/>
        <v>-238.16090175102028</v>
      </c>
      <c r="G1983" s="1">
        <f t="shared" si="183"/>
        <v>3.6985761466657431E-104</v>
      </c>
      <c r="H1983" s="1">
        <f t="shared" si="180"/>
        <v>3.6304218370788898E-105</v>
      </c>
      <c r="I1983">
        <f>IF($F$11&lt;=D1983, IF(D1983&lt;=$A$15,D1983-$F$11,$C$11),0)</f>
        <v>60</v>
      </c>
      <c r="J1983">
        <f t="shared" si="181"/>
        <v>1896</v>
      </c>
      <c r="K1983" s="5">
        <f>IF(D1983&lt;$F$11,H1983,0)</f>
        <v>0</v>
      </c>
      <c r="L1983">
        <f>IF(D1983&lt;$A$15,$D$11,$D$11*(1-$H$11))</f>
        <v>85</v>
      </c>
      <c r="M1983">
        <f t="shared" si="182"/>
        <v>1</v>
      </c>
      <c r="N1983">
        <f>IF(SUM(I1983:J1983)&lt;=($G$11/60*$F$11/($E$11/60)),1,0)</f>
        <v>0</v>
      </c>
    </row>
    <row r="1984" spans="4:14" x14ac:dyDescent="0.2">
      <c r="D1984">
        <f t="shared" si="184"/>
        <v>1961</v>
      </c>
      <c r="E1984" s="1">
        <f>IF($H$11=1,IF(D1984&lt;=$A$15, E1983+LN($D$11)-LN(60/$E$11)-LN(MIN(D1984,$F$11)), E1983-LN(60/$E$11)-LN(MIN(D1984,$F$11))), IF(D1984&lt;=$A$15, E1983+LN($D$11)-LN(60/$E$11)-LN(MIN(D1984,$F$11)), E1983+LN($D$11)+LN(1-$H$11)-LN(60/$E$11)-LN(MIN(D1984,$F$11))))</f>
        <v>-236.28056587679876</v>
      </c>
      <c r="F1984" s="1">
        <f t="shared" si="185"/>
        <v>-238.28259868599781</v>
      </c>
      <c r="G1984" s="1">
        <f t="shared" si="183"/>
        <v>3.2747809631935754E-104</v>
      </c>
      <c r="H1984" s="1">
        <f t="shared" si="180"/>
        <v>3.2144360015802169E-105</v>
      </c>
      <c r="I1984">
        <f>IF($F$11&lt;=D1984, IF(D1984&lt;=$A$15,D1984-$F$11,$C$11),0)</f>
        <v>60</v>
      </c>
      <c r="J1984">
        <f t="shared" si="181"/>
        <v>1897</v>
      </c>
      <c r="K1984" s="5">
        <f>IF(D1984&lt;$F$11,H1984,0)</f>
        <v>0</v>
      </c>
      <c r="L1984">
        <f>IF(D1984&lt;$A$15,$D$11,$D$11*(1-$H$11))</f>
        <v>85</v>
      </c>
      <c r="M1984">
        <f t="shared" si="182"/>
        <v>1</v>
      </c>
      <c r="N1984">
        <f>IF(SUM(I1984:J1984)&lt;=($G$11/60*$F$11/($E$11/60)),1,0)</f>
        <v>0</v>
      </c>
    </row>
    <row r="1985" spans="4:14" x14ac:dyDescent="0.2">
      <c r="D1985">
        <f t="shared" si="184"/>
        <v>1962</v>
      </c>
      <c r="E1985" s="1">
        <f>IF($H$11=1,IF(D1985&lt;=$A$15, E1984+LN($D$11)-LN(60/$E$11)-LN(MIN(D1985,$F$11)), E1984-LN(60/$E$11)-LN(MIN(D1985,$F$11))), IF(D1985&lt;=$A$15, E1984+LN($D$11)-LN(60/$E$11)-LN(MIN(D1985,$F$11)), E1984+LN($D$11)+LN(1-$H$11)-LN(60/$E$11)-LN(MIN(D1985,$F$11))))</f>
        <v>-236.4022628117763</v>
      </c>
      <c r="F1985" s="1">
        <f t="shared" si="185"/>
        <v>-238.40429562097535</v>
      </c>
      <c r="G1985" s="1">
        <f t="shared" si="183"/>
        <v>2.8995456444942662E-104</v>
      </c>
      <c r="H1985" s="1">
        <f t="shared" si="180"/>
        <v>2.846115209732439E-105</v>
      </c>
      <c r="I1985">
        <f>IF($F$11&lt;=D1985, IF(D1985&lt;=$A$15,D1985-$F$11,$C$11),0)</f>
        <v>60</v>
      </c>
      <c r="J1985">
        <f t="shared" si="181"/>
        <v>1898</v>
      </c>
      <c r="K1985" s="5">
        <f>IF(D1985&lt;$F$11,H1985,0)</f>
        <v>0</v>
      </c>
      <c r="L1985">
        <f>IF(D1985&lt;$A$15,$D$11,$D$11*(1-$H$11))</f>
        <v>85</v>
      </c>
      <c r="M1985">
        <f t="shared" si="182"/>
        <v>1</v>
      </c>
      <c r="N1985">
        <f>IF(SUM(I1985:J1985)&lt;=($G$11/60*$F$11/($E$11/60)),1,0)</f>
        <v>0</v>
      </c>
    </row>
    <row r="1986" spans="4:14" x14ac:dyDescent="0.2">
      <c r="D1986">
        <f t="shared" si="184"/>
        <v>1963</v>
      </c>
      <c r="E1986" s="1">
        <f>IF($H$11=1,IF(D1986&lt;=$A$15, E1985+LN($D$11)-LN(60/$E$11)-LN(MIN(D1986,$F$11)), E1985-LN(60/$E$11)-LN(MIN(D1986,$F$11))), IF(D1986&lt;=$A$15, E1985+LN($D$11)-LN(60/$E$11)-LN(MIN(D1986,$F$11)), E1985+LN($D$11)+LN(1-$H$11)-LN(60/$E$11)-LN(MIN(D1986,$F$11))))</f>
        <v>-236.52395974675383</v>
      </c>
      <c r="F1986" s="1">
        <f t="shared" si="185"/>
        <v>-238.52599255595288</v>
      </c>
      <c r="G1986" s="1">
        <f t="shared" si="183"/>
        <v>2.5673060393959246E-104</v>
      </c>
      <c r="H1986" s="1">
        <f t="shared" si="180"/>
        <v>2.5199978419505576E-105</v>
      </c>
      <c r="I1986">
        <f>IF($F$11&lt;=D1986, IF(D1986&lt;=$A$15,D1986-$F$11,$C$11),0)</f>
        <v>60</v>
      </c>
      <c r="J1986">
        <f t="shared" si="181"/>
        <v>1899</v>
      </c>
      <c r="K1986" s="5">
        <f>IF(D1986&lt;$F$11,H1986,0)</f>
        <v>0</v>
      </c>
      <c r="L1986">
        <f>IF(D1986&lt;$A$15,$D$11,$D$11*(1-$H$11))</f>
        <v>85</v>
      </c>
      <c r="M1986">
        <f t="shared" si="182"/>
        <v>1</v>
      </c>
      <c r="N1986">
        <f>IF(SUM(I1986:J1986)&lt;=($G$11/60*$F$11/($E$11/60)),1,0)</f>
        <v>0</v>
      </c>
    </row>
    <row r="1987" spans="4:14" x14ac:dyDescent="0.2">
      <c r="D1987">
        <f t="shared" si="184"/>
        <v>1964</v>
      </c>
      <c r="E1987" s="1">
        <f>IF($H$11=1,IF(D1987&lt;=$A$15, E1986+LN($D$11)-LN(60/$E$11)-LN(MIN(D1987,$F$11)), E1986-LN(60/$E$11)-LN(MIN(D1987,$F$11))), IF(D1987&lt;=$A$15, E1986+LN($D$11)-LN(60/$E$11)-LN(MIN(D1987,$F$11)), E1986+LN($D$11)+LN(1-$H$11)-LN(60/$E$11)-LN(MIN(D1987,$F$11))))</f>
        <v>-236.64565668173137</v>
      </c>
      <c r="F1987" s="1">
        <f t="shared" si="185"/>
        <v>-238.64768949093042</v>
      </c>
      <c r="G1987" s="1">
        <f t="shared" si="183"/>
        <v>2.273135555715106E-104</v>
      </c>
      <c r="H1987" s="1">
        <f t="shared" si="180"/>
        <v>2.2312480892270211E-105</v>
      </c>
      <c r="I1987">
        <f>IF($F$11&lt;=D1987, IF(D1987&lt;=$A$15,D1987-$F$11,$C$11),0)</f>
        <v>60</v>
      </c>
      <c r="J1987">
        <f t="shared" si="181"/>
        <v>1900</v>
      </c>
      <c r="K1987" s="5">
        <f>IF(D1987&lt;$F$11,H1987,0)</f>
        <v>0</v>
      </c>
      <c r="L1987">
        <f>IF(D1987&lt;$A$15,$D$11,$D$11*(1-$H$11))</f>
        <v>85</v>
      </c>
      <c r="M1987">
        <f t="shared" si="182"/>
        <v>1</v>
      </c>
      <c r="N1987">
        <f>IF(SUM(I1987:J1987)&lt;=($G$11/60*$F$11/($E$11/60)),1,0)</f>
        <v>0</v>
      </c>
    </row>
    <row r="1988" spans="4:14" x14ac:dyDescent="0.2">
      <c r="D1988">
        <f t="shared" si="184"/>
        <v>1965</v>
      </c>
      <c r="E1988" s="1">
        <f>IF($H$11=1,IF(D1988&lt;=$A$15, E1987+LN($D$11)-LN(60/$E$11)-LN(MIN(D1988,$F$11)), E1987-LN(60/$E$11)-LN(MIN(D1988,$F$11))), IF(D1988&lt;=$A$15, E1987+LN($D$11)-LN(60/$E$11)-LN(MIN(D1988,$F$11)), E1987+LN($D$11)+LN(1-$H$11)-LN(60/$E$11)-LN(MIN(D1988,$F$11))))</f>
        <v>-236.7673536167089</v>
      </c>
      <c r="F1988" s="1">
        <f t="shared" si="185"/>
        <v>-238.76938642590795</v>
      </c>
      <c r="G1988" s="1">
        <f t="shared" si="183"/>
        <v>2.0126721066227187E-104</v>
      </c>
      <c r="H1988" s="1">
        <f t="shared" si="180"/>
        <v>1.9755842456697275E-105</v>
      </c>
      <c r="I1988">
        <f>IF($F$11&lt;=D1988, IF(D1988&lt;=$A$15,D1988-$F$11,$C$11),0)</f>
        <v>60</v>
      </c>
      <c r="J1988">
        <f t="shared" si="181"/>
        <v>1901</v>
      </c>
      <c r="K1988" s="5">
        <f>IF(D1988&lt;$F$11,H1988,0)</f>
        <v>0</v>
      </c>
      <c r="L1988">
        <f>IF(D1988&lt;$A$15,$D$11,$D$11*(1-$H$11))</f>
        <v>85</v>
      </c>
      <c r="M1988">
        <f t="shared" si="182"/>
        <v>1</v>
      </c>
      <c r="N1988">
        <f>IF(SUM(I1988:J1988)&lt;=($G$11/60*$F$11/($E$11/60)),1,0)</f>
        <v>0</v>
      </c>
    </row>
    <row r="1989" spans="4:14" x14ac:dyDescent="0.2">
      <c r="D1989">
        <f t="shared" si="184"/>
        <v>1966</v>
      </c>
      <c r="E1989" s="1">
        <f>IF($H$11=1,IF(D1989&lt;=$A$15, E1988+LN($D$11)-LN(60/$E$11)-LN(MIN(D1989,$F$11)), E1988-LN(60/$E$11)-LN(MIN(D1989,$F$11))), IF(D1989&lt;=$A$15, E1988+LN($D$11)-LN(60/$E$11)-LN(MIN(D1989,$F$11)), E1988+LN($D$11)+LN(1-$H$11)-LN(60/$E$11)-LN(MIN(D1989,$F$11))))</f>
        <v>-236.88905055168644</v>
      </c>
      <c r="F1989" s="1">
        <f t="shared" si="185"/>
        <v>-238.89108336088549</v>
      </c>
      <c r="G1989" s="1">
        <f t="shared" si="183"/>
        <v>1.7820534277388377E-104</v>
      </c>
      <c r="H1989" s="1">
        <f t="shared" si="180"/>
        <v>1.749215217520044E-105</v>
      </c>
      <c r="I1989">
        <f>IF($F$11&lt;=D1989, IF(D1989&lt;=$A$15,D1989-$F$11,$C$11),0)</f>
        <v>60</v>
      </c>
      <c r="J1989">
        <f t="shared" si="181"/>
        <v>1902</v>
      </c>
      <c r="K1989" s="5">
        <f>IF(D1989&lt;$F$11,H1989,0)</f>
        <v>0</v>
      </c>
      <c r="L1989">
        <f>IF(D1989&lt;$A$15,$D$11,$D$11*(1-$H$11))</f>
        <v>85</v>
      </c>
      <c r="M1989">
        <f t="shared" si="182"/>
        <v>1</v>
      </c>
      <c r="N1989">
        <f>IF(SUM(I1989:J1989)&lt;=($G$11/60*$F$11/($E$11/60)),1,0)</f>
        <v>0</v>
      </c>
    </row>
    <row r="1990" spans="4:14" x14ac:dyDescent="0.2">
      <c r="D1990">
        <f t="shared" si="184"/>
        <v>1967</v>
      </c>
      <c r="E1990" s="1">
        <f>IF($H$11=1,IF(D1990&lt;=$A$15, E1989+LN($D$11)-LN(60/$E$11)-LN(MIN(D1990,$F$11)), E1989-LN(60/$E$11)-LN(MIN(D1990,$F$11))), IF(D1990&lt;=$A$15, E1989+LN($D$11)-LN(60/$E$11)-LN(MIN(D1990,$F$11)), E1989+LN($D$11)+LN(1-$H$11)-LN(60/$E$11)-LN(MIN(D1990,$F$11))))</f>
        <v>-237.01074748666397</v>
      </c>
      <c r="F1990" s="1">
        <f t="shared" si="185"/>
        <v>-239.01278029586302</v>
      </c>
      <c r="G1990" s="1">
        <f t="shared" si="183"/>
        <v>1.5778598058104045E-104</v>
      </c>
      <c r="H1990" s="1">
        <f t="shared" si="180"/>
        <v>1.5487843071791815E-105</v>
      </c>
      <c r="I1990">
        <f>IF($F$11&lt;=D1990, IF(D1990&lt;=$A$15,D1990-$F$11,$C$11),0)</f>
        <v>60</v>
      </c>
      <c r="J1990">
        <f t="shared" si="181"/>
        <v>1903</v>
      </c>
      <c r="K1990" s="5">
        <f>IF(D1990&lt;$F$11,H1990,0)</f>
        <v>0</v>
      </c>
      <c r="L1990">
        <f>IF(D1990&lt;$A$15,$D$11,$D$11*(1-$H$11))</f>
        <v>85</v>
      </c>
      <c r="M1990">
        <f t="shared" si="182"/>
        <v>1</v>
      </c>
      <c r="N1990">
        <f>IF(SUM(I1990:J1990)&lt;=($G$11/60*$F$11/($E$11/60)),1,0)</f>
        <v>0</v>
      </c>
    </row>
    <row r="1991" spans="4:14" x14ac:dyDescent="0.2">
      <c r="D1991">
        <f t="shared" si="184"/>
        <v>1968</v>
      </c>
      <c r="E1991" s="1">
        <f>IF($H$11=1,IF(D1991&lt;=$A$15, E1990+LN($D$11)-LN(60/$E$11)-LN(MIN(D1991,$F$11)), E1990-LN(60/$E$11)-LN(MIN(D1991,$F$11))), IF(D1991&lt;=$A$15, E1990+LN($D$11)-LN(60/$E$11)-LN(MIN(D1991,$F$11)), E1990+LN($D$11)+LN(1-$H$11)-LN(60/$E$11)-LN(MIN(D1991,$F$11))))</f>
        <v>-237.13244442164151</v>
      </c>
      <c r="F1991" s="1">
        <f t="shared" si="185"/>
        <v>-239.13447723084056</v>
      </c>
      <c r="G1991" s="1">
        <f t="shared" si="183"/>
        <v>1.3970633697279405E-104</v>
      </c>
      <c r="H1991" s="1">
        <f t="shared" si="180"/>
        <v>1.3713194386482121E-105</v>
      </c>
      <c r="I1991">
        <f>IF($F$11&lt;=D1991, IF(D1991&lt;=$A$15,D1991-$F$11,$C$11),0)</f>
        <v>60</v>
      </c>
      <c r="J1991">
        <f t="shared" si="181"/>
        <v>1904</v>
      </c>
      <c r="K1991" s="5">
        <f>IF(D1991&lt;$F$11,H1991,0)</f>
        <v>0</v>
      </c>
      <c r="L1991">
        <f>IF(D1991&lt;$A$15,$D$11,$D$11*(1-$H$11))</f>
        <v>85</v>
      </c>
      <c r="M1991">
        <f t="shared" si="182"/>
        <v>1</v>
      </c>
      <c r="N1991">
        <f>IF(SUM(I1991:J1991)&lt;=($G$11/60*$F$11/($E$11/60)),1,0)</f>
        <v>0</v>
      </c>
    </row>
    <row r="1992" spans="4:14" x14ac:dyDescent="0.2">
      <c r="D1992">
        <f t="shared" si="184"/>
        <v>1969</v>
      </c>
      <c r="E1992" s="1">
        <f>IF($H$11=1,IF(D1992&lt;=$A$15, E1991+LN($D$11)-LN(60/$E$11)-LN(MIN(D1992,$F$11)), E1991-LN(60/$E$11)-LN(MIN(D1992,$F$11))), IF(D1992&lt;=$A$15, E1991+LN($D$11)-LN(60/$E$11)-LN(MIN(D1992,$F$11)), E1991+LN($D$11)+LN(1-$H$11)-LN(60/$E$11)-LN(MIN(D1992,$F$11))))</f>
        <v>-237.25414135661904</v>
      </c>
      <c r="F1992" s="1">
        <f t="shared" si="185"/>
        <v>-239.25617416581809</v>
      </c>
      <c r="G1992" s="1">
        <f t="shared" si="183"/>
        <v>1.2369831919465947E-104</v>
      </c>
      <c r="H1992" s="1">
        <f t="shared" si="180"/>
        <v>1.2141890863030855E-105</v>
      </c>
      <c r="I1992">
        <f>IF($F$11&lt;=D1992, IF(D1992&lt;=$A$15,D1992-$F$11,$C$11),0)</f>
        <v>60</v>
      </c>
      <c r="J1992">
        <f t="shared" si="181"/>
        <v>1905</v>
      </c>
      <c r="K1992" s="5">
        <f>IF(D1992&lt;$F$11,H1992,0)</f>
        <v>0</v>
      </c>
      <c r="L1992">
        <f>IF(D1992&lt;$A$15,$D$11,$D$11*(1-$H$11))</f>
        <v>85</v>
      </c>
      <c r="M1992">
        <f t="shared" si="182"/>
        <v>1</v>
      </c>
      <c r="N1992">
        <f>IF(SUM(I1992:J1992)&lt;=($G$11/60*$F$11/($E$11/60)),1,0)</f>
        <v>0</v>
      </c>
    </row>
    <row r="1993" spans="4:14" x14ac:dyDescent="0.2">
      <c r="D1993">
        <f t="shared" si="184"/>
        <v>1970</v>
      </c>
      <c r="E1993" s="1">
        <f>IF($H$11=1,IF(D1993&lt;=$A$15, E1992+LN($D$11)-LN(60/$E$11)-LN(MIN(D1993,$F$11)), E1992-LN(60/$E$11)-LN(MIN(D1993,$F$11))), IF(D1993&lt;=$A$15, E1992+LN($D$11)-LN(60/$E$11)-LN(MIN(D1993,$F$11)), E1992+LN($D$11)+LN(1-$H$11)-LN(60/$E$11)-LN(MIN(D1993,$F$11))))</f>
        <v>-237.37583829159658</v>
      </c>
      <c r="F1993" s="1">
        <f t="shared" si="185"/>
        <v>-239.37787110079563</v>
      </c>
      <c r="G1993" s="1">
        <f t="shared" si="183"/>
        <v>1.0952455345360301E-104</v>
      </c>
      <c r="H1993" s="1">
        <f t="shared" si="180"/>
        <v>1.0750632534975067E-105</v>
      </c>
      <c r="I1993">
        <f>IF($F$11&lt;=D1993, IF(D1993&lt;=$A$15,D1993-$F$11,$C$11),0)</f>
        <v>60</v>
      </c>
      <c r="J1993">
        <f t="shared" si="181"/>
        <v>1906</v>
      </c>
      <c r="K1993" s="5">
        <f>IF(D1993&lt;$F$11,H1993,0)</f>
        <v>0</v>
      </c>
      <c r="L1993">
        <f>IF(D1993&lt;$A$15,$D$11,$D$11*(1-$H$11))</f>
        <v>85</v>
      </c>
      <c r="M1993">
        <f t="shared" si="182"/>
        <v>1</v>
      </c>
      <c r="N1993">
        <f>IF(SUM(I1993:J1993)&lt;=($G$11/60*$F$11/($E$11/60)),1,0)</f>
        <v>0</v>
      </c>
    </row>
    <row r="1994" spans="4:14" x14ac:dyDescent="0.2">
      <c r="D1994">
        <f t="shared" si="184"/>
        <v>1971</v>
      </c>
      <c r="E1994" s="1">
        <f>IF($H$11=1,IF(D1994&lt;=$A$15, E1993+LN($D$11)-LN(60/$E$11)-LN(MIN(D1994,$F$11)), E1993-LN(60/$E$11)-LN(MIN(D1994,$F$11))), IF(D1994&lt;=$A$15, E1993+LN($D$11)-LN(60/$E$11)-LN(MIN(D1994,$F$11)), E1993+LN($D$11)+LN(1-$H$11)-LN(60/$E$11)-LN(MIN(D1994,$F$11))))</f>
        <v>-237.49753522657412</v>
      </c>
      <c r="F1994" s="1">
        <f t="shared" si="185"/>
        <v>-239.49956803577317</v>
      </c>
      <c r="G1994" s="1">
        <f t="shared" si="183"/>
        <v>9.6974865037042821E-105</v>
      </c>
      <c r="H1994" s="1">
        <f t="shared" si="180"/>
        <v>9.518789223675692E-106</v>
      </c>
      <c r="I1994">
        <f>IF($F$11&lt;=D1994, IF(D1994&lt;=$A$15,D1994-$F$11,$C$11),0)</f>
        <v>60</v>
      </c>
      <c r="J1994">
        <f t="shared" si="181"/>
        <v>1907</v>
      </c>
      <c r="K1994" s="5">
        <f>IF(D1994&lt;$F$11,H1994,0)</f>
        <v>0</v>
      </c>
      <c r="L1994">
        <f>IF(D1994&lt;$A$15,$D$11,$D$11*(1-$H$11))</f>
        <v>85</v>
      </c>
      <c r="M1994">
        <f t="shared" si="182"/>
        <v>1</v>
      </c>
      <c r="N1994">
        <f>IF(SUM(I1994:J1994)&lt;=($G$11/60*$F$11/($E$11/60)),1,0)</f>
        <v>0</v>
      </c>
    </row>
    <row r="1995" spans="4:14" x14ac:dyDescent="0.2">
      <c r="D1995">
        <f t="shared" si="184"/>
        <v>1972</v>
      </c>
      <c r="E1995" s="1">
        <f>IF($H$11=1,IF(D1995&lt;=$A$15, E1994+LN($D$11)-LN(60/$E$11)-LN(MIN(D1995,$F$11)), E1994-LN(60/$E$11)-LN(MIN(D1995,$F$11))), IF(D1995&lt;=$A$15, E1994+LN($D$11)-LN(60/$E$11)-LN(MIN(D1995,$F$11)), E1994+LN($D$11)+LN(1-$H$11)-LN(60/$E$11)-LN(MIN(D1995,$F$11))))</f>
        <v>-237.61923216155165</v>
      </c>
      <c r="F1995" s="1">
        <f t="shared" si="185"/>
        <v>-239.6212649707507</v>
      </c>
      <c r="G1995" s="1">
        <f t="shared" si="183"/>
        <v>8.5863161751546987E-105</v>
      </c>
      <c r="H1995" s="1">
        <f t="shared" si="180"/>
        <v>8.4280946251293873E-106</v>
      </c>
      <c r="I1995">
        <f>IF($F$11&lt;=D1995, IF(D1995&lt;=$A$15,D1995-$F$11,$C$11),0)</f>
        <v>60</v>
      </c>
      <c r="J1995">
        <f t="shared" si="181"/>
        <v>1908</v>
      </c>
      <c r="K1995" s="5">
        <f>IF(D1995&lt;$F$11,H1995,0)</f>
        <v>0</v>
      </c>
      <c r="L1995">
        <f>IF(D1995&lt;$A$15,$D$11,$D$11*(1-$H$11))</f>
        <v>85</v>
      </c>
      <c r="M1995">
        <f t="shared" si="182"/>
        <v>1</v>
      </c>
      <c r="N1995">
        <f>IF(SUM(I1995:J1995)&lt;=($G$11/60*$F$11/($E$11/60)),1,0)</f>
        <v>0</v>
      </c>
    </row>
    <row r="1996" spans="4:14" x14ac:dyDescent="0.2">
      <c r="D1996">
        <f t="shared" si="184"/>
        <v>1973</v>
      </c>
      <c r="E1996" s="1">
        <f>IF($H$11=1,IF(D1996&lt;=$A$15, E1995+LN($D$11)-LN(60/$E$11)-LN(MIN(D1996,$F$11)), E1995-LN(60/$E$11)-LN(MIN(D1996,$F$11))), IF(D1996&lt;=$A$15, E1995+LN($D$11)-LN(60/$E$11)-LN(MIN(D1996,$F$11)), E1995+LN($D$11)+LN(1-$H$11)-LN(60/$E$11)-LN(MIN(D1996,$F$11))))</f>
        <v>-237.74092909652919</v>
      </c>
      <c r="F1996" s="1">
        <f t="shared" si="185"/>
        <v>-239.74296190572824</v>
      </c>
      <c r="G1996" s="1">
        <f t="shared" si="183"/>
        <v>7.602467446751438E-105</v>
      </c>
      <c r="H1996" s="1">
        <f t="shared" si="180"/>
        <v>7.462375449333195E-106</v>
      </c>
      <c r="I1996">
        <f>IF($F$11&lt;=D1996, IF(D1996&lt;=$A$15,D1996-$F$11,$C$11),0)</f>
        <v>60</v>
      </c>
      <c r="J1996">
        <f t="shared" si="181"/>
        <v>1909</v>
      </c>
      <c r="K1996" s="5">
        <f>IF(D1996&lt;$F$11,H1996,0)</f>
        <v>0</v>
      </c>
      <c r="L1996">
        <f>IF(D1996&lt;$A$15,$D$11,$D$11*(1-$H$11))</f>
        <v>85</v>
      </c>
      <c r="M1996">
        <f t="shared" si="182"/>
        <v>1</v>
      </c>
      <c r="N1996">
        <f>IF(SUM(I1996:J1996)&lt;=($G$11/60*$F$11/($E$11/60)),1,0)</f>
        <v>0</v>
      </c>
    </row>
    <row r="1997" spans="4:14" x14ac:dyDescent="0.2">
      <c r="D1997">
        <f t="shared" si="184"/>
        <v>1974</v>
      </c>
      <c r="E1997" s="1">
        <f>IF($H$11=1,IF(D1997&lt;=$A$15, E1996+LN($D$11)-LN(60/$E$11)-LN(MIN(D1997,$F$11)), E1996-LN(60/$E$11)-LN(MIN(D1997,$F$11))), IF(D1997&lt;=$A$15, E1996+LN($D$11)-LN(60/$E$11)-LN(MIN(D1997,$F$11)), E1996+LN($D$11)+LN(1-$H$11)-LN(60/$E$11)-LN(MIN(D1997,$F$11))))</f>
        <v>-237.86262603150672</v>
      </c>
      <c r="F1997" s="1">
        <f t="shared" si="185"/>
        <v>-239.86465884070577</v>
      </c>
      <c r="G1997" s="1">
        <f t="shared" si="183"/>
        <v>6.7313513851443968E-105</v>
      </c>
      <c r="H1997" s="1">
        <f t="shared" si="180"/>
        <v>6.6073115957636635E-106</v>
      </c>
      <c r="I1997">
        <f>IF($F$11&lt;=D1997, IF(D1997&lt;=$A$15,D1997-$F$11,$C$11),0)</f>
        <v>60</v>
      </c>
      <c r="J1997">
        <f t="shared" si="181"/>
        <v>1910</v>
      </c>
      <c r="K1997" s="5">
        <f>IF(D1997&lt;$F$11,H1997,0)</f>
        <v>0</v>
      </c>
      <c r="L1997">
        <f>IF(D1997&lt;$A$15,$D$11,$D$11*(1-$H$11))</f>
        <v>85</v>
      </c>
      <c r="M1997">
        <f t="shared" si="182"/>
        <v>1</v>
      </c>
      <c r="N1997">
        <f>IF(SUM(I1997:J1997)&lt;=($G$11/60*$F$11/($E$11/60)),1,0)</f>
        <v>0</v>
      </c>
    </row>
    <row r="1998" spans="4:14" x14ac:dyDescent="0.2">
      <c r="D1998">
        <f t="shared" si="184"/>
        <v>1975</v>
      </c>
      <c r="E1998" s="1">
        <f>IF($H$11=1,IF(D1998&lt;=$A$15, E1997+LN($D$11)-LN(60/$E$11)-LN(MIN(D1998,$F$11)), E1997-LN(60/$E$11)-LN(MIN(D1998,$F$11))), IF(D1998&lt;=$A$15, E1997+LN($D$11)-LN(60/$E$11)-LN(MIN(D1998,$F$11)), E1997+LN($D$11)+LN(1-$H$11)-LN(60/$E$11)-LN(MIN(D1998,$F$11))))</f>
        <v>-237.98432296648426</v>
      </c>
      <c r="F1998" s="1">
        <f t="shared" si="185"/>
        <v>-239.98635577568331</v>
      </c>
      <c r="G1998" s="1">
        <f t="shared" si="183"/>
        <v>5.9600507055965079E-105</v>
      </c>
      <c r="H1998" s="1">
        <f t="shared" si="180"/>
        <v>5.8502238087489854E-106</v>
      </c>
      <c r="I1998">
        <f>IF($F$11&lt;=D1998, IF(D1998&lt;=$A$15,D1998-$F$11,$C$11),0)</f>
        <v>60</v>
      </c>
      <c r="J1998">
        <f t="shared" si="181"/>
        <v>1911</v>
      </c>
      <c r="K1998" s="5">
        <f>IF(D1998&lt;$F$11,H1998,0)</f>
        <v>0</v>
      </c>
      <c r="L1998">
        <f>IF(D1998&lt;$A$15,$D$11,$D$11*(1-$H$11))</f>
        <v>85</v>
      </c>
      <c r="M1998">
        <f t="shared" si="182"/>
        <v>1</v>
      </c>
      <c r="N1998">
        <f>IF(SUM(I1998:J1998)&lt;=($G$11/60*$F$11/($E$11/60)),1,0)</f>
        <v>0</v>
      </c>
    </row>
    <row r="1999" spans="4:14" x14ac:dyDescent="0.2">
      <c r="D1999">
        <f t="shared" si="184"/>
        <v>1976</v>
      </c>
      <c r="E1999" s="1">
        <f>IF($H$11=1,IF(D1999&lt;=$A$15, E1998+LN($D$11)-LN(60/$E$11)-LN(MIN(D1999,$F$11)), E1998-LN(60/$E$11)-LN(MIN(D1999,$F$11))), IF(D1999&lt;=$A$15, E1998+LN($D$11)-LN(60/$E$11)-LN(MIN(D1999,$F$11)), E1998+LN($D$11)+LN(1-$H$11)-LN(60/$E$11)-LN(MIN(D1999,$F$11))))</f>
        <v>-238.10601990146179</v>
      </c>
      <c r="F1999" s="1">
        <f t="shared" si="185"/>
        <v>-240.10805271066084</v>
      </c>
      <c r="G1999" s="1">
        <f t="shared" si="183"/>
        <v>5.2771282289134926E-105</v>
      </c>
      <c r="H1999" s="1">
        <f t="shared" si="180"/>
        <v>5.1798856639964167E-106</v>
      </c>
      <c r="I1999">
        <f>IF($F$11&lt;=D1999, IF(D1999&lt;=$A$15,D1999-$F$11,$C$11),0)</f>
        <v>60</v>
      </c>
      <c r="J1999">
        <f t="shared" si="181"/>
        <v>1912</v>
      </c>
      <c r="K1999" s="5">
        <f>IF(D1999&lt;$F$11,H1999,0)</f>
        <v>0</v>
      </c>
      <c r="L1999">
        <f>IF(D1999&lt;$A$15,$D$11,$D$11*(1-$H$11))</f>
        <v>85</v>
      </c>
      <c r="M1999">
        <f t="shared" si="182"/>
        <v>1</v>
      </c>
      <c r="N1999">
        <f>IF(SUM(I1999:J1999)&lt;=($G$11/60*$F$11/($E$11/60)),1,0)</f>
        <v>0</v>
      </c>
    </row>
    <row r="2000" spans="4:14" x14ac:dyDescent="0.2">
      <c r="D2000">
        <f t="shared" si="184"/>
        <v>1977</v>
      </c>
      <c r="E2000" s="1">
        <f>IF($H$11=1,IF(D2000&lt;=$A$15, E1999+LN($D$11)-LN(60/$E$11)-LN(MIN(D2000,$F$11)), E1999-LN(60/$E$11)-LN(MIN(D2000,$F$11))), IF(D2000&lt;=$A$15, E1999+LN($D$11)-LN(60/$E$11)-LN(MIN(D2000,$F$11)), E1999+LN($D$11)+LN(1-$H$11)-LN(60/$E$11)-LN(MIN(D2000,$F$11))))</f>
        <v>-238.22771683643933</v>
      </c>
      <c r="F2000" s="1">
        <f t="shared" si="185"/>
        <v>-240.22974964563838</v>
      </c>
      <c r="G2000" s="1">
        <f t="shared" si="183"/>
        <v>4.6724572860170813E-105</v>
      </c>
      <c r="H2000" s="1">
        <f t="shared" si="180"/>
        <v>4.586357098330088E-106</v>
      </c>
      <c r="I2000">
        <f>IF($F$11&lt;=D2000, IF(D2000&lt;=$A$15,D2000-$F$11,$C$11),0)</f>
        <v>60</v>
      </c>
      <c r="J2000">
        <f t="shared" si="181"/>
        <v>1913</v>
      </c>
      <c r="K2000" s="5">
        <f>IF(D2000&lt;$F$11,H2000,0)</f>
        <v>0</v>
      </c>
      <c r="L2000">
        <f>IF(D2000&lt;$A$15,$D$11,$D$11*(1-$H$11))</f>
        <v>85</v>
      </c>
      <c r="M2000">
        <f t="shared" si="182"/>
        <v>1</v>
      </c>
      <c r="N2000">
        <f>IF(SUM(I2000:J2000)&lt;=($G$11/60*$F$11/($E$11/60)),1,0)</f>
        <v>0</v>
      </c>
    </row>
    <row r="2001" spans="4:14" x14ac:dyDescent="0.2">
      <c r="D2001">
        <f t="shared" si="184"/>
        <v>1978</v>
      </c>
      <c r="E2001" s="1">
        <f>IF($H$11=1,IF(D2001&lt;=$A$15, E2000+LN($D$11)-LN(60/$E$11)-LN(MIN(D2001,$F$11)), E2000-LN(60/$E$11)-LN(MIN(D2001,$F$11))), IF(D2001&lt;=$A$15, E2000+LN($D$11)-LN(60/$E$11)-LN(MIN(D2001,$F$11)), E2000+LN($D$11)+LN(1-$H$11)-LN(60/$E$11)-LN(MIN(D2001,$F$11))))</f>
        <v>-238.34941377141686</v>
      </c>
      <c r="F2001" s="1">
        <f t="shared" si="185"/>
        <v>-240.35144658061591</v>
      </c>
      <c r="G2001" s="1">
        <f t="shared" si="183"/>
        <v>4.1370715553275596E-105</v>
      </c>
      <c r="H2001" s="1">
        <f t="shared" si="180"/>
        <v>4.0608370141463691E-106</v>
      </c>
      <c r="I2001">
        <f>IF($F$11&lt;=D2001, IF(D2001&lt;=$A$15,D2001-$F$11,$C$11),0)</f>
        <v>60</v>
      </c>
      <c r="J2001">
        <f t="shared" si="181"/>
        <v>1914</v>
      </c>
      <c r="K2001" s="5">
        <f>IF(D2001&lt;$F$11,H2001,0)</f>
        <v>0</v>
      </c>
      <c r="L2001">
        <f>IF(D2001&lt;$A$15,$D$11,$D$11*(1-$H$11))</f>
        <v>85</v>
      </c>
      <c r="M2001">
        <f t="shared" si="182"/>
        <v>1</v>
      </c>
      <c r="N2001">
        <f>IF(SUM(I2001:J2001)&lt;=($G$11/60*$F$11/($E$11/60)),1,0)</f>
        <v>0</v>
      </c>
    </row>
    <row r="2002" spans="4:14" x14ac:dyDescent="0.2">
      <c r="D2002">
        <f t="shared" si="184"/>
        <v>1979</v>
      </c>
      <c r="E2002" s="1">
        <f>IF($H$11=1,IF(D2002&lt;=$A$15, E2001+LN($D$11)-LN(60/$E$11)-LN(MIN(D2002,$F$11)), E2001-LN(60/$E$11)-LN(MIN(D2002,$F$11))), IF(D2002&lt;=$A$15, E2001+LN($D$11)-LN(60/$E$11)-LN(MIN(D2002,$F$11)), E2001+LN($D$11)+LN(1-$H$11)-LN(60/$E$11)-LN(MIN(D2002,$F$11))))</f>
        <v>-238.4711107063944</v>
      </c>
      <c r="F2002" s="1">
        <f t="shared" si="185"/>
        <v>-240.47314351559345</v>
      </c>
      <c r="G2002" s="1">
        <f t="shared" si="183"/>
        <v>3.6630321062795531E-105</v>
      </c>
      <c r="H2002" s="1">
        <f t="shared" si="180"/>
        <v>3.5955327729420416E-106</v>
      </c>
      <c r="I2002">
        <f>IF($F$11&lt;=D2002, IF(D2002&lt;=$A$15,D2002-$F$11,$C$11),0)</f>
        <v>60</v>
      </c>
      <c r="J2002">
        <f t="shared" si="181"/>
        <v>1915</v>
      </c>
      <c r="K2002" s="5">
        <f>IF(D2002&lt;$F$11,H2002,0)</f>
        <v>0</v>
      </c>
      <c r="L2002">
        <f>IF(D2002&lt;$A$15,$D$11,$D$11*(1-$H$11))</f>
        <v>85</v>
      </c>
      <c r="M2002">
        <f t="shared" si="182"/>
        <v>1</v>
      </c>
      <c r="N2002">
        <f>IF(SUM(I2002:J2002)&lt;=($G$11/60*$F$11/($E$11/60)),1,0)</f>
        <v>0</v>
      </c>
    </row>
    <row r="2003" spans="4:14" x14ac:dyDescent="0.2">
      <c r="D2003">
        <f t="shared" si="184"/>
        <v>1980</v>
      </c>
      <c r="E2003" s="1">
        <f>IF($H$11=1,IF(D2003&lt;=$A$15, E2002+LN($D$11)-LN(60/$E$11)-LN(MIN(D2003,$F$11)), E2002-LN(60/$E$11)-LN(MIN(D2003,$F$11))), IF(D2003&lt;=$A$15, E2002+LN($D$11)-LN(60/$E$11)-LN(MIN(D2003,$F$11)), E2002+LN($D$11)+LN(1-$H$11)-LN(60/$E$11)-LN(MIN(D2003,$F$11))))</f>
        <v>-238.59280764137193</v>
      </c>
      <c r="F2003" s="1">
        <f t="shared" si="185"/>
        <v>-240.59484045057098</v>
      </c>
      <c r="G2003" s="1">
        <f t="shared" si="183"/>
        <v>3.24330967743497E-105</v>
      </c>
      <c r="H2003" s="1">
        <f t="shared" si="180"/>
        <v>3.1835446427090494E-106</v>
      </c>
      <c r="I2003">
        <f>IF($F$11&lt;=D2003, IF(D2003&lt;=$A$15,D2003-$F$11,$C$11),0)</f>
        <v>60</v>
      </c>
      <c r="J2003">
        <f t="shared" si="181"/>
        <v>1916</v>
      </c>
      <c r="K2003" s="5">
        <f>IF(D2003&lt;$F$11,H2003,0)</f>
        <v>0</v>
      </c>
      <c r="L2003">
        <f>IF(D2003&lt;$A$15,$D$11,$D$11*(1-$H$11))</f>
        <v>85</v>
      </c>
      <c r="M2003">
        <f t="shared" si="182"/>
        <v>1</v>
      </c>
      <c r="N2003">
        <f>IF(SUM(I2003:J2003)&lt;=($G$11/60*$F$11/($E$11/60)),1,0)</f>
        <v>0</v>
      </c>
    </row>
    <row r="2004" spans="4:14" x14ac:dyDescent="0.2">
      <c r="D2004">
        <f t="shared" si="184"/>
        <v>1981</v>
      </c>
      <c r="E2004" s="1">
        <f>IF($H$11=1,IF(D2004&lt;=$A$15, E2003+LN($D$11)-LN(60/$E$11)-LN(MIN(D2004,$F$11)), E2003-LN(60/$E$11)-LN(MIN(D2004,$F$11))), IF(D2004&lt;=$A$15, E2003+LN($D$11)-LN(60/$E$11)-LN(MIN(D2004,$F$11)), E2003+LN($D$11)+LN(1-$H$11)-LN(60/$E$11)-LN(MIN(D2004,$F$11))))</f>
        <v>-238.71450457634947</v>
      </c>
      <c r="F2004" s="1">
        <f t="shared" si="185"/>
        <v>-240.71653738554852</v>
      </c>
      <c r="G2004" s="1">
        <f t="shared" si="183"/>
        <v>2.871680443562168E-105</v>
      </c>
      <c r="H2004" s="1">
        <f t="shared" si="180"/>
        <v>2.8187634857319268E-106</v>
      </c>
      <c r="I2004">
        <f>IF($F$11&lt;=D2004, IF(D2004&lt;=$A$15,D2004-$F$11,$C$11),0)</f>
        <v>60</v>
      </c>
      <c r="J2004">
        <f t="shared" si="181"/>
        <v>1917</v>
      </c>
      <c r="K2004" s="5">
        <f>IF(D2004&lt;$F$11,H2004,0)</f>
        <v>0</v>
      </c>
      <c r="L2004">
        <f>IF(D2004&lt;$A$15,$D$11,$D$11*(1-$H$11))</f>
        <v>85</v>
      </c>
      <c r="M2004">
        <f t="shared" si="182"/>
        <v>1</v>
      </c>
      <c r="N2004">
        <f>IF(SUM(I2004:J2004)&lt;=($G$11/60*$F$11/($E$11/60)),1,0)</f>
        <v>0</v>
      </c>
    </row>
    <row r="2005" spans="4:14" x14ac:dyDescent="0.2">
      <c r="D2005">
        <f t="shared" si="184"/>
        <v>1982</v>
      </c>
      <c r="E2005" s="1">
        <f>IF($H$11=1,IF(D2005&lt;=$A$15, E2004+LN($D$11)-LN(60/$E$11)-LN(MIN(D2005,$F$11)), E2004-LN(60/$E$11)-LN(MIN(D2005,$F$11))), IF(D2005&lt;=$A$15, E2004+LN($D$11)-LN(60/$E$11)-LN(MIN(D2005,$F$11)), E2004+LN($D$11)+LN(1-$H$11)-LN(60/$E$11)-LN(MIN(D2005,$F$11))))</f>
        <v>-238.836201511327</v>
      </c>
      <c r="F2005" s="1">
        <f t="shared" si="185"/>
        <v>-240.83823432052606</v>
      </c>
      <c r="G2005" s="1">
        <f t="shared" si="183"/>
        <v>2.5426337260706298E-105</v>
      </c>
      <c r="H2005" s="1">
        <f t="shared" si="180"/>
        <v>2.4957801696584378E-106</v>
      </c>
      <c r="I2005">
        <f>IF($F$11&lt;=D2005, IF(D2005&lt;=$A$15,D2005-$F$11,$C$11),0)</f>
        <v>60</v>
      </c>
      <c r="J2005">
        <f t="shared" si="181"/>
        <v>1918</v>
      </c>
      <c r="K2005" s="5">
        <f>IF(D2005&lt;$F$11,H2005,0)</f>
        <v>0</v>
      </c>
      <c r="L2005">
        <f>IF(D2005&lt;$A$15,$D$11,$D$11*(1-$H$11))</f>
        <v>85</v>
      </c>
      <c r="M2005">
        <f t="shared" si="182"/>
        <v>1</v>
      </c>
      <c r="N2005">
        <f>IF(SUM(I2005:J2005)&lt;=($G$11/60*$F$11/($E$11/60)),1,0)</f>
        <v>0</v>
      </c>
    </row>
    <row r="2006" spans="4:14" x14ac:dyDescent="0.2">
      <c r="D2006">
        <f t="shared" si="184"/>
        <v>1983</v>
      </c>
      <c r="E2006" s="1">
        <f>IF($H$11=1,IF(D2006&lt;=$A$15, E2005+LN($D$11)-LN(60/$E$11)-LN(MIN(D2006,$F$11)), E2005-LN(60/$E$11)-LN(MIN(D2006,$F$11))), IF(D2006&lt;=$A$15, E2005+LN($D$11)-LN(60/$E$11)-LN(MIN(D2006,$F$11)), E2005+LN($D$11)+LN(1-$H$11)-LN(60/$E$11)-LN(MIN(D2006,$F$11))))</f>
        <v>-238.95789844630454</v>
      </c>
      <c r="F2006" s="1">
        <f t="shared" si="185"/>
        <v>-240.95993125550359</v>
      </c>
      <c r="G2006" s="1">
        <f t="shared" si="183"/>
        <v>2.2512902782916683E-105</v>
      </c>
      <c r="H2006" s="1">
        <f t="shared" si="180"/>
        <v>2.2098053585517069E-106</v>
      </c>
      <c r="I2006">
        <f>IF($F$11&lt;=D2006, IF(D2006&lt;=$A$15,D2006-$F$11,$C$11),0)</f>
        <v>60</v>
      </c>
      <c r="J2006">
        <f t="shared" si="181"/>
        <v>1919</v>
      </c>
      <c r="K2006" s="5">
        <f>IF(D2006&lt;$F$11,H2006,0)</f>
        <v>0</v>
      </c>
      <c r="L2006">
        <f>IF(D2006&lt;$A$15,$D$11,$D$11*(1-$H$11))</f>
        <v>85</v>
      </c>
      <c r="M2006">
        <f t="shared" si="182"/>
        <v>1</v>
      </c>
      <c r="N2006">
        <f>IF(SUM(I2006:J2006)&lt;=($G$11/60*$F$11/($E$11/60)),1,0)</f>
        <v>0</v>
      </c>
    </row>
    <row r="2007" spans="4:14" x14ac:dyDescent="0.2">
      <c r="D2007">
        <f t="shared" si="184"/>
        <v>1984</v>
      </c>
      <c r="E2007" s="1">
        <f>IF($H$11=1,IF(D2007&lt;=$A$15, E2006+LN($D$11)-LN(60/$E$11)-LN(MIN(D2007,$F$11)), E2006-LN(60/$E$11)-LN(MIN(D2007,$F$11))), IF(D2007&lt;=$A$15, E2006+LN($D$11)-LN(60/$E$11)-LN(MIN(D2007,$F$11)), E2006+LN($D$11)+LN(1-$H$11)-LN(60/$E$11)-LN(MIN(D2007,$F$11))))</f>
        <v>-239.07959538128208</v>
      </c>
      <c r="F2007" s="1">
        <f t="shared" si="185"/>
        <v>-241.08162819048113</v>
      </c>
      <c r="G2007" s="1">
        <f t="shared" si="183"/>
        <v>1.9933299339040501E-105</v>
      </c>
      <c r="H2007" s="1">
        <f t="shared" ref="H2007:H2023" si="186">G2007/$G$21</f>
        <v>1.9565984945509601E-106</v>
      </c>
      <c r="I2007">
        <f>IF($F$11&lt;=D2007, IF(D2007&lt;=$A$15,D2007-$F$11,$C$11),0)</f>
        <v>60</v>
      </c>
      <c r="J2007">
        <f t="shared" ref="J2007:J2023" si="187">IF(D2007&lt;=$A$15,0,D2007-$A$15)</f>
        <v>1920</v>
      </c>
      <c r="K2007" s="5">
        <f>IF(D2007&lt;$F$11,H2007,0)</f>
        <v>0</v>
      </c>
      <c r="L2007">
        <f>IF(D2007&lt;$A$15,$D$11,$D$11*(1-$H$11))</f>
        <v>85</v>
      </c>
      <c r="M2007">
        <f t="shared" ref="M2007:M2023" si="188">IF(D2007&lt;$A$15,0,1)</f>
        <v>1</v>
      </c>
      <c r="N2007">
        <f>IF(SUM(I2007:J2007)&lt;=($G$11/60*$F$11/($E$11/60)),1,0)</f>
        <v>0</v>
      </c>
    </row>
    <row r="2008" spans="4:14" x14ac:dyDescent="0.2">
      <c r="D2008">
        <f t="shared" si="184"/>
        <v>1985</v>
      </c>
      <c r="E2008" s="1">
        <f>IF($H$11=1,IF(D2008&lt;=$A$15, E2007+LN($D$11)-LN(60/$E$11)-LN(MIN(D2008,$F$11)), E2007-LN(60/$E$11)-LN(MIN(D2008,$F$11))), IF(D2008&lt;=$A$15, E2007+LN($D$11)-LN(60/$E$11)-LN(MIN(D2008,$F$11)), E2007+LN($D$11)+LN(1-$H$11)-LN(60/$E$11)-LN(MIN(D2008,$F$11))))</f>
        <v>-239.20129231625961</v>
      </c>
      <c r="F2008" s="1">
        <f t="shared" si="185"/>
        <v>-241.20332512545866</v>
      </c>
      <c r="G2008" s="1">
        <f t="shared" ref="G2008:G2023" si="189">EXP(F2008)</f>
        <v>1.7649275456441836E-105</v>
      </c>
      <c r="H2008" s="1">
        <f t="shared" si="186"/>
        <v>1.7324049170503024E-106</v>
      </c>
      <c r="I2008">
        <f>IF($F$11&lt;=D2008, IF(D2008&lt;=$A$15,D2008-$F$11,$C$11),0)</f>
        <v>60</v>
      </c>
      <c r="J2008">
        <f t="shared" si="187"/>
        <v>1921</v>
      </c>
      <c r="K2008" s="5">
        <f>IF(D2008&lt;$F$11,H2008,0)</f>
        <v>0</v>
      </c>
      <c r="L2008">
        <f>IF(D2008&lt;$A$15,$D$11,$D$11*(1-$H$11))</f>
        <v>85</v>
      </c>
      <c r="M2008">
        <f t="shared" si="188"/>
        <v>1</v>
      </c>
      <c r="N2008">
        <f>IF(SUM(I2008:J2008)&lt;=($G$11/60*$F$11/($E$11/60)),1,0)</f>
        <v>0</v>
      </c>
    </row>
    <row r="2009" spans="4:14" x14ac:dyDescent="0.2">
      <c r="D2009">
        <f t="shared" ref="D2009:D2023" si="190">1+D2008</f>
        <v>1986</v>
      </c>
      <c r="E2009" s="1">
        <f>IF($H$11=1,IF(D2009&lt;=$A$15, E2008+LN($D$11)-LN(60/$E$11)-LN(MIN(D2009,$F$11)), E2008-LN(60/$E$11)-LN(MIN(D2009,$F$11))), IF(D2009&lt;=$A$15, E2008+LN($D$11)-LN(60/$E$11)-LN(MIN(D2009,$F$11)), E2008+LN($D$11)+LN(1-$H$11)-LN(60/$E$11)-LN(MIN(D2009,$F$11))))</f>
        <v>-239.32298925123715</v>
      </c>
      <c r="F2009" s="1">
        <f t="shared" ref="F2009:F2023" si="191">E2009-$E$21</f>
        <v>-241.3250220604362</v>
      </c>
      <c r="G2009" s="1">
        <f t="shared" si="189"/>
        <v>1.5626962643724297E-105</v>
      </c>
      <c r="H2009" s="1">
        <f t="shared" si="186"/>
        <v>1.5339001869715977E-106</v>
      </c>
      <c r="I2009">
        <f>IF($F$11&lt;=D2009, IF(D2009&lt;=$A$15,D2009-$F$11,$C$11),0)</f>
        <v>60</v>
      </c>
      <c r="J2009">
        <f t="shared" si="187"/>
        <v>1922</v>
      </c>
      <c r="K2009" s="5">
        <f>IF(D2009&lt;$F$11,H2009,0)</f>
        <v>0</v>
      </c>
      <c r="L2009">
        <f>IF(D2009&lt;$A$15,$D$11,$D$11*(1-$H$11))</f>
        <v>85</v>
      </c>
      <c r="M2009">
        <f t="shared" si="188"/>
        <v>1</v>
      </c>
      <c r="N2009">
        <f>IF(SUM(I2009:J2009)&lt;=($G$11/60*$F$11/($E$11/60)),1,0)</f>
        <v>0</v>
      </c>
    </row>
    <row r="2010" spans="4:14" x14ac:dyDescent="0.2">
      <c r="D2010">
        <f t="shared" si="190"/>
        <v>1987</v>
      </c>
      <c r="E2010" s="1">
        <f>IF($H$11=1,IF(D2010&lt;=$A$15, E2009+LN($D$11)-LN(60/$E$11)-LN(MIN(D2010,$F$11)), E2009-LN(60/$E$11)-LN(MIN(D2010,$F$11))), IF(D2010&lt;=$A$15, E2009+LN($D$11)-LN(60/$E$11)-LN(MIN(D2010,$F$11)), E2009+LN($D$11)+LN(1-$H$11)-LN(60/$E$11)-LN(MIN(D2010,$F$11))))</f>
        <v>-239.44468618621468</v>
      </c>
      <c r="F2010" s="1">
        <f t="shared" si="191"/>
        <v>-241.44671899541373</v>
      </c>
      <c r="G2010" s="1">
        <f t="shared" si="189"/>
        <v>1.3836373174130672E-105</v>
      </c>
      <c r="H2010" s="1">
        <f t="shared" si="186"/>
        <v>1.3581407905477475E-106</v>
      </c>
      <c r="I2010">
        <f>IF($F$11&lt;=D2010, IF(D2010&lt;=$A$15,D2010-$F$11,$C$11),0)</f>
        <v>60</v>
      </c>
      <c r="J2010">
        <f t="shared" si="187"/>
        <v>1923</v>
      </c>
      <c r="K2010" s="5">
        <f>IF(D2010&lt;$F$11,H2010,0)</f>
        <v>0</v>
      </c>
      <c r="L2010">
        <f>IF(D2010&lt;$A$15,$D$11,$D$11*(1-$H$11))</f>
        <v>85</v>
      </c>
      <c r="M2010">
        <f t="shared" si="188"/>
        <v>1</v>
      </c>
      <c r="N2010">
        <f>IF(SUM(I2010:J2010)&lt;=($G$11/60*$F$11/($E$11/60)),1,0)</f>
        <v>0</v>
      </c>
    </row>
    <row r="2011" spans="4:14" x14ac:dyDescent="0.2">
      <c r="D2011">
        <f t="shared" si="190"/>
        <v>1988</v>
      </c>
      <c r="E2011" s="1">
        <f>IF($H$11=1,IF(D2011&lt;=$A$15, E2010+LN($D$11)-LN(60/$E$11)-LN(MIN(D2011,$F$11)), E2010-LN(60/$E$11)-LN(MIN(D2011,$F$11))), IF(D2011&lt;=$A$15, E2010+LN($D$11)-LN(60/$E$11)-LN(MIN(D2011,$F$11)), E2010+LN($D$11)+LN(1-$H$11)-LN(60/$E$11)-LN(MIN(D2011,$F$11))))</f>
        <v>-239.56638312119222</v>
      </c>
      <c r="F2011" s="1">
        <f t="shared" si="191"/>
        <v>-241.56841593039127</v>
      </c>
      <c r="G2011" s="1">
        <f t="shared" si="189"/>
        <v>1.2250955414594674E-105</v>
      </c>
      <c r="H2011" s="1">
        <f t="shared" si="186"/>
        <v>1.2025204916307994E-106</v>
      </c>
      <c r="I2011">
        <f>IF($F$11&lt;=D2011, IF(D2011&lt;=$A$15,D2011-$F$11,$C$11),0)</f>
        <v>60</v>
      </c>
      <c r="J2011">
        <f t="shared" si="187"/>
        <v>1924</v>
      </c>
      <c r="K2011" s="5">
        <f>IF(D2011&lt;$F$11,H2011,0)</f>
        <v>0</v>
      </c>
      <c r="L2011">
        <f>IF(D2011&lt;$A$15,$D$11,$D$11*(1-$H$11))</f>
        <v>85</v>
      </c>
      <c r="M2011">
        <f t="shared" si="188"/>
        <v>1</v>
      </c>
      <c r="N2011">
        <f>IF(SUM(I2011:J2011)&lt;=($G$11/60*$F$11/($E$11/60)),1,0)</f>
        <v>0</v>
      </c>
    </row>
    <row r="2012" spans="4:14" x14ac:dyDescent="0.2">
      <c r="D2012">
        <f t="shared" si="190"/>
        <v>1989</v>
      </c>
      <c r="E2012" s="1">
        <f>IF($H$11=1,IF(D2012&lt;=$A$15, E2011+LN($D$11)-LN(60/$E$11)-LN(MIN(D2012,$F$11)), E2011-LN(60/$E$11)-LN(MIN(D2012,$F$11))), IF(D2012&lt;=$A$15, E2011+LN($D$11)-LN(60/$E$11)-LN(MIN(D2012,$F$11)), E2011+LN($D$11)+LN(1-$H$11)-LN(60/$E$11)-LN(MIN(D2012,$F$11))))</f>
        <v>-239.68808005616975</v>
      </c>
      <c r="F2012" s="1">
        <f t="shared" si="191"/>
        <v>-241.6901128653688</v>
      </c>
      <c r="G2012" s="1">
        <f t="shared" si="189"/>
        <v>1.0847200106672198E-105</v>
      </c>
      <c r="H2012" s="1">
        <f t="shared" si="186"/>
        <v>1.064731685298087E-106</v>
      </c>
      <c r="I2012">
        <f>IF($F$11&lt;=D2012, IF(D2012&lt;=$A$15,D2012-$F$11,$C$11),0)</f>
        <v>60</v>
      </c>
      <c r="J2012">
        <f t="shared" si="187"/>
        <v>1925</v>
      </c>
      <c r="K2012" s="5">
        <f>IF(D2012&lt;$F$11,H2012,0)</f>
        <v>0</v>
      </c>
      <c r="L2012">
        <f>IF(D2012&lt;$A$15,$D$11,$D$11*(1-$H$11))</f>
        <v>85</v>
      </c>
      <c r="M2012">
        <f t="shared" si="188"/>
        <v>1</v>
      </c>
      <c r="N2012">
        <f>IF(SUM(I2012:J2012)&lt;=($G$11/60*$F$11/($E$11/60)),1,0)</f>
        <v>0</v>
      </c>
    </row>
    <row r="2013" spans="4:14" x14ac:dyDescent="0.2">
      <c r="D2013">
        <f t="shared" si="190"/>
        <v>1990</v>
      </c>
      <c r="E2013" s="1">
        <f>IF($H$11=1,IF(D2013&lt;=$A$15, E2012+LN($D$11)-LN(60/$E$11)-LN(MIN(D2013,$F$11)), E2012-LN(60/$E$11)-LN(MIN(D2013,$F$11))), IF(D2013&lt;=$A$15, E2012+LN($D$11)-LN(60/$E$11)-LN(MIN(D2013,$F$11)), E2012+LN($D$11)+LN(1-$H$11)-LN(60/$E$11)-LN(MIN(D2013,$F$11))))</f>
        <v>-239.80977699114729</v>
      </c>
      <c r="F2013" s="1">
        <f t="shared" si="191"/>
        <v>-241.81180980034634</v>
      </c>
      <c r="G2013" s="1">
        <f t="shared" si="189"/>
        <v>9.604291761115858E-106</v>
      </c>
      <c r="H2013" s="1">
        <f t="shared" si="186"/>
        <v>9.4273117969099973E-107</v>
      </c>
      <c r="I2013">
        <f>IF($F$11&lt;=D2013, IF(D2013&lt;=$A$15,D2013-$F$11,$C$11),0)</f>
        <v>60</v>
      </c>
      <c r="J2013">
        <f t="shared" si="187"/>
        <v>1926</v>
      </c>
      <c r="K2013" s="5">
        <f>IF(D2013&lt;$F$11,H2013,0)</f>
        <v>0</v>
      </c>
      <c r="L2013">
        <f>IF(D2013&lt;$A$15,$D$11,$D$11*(1-$H$11))</f>
        <v>85</v>
      </c>
      <c r="M2013">
        <f t="shared" si="188"/>
        <v>1</v>
      </c>
      <c r="N2013">
        <f>IF(SUM(I2013:J2013)&lt;=($G$11/60*$F$11/($E$11/60)),1,0)</f>
        <v>0</v>
      </c>
    </row>
    <row r="2014" spans="4:14" x14ac:dyDescent="0.2">
      <c r="D2014">
        <f t="shared" si="190"/>
        <v>1991</v>
      </c>
      <c r="E2014" s="1">
        <f>IF($H$11=1,IF(D2014&lt;=$A$15, E2013+LN($D$11)-LN(60/$E$11)-LN(MIN(D2014,$F$11)), E2013-LN(60/$E$11)-LN(MIN(D2014,$F$11))), IF(D2014&lt;=$A$15, E2013+LN($D$11)-LN(60/$E$11)-LN(MIN(D2014,$F$11)), E2013+LN($D$11)+LN(1-$H$11)-LN(60/$E$11)-LN(MIN(D2014,$F$11))))</f>
        <v>-239.93147392612482</v>
      </c>
      <c r="F2014" s="1">
        <f t="shared" si="191"/>
        <v>-241.93350673532387</v>
      </c>
      <c r="G2014" s="1">
        <f t="shared" si="189"/>
        <v>8.5037999968212001E-106</v>
      </c>
      <c r="H2014" s="1">
        <f t="shared" si="186"/>
        <v>8.347098986847263E-107</v>
      </c>
      <c r="I2014">
        <f>IF($F$11&lt;=D2014, IF(D2014&lt;=$A$15,D2014-$F$11,$C$11),0)</f>
        <v>60</v>
      </c>
      <c r="J2014">
        <f t="shared" si="187"/>
        <v>1927</v>
      </c>
      <c r="K2014" s="5">
        <f>IF(D2014&lt;$F$11,H2014,0)</f>
        <v>0</v>
      </c>
      <c r="L2014">
        <f>IF(D2014&lt;$A$15,$D$11,$D$11*(1-$H$11))</f>
        <v>85</v>
      </c>
      <c r="M2014">
        <f t="shared" si="188"/>
        <v>1</v>
      </c>
      <c r="N2014">
        <f>IF(SUM(I2014:J2014)&lt;=($G$11/60*$F$11/($E$11/60)),1,0)</f>
        <v>0</v>
      </c>
    </row>
    <row r="2015" spans="4:14" x14ac:dyDescent="0.2">
      <c r="D2015">
        <f t="shared" si="190"/>
        <v>1992</v>
      </c>
      <c r="E2015" s="1">
        <f>IF($H$11=1,IF(D2015&lt;=$A$15, E2014+LN($D$11)-LN(60/$E$11)-LN(MIN(D2015,$F$11)), E2014-LN(60/$E$11)-LN(MIN(D2015,$F$11))), IF(D2015&lt;=$A$15, E2014+LN($D$11)-LN(60/$E$11)-LN(MIN(D2015,$F$11)), E2014+LN($D$11)+LN(1-$H$11)-LN(60/$E$11)-LN(MIN(D2015,$F$11))))</f>
        <v>-240.05317086110236</v>
      </c>
      <c r="F2015" s="1">
        <f t="shared" si="191"/>
        <v>-242.05520367030141</v>
      </c>
      <c r="G2015" s="1">
        <f t="shared" si="189"/>
        <v>7.5294062471853198E-106</v>
      </c>
      <c r="H2015" s="1">
        <f t="shared" si="186"/>
        <v>7.3906605612708993E-107</v>
      </c>
      <c r="I2015">
        <f>IF($F$11&lt;=D2015, IF(D2015&lt;=$A$15,D2015-$F$11,$C$11),0)</f>
        <v>60</v>
      </c>
      <c r="J2015">
        <f t="shared" si="187"/>
        <v>1928</v>
      </c>
      <c r="K2015" s="5">
        <f>IF(D2015&lt;$F$11,H2015,0)</f>
        <v>0</v>
      </c>
      <c r="L2015">
        <f>IF(D2015&lt;$A$15,$D$11,$D$11*(1-$H$11))</f>
        <v>85</v>
      </c>
      <c r="M2015">
        <f t="shared" si="188"/>
        <v>1</v>
      </c>
      <c r="N2015">
        <f>IF(SUM(I2015:J2015)&lt;=($G$11/60*$F$11/($E$11/60)),1,0)</f>
        <v>0</v>
      </c>
    </row>
    <row r="2016" spans="4:14" x14ac:dyDescent="0.2">
      <c r="D2016">
        <f t="shared" si="190"/>
        <v>1993</v>
      </c>
      <c r="E2016" s="1">
        <f>IF($H$11=1,IF(D2016&lt;=$A$15, E2015+LN($D$11)-LN(60/$E$11)-LN(MIN(D2016,$F$11)), E2015-LN(60/$E$11)-LN(MIN(D2016,$F$11))), IF(D2016&lt;=$A$15, E2015+LN($D$11)-LN(60/$E$11)-LN(MIN(D2016,$F$11)), E2015+LN($D$11)+LN(1-$H$11)-LN(60/$E$11)-LN(MIN(D2016,$F$11))))</f>
        <v>-240.17486779607989</v>
      </c>
      <c r="F2016" s="1">
        <f t="shared" si="191"/>
        <v>-242.17690060527895</v>
      </c>
      <c r="G2016" s="1">
        <f t="shared" si="189"/>
        <v>6.6666617813618974E-106</v>
      </c>
      <c r="H2016" s="1">
        <f t="shared" si="186"/>
        <v>6.5438140386251727E-107</v>
      </c>
      <c r="I2016">
        <f>IF($F$11&lt;=D2016, IF(D2016&lt;=$A$15,D2016-$F$11,$C$11),0)</f>
        <v>60</v>
      </c>
      <c r="J2016">
        <f t="shared" si="187"/>
        <v>1929</v>
      </c>
      <c r="K2016" s="5">
        <f>IF(D2016&lt;$F$11,H2016,0)</f>
        <v>0</v>
      </c>
      <c r="L2016">
        <f>IF(D2016&lt;$A$15,$D$11,$D$11*(1-$H$11))</f>
        <v>85</v>
      </c>
      <c r="M2016">
        <f t="shared" si="188"/>
        <v>1</v>
      </c>
      <c r="N2016">
        <f>IF(SUM(I2016:J2016)&lt;=($G$11/60*$F$11/($E$11/60)),1,0)</f>
        <v>0</v>
      </c>
    </row>
    <row r="2017" spans="4:14" x14ac:dyDescent="0.2">
      <c r="D2017">
        <f t="shared" si="190"/>
        <v>1994</v>
      </c>
      <c r="E2017" s="1">
        <f>IF($H$11=1,IF(D2017&lt;=$A$15, E2016+LN($D$11)-LN(60/$E$11)-LN(MIN(D2017,$F$11)), E2016-LN(60/$E$11)-LN(MIN(D2017,$F$11))), IF(D2017&lt;=$A$15, E2016+LN($D$11)-LN(60/$E$11)-LN(MIN(D2017,$F$11)), E2016+LN($D$11)+LN(1-$H$11)-LN(60/$E$11)-LN(MIN(D2017,$F$11))))</f>
        <v>-240.29656473105743</v>
      </c>
      <c r="F2017" s="1">
        <f t="shared" si="191"/>
        <v>-242.29859754025648</v>
      </c>
      <c r="G2017" s="1">
        <f t="shared" si="189"/>
        <v>5.9027734522474216E-106</v>
      </c>
      <c r="H2017" s="1">
        <f t="shared" si="186"/>
        <v>5.7940020133659479E-107</v>
      </c>
      <c r="I2017">
        <f>IF($F$11&lt;=D2017, IF(D2017&lt;=$A$15,D2017-$F$11,$C$11),0)</f>
        <v>60</v>
      </c>
      <c r="J2017">
        <f t="shared" si="187"/>
        <v>1930</v>
      </c>
      <c r="K2017" s="5">
        <f>IF(D2017&lt;$F$11,H2017,0)</f>
        <v>0</v>
      </c>
      <c r="L2017">
        <f>IF(D2017&lt;$A$15,$D$11,$D$11*(1-$H$11))</f>
        <v>85</v>
      </c>
      <c r="M2017">
        <f t="shared" si="188"/>
        <v>1</v>
      </c>
      <c r="N2017">
        <f>IF(SUM(I2017:J2017)&lt;=($G$11/60*$F$11/($E$11/60)),1,0)</f>
        <v>0</v>
      </c>
    </row>
    <row r="2018" spans="4:14" x14ac:dyDescent="0.2">
      <c r="D2018">
        <f t="shared" si="190"/>
        <v>1995</v>
      </c>
      <c r="E2018" s="1">
        <f>IF($H$11=1,IF(D2018&lt;=$A$15, E2017+LN($D$11)-LN(60/$E$11)-LN(MIN(D2018,$F$11)), E2017-LN(60/$E$11)-LN(MIN(D2018,$F$11))), IF(D2018&lt;=$A$15, E2017+LN($D$11)-LN(60/$E$11)-LN(MIN(D2018,$F$11)), E2017+LN($D$11)+LN(1-$H$11)-LN(60/$E$11)-LN(MIN(D2018,$F$11))))</f>
        <v>-240.41826166603497</v>
      </c>
      <c r="F2018" s="1">
        <f t="shared" si="191"/>
        <v>-242.42029447523402</v>
      </c>
      <c r="G2018" s="1">
        <f t="shared" si="189"/>
        <v>5.2264139941773229E-106</v>
      </c>
      <c r="H2018" s="1">
        <f t="shared" si="186"/>
        <v>5.1301059493343531E-107</v>
      </c>
      <c r="I2018">
        <f>IF($F$11&lt;=D2018, IF(D2018&lt;=$A$15,D2018-$F$11,$C$11),0)</f>
        <v>60</v>
      </c>
      <c r="J2018">
        <f t="shared" si="187"/>
        <v>1931</v>
      </c>
      <c r="K2018" s="5">
        <f>IF(D2018&lt;$F$11,H2018,0)</f>
        <v>0</v>
      </c>
      <c r="L2018">
        <f>IF(D2018&lt;$A$15,$D$11,$D$11*(1-$H$11))</f>
        <v>85</v>
      </c>
      <c r="M2018">
        <f t="shared" si="188"/>
        <v>1</v>
      </c>
      <c r="N2018">
        <f>IF(SUM(I2018:J2018)&lt;=($G$11/60*$F$11/($E$11/60)),1,0)</f>
        <v>0</v>
      </c>
    </row>
    <row r="2019" spans="4:14" x14ac:dyDescent="0.2">
      <c r="D2019">
        <f t="shared" si="190"/>
        <v>1996</v>
      </c>
      <c r="E2019" s="1">
        <f>IF($H$11=1,IF(D2019&lt;=$A$15, E2018+LN($D$11)-LN(60/$E$11)-LN(MIN(D2019,$F$11)), E2018-LN(60/$E$11)-LN(MIN(D2019,$F$11))), IF(D2019&lt;=$A$15, E2018+LN($D$11)-LN(60/$E$11)-LN(MIN(D2019,$F$11)), E2018+LN($D$11)+LN(1-$H$11)-LN(60/$E$11)-LN(MIN(D2019,$F$11))))</f>
        <v>-240.5399586010125</v>
      </c>
      <c r="F2019" s="1">
        <f t="shared" si="191"/>
        <v>-242.54199141021155</v>
      </c>
      <c r="G2019" s="1">
        <f t="shared" si="189"/>
        <v>4.6275540573444325E-106</v>
      </c>
      <c r="H2019" s="1">
        <f t="shared" si="186"/>
        <v>4.5422813093063874E-107</v>
      </c>
      <c r="I2019">
        <f>IF($F$11&lt;=D2019, IF(D2019&lt;=$A$15,D2019-$F$11,$C$11),0)</f>
        <v>60</v>
      </c>
      <c r="J2019">
        <f t="shared" si="187"/>
        <v>1932</v>
      </c>
      <c r="K2019" s="5">
        <f>IF(D2019&lt;$F$11,H2019,0)</f>
        <v>0</v>
      </c>
      <c r="L2019">
        <f>IF(D2019&lt;$A$15,$D$11,$D$11*(1-$H$11))</f>
        <v>85</v>
      </c>
      <c r="M2019">
        <f t="shared" si="188"/>
        <v>1</v>
      </c>
      <c r="N2019">
        <f>IF(SUM(I2019:J2019)&lt;=($G$11/60*$F$11/($E$11/60)),1,0)</f>
        <v>0</v>
      </c>
    </row>
    <row r="2020" spans="4:14" x14ac:dyDescent="0.2">
      <c r="D2020">
        <f t="shared" si="190"/>
        <v>1997</v>
      </c>
      <c r="E2020" s="1">
        <f>IF($H$11=1,IF(D2020&lt;=$A$15, E2019+LN($D$11)-LN(60/$E$11)-LN(MIN(D2020,$F$11)), E2019-LN(60/$E$11)-LN(MIN(D2020,$F$11))), IF(D2020&lt;=$A$15, E2019+LN($D$11)-LN(60/$E$11)-LN(MIN(D2020,$F$11)), E2019+LN($D$11)+LN(1-$H$11)-LN(60/$E$11)-LN(MIN(D2020,$F$11))))</f>
        <v>-240.66165553599004</v>
      </c>
      <c r="F2020" s="1">
        <f t="shared" si="191"/>
        <v>-242.66368834518909</v>
      </c>
      <c r="G2020" s="1">
        <f t="shared" si="189"/>
        <v>4.0973134882736519E-106</v>
      </c>
      <c r="H2020" s="1">
        <f t="shared" si="186"/>
        <v>4.0218115759483007E-107</v>
      </c>
      <c r="I2020">
        <f>IF($F$11&lt;=D2020, IF(D2020&lt;=$A$15,D2020-$F$11,$C$11),0)</f>
        <v>60</v>
      </c>
      <c r="J2020">
        <f t="shared" si="187"/>
        <v>1933</v>
      </c>
      <c r="K2020" s="5">
        <f>IF(D2020&lt;$F$11,H2020,0)</f>
        <v>0</v>
      </c>
      <c r="L2020">
        <f>IF(D2020&lt;$A$15,$D$11,$D$11*(1-$H$11))</f>
        <v>85</v>
      </c>
      <c r="M2020">
        <f t="shared" si="188"/>
        <v>1</v>
      </c>
      <c r="N2020">
        <f>IF(SUM(I2020:J2020)&lt;=($G$11/60*$F$11/($E$11/60)),1,0)</f>
        <v>0</v>
      </c>
    </row>
    <row r="2021" spans="4:14" x14ac:dyDescent="0.2">
      <c r="D2021">
        <f t="shared" si="190"/>
        <v>1998</v>
      </c>
      <c r="E2021" s="1">
        <f>IF($H$11=1,IF(D2021&lt;=$A$15, E2020+LN($D$11)-LN(60/$E$11)-LN(MIN(D2021,$F$11)), E2020-LN(60/$E$11)-LN(MIN(D2021,$F$11))), IF(D2021&lt;=$A$15, E2020+LN($D$11)-LN(60/$E$11)-LN(MIN(D2021,$F$11)), E2020+LN($D$11)+LN(1-$H$11)-LN(60/$E$11)-LN(MIN(D2021,$F$11))))</f>
        <v>-240.78335247096757</v>
      </c>
      <c r="F2021" s="1">
        <f t="shared" si="191"/>
        <v>-242.78538528016662</v>
      </c>
      <c r="G2021" s="1">
        <f t="shared" si="189"/>
        <v>3.6278296510755723E-106</v>
      </c>
      <c r="H2021" s="1">
        <f t="shared" si="186"/>
        <v>3.560978999537502E-107</v>
      </c>
      <c r="I2021">
        <f>IF($F$11&lt;=D2021, IF(D2021&lt;=$A$15,D2021-$F$11,$C$11),0)</f>
        <v>60</v>
      </c>
      <c r="J2021">
        <f t="shared" si="187"/>
        <v>1934</v>
      </c>
      <c r="K2021" s="5">
        <f>IF(D2021&lt;$F$11,H2021,0)</f>
        <v>0</v>
      </c>
      <c r="L2021">
        <f>IF(D2021&lt;$A$15,$D$11,$D$11*(1-$H$11))</f>
        <v>85</v>
      </c>
      <c r="M2021">
        <f t="shared" si="188"/>
        <v>1</v>
      </c>
      <c r="N2021">
        <f>IF(SUM(I2021:J2021)&lt;=($G$11/60*$F$11/($E$11/60)),1,0)</f>
        <v>0</v>
      </c>
    </row>
    <row r="2022" spans="4:14" x14ac:dyDescent="0.2">
      <c r="D2022">
        <f t="shared" si="190"/>
        <v>1999</v>
      </c>
      <c r="E2022" s="1">
        <f>IF($H$11=1,IF(D2022&lt;=$A$15, E2021+LN($D$11)-LN(60/$E$11)-LN(MIN(D2022,$F$11)), E2021-LN(60/$E$11)-LN(MIN(D2022,$F$11))), IF(D2022&lt;=$A$15, E2021+LN($D$11)-LN(60/$E$11)-LN(MIN(D2022,$F$11)), E2021+LN($D$11)+LN(1-$H$11)-LN(60/$E$11)-LN(MIN(D2022,$F$11))))</f>
        <v>-240.90504940594511</v>
      </c>
      <c r="F2022" s="1">
        <f t="shared" si="191"/>
        <v>-242.90708221514416</v>
      </c>
      <c r="G2022" s="1">
        <f t="shared" si="189"/>
        <v>3.2121408368897795E-106</v>
      </c>
      <c r="H2022" s="1">
        <f t="shared" si="186"/>
        <v>3.1529501558404476E-107</v>
      </c>
      <c r="I2022">
        <f>IF($F$11&lt;=D2022, IF(D2022&lt;=$A$15,D2022-$F$11,$C$11),0)</f>
        <v>60</v>
      </c>
      <c r="J2022">
        <f t="shared" si="187"/>
        <v>1935</v>
      </c>
      <c r="K2022" s="5">
        <f>IF(D2022&lt;$F$11,H2022,0)</f>
        <v>0</v>
      </c>
      <c r="L2022">
        <f>IF(D2022&lt;$A$15,$D$11,$D$11*(1-$H$11))</f>
        <v>85</v>
      </c>
      <c r="M2022">
        <f t="shared" si="188"/>
        <v>1</v>
      </c>
      <c r="N2022">
        <f>IF(SUM(I2022:J2022)&lt;=($G$11/60*$F$11/($E$11/60)),1,0)</f>
        <v>0</v>
      </c>
    </row>
    <row r="2023" spans="4:14" x14ac:dyDescent="0.2">
      <c r="D2023">
        <f t="shared" si="190"/>
        <v>2000</v>
      </c>
      <c r="E2023" s="1">
        <f>IF($H$11=1,IF(D2023&lt;=$A$15, E2022+LN($D$11)-LN(60/$E$11)-LN(MIN(D2023,$F$11)), E2022-LN(60/$E$11)-LN(MIN(D2023,$F$11))), IF(D2023&lt;=$A$15, E2022+LN($D$11)-LN(60/$E$11)-LN(MIN(D2023,$F$11)), E2022+LN($D$11)+LN(1-$H$11)-LN(60/$E$11)-LN(MIN(D2023,$F$11))))</f>
        <v>-241.02674634092264</v>
      </c>
      <c r="F2023" s="1">
        <f t="shared" si="191"/>
        <v>-243.02877915012169</v>
      </c>
      <c r="G2023" s="1">
        <f t="shared" si="189"/>
        <v>2.8440830326627814E-106</v>
      </c>
      <c r="H2023" s="1">
        <f t="shared" si="186"/>
        <v>2.7916746171503528E-107</v>
      </c>
      <c r="I2023">
        <f>IF($F$11&lt;=D2023, IF(D2023&lt;=$A$15,D2023-$F$11,$C$11),0)</f>
        <v>60</v>
      </c>
      <c r="J2023">
        <f t="shared" si="187"/>
        <v>1936</v>
      </c>
      <c r="K2023" s="5">
        <f>IF(D2023&lt;$F$11,H2023,0)</f>
        <v>0</v>
      </c>
      <c r="L2023">
        <f>IF(D2023&lt;$A$15,$D$11,$D$11*(1-$H$11))</f>
        <v>85</v>
      </c>
      <c r="M2023">
        <f t="shared" si="188"/>
        <v>1</v>
      </c>
      <c r="N2023">
        <f>IF(SUM(I2023:J2023)&lt;=($G$11/60*$F$11/($E$11/60)),1,0)</f>
        <v>0</v>
      </c>
    </row>
    <row r="2024" spans="4:14" x14ac:dyDescent="0.2">
      <c r="D2024"/>
    </row>
    <row r="2025" spans="4:14" x14ac:dyDescent="0.2">
      <c r="D2025"/>
    </row>
    <row r="2026" spans="4:14" x14ac:dyDescent="0.2">
      <c r="D2026"/>
    </row>
    <row r="2027" spans="4:14" x14ac:dyDescent="0.2">
      <c r="D2027"/>
    </row>
    <row r="2028" spans="4:14" x14ac:dyDescent="0.2">
      <c r="D2028"/>
    </row>
    <row r="2029" spans="4:14" x14ac:dyDescent="0.2">
      <c r="D2029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AC1512"/>
  <sheetViews>
    <sheetView tabSelected="1" topLeftCell="A2" workbookViewId="0">
      <pane xSplit="4" ySplit="10" topLeftCell="E12" activePane="bottomRight" state="frozen"/>
      <selection activeCell="B2" sqref="B2"/>
      <selection pane="topRight" activeCell="E2" sqref="E2"/>
      <selection pane="bottomLeft" activeCell="B10" sqref="B10"/>
      <selection pane="bottomRight" activeCell="K15" sqref="K15"/>
    </sheetView>
  </sheetViews>
  <sheetFormatPr baseColWidth="10" defaultRowHeight="15" outlineLevelRow="1" outlineLevelCol="1" x14ac:dyDescent="0.2"/>
  <cols>
    <col min="1" max="1" width="10.83203125" style="12" hidden="1" customWidth="1" outlineLevel="1"/>
    <col min="2" max="2" width="10.83203125" collapsed="1"/>
    <col min="6" max="6" width="13" bestFit="1" customWidth="1"/>
    <col min="8" max="11" width="12.6640625" customWidth="1"/>
    <col min="14" max="14" width="10.83203125" hidden="1" customWidth="1" outlineLevel="1"/>
    <col min="15" max="15" width="1" customWidth="1" collapsed="1"/>
    <col min="16" max="16" width="1" customWidth="1"/>
    <col min="19" max="19" width="12.33203125" customWidth="1"/>
    <col min="21" max="21" width="14.6640625" customWidth="1"/>
    <col min="22" max="24" width="10.83203125" hidden="1" customWidth="1" outlineLevel="1"/>
    <col min="25" max="25" width="15.33203125" hidden="1" customWidth="1" outlineLevel="1"/>
    <col min="26" max="26" width="15" hidden="1" customWidth="1" outlineLevel="1"/>
    <col min="27" max="27" width="10" hidden="1" customWidth="1" outlineLevel="1"/>
    <col min="28" max="28" width="1" customWidth="1" collapsed="1"/>
    <col min="29" max="29" width="25" customWidth="1"/>
  </cols>
  <sheetData>
    <row r="1" spans="1:29" s="12" customFormat="1" hidden="1" outlineLevel="1" x14ac:dyDescent="0.2">
      <c r="E1" s="12" t="s">
        <v>0</v>
      </c>
    </row>
    <row r="2" spans="1:29" ht="19" collapsed="1" x14ac:dyDescent="0.25">
      <c r="A2" s="54" t="s">
        <v>56</v>
      </c>
    </row>
    <row r="3" spans="1:29" ht="21" x14ac:dyDescent="0.25">
      <c r="E3" s="14" t="s">
        <v>27</v>
      </c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</row>
    <row r="4" spans="1:29" ht="6" customHeight="1" thickBot="1" x14ac:dyDescent="0.25"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</row>
    <row r="5" spans="1:29" ht="6" customHeight="1" thickTop="1" x14ac:dyDescent="0.2"/>
    <row r="6" spans="1:29" ht="17" customHeight="1" x14ac:dyDescent="0.25">
      <c r="F6" s="17" t="s">
        <v>28</v>
      </c>
      <c r="G6" s="15"/>
      <c r="H6" s="15"/>
      <c r="I6" s="15"/>
      <c r="J6" s="15"/>
      <c r="K6" s="15"/>
      <c r="L6" s="15"/>
      <c r="M6" s="15"/>
      <c r="N6" s="15"/>
      <c r="Q6" s="18" t="s">
        <v>29</v>
      </c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</row>
    <row r="7" spans="1:29" ht="6" customHeight="1" x14ac:dyDescent="0.2"/>
    <row r="8" spans="1:29" ht="45" x14ac:dyDescent="0.2">
      <c r="B8" s="6" t="s">
        <v>26</v>
      </c>
      <c r="C8">
        <v>6</v>
      </c>
      <c r="F8" s="7" t="s">
        <v>49</v>
      </c>
      <c r="G8" s="7" t="s">
        <v>50</v>
      </c>
      <c r="H8" s="7" t="s">
        <v>51</v>
      </c>
      <c r="I8" s="7" t="s">
        <v>5</v>
      </c>
      <c r="J8" s="7" t="s">
        <v>1</v>
      </c>
      <c r="K8" s="7" t="s">
        <v>3</v>
      </c>
      <c r="L8" s="7" t="s">
        <v>4</v>
      </c>
      <c r="M8" s="7" t="s">
        <v>48</v>
      </c>
      <c r="N8" s="7" t="s">
        <v>6</v>
      </c>
      <c r="Q8" s="7" t="s">
        <v>9</v>
      </c>
      <c r="R8" s="7" t="s">
        <v>53</v>
      </c>
      <c r="S8" s="7" t="s">
        <v>13</v>
      </c>
      <c r="T8" s="7" t="s">
        <v>57</v>
      </c>
      <c r="U8" s="7" t="s">
        <v>54</v>
      </c>
      <c r="V8" s="7" t="s">
        <v>10</v>
      </c>
      <c r="W8" s="7" t="s">
        <v>11</v>
      </c>
      <c r="X8" s="7" t="s">
        <v>12</v>
      </c>
      <c r="Y8" s="7" t="s">
        <v>16</v>
      </c>
      <c r="Z8" s="7" t="s">
        <v>14</v>
      </c>
      <c r="AA8" s="7" t="s">
        <v>17</v>
      </c>
      <c r="AB8" s="7"/>
      <c r="AC8" s="7" t="s">
        <v>23</v>
      </c>
    </row>
    <row r="9" spans="1:29" ht="30" x14ac:dyDescent="0.2">
      <c r="F9" s="6" t="s">
        <v>2</v>
      </c>
      <c r="G9" s="6" t="s">
        <v>7</v>
      </c>
      <c r="H9" s="6" t="s">
        <v>19</v>
      </c>
      <c r="I9" s="6" t="s">
        <v>19</v>
      </c>
      <c r="J9" s="6" t="s">
        <v>2</v>
      </c>
      <c r="K9" s="6" t="s">
        <v>7</v>
      </c>
      <c r="L9" s="6" t="s">
        <v>8</v>
      </c>
      <c r="M9" s="6" t="s">
        <v>18</v>
      </c>
      <c r="N9" s="6" t="s">
        <v>20</v>
      </c>
      <c r="Q9" s="6" t="s">
        <v>18</v>
      </c>
      <c r="R9" s="6" t="s">
        <v>19</v>
      </c>
      <c r="S9" s="6" t="s">
        <v>19</v>
      </c>
      <c r="T9" s="6" t="s">
        <v>20</v>
      </c>
      <c r="U9" s="6" t="s">
        <v>20</v>
      </c>
      <c r="V9" s="6" t="s">
        <v>18</v>
      </c>
      <c r="W9" s="6" t="s">
        <v>19</v>
      </c>
      <c r="X9" s="6" t="s">
        <v>19</v>
      </c>
      <c r="Y9" s="6" t="s">
        <v>21</v>
      </c>
      <c r="Z9" s="6" t="s">
        <v>20</v>
      </c>
      <c r="AC9" s="6" t="s">
        <v>25</v>
      </c>
    </row>
    <row r="11" spans="1:29" ht="6" customHeight="1" x14ac:dyDescent="0.2"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9"/>
      <c r="AA11" s="19"/>
      <c r="AB11" s="19"/>
    </row>
    <row r="12" spans="1:29" ht="6" customHeight="1" x14ac:dyDescent="0.2"/>
    <row r="13" spans="1:29" x14ac:dyDescent="0.2">
      <c r="A13" s="12">
        <v>1</v>
      </c>
      <c r="E13" s="10" t="str">
        <f t="shared" ref="E13:E76" si="0">IF($C$8&gt;=A13,$E$1&amp;" "&amp;A13,"")</f>
        <v>Precinct 1</v>
      </c>
      <c r="F13">
        <v>20</v>
      </c>
      <c r="G13">
        <v>5</v>
      </c>
      <c r="H13">
        <v>5</v>
      </c>
      <c r="I13" s="53">
        <f>F13-G13-H13</f>
        <v>10</v>
      </c>
      <c r="J13">
        <v>45</v>
      </c>
      <c r="K13">
        <v>2.5</v>
      </c>
      <c r="L13">
        <v>2</v>
      </c>
      <c r="M13">
        <v>30</v>
      </c>
      <c r="N13" s="8">
        <v>0</v>
      </c>
      <c r="Q13" s="1">
        <v>18.145161290322477</v>
      </c>
      <c r="R13" s="1">
        <v>13.608870967741861</v>
      </c>
      <c r="S13" s="1">
        <v>7.1373149326187004</v>
      </c>
      <c r="T13" s="8">
        <v>0.47582099550791573</v>
      </c>
      <c r="U13" s="8">
        <v>0.18072271704126586</v>
      </c>
      <c r="V13" s="1">
        <v>20.645161290322491</v>
      </c>
      <c r="W13" s="1">
        <v>15.483870967741874</v>
      </c>
      <c r="X13" s="1">
        <v>6.47155603512316</v>
      </c>
      <c r="Y13">
        <v>45.000000000000014</v>
      </c>
      <c r="Z13" s="8">
        <v>9.2741935483871218E-2</v>
      </c>
      <c r="AA13" t="s">
        <v>24</v>
      </c>
    </row>
    <row r="14" spans="1:29" x14ac:dyDescent="0.2">
      <c r="A14" s="12">
        <f>A13+1</f>
        <v>2</v>
      </c>
      <c r="E14" s="10" t="str">
        <f t="shared" si="0"/>
        <v>Precinct 2</v>
      </c>
      <c r="F14">
        <v>30</v>
      </c>
      <c r="G14">
        <v>5</v>
      </c>
      <c r="H14">
        <v>5</v>
      </c>
      <c r="I14" s="53">
        <f>F14-G14-H14</f>
        <v>20</v>
      </c>
      <c r="J14">
        <v>90</v>
      </c>
      <c r="K14">
        <v>2.5</v>
      </c>
      <c r="L14">
        <v>4</v>
      </c>
      <c r="M14">
        <v>30</v>
      </c>
      <c r="N14" s="8">
        <v>0</v>
      </c>
      <c r="Q14" s="1">
        <v>8.6502973139225379</v>
      </c>
      <c r="R14" s="1">
        <v>12.975445970883785</v>
      </c>
      <c r="S14" s="1">
        <v>3.569010467012784</v>
      </c>
      <c r="T14" s="8">
        <v>0.23793403113418532</v>
      </c>
      <c r="U14" s="8">
        <v>3.6612010494077363E-2</v>
      </c>
      <c r="V14" s="1">
        <v>11.150297313922536</v>
      </c>
      <c r="W14" s="1">
        <v>16.725445970883776</v>
      </c>
      <c r="X14" s="1">
        <v>9.4064355038710001</v>
      </c>
      <c r="Y14">
        <v>89.999999999999844</v>
      </c>
      <c r="Z14" s="8">
        <v>0.13497026860775052</v>
      </c>
      <c r="AA14" t="s">
        <v>24</v>
      </c>
    </row>
    <row r="15" spans="1:29" x14ac:dyDescent="0.2">
      <c r="A15" s="12">
        <f t="shared" ref="A15:A78" si="1">A14+1</f>
        <v>3</v>
      </c>
      <c r="E15" s="10" t="str">
        <f t="shared" si="0"/>
        <v>Precinct 3</v>
      </c>
      <c r="F15">
        <v>40</v>
      </c>
      <c r="G15">
        <v>5</v>
      </c>
      <c r="H15">
        <v>5</v>
      </c>
      <c r="I15" s="53">
        <f t="shared" ref="I15:I19" si="2">F15-G15-H15</f>
        <v>30</v>
      </c>
      <c r="J15">
        <v>500</v>
      </c>
      <c r="K15">
        <v>2.5</v>
      </c>
      <c r="L15">
        <v>9</v>
      </c>
      <c r="M15">
        <v>30</v>
      </c>
      <c r="N15" s="8">
        <v>0</v>
      </c>
      <c r="Q15" s="1">
        <v>238.82873239436617</v>
      </c>
      <c r="R15" s="1">
        <v>1990.2394366197182</v>
      </c>
      <c r="S15" s="1">
        <v>1960.2394366197182</v>
      </c>
      <c r="T15" s="8">
        <v>1</v>
      </c>
      <c r="U15" s="8">
        <v>1</v>
      </c>
      <c r="V15" s="1">
        <v>239.90873239436618</v>
      </c>
      <c r="W15" s="1">
        <v>1999.2394366197182</v>
      </c>
      <c r="X15" s="1">
        <v>30</v>
      </c>
      <c r="Y15">
        <v>500</v>
      </c>
      <c r="Z15" s="8">
        <v>0</v>
      </c>
      <c r="AA15" t="s">
        <v>22</v>
      </c>
    </row>
    <row r="16" spans="1:29" x14ac:dyDescent="0.2">
      <c r="A16" s="12">
        <f t="shared" si="1"/>
        <v>4</v>
      </c>
      <c r="E16" s="10" t="str">
        <f t="shared" si="0"/>
        <v>Precinct 4</v>
      </c>
      <c r="F16">
        <v>50</v>
      </c>
      <c r="G16">
        <v>5</v>
      </c>
      <c r="H16">
        <v>5</v>
      </c>
      <c r="I16" s="53">
        <f t="shared" si="2"/>
        <v>40</v>
      </c>
      <c r="J16">
        <v>95</v>
      </c>
      <c r="K16">
        <v>2.5</v>
      </c>
      <c r="L16">
        <v>4</v>
      </c>
      <c r="M16">
        <v>30</v>
      </c>
      <c r="N16" s="8">
        <v>0</v>
      </c>
      <c r="Q16" s="1">
        <v>58.619314890903539</v>
      </c>
      <c r="R16" s="1">
        <v>92.813915243930609</v>
      </c>
      <c r="S16" s="1">
        <v>61.053136407646768</v>
      </c>
      <c r="T16" s="8">
        <v>0.64266461044270085</v>
      </c>
      <c r="U16" s="8">
        <v>0.58486513842511523</v>
      </c>
      <c r="V16" s="1">
        <v>61.119314890882286</v>
      </c>
      <c r="W16" s="1">
        <v>96.7722485772303</v>
      </c>
      <c r="X16" s="1">
        <v>31.760778836283844</v>
      </c>
      <c r="Y16">
        <v>95.000000000000014</v>
      </c>
      <c r="Z16" s="8">
        <v>2.3011401466054404E-2</v>
      </c>
      <c r="AA16" t="s">
        <v>24</v>
      </c>
    </row>
    <row r="17" spans="1:27" x14ac:dyDescent="0.2">
      <c r="A17" s="12">
        <f t="shared" si="1"/>
        <v>5</v>
      </c>
      <c r="E17" s="10" t="str">
        <f t="shared" si="0"/>
        <v>Precinct 5</v>
      </c>
      <c r="F17">
        <v>60</v>
      </c>
      <c r="G17">
        <v>5</v>
      </c>
      <c r="H17">
        <v>5</v>
      </c>
      <c r="I17" s="53">
        <f t="shared" si="2"/>
        <v>50</v>
      </c>
      <c r="J17">
        <v>90</v>
      </c>
      <c r="K17">
        <v>2.5</v>
      </c>
      <c r="L17">
        <v>4</v>
      </c>
      <c r="M17">
        <v>30</v>
      </c>
      <c r="N17" s="8">
        <v>0</v>
      </c>
      <c r="Q17" s="1">
        <v>8.6502973139225272</v>
      </c>
      <c r="R17" s="1">
        <v>12.975445970883767</v>
      </c>
      <c r="S17" s="1">
        <v>0.51485639757296398</v>
      </c>
      <c r="T17" s="8">
        <v>3.4323759838197583E-2</v>
      </c>
      <c r="U17" s="8">
        <v>3.6612010494077363E-2</v>
      </c>
      <c r="V17" s="1">
        <v>11.150297313922536</v>
      </c>
      <c r="W17" s="1">
        <v>16.725445970883776</v>
      </c>
      <c r="X17" s="1">
        <v>12.460589573310802</v>
      </c>
      <c r="Y17">
        <v>89.999999999999844</v>
      </c>
      <c r="Z17" s="8">
        <v>0.13497026860775052</v>
      </c>
      <c r="AA17" t="s">
        <v>24</v>
      </c>
    </row>
    <row r="18" spans="1:27" x14ac:dyDescent="0.2">
      <c r="A18" s="12">
        <f t="shared" si="1"/>
        <v>6</v>
      </c>
      <c r="E18" s="10" t="str">
        <f t="shared" si="0"/>
        <v>Precinct 6</v>
      </c>
      <c r="F18">
        <v>70</v>
      </c>
      <c r="G18">
        <v>5</v>
      </c>
      <c r="H18">
        <v>5</v>
      </c>
      <c r="I18" s="53">
        <f t="shared" si="2"/>
        <v>60</v>
      </c>
      <c r="J18">
        <v>85</v>
      </c>
      <c r="K18">
        <v>2.5</v>
      </c>
      <c r="L18">
        <v>4</v>
      </c>
      <c r="M18">
        <v>30</v>
      </c>
      <c r="N18" s="8">
        <v>0</v>
      </c>
      <c r="Q18" s="1">
        <v>4.1372077751564644</v>
      </c>
      <c r="R18" s="1">
        <v>5.8610443481383294</v>
      </c>
      <c r="S18" s="1">
        <v>3.9521786524648519E-3</v>
      </c>
      <c r="T18" s="8">
        <v>5.1145841384839209E-4</v>
      </c>
      <c r="U18" s="8">
        <v>1.9506785482485967E-3</v>
      </c>
      <c r="V18" s="1">
        <v>6.63720777515646</v>
      </c>
      <c r="W18" s="1">
        <v>9.4027110148049911</v>
      </c>
      <c r="X18" s="1">
        <v>5.8570921694858642</v>
      </c>
      <c r="Y18">
        <v>85.000000000000057</v>
      </c>
      <c r="Z18" s="8">
        <v>0.24151190788798352</v>
      </c>
      <c r="AA18" t="s">
        <v>24</v>
      </c>
    </row>
    <row r="19" spans="1:27" x14ac:dyDescent="0.2">
      <c r="A19" s="12">
        <f t="shared" si="1"/>
        <v>7</v>
      </c>
      <c r="E19" s="10"/>
      <c r="I19" s="53"/>
      <c r="N19" s="8">
        <v>0</v>
      </c>
      <c r="Q19" s="1"/>
      <c r="R19" s="1"/>
      <c r="S19" s="1"/>
      <c r="T19" s="8"/>
      <c r="U19" s="8"/>
      <c r="V19" s="1"/>
      <c r="W19" s="1"/>
      <c r="X19" s="1"/>
      <c r="Z19" s="8"/>
    </row>
    <row r="20" spans="1:27" x14ac:dyDescent="0.2">
      <c r="A20" s="12">
        <f t="shared" si="1"/>
        <v>8</v>
      </c>
      <c r="E20" s="10" t="str">
        <f t="shared" si="0"/>
        <v/>
      </c>
      <c r="I20" s="53"/>
      <c r="N20" s="8">
        <v>0</v>
      </c>
      <c r="Q20" s="1"/>
      <c r="R20" s="1"/>
      <c r="S20" s="1"/>
      <c r="T20" s="8"/>
      <c r="U20" s="8"/>
      <c r="V20" s="1"/>
      <c r="W20" s="1"/>
      <c r="X20" s="1"/>
      <c r="Z20" s="8"/>
    </row>
    <row r="21" spans="1:27" x14ac:dyDescent="0.2">
      <c r="A21" s="12">
        <f t="shared" si="1"/>
        <v>9</v>
      </c>
      <c r="E21" s="10" t="str">
        <f t="shared" si="0"/>
        <v/>
      </c>
      <c r="I21" s="53"/>
      <c r="N21" s="8">
        <v>0</v>
      </c>
      <c r="Q21" s="1"/>
      <c r="R21" s="1"/>
      <c r="S21" s="1"/>
      <c r="T21" s="8"/>
      <c r="U21" s="8"/>
      <c r="V21" s="1"/>
      <c r="W21" s="1"/>
      <c r="X21" s="1"/>
      <c r="Z21" s="8"/>
    </row>
    <row r="22" spans="1:27" x14ac:dyDescent="0.2">
      <c r="A22" s="12">
        <f t="shared" si="1"/>
        <v>10</v>
      </c>
      <c r="E22" s="10" t="str">
        <f t="shared" si="0"/>
        <v/>
      </c>
      <c r="I22" s="53"/>
      <c r="N22" s="8">
        <v>0</v>
      </c>
      <c r="Q22" s="1"/>
      <c r="R22" s="1"/>
      <c r="S22" s="1"/>
      <c r="T22" s="8"/>
      <c r="U22" s="8"/>
      <c r="V22" s="1"/>
      <c r="W22" s="1"/>
      <c r="X22" s="1"/>
      <c r="Z22" s="8"/>
    </row>
    <row r="23" spans="1:27" x14ac:dyDescent="0.2">
      <c r="A23" s="12">
        <f t="shared" si="1"/>
        <v>11</v>
      </c>
      <c r="E23" s="10" t="str">
        <f t="shared" si="0"/>
        <v/>
      </c>
      <c r="I23" s="53"/>
      <c r="N23" s="8">
        <v>0</v>
      </c>
      <c r="Q23" s="1"/>
      <c r="R23" s="1"/>
      <c r="S23" s="1"/>
      <c r="T23" s="8"/>
      <c r="U23" s="8"/>
      <c r="V23" s="1"/>
      <c r="W23" s="1"/>
      <c r="X23" s="1"/>
      <c r="Z23" s="8"/>
    </row>
    <row r="24" spans="1:27" x14ac:dyDescent="0.2">
      <c r="A24" s="12">
        <f t="shared" si="1"/>
        <v>12</v>
      </c>
      <c r="E24" s="10" t="str">
        <f t="shared" si="0"/>
        <v/>
      </c>
      <c r="I24" s="53"/>
      <c r="N24" s="8">
        <v>0</v>
      </c>
      <c r="Q24" s="1"/>
      <c r="R24" s="1"/>
      <c r="S24" s="1"/>
      <c r="T24" s="8"/>
      <c r="U24" s="8"/>
      <c r="V24" s="1"/>
      <c r="W24" s="1"/>
      <c r="X24" s="1"/>
      <c r="Z24" s="8"/>
    </row>
    <row r="25" spans="1:27" x14ac:dyDescent="0.2">
      <c r="A25" s="12">
        <f t="shared" si="1"/>
        <v>13</v>
      </c>
      <c r="E25" s="10" t="str">
        <f t="shared" si="0"/>
        <v/>
      </c>
      <c r="I25" s="53"/>
      <c r="N25" s="8">
        <v>0</v>
      </c>
      <c r="Q25" s="1"/>
      <c r="R25" s="1"/>
      <c r="S25" s="1"/>
      <c r="T25" s="8"/>
      <c r="U25" s="8"/>
      <c r="V25" s="1"/>
      <c r="W25" s="1"/>
      <c r="X25" s="1"/>
      <c r="Z25" s="8"/>
    </row>
    <row r="26" spans="1:27" x14ac:dyDescent="0.2">
      <c r="A26" s="12">
        <f t="shared" si="1"/>
        <v>14</v>
      </c>
      <c r="E26" s="10" t="str">
        <f t="shared" si="0"/>
        <v/>
      </c>
      <c r="I26" s="53"/>
      <c r="N26" s="8">
        <v>0</v>
      </c>
      <c r="Q26" s="1"/>
      <c r="R26" s="1"/>
      <c r="S26" s="1"/>
      <c r="T26" s="8"/>
      <c r="U26" s="8"/>
      <c r="V26" s="1"/>
      <c r="W26" s="1"/>
      <c r="X26" s="1"/>
      <c r="Z26" s="8"/>
    </row>
    <row r="27" spans="1:27" x14ac:dyDescent="0.2">
      <c r="A27" s="12">
        <f t="shared" si="1"/>
        <v>15</v>
      </c>
      <c r="E27" s="10" t="str">
        <f t="shared" si="0"/>
        <v/>
      </c>
      <c r="I27" s="53"/>
      <c r="N27" s="8">
        <v>0</v>
      </c>
      <c r="Q27" s="1"/>
      <c r="R27" s="1"/>
      <c r="S27" s="1"/>
      <c r="T27" s="8"/>
      <c r="U27" s="8"/>
      <c r="V27" s="1"/>
      <c r="W27" s="1"/>
      <c r="X27" s="1"/>
      <c r="Z27" s="8"/>
    </row>
    <row r="28" spans="1:27" x14ac:dyDescent="0.2">
      <c r="A28" s="12">
        <f t="shared" si="1"/>
        <v>16</v>
      </c>
      <c r="E28" s="10" t="str">
        <f t="shared" si="0"/>
        <v/>
      </c>
      <c r="I28" s="53"/>
      <c r="N28" s="8">
        <v>0</v>
      </c>
      <c r="Q28" s="1"/>
      <c r="R28" s="1"/>
      <c r="S28" s="1"/>
      <c r="T28" s="8"/>
      <c r="U28" s="8"/>
      <c r="V28" s="1"/>
      <c r="W28" s="1"/>
      <c r="X28" s="1"/>
      <c r="Z28" s="8"/>
    </row>
    <row r="29" spans="1:27" x14ac:dyDescent="0.2">
      <c r="A29" s="12">
        <f t="shared" si="1"/>
        <v>17</v>
      </c>
      <c r="E29" s="10" t="str">
        <f t="shared" si="0"/>
        <v/>
      </c>
      <c r="I29" s="53"/>
      <c r="N29" s="8">
        <v>0</v>
      </c>
      <c r="Q29" s="1"/>
      <c r="R29" s="1"/>
      <c r="S29" s="1"/>
      <c r="T29" s="8"/>
      <c r="U29" s="8"/>
      <c r="V29" s="1"/>
      <c r="W29" s="1"/>
      <c r="X29" s="1"/>
      <c r="Z29" s="8"/>
    </row>
    <row r="30" spans="1:27" x14ac:dyDescent="0.2">
      <c r="A30" s="12">
        <f t="shared" si="1"/>
        <v>18</v>
      </c>
      <c r="E30" s="10" t="str">
        <f t="shared" si="0"/>
        <v/>
      </c>
      <c r="I30" s="53"/>
      <c r="N30" s="8">
        <v>0</v>
      </c>
      <c r="Q30" s="1"/>
      <c r="R30" s="1"/>
      <c r="S30" s="1"/>
      <c r="T30" s="8"/>
      <c r="U30" s="8"/>
      <c r="V30" s="1"/>
      <c r="W30" s="1"/>
      <c r="X30" s="1"/>
      <c r="Z30" s="8"/>
    </row>
    <row r="31" spans="1:27" x14ac:dyDescent="0.2">
      <c r="A31" s="12">
        <f t="shared" si="1"/>
        <v>19</v>
      </c>
      <c r="E31" s="10" t="str">
        <f t="shared" si="0"/>
        <v/>
      </c>
      <c r="I31" s="53"/>
      <c r="N31" s="8">
        <v>0</v>
      </c>
      <c r="Q31" s="1"/>
      <c r="R31" s="1"/>
      <c r="S31" s="1"/>
      <c r="T31" s="8"/>
      <c r="U31" s="8"/>
      <c r="V31" s="1"/>
      <c r="W31" s="1"/>
      <c r="X31" s="1"/>
      <c r="Z31" s="8"/>
    </row>
    <row r="32" spans="1:27" x14ac:dyDescent="0.2">
      <c r="A32" s="12">
        <f t="shared" si="1"/>
        <v>20</v>
      </c>
      <c r="E32" s="10" t="str">
        <f t="shared" si="0"/>
        <v/>
      </c>
      <c r="I32" s="53"/>
      <c r="N32" s="8">
        <v>0</v>
      </c>
      <c r="Q32" s="1"/>
      <c r="R32" s="1"/>
      <c r="S32" s="1"/>
      <c r="T32" s="8"/>
      <c r="U32" s="8"/>
      <c r="V32" s="1"/>
      <c r="W32" s="1"/>
      <c r="X32" s="1"/>
      <c r="Z32" s="8"/>
    </row>
    <row r="33" spans="1:26" x14ac:dyDescent="0.2">
      <c r="A33" s="12">
        <f t="shared" si="1"/>
        <v>21</v>
      </c>
      <c r="E33" s="10" t="str">
        <f t="shared" si="0"/>
        <v/>
      </c>
      <c r="I33" s="53"/>
      <c r="N33" s="8">
        <v>0</v>
      </c>
      <c r="Q33" s="1"/>
      <c r="R33" s="1"/>
      <c r="S33" s="1"/>
      <c r="T33" s="8"/>
      <c r="U33" s="8"/>
      <c r="V33" s="1"/>
      <c r="W33" s="1"/>
      <c r="X33" s="1"/>
      <c r="Z33" s="8"/>
    </row>
    <row r="34" spans="1:26" x14ac:dyDescent="0.2">
      <c r="A34" s="12">
        <f t="shared" si="1"/>
        <v>22</v>
      </c>
      <c r="E34" s="10" t="str">
        <f t="shared" si="0"/>
        <v/>
      </c>
      <c r="I34" s="53"/>
      <c r="N34" s="8">
        <v>0</v>
      </c>
      <c r="Q34" s="1"/>
      <c r="R34" s="1"/>
      <c r="S34" s="1"/>
      <c r="T34" s="8"/>
      <c r="U34" s="8"/>
      <c r="V34" s="1"/>
      <c r="W34" s="1"/>
      <c r="X34" s="1"/>
      <c r="Z34" s="8"/>
    </row>
    <row r="35" spans="1:26" x14ac:dyDescent="0.2">
      <c r="A35" s="12">
        <f t="shared" si="1"/>
        <v>23</v>
      </c>
      <c r="E35" s="10" t="str">
        <f t="shared" si="0"/>
        <v/>
      </c>
      <c r="I35" s="53"/>
      <c r="N35" s="8">
        <v>0</v>
      </c>
      <c r="Q35" s="1"/>
      <c r="R35" s="1"/>
      <c r="S35" s="1"/>
      <c r="T35" s="8"/>
      <c r="U35" s="8"/>
      <c r="V35" s="1"/>
      <c r="W35" s="1"/>
      <c r="X35" s="1"/>
      <c r="Z35" s="8"/>
    </row>
    <row r="36" spans="1:26" x14ac:dyDescent="0.2">
      <c r="A36" s="12">
        <f t="shared" si="1"/>
        <v>24</v>
      </c>
      <c r="E36" s="10" t="str">
        <f t="shared" si="0"/>
        <v/>
      </c>
      <c r="I36" s="53"/>
      <c r="N36" s="8">
        <v>0</v>
      </c>
      <c r="Q36" s="1"/>
      <c r="R36" s="1"/>
      <c r="S36" s="1"/>
      <c r="T36" s="8"/>
      <c r="U36" s="8"/>
      <c r="V36" s="1"/>
      <c r="W36" s="1"/>
      <c r="X36" s="1"/>
      <c r="Z36" s="8"/>
    </row>
    <row r="37" spans="1:26" x14ac:dyDescent="0.2">
      <c r="A37" s="12">
        <f t="shared" si="1"/>
        <v>25</v>
      </c>
      <c r="E37" s="10" t="str">
        <f t="shared" si="0"/>
        <v/>
      </c>
      <c r="I37" s="53"/>
      <c r="N37" s="8">
        <v>0</v>
      </c>
      <c r="Q37" s="1"/>
      <c r="R37" s="1"/>
      <c r="S37" s="1"/>
      <c r="T37" s="8"/>
      <c r="U37" s="8"/>
      <c r="V37" s="1"/>
      <c r="W37" s="1"/>
      <c r="X37" s="1"/>
      <c r="Z37" s="8"/>
    </row>
    <row r="38" spans="1:26" x14ac:dyDescent="0.2">
      <c r="A38" s="12">
        <f t="shared" si="1"/>
        <v>26</v>
      </c>
      <c r="E38" s="10" t="str">
        <f t="shared" si="0"/>
        <v/>
      </c>
      <c r="I38" s="53"/>
      <c r="N38" s="8">
        <v>0</v>
      </c>
      <c r="Q38" s="1"/>
      <c r="R38" s="1"/>
      <c r="S38" s="1"/>
      <c r="T38" s="8"/>
      <c r="U38" s="8"/>
      <c r="V38" s="1"/>
      <c r="W38" s="1"/>
      <c r="X38" s="1"/>
      <c r="Z38" s="8"/>
    </row>
    <row r="39" spans="1:26" x14ac:dyDescent="0.2">
      <c r="A39" s="12">
        <f t="shared" si="1"/>
        <v>27</v>
      </c>
      <c r="E39" s="10" t="str">
        <f t="shared" si="0"/>
        <v/>
      </c>
      <c r="I39" s="53"/>
      <c r="N39" s="8">
        <v>0</v>
      </c>
      <c r="Q39" s="1"/>
      <c r="R39" s="1"/>
      <c r="S39" s="1"/>
      <c r="T39" s="8"/>
      <c r="U39" s="8"/>
      <c r="V39" s="1"/>
      <c r="W39" s="1"/>
      <c r="X39" s="1"/>
      <c r="Z39" s="8"/>
    </row>
    <row r="40" spans="1:26" x14ac:dyDescent="0.2">
      <c r="A40" s="12">
        <f t="shared" si="1"/>
        <v>28</v>
      </c>
      <c r="E40" s="10" t="str">
        <f t="shared" si="0"/>
        <v/>
      </c>
      <c r="I40" s="53"/>
      <c r="N40" s="8">
        <v>0</v>
      </c>
      <c r="Q40" s="1"/>
      <c r="R40" s="1"/>
      <c r="S40" s="1"/>
      <c r="T40" s="8"/>
      <c r="U40" s="8"/>
      <c r="V40" s="1"/>
      <c r="W40" s="1"/>
      <c r="X40" s="1"/>
      <c r="Z40" s="8"/>
    </row>
    <row r="41" spans="1:26" x14ac:dyDescent="0.2">
      <c r="A41" s="12">
        <f t="shared" si="1"/>
        <v>29</v>
      </c>
      <c r="E41" s="10" t="str">
        <f t="shared" si="0"/>
        <v/>
      </c>
      <c r="I41" s="53"/>
      <c r="N41" s="8">
        <v>0</v>
      </c>
      <c r="Q41" s="1"/>
      <c r="R41" s="1"/>
      <c r="S41" s="1"/>
      <c r="T41" s="8"/>
      <c r="U41" s="8"/>
      <c r="V41" s="1"/>
      <c r="W41" s="1"/>
      <c r="X41" s="1"/>
      <c r="Z41" s="8"/>
    </row>
    <row r="42" spans="1:26" x14ac:dyDescent="0.2">
      <c r="A42" s="12">
        <f t="shared" si="1"/>
        <v>30</v>
      </c>
      <c r="E42" s="10" t="str">
        <f t="shared" si="0"/>
        <v/>
      </c>
      <c r="I42" s="53"/>
      <c r="N42" s="8">
        <v>0</v>
      </c>
      <c r="Q42" s="1"/>
      <c r="R42" s="1"/>
      <c r="S42" s="1"/>
      <c r="T42" s="8"/>
      <c r="U42" s="8"/>
      <c r="V42" s="1"/>
      <c r="W42" s="1"/>
      <c r="X42" s="1"/>
      <c r="Z42" s="8"/>
    </row>
    <row r="43" spans="1:26" x14ac:dyDescent="0.2">
      <c r="A43" s="12">
        <f t="shared" si="1"/>
        <v>31</v>
      </c>
      <c r="E43" s="10" t="str">
        <f t="shared" si="0"/>
        <v/>
      </c>
      <c r="I43" s="53"/>
      <c r="N43" s="8">
        <v>0</v>
      </c>
      <c r="Q43" s="1"/>
      <c r="R43" s="1"/>
      <c r="S43" s="1"/>
      <c r="T43" s="8"/>
      <c r="U43" s="8"/>
      <c r="V43" s="1"/>
      <c r="W43" s="1"/>
      <c r="X43" s="1"/>
      <c r="Z43" s="8"/>
    </row>
    <row r="44" spans="1:26" x14ac:dyDescent="0.2">
      <c r="A44" s="12">
        <f t="shared" si="1"/>
        <v>32</v>
      </c>
      <c r="E44" s="10" t="str">
        <f t="shared" si="0"/>
        <v/>
      </c>
      <c r="I44" s="53"/>
      <c r="N44" s="8">
        <v>0</v>
      </c>
      <c r="Q44" s="1"/>
      <c r="R44" s="1"/>
      <c r="S44" s="1"/>
      <c r="T44" s="8"/>
      <c r="U44" s="8"/>
      <c r="V44" s="1"/>
      <c r="W44" s="1"/>
      <c r="X44" s="1"/>
      <c r="Z44" s="8"/>
    </row>
    <row r="45" spans="1:26" x14ac:dyDescent="0.2">
      <c r="A45" s="12">
        <f t="shared" si="1"/>
        <v>33</v>
      </c>
      <c r="E45" s="10" t="str">
        <f t="shared" si="0"/>
        <v/>
      </c>
      <c r="I45" s="53"/>
      <c r="N45" s="8">
        <v>0</v>
      </c>
      <c r="Q45" s="1"/>
      <c r="R45" s="1"/>
      <c r="S45" s="1"/>
      <c r="T45" s="8"/>
      <c r="U45" s="8"/>
      <c r="V45" s="1"/>
      <c r="W45" s="1"/>
      <c r="X45" s="1"/>
      <c r="Z45" s="8"/>
    </row>
    <row r="46" spans="1:26" x14ac:dyDescent="0.2">
      <c r="A46" s="12">
        <f t="shared" si="1"/>
        <v>34</v>
      </c>
      <c r="E46" s="10" t="str">
        <f t="shared" si="0"/>
        <v/>
      </c>
      <c r="I46" s="53"/>
      <c r="N46" s="8">
        <v>0</v>
      </c>
      <c r="Q46" s="1"/>
      <c r="R46" s="1"/>
      <c r="S46" s="1"/>
      <c r="T46" s="8"/>
      <c r="U46" s="8"/>
      <c r="V46" s="1"/>
      <c r="W46" s="1"/>
      <c r="X46" s="1"/>
      <c r="Z46" s="8"/>
    </row>
    <row r="47" spans="1:26" x14ac:dyDescent="0.2">
      <c r="A47" s="12">
        <f t="shared" si="1"/>
        <v>35</v>
      </c>
      <c r="E47" s="10" t="str">
        <f t="shared" si="0"/>
        <v/>
      </c>
      <c r="I47" s="53"/>
      <c r="N47" s="8">
        <v>0</v>
      </c>
      <c r="Q47" s="1"/>
      <c r="R47" s="1"/>
      <c r="S47" s="1"/>
      <c r="T47" s="8"/>
      <c r="U47" s="8"/>
      <c r="V47" s="1"/>
      <c r="W47" s="1"/>
      <c r="X47" s="1"/>
      <c r="Z47" s="8"/>
    </row>
    <row r="48" spans="1:26" x14ac:dyDescent="0.2">
      <c r="A48" s="12">
        <f t="shared" si="1"/>
        <v>36</v>
      </c>
      <c r="E48" s="10" t="str">
        <f t="shared" si="0"/>
        <v/>
      </c>
      <c r="I48" s="53"/>
      <c r="N48" s="8">
        <v>0</v>
      </c>
      <c r="Q48" s="1"/>
      <c r="R48" s="1"/>
      <c r="S48" s="1"/>
      <c r="T48" s="8"/>
      <c r="U48" s="8"/>
      <c r="V48" s="1"/>
      <c r="W48" s="1"/>
      <c r="X48" s="1"/>
      <c r="Z48" s="8"/>
    </row>
    <row r="49" spans="1:26" x14ac:dyDescent="0.2">
      <c r="A49" s="12">
        <f t="shared" si="1"/>
        <v>37</v>
      </c>
      <c r="E49" s="10" t="str">
        <f t="shared" si="0"/>
        <v/>
      </c>
      <c r="I49" s="53"/>
      <c r="N49" s="8">
        <v>0</v>
      </c>
      <c r="Q49" s="1"/>
      <c r="R49" s="1"/>
      <c r="S49" s="1"/>
      <c r="T49" s="8"/>
      <c r="U49" s="8"/>
      <c r="V49" s="1"/>
      <c r="W49" s="1"/>
      <c r="X49" s="1"/>
      <c r="Z49" s="8"/>
    </row>
    <row r="50" spans="1:26" x14ac:dyDescent="0.2">
      <c r="A50" s="12">
        <f t="shared" si="1"/>
        <v>38</v>
      </c>
      <c r="E50" s="10" t="str">
        <f t="shared" si="0"/>
        <v/>
      </c>
      <c r="I50" s="53"/>
      <c r="N50" s="8">
        <v>0</v>
      </c>
      <c r="Q50" s="1"/>
      <c r="R50" s="1"/>
      <c r="S50" s="1"/>
      <c r="T50" s="8"/>
      <c r="U50" s="8"/>
      <c r="V50" s="1"/>
      <c r="W50" s="1"/>
      <c r="X50" s="1"/>
      <c r="Z50" s="8"/>
    </row>
    <row r="51" spans="1:26" x14ac:dyDescent="0.2">
      <c r="A51" s="12">
        <f t="shared" si="1"/>
        <v>39</v>
      </c>
      <c r="E51" s="10" t="str">
        <f t="shared" si="0"/>
        <v/>
      </c>
      <c r="I51" s="53"/>
      <c r="N51" s="8">
        <v>0</v>
      </c>
      <c r="Q51" s="1"/>
      <c r="R51" s="1"/>
      <c r="S51" s="1"/>
      <c r="T51" s="8"/>
      <c r="U51" s="8"/>
      <c r="V51" s="1"/>
      <c r="W51" s="1"/>
      <c r="X51" s="1"/>
      <c r="Z51" s="8"/>
    </row>
    <row r="52" spans="1:26" x14ac:dyDescent="0.2">
      <c r="A52" s="12">
        <f t="shared" si="1"/>
        <v>40</v>
      </c>
      <c r="E52" s="10" t="str">
        <f t="shared" si="0"/>
        <v/>
      </c>
      <c r="I52" s="53"/>
      <c r="N52" s="8">
        <v>0</v>
      </c>
      <c r="Q52" s="1"/>
      <c r="R52" s="1"/>
      <c r="S52" s="1"/>
      <c r="T52" s="8"/>
      <c r="U52" s="8"/>
      <c r="V52" s="1"/>
      <c r="W52" s="1"/>
      <c r="X52" s="1"/>
      <c r="Z52" s="8"/>
    </row>
    <row r="53" spans="1:26" x14ac:dyDescent="0.2">
      <c r="A53" s="12">
        <f t="shared" si="1"/>
        <v>41</v>
      </c>
      <c r="E53" s="10" t="str">
        <f t="shared" si="0"/>
        <v/>
      </c>
      <c r="I53" s="53"/>
      <c r="N53" s="8">
        <v>0</v>
      </c>
      <c r="Q53" s="1"/>
      <c r="R53" s="1"/>
      <c r="S53" s="1"/>
      <c r="T53" s="8"/>
      <c r="U53" s="8"/>
      <c r="V53" s="1"/>
      <c r="W53" s="1"/>
      <c r="X53" s="1"/>
      <c r="Z53" s="8"/>
    </row>
    <row r="54" spans="1:26" x14ac:dyDescent="0.2">
      <c r="A54" s="12">
        <f t="shared" si="1"/>
        <v>42</v>
      </c>
      <c r="E54" s="10" t="str">
        <f t="shared" si="0"/>
        <v/>
      </c>
      <c r="I54" s="53"/>
      <c r="N54" s="8">
        <v>0</v>
      </c>
      <c r="Q54" s="1"/>
      <c r="R54" s="1"/>
      <c r="S54" s="1"/>
      <c r="T54" s="8"/>
      <c r="U54" s="8"/>
      <c r="V54" s="1"/>
      <c r="W54" s="1"/>
      <c r="X54" s="1"/>
      <c r="Z54" s="8"/>
    </row>
    <row r="55" spans="1:26" x14ac:dyDescent="0.2">
      <c r="A55" s="12">
        <f t="shared" si="1"/>
        <v>43</v>
      </c>
      <c r="E55" s="10" t="str">
        <f t="shared" si="0"/>
        <v/>
      </c>
      <c r="I55" s="53"/>
      <c r="N55" s="8">
        <v>0</v>
      </c>
      <c r="Q55" s="1"/>
      <c r="R55" s="1"/>
      <c r="S55" s="1"/>
      <c r="T55" s="8"/>
      <c r="U55" s="8"/>
      <c r="V55" s="1"/>
      <c r="W55" s="1"/>
      <c r="X55" s="1"/>
      <c r="Z55" s="8"/>
    </row>
    <row r="56" spans="1:26" x14ac:dyDescent="0.2">
      <c r="A56" s="12">
        <f t="shared" si="1"/>
        <v>44</v>
      </c>
      <c r="E56" s="10" t="str">
        <f t="shared" si="0"/>
        <v/>
      </c>
      <c r="I56" s="53"/>
      <c r="N56" s="8">
        <v>0</v>
      </c>
      <c r="Q56" s="1"/>
      <c r="R56" s="1"/>
      <c r="S56" s="1"/>
      <c r="T56" s="8"/>
      <c r="U56" s="8"/>
      <c r="V56" s="1"/>
      <c r="W56" s="1"/>
      <c r="X56" s="1"/>
      <c r="Z56" s="8"/>
    </row>
    <row r="57" spans="1:26" x14ac:dyDescent="0.2">
      <c r="A57" s="12">
        <f t="shared" si="1"/>
        <v>45</v>
      </c>
      <c r="E57" s="10" t="str">
        <f t="shared" si="0"/>
        <v/>
      </c>
      <c r="I57" s="53"/>
      <c r="N57" s="8">
        <v>0</v>
      </c>
      <c r="Q57" s="1"/>
      <c r="R57" s="1"/>
      <c r="S57" s="1"/>
      <c r="T57" s="8"/>
      <c r="U57" s="8"/>
      <c r="V57" s="1"/>
      <c r="W57" s="1"/>
      <c r="X57" s="1"/>
      <c r="Z57" s="8"/>
    </row>
    <row r="58" spans="1:26" x14ac:dyDescent="0.2">
      <c r="A58" s="12">
        <f t="shared" si="1"/>
        <v>46</v>
      </c>
      <c r="E58" s="10" t="str">
        <f t="shared" si="0"/>
        <v/>
      </c>
      <c r="I58" s="53"/>
      <c r="N58" s="8">
        <v>0</v>
      </c>
      <c r="Q58" s="1"/>
      <c r="R58" s="1"/>
      <c r="S58" s="1"/>
      <c r="T58" s="8"/>
      <c r="U58" s="8"/>
      <c r="V58" s="1"/>
      <c r="W58" s="1"/>
      <c r="X58" s="1"/>
      <c r="Z58" s="8"/>
    </row>
    <row r="59" spans="1:26" x14ac:dyDescent="0.2">
      <c r="A59" s="12">
        <f t="shared" si="1"/>
        <v>47</v>
      </c>
      <c r="E59" s="10" t="str">
        <f t="shared" si="0"/>
        <v/>
      </c>
      <c r="I59" s="53"/>
      <c r="N59" s="8">
        <v>0</v>
      </c>
      <c r="Q59" s="1"/>
      <c r="R59" s="1"/>
      <c r="S59" s="1"/>
      <c r="T59" s="8"/>
      <c r="U59" s="8"/>
      <c r="V59" s="1"/>
      <c r="W59" s="1"/>
      <c r="X59" s="1"/>
      <c r="Z59" s="8"/>
    </row>
    <row r="60" spans="1:26" x14ac:dyDescent="0.2">
      <c r="A60" s="12">
        <f t="shared" si="1"/>
        <v>48</v>
      </c>
      <c r="E60" s="10" t="str">
        <f t="shared" si="0"/>
        <v/>
      </c>
      <c r="I60" s="53"/>
      <c r="N60" s="8">
        <v>0</v>
      </c>
      <c r="Q60" s="1"/>
      <c r="R60" s="1"/>
      <c r="S60" s="1"/>
      <c r="T60" s="8"/>
      <c r="U60" s="8"/>
      <c r="V60" s="1"/>
      <c r="W60" s="1"/>
      <c r="X60" s="1"/>
      <c r="Z60" s="8"/>
    </row>
    <row r="61" spans="1:26" x14ac:dyDescent="0.2">
      <c r="A61" s="12">
        <f t="shared" si="1"/>
        <v>49</v>
      </c>
      <c r="E61" s="10" t="str">
        <f t="shared" si="0"/>
        <v/>
      </c>
      <c r="I61" s="53"/>
      <c r="N61" s="8">
        <v>0</v>
      </c>
      <c r="Q61" s="1"/>
      <c r="R61" s="1"/>
      <c r="S61" s="1"/>
      <c r="T61" s="8"/>
      <c r="U61" s="8"/>
      <c r="V61" s="1"/>
      <c r="W61" s="1"/>
      <c r="X61" s="1"/>
      <c r="Z61" s="8"/>
    </row>
    <row r="62" spans="1:26" x14ac:dyDescent="0.2">
      <c r="A62" s="12">
        <f t="shared" si="1"/>
        <v>50</v>
      </c>
      <c r="E62" s="10" t="str">
        <f t="shared" si="0"/>
        <v/>
      </c>
      <c r="I62" s="53"/>
      <c r="N62" s="8">
        <v>0</v>
      </c>
      <c r="Q62" s="1"/>
      <c r="R62" s="1"/>
      <c r="S62" s="1"/>
      <c r="T62" s="8"/>
      <c r="U62" s="8"/>
      <c r="V62" s="1"/>
      <c r="W62" s="1"/>
      <c r="X62" s="1"/>
      <c r="Z62" s="8"/>
    </row>
    <row r="63" spans="1:26" x14ac:dyDescent="0.2">
      <c r="A63" s="12">
        <f t="shared" si="1"/>
        <v>51</v>
      </c>
      <c r="E63" s="10" t="str">
        <f t="shared" si="0"/>
        <v/>
      </c>
      <c r="I63" s="53"/>
      <c r="N63" s="8">
        <v>0</v>
      </c>
      <c r="Q63" s="1"/>
      <c r="R63" s="1"/>
      <c r="S63" s="1"/>
      <c r="T63" s="8"/>
      <c r="U63" s="8"/>
      <c r="V63" s="1"/>
      <c r="W63" s="1"/>
      <c r="X63" s="1"/>
      <c r="Z63" s="8"/>
    </row>
    <row r="64" spans="1:26" x14ac:dyDescent="0.2">
      <c r="A64" s="12">
        <f t="shared" si="1"/>
        <v>52</v>
      </c>
      <c r="E64" s="10" t="str">
        <f t="shared" si="0"/>
        <v/>
      </c>
      <c r="I64" s="53"/>
      <c r="N64" s="8">
        <v>0</v>
      </c>
      <c r="Q64" s="1"/>
      <c r="R64" s="1"/>
      <c r="S64" s="1"/>
      <c r="T64" s="8"/>
      <c r="U64" s="8"/>
      <c r="V64" s="1"/>
      <c r="W64" s="1"/>
      <c r="X64" s="1"/>
      <c r="Z64" s="8"/>
    </row>
    <row r="65" spans="1:26" x14ac:dyDescent="0.2">
      <c r="A65" s="12">
        <f t="shared" si="1"/>
        <v>53</v>
      </c>
      <c r="E65" s="10" t="str">
        <f t="shared" si="0"/>
        <v/>
      </c>
      <c r="I65" s="53"/>
      <c r="N65" s="8">
        <v>0</v>
      </c>
      <c r="Q65" s="1"/>
      <c r="R65" s="1"/>
      <c r="S65" s="1"/>
      <c r="T65" s="8"/>
      <c r="U65" s="8"/>
      <c r="V65" s="1"/>
      <c r="W65" s="1"/>
      <c r="X65" s="1"/>
      <c r="Z65" s="8"/>
    </row>
    <row r="66" spans="1:26" x14ac:dyDescent="0.2">
      <c r="A66" s="12">
        <f t="shared" si="1"/>
        <v>54</v>
      </c>
      <c r="E66" s="10" t="str">
        <f t="shared" si="0"/>
        <v/>
      </c>
      <c r="I66" s="53"/>
      <c r="N66" s="8">
        <v>0</v>
      </c>
      <c r="Q66" s="1"/>
      <c r="R66" s="1"/>
      <c r="S66" s="1"/>
      <c r="T66" s="8"/>
      <c r="U66" s="8"/>
      <c r="V66" s="1"/>
      <c r="W66" s="1"/>
      <c r="X66" s="1"/>
      <c r="Z66" s="8"/>
    </row>
    <row r="67" spans="1:26" x14ac:dyDescent="0.2">
      <c r="A67" s="12">
        <f t="shared" si="1"/>
        <v>55</v>
      </c>
      <c r="E67" s="10" t="str">
        <f t="shared" si="0"/>
        <v/>
      </c>
      <c r="I67" s="53"/>
      <c r="N67" s="8">
        <v>0</v>
      </c>
      <c r="Q67" s="1"/>
      <c r="R67" s="1"/>
      <c r="S67" s="1"/>
      <c r="T67" s="8"/>
      <c r="U67" s="8"/>
      <c r="V67" s="1"/>
      <c r="W67" s="1"/>
      <c r="X67" s="1"/>
      <c r="Z67" s="8"/>
    </row>
    <row r="68" spans="1:26" x14ac:dyDescent="0.2">
      <c r="A68" s="12">
        <f t="shared" si="1"/>
        <v>56</v>
      </c>
      <c r="E68" s="10" t="str">
        <f t="shared" si="0"/>
        <v/>
      </c>
      <c r="I68" s="53"/>
      <c r="N68" s="8">
        <v>0</v>
      </c>
      <c r="Q68" s="1"/>
      <c r="R68" s="1"/>
      <c r="S68" s="1"/>
      <c r="T68" s="8"/>
      <c r="U68" s="8"/>
      <c r="V68" s="1"/>
      <c r="W68" s="1"/>
      <c r="X68" s="1"/>
      <c r="Z68" s="8"/>
    </row>
    <row r="69" spans="1:26" x14ac:dyDescent="0.2">
      <c r="A69" s="12">
        <f t="shared" si="1"/>
        <v>57</v>
      </c>
      <c r="E69" s="10" t="str">
        <f t="shared" si="0"/>
        <v/>
      </c>
      <c r="I69" s="53"/>
      <c r="N69" s="8">
        <v>0</v>
      </c>
      <c r="Q69" s="1"/>
      <c r="R69" s="1"/>
      <c r="S69" s="1"/>
      <c r="T69" s="8"/>
      <c r="U69" s="8"/>
      <c r="V69" s="1"/>
      <c r="W69" s="1"/>
      <c r="X69" s="1"/>
      <c r="Z69" s="8"/>
    </row>
    <row r="70" spans="1:26" x14ac:dyDescent="0.2">
      <c r="A70" s="12">
        <f t="shared" si="1"/>
        <v>58</v>
      </c>
      <c r="E70" s="10" t="str">
        <f t="shared" si="0"/>
        <v/>
      </c>
      <c r="I70" s="53"/>
      <c r="N70" s="8">
        <v>0</v>
      </c>
      <c r="Q70" s="1"/>
      <c r="R70" s="1"/>
      <c r="S70" s="1"/>
      <c r="T70" s="8"/>
      <c r="U70" s="8"/>
      <c r="V70" s="1"/>
      <c r="W70" s="1"/>
      <c r="X70" s="1"/>
      <c r="Z70" s="8"/>
    </row>
    <row r="71" spans="1:26" x14ac:dyDescent="0.2">
      <c r="A71" s="12">
        <f t="shared" si="1"/>
        <v>59</v>
      </c>
      <c r="E71" s="10" t="str">
        <f t="shared" si="0"/>
        <v/>
      </c>
      <c r="I71" s="53"/>
      <c r="N71" s="8">
        <v>0</v>
      </c>
      <c r="Q71" s="1"/>
      <c r="R71" s="1"/>
      <c r="S71" s="1"/>
      <c r="T71" s="8"/>
      <c r="U71" s="8"/>
      <c r="V71" s="1"/>
      <c r="W71" s="1"/>
      <c r="X71" s="1"/>
      <c r="Z71" s="8"/>
    </row>
    <row r="72" spans="1:26" x14ac:dyDescent="0.2">
      <c r="A72" s="12">
        <f t="shared" si="1"/>
        <v>60</v>
      </c>
      <c r="E72" s="10" t="str">
        <f t="shared" si="0"/>
        <v/>
      </c>
      <c r="I72" s="53"/>
      <c r="N72" s="8">
        <v>0</v>
      </c>
      <c r="Q72" s="1"/>
      <c r="R72" s="1"/>
      <c r="S72" s="1"/>
      <c r="T72" s="8"/>
      <c r="U72" s="8"/>
      <c r="V72" s="1"/>
      <c r="W72" s="1"/>
      <c r="X72" s="1"/>
      <c r="Z72" s="8"/>
    </row>
    <row r="73" spans="1:26" x14ac:dyDescent="0.2">
      <c r="A73" s="12">
        <f t="shared" si="1"/>
        <v>61</v>
      </c>
      <c r="E73" s="10" t="str">
        <f t="shared" si="0"/>
        <v/>
      </c>
      <c r="I73" s="53"/>
      <c r="N73" s="8">
        <v>0</v>
      </c>
      <c r="Q73" s="1"/>
      <c r="R73" s="1"/>
      <c r="S73" s="1"/>
      <c r="T73" s="8"/>
      <c r="U73" s="8"/>
      <c r="V73" s="1"/>
      <c r="W73" s="1"/>
      <c r="X73" s="1"/>
      <c r="Z73" s="8"/>
    </row>
    <row r="74" spans="1:26" x14ac:dyDescent="0.2">
      <c r="A74" s="12">
        <f t="shared" si="1"/>
        <v>62</v>
      </c>
      <c r="E74" s="10" t="str">
        <f t="shared" si="0"/>
        <v/>
      </c>
      <c r="I74" s="53"/>
      <c r="N74" s="8">
        <v>0</v>
      </c>
      <c r="Q74" s="1"/>
      <c r="R74" s="1"/>
      <c r="S74" s="1"/>
      <c r="T74" s="8"/>
      <c r="U74" s="8"/>
      <c r="V74" s="1"/>
      <c r="W74" s="1"/>
      <c r="X74" s="1"/>
      <c r="Z74" s="8"/>
    </row>
    <row r="75" spans="1:26" x14ac:dyDescent="0.2">
      <c r="A75" s="12">
        <f t="shared" si="1"/>
        <v>63</v>
      </c>
      <c r="E75" s="10" t="str">
        <f t="shared" si="0"/>
        <v/>
      </c>
      <c r="I75" s="53"/>
      <c r="N75" s="8">
        <v>0</v>
      </c>
      <c r="Q75" s="1"/>
      <c r="R75" s="1"/>
      <c r="S75" s="1"/>
      <c r="T75" s="8"/>
      <c r="U75" s="8"/>
      <c r="V75" s="1"/>
      <c r="W75" s="1"/>
      <c r="X75" s="1"/>
      <c r="Z75" s="8"/>
    </row>
    <row r="76" spans="1:26" x14ac:dyDescent="0.2">
      <c r="A76" s="12">
        <f t="shared" si="1"/>
        <v>64</v>
      </c>
      <c r="E76" s="10" t="str">
        <f t="shared" si="0"/>
        <v/>
      </c>
      <c r="I76" s="53"/>
      <c r="N76" s="8">
        <v>0</v>
      </c>
      <c r="Q76" s="1"/>
      <c r="R76" s="1"/>
      <c r="S76" s="1"/>
      <c r="T76" s="8"/>
      <c r="U76" s="8"/>
      <c r="V76" s="1"/>
      <c r="W76" s="1"/>
      <c r="X76" s="1"/>
      <c r="Z76" s="8"/>
    </row>
    <row r="77" spans="1:26" x14ac:dyDescent="0.2">
      <c r="A77" s="12">
        <f t="shared" si="1"/>
        <v>65</v>
      </c>
      <c r="E77" s="10" t="str">
        <f t="shared" ref="E77:E140" si="3">IF($C$8&gt;=A77,$E$1&amp;" "&amp;A77,"")</f>
        <v/>
      </c>
      <c r="I77" s="53"/>
      <c r="N77" s="8">
        <v>0</v>
      </c>
      <c r="Q77" s="1"/>
      <c r="R77" s="1"/>
      <c r="S77" s="1"/>
      <c r="T77" s="8"/>
      <c r="U77" s="8"/>
      <c r="V77" s="1"/>
      <c r="W77" s="1"/>
      <c r="X77" s="1"/>
      <c r="Z77" s="8"/>
    </row>
    <row r="78" spans="1:26" x14ac:dyDescent="0.2">
      <c r="A78" s="12">
        <f t="shared" si="1"/>
        <v>66</v>
      </c>
      <c r="E78" s="10" t="str">
        <f t="shared" si="3"/>
        <v/>
      </c>
      <c r="I78" s="53"/>
      <c r="N78" s="8">
        <v>0</v>
      </c>
      <c r="Q78" s="1"/>
      <c r="R78" s="1"/>
      <c r="S78" s="1"/>
      <c r="T78" s="8"/>
      <c r="U78" s="8"/>
      <c r="V78" s="1"/>
      <c r="W78" s="1"/>
      <c r="X78" s="1"/>
      <c r="Z78" s="8"/>
    </row>
    <row r="79" spans="1:26" x14ac:dyDescent="0.2">
      <c r="A79" s="12">
        <f t="shared" ref="A79:A142" si="4">A78+1</f>
        <v>67</v>
      </c>
      <c r="E79" s="10" t="str">
        <f t="shared" si="3"/>
        <v/>
      </c>
      <c r="I79" s="53"/>
      <c r="N79" s="8">
        <v>0</v>
      </c>
      <c r="Q79" s="1"/>
      <c r="R79" s="1"/>
      <c r="S79" s="1"/>
      <c r="T79" s="8"/>
      <c r="U79" s="8"/>
      <c r="V79" s="1"/>
      <c r="W79" s="1"/>
      <c r="X79" s="1"/>
      <c r="Z79" s="8"/>
    </row>
    <row r="80" spans="1:26" x14ac:dyDescent="0.2">
      <c r="A80" s="12">
        <f t="shared" si="4"/>
        <v>68</v>
      </c>
      <c r="E80" s="10" t="str">
        <f t="shared" si="3"/>
        <v/>
      </c>
      <c r="I80" s="53"/>
      <c r="N80" s="8">
        <v>0</v>
      </c>
      <c r="Q80" s="1"/>
      <c r="R80" s="1"/>
      <c r="S80" s="1"/>
      <c r="T80" s="8"/>
      <c r="U80" s="8"/>
      <c r="V80" s="1"/>
      <c r="W80" s="1"/>
      <c r="X80" s="1"/>
      <c r="Z80" s="8"/>
    </row>
    <row r="81" spans="1:26" x14ac:dyDescent="0.2">
      <c r="A81" s="12">
        <f t="shared" si="4"/>
        <v>69</v>
      </c>
      <c r="E81" s="10" t="str">
        <f t="shared" si="3"/>
        <v/>
      </c>
      <c r="I81" s="53"/>
      <c r="N81" s="8">
        <v>0</v>
      </c>
      <c r="Q81" s="1"/>
      <c r="R81" s="1"/>
      <c r="S81" s="1"/>
      <c r="T81" s="8"/>
      <c r="U81" s="8"/>
      <c r="V81" s="1"/>
      <c r="W81" s="1"/>
      <c r="X81" s="1"/>
      <c r="Z81" s="8"/>
    </row>
    <row r="82" spans="1:26" x14ac:dyDescent="0.2">
      <c r="A82" s="12">
        <f t="shared" si="4"/>
        <v>70</v>
      </c>
      <c r="E82" s="10" t="str">
        <f t="shared" si="3"/>
        <v/>
      </c>
      <c r="I82" s="53"/>
      <c r="N82" s="8">
        <v>0</v>
      </c>
      <c r="Q82" s="1"/>
      <c r="R82" s="1"/>
      <c r="S82" s="1"/>
      <c r="T82" s="8"/>
      <c r="U82" s="8"/>
      <c r="V82" s="1"/>
      <c r="W82" s="1"/>
      <c r="X82" s="1"/>
      <c r="Z82" s="8"/>
    </row>
    <row r="83" spans="1:26" x14ac:dyDescent="0.2">
      <c r="A83" s="12">
        <f t="shared" si="4"/>
        <v>71</v>
      </c>
      <c r="E83" s="10" t="str">
        <f t="shared" si="3"/>
        <v/>
      </c>
      <c r="I83" s="53"/>
      <c r="N83" s="8">
        <v>0</v>
      </c>
      <c r="Q83" s="1"/>
      <c r="R83" s="1"/>
      <c r="S83" s="1"/>
      <c r="T83" s="8"/>
      <c r="U83" s="8"/>
      <c r="V83" s="1"/>
      <c r="W83" s="1"/>
      <c r="X83" s="1"/>
      <c r="Z83" s="8"/>
    </row>
    <row r="84" spans="1:26" x14ac:dyDescent="0.2">
      <c r="A84" s="12">
        <f t="shared" si="4"/>
        <v>72</v>
      </c>
      <c r="E84" s="10" t="str">
        <f t="shared" si="3"/>
        <v/>
      </c>
      <c r="I84" s="53"/>
      <c r="N84" s="8">
        <v>0</v>
      </c>
      <c r="Q84" s="1"/>
      <c r="R84" s="1"/>
      <c r="S84" s="1"/>
      <c r="T84" s="8"/>
      <c r="U84" s="8"/>
      <c r="V84" s="1"/>
      <c r="W84" s="1"/>
      <c r="X84" s="1"/>
      <c r="Z84" s="8"/>
    </row>
    <row r="85" spans="1:26" x14ac:dyDescent="0.2">
      <c r="A85" s="12">
        <f t="shared" si="4"/>
        <v>73</v>
      </c>
      <c r="E85" s="10" t="str">
        <f t="shared" si="3"/>
        <v/>
      </c>
      <c r="I85" s="53"/>
      <c r="N85" s="8">
        <v>0</v>
      </c>
      <c r="Q85" s="1"/>
      <c r="R85" s="1"/>
      <c r="S85" s="1"/>
      <c r="T85" s="8"/>
      <c r="U85" s="8"/>
      <c r="V85" s="1"/>
      <c r="W85" s="1"/>
      <c r="X85" s="1"/>
      <c r="Z85" s="8"/>
    </row>
    <row r="86" spans="1:26" x14ac:dyDescent="0.2">
      <c r="A86" s="12">
        <f t="shared" si="4"/>
        <v>74</v>
      </c>
      <c r="E86" s="10" t="str">
        <f t="shared" si="3"/>
        <v/>
      </c>
      <c r="I86" s="53"/>
      <c r="N86" s="8">
        <v>0</v>
      </c>
      <c r="Q86" s="1"/>
      <c r="R86" s="1"/>
      <c r="S86" s="1"/>
      <c r="T86" s="8"/>
      <c r="U86" s="8"/>
      <c r="V86" s="1"/>
      <c r="W86" s="1"/>
      <c r="X86" s="1"/>
      <c r="Z86" s="8"/>
    </row>
    <row r="87" spans="1:26" x14ac:dyDescent="0.2">
      <c r="A87" s="12">
        <f t="shared" si="4"/>
        <v>75</v>
      </c>
      <c r="E87" s="10" t="str">
        <f t="shared" si="3"/>
        <v/>
      </c>
      <c r="I87" s="53"/>
      <c r="N87" s="8">
        <v>0</v>
      </c>
      <c r="Q87" s="1"/>
      <c r="R87" s="1"/>
      <c r="S87" s="1"/>
      <c r="T87" s="8"/>
      <c r="U87" s="8"/>
      <c r="V87" s="1"/>
      <c r="W87" s="1"/>
      <c r="X87" s="1"/>
      <c r="Z87" s="8"/>
    </row>
    <row r="88" spans="1:26" x14ac:dyDescent="0.2">
      <c r="A88" s="12">
        <f t="shared" si="4"/>
        <v>76</v>
      </c>
      <c r="E88" s="10" t="str">
        <f t="shared" si="3"/>
        <v/>
      </c>
      <c r="I88" s="53"/>
      <c r="N88" s="8">
        <v>0</v>
      </c>
      <c r="Q88" s="1"/>
      <c r="R88" s="1"/>
      <c r="S88" s="1"/>
      <c r="T88" s="8"/>
      <c r="U88" s="8"/>
      <c r="V88" s="1"/>
      <c r="W88" s="1"/>
      <c r="X88" s="1"/>
      <c r="Z88" s="8"/>
    </row>
    <row r="89" spans="1:26" x14ac:dyDescent="0.2">
      <c r="A89" s="12">
        <f t="shared" si="4"/>
        <v>77</v>
      </c>
      <c r="E89" s="10" t="str">
        <f t="shared" si="3"/>
        <v/>
      </c>
      <c r="I89" s="53"/>
      <c r="N89" s="8">
        <v>0</v>
      </c>
      <c r="Q89" s="1"/>
      <c r="R89" s="1"/>
      <c r="S89" s="1"/>
      <c r="T89" s="8"/>
      <c r="U89" s="8"/>
      <c r="V89" s="1"/>
      <c r="W89" s="1"/>
      <c r="X89" s="1"/>
      <c r="Z89" s="8"/>
    </row>
    <row r="90" spans="1:26" x14ac:dyDescent="0.2">
      <c r="A90" s="12">
        <f t="shared" si="4"/>
        <v>78</v>
      </c>
      <c r="E90" s="10" t="str">
        <f t="shared" si="3"/>
        <v/>
      </c>
      <c r="I90" s="53"/>
      <c r="N90" s="8">
        <v>0</v>
      </c>
      <c r="Q90" s="1"/>
      <c r="R90" s="1"/>
      <c r="S90" s="1"/>
      <c r="T90" s="8"/>
      <c r="U90" s="8"/>
      <c r="V90" s="1"/>
      <c r="W90" s="1"/>
      <c r="X90" s="1"/>
      <c r="Z90" s="8"/>
    </row>
    <row r="91" spans="1:26" x14ac:dyDescent="0.2">
      <c r="A91" s="12">
        <f t="shared" si="4"/>
        <v>79</v>
      </c>
      <c r="E91" s="10" t="str">
        <f t="shared" si="3"/>
        <v/>
      </c>
      <c r="I91" s="53"/>
      <c r="N91" s="8">
        <v>0</v>
      </c>
      <c r="Q91" s="1"/>
      <c r="R91" s="1"/>
      <c r="S91" s="1"/>
      <c r="T91" s="8"/>
      <c r="U91" s="8"/>
      <c r="V91" s="1"/>
      <c r="W91" s="1"/>
      <c r="X91" s="1"/>
      <c r="Z91" s="8"/>
    </row>
    <row r="92" spans="1:26" x14ac:dyDescent="0.2">
      <c r="A92" s="12">
        <f t="shared" si="4"/>
        <v>80</v>
      </c>
      <c r="E92" s="10" t="str">
        <f t="shared" si="3"/>
        <v/>
      </c>
      <c r="I92" s="53"/>
      <c r="N92" s="8">
        <v>0</v>
      </c>
      <c r="Q92" s="1"/>
      <c r="R92" s="1"/>
      <c r="S92" s="1"/>
      <c r="T92" s="8"/>
      <c r="U92" s="8"/>
      <c r="V92" s="1"/>
      <c r="W92" s="1"/>
      <c r="X92" s="1"/>
      <c r="Z92" s="8"/>
    </row>
    <row r="93" spans="1:26" x14ac:dyDescent="0.2">
      <c r="A93" s="12">
        <f t="shared" si="4"/>
        <v>81</v>
      </c>
      <c r="E93" s="10" t="str">
        <f t="shared" si="3"/>
        <v/>
      </c>
      <c r="I93" s="53"/>
      <c r="N93" s="8">
        <v>0</v>
      </c>
      <c r="Q93" s="1"/>
      <c r="R93" s="1"/>
      <c r="S93" s="1"/>
      <c r="T93" s="8"/>
      <c r="U93" s="8"/>
      <c r="V93" s="1"/>
      <c r="W93" s="1"/>
      <c r="X93" s="1"/>
      <c r="Z93" s="8"/>
    </row>
    <row r="94" spans="1:26" x14ac:dyDescent="0.2">
      <c r="A94" s="12">
        <f t="shared" si="4"/>
        <v>82</v>
      </c>
      <c r="E94" s="10" t="str">
        <f t="shared" si="3"/>
        <v/>
      </c>
      <c r="I94" s="53"/>
      <c r="N94" s="8">
        <v>0</v>
      </c>
      <c r="Q94" s="1"/>
      <c r="R94" s="1"/>
      <c r="S94" s="1"/>
      <c r="T94" s="8"/>
      <c r="U94" s="8"/>
      <c r="V94" s="1"/>
      <c r="W94" s="1"/>
      <c r="X94" s="1"/>
      <c r="Z94" s="8"/>
    </row>
    <row r="95" spans="1:26" x14ac:dyDescent="0.2">
      <c r="A95" s="12">
        <f t="shared" si="4"/>
        <v>83</v>
      </c>
      <c r="E95" s="10" t="str">
        <f t="shared" si="3"/>
        <v/>
      </c>
      <c r="I95" s="53"/>
      <c r="N95" s="8">
        <v>0</v>
      </c>
      <c r="Q95" s="1"/>
      <c r="R95" s="1"/>
      <c r="S95" s="1"/>
      <c r="T95" s="8"/>
      <c r="U95" s="8"/>
      <c r="V95" s="1"/>
      <c r="W95" s="1"/>
      <c r="X95" s="1"/>
      <c r="Z95" s="8"/>
    </row>
    <row r="96" spans="1:26" x14ac:dyDescent="0.2">
      <c r="A96" s="12">
        <f t="shared" si="4"/>
        <v>84</v>
      </c>
      <c r="E96" s="10" t="str">
        <f t="shared" si="3"/>
        <v/>
      </c>
      <c r="I96" s="53"/>
      <c r="N96" s="8">
        <v>0</v>
      </c>
      <c r="Q96" s="1"/>
      <c r="R96" s="1"/>
      <c r="S96" s="1"/>
      <c r="T96" s="8"/>
      <c r="U96" s="8"/>
      <c r="V96" s="1"/>
      <c r="W96" s="1"/>
      <c r="X96" s="1"/>
      <c r="Z96" s="8"/>
    </row>
    <row r="97" spans="1:26" x14ac:dyDescent="0.2">
      <c r="A97" s="12">
        <f t="shared" si="4"/>
        <v>85</v>
      </c>
      <c r="E97" s="10" t="str">
        <f t="shared" si="3"/>
        <v/>
      </c>
      <c r="I97" s="53"/>
      <c r="N97" s="8">
        <v>0</v>
      </c>
      <c r="Q97" s="1"/>
      <c r="R97" s="1"/>
      <c r="S97" s="1"/>
      <c r="T97" s="8"/>
      <c r="U97" s="8"/>
      <c r="V97" s="1"/>
      <c r="W97" s="1"/>
      <c r="X97" s="1"/>
      <c r="Z97" s="8"/>
    </row>
    <row r="98" spans="1:26" x14ac:dyDescent="0.2">
      <c r="A98" s="12">
        <f t="shared" si="4"/>
        <v>86</v>
      </c>
      <c r="E98" s="10" t="str">
        <f t="shared" si="3"/>
        <v/>
      </c>
      <c r="I98" s="53"/>
      <c r="N98" s="8">
        <v>0</v>
      </c>
      <c r="Q98" s="1"/>
      <c r="R98" s="1"/>
      <c r="S98" s="1"/>
      <c r="T98" s="8"/>
      <c r="U98" s="8"/>
      <c r="V98" s="1"/>
      <c r="W98" s="1"/>
      <c r="X98" s="1"/>
      <c r="Z98" s="8"/>
    </row>
    <row r="99" spans="1:26" x14ac:dyDescent="0.2">
      <c r="A99" s="12">
        <f t="shared" si="4"/>
        <v>87</v>
      </c>
      <c r="E99" s="10" t="str">
        <f t="shared" si="3"/>
        <v/>
      </c>
      <c r="I99" s="53"/>
      <c r="N99" s="8">
        <v>0</v>
      </c>
      <c r="Q99" s="1"/>
      <c r="R99" s="1"/>
      <c r="S99" s="1"/>
      <c r="T99" s="8"/>
      <c r="U99" s="8"/>
      <c r="V99" s="1"/>
      <c r="W99" s="1"/>
      <c r="X99" s="1"/>
      <c r="Z99" s="8"/>
    </row>
    <row r="100" spans="1:26" x14ac:dyDescent="0.2">
      <c r="A100" s="12">
        <f t="shared" si="4"/>
        <v>88</v>
      </c>
      <c r="E100" s="10" t="str">
        <f t="shared" si="3"/>
        <v/>
      </c>
      <c r="I100" s="53"/>
      <c r="N100" s="8">
        <v>0</v>
      </c>
      <c r="Q100" s="1"/>
      <c r="R100" s="1"/>
      <c r="S100" s="1"/>
      <c r="T100" s="8"/>
      <c r="U100" s="8"/>
      <c r="V100" s="1"/>
      <c r="W100" s="1"/>
      <c r="X100" s="1"/>
      <c r="Z100" s="8"/>
    </row>
    <row r="101" spans="1:26" x14ac:dyDescent="0.2">
      <c r="A101" s="12">
        <f t="shared" si="4"/>
        <v>89</v>
      </c>
      <c r="E101" s="10" t="str">
        <f t="shared" si="3"/>
        <v/>
      </c>
      <c r="I101" s="53"/>
      <c r="N101" s="8">
        <v>0</v>
      </c>
      <c r="Q101" s="1"/>
      <c r="R101" s="1"/>
      <c r="S101" s="1"/>
      <c r="T101" s="8"/>
      <c r="U101" s="8"/>
      <c r="V101" s="1"/>
      <c r="W101" s="1"/>
      <c r="X101" s="1"/>
      <c r="Z101" s="8"/>
    </row>
    <row r="102" spans="1:26" x14ac:dyDescent="0.2">
      <c r="A102" s="12">
        <f t="shared" si="4"/>
        <v>90</v>
      </c>
      <c r="E102" s="10" t="str">
        <f t="shared" si="3"/>
        <v/>
      </c>
      <c r="I102" s="53"/>
      <c r="N102" s="8">
        <v>0</v>
      </c>
      <c r="Q102" s="1"/>
      <c r="R102" s="1"/>
      <c r="S102" s="1"/>
      <c r="T102" s="8"/>
      <c r="U102" s="8"/>
      <c r="V102" s="1"/>
      <c r="W102" s="1"/>
      <c r="X102" s="1"/>
      <c r="Z102" s="8"/>
    </row>
    <row r="103" spans="1:26" x14ac:dyDescent="0.2">
      <c r="A103" s="12">
        <f t="shared" si="4"/>
        <v>91</v>
      </c>
      <c r="E103" s="10" t="str">
        <f t="shared" si="3"/>
        <v/>
      </c>
      <c r="I103" s="53"/>
      <c r="N103" s="8">
        <v>0</v>
      </c>
      <c r="Q103" s="1"/>
      <c r="R103" s="1"/>
      <c r="S103" s="1"/>
      <c r="T103" s="8"/>
      <c r="U103" s="8"/>
      <c r="V103" s="1"/>
      <c r="W103" s="1"/>
      <c r="X103" s="1"/>
      <c r="Z103" s="8"/>
    </row>
    <row r="104" spans="1:26" x14ac:dyDescent="0.2">
      <c r="A104" s="12">
        <f t="shared" si="4"/>
        <v>92</v>
      </c>
      <c r="E104" s="10" t="str">
        <f t="shared" si="3"/>
        <v/>
      </c>
      <c r="I104" s="53"/>
      <c r="N104" s="8">
        <v>0</v>
      </c>
      <c r="Q104" s="1"/>
      <c r="R104" s="1"/>
      <c r="S104" s="1"/>
      <c r="T104" s="8"/>
      <c r="U104" s="8"/>
      <c r="V104" s="1"/>
      <c r="W104" s="1"/>
      <c r="X104" s="1"/>
      <c r="Z104" s="8"/>
    </row>
    <row r="105" spans="1:26" x14ac:dyDescent="0.2">
      <c r="A105" s="12">
        <f t="shared" si="4"/>
        <v>93</v>
      </c>
      <c r="E105" s="10" t="str">
        <f t="shared" si="3"/>
        <v/>
      </c>
      <c r="I105" s="53"/>
      <c r="N105" s="8">
        <v>0</v>
      </c>
      <c r="Q105" s="1"/>
      <c r="R105" s="1"/>
      <c r="S105" s="1"/>
      <c r="T105" s="8"/>
      <c r="U105" s="8"/>
      <c r="V105" s="1"/>
      <c r="W105" s="1"/>
      <c r="X105" s="1"/>
      <c r="Z105" s="8"/>
    </row>
    <row r="106" spans="1:26" x14ac:dyDescent="0.2">
      <c r="A106" s="12">
        <f t="shared" si="4"/>
        <v>94</v>
      </c>
      <c r="E106" s="10" t="str">
        <f t="shared" si="3"/>
        <v/>
      </c>
      <c r="I106" s="53"/>
      <c r="N106" s="8">
        <v>0</v>
      </c>
      <c r="Q106" s="1"/>
      <c r="R106" s="1"/>
      <c r="S106" s="1"/>
      <c r="T106" s="8"/>
      <c r="U106" s="8"/>
      <c r="V106" s="1"/>
      <c r="W106" s="1"/>
      <c r="X106" s="1"/>
      <c r="Z106" s="8"/>
    </row>
    <row r="107" spans="1:26" x14ac:dyDescent="0.2">
      <c r="A107" s="12">
        <f t="shared" si="4"/>
        <v>95</v>
      </c>
      <c r="E107" s="10" t="str">
        <f t="shared" si="3"/>
        <v/>
      </c>
      <c r="I107" s="53"/>
      <c r="N107" s="8">
        <v>0</v>
      </c>
      <c r="Q107" s="1"/>
      <c r="R107" s="1"/>
      <c r="S107" s="1"/>
      <c r="T107" s="8"/>
      <c r="U107" s="8"/>
      <c r="V107" s="1"/>
      <c r="W107" s="1"/>
      <c r="X107" s="1"/>
      <c r="Z107" s="8"/>
    </row>
    <row r="108" spans="1:26" x14ac:dyDescent="0.2">
      <c r="A108" s="12">
        <f t="shared" si="4"/>
        <v>96</v>
      </c>
      <c r="E108" s="10" t="str">
        <f t="shared" si="3"/>
        <v/>
      </c>
      <c r="I108" s="53"/>
      <c r="N108" s="8">
        <v>0</v>
      </c>
      <c r="Q108" s="1"/>
      <c r="R108" s="1"/>
      <c r="S108" s="1"/>
      <c r="T108" s="8"/>
      <c r="U108" s="8"/>
      <c r="V108" s="1"/>
      <c r="W108" s="1"/>
      <c r="X108" s="1"/>
      <c r="Z108" s="8"/>
    </row>
    <row r="109" spans="1:26" x14ac:dyDescent="0.2">
      <c r="A109" s="12">
        <f t="shared" si="4"/>
        <v>97</v>
      </c>
      <c r="E109" s="10" t="str">
        <f t="shared" si="3"/>
        <v/>
      </c>
      <c r="I109" s="53"/>
      <c r="N109" s="8">
        <v>0</v>
      </c>
      <c r="Q109" s="1"/>
      <c r="R109" s="1"/>
      <c r="S109" s="1"/>
      <c r="T109" s="8"/>
      <c r="U109" s="8"/>
      <c r="V109" s="1"/>
      <c r="W109" s="1"/>
      <c r="X109" s="1"/>
      <c r="Z109" s="8"/>
    </row>
    <row r="110" spans="1:26" x14ac:dyDescent="0.2">
      <c r="A110" s="12">
        <f t="shared" si="4"/>
        <v>98</v>
      </c>
      <c r="E110" s="10" t="str">
        <f t="shared" si="3"/>
        <v/>
      </c>
      <c r="I110" s="53"/>
      <c r="N110" s="8">
        <v>0</v>
      </c>
      <c r="Q110" s="1"/>
      <c r="R110" s="1"/>
      <c r="S110" s="1"/>
      <c r="T110" s="8"/>
      <c r="U110" s="8"/>
      <c r="V110" s="1"/>
      <c r="W110" s="1"/>
      <c r="X110" s="1"/>
      <c r="Z110" s="8"/>
    </row>
    <row r="111" spans="1:26" x14ac:dyDescent="0.2">
      <c r="A111" s="12">
        <f t="shared" si="4"/>
        <v>99</v>
      </c>
      <c r="E111" s="10" t="str">
        <f t="shared" si="3"/>
        <v/>
      </c>
      <c r="I111" s="53"/>
      <c r="N111" s="8">
        <v>0</v>
      </c>
      <c r="Q111" s="1"/>
      <c r="R111" s="1"/>
      <c r="S111" s="1"/>
      <c r="T111" s="8"/>
      <c r="U111" s="8"/>
      <c r="V111" s="1"/>
      <c r="W111" s="1"/>
      <c r="X111" s="1"/>
      <c r="Z111" s="8"/>
    </row>
    <row r="112" spans="1:26" x14ac:dyDescent="0.2">
      <c r="A112" s="12">
        <f t="shared" si="4"/>
        <v>100</v>
      </c>
      <c r="E112" s="10" t="str">
        <f t="shared" si="3"/>
        <v/>
      </c>
      <c r="I112" s="53"/>
      <c r="N112" s="8">
        <v>0</v>
      </c>
      <c r="Q112" s="1"/>
      <c r="R112" s="1"/>
      <c r="S112" s="1"/>
      <c r="T112" s="8"/>
      <c r="U112" s="8"/>
      <c r="V112" s="1"/>
      <c r="W112" s="1"/>
      <c r="X112" s="1"/>
      <c r="Z112" s="8"/>
    </row>
    <row r="113" spans="1:26" x14ac:dyDescent="0.2">
      <c r="A113" s="12">
        <f t="shared" si="4"/>
        <v>101</v>
      </c>
      <c r="E113" s="10" t="str">
        <f t="shared" si="3"/>
        <v/>
      </c>
      <c r="I113" s="53"/>
      <c r="N113" s="8">
        <v>0</v>
      </c>
      <c r="Q113" s="1"/>
      <c r="R113" s="1"/>
      <c r="S113" s="1"/>
      <c r="T113" s="8"/>
      <c r="U113" s="8"/>
      <c r="V113" s="1"/>
      <c r="W113" s="1"/>
      <c r="X113" s="1"/>
      <c r="Z113" s="8"/>
    </row>
    <row r="114" spans="1:26" x14ac:dyDescent="0.2">
      <c r="A114" s="12">
        <f t="shared" si="4"/>
        <v>102</v>
      </c>
      <c r="E114" s="10" t="str">
        <f t="shared" si="3"/>
        <v/>
      </c>
      <c r="I114" s="53"/>
      <c r="N114" s="8">
        <v>0</v>
      </c>
      <c r="Q114" s="1"/>
      <c r="R114" s="1"/>
      <c r="S114" s="1"/>
      <c r="T114" s="8"/>
      <c r="U114" s="8"/>
      <c r="V114" s="1"/>
      <c r="W114" s="1"/>
      <c r="X114" s="1"/>
      <c r="Z114" s="8"/>
    </row>
    <row r="115" spans="1:26" x14ac:dyDescent="0.2">
      <c r="A115" s="12">
        <f t="shared" si="4"/>
        <v>103</v>
      </c>
      <c r="E115" s="10" t="str">
        <f t="shared" si="3"/>
        <v/>
      </c>
      <c r="I115" s="53"/>
      <c r="N115" s="8">
        <v>0</v>
      </c>
      <c r="Q115" s="1"/>
      <c r="R115" s="1"/>
      <c r="S115" s="1"/>
      <c r="T115" s="8"/>
      <c r="U115" s="8"/>
      <c r="V115" s="1"/>
      <c r="W115" s="1"/>
      <c r="X115" s="1"/>
      <c r="Z115" s="8"/>
    </row>
    <row r="116" spans="1:26" x14ac:dyDescent="0.2">
      <c r="A116" s="12">
        <f t="shared" si="4"/>
        <v>104</v>
      </c>
      <c r="E116" s="10" t="str">
        <f t="shared" si="3"/>
        <v/>
      </c>
      <c r="I116" s="53"/>
      <c r="N116" s="8">
        <v>0</v>
      </c>
      <c r="Q116" s="1"/>
      <c r="R116" s="1"/>
      <c r="S116" s="1"/>
      <c r="T116" s="8"/>
      <c r="U116" s="8"/>
      <c r="V116" s="1"/>
      <c r="W116" s="1"/>
      <c r="X116" s="1"/>
      <c r="Z116" s="8"/>
    </row>
    <row r="117" spans="1:26" x14ac:dyDescent="0.2">
      <c r="A117" s="12">
        <f t="shared" si="4"/>
        <v>105</v>
      </c>
      <c r="E117" s="10" t="str">
        <f t="shared" si="3"/>
        <v/>
      </c>
      <c r="I117" s="53"/>
      <c r="N117" s="8">
        <v>0</v>
      </c>
      <c r="Q117" s="1"/>
      <c r="R117" s="1"/>
      <c r="S117" s="1"/>
      <c r="T117" s="8"/>
      <c r="U117" s="8"/>
      <c r="V117" s="1"/>
      <c r="W117" s="1"/>
      <c r="X117" s="1"/>
      <c r="Z117" s="8"/>
    </row>
    <row r="118" spans="1:26" x14ac:dyDescent="0.2">
      <c r="A118" s="12">
        <f t="shared" si="4"/>
        <v>106</v>
      </c>
      <c r="E118" s="10" t="str">
        <f t="shared" si="3"/>
        <v/>
      </c>
      <c r="I118" s="53"/>
      <c r="N118" s="8">
        <v>0</v>
      </c>
      <c r="Q118" s="1"/>
      <c r="R118" s="1"/>
      <c r="S118" s="1"/>
      <c r="T118" s="8"/>
      <c r="U118" s="8"/>
      <c r="V118" s="1"/>
      <c r="W118" s="1"/>
      <c r="X118" s="1"/>
      <c r="Z118" s="8"/>
    </row>
    <row r="119" spans="1:26" x14ac:dyDescent="0.2">
      <c r="A119" s="12">
        <f t="shared" si="4"/>
        <v>107</v>
      </c>
      <c r="E119" s="10" t="str">
        <f t="shared" si="3"/>
        <v/>
      </c>
      <c r="I119" s="53"/>
      <c r="N119" s="8">
        <v>0</v>
      </c>
      <c r="Q119" s="1"/>
      <c r="R119" s="1"/>
      <c r="S119" s="1"/>
      <c r="T119" s="8"/>
      <c r="U119" s="8"/>
      <c r="V119" s="1"/>
      <c r="W119" s="1"/>
      <c r="X119" s="1"/>
      <c r="Z119" s="8"/>
    </row>
    <row r="120" spans="1:26" x14ac:dyDescent="0.2">
      <c r="A120" s="12">
        <f t="shared" si="4"/>
        <v>108</v>
      </c>
      <c r="E120" s="10" t="str">
        <f t="shared" si="3"/>
        <v/>
      </c>
      <c r="I120" s="53"/>
      <c r="N120" s="8">
        <v>0</v>
      </c>
      <c r="Q120" s="1"/>
      <c r="R120" s="1"/>
      <c r="S120" s="1"/>
      <c r="T120" s="8"/>
      <c r="U120" s="8"/>
      <c r="V120" s="1"/>
      <c r="W120" s="1"/>
      <c r="X120" s="1"/>
      <c r="Z120" s="8"/>
    </row>
    <row r="121" spans="1:26" x14ac:dyDescent="0.2">
      <c r="A121" s="12">
        <f t="shared" si="4"/>
        <v>109</v>
      </c>
      <c r="E121" s="10" t="str">
        <f t="shared" si="3"/>
        <v/>
      </c>
      <c r="I121" s="53"/>
      <c r="N121" s="8">
        <v>0</v>
      </c>
      <c r="Q121" s="1"/>
      <c r="R121" s="1"/>
      <c r="S121" s="1"/>
      <c r="T121" s="8"/>
      <c r="U121" s="8"/>
      <c r="V121" s="1"/>
      <c r="W121" s="1"/>
      <c r="X121" s="1"/>
      <c r="Z121" s="8"/>
    </row>
    <row r="122" spans="1:26" x14ac:dyDescent="0.2">
      <c r="A122" s="12">
        <f t="shared" si="4"/>
        <v>110</v>
      </c>
      <c r="E122" s="10" t="str">
        <f t="shared" si="3"/>
        <v/>
      </c>
      <c r="I122" s="53"/>
      <c r="N122" s="8">
        <v>0</v>
      </c>
      <c r="Q122" s="1"/>
      <c r="R122" s="1"/>
      <c r="S122" s="1"/>
      <c r="T122" s="8"/>
      <c r="U122" s="8"/>
      <c r="V122" s="1"/>
      <c r="W122" s="1"/>
      <c r="X122" s="1"/>
      <c r="Z122" s="8"/>
    </row>
    <row r="123" spans="1:26" x14ac:dyDescent="0.2">
      <c r="A123" s="12">
        <f t="shared" si="4"/>
        <v>111</v>
      </c>
      <c r="E123" s="10" t="str">
        <f t="shared" si="3"/>
        <v/>
      </c>
      <c r="I123" s="53"/>
      <c r="N123" s="8">
        <v>0</v>
      </c>
      <c r="Q123" s="1"/>
      <c r="R123" s="1"/>
      <c r="S123" s="1"/>
      <c r="T123" s="8"/>
      <c r="U123" s="8"/>
      <c r="V123" s="1"/>
      <c r="W123" s="1"/>
      <c r="X123" s="1"/>
      <c r="Z123" s="8"/>
    </row>
    <row r="124" spans="1:26" x14ac:dyDescent="0.2">
      <c r="A124" s="12">
        <f t="shared" si="4"/>
        <v>112</v>
      </c>
      <c r="E124" s="10" t="str">
        <f t="shared" si="3"/>
        <v/>
      </c>
      <c r="I124" s="53"/>
      <c r="N124" s="8">
        <v>0</v>
      </c>
      <c r="Q124" s="1"/>
      <c r="R124" s="1"/>
      <c r="S124" s="1"/>
      <c r="T124" s="8"/>
      <c r="U124" s="8"/>
      <c r="V124" s="1"/>
      <c r="W124" s="1"/>
      <c r="X124" s="1"/>
      <c r="Z124" s="8"/>
    </row>
    <row r="125" spans="1:26" x14ac:dyDescent="0.2">
      <c r="A125" s="12">
        <f t="shared" si="4"/>
        <v>113</v>
      </c>
      <c r="E125" s="10" t="str">
        <f t="shared" si="3"/>
        <v/>
      </c>
      <c r="I125" s="53"/>
      <c r="N125" s="8">
        <v>0</v>
      </c>
      <c r="Q125" s="1"/>
      <c r="R125" s="1"/>
      <c r="S125" s="1"/>
      <c r="T125" s="8"/>
      <c r="U125" s="8"/>
      <c r="V125" s="1"/>
      <c r="W125" s="1"/>
      <c r="X125" s="1"/>
      <c r="Z125" s="8"/>
    </row>
    <row r="126" spans="1:26" x14ac:dyDescent="0.2">
      <c r="A126" s="12">
        <f t="shared" si="4"/>
        <v>114</v>
      </c>
      <c r="E126" s="10" t="str">
        <f t="shared" si="3"/>
        <v/>
      </c>
      <c r="I126" s="53"/>
      <c r="N126" s="8">
        <v>0</v>
      </c>
      <c r="Q126" s="1"/>
      <c r="R126" s="1"/>
      <c r="S126" s="1"/>
      <c r="T126" s="8"/>
      <c r="U126" s="8"/>
      <c r="V126" s="1"/>
      <c r="W126" s="1"/>
      <c r="X126" s="1"/>
      <c r="Z126" s="8"/>
    </row>
    <row r="127" spans="1:26" x14ac:dyDescent="0.2">
      <c r="A127" s="12">
        <f t="shared" si="4"/>
        <v>115</v>
      </c>
      <c r="E127" s="10" t="str">
        <f t="shared" si="3"/>
        <v/>
      </c>
      <c r="I127" s="53"/>
      <c r="N127" s="8">
        <v>0</v>
      </c>
      <c r="Q127" s="1"/>
      <c r="R127" s="1"/>
      <c r="S127" s="1"/>
      <c r="T127" s="8"/>
      <c r="U127" s="8"/>
      <c r="V127" s="1"/>
      <c r="W127" s="1"/>
      <c r="X127" s="1"/>
      <c r="Z127" s="8"/>
    </row>
    <row r="128" spans="1:26" x14ac:dyDescent="0.2">
      <c r="A128" s="12">
        <f t="shared" si="4"/>
        <v>116</v>
      </c>
      <c r="E128" s="10" t="str">
        <f t="shared" si="3"/>
        <v/>
      </c>
      <c r="I128" s="53"/>
      <c r="N128" s="8">
        <v>0</v>
      </c>
      <c r="Q128" s="1"/>
      <c r="R128" s="1"/>
      <c r="S128" s="1"/>
      <c r="T128" s="8"/>
      <c r="U128" s="8"/>
      <c r="V128" s="1"/>
      <c r="W128" s="1"/>
      <c r="X128" s="1"/>
      <c r="Z128" s="8"/>
    </row>
    <row r="129" spans="1:26" x14ac:dyDescent="0.2">
      <c r="A129" s="12">
        <f t="shared" si="4"/>
        <v>117</v>
      </c>
      <c r="E129" s="10" t="str">
        <f t="shared" si="3"/>
        <v/>
      </c>
      <c r="I129" s="53"/>
      <c r="N129" s="8">
        <v>0</v>
      </c>
      <c r="Q129" s="1"/>
      <c r="R129" s="1"/>
      <c r="S129" s="1"/>
      <c r="T129" s="8"/>
      <c r="U129" s="8"/>
      <c r="V129" s="1"/>
      <c r="W129" s="1"/>
      <c r="X129" s="1"/>
      <c r="Z129" s="8"/>
    </row>
    <row r="130" spans="1:26" x14ac:dyDescent="0.2">
      <c r="A130" s="12">
        <f t="shared" si="4"/>
        <v>118</v>
      </c>
      <c r="E130" s="10" t="str">
        <f t="shared" si="3"/>
        <v/>
      </c>
      <c r="I130" s="53"/>
      <c r="N130" s="8">
        <v>0</v>
      </c>
      <c r="Q130" s="1"/>
      <c r="R130" s="1"/>
      <c r="S130" s="1"/>
      <c r="T130" s="8"/>
      <c r="U130" s="8"/>
      <c r="V130" s="1"/>
      <c r="W130" s="1"/>
      <c r="X130" s="1"/>
      <c r="Z130" s="8"/>
    </row>
    <row r="131" spans="1:26" x14ac:dyDescent="0.2">
      <c r="A131" s="12">
        <f t="shared" si="4"/>
        <v>119</v>
      </c>
      <c r="E131" s="10" t="str">
        <f t="shared" si="3"/>
        <v/>
      </c>
      <c r="I131" s="53"/>
      <c r="N131" s="8">
        <v>0</v>
      </c>
      <c r="Q131" s="1"/>
      <c r="R131" s="1"/>
      <c r="S131" s="1"/>
      <c r="T131" s="8"/>
      <c r="U131" s="8"/>
      <c r="V131" s="1"/>
      <c r="W131" s="1"/>
      <c r="X131" s="1"/>
      <c r="Z131" s="8"/>
    </row>
    <row r="132" spans="1:26" x14ac:dyDescent="0.2">
      <c r="A132" s="12">
        <f t="shared" si="4"/>
        <v>120</v>
      </c>
      <c r="E132" s="10" t="str">
        <f t="shared" si="3"/>
        <v/>
      </c>
      <c r="I132" s="53"/>
      <c r="N132" s="8">
        <v>0</v>
      </c>
      <c r="Q132" s="1"/>
      <c r="R132" s="1"/>
      <c r="S132" s="1"/>
      <c r="T132" s="8"/>
      <c r="U132" s="8"/>
      <c r="V132" s="1"/>
      <c r="W132" s="1"/>
      <c r="X132" s="1"/>
      <c r="Z132" s="8"/>
    </row>
    <row r="133" spans="1:26" x14ac:dyDescent="0.2">
      <c r="A133" s="12">
        <f t="shared" si="4"/>
        <v>121</v>
      </c>
      <c r="E133" s="10" t="str">
        <f t="shared" si="3"/>
        <v/>
      </c>
      <c r="I133" s="53"/>
      <c r="N133" s="8">
        <v>0</v>
      </c>
      <c r="Q133" s="1"/>
      <c r="R133" s="1"/>
      <c r="S133" s="1"/>
      <c r="T133" s="8"/>
      <c r="U133" s="8"/>
      <c r="V133" s="1"/>
      <c r="W133" s="1"/>
      <c r="X133" s="1"/>
      <c r="Z133" s="8"/>
    </row>
    <row r="134" spans="1:26" x14ac:dyDescent="0.2">
      <c r="A134" s="12">
        <f t="shared" si="4"/>
        <v>122</v>
      </c>
      <c r="E134" s="10" t="str">
        <f t="shared" si="3"/>
        <v/>
      </c>
      <c r="I134" s="53"/>
      <c r="N134" s="8">
        <v>0</v>
      </c>
      <c r="Q134" s="1"/>
      <c r="R134" s="1"/>
      <c r="S134" s="1"/>
      <c r="T134" s="8"/>
      <c r="U134" s="8"/>
      <c r="V134" s="1"/>
      <c r="W134" s="1"/>
      <c r="X134" s="1"/>
      <c r="Z134" s="8"/>
    </row>
    <row r="135" spans="1:26" x14ac:dyDescent="0.2">
      <c r="A135" s="12">
        <f t="shared" si="4"/>
        <v>123</v>
      </c>
      <c r="E135" s="10" t="str">
        <f t="shared" si="3"/>
        <v/>
      </c>
      <c r="I135" s="53"/>
      <c r="N135" s="8">
        <v>0</v>
      </c>
      <c r="Q135" s="1"/>
      <c r="R135" s="1"/>
      <c r="S135" s="1"/>
      <c r="T135" s="8"/>
      <c r="U135" s="8"/>
      <c r="V135" s="1"/>
      <c r="W135" s="1"/>
      <c r="X135" s="1"/>
      <c r="Z135" s="8"/>
    </row>
    <row r="136" spans="1:26" x14ac:dyDescent="0.2">
      <c r="A136" s="12">
        <f t="shared" si="4"/>
        <v>124</v>
      </c>
      <c r="E136" s="10" t="str">
        <f t="shared" si="3"/>
        <v/>
      </c>
      <c r="I136" s="53"/>
      <c r="N136" s="8">
        <v>0</v>
      </c>
      <c r="Q136" s="1"/>
      <c r="R136" s="1"/>
      <c r="S136" s="1"/>
      <c r="T136" s="8"/>
      <c r="U136" s="8"/>
      <c r="V136" s="1"/>
      <c r="W136" s="1"/>
      <c r="X136" s="1"/>
      <c r="Z136" s="8"/>
    </row>
    <row r="137" spans="1:26" x14ac:dyDescent="0.2">
      <c r="A137" s="12">
        <f t="shared" si="4"/>
        <v>125</v>
      </c>
      <c r="E137" s="10" t="str">
        <f t="shared" si="3"/>
        <v/>
      </c>
      <c r="I137" s="53"/>
      <c r="N137" s="8">
        <v>0</v>
      </c>
      <c r="Q137" s="1"/>
      <c r="R137" s="1"/>
      <c r="S137" s="1"/>
      <c r="T137" s="8"/>
      <c r="U137" s="8"/>
      <c r="V137" s="1"/>
      <c r="W137" s="1"/>
      <c r="X137" s="1"/>
      <c r="Z137" s="8"/>
    </row>
    <row r="138" spans="1:26" x14ac:dyDescent="0.2">
      <c r="A138" s="12">
        <f t="shared" si="4"/>
        <v>126</v>
      </c>
      <c r="E138" s="10" t="str">
        <f t="shared" si="3"/>
        <v/>
      </c>
      <c r="I138" s="53"/>
      <c r="N138" s="8">
        <v>0</v>
      </c>
      <c r="Q138" s="1"/>
      <c r="R138" s="1"/>
      <c r="S138" s="1"/>
      <c r="T138" s="8"/>
      <c r="U138" s="8"/>
      <c r="V138" s="1"/>
      <c r="W138" s="1"/>
      <c r="X138" s="1"/>
      <c r="Z138" s="8"/>
    </row>
    <row r="139" spans="1:26" x14ac:dyDescent="0.2">
      <c r="A139" s="12">
        <f t="shared" si="4"/>
        <v>127</v>
      </c>
      <c r="E139" s="10" t="str">
        <f t="shared" si="3"/>
        <v/>
      </c>
      <c r="I139" s="53"/>
      <c r="N139" s="8">
        <v>0</v>
      </c>
      <c r="Q139" s="1"/>
      <c r="R139" s="1"/>
      <c r="S139" s="1"/>
      <c r="T139" s="8"/>
      <c r="U139" s="8"/>
      <c r="V139" s="1"/>
      <c r="W139" s="1"/>
      <c r="X139" s="1"/>
      <c r="Z139" s="8"/>
    </row>
    <row r="140" spans="1:26" x14ac:dyDescent="0.2">
      <c r="A140" s="12">
        <f t="shared" si="4"/>
        <v>128</v>
      </c>
      <c r="E140" s="10" t="str">
        <f t="shared" si="3"/>
        <v/>
      </c>
      <c r="I140" s="53"/>
      <c r="N140" s="8">
        <v>0</v>
      </c>
      <c r="Q140" s="1"/>
      <c r="R140" s="1"/>
      <c r="S140" s="1"/>
      <c r="T140" s="8"/>
      <c r="U140" s="8"/>
      <c r="V140" s="1"/>
      <c r="W140" s="1"/>
      <c r="X140" s="1"/>
      <c r="Z140" s="8"/>
    </row>
    <row r="141" spans="1:26" x14ac:dyDescent="0.2">
      <c r="A141" s="12">
        <f t="shared" si="4"/>
        <v>129</v>
      </c>
      <c r="E141" s="10" t="str">
        <f t="shared" ref="E141:E204" si="5">IF($C$8&gt;=A141,$E$1&amp;" "&amp;A141,"")</f>
        <v/>
      </c>
      <c r="I141" s="53"/>
      <c r="N141" s="8">
        <v>0</v>
      </c>
      <c r="Q141" s="1"/>
      <c r="R141" s="1"/>
      <c r="S141" s="1"/>
      <c r="T141" s="8"/>
      <c r="U141" s="8"/>
      <c r="V141" s="1"/>
      <c r="W141" s="1"/>
      <c r="X141" s="1"/>
      <c r="Z141" s="8"/>
    </row>
    <row r="142" spans="1:26" x14ac:dyDescent="0.2">
      <c r="A142" s="12">
        <f t="shared" si="4"/>
        <v>130</v>
      </c>
      <c r="E142" s="10" t="str">
        <f t="shared" si="5"/>
        <v/>
      </c>
      <c r="I142" s="53"/>
      <c r="N142" s="8">
        <v>0</v>
      </c>
      <c r="Q142" s="1"/>
      <c r="R142" s="1"/>
      <c r="S142" s="1"/>
      <c r="T142" s="8"/>
      <c r="U142" s="8"/>
      <c r="V142" s="1"/>
      <c r="W142" s="1"/>
      <c r="X142" s="1"/>
      <c r="Z142" s="8"/>
    </row>
    <row r="143" spans="1:26" x14ac:dyDescent="0.2">
      <c r="A143" s="12">
        <f t="shared" ref="A143:A206" si="6">A142+1</f>
        <v>131</v>
      </c>
      <c r="E143" s="10" t="str">
        <f t="shared" si="5"/>
        <v/>
      </c>
      <c r="I143" s="53"/>
      <c r="N143" s="8">
        <v>0</v>
      </c>
      <c r="Q143" s="1"/>
      <c r="R143" s="1"/>
      <c r="S143" s="1"/>
      <c r="T143" s="8"/>
      <c r="U143" s="8"/>
      <c r="V143" s="1"/>
      <c r="W143" s="1"/>
      <c r="X143" s="1"/>
      <c r="Z143" s="8"/>
    </row>
    <row r="144" spans="1:26" x14ac:dyDescent="0.2">
      <c r="A144" s="12">
        <f t="shared" si="6"/>
        <v>132</v>
      </c>
      <c r="E144" s="10" t="str">
        <f t="shared" si="5"/>
        <v/>
      </c>
      <c r="I144" s="53"/>
      <c r="N144" s="8">
        <v>0</v>
      </c>
      <c r="Q144" s="1"/>
      <c r="R144" s="1"/>
      <c r="S144" s="1"/>
      <c r="T144" s="8"/>
      <c r="U144" s="8"/>
      <c r="V144" s="1"/>
      <c r="W144" s="1"/>
      <c r="X144" s="1"/>
      <c r="Z144" s="8"/>
    </row>
    <row r="145" spans="1:26" x14ac:dyDescent="0.2">
      <c r="A145" s="12">
        <f t="shared" si="6"/>
        <v>133</v>
      </c>
      <c r="E145" s="10" t="str">
        <f t="shared" si="5"/>
        <v/>
      </c>
      <c r="I145" s="53"/>
      <c r="N145" s="8">
        <v>0</v>
      </c>
      <c r="Q145" s="1"/>
      <c r="R145" s="1"/>
      <c r="S145" s="1"/>
      <c r="T145" s="8"/>
      <c r="U145" s="8"/>
      <c r="V145" s="1"/>
      <c r="W145" s="1"/>
      <c r="X145" s="1"/>
      <c r="Z145" s="8"/>
    </row>
    <row r="146" spans="1:26" x14ac:dyDescent="0.2">
      <c r="A146" s="12">
        <f t="shared" si="6"/>
        <v>134</v>
      </c>
      <c r="E146" s="10" t="str">
        <f t="shared" si="5"/>
        <v/>
      </c>
      <c r="I146" s="53"/>
      <c r="N146" s="8">
        <v>0</v>
      </c>
      <c r="Q146" s="1"/>
      <c r="R146" s="1"/>
      <c r="S146" s="1"/>
      <c r="T146" s="8"/>
      <c r="U146" s="8"/>
      <c r="V146" s="1"/>
      <c r="W146" s="1"/>
      <c r="X146" s="1"/>
      <c r="Z146" s="8"/>
    </row>
    <row r="147" spans="1:26" x14ac:dyDescent="0.2">
      <c r="A147" s="12">
        <f t="shared" si="6"/>
        <v>135</v>
      </c>
      <c r="E147" s="10" t="str">
        <f t="shared" si="5"/>
        <v/>
      </c>
      <c r="I147" s="53"/>
      <c r="N147" s="8">
        <v>0</v>
      </c>
      <c r="Q147" s="1"/>
      <c r="R147" s="1"/>
      <c r="S147" s="1"/>
      <c r="T147" s="8"/>
      <c r="U147" s="8"/>
      <c r="V147" s="1"/>
      <c r="W147" s="1"/>
      <c r="X147" s="1"/>
      <c r="Z147" s="8"/>
    </row>
    <row r="148" spans="1:26" x14ac:dyDescent="0.2">
      <c r="A148" s="12">
        <f t="shared" si="6"/>
        <v>136</v>
      </c>
      <c r="E148" s="10" t="str">
        <f t="shared" si="5"/>
        <v/>
      </c>
      <c r="I148" s="53"/>
      <c r="N148" s="8">
        <v>0</v>
      </c>
      <c r="Q148" s="1"/>
      <c r="R148" s="1"/>
      <c r="S148" s="1"/>
      <c r="T148" s="8"/>
      <c r="U148" s="8"/>
      <c r="V148" s="1"/>
      <c r="W148" s="1"/>
      <c r="X148" s="1"/>
      <c r="Z148" s="8"/>
    </row>
    <row r="149" spans="1:26" x14ac:dyDescent="0.2">
      <c r="A149" s="12">
        <f t="shared" si="6"/>
        <v>137</v>
      </c>
      <c r="E149" s="10" t="str">
        <f t="shared" si="5"/>
        <v/>
      </c>
      <c r="I149" s="53"/>
      <c r="N149" s="8">
        <v>0</v>
      </c>
      <c r="Q149" s="1"/>
      <c r="R149" s="1"/>
      <c r="S149" s="1"/>
      <c r="T149" s="8"/>
      <c r="U149" s="8"/>
      <c r="V149" s="1"/>
      <c r="W149" s="1"/>
      <c r="X149" s="1"/>
      <c r="Z149" s="8"/>
    </row>
    <row r="150" spans="1:26" x14ac:dyDescent="0.2">
      <c r="A150" s="12">
        <f t="shared" si="6"/>
        <v>138</v>
      </c>
      <c r="E150" s="10" t="str">
        <f t="shared" si="5"/>
        <v/>
      </c>
      <c r="I150" s="53"/>
      <c r="N150" s="8">
        <v>0</v>
      </c>
      <c r="Q150" s="1"/>
      <c r="R150" s="1"/>
      <c r="S150" s="1"/>
      <c r="T150" s="8"/>
      <c r="U150" s="8"/>
      <c r="V150" s="1"/>
      <c r="W150" s="1"/>
      <c r="X150" s="1"/>
      <c r="Z150" s="8"/>
    </row>
    <row r="151" spans="1:26" x14ac:dyDescent="0.2">
      <c r="A151" s="12">
        <f t="shared" si="6"/>
        <v>139</v>
      </c>
      <c r="E151" s="10" t="str">
        <f t="shared" si="5"/>
        <v/>
      </c>
      <c r="I151" s="53"/>
      <c r="N151" s="8">
        <v>0</v>
      </c>
      <c r="Q151" s="1"/>
      <c r="R151" s="1"/>
      <c r="S151" s="1"/>
      <c r="T151" s="8"/>
      <c r="U151" s="8"/>
      <c r="V151" s="1"/>
      <c r="W151" s="1"/>
      <c r="X151" s="1"/>
      <c r="Z151" s="8"/>
    </row>
    <row r="152" spans="1:26" x14ac:dyDescent="0.2">
      <c r="A152" s="12">
        <f t="shared" si="6"/>
        <v>140</v>
      </c>
      <c r="E152" s="10" t="str">
        <f t="shared" si="5"/>
        <v/>
      </c>
      <c r="I152" s="53"/>
      <c r="N152" s="8">
        <v>0</v>
      </c>
      <c r="Q152" s="1"/>
      <c r="R152" s="1"/>
      <c r="S152" s="1"/>
      <c r="T152" s="8"/>
      <c r="U152" s="8"/>
      <c r="V152" s="1"/>
      <c r="W152" s="1"/>
      <c r="X152" s="1"/>
      <c r="Z152" s="8"/>
    </row>
    <row r="153" spans="1:26" x14ac:dyDescent="0.2">
      <c r="A153" s="12">
        <f t="shared" si="6"/>
        <v>141</v>
      </c>
      <c r="E153" s="10" t="str">
        <f t="shared" si="5"/>
        <v/>
      </c>
      <c r="I153" s="53"/>
      <c r="N153" s="8">
        <v>0</v>
      </c>
      <c r="Q153" s="1"/>
      <c r="R153" s="1"/>
      <c r="S153" s="1"/>
      <c r="T153" s="8"/>
      <c r="U153" s="8"/>
      <c r="V153" s="1"/>
      <c r="W153" s="1"/>
      <c r="X153" s="1"/>
      <c r="Z153" s="8"/>
    </row>
    <row r="154" spans="1:26" x14ac:dyDescent="0.2">
      <c r="A154" s="12">
        <f t="shared" si="6"/>
        <v>142</v>
      </c>
      <c r="E154" s="10" t="str">
        <f t="shared" si="5"/>
        <v/>
      </c>
      <c r="I154" s="53"/>
      <c r="N154" s="8">
        <v>0</v>
      </c>
      <c r="Q154" s="1"/>
      <c r="R154" s="1"/>
      <c r="S154" s="1"/>
      <c r="T154" s="8"/>
      <c r="U154" s="8"/>
      <c r="V154" s="1"/>
      <c r="W154" s="1"/>
      <c r="X154" s="1"/>
      <c r="Z154" s="8"/>
    </row>
    <row r="155" spans="1:26" x14ac:dyDescent="0.2">
      <c r="A155" s="12">
        <f t="shared" si="6"/>
        <v>143</v>
      </c>
      <c r="E155" s="10" t="str">
        <f t="shared" si="5"/>
        <v/>
      </c>
      <c r="I155" s="53"/>
      <c r="N155" s="8">
        <v>0</v>
      </c>
      <c r="Q155" s="1"/>
      <c r="R155" s="1"/>
      <c r="S155" s="1"/>
      <c r="T155" s="8"/>
      <c r="U155" s="8"/>
      <c r="V155" s="1"/>
      <c r="W155" s="1"/>
      <c r="X155" s="1"/>
      <c r="Z155" s="8"/>
    </row>
    <row r="156" spans="1:26" x14ac:dyDescent="0.2">
      <c r="A156" s="12">
        <f t="shared" si="6"/>
        <v>144</v>
      </c>
      <c r="E156" s="10" t="str">
        <f t="shared" si="5"/>
        <v/>
      </c>
      <c r="I156" s="53"/>
      <c r="N156" s="8">
        <v>0</v>
      </c>
      <c r="Q156" s="1"/>
      <c r="R156" s="1"/>
      <c r="S156" s="1"/>
      <c r="T156" s="8"/>
      <c r="U156" s="8"/>
      <c r="V156" s="1"/>
      <c r="W156" s="1"/>
      <c r="X156" s="1"/>
      <c r="Z156" s="8"/>
    </row>
    <row r="157" spans="1:26" x14ac:dyDescent="0.2">
      <c r="A157" s="12">
        <f t="shared" si="6"/>
        <v>145</v>
      </c>
      <c r="E157" s="10" t="str">
        <f t="shared" si="5"/>
        <v/>
      </c>
      <c r="I157" s="53"/>
      <c r="N157" s="8">
        <v>0</v>
      </c>
      <c r="Q157" s="1"/>
      <c r="R157" s="1"/>
      <c r="S157" s="1"/>
      <c r="T157" s="8"/>
      <c r="U157" s="8"/>
      <c r="V157" s="1"/>
      <c r="W157" s="1"/>
      <c r="X157" s="1"/>
      <c r="Z157" s="8"/>
    </row>
    <row r="158" spans="1:26" x14ac:dyDescent="0.2">
      <c r="A158" s="12">
        <f t="shared" si="6"/>
        <v>146</v>
      </c>
      <c r="E158" s="10" t="str">
        <f t="shared" si="5"/>
        <v/>
      </c>
      <c r="I158" s="53"/>
      <c r="N158" s="8">
        <v>0</v>
      </c>
      <c r="Q158" s="1"/>
      <c r="R158" s="1"/>
      <c r="S158" s="1"/>
      <c r="T158" s="8"/>
      <c r="U158" s="8"/>
      <c r="V158" s="1"/>
      <c r="W158" s="1"/>
      <c r="X158" s="1"/>
      <c r="Z158" s="8"/>
    </row>
    <row r="159" spans="1:26" x14ac:dyDescent="0.2">
      <c r="A159" s="12">
        <f t="shared" si="6"/>
        <v>147</v>
      </c>
      <c r="E159" s="10" t="str">
        <f t="shared" si="5"/>
        <v/>
      </c>
      <c r="I159" s="53"/>
      <c r="N159" s="8">
        <v>0</v>
      </c>
      <c r="Q159" s="1"/>
      <c r="R159" s="1"/>
      <c r="S159" s="1"/>
      <c r="T159" s="8"/>
      <c r="U159" s="8"/>
      <c r="V159" s="1"/>
      <c r="W159" s="1"/>
      <c r="X159" s="1"/>
      <c r="Z159" s="8"/>
    </row>
    <row r="160" spans="1:26" x14ac:dyDescent="0.2">
      <c r="A160" s="12">
        <f t="shared" si="6"/>
        <v>148</v>
      </c>
      <c r="E160" s="10" t="str">
        <f t="shared" si="5"/>
        <v/>
      </c>
      <c r="I160" s="53"/>
      <c r="N160" s="8">
        <v>0</v>
      </c>
      <c r="Q160" s="1"/>
      <c r="R160" s="1"/>
      <c r="S160" s="1"/>
      <c r="T160" s="8"/>
      <c r="U160" s="8"/>
      <c r="V160" s="1"/>
      <c r="W160" s="1"/>
      <c r="X160" s="1"/>
      <c r="Z160" s="8"/>
    </row>
    <row r="161" spans="1:26" x14ac:dyDescent="0.2">
      <c r="A161" s="12">
        <f t="shared" si="6"/>
        <v>149</v>
      </c>
      <c r="E161" s="10" t="str">
        <f t="shared" si="5"/>
        <v/>
      </c>
      <c r="I161" s="53"/>
      <c r="N161" s="8">
        <v>0</v>
      </c>
      <c r="Q161" s="1"/>
      <c r="R161" s="1"/>
      <c r="S161" s="1"/>
      <c r="T161" s="8"/>
      <c r="U161" s="8"/>
      <c r="V161" s="1"/>
      <c r="W161" s="1"/>
      <c r="X161" s="1"/>
      <c r="Z161" s="8"/>
    </row>
    <row r="162" spans="1:26" x14ac:dyDescent="0.2">
      <c r="A162" s="12">
        <f t="shared" si="6"/>
        <v>150</v>
      </c>
      <c r="E162" s="10" t="str">
        <f t="shared" si="5"/>
        <v/>
      </c>
      <c r="I162" s="53"/>
      <c r="N162" s="8">
        <v>0</v>
      </c>
      <c r="Q162" s="1"/>
      <c r="R162" s="1"/>
      <c r="S162" s="1"/>
      <c r="T162" s="8"/>
      <c r="U162" s="8"/>
      <c r="V162" s="1"/>
      <c r="W162" s="1"/>
      <c r="X162" s="1"/>
      <c r="Z162" s="8"/>
    </row>
    <row r="163" spans="1:26" x14ac:dyDescent="0.2">
      <c r="A163" s="12">
        <f t="shared" si="6"/>
        <v>151</v>
      </c>
      <c r="E163" s="10" t="str">
        <f t="shared" si="5"/>
        <v/>
      </c>
      <c r="I163" s="53"/>
      <c r="N163" s="8">
        <v>0</v>
      </c>
      <c r="Q163" s="1"/>
      <c r="R163" s="1"/>
      <c r="S163" s="1"/>
      <c r="T163" s="8"/>
      <c r="U163" s="8"/>
      <c r="V163" s="1"/>
      <c r="W163" s="1"/>
      <c r="X163" s="1"/>
      <c r="Z163" s="8"/>
    </row>
    <row r="164" spans="1:26" x14ac:dyDescent="0.2">
      <c r="A164" s="12">
        <f t="shared" si="6"/>
        <v>152</v>
      </c>
      <c r="E164" s="10" t="str">
        <f t="shared" si="5"/>
        <v/>
      </c>
      <c r="I164" s="53"/>
      <c r="N164" s="8">
        <v>0</v>
      </c>
      <c r="Q164" s="1"/>
      <c r="R164" s="1"/>
      <c r="S164" s="1"/>
      <c r="T164" s="8"/>
      <c r="U164" s="8"/>
      <c r="V164" s="1"/>
      <c r="W164" s="1"/>
      <c r="X164" s="1"/>
      <c r="Z164" s="8"/>
    </row>
    <row r="165" spans="1:26" x14ac:dyDescent="0.2">
      <c r="A165" s="12">
        <f t="shared" si="6"/>
        <v>153</v>
      </c>
      <c r="E165" s="10" t="str">
        <f t="shared" si="5"/>
        <v/>
      </c>
      <c r="I165" s="53"/>
      <c r="N165" s="8">
        <v>0</v>
      </c>
      <c r="Q165" s="1"/>
      <c r="R165" s="1"/>
      <c r="S165" s="1"/>
      <c r="T165" s="8"/>
      <c r="U165" s="8"/>
      <c r="V165" s="1"/>
      <c r="W165" s="1"/>
      <c r="X165" s="1"/>
      <c r="Z165" s="8"/>
    </row>
    <row r="166" spans="1:26" x14ac:dyDescent="0.2">
      <c r="A166" s="12">
        <f t="shared" si="6"/>
        <v>154</v>
      </c>
      <c r="E166" s="10" t="str">
        <f t="shared" si="5"/>
        <v/>
      </c>
      <c r="I166" s="53"/>
      <c r="N166" s="8">
        <v>0</v>
      </c>
      <c r="Q166" s="1"/>
      <c r="R166" s="1"/>
      <c r="S166" s="1"/>
      <c r="T166" s="8"/>
      <c r="U166" s="8"/>
      <c r="V166" s="1"/>
      <c r="W166" s="1"/>
      <c r="X166" s="1"/>
      <c r="Z166" s="8"/>
    </row>
    <row r="167" spans="1:26" x14ac:dyDescent="0.2">
      <c r="A167" s="12">
        <f t="shared" si="6"/>
        <v>155</v>
      </c>
      <c r="E167" s="10" t="str">
        <f t="shared" si="5"/>
        <v/>
      </c>
      <c r="I167" s="53"/>
      <c r="N167" s="8">
        <v>0</v>
      </c>
      <c r="Q167" s="1"/>
      <c r="R167" s="1"/>
      <c r="S167" s="1"/>
      <c r="T167" s="8"/>
      <c r="U167" s="8"/>
      <c r="V167" s="1"/>
      <c r="W167" s="1"/>
      <c r="X167" s="1"/>
      <c r="Z167" s="8"/>
    </row>
    <row r="168" spans="1:26" x14ac:dyDescent="0.2">
      <c r="A168" s="12">
        <f t="shared" si="6"/>
        <v>156</v>
      </c>
      <c r="E168" s="10" t="str">
        <f t="shared" si="5"/>
        <v/>
      </c>
      <c r="I168" s="53"/>
      <c r="N168" s="8">
        <v>0</v>
      </c>
      <c r="Q168" s="1"/>
      <c r="R168" s="1"/>
      <c r="S168" s="1"/>
      <c r="T168" s="8"/>
      <c r="U168" s="8"/>
      <c r="V168" s="1"/>
      <c r="W168" s="1"/>
      <c r="X168" s="1"/>
      <c r="Z168" s="8"/>
    </row>
    <row r="169" spans="1:26" x14ac:dyDescent="0.2">
      <c r="A169" s="12">
        <f t="shared" si="6"/>
        <v>157</v>
      </c>
      <c r="E169" s="10" t="str">
        <f t="shared" si="5"/>
        <v/>
      </c>
      <c r="I169" s="53"/>
      <c r="N169" s="8">
        <v>0</v>
      </c>
      <c r="Q169" s="1"/>
      <c r="R169" s="1"/>
      <c r="S169" s="1"/>
      <c r="T169" s="8"/>
      <c r="U169" s="8"/>
      <c r="V169" s="1"/>
      <c r="W169" s="1"/>
      <c r="X169" s="1"/>
      <c r="Z169" s="8"/>
    </row>
    <row r="170" spans="1:26" x14ac:dyDescent="0.2">
      <c r="A170" s="12">
        <f t="shared" si="6"/>
        <v>158</v>
      </c>
      <c r="E170" s="10" t="str">
        <f t="shared" si="5"/>
        <v/>
      </c>
      <c r="I170" s="53"/>
      <c r="N170" s="8">
        <v>0</v>
      </c>
      <c r="Q170" s="1"/>
      <c r="R170" s="1"/>
      <c r="S170" s="1"/>
      <c r="T170" s="8"/>
      <c r="U170" s="8"/>
      <c r="V170" s="1"/>
      <c r="W170" s="1"/>
      <c r="X170" s="1"/>
      <c r="Z170" s="8"/>
    </row>
    <row r="171" spans="1:26" x14ac:dyDescent="0.2">
      <c r="A171" s="12">
        <f t="shared" si="6"/>
        <v>159</v>
      </c>
      <c r="E171" s="10" t="str">
        <f t="shared" si="5"/>
        <v/>
      </c>
      <c r="I171" s="53"/>
      <c r="N171" s="8">
        <v>0</v>
      </c>
      <c r="Q171" s="1"/>
      <c r="R171" s="1"/>
      <c r="S171" s="1"/>
      <c r="T171" s="8"/>
      <c r="U171" s="8"/>
      <c r="V171" s="1"/>
      <c r="W171" s="1"/>
      <c r="X171" s="1"/>
      <c r="Z171" s="8"/>
    </row>
    <row r="172" spans="1:26" x14ac:dyDescent="0.2">
      <c r="A172" s="12">
        <f t="shared" si="6"/>
        <v>160</v>
      </c>
      <c r="E172" s="10" t="str">
        <f t="shared" si="5"/>
        <v/>
      </c>
      <c r="I172" s="53"/>
      <c r="N172" s="8">
        <v>0</v>
      </c>
      <c r="Q172" s="1"/>
      <c r="R172" s="1"/>
      <c r="S172" s="1"/>
      <c r="T172" s="8"/>
      <c r="U172" s="8"/>
      <c r="V172" s="1"/>
      <c r="W172" s="1"/>
      <c r="X172" s="1"/>
      <c r="Z172" s="8"/>
    </row>
    <row r="173" spans="1:26" x14ac:dyDescent="0.2">
      <c r="A173" s="12">
        <f t="shared" si="6"/>
        <v>161</v>
      </c>
      <c r="E173" s="10" t="str">
        <f t="shared" si="5"/>
        <v/>
      </c>
      <c r="I173" s="53"/>
      <c r="N173" s="8">
        <v>0</v>
      </c>
      <c r="Q173" s="1"/>
      <c r="R173" s="1"/>
      <c r="S173" s="1"/>
      <c r="T173" s="8"/>
      <c r="U173" s="8"/>
      <c r="V173" s="1"/>
      <c r="W173" s="1"/>
      <c r="X173" s="1"/>
      <c r="Z173" s="8"/>
    </row>
    <row r="174" spans="1:26" x14ac:dyDescent="0.2">
      <c r="A174" s="12">
        <f t="shared" si="6"/>
        <v>162</v>
      </c>
      <c r="E174" s="10" t="str">
        <f t="shared" si="5"/>
        <v/>
      </c>
      <c r="I174" s="53"/>
      <c r="N174" s="8">
        <v>0</v>
      </c>
      <c r="Q174" s="1"/>
      <c r="R174" s="1"/>
      <c r="S174" s="1"/>
      <c r="T174" s="8"/>
      <c r="U174" s="8"/>
      <c r="V174" s="1"/>
      <c r="W174" s="1"/>
      <c r="X174" s="1"/>
      <c r="Z174" s="8"/>
    </row>
    <row r="175" spans="1:26" x14ac:dyDescent="0.2">
      <c r="A175" s="12">
        <f t="shared" si="6"/>
        <v>163</v>
      </c>
      <c r="E175" s="10" t="str">
        <f t="shared" si="5"/>
        <v/>
      </c>
      <c r="I175" s="53"/>
      <c r="N175" s="8">
        <v>0</v>
      </c>
      <c r="Q175" s="1"/>
      <c r="R175" s="1"/>
      <c r="S175" s="1"/>
      <c r="T175" s="8"/>
      <c r="U175" s="8"/>
      <c r="V175" s="1"/>
      <c r="W175" s="1"/>
      <c r="X175" s="1"/>
      <c r="Z175" s="8"/>
    </row>
    <row r="176" spans="1:26" x14ac:dyDescent="0.2">
      <c r="A176" s="12">
        <f t="shared" si="6"/>
        <v>164</v>
      </c>
      <c r="E176" s="10" t="str">
        <f t="shared" si="5"/>
        <v/>
      </c>
      <c r="I176" s="53"/>
      <c r="N176" s="8">
        <v>0</v>
      </c>
      <c r="Q176" s="1"/>
      <c r="R176" s="1"/>
      <c r="S176" s="1"/>
      <c r="T176" s="8"/>
      <c r="U176" s="8"/>
      <c r="V176" s="1"/>
      <c r="W176" s="1"/>
      <c r="X176" s="1"/>
      <c r="Z176" s="8"/>
    </row>
    <row r="177" spans="1:26" x14ac:dyDescent="0.2">
      <c r="A177" s="12">
        <f t="shared" si="6"/>
        <v>165</v>
      </c>
      <c r="E177" s="10" t="str">
        <f t="shared" si="5"/>
        <v/>
      </c>
      <c r="I177" s="53"/>
      <c r="N177" s="8">
        <v>0</v>
      </c>
      <c r="Q177" s="1"/>
      <c r="R177" s="1"/>
      <c r="S177" s="1"/>
      <c r="T177" s="8"/>
      <c r="U177" s="8"/>
      <c r="V177" s="1"/>
      <c r="W177" s="1"/>
      <c r="X177" s="1"/>
      <c r="Z177" s="8"/>
    </row>
    <row r="178" spans="1:26" x14ac:dyDescent="0.2">
      <c r="A178" s="12">
        <f t="shared" si="6"/>
        <v>166</v>
      </c>
      <c r="E178" s="10" t="str">
        <f t="shared" si="5"/>
        <v/>
      </c>
      <c r="I178" s="53"/>
      <c r="N178" s="8">
        <v>0</v>
      </c>
      <c r="Q178" s="1"/>
      <c r="R178" s="1"/>
      <c r="S178" s="1"/>
      <c r="T178" s="8"/>
      <c r="U178" s="8"/>
      <c r="V178" s="1"/>
      <c r="W178" s="1"/>
      <c r="X178" s="1"/>
      <c r="Z178" s="8"/>
    </row>
    <row r="179" spans="1:26" x14ac:dyDescent="0.2">
      <c r="A179" s="12">
        <f t="shared" si="6"/>
        <v>167</v>
      </c>
      <c r="E179" s="10" t="str">
        <f t="shared" si="5"/>
        <v/>
      </c>
      <c r="I179" s="53"/>
      <c r="N179" s="8">
        <v>0</v>
      </c>
      <c r="Q179" s="1"/>
      <c r="R179" s="1"/>
      <c r="S179" s="1"/>
      <c r="T179" s="8"/>
      <c r="U179" s="8"/>
      <c r="V179" s="1"/>
      <c r="W179" s="1"/>
      <c r="X179" s="1"/>
      <c r="Z179" s="8"/>
    </row>
    <row r="180" spans="1:26" x14ac:dyDescent="0.2">
      <c r="A180" s="12">
        <f t="shared" si="6"/>
        <v>168</v>
      </c>
      <c r="E180" s="10" t="str">
        <f t="shared" si="5"/>
        <v/>
      </c>
      <c r="I180" s="53"/>
      <c r="N180" s="8">
        <v>0</v>
      </c>
      <c r="Q180" s="1"/>
      <c r="R180" s="1"/>
      <c r="S180" s="1"/>
      <c r="T180" s="8"/>
      <c r="U180" s="8"/>
      <c r="V180" s="1"/>
      <c r="W180" s="1"/>
      <c r="X180" s="1"/>
      <c r="Z180" s="8"/>
    </row>
    <row r="181" spans="1:26" x14ac:dyDescent="0.2">
      <c r="A181" s="12">
        <f t="shared" si="6"/>
        <v>169</v>
      </c>
      <c r="E181" s="10" t="str">
        <f t="shared" si="5"/>
        <v/>
      </c>
      <c r="I181" s="53"/>
      <c r="N181" s="8">
        <v>0</v>
      </c>
      <c r="Q181" s="1"/>
      <c r="R181" s="1"/>
      <c r="S181" s="1"/>
      <c r="T181" s="8"/>
      <c r="U181" s="8"/>
      <c r="V181" s="1"/>
      <c r="W181" s="1"/>
      <c r="X181" s="1"/>
      <c r="Z181" s="8"/>
    </row>
    <row r="182" spans="1:26" x14ac:dyDescent="0.2">
      <c r="A182" s="12">
        <f t="shared" si="6"/>
        <v>170</v>
      </c>
      <c r="E182" s="10" t="str">
        <f t="shared" si="5"/>
        <v/>
      </c>
      <c r="I182" s="53"/>
      <c r="N182" s="8">
        <v>0</v>
      </c>
      <c r="Q182" s="1"/>
      <c r="R182" s="1"/>
      <c r="S182" s="1"/>
      <c r="T182" s="8"/>
      <c r="U182" s="8"/>
      <c r="V182" s="1"/>
      <c r="W182" s="1"/>
      <c r="X182" s="1"/>
      <c r="Z182" s="8"/>
    </row>
    <row r="183" spans="1:26" x14ac:dyDescent="0.2">
      <c r="A183" s="12">
        <f t="shared" si="6"/>
        <v>171</v>
      </c>
      <c r="E183" s="10" t="str">
        <f t="shared" si="5"/>
        <v/>
      </c>
      <c r="I183" s="53"/>
      <c r="N183" s="8">
        <v>0</v>
      </c>
      <c r="Q183" s="1"/>
      <c r="R183" s="1"/>
      <c r="S183" s="1"/>
      <c r="T183" s="8"/>
      <c r="U183" s="8"/>
      <c r="V183" s="1"/>
      <c r="W183" s="1"/>
      <c r="X183" s="1"/>
      <c r="Z183" s="8"/>
    </row>
    <row r="184" spans="1:26" x14ac:dyDescent="0.2">
      <c r="A184" s="12">
        <f t="shared" si="6"/>
        <v>172</v>
      </c>
      <c r="E184" s="10" t="str">
        <f t="shared" si="5"/>
        <v/>
      </c>
      <c r="I184" s="53"/>
      <c r="N184" s="8">
        <v>0</v>
      </c>
      <c r="Q184" s="1"/>
      <c r="R184" s="1"/>
      <c r="S184" s="1"/>
      <c r="T184" s="8"/>
      <c r="U184" s="8"/>
      <c r="V184" s="1"/>
      <c r="W184" s="1"/>
      <c r="X184" s="1"/>
      <c r="Z184" s="8"/>
    </row>
    <row r="185" spans="1:26" x14ac:dyDescent="0.2">
      <c r="A185" s="12">
        <f t="shared" si="6"/>
        <v>173</v>
      </c>
      <c r="E185" s="10" t="str">
        <f t="shared" si="5"/>
        <v/>
      </c>
      <c r="I185" s="53"/>
      <c r="N185" s="8">
        <v>0</v>
      </c>
      <c r="Q185" s="1"/>
      <c r="R185" s="1"/>
      <c r="S185" s="1"/>
      <c r="T185" s="8"/>
      <c r="U185" s="8"/>
      <c r="V185" s="1"/>
      <c r="W185" s="1"/>
      <c r="X185" s="1"/>
      <c r="Z185" s="8"/>
    </row>
    <row r="186" spans="1:26" x14ac:dyDescent="0.2">
      <c r="A186" s="12">
        <f t="shared" si="6"/>
        <v>174</v>
      </c>
      <c r="E186" s="10" t="str">
        <f t="shared" si="5"/>
        <v/>
      </c>
      <c r="I186" s="53"/>
      <c r="N186" s="8">
        <v>0</v>
      </c>
      <c r="Q186" s="1"/>
      <c r="R186" s="1"/>
      <c r="S186" s="1"/>
      <c r="T186" s="8"/>
      <c r="U186" s="8"/>
      <c r="V186" s="1"/>
      <c r="W186" s="1"/>
      <c r="X186" s="1"/>
      <c r="Z186" s="8"/>
    </row>
    <row r="187" spans="1:26" x14ac:dyDescent="0.2">
      <c r="A187" s="12">
        <f t="shared" si="6"/>
        <v>175</v>
      </c>
      <c r="E187" s="10" t="str">
        <f t="shared" si="5"/>
        <v/>
      </c>
      <c r="I187" s="53"/>
      <c r="N187" s="8">
        <v>0</v>
      </c>
      <c r="Q187" s="1"/>
      <c r="R187" s="1"/>
      <c r="S187" s="1"/>
      <c r="T187" s="8"/>
      <c r="U187" s="8"/>
      <c r="V187" s="1"/>
      <c r="W187" s="1"/>
      <c r="X187" s="1"/>
      <c r="Z187" s="8"/>
    </row>
    <row r="188" spans="1:26" x14ac:dyDescent="0.2">
      <c r="A188" s="12">
        <f t="shared" si="6"/>
        <v>176</v>
      </c>
      <c r="E188" s="10" t="str">
        <f t="shared" si="5"/>
        <v/>
      </c>
      <c r="I188" s="53"/>
      <c r="N188" s="8">
        <v>0</v>
      </c>
      <c r="Q188" s="1"/>
      <c r="R188" s="1"/>
      <c r="S188" s="1"/>
      <c r="T188" s="8"/>
      <c r="U188" s="8"/>
      <c r="V188" s="1"/>
      <c r="W188" s="1"/>
      <c r="X188" s="1"/>
      <c r="Z188" s="8"/>
    </row>
    <row r="189" spans="1:26" x14ac:dyDescent="0.2">
      <c r="A189" s="12">
        <f t="shared" si="6"/>
        <v>177</v>
      </c>
      <c r="E189" s="10" t="str">
        <f t="shared" si="5"/>
        <v/>
      </c>
      <c r="I189" s="53"/>
      <c r="N189" s="8">
        <v>0</v>
      </c>
      <c r="Q189" s="1"/>
      <c r="R189" s="1"/>
      <c r="S189" s="1"/>
      <c r="T189" s="8"/>
      <c r="U189" s="8"/>
      <c r="V189" s="1"/>
      <c r="W189" s="1"/>
      <c r="X189" s="1"/>
      <c r="Z189" s="8"/>
    </row>
    <row r="190" spans="1:26" x14ac:dyDescent="0.2">
      <c r="A190" s="12">
        <f t="shared" si="6"/>
        <v>178</v>
      </c>
      <c r="E190" s="10" t="str">
        <f t="shared" si="5"/>
        <v/>
      </c>
      <c r="I190" s="53"/>
      <c r="N190" s="8">
        <v>0</v>
      </c>
      <c r="Q190" s="1"/>
      <c r="R190" s="1"/>
      <c r="S190" s="1"/>
      <c r="T190" s="8"/>
      <c r="U190" s="8"/>
      <c r="V190" s="1"/>
      <c r="W190" s="1"/>
      <c r="X190" s="1"/>
      <c r="Z190" s="8"/>
    </row>
    <row r="191" spans="1:26" x14ac:dyDescent="0.2">
      <c r="A191" s="12">
        <f t="shared" si="6"/>
        <v>179</v>
      </c>
      <c r="E191" s="10" t="str">
        <f t="shared" si="5"/>
        <v/>
      </c>
      <c r="I191" s="53"/>
      <c r="N191" s="8">
        <v>0</v>
      </c>
      <c r="Q191" s="1"/>
      <c r="R191" s="1"/>
      <c r="S191" s="1"/>
      <c r="T191" s="8"/>
      <c r="U191" s="8"/>
      <c r="V191" s="1"/>
      <c r="W191" s="1"/>
      <c r="X191" s="1"/>
      <c r="Z191" s="8"/>
    </row>
    <row r="192" spans="1:26" x14ac:dyDescent="0.2">
      <c r="A192" s="12">
        <f t="shared" si="6"/>
        <v>180</v>
      </c>
      <c r="E192" s="10" t="str">
        <f t="shared" si="5"/>
        <v/>
      </c>
      <c r="I192" s="53"/>
      <c r="N192" s="8">
        <v>0</v>
      </c>
      <c r="Q192" s="1"/>
      <c r="R192" s="1"/>
      <c r="S192" s="1"/>
      <c r="T192" s="8"/>
      <c r="U192" s="8"/>
      <c r="V192" s="1"/>
      <c r="W192" s="1"/>
      <c r="X192" s="1"/>
      <c r="Z192" s="8"/>
    </row>
    <row r="193" spans="1:26" x14ac:dyDescent="0.2">
      <c r="A193" s="12">
        <f t="shared" si="6"/>
        <v>181</v>
      </c>
      <c r="E193" s="10" t="str">
        <f t="shared" si="5"/>
        <v/>
      </c>
      <c r="I193" s="53"/>
      <c r="N193" s="8">
        <v>0</v>
      </c>
      <c r="Q193" s="1"/>
      <c r="R193" s="1"/>
      <c r="S193" s="1"/>
      <c r="T193" s="8"/>
      <c r="U193" s="8"/>
      <c r="V193" s="1"/>
      <c r="W193" s="1"/>
      <c r="X193" s="1"/>
      <c r="Z193" s="8"/>
    </row>
    <row r="194" spans="1:26" x14ac:dyDescent="0.2">
      <c r="A194" s="12">
        <f t="shared" si="6"/>
        <v>182</v>
      </c>
      <c r="E194" s="10" t="str">
        <f t="shared" si="5"/>
        <v/>
      </c>
      <c r="I194" s="53"/>
      <c r="N194" s="8">
        <v>0</v>
      </c>
      <c r="Q194" s="1"/>
      <c r="R194" s="1"/>
      <c r="S194" s="1"/>
      <c r="T194" s="8"/>
      <c r="U194" s="8"/>
      <c r="V194" s="1"/>
      <c r="W194" s="1"/>
      <c r="X194" s="1"/>
      <c r="Z194" s="8"/>
    </row>
    <row r="195" spans="1:26" x14ac:dyDescent="0.2">
      <c r="A195" s="12">
        <f t="shared" si="6"/>
        <v>183</v>
      </c>
      <c r="E195" s="10" t="str">
        <f t="shared" si="5"/>
        <v/>
      </c>
      <c r="I195" s="53"/>
      <c r="N195" s="8">
        <v>0</v>
      </c>
      <c r="Q195" s="1"/>
      <c r="R195" s="1"/>
      <c r="S195" s="1"/>
      <c r="T195" s="8"/>
      <c r="U195" s="8"/>
      <c r="V195" s="1"/>
      <c r="W195" s="1"/>
      <c r="X195" s="1"/>
      <c r="Z195" s="8"/>
    </row>
    <row r="196" spans="1:26" x14ac:dyDescent="0.2">
      <c r="A196" s="12">
        <f t="shared" si="6"/>
        <v>184</v>
      </c>
      <c r="E196" s="10" t="str">
        <f t="shared" si="5"/>
        <v/>
      </c>
      <c r="I196" s="53"/>
      <c r="N196" s="8">
        <v>0</v>
      </c>
      <c r="Q196" s="1"/>
      <c r="R196" s="1"/>
      <c r="S196" s="1"/>
      <c r="T196" s="8"/>
      <c r="U196" s="8"/>
      <c r="V196" s="1"/>
      <c r="W196" s="1"/>
      <c r="X196" s="1"/>
      <c r="Z196" s="8"/>
    </row>
    <row r="197" spans="1:26" x14ac:dyDescent="0.2">
      <c r="A197" s="12">
        <f t="shared" si="6"/>
        <v>185</v>
      </c>
      <c r="E197" s="10" t="str">
        <f t="shared" si="5"/>
        <v/>
      </c>
      <c r="I197" s="53"/>
      <c r="N197" s="8">
        <v>0</v>
      </c>
      <c r="Q197" s="1"/>
      <c r="R197" s="1"/>
      <c r="S197" s="1"/>
      <c r="T197" s="8"/>
      <c r="U197" s="8"/>
      <c r="V197" s="1"/>
      <c r="W197" s="1"/>
      <c r="X197" s="1"/>
      <c r="Z197" s="8"/>
    </row>
    <row r="198" spans="1:26" x14ac:dyDescent="0.2">
      <c r="A198" s="12">
        <f t="shared" si="6"/>
        <v>186</v>
      </c>
      <c r="E198" s="10" t="str">
        <f t="shared" si="5"/>
        <v/>
      </c>
      <c r="I198" s="53"/>
      <c r="N198" s="8">
        <v>0</v>
      </c>
      <c r="Q198" s="1"/>
      <c r="R198" s="1"/>
      <c r="S198" s="1"/>
      <c r="T198" s="8"/>
      <c r="U198" s="8"/>
      <c r="V198" s="1"/>
      <c r="W198" s="1"/>
      <c r="X198" s="1"/>
      <c r="Z198" s="8"/>
    </row>
    <row r="199" spans="1:26" x14ac:dyDescent="0.2">
      <c r="A199" s="12">
        <f t="shared" si="6"/>
        <v>187</v>
      </c>
      <c r="E199" s="10" t="str">
        <f t="shared" si="5"/>
        <v/>
      </c>
      <c r="I199" s="53"/>
      <c r="N199" s="8">
        <v>0</v>
      </c>
      <c r="Q199" s="1"/>
      <c r="R199" s="1"/>
      <c r="S199" s="1"/>
      <c r="T199" s="8"/>
      <c r="U199" s="8"/>
      <c r="V199" s="1"/>
      <c r="W199" s="1"/>
      <c r="X199" s="1"/>
      <c r="Z199" s="8"/>
    </row>
    <row r="200" spans="1:26" x14ac:dyDescent="0.2">
      <c r="A200" s="12">
        <f t="shared" si="6"/>
        <v>188</v>
      </c>
      <c r="E200" s="10" t="str">
        <f t="shared" si="5"/>
        <v/>
      </c>
      <c r="I200" s="53"/>
      <c r="N200" s="8">
        <v>0</v>
      </c>
      <c r="Q200" s="1"/>
      <c r="R200" s="1"/>
      <c r="S200" s="1"/>
      <c r="T200" s="8"/>
      <c r="U200" s="8"/>
      <c r="V200" s="1"/>
      <c r="W200" s="1"/>
      <c r="X200" s="1"/>
      <c r="Z200" s="8"/>
    </row>
    <row r="201" spans="1:26" x14ac:dyDescent="0.2">
      <c r="A201" s="12">
        <f t="shared" si="6"/>
        <v>189</v>
      </c>
      <c r="E201" s="10" t="str">
        <f t="shared" si="5"/>
        <v/>
      </c>
      <c r="I201" s="53"/>
      <c r="N201" s="8">
        <v>0</v>
      </c>
      <c r="Q201" s="1"/>
      <c r="R201" s="1"/>
      <c r="S201" s="1"/>
      <c r="T201" s="8"/>
      <c r="U201" s="8"/>
      <c r="V201" s="1"/>
      <c r="W201" s="1"/>
      <c r="X201" s="1"/>
      <c r="Z201" s="8"/>
    </row>
    <row r="202" spans="1:26" x14ac:dyDescent="0.2">
      <c r="A202" s="12">
        <f t="shared" si="6"/>
        <v>190</v>
      </c>
      <c r="E202" s="10" t="str">
        <f t="shared" si="5"/>
        <v/>
      </c>
      <c r="I202" s="53"/>
      <c r="N202" s="8">
        <v>0</v>
      </c>
      <c r="Q202" s="1"/>
      <c r="R202" s="1"/>
      <c r="S202" s="1"/>
      <c r="T202" s="8"/>
      <c r="U202" s="8"/>
      <c r="V202" s="1"/>
      <c r="W202" s="1"/>
      <c r="X202" s="1"/>
      <c r="Z202" s="8"/>
    </row>
    <row r="203" spans="1:26" x14ac:dyDescent="0.2">
      <c r="A203" s="12">
        <f t="shared" si="6"/>
        <v>191</v>
      </c>
      <c r="E203" s="10" t="str">
        <f t="shared" si="5"/>
        <v/>
      </c>
      <c r="I203" s="53"/>
      <c r="N203" s="8">
        <v>0</v>
      </c>
      <c r="Q203" s="1"/>
      <c r="R203" s="1"/>
      <c r="S203" s="1"/>
      <c r="T203" s="8"/>
      <c r="U203" s="8"/>
      <c r="V203" s="1"/>
      <c r="W203" s="1"/>
      <c r="X203" s="1"/>
      <c r="Z203" s="8"/>
    </row>
    <row r="204" spans="1:26" x14ac:dyDescent="0.2">
      <c r="A204" s="12">
        <f t="shared" si="6"/>
        <v>192</v>
      </c>
      <c r="E204" s="10" t="str">
        <f t="shared" si="5"/>
        <v/>
      </c>
      <c r="I204" s="53"/>
      <c r="N204" s="8">
        <v>0</v>
      </c>
      <c r="Q204" s="1"/>
      <c r="R204" s="1"/>
      <c r="S204" s="1"/>
      <c r="T204" s="8"/>
      <c r="U204" s="8"/>
      <c r="V204" s="1"/>
      <c r="W204" s="1"/>
      <c r="X204" s="1"/>
      <c r="Z204" s="8"/>
    </row>
    <row r="205" spans="1:26" x14ac:dyDescent="0.2">
      <c r="A205" s="12">
        <f t="shared" si="6"/>
        <v>193</v>
      </c>
      <c r="E205" s="10" t="str">
        <f t="shared" ref="E205:E268" si="7">IF($C$8&gt;=A205,$E$1&amp;" "&amp;A205,"")</f>
        <v/>
      </c>
      <c r="I205" s="53"/>
      <c r="N205" s="8">
        <v>0</v>
      </c>
      <c r="Q205" s="1"/>
      <c r="R205" s="1"/>
      <c r="S205" s="1"/>
      <c r="T205" s="8"/>
      <c r="U205" s="8"/>
      <c r="V205" s="1"/>
      <c r="W205" s="1"/>
      <c r="X205" s="1"/>
      <c r="Z205" s="8"/>
    </row>
    <row r="206" spans="1:26" x14ac:dyDescent="0.2">
      <c r="A206" s="12">
        <f t="shared" si="6"/>
        <v>194</v>
      </c>
      <c r="E206" s="10" t="str">
        <f t="shared" si="7"/>
        <v/>
      </c>
      <c r="I206" s="53"/>
      <c r="N206" s="8">
        <v>0</v>
      </c>
      <c r="Q206" s="1"/>
      <c r="R206" s="1"/>
      <c r="S206" s="1"/>
      <c r="T206" s="8"/>
      <c r="U206" s="8"/>
      <c r="V206" s="1"/>
      <c r="W206" s="1"/>
      <c r="X206" s="1"/>
      <c r="Z206" s="8"/>
    </row>
    <row r="207" spans="1:26" x14ac:dyDescent="0.2">
      <c r="A207" s="12">
        <f t="shared" ref="A207:A270" si="8">A206+1</f>
        <v>195</v>
      </c>
      <c r="E207" s="10" t="str">
        <f t="shared" si="7"/>
        <v/>
      </c>
      <c r="I207" s="53"/>
      <c r="N207" s="8">
        <v>0</v>
      </c>
      <c r="Q207" s="1"/>
      <c r="R207" s="1"/>
      <c r="S207" s="1"/>
      <c r="T207" s="8"/>
      <c r="U207" s="8"/>
      <c r="V207" s="1"/>
      <c r="W207" s="1"/>
      <c r="X207" s="1"/>
      <c r="Z207" s="8"/>
    </row>
    <row r="208" spans="1:26" x14ac:dyDescent="0.2">
      <c r="A208" s="12">
        <f t="shared" si="8"/>
        <v>196</v>
      </c>
      <c r="E208" s="10" t="str">
        <f t="shared" si="7"/>
        <v/>
      </c>
      <c r="I208" s="53"/>
      <c r="N208" s="8">
        <v>0</v>
      </c>
      <c r="Q208" s="1"/>
      <c r="R208" s="1"/>
      <c r="S208" s="1"/>
      <c r="T208" s="8"/>
      <c r="U208" s="8"/>
      <c r="V208" s="1"/>
      <c r="W208" s="1"/>
      <c r="X208" s="1"/>
      <c r="Z208" s="8"/>
    </row>
    <row r="209" spans="1:26" x14ac:dyDescent="0.2">
      <c r="A209" s="12">
        <f t="shared" si="8"/>
        <v>197</v>
      </c>
      <c r="E209" s="10" t="str">
        <f t="shared" si="7"/>
        <v/>
      </c>
      <c r="I209" s="53"/>
      <c r="N209" s="8">
        <v>0</v>
      </c>
      <c r="Q209" s="1"/>
      <c r="R209" s="1"/>
      <c r="S209" s="1"/>
      <c r="T209" s="8"/>
      <c r="U209" s="8"/>
      <c r="V209" s="1"/>
      <c r="W209" s="1"/>
      <c r="X209" s="1"/>
      <c r="Z209" s="8"/>
    </row>
    <row r="210" spans="1:26" x14ac:dyDescent="0.2">
      <c r="A210" s="12">
        <f t="shared" si="8"/>
        <v>198</v>
      </c>
      <c r="E210" s="10" t="str">
        <f t="shared" si="7"/>
        <v/>
      </c>
      <c r="I210" s="53"/>
      <c r="N210" s="8">
        <v>0</v>
      </c>
      <c r="Q210" s="1"/>
      <c r="R210" s="1"/>
      <c r="S210" s="1"/>
      <c r="T210" s="8"/>
      <c r="U210" s="8"/>
      <c r="V210" s="1"/>
      <c r="W210" s="1"/>
      <c r="X210" s="1"/>
      <c r="Z210" s="8"/>
    </row>
    <row r="211" spans="1:26" x14ac:dyDescent="0.2">
      <c r="A211" s="12">
        <f t="shared" si="8"/>
        <v>199</v>
      </c>
      <c r="E211" s="10" t="str">
        <f t="shared" si="7"/>
        <v/>
      </c>
      <c r="I211" s="53"/>
      <c r="N211" s="8">
        <v>0</v>
      </c>
      <c r="Q211" s="1"/>
      <c r="R211" s="1"/>
      <c r="S211" s="1"/>
      <c r="T211" s="8"/>
      <c r="U211" s="8"/>
      <c r="V211" s="1"/>
      <c r="W211" s="1"/>
      <c r="X211" s="1"/>
      <c r="Z211" s="8"/>
    </row>
    <row r="212" spans="1:26" x14ac:dyDescent="0.2">
      <c r="A212" s="12">
        <f t="shared" si="8"/>
        <v>200</v>
      </c>
      <c r="E212" s="10" t="str">
        <f t="shared" si="7"/>
        <v/>
      </c>
      <c r="I212" s="53"/>
      <c r="N212" s="8">
        <v>0</v>
      </c>
      <c r="Q212" s="1"/>
      <c r="R212" s="1"/>
      <c r="S212" s="1"/>
      <c r="T212" s="8"/>
      <c r="U212" s="8"/>
      <c r="V212" s="1"/>
      <c r="W212" s="1"/>
      <c r="X212" s="1"/>
      <c r="Z212" s="8"/>
    </row>
    <row r="213" spans="1:26" x14ac:dyDescent="0.2">
      <c r="A213" s="12">
        <f t="shared" si="8"/>
        <v>201</v>
      </c>
      <c r="E213" s="10" t="str">
        <f t="shared" si="7"/>
        <v/>
      </c>
      <c r="I213" s="53"/>
      <c r="N213" s="8">
        <v>0</v>
      </c>
      <c r="Q213" s="1"/>
      <c r="R213" s="1"/>
      <c r="S213" s="1"/>
      <c r="T213" s="8"/>
      <c r="U213" s="8"/>
      <c r="V213" s="1"/>
      <c r="W213" s="1"/>
      <c r="X213" s="1"/>
      <c r="Z213" s="8"/>
    </row>
    <row r="214" spans="1:26" x14ac:dyDescent="0.2">
      <c r="A214" s="12">
        <f t="shared" si="8"/>
        <v>202</v>
      </c>
      <c r="E214" s="10" t="str">
        <f t="shared" si="7"/>
        <v/>
      </c>
      <c r="I214" s="53"/>
      <c r="N214" s="8">
        <v>0</v>
      </c>
      <c r="Q214" s="1"/>
      <c r="R214" s="1"/>
      <c r="S214" s="1"/>
      <c r="T214" s="8"/>
      <c r="U214" s="8"/>
      <c r="V214" s="1"/>
      <c r="W214" s="1"/>
      <c r="X214" s="1"/>
      <c r="Z214" s="8"/>
    </row>
    <row r="215" spans="1:26" x14ac:dyDescent="0.2">
      <c r="A215" s="12">
        <f t="shared" si="8"/>
        <v>203</v>
      </c>
      <c r="E215" s="10" t="str">
        <f t="shared" si="7"/>
        <v/>
      </c>
      <c r="I215" s="53"/>
      <c r="N215" s="8">
        <v>0</v>
      </c>
      <c r="Q215" s="1"/>
      <c r="R215" s="1"/>
      <c r="S215" s="1"/>
      <c r="T215" s="8"/>
      <c r="U215" s="8"/>
      <c r="V215" s="1"/>
      <c r="W215" s="1"/>
      <c r="X215" s="1"/>
      <c r="Z215" s="8"/>
    </row>
    <row r="216" spans="1:26" x14ac:dyDescent="0.2">
      <c r="A216" s="12">
        <f t="shared" si="8"/>
        <v>204</v>
      </c>
      <c r="E216" s="10" t="str">
        <f t="shared" si="7"/>
        <v/>
      </c>
      <c r="I216" s="53"/>
      <c r="N216" s="8">
        <v>0</v>
      </c>
      <c r="Q216" s="1"/>
      <c r="R216" s="1"/>
      <c r="S216" s="1"/>
      <c r="T216" s="8"/>
      <c r="U216" s="8"/>
      <c r="V216" s="1"/>
      <c r="W216" s="1"/>
      <c r="X216" s="1"/>
      <c r="Z216" s="8"/>
    </row>
    <row r="217" spans="1:26" x14ac:dyDescent="0.2">
      <c r="A217" s="12">
        <f t="shared" si="8"/>
        <v>205</v>
      </c>
      <c r="E217" s="10" t="str">
        <f t="shared" si="7"/>
        <v/>
      </c>
      <c r="I217" s="53"/>
      <c r="N217" s="8">
        <v>0</v>
      </c>
      <c r="Q217" s="1"/>
      <c r="R217" s="1"/>
      <c r="S217" s="1"/>
      <c r="T217" s="8"/>
      <c r="U217" s="8"/>
      <c r="V217" s="1"/>
      <c r="W217" s="1"/>
      <c r="X217" s="1"/>
      <c r="Z217" s="8"/>
    </row>
    <row r="218" spans="1:26" x14ac:dyDescent="0.2">
      <c r="A218" s="12">
        <f t="shared" si="8"/>
        <v>206</v>
      </c>
      <c r="E218" s="10" t="str">
        <f t="shared" si="7"/>
        <v/>
      </c>
      <c r="I218" s="53"/>
      <c r="N218" s="8">
        <v>0</v>
      </c>
      <c r="Q218" s="1"/>
      <c r="R218" s="1"/>
      <c r="S218" s="1"/>
      <c r="T218" s="8"/>
      <c r="U218" s="8"/>
      <c r="V218" s="1"/>
      <c r="W218" s="1"/>
      <c r="X218" s="1"/>
      <c r="Z218" s="8"/>
    </row>
    <row r="219" spans="1:26" x14ac:dyDescent="0.2">
      <c r="A219" s="12">
        <f t="shared" si="8"/>
        <v>207</v>
      </c>
      <c r="E219" s="10" t="str">
        <f t="shared" si="7"/>
        <v/>
      </c>
      <c r="I219" s="53"/>
      <c r="N219" s="8">
        <v>0</v>
      </c>
      <c r="Q219" s="1"/>
      <c r="R219" s="1"/>
      <c r="S219" s="1"/>
      <c r="T219" s="8"/>
      <c r="U219" s="8"/>
      <c r="V219" s="1"/>
      <c r="W219" s="1"/>
      <c r="X219" s="1"/>
      <c r="Z219" s="8"/>
    </row>
    <row r="220" spans="1:26" x14ac:dyDescent="0.2">
      <c r="A220" s="12">
        <f t="shared" si="8"/>
        <v>208</v>
      </c>
      <c r="E220" s="10" t="str">
        <f t="shared" si="7"/>
        <v/>
      </c>
      <c r="I220" s="53"/>
      <c r="N220" s="8">
        <v>0</v>
      </c>
      <c r="Q220" s="1"/>
      <c r="R220" s="1"/>
      <c r="S220" s="1"/>
      <c r="T220" s="8"/>
      <c r="U220" s="8"/>
      <c r="V220" s="1"/>
      <c r="W220" s="1"/>
      <c r="X220" s="1"/>
      <c r="Z220" s="8"/>
    </row>
    <row r="221" spans="1:26" x14ac:dyDescent="0.2">
      <c r="A221" s="12">
        <f t="shared" si="8"/>
        <v>209</v>
      </c>
      <c r="E221" s="10" t="str">
        <f t="shared" si="7"/>
        <v/>
      </c>
      <c r="I221" s="53"/>
      <c r="N221" s="8">
        <v>0</v>
      </c>
      <c r="Q221" s="1"/>
      <c r="R221" s="1"/>
      <c r="S221" s="1"/>
      <c r="T221" s="8"/>
      <c r="U221" s="8"/>
      <c r="V221" s="1"/>
      <c r="W221" s="1"/>
      <c r="X221" s="1"/>
      <c r="Z221" s="8"/>
    </row>
    <row r="222" spans="1:26" x14ac:dyDescent="0.2">
      <c r="A222" s="12">
        <f t="shared" si="8"/>
        <v>210</v>
      </c>
      <c r="E222" s="10" t="str">
        <f t="shared" si="7"/>
        <v/>
      </c>
      <c r="I222" s="53"/>
      <c r="N222" s="8">
        <v>0</v>
      </c>
      <c r="Q222" s="1"/>
      <c r="R222" s="1"/>
      <c r="S222" s="1"/>
      <c r="T222" s="8"/>
      <c r="U222" s="8"/>
      <c r="V222" s="1"/>
      <c r="W222" s="1"/>
      <c r="X222" s="1"/>
      <c r="Z222" s="8"/>
    </row>
    <row r="223" spans="1:26" x14ac:dyDescent="0.2">
      <c r="A223" s="12">
        <f t="shared" si="8"/>
        <v>211</v>
      </c>
      <c r="E223" s="10" t="str">
        <f t="shared" si="7"/>
        <v/>
      </c>
      <c r="I223" s="53"/>
      <c r="N223" s="8">
        <v>0</v>
      </c>
      <c r="Q223" s="1"/>
      <c r="R223" s="1"/>
      <c r="S223" s="1"/>
      <c r="T223" s="8"/>
      <c r="U223" s="8"/>
      <c r="V223" s="1"/>
      <c r="W223" s="1"/>
      <c r="X223" s="1"/>
      <c r="Z223" s="8"/>
    </row>
    <row r="224" spans="1:26" x14ac:dyDescent="0.2">
      <c r="A224" s="12">
        <f t="shared" si="8"/>
        <v>212</v>
      </c>
      <c r="E224" s="10" t="str">
        <f t="shared" si="7"/>
        <v/>
      </c>
      <c r="I224" s="53"/>
      <c r="N224" s="8">
        <v>0</v>
      </c>
      <c r="Q224" s="1"/>
      <c r="R224" s="1"/>
      <c r="S224" s="1"/>
      <c r="T224" s="8"/>
      <c r="U224" s="8"/>
      <c r="V224" s="1"/>
      <c r="W224" s="1"/>
      <c r="X224" s="1"/>
      <c r="Z224" s="8"/>
    </row>
    <row r="225" spans="1:26" x14ac:dyDescent="0.2">
      <c r="A225" s="12">
        <f t="shared" si="8"/>
        <v>213</v>
      </c>
      <c r="E225" s="10" t="str">
        <f t="shared" si="7"/>
        <v/>
      </c>
      <c r="I225" s="53"/>
      <c r="N225" s="8">
        <v>0</v>
      </c>
      <c r="Q225" s="1"/>
      <c r="R225" s="1"/>
      <c r="S225" s="1"/>
      <c r="T225" s="8"/>
      <c r="U225" s="8"/>
      <c r="V225" s="1"/>
      <c r="W225" s="1"/>
      <c r="X225" s="1"/>
      <c r="Z225" s="8"/>
    </row>
    <row r="226" spans="1:26" x14ac:dyDescent="0.2">
      <c r="A226" s="12">
        <f t="shared" si="8"/>
        <v>214</v>
      </c>
      <c r="E226" s="10" t="str">
        <f t="shared" si="7"/>
        <v/>
      </c>
      <c r="I226" s="53"/>
      <c r="N226" s="8">
        <v>0</v>
      </c>
      <c r="Q226" s="1"/>
      <c r="R226" s="1"/>
      <c r="S226" s="1"/>
      <c r="T226" s="8"/>
      <c r="U226" s="8"/>
      <c r="V226" s="1"/>
      <c r="W226" s="1"/>
      <c r="X226" s="1"/>
      <c r="Z226" s="8"/>
    </row>
    <row r="227" spans="1:26" x14ac:dyDescent="0.2">
      <c r="A227" s="12">
        <f t="shared" si="8"/>
        <v>215</v>
      </c>
      <c r="E227" s="10" t="str">
        <f t="shared" si="7"/>
        <v/>
      </c>
      <c r="I227" s="53"/>
      <c r="N227" s="8">
        <v>0</v>
      </c>
      <c r="Q227" s="1"/>
      <c r="R227" s="1"/>
      <c r="S227" s="1"/>
      <c r="T227" s="8"/>
      <c r="U227" s="8"/>
      <c r="V227" s="1"/>
      <c r="W227" s="1"/>
      <c r="X227" s="1"/>
      <c r="Z227" s="8"/>
    </row>
    <row r="228" spans="1:26" x14ac:dyDescent="0.2">
      <c r="A228" s="12">
        <f t="shared" si="8"/>
        <v>216</v>
      </c>
      <c r="E228" s="10" t="str">
        <f t="shared" si="7"/>
        <v/>
      </c>
      <c r="I228" s="53"/>
      <c r="N228" s="8">
        <v>0</v>
      </c>
      <c r="Q228" s="1"/>
      <c r="R228" s="1"/>
      <c r="S228" s="1"/>
      <c r="T228" s="8"/>
      <c r="U228" s="8"/>
      <c r="V228" s="1"/>
      <c r="W228" s="1"/>
      <c r="X228" s="1"/>
      <c r="Z228" s="8"/>
    </row>
    <row r="229" spans="1:26" x14ac:dyDescent="0.2">
      <c r="A229" s="12">
        <f t="shared" si="8"/>
        <v>217</v>
      </c>
      <c r="E229" s="10" t="str">
        <f t="shared" si="7"/>
        <v/>
      </c>
      <c r="I229" s="53"/>
      <c r="N229" s="8">
        <v>0</v>
      </c>
      <c r="Q229" s="1"/>
      <c r="R229" s="1"/>
      <c r="S229" s="1"/>
      <c r="T229" s="8"/>
      <c r="U229" s="8"/>
      <c r="V229" s="1"/>
      <c r="W229" s="1"/>
      <c r="X229" s="1"/>
      <c r="Z229" s="8"/>
    </row>
    <row r="230" spans="1:26" x14ac:dyDescent="0.2">
      <c r="A230" s="12">
        <f t="shared" si="8"/>
        <v>218</v>
      </c>
      <c r="E230" s="10" t="str">
        <f t="shared" si="7"/>
        <v/>
      </c>
      <c r="I230" s="53"/>
      <c r="N230" s="8">
        <v>0</v>
      </c>
      <c r="Q230" s="1"/>
      <c r="R230" s="1"/>
      <c r="S230" s="1"/>
      <c r="T230" s="8"/>
      <c r="U230" s="8"/>
      <c r="V230" s="1"/>
      <c r="W230" s="1"/>
      <c r="X230" s="1"/>
      <c r="Z230" s="8"/>
    </row>
    <row r="231" spans="1:26" x14ac:dyDescent="0.2">
      <c r="A231" s="12">
        <f t="shared" si="8"/>
        <v>219</v>
      </c>
      <c r="E231" s="10" t="str">
        <f t="shared" si="7"/>
        <v/>
      </c>
      <c r="I231" s="53"/>
      <c r="N231" s="8">
        <v>0</v>
      </c>
      <c r="Q231" s="1"/>
      <c r="R231" s="1"/>
      <c r="S231" s="1"/>
      <c r="T231" s="8"/>
      <c r="U231" s="8"/>
      <c r="V231" s="1"/>
      <c r="W231" s="1"/>
      <c r="X231" s="1"/>
      <c r="Z231" s="8"/>
    </row>
    <row r="232" spans="1:26" x14ac:dyDescent="0.2">
      <c r="A232" s="12">
        <f t="shared" si="8"/>
        <v>220</v>
      </c>
      <c r="E232" s="10" t="str">
        <f t="shared" si="7"/>
        <v/>
      </c>
      <c r="I232" s="53"/>
      <c r="N232" s="8">
        <v>0</v>
      </c>
      <c r="Q232" s="1"/>
      <c r="R232" s="1"/>
      <c r="S232" s="1"/>
      <c r="T232" s="8"/>
      <c r="U232" s="8"/>
      <c r="V232" s="1"/>
      <c r="W232" s="1"/>
      <c r="X232" s="1"/>
      <c r="Z232" s="8"/>
    </row>
    <row r="233" spans="1:26" x14ac:dyDescent="0.2">
      <c r="A233" s="12">
        <f t="shared" si="8"/>
        <v>221</v>
      </c>
      <c r="E233" s="10" t="str">
        <f t="shared" si="7"/>
        <v/>
      </c>
      <c r="I233" s="53"/>
      <c r="N233" s="8">
        <v>0</v>
      </c>
      <c r="Q233" s="1"/>
      <c r="R233" s="1"/>
      <c r="S233" s="1"/>
      <c r="T233" s="8"/>
      <c r="U233" s="8"/>
      <c r="V233" s="1"/>
      <c r="W233" s="1"/>
      <c r="X233" s="1"/>
      <c r="Z233" s="8"/>
    </row>
    <row r="234" spans="1:26" x14ac:dyDescent="0.2">
      <c r="A234" s="12">
        <f t="shared" si="8"/>
        <v>222</v>
      </c>
      <c r="E234" s="10" t="str">
        <f t="shared" si="7"/>
        <v/>
      </c>
      <c r="I234" s="53"/>
      <c r="N234" s="8">
        <v>0</v>
      </c>
      <c r="Q234" s="1"/>
      <c r="R234" s="1"/>
      <c r="S234" s="1"/>
      <c r="T234" s="8"/>
      <c r="U234" s="8"/>
      <c r="V234" s="1"/>
      <c r="W234" s="1"/>
      <c r="X234" s="1"/>
      <c r="Z234" s="8"/>
    </row>
    <row r="235" spans="1:26" x14ac:dyDescent="0.2">
      <c r="A235" s="12">
        <f t="shared" si="8"/>
        <v>223</v>
      </c>
      <c r="E235" s="10" t="str">
        <f t="shared" si="7"/>
        <v/>
      </c>
      <c r="I235" s="53"/>
      <c r="N235" s="8">
        <v>0</v>
      </c>
      <c r="Q235" s="1"/>
      <c r="R235" s="1"/>
      <c r="S235" s="1"/>
      <c r="T235" s="8"/>
      <c r="U235" s="8"/>
      <c r="V235" s="1"/>
      <c r="W235" s="1"/>
      <c r="X235" s="1"/>
      <c r="Z235" s="8"/>
    </row>
    <row r="236" spans="1:26" x14ac:dyDescent="0.2">
      <c r="A236" s="12">
        <f t="shared" si="8"/>
        <v>224</v>
      </c>
      <c r="E236" s="10" t="str">
        <f t="shared" si="7"/>
        <v/>
      </c>
      <c r="I236" s="53"/>
      <c r="N236" s="8">
        <v>0</v>
      </c>
      <c r="Q236" s="1"/>
      <c r="R236" s="1"/>
      <c r="S236" s="1"/>
      <c r="T236" s="8"/>
      <c r="U236" s="8"/>
      <c r="V236" s="1"/>
      <c r="W236" s="1"/>
      <c r="X236" s="1"/>
      <c r="Z236" s="8"/>
    </row>
    <row r="237" spans="1:26" x14ac:dyDescent="0.2">
      <c r="A237" s="12">
        <f t="shared" si="8"/>
        <v>225</v>
      </c>
      <c r="E237" s="10" t="str">
        <f t="shared" si="7"/>
        <v/>
      </c>
      <c r="I237" s="53"/>
      <c r="N237" s="8">
        <v>0</v>
      </c>
      <c r="Q237" s="1"/>
      <c r="R237" s="1"/>
      <c r="S237" s="1"/>
      <c r="T237" s="8"/>
      <c r="U237" s="8"/>
      <c r="V237" s="1"/>
      <c r="W237" s="1"/>
      <c r="X237" s="1"/>
      <c r="Z237" s="8"/>
    </row>
    <row r="238" spans="1:26" x14ac:dyDescent="0.2">
      <c r="A238" s="12">
        <f t="shared" si="8"/>
        <v>226</v>
      </c>
      <c r="E238" s="10" t="str">
        <f t="shared" si="7"/>
        <v/>
      </c>
      <c r="I238" s="53"/>
      <c r="N238" s="8">
        <v>0</v>
      </c>
      <c r="Q238" s="1"/>
      <c r="R238" s="1"/>
      <c r="S238" s="1"/>
      <c r="T238" s="8"/>
      <c r="U238" s="8"/>
      <c r="V238" s="1"/>
      <c r="W238" s="1"/>
      <c r="X238" s="1"/>
      <c r="Z238" s="8"/>
    </row>
    <row r="239" spans="1:26" x14ac:dyDescent="0.2">
      <c r="A239" s="12">
        <f t="shared" si="8"/>
        <v>227</v>
      </c>
      <c r="E239" s="10" t="str">
        <f t="shared" si="7"/>
        <v/>
      </c>
      <c r="I239" s="53"/>
      <c r="N239" s="8">
        <v>0</v>
      </c>
      <c r="Q239" s="1"/>
      <c r="R239" s="1"/>
      <c r="S239" s="1"/>
      <c r="T239" s="8"/>
      <c r="U239" s="8"/>
      <c r="V239" s="1"/>
      <c r="W239" s="1"/>
      <c r="X239" s="1"/>
      <c r="Z239" s="8"/>
    </row>
    <row r="240" spans="1:26" x14ac:dyDescent="0.2">
      <c r="A240" s="12">
        <f t="shared" si="8"/>
        <v>228</v>
      </c>
      <c r="E240" s="10" t="str">
        <f t="shared" si="7"/>
        <v/>
      </c>
      <c r="I240" s="53"/>
      <c r="N240" s="8">
        <v>0</v>
      </c>
      <c r="Q240" s="1"/>
      <c r="R240" s="1"/>
      <c r="S240" s="1"/>
      <c r="T240" s="8"/>
      <c r="U240" s="8"/>
      <c r="V240" s="1"/>
      <c r="W240" s="1"/>
      <c r="X240" s="1"/>
      <c r="Z240" s="8"/>
    </row>
    <row r="241" spans="1:26" x14ac:dyDescent="0.2">
      <c r="A241" s="12">
        <f t="shared" si="8"/>
        <v>229</v>
      </c>
      <c r="E241" s="10" t="str">
        <f t="shared" si="7"/>
        <v/>
      </c>
      <c r="I241" s="53"/>
      <c r="N241" s="8">
        <v>0</v>
      </c>
      <c r="Q241" s="1"/>
      <c r="R241" s="1"/>
      <c r="S241" s="1"/>
      <c r="T241" s="8"/>
      <c r="U241" s="8"/>
      <c r="V241" s="1"/>
      <c r="W241" s="1"/>
      <c r="X241" s="1"/>
      <c r="Z241" s="8"/>
    </row>
    <row r="242" spans="1:26" x14ac:dyDescent="0.2">
      <c r="A242" s="12">
        <f t="shared" si="8"/>
        <v>230</v>
      </c>
      <c r="E242" s="10" t="str">
        <f t="shared" si="7"/>
        <v/>
      </c>
      <c r="I242" s="53"/>
      <c r="N242" s="8">
        <v>0</v>
      </c>
      <c r="Q242" s="1"/>
      <c r="R242" s="1"/>
      <c r="S242" s="1"/>
      <c r="T242" s="8"/>
      <c r="U242" s="8"/>
      <c r="V242" s="1"/>
      <c r="W242" s="1"/>
      <c r="X242" s="1"/>
      <c r="Z242" s="8"/>
    </row>
    <row r="243" spans="1:26" x14ac:dyDescent="0.2">
      <c r="A243" s="12">
        <f t="shared" si="8"/>
        <v>231</v>
      </c>
      <c r="E243" s="10" t="str">
        <f t="shared" si="7"/>
        <v/>
      </c>
      <c r="I243" s="53"/>
      <c r="N243" s="8">
        <v>0</v>
      </c>
      <c r="Q243" s="1"/>
      <c r="R243" s="1"/>
      <c r="S243" s="1"/>
      <c r="T243" s="8"/>
      <c r="U243" s="8"/>
      <c r="V243" s="1"/>
      <c r="W243" s="1"/>
      <c r="X243" s="1"/>
      <c r="Z243" s="8"/>
    </row>
    <row r="244" spans="1:26" x14ac:dyDescent="0.2">
      <c r="A244" s="12">
        <f t="shared" si="8"/>
        <v>232</v>
      </c>
      <c r="E244" s="10" t="str">
        <f t="shared" si="7"/>
        <v/>
      </c>
      <c r="I244" s="53"/>
      <c r="N244" s="8">
        <v>0</v>
      </c>
      <c r="Q244" s="1"/>
      <c r="R244" s="1"/>
      <c r="S244" s="1"/>
      <c r="T244" s="8"/>
      <c r="U244" s="8"/>
      <c r="V244" s="1"/>
      <c r="W244" s="1"/>
      <c r="X244" s="1"/>
      <c r="Z244" s="8"/>
    </row>
    <row r="245" spans="1:26" x14ac:dyDescent="0.2">
      <c r="A245" s="12">
        <f t="shared" si="8"/>
        <v>233</v>
      </c>
      <c r="E245" s="10" t="str">
        <f t="shared" si="7"/>
        <v/>
      </c>
      <c r="I245" s="53"/>
      <c r="N245" s="8">
        <v>0</v>
      </c>
      <c r="Q245" s="1"/>
      <c r="R245" s="1"/>
      <c r="S245" s="1"/>
      <c r="T245" s="8"/>
      <c r="U245" s="8"/>
      <c r="V245" s="1"/>
      <c r="W245" s="1"/>
      <c r="X245" s="1"/>
      <c r="Z245" s="8"/>
    </row>
    <row r="246" spans="1:26" x14ac:dyDescent="0.2">
      <c r="A246" s="12">
        <f t="shared" si="8"/>
        <v>234</v>
      </c>
      <c r="E246" s="10" t="str">
        <f t="shared" si="7"/>
        <v/>
      </c>
      <c r="I246" s="53"/>
      <c r="N246" s="8">
        <v>0</v>
      </c>
      <c r="Q246" s="1"/>
      <c r="R246" s="1"/>
      <c r="S246" s="1"/>
      <c r="T246" s="8"/>
      <c r="U246" s="8"/>
      <c r="V246" s="1"/>
      <c r="W246" s="1"/>
      <c r="X246" s="1"/>
      <c r="Z246" s="8"/>
    </row>
    <row r="247" spans="1:26" x14ac:dyDescent="0.2">
      <c r="A247" s="12">
        <f t="shared" si="8"/>
        <v>235</v>
      </c>
      <c r="E247" s="10" t="str">
        <f t="shared" si="7"/>
        <v/>
      </c>
      <c r="I247" s="53"/>
      <c r="N247" s="8">
        <v>0</v>
      </c>
      <c r="Q247" s="1"/>
      <c r="R247" s="1"/>
      <c r="S247" s="1"/>
      <c r="T247" s="8"/>
      <c r="U247" s="8"/>
      <c r="V247" s="1"/>
      <c r="W247" s="1"/>
      <c r="X247" s="1"/>
      <c r="Z247" s="8"/>
    </row>
    <row r="248" spans="1:26" x14ac:dyDescent="0.2">
      <c r="A248" s="12">
        <f t="shared" si="8"/>
        <v>236</v>
      </c>
      <c r="E248" s="10" t="str">
        <f t="shared" si="7"/>
        <v/>
      </c>
      <c r="I248" s="53"/>
      <c r="N248" s="8">
        <v>0</v>
      </c>
      <c r="Q248" s="1"/>
      <c r="R248" s="1"/>
      <c r="S248" s="1"/>
      <c r="T248" s="8"/>
      <c r="U248" s="8"/>
      <c r="V248" s="1"/>
      <c r="W248" s="1"/>
      <c r="X248" s="1"/>
      <c r="Z248" s="8"/>
    </row>
    <row r="249" spans="1:26" x14ac:dyDescent="0.2">
      <c r="A249" s="12">
        <f t="shared" si="8"/>
        <v>237</v>
      </c>
      <c r="E249" s="10" t="str">
        <f t="shared" si="7"/>
        <v/>
      </c>
      <c r="I249" s="53"/>
      <c r="N249" s="8">
        <v>0</v>
      </c>
      <c r="Q249" s="1"/>
      <c r="R249" s="1"/>
      <c r="S249" s="1"/>
      <c r="T249" s="8"/>
      <c r="U249" s="8"/>
      <c r="V249" s="1"/>
      <c r="W249" s="1"/>
      <c r="X249" s="1"/>
      <c r="Z249" s="8"/>
    </row>
    <row r="250" spans="1:26" x14ac:dyDescent="0.2">
      <c r="A250" s="12">
        <f t="shared" si="8"/>
        <v>238</v>
      </c>
      <c r="E250" s="10" t="str">
        <f t="shared" si="7"/>
        <v/>
      </c>
      <c r="I250" s="53"/>
      <c r="N250" s="8">
        <v>0</v>
      </c>
      <c r="Q250" s="1"/>
      <c r="R250" s="1"/>
      <c r="S250" s="1"/>
      <c r="T250" s="8"/>
      <c r="U250" s="8"/>
      <c r="V250" s="1"/>
      <c r="W250" s="1"/>
      <c r="X250" s="1"/>
      <c r="Z250" s="8"/>
    </row>
    <row r="251" spans="1:26" x14ac:dyDescent="0.2">
      <c r="A251" s="12">
        <f t="shared" si="8"/>
        <v>239</v>
      </c>
      <c r="E251" s="10" t="str">
        <f t="shared" si="7"/>
        <v/>
      </c>
      <c r="I251" s="53"/>
      <c r="N251" s="8">
        <v>0</v>
      </c>
      <c r="Q251" s="1"/>
      <c r="R251" s="1"/>
      <c r="S251" s="1"/>
      <c r="T251" s="8"/>
      <c r="U251" s="8"/>
      <c r="V251" s="1"/>
      <c r="W251" s="1"/>
      <c r="X251" s="1"/>
      <c r="Z251" s="8"/>
    </row>
    <row r="252" spans="1:26" x14ac:dyDescent="0.2">
      <c r="A252" s="12">
        <f t="shared" si="8"/>
        <v>240</v>
      </c>
      <c r="E252" s="10" t="str">
        <f t="shared" si="7"/>
        <v/>
      </c>
      <c r="I252" s="53"/>
      <c r="N252" s="8">
        <v>0</v>
      </c>
      <c r="Q252" s="1"/>
      <c r="R252" s="1"/>
      <c r="S252" s="1"/>
      <c r="T252" s="8"/>
      <c r="U252" s="8"/>
      <c r="V252" s="1"/>
      <c r="W252" s="1"/>
      <c r="X252" s="1"/>
      <c r="Z252" s="8"/>
    </row>
    <row r="253" spans="1:26" x14ac:dyDescent="0.2">
      <c r="A253" s="12">
        <f t="shared" si="8"/>
        <v>241</v>
      </c>
      <c r="E253" s="10" t="str">
        <f t="shared" si="7"/>
        <v/>
      </c>
      <c r="I253" s="53"/>
      <c r="N253" s="8">
        <v>0</v>
      </c>
      <c r="Q253" s="1"/>
      <c r="R253" s="1"/>
      <c r="S253" s="1"/>
      <c r="T253" s="8"/>
      <c r="U253" s="8"/>
      <c r="V253" s="1"/>
      <c r="W253" s="1"/>
      <c r="X253" s="1"/>
      <c r="Z253" s="8"/>
    </row>
    <row r="254" spans="1:26" x14ac:dyDescent="0.2">
      <c r="A254" s="12">
        <f t="shared" si="8"/>
        <v>242</v>
      </c>
      <c r="E254" s="10" t="str">
        <f t="shared" si="7"/>
        <v/>
      </c>
      <c r="I254" s="53"/>
      <c r="N254" s="8">
        <v>0</v>
      </c>
      <c r="Q254" s="1"/>
      <c r="R254" s="1"/>
      <c r="S254" s="1"/>
      <c r="T254" s="8"/>
      <c r="U254" s="8"/>
      <c r="V254" s="1"/>
      <c r="W254" s="1"/>
      <c r="X254" s="1"/>
      <c r="Z254" s="8"/>
    </row>
    <row r="255" spans="1:26" x14ac:dyDescent="0.2">
      <c r="A255" s="12">
        <f t="shared" si="8"/>
        <v>243</v>
      </c>
      <c r="E255" s="10" t="str">
        <f t="shared" si="7"/>
        <v/>
      </c>
      <c r="I255" s="53"/>
      <c r="N255" s="8">
        <v>0</v>
      </c>
      <c r="Q255" s="1"/>
      <c r="R255" s="1"/>
      <c r="S255" s="1"/>
      <c r="T255" s="8"/>
      <c r="U255" s="8"/>
      <c r="V255" s="1"/>
      <c r="W255" s="1"/>
      <c r="X255" s="1"/>
      <c r="Z255" s="8"/>
    </row>
    <row r="256" spans="1:26" x14ac:dyDescent="0.2">
      <c r="A256" s="12">
        <f t="shared" si="8"/>
        <v>244</v>
      </c>
      <c r="E256" s="10" t="str">
        <f t="shared" si="7"/>
        <v/>
      </c>
      <c r="I256" s="53"/>
      <c r="N256" s="8">
        <v>0</v>
      </c>
      <c r="Q256" s="1"/>
      <c r="R256" s="1"/>
      <c r="S256" s="1"/>
      <c r="T256" s="8"/>
      <c r="U256" s="8"/>
      <c r="V256" s="1"/>
      <c r="W256" s="1"/>
      <c r="X256" s="1"/>
      <c r="Z256" s="8"/>
    </row>
    <row r="257" spans="1:26" x14ac:dyDescent="0.2">
      <c r="A257" s="12">
        <f t="shared" si="8"/>
        <v>245</v>
      </c>
      <c r="E257" s="10" t="str">
        <f t="shared" si="7"/>
        <v/>
      </c>
      <c r="I257" s="53"/>
      <c r="N257" s="8">
        <v>0</v>
      </c>
      <c r="Q257" s="1"/>
      <c r="R257" s="1"/>
      <c r="S257" s="1"/>
      <c r="T257" s="8"/>
      <c r="U257" s="8"/>
      <c r="V257" s="1"/>
      <c r="W257" s="1"/>
      <c r="X257" s="1"/>
      <c r="Z257" s="8"/>
    </row>
    <row r="258" spans="1:26" x14ac:dyDescent="0.2">
      <c r="A258" s="12">
        <f t="shared" si="8"/>
        <v>246</v>
      </c>
      <c r="E258" s="10" t="str">
        <f t="shared" si="7"/>
        <v/>
      </c>
      <c r="I258" s="53"/>
      <c r="N258" s="8">
        <v>0</v>
      </c>
      <c r="Q258" s="1"/>
      <c r="R258" s="1"/>
      <c r="S258" s="1"/>
      <c r="T258" s="8"/>
      <c r="U258" s="8"/>
      <c r="V258" s="1"/>
      <c r="W258" s="1"/>
      <c r="X258" s="1"/>
      <c r="Z258" s="8"/>
    </row>
    <row r="259" spans="1:26" x14ac:dyDescent="0.2">
      <c r="A259" s="12">
        <f t="shared" si="8"/>
        <v>247</v>
      </c>
      <c r="E259" s="10" t="str">
        <f t="shared" si="7"/>
        <v/>
      </c>
      <c r="I259" s="53"/>
      <c r="N259" s="8">
        <v>0</v>
      </c>
      <c r="Q259" s="1"/>
      <c r="R259" s="1"/>
      <c r="S259" s="1"/>
      <c r="T259" s="8"/>
      <c r="U259" s="8"/>
      <c r="V259" s="1"/>
      <c r="W259" s="1"/>
      <c r="X259" s="1"/>
      <c r="Z259" s="8"/>
    </row>
    <row r="260" spans="1:26" x14ac:dyDescent="0.2">
      <c r="A260" s="12">
        <f t="shared" si="8"/>
        <v>248</v>
      </c>
      <c r="E260" s="10" t="str">
        <f t="shared" si="7"/>
        <v/>
      </c>
      <c r="I260" s="53"/>
      <c r="N260" s="8">
        <v>0</v>
      </c>
      <c r="Q260" s="1"/>
      <c r="R260" s="1"/>
      <c r="S260" s="1"/>
      <c r="T260" s="8"/>
      <c r="U260" s="8"/>
      <c r="V260" s="1"/>
      <c r="W260" s="1"/>
      <c r="X260" s="1"/>
      <c r="Z260" s="8"/>
    </row>
    <row r="261" spans="1:26" x14ac:dyDescent="0.2">
      <c r="A261" s="12">
        <f t="shared" si="8"/>
        <v>249</v>
      </c>
      <c r="E261" s="10" t="str">
        <f t="shared" si="7"/>
        <v/>
      </c>
      <c r="I261" s="53"/>
      <c r="N261" s="8">
        <v>0</v>
      </c>
      <c r="Q261" s="1"/>
      <c r="R261" s="1"/>
      <c r="S261" s="1"/>
      <c r="T261" s="8"/>
      <c r="U261" s="8"/>
      <c r="V261" s="1"/>
      <c r="W261" s="1"/>
      <c r="X261" s="1"/>
      <c r="Z261" s="8"/>
    </row>
    <row r="262" spans="1:26" x14ac:dyDescent="0.2">
      <c r="A262" s="12">
        <f t="shared" si="8"/>
        <v>250</v>
      </c>
      <c r="E262" s="10" t="str">
        <f t="shared" si="7"/>
        <v/>
      </c>
      <c r="I262" s="53"/>
      <c r="N262" s="8">
        <v>0</v>
      </c>
      <c r="Q262" s="1"/>
      <c r="R262" s="1"/>
      <c r="S262" s="1"/>
      <c r="T262" s="8"/>
      <c r="U262" s="8"/>
      <c r="V262" s="1"/>
      <c r="W262" s="1"/>
      <c r="X262" s="1"/>
      <c r="Z262" s="8"/>
    </row>
    <row r="263" spans="1:26" x14ac:dyDescent="0.2">
      <c r="A263" s="12">
        <f t="shared" si="8"/>
        <v>251</v>
      </c>
      <c r="E263" s="10" t="str">
        <f t="shared" si="7"/>
        <v/>
      </c>
      <c r="I263" s="53"/>
      <c r="N263" s="8">
        <v>0</v>
      </c>
      <c r="Q263" s="1"/>
      <c r="R263" s="1"/>
      <c r="S263" s="1"/>
      <c r="T263" s="8"/>
      <c r="U263" s="8"/>
      <c r="V263" s="1"/>
      <c r="W263" s="1"/>
      <c r="X263" s="1"/>
      <c r="Z263" s="8"/>
    </row>
    <row r="264" spans="1:26" x14ac:dyDescent="0.2">
      <c r="A264" s="12">
        <f t="shared" si="8"/>
        <v>252</v>
      </c>
      <c r="E264" s="10" t="str">
        <f t="shared" si="7"/>
        <v/>
      </c>
      <c r="I264" s="53"/>
      <c r="N264" s="8">
        <v>0</v>
      </c>
      <c r="Q264" s="1"/>
      <c r="R264" s="1"/>
      <c r="S264" s="1"/>
      <c r="T264" s="8"/>
      <c r="U264" s="8"/>
      <c r="V264" s="1"/>
      <c r="W264" s="1"/>
      <c r="X264" s="1"/>
      <c r="Z264" s="8"/>
    </row>
    <row r="265" spans="1:26" x14ac:dyDescent="0.2">
      <c r="A265" s="12">
        <f t="shared" si="8"/>
        <v>253</v>
      </c>
      <c r="E265" s="10" t="str">
        <f t="shared" si="7"/>
        <v/>
      </c>
      <c r="I265" s="53"/>
      <c r="N265" s="8">
        <v>0</v>
      </c>
      <c r="Q265" s="1"/>
      <c r="R265" s="1"/>
      <c r="S265" s="1"/>
      <c r="T265" s="8"/>
      <c r="U265" s="8"/>
      <c r="V265" s="1"/>
      <c r="W265" s="1"/>
      <c r="X265" s="1"/>
      <c r="Z265" s="8"/>
    </row>
    <row r="266" spans="1:26" x14ac:dyDescent="0.2">
      <c r="A266" s="12">
        <f t="shared" si="8"/>
        <v>254</v>
      </c>
      <c r="E266" s="10" t="str">
        <f t="shared" si="7"/>
        <v/>
      </c>
      <c r="I266" s="53"/>
      <c r="N266" s="8">
        <v>0</v>
      </c>
      <c r="Q266" s="1"/>
      <c r="R266" s="1"/>
      <c r="S266" s="1"/>
      <c r="T266" s="8"/>
      <c r="U266" s="8"/>
      <c r="V266" s="1"/>
      <c r="W266" s="1"/>
      <c r="X266" s="1"/>
      <c r="Z266" s="8"/>
    </row>
    <row r="267" spans="1:26" x14ac:dyDescent="0.2">
      <c r="A267" s="12">
        <f t="shared" si="8"/>
        <v>255</v>
      </c>
      <c r="E267" s="10" t="str">
        <f t="shared" si="7"/>
        <v/>
      </c>
      <c r="I267" s="53"/>
      <c r="N267" s="8">
        <v>0</v>
      </c>
      <c r="Q267" s="1"/>
      <c r="R267" s="1"/>
      <c r="S267" s="1"/>
      <c r="T267" s="8"/>
      <c r="U267" s="8"/>
      <c r="V267" s="1"/>
      <c r="W267" s="1"/>
      <c r="X267" s="1"/>
      <c r="Z267" s="8"/>
    </row>
    <row r="268" spans="1:26" x14ac:dyDescent="0.2">
      <c r="A268" s="12">
        <f t="shared" si="8"/>
        <v>256</v>
      </c>
      <c r="E268" s="10" t="str">
        <f t="shared" si="7"/>
        <v/>
      </c>
      <c r="I268" s="53"/>
      <c r="N268" s="8">
        <v>0</v>
      </c>
      <c r="Q268" s="1"/>
      <c r="R268" s="1"/>
      <c r="S268" s="1"/>
      <c r="T268" s="8"/>
      <c r="U268" s="8"/>
      <c r="V268" s="1"/>
      <c r="W268" s="1"/>
      <c r="X268" s="1"/>
      <c r="Z268" s="8"/>
    </row>
    <row r="269" spans="1:26" x14ac:dyDescent="0.2">
      <c r="A269" s="12">
        <f t="shared" si="8"/>
        <v>257</v>
      </c>
      <c r="E269" s="10" t="str">
        <f t="shared" ref="E269:E332" si="9">IF($C$8&gt;=A269,$E$1&amp;" "&amp;A269,"")</f>
        <v/>
      </c>
      <c r="I269" s="53"/>
      <c r="N269" s="8">
        <v>0</v>
      </c>
      <c r="Q269" s="1"/>
      <c r="R269" s="1"/>
      <c r="S269" s="1"/>
      <c r="T269" s="8"/>
      <c r="U269" s="8"/>
      <c r="V269" s="1"/>
      <c r="W269" s="1"/>
      <c r="X269" s="1"/>
      <c r="Z269" s="8"/>
    </row>
    <row r="270" spans="1:26" x14ac:dyDescent="0.2">
      <c r="A270" s="12">
        <f t="shared" si="8"/>
        <v>258</v>
      </c>
      <c r="E270" s="10" t="str">
        <f t="shared" si="9"/>
        <v/>
      </c>
      <c r="I270" s="53"/>
      <c r="N270" s="8">
        <v>0</v>
      </c>
      <c r="Q270" s="1"/>
      <c r="R270" s="1"/>
      <c r="S270" s="1"/>
      <c r="T270" s="8"/>
      <c r="U270" s="8"/>
      <c r="V270" s="1"/>
      <c r="W270" s="1"/>
      <c r="X270" s="1"/>
      <c r="Z270" s="8"/>
    </row>
    <row r="271" spans="1:26" x14ac:dyDescent="0.2">
      <c r="A271" s="12">
        <f t="shared" ref="A271:A334" si="10">A270+1</f>
        <v>259</v>
      </c>
      <c r="E271" s="10" t="str">
        <f t="shared" si="9"/>
        <v/>
      </c>
      <c r="I271" s="53"/>
      <c r="N271" s="8">
        <v>0</v>
      </c>
      <c r="Q271" s="1"/>
      <c r="R271" s="1"/>
      <c r="S271" s="1"/>
      <c r="T271" s="8"/>
      <c r="U271" s="8"/>
      <c r="V271" s="1"/>
      <c r="W271" s="1"/>
      <c r="X271" s="1"/>
      <c r="Z271" s="8"/>
    </row>
    <row r="272" spans="1:26" x14ac:dyDescent="0.2">
      <c r="A272" s="12">
        <f t="shared" si="10"/>
        <v>260</v>
      </c>
      <c r="E272" s="10" t="str">
        <f t="shared" si="9"/>
        <v/>
      </c>
      <c r="I272" s="53"/>
      <c r="N272" s="8">
        <v>0</v>
      </c>
      <c r="Q272" s="1"/>
      <c r="R272" s="1"/>
      <c r="S272" s="1"/>
      <c r="T272" s="8"/>
      <c r="U272" s="8"/>
      <c r="V272" s="1"/>
      <c r="W272" s="1"/>
      <c r="X272" s="1"/>
      <c r="Z272" s="8"/>
    </row>
    <row r="273" spans="1:26" x14ac:dyDescent="0.2">
      <c r="A273" s="12">
        <f t="shared" si="10"/>
        <v>261</v>
      </c>
      <c r="E273" s="10" t="str">
        <f t="shared" si="9"/>
        <v/>
      </c>
      <c r="I273" s="53"/>
      <c r="N273" s="8">
        <v>0</v>
      </c>
      <c r="Q273" s="1"/>
      <c r="R273" s="1"/>
      <c r="S273" s="1"/>
      <c r="T273" s="8"/>
      <c r="U273" s="8"/>
      <c r="V273" s="1"/>
      <c r="W273" s="1"/>
      <c r="X273" s="1"/>
      <c r="Z273" s="8"/>
    </row>
    <row r="274" spans="1:26" x14ac:dyDescent="0.2">
      <c r="A274" s="12">
        <f t="shared" si="10"/>
        <v>262</v>
      </c>
      <c r="E274" s="10" t="str">
        <f t="shared" si="9"/>
        <v/>
      </c>
      <c r="I274" s="53"/>
      <c r="N274" s="8">
        <v>0</v>
      </c>
      <c r="Q274" s="1"/>
      <c r="R274" s="1"/>
      <c r="S274" s="1"/>
      <c r="T274" s="8"/>
      <c r="U274" s="8"/>
      <c r="V274" s="1"/>
      <c r="W274" s="1"/>
      <c r="X274" s="1"/>
      <c r="Z274" s="8"/>
    </row>
    <row r="275" spans="1:26" x14ac:dyDescent="0.2">
      <c r="A275" s="12">
        <f t="shared" si="10"/>
        <v>263</v>
      </c>
      <c r="E275" s="10" t="str">
        <f t="shared" si="9"/>
        <v/>
      </c>
      <c r="I275" s="53"/>
      <c r="N275" s="8">
        <v>0</v>
      </c>
      <c r="Q275" s="1"/>
      <c r="R275" s="1"/>
      <c r="S275" s="1"/>
      <c r="T275" s="8"/>
      <c r="U275" s="8"/>
      <c r="V275" s="1"/>
      <c r="W275" s="1"/>
      <c r="X275" s="1"/>
      <c r="Z275" s="8"/>
    </row>
    <row r="276" spans="1:26" x14ac:dyDescent="0.2">
      <c r="A276" s="12">
        <f t="shared" si="10"/>
        <v>264</v>
      </c>
      <c r="E276" s="10" t="str">
        <f t="shared" si="9"/>
        <v/>
      </c>
      <c r="I276" s="53"/>
      <c r="N276" s="8">
        <v>0</v>
      </c>
      <c r="Q276" s="1"/>
      <c r="R276" s="1"/>
      <c r="S276" s="1"/>
      <c r="T276" s="8"/>
      <c r="U276" s="8"/>
      <c r="V276" s="1"/>
      <c r="W276" s="1"/>
      <c r="X276" s="1"/>
      <c r="Z276" s="8"/>
    </row>
    <row r="277" spans="1:26" x14ac:dyDescent="0.2">
      <c r="A277" s="12">
        <f t="shared" si="10"/>
        <v>265</v>
      </c>
      <c r="E277" s="10" t="str">
        <f t="shared" si="9"/>
        <v/>
      </c>
      <c r="I277" s="53"/>
      <c r="N277" s="8">
        <v>0</v>
      </c>
      <c r="Q277" s="1"/>
      <c r="R277" s="1"/>
      <c r="S277" s="1"/>
      <c r="T277" s="8"/>
      <c r="U277" s="8"/>
      <c r="V277" s="1"/>
      <c r="W277" s="1"/>
      <c r="X277" s="1"/>
      <c r="Z277" s="8"/>
    </row>
    <row r="278" spans="1:26" x14ac:dyDescent="0.2">
      <c r="A278" s="12">
        <f t="shared" si="10"/>
        <v>266</v>
      </c>
      <c r="E278" s="10" t="str">
        <f t="shared" si="9"/>
        <v/>
      </c>
      <c r="I278" s="53"/>
      <c r="N278" s="8">
        <v>0</v>
      </c>
      <c r="Q278" s="1"/>
      <c r="R278" s="1"/>
      <c r="S278" s="1"/>
      <c r="T278" s="8"/>
      <c r="U278" s="8"/>
      <c r="V278" s="1"/>
      <c r="W278" s="1"/>
      <c r="X278" s="1"/>
      <c r="Z278" s="8"/>
    </row>
    <row r="279" spans="1:26" x14ac:dyDescent="0.2">
      <c r="A279" s="12">
        <f t="shared" si="10"/>
        <v>267</v>
      </c>
      <c r="E279" s="10" t="str">
        <f t="shared" si="9"/>
        <v/>
      </c>
      <c r="I279" s="53"/>
      <c r="N279" s="8">
        <v>0</v>
      </c>
      <c r="Q279" s="1"/>
      <c r="R279" s="1"/>
      <c r="S279" s="1"/>
      <c r="T279" s="8"/>
      <c r="U279" s="8"/>
      <c r="V279" s="1"/>
      <c r="W279" s="1"/>
      <c r="X279" s="1"/>
      <c r="Z279" s="8"/>
    </row>
    <row r="280" spans="1:26" x14ac:dyDescent="0.2">
      <c r="A280" s="12">
        <f t="shared" si="10"/>
        <v>268</v>
      </c>
      <c r="E280" s="10" t="str">
        <f t="shared" si="9"/>
        <v/>
      </c>
      <c r="I280" s="53"/>
      <c r="N280" s="8">
        <v>0</v>
      </c>
      <c r="Q280" s="1"/>
      <c r="R280" s="1"/>
      <c r="S280" s="1"/>
      <c r="T280" s="8"/>
      <c r="U280" s="8"/>
      <c r="V280" s="1"/>
      <c r="W280" s="1"/>
      <c r="X280" s="1"/>
      <c r="Z280" s="8"/>
    </row>
    <row r="281" spans="1:26" x14ac:dyDescent="0.2">
      <c r="A281" s="12">
        <f t="shared" si="10"/>
        <v>269</v>
      </c>
      <c r="E281" s="10" t="str">
        <f t="shared" si="9"/>
        <v/>
      </c>
      <c r="I281" s="53"/>
      <c r="N281" s="8">
        <v>0</v>
      </c>
      <c r="Q281" s="1"/>
      <c r="R281" s="1"/>
      <c r="S281" s="1"/>
      <c r="T281" s="8"/>
      <c r="U281" s="8"/>
      <c r="V281" s="1"/>
      <c r="W281" s="1"/>
      <c r="X281" s="1"/>
      <c r="Z281" s="8"/>
    </row>
    <row r="282" spans="1:26" x14ac:dyDescent="0.2">
      <c r="A282" s="12">
        <f t="shared" si="10"/>
        <v>270</v>
      </c>
      <c r="E282" s="10" t="str">
        <f t="shared" si="9"/>
        <v/>
      </c>
      <c r="I282" s="53"/>
      <c r="N282" s="8">
        <v>0</v>
      </c>
      <c r="Q282" s="1"/>
      <c r="R282" s="1"/>
      <c r="S282" s="1"/>
      <c r="T282" s="8"/>
      <c r="U282" s="8"/>
      <c r="V282" s="1"/>
      <c r="W282" s="1"/>
      <c r="X282" s="1"/>
      <c r="Z282" s="8"/>
    </row>
    <row r="283" spans="1:26" x14ac:dyDescent="0.2">
      <c r="A283" s="12">
        <f t="shared" si="10"/>
        <v>271</v>
      </c>
      <c r="E283" s="10" t="str">
        <f t="shared" si="9"/>
        <v/>
      </c>
      <c r="I283" s="53"/>
      <c r="N283" s="8">
        <v>0</v>
      </c>
      <c r="Q283" s="1"/>
      <c r="R283" s="1"/>
      <c r="S283" s="1"/>
      <c r="T283" s="8"/>
      <c r="U283" s="8"/>
      <c r="V283" s="1"/>
      <c r="W283" s="1"/>
      <c r="X283" s="1"/>
      <c r="Z283" s="8"/>
    </row>
    <row r="284" spans="1:26" x14ac:dyDescent="0.2">
      <c r="A284" s="12">
        <f t="shared" si="10"/>
        <v>272</v>
      </c>
      <c r="E284" s="10" t="str">
        <f t="shared" si="9"/>
        <v/>
      </c>
      <c r="I284" s="53"/>
      <c r="N284" s="8">
        <v>0</v>
      </c>
      <c r="Q284" s="1"/>
      <c r="R284" s="1"/>
      <c r="S284" s="1"/>
      <c r="T284" s="8"/>
      <c r="U284" s="8"/>
      <c r="V284" s="1"/>
      <c r="W284" s="1"/>
      <c r="X284" s="1"/>
      <c r="Z284" s="8"/>
    </row>
    <row r="285" spans="1:26" x14ac:dyDescent="0.2">
      <c r="A285" s="12">
        <f t="shared" si="10"/>
        <v>273</v>
      </c>
      <c r="E285" s="10" t="str">
        <f t="shared" si="9"/>
        <v/>
      </c>
      <c r="I285" s="53"/>
      <c r="N285" s="8">
        <v>0</v>
      </c>
      <c r="Q285" s="1"/>
      <c r="R285" s="1"/>
      <c r="S285" s="1"/>
      <c r="T285" s="8"/>
      <c r="U285" s="8"/>
      <c r="V285" s="1"/>
      <c r="W285" s="1"/>
      <c r="X285" s="1"/>
      <c r="Z285" s="8"/>
    </row>
    <row r="286" spans="1:26" x14ac:dyDescent="0.2">
      <c r="A286" s="12">
        <f t="shared" si="10"/>
        <v>274</v>
      </c>
      <c r="E286" s="10" t="str">
        <f t="shared" si="9"/>
        <v/>
      </c>
      <c r="I286" s="53"/>
      <c r="N286" s="8">
        <v>0</v>
      </c>
      <c r="Q286" s="1"/>
      <c r="R286" s="1"/>
      <c r="S286" s="1"/>
      <c r="T286" s="8"/>
      <c r="U286" s="8"/>
      <c r="V286" s="1"/>
      <c r="W286" s="1"/>
      <c r="X286" s="1"/>
      <c r="Z286" s="8"/>
    </row>
    <row r="287" spans="1:26" x14ac:dyDescent="0.2">
      <c r="A287" s="12">
        <f t="shared" si="10"/>
        <v>275</v>
      </c>
      <c r="E287" s="10" t="str">
        <f t="shared" si="9"/>
        <v/>
      </c>
      <c r="I287" s="53"/>
      <c r="N287" s="8">
        <v>0</v>
      </c>
      <c r="Q287" s="1"/>
      <c r="R287" s="1"/>
      <c r="S287" s="1"/>
      <c r="T287" s="8"/>
      <c r="U287" s="8"/>
      <c r="V287" s="1"/>
      <c r="W287" s="1"/>
      <c r="X287" s="1"/>
      <c r="Z287" s="8"/>
    </row>
    <row r="288" spans="1:26" x14ac:dyDescent="0.2">
      <c r="A288" s="12">
        <f t="shared" si="10"/>
        <v>276</v>
      </c>
      <c r="E288" s="10" t="str">
        <f t="shared" si="9"/>
        <v/>
      </c>
      <c r="I288" s="53"/>
      <c r="N288" s="8">
        <v>0</v>
      </c>
      <c r="Q288" s="1"/>
      <c r="R288" s="1"/>
      <c r="S288" s="1"/>
      <c r="T288" s="8"/>
      <c r="U288" s="8"/>
      <c r="V288" s="1"/>
      <c r="W288" s="1"/>
      <c r="X288" s="1"/>
      <c r="Z288" s="8"/>
    </row>
    <row r="289" spans="1:26" x14ac:dyDescent="0.2">
      <c r="A289" s="12">
        <f t="shared" si="10"/>
        <v>277</v>
      </c>
      <c r="E289" s="10" t="str">
        <f t="shared" si="9"/>
        <v/>
      </c>
      <c r="I289" s="53"/>
      <c r="N289" s="8">
        <v>0</v>
      </c>
      <c r="Q289" s="1"/>
      <c r="R289" s="1"/>
      <c r="S289" s="1"/>
      <c r="T289" s="8"/>
      <c r="U289" s="8"/>
      <c r="V289" s="1"/>
      <c r="W289" s="1"/>
      <c r="X289" s="1"/>
      <c r="Z289" s="8"/>
    </row>
    <row r="290" spans="1:26" x14ac:dyDescent="0.2">
      <c r="A290" s="12">
        <f t="shared" si="10"/>
        <v>278</v>
      </c>
      <c r="E290" s="10" t="str">
        <f t="shared" si="9"/>
        <v/>
      </c>
      <c r="I290" s="53"/>
      <c r="N290" s="8">
        <v>0</v>
      </c>
      <c r="Q290" s="1"/>
      <c r="R290" s="1"/>
      <c r="S290" s="1"/>
      <c r="T290" s="8"/>
      <c r="U290" s="8"/>
      <c r="V290" s="1"/>
      <c r="W290" s="1"/>
      <c r="X290" s="1"/>
      <c r="Z290" s="8"/>
    </row>
    <row r="291" spans="1:26" x14ac:dyDescent="0.2">
      <c r="A291" s="12">
        <f t="shared" si="10"/>
        <v>279</v>
      </c>
      <c r="E291" s="10" t="str">
        <f t="shared" si="9"/>
        <v/>
      </c>
      <c r="I291" s="53"/>
      <c r="N291" s="8">
        <v>0</v>
      </c>
      <c r="Q291" s="1"/>
      <c r="R291" s="1"/>
      <c r="S291" s="1"/>
      <c r="T291" s="8"/>
      <c r="U291" s="8"/>
      <c r="V291" s="1"/>
      <c r="W291" s="1"/>
      <c r="X291" s="1"/>
      <c r="Z291" s="8"/>
    </row>
    <row r="292" spans="1:26" x14ac:dyDescent="0.2">
      <c r="A292" s="12">
        <f t="shared" si="10"/>
        <v>280</v>
      </c>
      <c r="E292" s="10" t="str">
        <f t="shared" si="9"/>
        <v/>
      </c>
      <c r="I292" s="53"/>
      <c r="N292" s="8">
        <v>0</v>
      </c>
      <c r="Q292" s="1"/>
      <c r="R292" s="1"/>
      <c r="S292" s="1"/>
      <c r="T292" s="8"/>
      <c r="U292" s="8"/>
      <c r="V292" s="1"/>
      <c r="W292" s="1"/>
      <c r="X292" s="1"/>
      <c r="Z292" s="8"/>
    </row>
    <row r="293" spans="1:26" x14ac:dyDescent="0.2">
      <c r="A293" s="12">
        <f t="shared" si="10"/>
        <v>281</v>
      </c>
      <c r="E293" s="10" t="str">
        <f t="shared" si="9"/>
        <v/>
      </c>
      <c r="I293" s="53"/>
      <c r="N293" s="8">
        <v>0</v>
      </c>
      <c r="Q293" s="1"/>
      <c r="R293" s="1"/>
      <c r="S293" s="1"/>
      <c r="T293" s="8"/>
      <c r="U293" s="8"/>
      <c r="V293" s="1"/>
      <c r="W293" s="1"/>
      <c r="X293" s="1"/>
      <c r="Z293" s="8"/>
    </row>
    <row r="294" spans="1:26" x14ac:dyDescent="0.2">
      <c r="A294" s="12">
        <f t="shared" si="10"/>
        <v>282</v>
      </c>
      <c r="E294" s="10" t="str">
        <f t="shared" si="9"/>
        <v/>
      </c>
      <c r="I294" s="53"/>
      <c r="N294" s="8">
        <v>0</v>
      </c>
      <c r="Q294" s="1"/>
      <c r="R294" s="1"/>
      <c r="S294" s="1"/>
      <c r="T294" s="8"/>
      <c r="U294" s="8"/>
      <c r="V294" s="1"/>
      <c r="W294" s="1"/>
      <c r="X294" s="1"/>
      <c r="Z294" s="8"/>
    </row>
    <row r="295" spans="1:26" x14ac:dyDescent="0.2">
      <c r="A295" s="12">
        <f t="shared" si="10"/>
        <v>283</v>
      </c>
      <c r="E295" s="10" t="str">
        <f t="shared" si="9"/>
        <v/>
      </c>
      <c r="I295" s="53"/>
      <c r="N295" s="8">
        <v>0</v>
      </c>
      <c r="Q295" s="1"/>
      <c r="R295" s="1"/>
      <c r="S295" s="1"/>
      <c r="T295" s="8"/>
      <c r="U295" s="8"/>
      <c r="V295" s="1"/>
      <c r="W295" s="1"/>
      <c r="X295" s="1"/>
      <c r="Z295" s="8"/>
    </row>
    <row r="296" spans="1:26" x14ac:dyDescent="0.2">
      <c r="A296" s="12">
        <f t="shared" si="10"/>
        <v>284</v>
      </c>
      <c r="E296" s="10" t="str">
        <f t="shared" si="9"/>
        <v/>
      </c>
      <c r="I296" s="53"/>
      <c r="N296" s="8">
        <v>0</v>
      </c>
      <c r="Q296" s="1"/>
      <c r="R296" s="1"/>
      <c r="S296" s="1"/>
      <c r="T296" s="8"/>
      <c r="U296" s="8"/>
      <c r="V296" s="1"/>
      <c r="W296" s="1"/>
      <c r="X296" s="1"/>
      <c r="Z296" s="8"/>
    </row>
    <row r="297" spans="1:26" x14ac:dyDescent="0.2">
      <c r="A297" s="12">
        <f t="shared" si="10"/>
        <v>285</v>
      </c>
      <c r="E297" s="10" t="str">
        <f t="shared" si="9"/>
        <v/>
      </c>
      <c r="I297" s="53"/>
      <c r="N297" s="8">
        <v>0</v>
      </c>
      <c r="Q297" s="1"/>
      <c r="R297" s="1"/>
      <c r="S297" s="1"/>
      <c r="T297" s="8"/>
      <c r="U297" s="8"/>
      <c r="V297" s="1"/>
      <c r="W297" s="1"/>
      <c r="X297" s="1"/>
      <c r="Z297" s="8"/>
    </row>
    <row r="298" spans="1:26" x14ac:dyDescent="0.2">
      <c r="A298" s="12">
        <f t="shared" si="10"/>
        <v>286</v>
      </c>
      <c r="E298" s="10" t="str">
        <f t="shared" si="9"/>
        <v/>
      </c>
      <c r="I298" s="53"/>
      <c r="N298" s="8">
        <v>0</v>
      </c>
      <c r="Q298" s="1"/>
      <c r="R298" s="1"/>
      <c r="S298" s="1"/>
      <c r="T298" s="8"/>
      <c r="U298" s="8"/>
      <c r="V298" s="1"/>
      <c r="W298" s="1"/>
      <c r="X298" s="1"/>
      <c r="Z298" s="8"/>
    </row>
    <row r="299" spans="1:26" x14ac:dyDescent="0.2">
      <c r="A299" s="12">
        <f t="shared" si="10"/>
        <v>287</v>
      </c>
      <c r="E299" s="10" t="str">
        <f t="shared" si="9"/>
        <v/>
      </c>
      <c r="I299" s="53"/>
      <c r="N299" s="8">
        <v>0</v>
      </c>
      <c r="Q299" s="1"/>
      <c r="R299" s="1"/>
      <c r="S299" s="1"/>
      <c r="T299" s="8"/>
      <c r="U299" s="8"/>
      <c r="V299" s="1"/>
      <c r="W299" s="1"/>
      <c r="X299" s="1"/>
      <c r="Z299" s="8"/>
    </row>
    <row r="300" spans="1:26" x14ac:dyDescent="0.2">
      <c r="A300" s="12">
        <f t="shared" si="10"/>
        <v>288</v>
      </c>
      <c r="E300" s="10" t="str">
        <f t="shared" si="9"/>
        <v/>
      </c>
      <c r="I300" s="53"/>
      <c r="N300" s="8">
        <v>0</v>
      </c>
      <c r="Q300" s="1"/>
      <c r="R300" s="1"/>
      <c r="S300" s="1"/>
      <c r="T300" s="8"/>
      <c r="U300" s="8"/>
      <c r="V300" s="1"/>
      <c r="W300" s="1"/>
      <c r="X300" s="1"/>
      <c r="Z300" s="8"/>
    </row>
    <row r="301" spans="1:26" x14ac:dyDescent="0.2">
      <c r="A301" s="12">
        <f t="shared" si="10"/>
        <v>289</v>
      </c>
      <c r="E301" s="10" t="str">
        <f t="shared" si="9"/>
        <v/>
      </c>
      <c r="I301" s="53"/>
      <c r="N301" s="8">
        <v>0</v>
      </c>
      <c r="Q301" s="1"/>
      <c r="R301" s="1"/>
      <c r="S301" s="1"/>
      <c r="T301" s="8"/>
      <c r="U301" s="8"/>
      <c r="V301" s="1"/>
      <c r="W301" s="1"/>
      <c r="X301" s="1"/>
      <c r="Z301" s="8"/>
    </row>
    <row r="302" spans="1:26" x14ac:dyDescent="0.2">
      <c r="A302" s="12">
        <f t="shared" si="10"/>
        <v>290</v>
      </c>
      <c r="E302" s="10" t="str">
        <f t="shared" si="9"/>
        <v/>
      </c>
      <c r="I302" s="53"/>
      <c r="N302" s="8">
        <v>0</v>
      </c>
      <c r="Q302" s="1"/>
      <c r="R302" s="1"/>
      <c r="S302" s="1"/>
      <c r="T302" s="8"/>
      <c r="U302" s="8"/>
      <c r="V302" s="1"/>
      <c r="W302" s="1"/>
      <c r="X302" s="1"/>
      <c r="Z302" s="8"/>
    </row>
    <row r="303" spans="1:26" x14ac:dyDescent="0.2">
      <c r="A303" s="12">
        <f t="shared" si="10"/>
        <v>291</v>
      </c>
      <c r="E303" s="10" t="str">
        <f t="shared" si="9"/>
        <v/>
      </c>
      <c r="I303" s="53"/>
      <c r="N303" s="8">
        <v>0</v>
      </c>
      <c r="Q303" s="1"/>
      <c r="R303" s="1"/>
      <c r="S303" s="1"/>
      <c r="T303" s="8"/>
      <c r="U303" s="8"/>
      <c r="V303" s="1"/>
      <c r="W303" s="1"/>
      <c r="X303" s="1"/>
      <c r="Z303" s="8"/>
    </row>
    <row r="304" spans="1:26" x14ac:dyDescent="0.2">
      <c r="A304" s="12">
        <f t="shared" si="10"/>
        <v>292</v>
      </c>
      <c r="E304" s="10" t="str">
        <f t="shared" si="9"/>
        <v/>
      </c>
      <c r="I304" s="53"/>
      <c r="N304" s="8">
        <v>0</v>
      </c>
      <c r="Q304" s="1"/>
      <c r="R304" s="1"/>
      <c r="S304" s="1"/>
      <c r="T304" s="8"/>
      <c r="U304" s="8"/>
      <c r="V304" s="1"/>
      <c r="W304" s="1"/>
      <c r="X304" s="1"/>
      <c r="Z304" s="8"/>
    </row>
    <row r="305" spans="1:26" x14ac:dyDescent="0.2">
      <c r="A305" s="12">
        <f t="shared" si="10"/>
        <v>293</v>
      </c>
      <c r="E305" s="10" t="str">
        <f t="shared" si="9"/>
        <v/>
      </c>
      <c r="I305" s="53"/>
      <c r="N305" s="8">
        <v>0</v>
      </c>
      <c r="Q305" s="1"/>
      <c r="R305" s="1"/>
      <c r="S305" s="1"/>
      <c r="T305" s="8"/>
      <c r="U305" s="8"/>
      <c r="V305" s="1"/>
      <c r="W305" s="1"/>
      <c r="X305" s="1"/>
      <c r="Z305" s="8"/>
    </row>
    <row r="306" spans="1:26" x14ac:dyDescent="0.2">
      <c r="A306" s="12">
        <f t="shared" si="10"/>
        <v>294</v>
      </c>
      <c r="E306" s="10" t="str">
        <f t="shared" si="9"/>
        <v/>
      </c>
      <c r="I306" s="53"/>
      <c r="N306" s="8">
        <v>0</v>
      </c>
      <c r="Q306" s="1"/>
      <c r="R306" s="1"/>
      <c r="S306" s="1"/>
      <c r="T306" s="8"/>
      <c r="U306" s="8"/>
      <c r="V306" s="1"/>
      <c r="W306" s="1"/>
      <c r="X306" s="1"/>
      <c r="Z306" s="8"/>
    </row>
    <row r="307" spans="1:26" x14ac:dyDescent="0.2">
      <c r="A307" s="12">
        <f t="shared" si="10"/>
        <v>295</v>
      </c>
      <c r="E307" s="10" t="str">
        <f t="shared" si="9"/>
        <v/>
      </c>
      <c r="I307" s="53"/>
      <c r="N307" s="8">
        <v>0</v>
      </c>
      <c r="Q307" s="1"/>
      <c r="R307" s="1"/>
      <c r="S307" s="1"/>
      <c r="T307" s="8"/>
      <c r="U307" s="8"/>
      <c r="V307" s="1"/>
      <c r="W307" s="1"/>
      <c r="X307" s="1"/>
      <c r="Z307" s="8"/>
    </row>
    <row r="308" spans="1:26" x14ac:dyDescent="0.2">
      <c r="A308" s="12">
        <f t="shared" si="10"/>
        <v>296</v>
      </c>
      <c r="E308" s="10" t="str">
        <f t="shared" si="9"/>
        <v/>
      </c>
      <c r="I308" s="53"/>
      <c r="N308" s="8">
        <v>0</v>
      </c>
      <c r="Q308" s="1"/>
      <c r="R308" s="1"/>
      <c r="S308" s="1"/>
      <c r="T308" s="8"/>
      <c r="U308" s="8"/>
      <c r="V308" s="1"/>
      <c r="W308" s="1"/>
      <c r="X308" s="1"/>
      <c r="Z308" s="8"/>
    </row>
    <row r="309" spans="1:26" x14ac:dyDescent="0.2">
      <c r="A309" s="12">
        <f t="shared" si="10"/>
        <v>297</v>
      </c>
      <c r="E309" s="10" t="str">
        <f t="shared" si="9"/>
        <v/>
      </c>
      <c r="I309" s="53"/>
      <c r="N309" s="8">
        <v>0</v>
      </c>
      <c r="Q309" s="1"/>
      <c r="R309" s="1"/>
      <c r="S309" s="1"/>
      <c r="T309" s="8"/>
      <c r="U309" s="8"/>
      <c r="V309" s="1"/>
      <c r="W309" s="1"/>
      <c r="X309" s="1"/>
      <c r="Z309" s="8"/>
    </row>
    <row r="310" spans="1:26" x14ac:dyDescent="0.2">
      <c r="A310" s="12">
        <f t="shared" si="10"/>
        <v>298</v>
      </c>
      <c r="E310" s="10" t="str">
        <f t="shared" si="9"/>
        <v/>
      </c>
      <c r="I310" s="53"/>
      <c r="N310" s="8">
        <v>0</v>
      </c>
      <c r="Q310" s="1"/>
      <c r="R310" s="1"/>
      <c r="S310" s="1"/>
      <c r="T310" s="8"/>
      <c r="U310" s="8"/>
      <c r="V310" s="1"/>
      <c r="W310" s="1"/>
      <c r="X310" s="1"/>
      <c r="Z310" s="8"/>
    </row>
    <row r="311" spans="1:26" x14ac:dyDescent="0.2">
      <c r="A311" s="12">
        <f t="shared" si="10"/>
        <v>299</v>
      </c>
      <c r="E311" s="10" t="str">
        <f t="shared" si="9"/>
        <v/>
      </c>
      <c r="I311" s="53"/>
      <c r="N311" s="8">
        <v>0</v>
      </c>
      <c r="Q311" s="1"/>
      <c r="R311" s="1"/>
      <c r="S311" s="1"/>
      <c r="T311" s="8"/>
      <c r="U311" s="8"/>
      <c r="V311" s="1"/>
      <c r="W311" s="1"/>
      <c r="X311" s="1"/>
      <c r="Z311" s="8"/>
    </row>
    <row r="312" spans="1:26" x14ac:dyDescent="0.2">
      <c r="A312" s="12">
        <f t="shared" si="10"/>
        <v>300</v>
      </c>
      <c r="E312" s="10" t="str">
        <f t="shared" si="9"/>
        <v/>
      </c>
      <c r="I312" s="53"/>
      <c r="N312" s="8">
        <v>0</v>
      </c>
      <c r="Q312" s="1"/>
      <c r="R312" s="1"/>
      <c r="S312" s="1"/>
      <c r="T312" s="8"/>
      <c r="U312" s="8"/>
      <c r="V312" s="1"/>
      <c r="W312" s="1"/>
      <c r="X312" s="1"/>
      <c r="Z312" s="8"/>
    </row>
    <row r="313" spans="1:26" x14ac:dyDescent="0.2">
      <c r="A313" s="12">
        <f t="shared" si="10"/>
        <v>301</v>
      </c>
      <c r="E313" s="10" t="str">
        <f t="shared" si="9"/>
        <v/>
      </c>
      <c r="I313" s="53"/>
      <c r="N313" s="8">
        <v>0</v>
      </c>
      <c r="Q313" s="1"/>
      <c r="R313" s="1"/>
      <c r="S313" s="1"/>
      <c r="T313" s="8"/>
      <c r="U313" s="8"/>
      <c r="V313" s="1"/>
      <c r="W313" s="1"/>
      <c r="X313" s="1"/>
      <c r="Z313" s="8"/>
    </row>
    <row r="314" spans="1:26" x14ac:dyDescent="0.2">
      <c r="A314" s="12">
        <f t="shared" si="10"/>
        <v>302</v>
      </c>
      <c r="E314" s="10" t="str">
        <f t="shared" si="9"/>
        <v/>
      </c>
      <c r="I314" s="53"/>
      <c r="N314" s="8">
        <v>0</v>
      </c>
      <c r="Q314" s="1"/>
      <c r="R314" s="1"/>
      <c r="S314" s="1"/>
      <c r="T314" s="8"/>
      <c r="U314" s="8"/>
      <c r="V314" s="1"/>
      <c r="W314" s="1"/>
      <c r="X314" s="1"/>
      <c r="Z314" s="8"/>
    </row>
    <row r="315" spans="1:26" x14ac:dyDescent="0.2">
      <c r="A315" s="12">
        <f t="shared" si="10"/>
        <v>303</v>
      </c>
      <c r="E315" s="10" t="str">
        <f t="shared" si="9"/>
        <v/>
      </c>
      <c r="I315" s="53"/>
      <c r="N315" s="8">
        <v>0</v>
      </c>
      <c r="Q315" s="1"/>
      <c r="R315" s="1"/>
      <c r="S315" s="1"/>
      <c r="T315" s="8"/>
      <c r="U315" s="8"/>
      <c r="V315" s="1"/>
      <c r="W315" s="1"/>
      <c r="X315" s="1"/>
      <c r="Z315" s="8"/>
    </row>
    <row r="316" spans="1:26" x14ac:dyDescent="0.2">
      <c r="A316" s="12">
        <f t="shared" si="10"/>
        <v>304</v>
      </c>
      <c r="E316" s="10" t="str">
        <f t="shared" si="9"/>
        <v/>
      </c>
      <c r="I316" s="53"/>
      <c r="N316" s="8">
        <v>0</v>
      </c>
      <c r="Q316" s="1"/>
      <c r="R316" s="1"/>
      <c r="S316" s="1"/>
      <c r="T316" s="8"/>
      <c r="U316" s="8"/>
      <c r="V316" s="1"/>
      <c r="W316" s="1"/>
      <c r="X316" s="1"/>
      <c r="Z316" s="8"/>
    </row>
    <row r="317" spans="1:26" x14ac:dyDescent="0.2">
      <c r="A317" s="12">
        <f t="shared" si="10"/>
        <v>305</v>
      </c>
      <c r="E317" s="10" t="str">
        <f t="shared" si="9"/>
        <v/>
      </c>
      <c r="I317" s="53"/>
      <c r="N317" s="8">
        <v>0</v>
      </c>
      <c r="Q317" s="1"/>
      <c r="R317" s="1"/>
      <c r="S317" s="1"/>
      <c r="T317" s="8"/>
      <c r="U317" s="8"/>
      <c r="V317" s="1"/>
      <c r="W317" s="1"/>
      <c r="X317" s="1"/>
      <c r="Z317" s="8"/>
    </row>
    <row r="318" spans="1:26" x14ac:dyDescent="0.2">
      <c r="A318" s="12">
        <f t="shared" si="10"/>
        <v>306</v>
      </c>
      <c r="E318" s="10" t="str">
        <f t="shared" si="9"/>
        <v/>
      </c>
      <c r="I318" s="53"/>
      <c r="N318" s="8">
        <v>0</v>
      </c>
      <c r="Q318" s="1"/>
      <c r="R318" s="1"/>
      <c r="S318" s="1"/>
      <c r="T318" s="8"/>
      <c r="U318" s="8"/>
      <c r="V318" s="1"/>
      <c r="W318" s="1"/>
      <c r="X318" s="1"/>
      <c r="Z318" s="8"/>
    </row>
    <row r="319" spans="1:26" x14ac:dyDescent="0.2">
      <c r="A319" s="12">
        <f t="shared" si="10"/>
        <v>307</v>
      </c>
      <c r="E319" s="10" t="str">
        <f t="shared" si="9"/>
        <v/>
      </c>
      <c r="I319" s="53"/>
      <c r="N319" s="8">
        <v>0</v>
      </c>
      <c r="Q319" s="1"/>
      <c r="R319" s="1"/>
      <c r="S319" s="1"/>
      <c r="T319" s="8"/>
      <c r="U319" s="8"/>
      <c r="V319" s="1"/>
      <c r="W319" s="1"/>
      <c r="X319" s="1"/>
      <c r="Z319" s="8"/>
    </row>
    <row r="320" spans="1:26" x14ac:dyDescent="0.2">
      <c r="A320" s="12">
        <f t="shared" si="10"/>
        <v>308</v>
      </c>
      <c r="E320" s="10" t="str">
        <f t="shared" si="9"/>
        <v/>
      </c>
      <c r="I320" s="53"/>
      <c r="N320" s="8">
        <v>0</v>
      </c>
      <c r="Q320" s="1"/>
      <c r="R320" s="1"/>
      <c r="S320" s="1"/>
      <c r="T320" s="8"/>
      <c r="U320" s="8"/>
      <c r="V320" s="1"/>
      <c r="W320" s="1"/>
      <c r="X320" s="1"/>
      <c r="Z320" s="8"/>
    </row>
    <row r="321" spans="1:26" x14ac:dyDescent="0.2">
      <c r="A321" s="12">
        <f t="shared" si="10"/>
        <v>309</v>
      </c>
      <c r="E321" s="10" t="str">
        <f t="shared" si="9"/>
        <v/>
      </c>
      <c r="I321" s="53"/>
      <c r="N321" s="8">
        <v>0</v>
      </c>
      <c r="Q321" s="1"/>
      <c r="R321" s="1"/>
      <c r="S321" s="1"/>
      <c r="T321" s="8"/>
      <c r="U321" s="8"/>
      <c r="V321" s="1"/>
      <c r="W321" s="1"/>
      <c r="X321" s="1"/>
      <c r="Z321" s="8"/>
    </row>
    <row r="322" spans="1:26" x14ac:dyDescent="0.2">
      <c r="A322" s="12">
        <f t="shared" si="10"/>
        <v>310</v>
      </c>
      <c r="E322" s="10" t="str">
        <f t="shared" si="9"/>
        <v/>
      </c>
      <c r="I322" s="53"/>
      <c r="N322" s="8">
        <v>0</v>
      </c>
      <c r="Q322" s="1"/>
      <c r="R322" s="1"/>
      <c r="S322" s="1"/>
      <c r="T322" s="8"/>
      <c r="U322" s="8"/>
      <c r="V322" s="1"/>
      <c r="W322" s="1"/>
      <c r="X322" s="1"/>
      <c r="Z322" s="8"/>
    </row>
    <row r="323" spans="1:26" x14ac:dyDescent="0.2">
      <c r="A323" s="12">
        <f t="shared" si="10"/>
        <v>311</v>
      </c>
      <c r="E323" s="10" t="str">
        <f t="shared" si="9"/>
        <v/>
      </c>
      <c r="I323" s="53"/>
      <c r="N323" s="8">
        <v>0</v>
      </c>
      <c r="Q323" s="1"/>
      <c r="R323" s="1"/>
      <c r="S323" s="1"/>
      <c r="T323" s="8"/>
      <c r="U323" s="8"/>
      <c r="V323" s="1"/>
      <c r="W323" s="1"/>
      <c r="X323" s="1"/>
      <c r="Z323" s="8"/>
    </row>
    <row r="324" spans="1:26" x14ac:dyDescent="0.2">
      <c r="A324" s="12">
        <f t="shared" si="10"/>
        <v>312</v>
      </c>
      <c r="E324" s="10" t="str">
        <f t="shared" si="9"/>
        <v/>
      </c>
      <c r="I324" s="53"/>
      <c r="N324" s="8">
        <v>0</v>
      </c>
      <c r="Q324" s="1"/>
      <c r="R324" s="1"/>
      <c r="S324" s="1"/>
      <c r="T324" s="8"/>
      <c r="U324" s="8"/>
      <c r="V324" s="1"/>
      <c r="W324" s="1"/>
      <c r="X324" s="1"/>
      <c r="Z324" s="8"/>
    </row>
    <row r="325" spans="1:26" x14ac:dyDescent="0.2">
      <c r="A325" s="12">
        <f t="shared" si="10"/>
        <v>313</v>
      </c>
      <c r="E325" s="10" t="str">
        <f t="shared" si="9"/>
        <v/>
      </c>
      <c r="I325" s="53"/>
      <c r="N325" s="8">
        <v>0</v>
      </c>
      <c r="Q325" s="1"/>
      <c r="R325" s="1"/>
      <c r="S325" s="1"/>
      <c r="T325" s="8"/>
      <c r="U325" s="8"/>
      <c r="V325" s="1"/>
      <c r="W325" s="1"/>
      <c r="X325" s="1"/>
      <c r="Z325" s="8"/>
    </row>
    <row r="326" spans="1:26" x14ac:dyDescent="0.2">
      <c r="A326" s="12">
        <f t="shared" si="10"/>
        <v>314</v>
      </c>
      <c r="E326" s="10" t="str">
        <f t="shared" si="9"/>
        <v/>
      </c>
      <c r="I326" s="53"/>
      <c r="N326" s="8">
        <v>0</v>
      </c>
      <c r="Q326" s="1"/>
      <c r="R326" s="1"/>
      <c r="S326" s="1"/>
      <c r="T326" s="8"/>
      <c r="U326" s="8"/>
      <c r="V326" s="1"/>
      <c r="W326" s="1"/>
      <c r="X326" s="1"/>
      <c r="Z326" s="8"/>
    </row>
    <row r="327" spans="1:26" x14ac:dyDescent="0.2">
      <c r="A327" s="12">
        <f t="shared" si="10"/>
        <v>315</v>
      </c>
      <c r="E327" s="10" t="str">
        <f t="shared" si="9"/>
        <v/>
      </c>
      <c r="I327" s="53"/>
      <c r="N327" s="8">
        <v>0</v>
      </c>
      <c r="Q327" s="1"/>
      <c r="R327" s="1"/>
      <c r="S327" s="1"/>
      <c r="T327" s="8"/>
      <c r="U327" s="8"/>
      <c r="V327" s="1"/>
      <c r="W327" s="1"/>
      <c r="X327" s="1"/>
      <c r="Z327" s="8"/>
    </row>
    <row r="328" spans="1:26" x14ac:dyDescent="0.2">
      <c r="A328" s="12">
        <f t="shared" si="10"/>
        <v>316</v>
      </c>
      <c r="E328" s="10" t="str">
        <f t="shared" si="9"/>
        <v/>
      </c>
      <c r="I328" s="53"/>
      <c r="N328" s="8">
        <v>0</v>
      </c>
      <c r="Q328" s="1"/>
      <c r="R328" s="1"/>
      <c r="S328" s="1"/>
      <c r="T328" s="8"/>
      <c r="U328" s="8"/>
      <c r="V328" s="1"/>
      <c r="W328" s="1"/>
      <c r="X328" s="1"/>
      <c r="Z328" s="8"/>
    </row>
    <row r="329" spans="1:26" x14ac:dyDescent="0.2">
      <c r="A329" s="12">
        <f t="shared" si="10"/>
        <v>317</v>
      </c>
      <c r="E329" s="10" t="str">
        <f t="shared" si="9"/>
        <v/>
      </c>
      <c r="I329" s="53"/>
      <c r="N329" s="8">
        <v>0</v>
      </c>
      <c r="Q329" s="1"/>
      <c r="R329" s="1"/>
      <c r="S329" s="1"/>
      <c r="T329" s="8"/>
      <c r="U329" s="8"/>
      <c r="V329" s="1"/>
      <c r="W329" s="1"/>
      <c r="X329" s="1"/>
      <c r="Z329" s="8"/>
    </row>
    <row r="330" spans="1:26" x14ac:dyDescent="0.2">
      <c r="A330" s="12">
        <f t="shared" si="10"/>
        <v>318</v>
      </c>
      <c r="E330" s="10" t="str">
        <f t="shared" si="9"/>
        <v/>
      </c>
      <c r="I330" s="53"/>
      <c r="N330" s="8">
        <v>0</v>
      </c>
      <c r="Q330" s="1"/>
      <c r="R330" s="1"/>
      <c r="S330" s="1"/>
      <c r="T330" s="8"/>
      <c r="U330" s="8"/>
      <c r="V330" s="1"/>
      <c r="W330" s="1"/>
      <c r="X330" s="1"/>
      <c r="Z330" s="8"/>
    </row>
    <row r="331" spans="1:26" x14ac:dyDescent="0.2">
      <c r="A331" s="12">
        <f t="shared" si="10"/>
        <v>319</v>
      </c>
      <c r="E331" s="10" t="str">
        <f t="shared" si="9"/>
        <v/>
      </c>
      <c r="I331" s="53"/>
      <c r="N331" s="8">
        <v>0</v>
      </c>
      <c r="Q331" s="1"/>
      <c r="R331" s="1"/>
      <c r="S331" s="1"/>
      <c r="T331" s="8"/>
      <c r="U331" s="8"/>
      <c r="V331" s="1"/>
      <c r="W331" s="1"/>
      <c r="X331" s="1"/>
      <c r="Z331" s="8"/>
    </row>
    <row r="332" spans="1:26" x14ac:dyDescent="0.2">
      <c r="A332" s="12">
        <f t="shared" si="10"/>
        <v>320</v>
      </c>
      <c r="E332" s="10" t="str">
        <f t="shared" si="9"/>
        <v/>
      </c>
      <c r="I332" s="53"/>
      <c r="N332" s="8">
        <v>0</v>
      </c>
      <c r="Q332" s="1"/>
      <c r="R332" s="1"/>
      <c r="S332" s="1"/>
      <c r="T332" s="8"/>
      <c r="U332" s="8"/>
      <c r="V332" s="1"/>
      <c r="W332" s="1"/>
      <c r="X332" s="1"/>
      <c r="Z332" s="8"/>
    </row>
    <row r="333" spans="1:26" x14ac:dyDescent="0.2">
      <c r="A333" s="12">
        <f t="shared" si="10"/>
        <v>321</v>
      </c>
      <c r="E333" s="10" t="str">
        <f t="shared" ref="E333:E396" si="11">IF($C$8&gt;=A333,$E$1&amp;" "&amp;A333,"")</f>
        <v/>
      </c>
      <c r="I333" s="53"/>
      <c r="N333" s="8">
        <v>0</v>
      </c>
      <c r="Q333" s="1"/>
      <c r="R333" s="1"/>
      <c r="S333" s="1"/>
      <c r="T333" s="8"/>
      <c r="U333" s="8"/>
      <c r="V333" s="1"/>
      <c r="W333" s="1"/>
      <c r="X333" s="1"/>
      <c r="Z333" s="8"/>
    </row>
    <row r="334" spans="1:26" x14ac:dyDescent="0.2">
      <c r="A334" s="12">
        <f t="shared" si="10"/>
        <v>322</v>
      </c>
      <c r="E334" s="10" t="str">
        <f t="shared" si="11"/>
        <v/>
      </c>
      <c r="I334" s="53"/>
      <c r="N334" s="8">
        <v>0</v>
      </c>
      <c r="Q334" s="1"/>
      <c r="R334" s="1"/>
      <c r="S334" s="1"/>
      <c r="T334" s="8"/>
      <c r="U334" s="8"/>
      <c r="V334" s="1"/>
      <c r="W334" s="1"/>
      <c r="X334" s="1"/>
      <c r="Z334" s="8"/>
    </row>
    <row r="335" spans="1:26" x14ac:dyDescent="0.2">
      <c r="A335" s="12">
        <f t="shared" ref="A335:A398" si="12">A334+1</f>
        <v>323</v>
      </c>
      <c r="E335" s="10" t="str">
        <f t="shared" si="11"/>
        <v/>
      </c>
      <c r="I335" s="53"/>
      <c r="N335" s="8">
        <v>0</v>
      </c>
      <c r="Q335" s="1"/>
      <c r="R335" s="1"/>
      <c r="S335" s="1"/>
      <c r="T335" s="8"/>
      <c r="U335" s="8"/>
      <c r="V335" s="1"/>
      <c r="W335" s="1"/>
      <c r="X335" s="1"/>
      <c r="Z335" s="8"/>
    </row>
    <row r="336" spans="1:26" x14ac:dyDescent="0.2">
      <c r="A336" s="12">
        <f t="shared" si="12"/>
        <v>324</v>
      </c>
      <c r="E336" s="10" t="str">
        <f t="shared" si="11"/>
        <v/>
      </c>
      <c r="I336" s="53"/>
      <c r="N336" s="8">
        <v>0</v>
      </c>
      <c r="Q336" s="1"/>
      <c r="R336" s="1"/>
      <c r="S336" s="1"/>
      <c r="T336" s="8"/>
      <c r="U336" s="8"/>
      <c r="V336" s="1"/>
      <c r="W336" s="1"/>
      <c r="X336" s="1"/>
      <c r="Z336" s="8"/>
    </row>
    <row r="337" spans="1:26" x14ac:dyDescent="0.2">
      <c r="A337" s="12">
        <f t="shared" si="12"/>
        <v>325</v>
      </c>
      <c r="E337" s="10" t="str">
        <f t="shared" si="11"/>
        <v/>
      </c>
      <c r="I337" s="53"/>
      <c r="N337" s="8">
        <v>0</v>
      </c>
      <c r="Q337" s="1"/>
      <c r="R337" s="1"/>
      <c r="S337" s="1"/>
      <c r="T337" s="8"/>
      <c r="U337" s="8"/>
      <c r="V337" s="1"/>
      <c r="W337" s="1"/>
      <c r="X337" s="1"/>
      <c r="Z337" s="8"/>
    </row>
    <row r="338" spans="1:26" x14ac:dyDescent="0.2">
      <c r="A338" s="12">
        <f t="shared" si="12"/>
        <v>326</v>
      </c>
      <c r="E338" s="10" t="str">
        <f t="shared" si="11"/>
        <v/>
      </c>
      <c r="I338" s="53"/>
      <c r="N338" s="8">
        <v>0</v>
      </c>
      <c r="Q338" s="1"/>
      <c r="R338" s="1"/>
      <c r="S338" s="1"/>
      <c r="T338" s="8"/>
      <c r="U338" s="8"/>
      <c r="V338" s="1"/>
      <c r="W338" s="1"/>
      <c r="X338" s="1"/>
      <c r="Z338" s="8"/>
    </row>
    <row r="339" spans="1:26" x14ac:dyDescent="0.2">
      <c r="A339" s="12">
        <f t="shared" si="12"/>
        <v>327</v>
      </c>
      <c r="E339" s="10" t="str">
        <f t="shared" si="11"/>
        <v/>
      </c>
      <c r="I339" s="53"/>
      <c r="N339" s="8">
        <v>0</v>
      </c>
      <c r="Q339" s="1"/>
      <c r="R339" s="1"/>
      <c r="S339" s="1"/>
      <c r="T339" s="8"/>
      <c r="U339" s="8"/>
      <c r="V339" s="1"/>
      <c r="W339" s="1"/>
      <c r="X339" s="1"/>
      <c r="Z339" s="8"/>
    </row>
    <row r="340" spans="1:26" x14ac:dyDescent="0.2">
      <c r="A340" s="12">
        <f t="shared" si="12"/>
        <v>328</v>
      </c>
      <c r="E340" s="10" t="str">
        <f t="shared" si="11"/>
        <v/>
      </c>
      <c r="I340" s="53"/>
      <c r="N340" s="8">
        <v>0</v>
      </c>
      <c r="Q340" s="1"/>
      <c r="R340" s="1"/>
      <c r="S340" s="1"/>
      <c r="T340" s="8"/>
      <c r="U340" s="8"/>
      <c r="V340" s="1"/>
      <c r="W340" s="1"/>
      <c r="X340" s="1"/>
      <c r="Z340" s="8"/>
    </row>
    <row r="341" spans="1:26" x14ac:dyDescent="0.2">
      <c r="A341" s="12">
        <f t="shared" si="12"/>
        <v>329</v>
      </c>
      <c r="E341" s="10" t="str">
        <f t="shared" si="11"/>
        <v/>
      </c>
      <c r="I341" s="53"/>
      <c r="N341" s="8">
        <v>0</v>
      </c>
      <c r="Q341" s="1"/>
      <c r="R341" s="1"/>
      <c r="S341" s="1"/>
      <c r="T341" s="8"/>
      <c r="U341" s="8"/>
      <c r="V341" s="1"/>
      <c r="W341" s="1"/>
      <c r="X341" s="1"/>
      <c r="Z341" s="8"/>
    </row>
    <row r="342" spans="1:26" x14ac:dyDescent="0.2">
      <c r="A342" s="12">
        <f t="shared" si="12"/>
        <v>330</v>
      </c>
      <c r="E342" s="10" t="str">
        <f t="shared" si="11"/>
        <v/>
      </c>
      <c r="I342" s="53"/>
      <c r="N342" s="8">
        <v>0</v>
      </c>
      <c r="Q342" s="1"/>
      <c r="R342" s="1"/>
      <c r="S342" s="1"/>
      <c r="T342" s="8"/>
      <c r="U342" s="8"/>
      <c r="V342" s="1"/>
      <c r="W342" s="1"/>
      <c r="X342" s="1"/>
      <c r="Z342" s="8"/>
    </row>
    <row r="343" spans="1:26" x14ac:dyDescent="0.2">
      <c r="A343" s="12">
        <f t="shared" si="12"/>
        <v>331</v>
      </c>
      <c r="E343" s="10" t="str">
        <f t="shared" si="11"/>
        <v/>
      </c>
      <c r="I343" s="53"/>
      <c r="N343" s="8">
        <v>0</v>
      </c>
      <c r="Q343" s="1"/>
      <c r="R343" s="1"/>
      <c r="S343" s="1"/>
      <c r="T343" s="8"/>
      <c r="U343" s="8"/>
      <c r="V343" s="1"/>
      <c r="W343" s="1"/>
      <c r="X343" s="1"/>
      <c r="Z343" s="8"/>
    </row>
    <row r="344" spans="1:26" x14ac:dyDescent="0.2">
      <c r="A344" s="12">
        <f t="shared" si="12"/>
        <v>332</v>
      </c>
      <c r="E344" s="10" t="str">
        <f t="shared" si="11"/>
        <v/>
      </c>
      <c r="I344" s="53"/>
      <c r="N344" s="8">
        <v>0</v>
      </c>
      <c r="Q344" s="1"/>
      <c r="R344" s="1"/>
      <c r="S344" s="1"/>
      <c r="T344" s="8"/>
      <c r="U344" s="8"/>
      <c r="V344" s="1"/>
      <c r="W344" s="1"/>
      <c r="X344" s="1"/>
      <c r="Z344" s="8"/>
    </row>
    <row r="345" spans="1:26" x14ac:dyDescent="0.2">
      <c r="A345" s="12">
        <f t="shared" si="12"/>
        <v>333</v>
      </c>
      <c r="E345" s="10" t="str">
        <f t="shared" si="11"/>
        <v/>
      </c>
      <c r="I345" s="53"/>
      <c r="N345" s="8">
        <v>0</v>
      </c>
      <c r="Q345" s="1"/>
      <c r="R345" s="1"/>
      <c r="S345" s="1"/>
      <c r="T345" s="8"/>
      <c r="U345" s="8"/>
      <c r="V345" s="1"/>
      <c r="W345" s="1"/>
      <c r="X345" s="1"/>
      <c r="Z345" s="8"/>
    </row>
    <row r="346" spans="1:26" x14ac:dyDescent="0.2">
      <c r="A346" s="12">
        <f t="shared" si="12"/>
        <v>334</v>
      </c>
      <c r="E346" s="10" t="str">
        <f t="shared" si="11"/>
        <v/>
      </c>
      <c r="I346" s="53"/>
      <c r="N346" s="8">
        <v>0</v>
      </c>
      <c r="Q346" s="1"/>
      <c r="R346" s="1"/>
      <c r="S346" s="1"/>
      <c r="T346" s="8"/>
      <c r="U346" s="8"/>
      <c r="V346" s="1"/>
      <c r="W346" s="1"/>
      <c r="X346" s="1"/>
      <c r="Z346" s="8"/>
    </row>
    <row r="347" spans="1:26" x14ac:dyDescent="0.2">
      <c r="A347" s="12">
        <f t="shared" si="12"/>
        <v>335</v>
      </c>
      <c r="E347" s="10" t="str">
        <f t="shared" si="11"/>
        <v/>
      </c>
      <c r="I347" s="53"/>
      <c r="N347" s="8">
        <v>0</v>
      </c>
      <c r="Q347" s="1"/>
      <c r="R347" s="1"/>
      <c r="S347" s="1"/>
      <c r="T347" s="8"/>
      <c r="U347" s="8"/>
      <c r="V347" s="1"/>
      <c r="W347" s="1"/>
      <c r="X347" s="1"/>
      <c r="Z347" s="8"/>
    </row>
    <row r="348" spans="1:26" x14ac:dyDescent="0.2">
      <c r="A348" s="12">
        <f t="shared" si="12"/>
        <v>336</v>
      </c>
      <c r="E348" s="10" t="str">
        <f t="shared" si="11"/>
        <v/>
      </c>
      <c r="I348" s="53"/>
      <c r="N348" s="8">
        <v>0</v>
      </c>
      <c r="Q348" s="1"/>
      <c r="R348" s="1"/>
      <c r="S348" s="1"/>
      <c r="T348" s="8"/>
      <c r="U348" s="8"/>
      <c r="V348" s="1"/>
      <c r="W348" s="1"/>
      <c r="X348" s="1"/>
      <c r="Z348" s="8"/>
    </row>
    <row r="349" spans="1:26" x14ac:dyDescent="0.2">
      <c r="A349" s="12">
        <f t="shared" si="12"/>
        <v>337</v>
      </c>
      <c r="E349" s="10" t="str">
        <f t="shared" si="11"/>
        <v/>
      </c>
      <c r="I349" s="53"/>
      <c r="N349" s="8">
        <v>0</v>
      </c>
      <c r="Q349" s="1"/>
      <c r="R349" s="1"/>
      <c r="S349" s="1"/>
      <c r="T349" s="8"/>
      <c r="U349" s="8"/>
      <c r="V349" s="1"/>
      <c r="W349" s="1"/>
      <c r="X349" s="1"/>
      <c r="Z349" s="8"/>
    </row>
    <row r="350" spans="1:26" x14ac:dyDescent="0.2">
      <c r="A350" s="12">
        <f t="shared" si="12"/>
        <v>338</v>
      </c>
      <c r="E350" s="10" t="str">
        <f t="shared" si="11"/>
        <v/>
      </c>
      <c r="I350" s="53"/>
      <c r="N350" s="8">
        <v>0</v>
      </c>
      <c r="Q350" s="1"/>
      <c r="R350" s="1"/>
      <c r="S350" s="1"/>
      <c r="T350" s="8"/>
      <c r="U350" s="8"/>
      <c r="V350" s="1"/>
      <c r="W350" s="1"/>
      <c r="X350" s="1"/>
      <c r="Z350" s="8"/>
    </row>
    <row r="351" spans="1:26" x14ac:dyDescent="0.2">
      <c r="A351" s="12">
        <f t="shared" si="12"/>
        <v>339</v>
      </c>
      <c r="E351" s="10" t="str">
        <f t="shared" si="11"/>
        <v/>
      </c>
      <c r="I351" s="53"/>
      <c r="N351" s="8">
        <v>0</v>
      </c>
      <c r="Q351" s="1"/>
      <c r="R351" s="1"/>
      <c r="S351" s="1"/>
      <c r="T351" s="8"/>
      <c r="U351" s="8"/>
      <c r="V351" s="1"/>
      <c r="W351" s="1"/>
      <c r="X351" s="1"/>
      <c r="Z351" s="8"/>
    </row>
    <row r="352" spans="1:26" x14ac:dyDescent="0.2">
      <c r="A352" s="12">
        <f t="shared" si="12"/>
        <v>340</v>
      </c>
      <c r="E352" s="10" t="str">
        <f t="shared" si="11"/>
        <v/>
      </c>
      <c r="I352" s="53"/>
      <c r="N352" s="8">
        <v>0</v>
      </c>
      <c r="Q352" s="1"/>
      <c r="R352" s="1"/>
      <c r="S352" s="1"/>
      <c r="T352" s="8"/>
      <c r="U352" s="8"/>
      <c r="V352" s="1"/>
      <c r="W352" s="1"/>
      <c r="X352" s="1"/>
      <c r="Z352" s="8"/>
    </row>
    <row r="353" spans="1:26" x14ac:dyDescent="0.2">
      <c r="A353" s="12">
        <f t="shared" si="12"/>
        <v>341</v>
      </c>
      <c r="E353" s="10" t="str">
        <f t="shared" si="11"/>
        <v/>
      </c>
      <c r="I353" s="53"/>
      <c r="N353" s="8">
        <v>0</v>
      </c>
      <c r="Q353" s="1"/>
      <c r="R353" s="1"/>
      <c r="S353" s="1"/>
      <c r="T353" s="8"/>
      <c r="U353" s="8"/>
      <c r="V353" s="1"/>
      <c r="W353" s="1"/>
      <c r="X353" s="1"/>
      <c r="Z353" s="8"/>
    </row>
    <row r="354" spans="1:26" x14ac:dyDescent="0.2">
      <c r="A354" s="12">
        <f t="shared" si="12"/>
        <v>342</v>
      </c>
      <c r="E354" s="10" t="str">
        <f t="shared" si="11"/>
        <v/>
      </c>
      <c r="I354" s="53"/>
      <c r="N354" s="8">
        <v>0</v>
      </c>
      <c r="Q354" s="1"/>
      <c r="R354" s="1"/>
      <c r="S354" s="1"/>
      <c r="T354" s="8"/>
      <c r="U354" s="8"/>
      <c r="V354" s="1"/>
      <c r="W354" s="1"/>
      <c r="X354" s="1"/>
      <c r="Z354" s="8"/>
    </row>
    <row r="355" spans="1:26" x14ac:dyDescent="0.2">
      <c r="A355" s="12">
        <f t="shared" si="12"/>
        <v>343</v>
      </c>
      <c r="E355" s="10" t="str">
        <f t="shared" si="11"/>
        <v/>
      </c>
      <c r="I355" s="53"/>
      <c r="N355" s="8">
        <v>0</v>
      </c>
      <c r="Q355" s="1"/>
      <c r="R355" s="1"/>
      <c r="S355" s="1"/>
      <c r="T355" s="8"/>
      <c r="U355" s="8"/>
      <c r="V355" s="1"/>
      <c r="W355" s="1"/>
      <c r="X355" s="1"/>
      <c r="Z355" s="8"/>
    </row>
    <row r="356" spans="1:26" x14ac:dyDescent="0.2">
      <c r="A356" s="12">
        <f t="shared" si="12"/>
        <v>344</v>
      </c>
      <c r="E356" s="10" t="str">
        <f t="shared" si="11"/>
        <v/>
      </c>
      <c r="I356" s="53"/>
      <c r="N356" s="8">
        <v>0</v>
      </c>
      <c r="Q356" s="1"/>
      <c r="R356" s="1"/>
      <c r="S356" s="1"/>
      <c r="T356" s="8"/>
      <c r="U356" s="8"/>
      <c r="V356" s="1"/>
      <c r="W356" s="1"/>
      <c r="X356" s="1"/>
      <c r="Z356" s="8"/>
    </row>
    <row r="357" spans="1:26" x14ac:dyDescent="0.2">
      <c r="A357" s="12">
        <f t="shared" si="12"/>
        <v>345</v>
      </c>
      <c r="E357" s="10" t="str">
        <f t="shared" si="11"/>
        <v/>
      </c>
      <c r="I357" s="53"/>
      <c r="N357" s="8">
        <v>0</v>
      </c>
      <c r="Q357" s="1"/>
      <c r="R357" s="1"/>
      <c r="S357" s="1"/>
      <c r="T357" s="8"/>
      <c r="U357" s="8"/>
      <c r="V357" s="1"/>
      <c r="W357" s="1"/>
      <c r="X357" s="1"/>
      <c r="Z357" s="8"/>
    </row>
    <row r="358" spans="1:26" x14ac:dyDescent="0.2">
      <c r="A358" s="12">
        <f t="shared" si="12"/>
        <v>346</v>
      </c>
      <c r="E358" s="10" t="str">
        <f t="shared" si="11"/>
        <v/>
      </c>
      <c r="I358" s="53"/>
      <c r="N358" s="8">
        <v>0</v>
      </c>
      <c r="Q358" s="1"/>
      <c r="R358" s="1"/>
      <c r="S358" s="1"/>
      <c r="T358" s="8"/>
      <c r="U358" s="8"/>
      <c r="V358" s="1"/>
      <c r="W358" s="1"/>
      <c r="X358" s="1"/>
      <c r="Z358" s="8"/>
    </row>
    <row r="359" spans="1:26" x14ac:dyDescent="0.2">
      <c r="A359" s="12">
        <f t="shared" si="12"/>
        <v>347</v>
      </c>
      <c r="E359" s="10" t="str">
        <f t="shared" si="11"/>
        <v/>
      </c>
      <c r="I359" s="53"/>
      <c r="N359" s="8">
        <v>0</v>
      </c>
      <c r="Q359" s="1"/>
      <c r="R359" s="1"/>
      <c r="S359" s="1"/>
      <c r="T359" s="8"/>
      <c r="U359" s="8"/>
      <c r="V359" s="1"/>
      <c r="W359" s="1"/>
      <c r="X359" s="1"/>
      <c r="Z359" s="8"/>
    </row>
    <row r="360" spans="1:26" x14ac:dyDescent="0.2">
      <c r="A360" s="12">
        <f t="shared" si="12"/>
        <v>348</v>
      </c>
      <c r="E360" s="10" t="str">
        <f t="shared" si="11"/>
        <v/>
      </c>
      <c r="I360" s="53"/>
      <c r="N360" s="8">
        <v>0</v>
      </c>
      <c r="Q360" s="1"/>
      <c r="R360" s="1"/>
      <c r="S360" s="1"/>
      <c r="T360" s="8"/>
      <c r="U360" s="8"/>
      <c r="V360" s="1"/>
      <c r="W360" s="1"/>
      <c r="X360" s="1"/>
      <c r="Z360" s="8"/>
    </row>
    <row r="361" spans="1:26" x14ac:dyDescent="0.2">
      <c r="A361" s="12">
        <f t="shared" si="12"/>
        <v>349</v>
      </c>
      <c r="E361" s="10" t="str">
        <f t="shared" si="11"/>
        <v/>
      </c>
      <c r="I361" s="53"/>
      <c r="N361" s="8">
        <v>0</v>
      </c>
      <c r="Q361" s="1"/>
      <c r="R361" s="1"/>
      <c r="S361" s="1"/>
      <c r="T361" s="8"/>
      <c r="U361" s="8"/>
      <c r="V361" s="1"/>
      <c r="W361" s="1"/>
      <c r="X361" s="1"/>
      <c r="Z361" s="8"/>
    </row>
    <row r="362" spans="1:26" x14ac:dyDescent="0.2">
      <c r="A362" s="12">
        <f t="shared" si="12"/>
        <v>350</v>
      </c>
      <c r="E362" s="10" t="str">
        <f t="shared" si="11"/>
        <v/>
      </c>
      <c r="I362" s="53"/>
      <c r="N362" s="8">
        <v>0</v>
      </c>
      <c r="Q362" s="1"/>
      <c r="R362" s="1"/>
      <c r="S362" s="1"/>
      <c r="T362" s="8"/>
      <c r="U362" s="8"/>
      <c r="V362" s="1"/>
      <c r="W362" s="1"/>
      <c r="X362" s="1"/>
      <c r="Z362" s="8"/>
    </row>
    <row r="363" spans="1:26" x14ac:dyDescent="0.2">
      <c r="A363" s="12">
        <f t="shared" si="12"/>
        <v>351</v>
      </c>
      <c r="E363" s="10" t="str">
        <f t="shared" si="11"/>
        <v/>
      </c>
      <c r="I363" s="53"/>
      <c r="N363" s="8">
        <v>0</v>
      </c>
      <c r="Q363" s="1"/>
      <c r="R363" s="1"/>
      <c r="S363" s="1"/>
      <c r="T363" s="8"/>
      <c r="U363" s="8"/>
      <c r="V363" s="1"/>
      <c r="W363" s="1"/>
      <c r="X363" s="1"/>
      <c r="Z363" s="8"/>
    </row>
    <row r="364" spans="1:26" x14ac:dyDescent="0.2">
      <c r="A364" s="12">
        <f t="shared" si="12"/>
        <v>352</v>
      </c>
      <c r="E364" s="10" t="str">
        <f t="shared" si="11"/>
        <v/>
      </c>
      <c r="I364" s="53"/>
      <c r="N364" s="8">
        <v>0</v>
      </c>
      <c r="Q364" s="1"/>
      <c r="R364" s="1"/>
      <c r="S364" s="1"/>
      <c r="T364" s="8"/>
      <c r="U364" s="8"/>
      <c r="V364" s="1"/>
      <c r="W364" s="1"/>
      <c r="X364" s="1"/>
      <c r="Z364" s="8"/>
    </row>
    <row r="365" spans="1:26" x14ac:dyDescent="0.2">
      <c r="A365" s="12">
        <f t="shared" si="12"/>
        <v>353</v>
      </c>
      <c r="E365" s="10" t="str">
        <f t="shared" si="11"/>
        <v/>
      </c>
      <c r="I365" s="53"/>
      <c r="N365" s="8">
        <v>0</v>
      </c>
      <c r="Q365" s="1"/>
      <c r="R365" s="1"/>
      <c r="S365" s="1"/>
      <c r="T365" s="8"/>
      <c r="U365" s="8"/>
      <c r="V365" s="1"/>
      <c r="W365" s="1"/>
      <c r="X365" s="1"/>
      <c r="Z365" s="8"/>
    </row>
    <row r="366" spans="1:26" x14ac:dyDescent="0.2">
      <c r="A366" s="12">
        <f t="shared" si="12"/>
        <v>354</v>
      </c>
      <c r="E366" s="10" t="str">
        <f t="shared" si="11"/>
        <v/>
      </c>
      <c r="I366" s="53"/>
      <c r="N366" s="8">
        <v>0</v>
      </c>
      <c r="Q366" s="1"/>
      <c r="R366" s="1"/>
      <c r="S366" s="1"/>
      <c r="T366" s="8"/>
      <c r="U366" s="8"/>
      <c r="V366" s="1"/>
      <c r="W366" s="1"/>
      <c r="X366" s="1"/>
      <c r="Z366" s="8"/>
    </row>
    <row r="367" spans="1:26" x14ac:dyDescent="0.2">
      <c r="A367" s="12">
        <f t="shared" si="12"/>
        <v>355</v>
      </c>
      <c r="E367" s="10" t="str">
        <f t="shared" si="11"/>
        <v/>
      </c>
      <c r="I367" s="53"/>
      <c r="N367" s="8">
        <v>0</v>
      </c>
      <c r="Q367" s="1"/>
      <c r="R367" s="1"/>
      <c r="S367" s="1"/>
      <c r="T367" s="8"/>
      <c r="U367" s="8"/>
      <c r="V367" s="1"/>
      <c r="W367" s="1"/>
      <c r="X367" s="1"/>
      <c r="Z367" s="8"/>
    </row>
    <row r="368" spans="1:26" x14ac:dyDescent="0.2">
      <c r="A368" s="12">
        <f t="shared" si="12"/>
        <v>356</v>
      </c>
      <c r="E368" s="10" t="str">
        <f t="shared" si="11"/>
        <v/>
      </c>
      <c r="I368" s="53"/>
      <c r="N368" s="8">
        <v>0</v>
      </c>
      <c r="Q368" s="1"/>
      <c r="R368" s="1"/>
      <c r="S368" s="1"/>
      <c r="T368" s="8"/>
      <c r="U368" s="8"/>
      <c r="V368" s="1"/>
      <c r="W368" s="1"/>
      <c r="X368" s="1"/>
      <c r="Z368" s="8"/>
    </row>
    <row r="369" spans="1:26" x14ac:dyDescent="0.2">
      <c r="A369" s="12">
        <f t="shared" si="12"/>
        <v>357</v>
      </c>
      <c r="E369" s="10" t="str">
        <f t="shared" si="11"/>
        <v/>
      </c>
      <c r="I369" s="53"/>
      <c r="N369" s="8">
        <v>0</v>
      </c>
      <c r="Q369" s="1"/>
      <c r="R369" s="1"/>
      <c r="S369" s="1"/>
      <c r="T369" s="8"/>
      <c r="U369" s="8"/>
      <c r="V369" s="1"/>
      <c r="W369" s="1"/>
      <c r="X369" s="1"/>
      <c r="Z369" s="8"/>
    </row>
    <row r="370" spans="1:26" x14ac:dyDescent="0.2">
      <c r="A370" s="12">
        <f t="shared" si="12"/>
        <v>358</v>
      </c>
      <c r="E370" s="10" t="str">
        <f t="shared" si="11"/>
        <v/>
      </c>
      <c r="I370" s="53"/>
      <c r="N370" s="8">
        <v>0</v>
      </c>
      <c r="Q370" s="1"/>
      <c r="R370" s="1"/>
      <c r="S370" s="1"/>
      <c r="T370" s="8"/>
      <c r="U370" s="8"/>
      <c r="V370" s="1"/>
      <c r="W370" s="1"/>
      <c r="X370" s="1"/>
      <c r="Z370" s="8"/>
    </row>
    <row r="371" spans="1:26" x14ac:dyDescent="0.2">
      <c r="A371" s="12">
        <f t="shared" si="12"/>
        <v>359</v>
      </c>
      <c r="E371" s="10" t="str">
        <f t="shared" si="11"/>
        <v/>
      </c>
      <c r="I371" s="53"/>
      <c r="N371" s="8">
        <v>0</v>
      </c>
      <c r="Q371" s="1"/>
      <c r="R371" s="1"/>
      <c r="S371" s="1"/>
      <c r="T371" s="8"/>
      <c r="U371" s="8"/>
      <c r="V371" s="1"/>
      <c r="W371" s="1"/>
      <c r="X371" s="1"/>
      <c r="Z371" s="8"/>
    </row>
    <row r="372" spans="1:26" x14ac:dyDescent="0.2">
      <c r="A372" s="12">
        <f t="shared" si="12"/>
        <v>360</v>
      </c>
      <c r="E372" s="10" t="str">
        <f t="shared" si="11"/>
        <v/>
      </c>
      <c r="I372" s="53"/>
      <c r="N372" s="8">
        <v>0</v>
      </c>
      <c r="Q372" s="1"/>
      <c r="R372" s="1"/>
      <c r="S372" s="1"/>
      <c r="T372" s="8"/>
      <c r="U372" s="8"/>
      <c r="V372" s="1"/>
      <c r="W372" s="1"/>
      <c r="X372" s="1"/>
      <c r="Z372" s="8"/>
    </row>
    <row r="373" spans="1:26" x14ac:dyDescent="0.2">
      <c r="A373" s="12">
        <f t="shared" si="12"/>
        <v>361</v>
      </c>
      <c r="E373" s="10" t="str">
        <f t="shared" si="11"/>
        <v/>
      </c>
      <c r="I373" s="53"/>
      <c r="N373" s="8">
        <v>0</v>
      </c>
      <c r="Q373" s="1"/>
      <c r="R373" s="1"/>
      <c r="S373" s="1"/>
      <c r="T373" s="8"/>
      <c r="U373" s="8"/>
      <c r="V373" s="1"/>
      <c r="W373" s="1"/>
      <c r="X373" s="1"/>
      <c r="Z373" s="8"/>
    </row>
    <row r="374" spans="1:26" x14ac:dyDescent="0.2">
      <c r="A374" s="12">
        <f t="shared" si="12"/>
        <v>362</v>
      </c>
      <c r="E374" s="10" t="str">
        <f t="shared" si="11"/>
        <v/>
      </c>
      <c r="I374" s="53"/>
      <c r="N374" s="8">
        <v>0</v>
      </c>
      <c r="Q374" s="1"/>
      <c r="R374" s="1"/>
      <c r="S374" s="1"/>
      <c r="T374" s="8"/>
      <c r="U374" s="8"/>
      <c r="V374" s="1"/>
      <c r="W374" s="1"/>
      <c r="X374" s="1"/>
      <c r="Z374" s="8"/>
    </row>
    <row r="375" spans="1:26" x14ac:dyDescent="0.2">
      <c r="A375" s="12">
        <f t="shared" si="12"/>
        <v>363</v>
      </c>
      <c r="E375" s="10" t="str">
        <f t="shared" si="11"/>
        <v/>
      </c>
      <c r="I375" s="53"/>
      <c r="N375" s="8">
        <v>0</v>
      </c>
      <c r="Q375" s="1"/>
      <c r="R375" s="1"/>
      <c r="S375" s="1"/>
      <c r="T375" s="8"/>
      <c r="U375" s="8"/>
      <c r="V375" s="1"/>
      <c r="W375" s="1"/>
      <c r="X375" s="1"/>
      <c r="Z375" s="8"/>
    </row>
    <row r="376" spans="1:26" x14ac:dyDescent="0.2">
      <c r="A376" s="12">
        <f t="shared" si="12"/>
        <v>364</v>
      </c>
      <c r="E376" s="10" t="str">
        <f t="shared" si="11"/>
        <v/>
      </c>
      <c r="I376" s="53"/>
      <c r="N376" s="8">
        <v>0</v>
      </c>
      <c r="Q376" s="1"/>
      <c r="R376" s="1"/>
      <c r="S376" s="1"/>
      <c r="T376" s="8"/>
      <c r="U376" s="8"/>
      <c r="V376" s="1"/>
      <c r="W376" s="1"/>
      <c r="X376" s="1"/>
      <c r="Z376" s="8"/>
    </row>
    <row r="377" spans="1:26" x14ac:dyDescent="0.2">
      <c r="A377" s="12">
        <f t="shared" si="12"/>
        <v>365</v>
      </c>
      <c r="E377" s="10" t="str">
        <f t="shared" si="11"/>
        <v/>
      </c>
      <c r="I377" s="53"/>
      <c r="N377" s="8">
        <v>0</v>
      </c>
      <c r="Q377" s="1"/>
      <c r="R377" s="1"/>
      <c r="S377" s="1"/>
      <c r="T377" s="8"/>
      <c r="U377" s="8"/>
      <c r="V377" s="1"/>
      <c r="W377" s="1"/>
      <c r="X377" s="1"/>
      <c r="Z377" s="8"/>
    </row>
    <row r="378" spans="1:26" x14ac:dyDescent="0.2">
      <c r="A378" s="12">
        <f t="shared" si="12"/>
        <v>366</v>
      </c>
      <c r="E378" s="10" t="str">
        <f t="shared" si="11"/>
        <v/>
      </c>
      <c r="I378" s="53"/>
      <c r="N378" s="8">
        <v>0</v>
      </c>
      <c r="Q378" s="1"/>
      <c r="R378" s="1"/>
      <c r="S378" s="1"/>
      <c r="T378" s="8"/>
      <c r="U378" s="8"/>
      <c r="V378" s="1"/>
      <c r="W378" s="1"/>
      <c r="X378" s="1"/>
      <c r="Z378" s="8"/>
    </row>
    <row r="379" spans="1:26" x14ac:dyDescent="0.2">
      <c r="A379" s="12">
        <f t="shared" si="12"/>
        <v>367</v>
      </c>
      <c r="E379" s="10" t="str">
        <f t="shared" si="11"/>
        <v/>
      </c>
      <c r="I379" s="53"/>
      <c r="N379" s="8">
        <v>0</v>
      </c>
      <c r="Q379" s="1"/>
      <c r="R379" s="1"/>
      <c r="S379" s="1"/>
      <c r="T379" s="8"/>
      <c r="U379" s="8"/>
      <c r="V379" s="1"/>
      <c r="W379" s="1"/>
      <c r="X379" s="1"/>
      <c r="Z379" s="8"/>
    </row>
    <row r="380" spans="1:26" x14ac:dyDescent="0.2">
      <c r="A380" s="12">
        <f t="shared" si="12"/>
        <v>368</v>
      </c>
      <c r="E380" s="10" t="str">
        <f t="shared" si="11"/>
        <v/>
      </c>
      <c r="I380" s="53"/>
      <c r="N380" s="8">
        <v>0</v>
      </c>
      <c r="Q380" s="1"/>
      <c r="R380" s="1"/>
      <c r="S380" s="1"/>
      <c r="T380" s="8"/>
      <c r="U380" s="8"/>
      <c r="V380" s="1"/>
      <c r="W380" s="1"/>
      <c r="X380" s="1"/>
      <c r="Z380" s="8"/>
    </row>
    <row r="381" spans="1:26" x14ac:dyDescent="0.2">
      <c r="A381" s="12">
        <f t="shared" si="12"/>
        <v>369</v>
      </c>
      <c r="E381" s="10" t="str">
        <f t="shared" si="11"/>
        <v/>
      </c>
      <c r="I381" s="53"/>
      <c r="N381" s="8">
        <v>0</v>
      </c>
      <c r="Q381" s="1"/>
      <c r="R381" s="1"/>
      <c r="S381" s="1"/>
      <c r="T381" s="8"/>
      <c r="U381" s="8"/>
      <c r="V381" s="1"/>
      <c r="W381" s="1"/>
      <c r="X381" s="1"/>
      <c r="Z381" s="8"/>
    </row>
    <row r="382" spans="1:26" x14ac:dyDescent="0.2">
      <c r="A382" s="12">
        <f t="shared" si="12"/>
        <v>370</v>
      </c>
      <c r="E382" s="10" t="str">
        <f t="shared" si="11"/>
        <v/>
      </c>
      <c r="I382" s="53"/>
      <c r="N382" s="8">
        <v>0</v>
      </c>
      <c r="Q382" s="1"/>
      <c r="R382" s="1"/>
      <c r="S382" s="1"/>
      <c r="T382" s="8"/>
      <c r="U382" s="8"/>
      <c r="V382" s="1"/>
      <c r="W382" s="1"/>
      <c r="X382" s="1"/>
      <c r="Z382" s="8"/>
    </row>
    <row r="383" spans="1:26" x14ac:dyDescent="0.2">
      <c r="A383" s="12">
        <f t="shared" si="12"/>
        <v>371</v>
      </c>
      <c r="E383" s="10" t="str">
        <f t="shared" si="11"/>
        <v/>
      </c>
      <c r="I383" s="53"/>
      <c r="N383" s="8">
        <v>0</v>
      </c>
      <c r="Q383" s="1"/>
      <c r="R383" s="1"/>
      <c r="S383" s="1"/>
      <c r="T383" s="8"/>
      <c r="U383" s="8"/>
      <c r="V383" s="1"/>
      <c r="W383" s="1"/>
      <c r="X383" s="1"/>
      <c r="Z383" s="8"/>
    </row>
    <row r="384" spans="1:26" x14ac:dyDescent="0.2">
      <c r="A384" s="12">
        <f t="shared" si="12"/>
        <v>372</v>
      </c>
      <c r="E384" s="10" t="str">
        <f t="shared" si="11"/>
        <v/>
      </c>
      <c r="I384" s="53"/>
      <c r="N384" s="8">
        <v>0</v>
      </c>
      <c r="Q384" s="1"/>
      <c r="R384" s="1"/>
      <c r="S384" s="1"/>
      <c r="T384" s="8"/>
      <c r="U384" s="8"/>
      <c r="V384" s="1"/>
      <c r="W384" s="1"/>
      <c r="X384" s="1"/>
      <c r="Z384" s="8"/>
    </row>
    <row r="385" spans="1:26" x14ac:dyDescent="0.2">
      <c r="A385" s="12">
        <f t="shared" si="12"/>
        <v>373</v>
      </c>
      <c r="E385" s="10" t="str">
        <f t="shared" si="11"/>
        <v/>
      </c>
      <c r="I385" s="53"/>
      <c r="N385" s="8">
        <v>0</v>
      </c>
      <c r="Q385" s="1"/>
      <c r="R385" s="1"/>
      <c r="S385" s="1"/>
      <c r="T385" s="8"/>
      <c r="U385" s="8"/>
      <c r="V385" s="1"/>
      <c r="W385" s="1"/>
      <c r="X385" s="1"/>
      <c r="Z385" s="8"/>
    </row>
    <row r="386" spans="1:26" x14ac:dyDescent="0.2">
      <c r="A386" s="12">
        <f t="shared" si="12"/>
        <v>374</v>
      </c>
      <c r="E386" s="10" t="str">
        <f t="shared" si="11"/>
        <v/>
      </c>
      <c r="I386" s="53"/>
      <c r="N386" s="8">
        <v>0</v>
      </c>
      <c r="Q386" s="1"/>
      <c r="R386" s="1"/>
      <c r="S386" s="1"/>
      <c r="T386" s="8"/>
      <c r="U386" s="8"/>
      <c r="V386" s="1"/>
      <c r="W386" s="1"/>
      <c r="X386" s="1"/>
      <c r="Z386" s="8"/>
    </row>
    <row r="387" spans="1:26" x14ac:dyDescent="0.2">
      <c r="A387" s="12">
        <f t="shared" si="12"/>
        <v>375</v>
      </c>
      <c r="E387" s="10" t="str">
        <f t="shared" si="11"/>
        <v/>
      </c>
      <c r="I387" s="53"/>
      <c r="N387" s="8">
        <v>0</v>
      </c>
      <c r="Q387" s="1"/>
      <c r="R387" s="1"/>
      <c r="S387" s="1"/>
      <c r="T387" s="8"/>
      <c r="U387" s="8"/>
      <c r="V387" s="1"/>
      <c r="W387" s="1"/>
      <c r="X387" s="1"/>
      <c r="Z387" s="8"/>
    </row>
    <row r="388" spans="1:26" x14ac:dyDescent="0.2">
      <c r="A388" s="12">
        <f t="shared" si="12"/>
        <v>376</v>
      </c>
      <c r="E388" s="10" t="str">
        <f t="shared" si="11"/>
        <v/>
      </c>
      <c r="I388" s="53"/>
      <c r="N388" s="8">
        <v>0</v>
      </c>
      <c r="Q388" s="1"/>
      <c r="R388" s="1"/>
      <c r="S388" s="1"/>
      <c r="T388" s="8"/>
      <c r="U388" s="8"/>
      <c r="V388" s="1"/>
      <c r="W388" s="1"/>
      <c r="X388" s="1"/>
      <c r="Z388" s="8"/>
    </row>
    <row r="389" spans="1:26" x14ac:dyDescent="0.2">
      <c r="A389" s="12">
        <f t="shared" si="12"/>
        <v>377</v>
      </c>
      <c r="E389" s="10" t="str">
        <f t="shared" si="11"/>
        <v/>
      </c>
      <c r="I389" s="53"/>
      <c r="N389" s="8">
        <v>0</v>
      </c>
      <c r="Q389" s="1"/>
      <c r="R389" s="1"/>
      <c r="S389" s="1"/>
      <c r="T389" s="8"/>
      <c r="U389" s="8"/>
      <c r="V389" s="1"/>
      <c r="W389" s="1"/>
      <c r="X389" s="1"/>
      <c r="Z389" s="8"/>
    </row>
    <row r="390" spans="1:26" x14ac:dyDescent="0.2">
      <c r="A390" s="12">
        <f t="shared" si="12"/>
        <v>378</v>
      </c>
      <c r="E390" s="10" t="str">
        <f t="shared" si="11"/>
        <v/>
      </c>
      <c r="I390" s="53"/>
      <c r="N390" s="8">
        <v>0</v>
      </c>
      <c r="Q390" s="1"/>
      <c r="R390" s="1"/>
      <c r="S390" s="1"/>
      <c r="T390" s="8"/>
      <c r="U390" s="8"/>
      <c r="V390" s="1"/>
      <c r="W390" s="1"/>
      <c r="X390" s="1"/>
      <c r="Z390" s="8"/>
    </row>
    <row r="391" spans="1:26" x14ac:dyDescent="0.2">
      <c r="A391" s="12">
        <f t="shared" si="12"/>
        <v>379</v>
      </c>
      <c r="E391" s="10" t="str">
        <f t="shared" si="11"/>
        <v/>
      </c>
      <c r="I391" s="53"/>
      <c r="N391" s="8">
        <v>0</v>
      </c>
      <c r="Q391" s="1"/>
      <c r="R391" s="1"/>
      <c r="S391" s="1"/>
      <c r="T391" s="8"/>
      <c r="U391" s="8"/>
      <c r="V391" s="1"/>
      <c r="W391" s="1"/>
      <c r="X391" s="1"/>
      <c r="Z391" s="8"/>
    </row>
    <row r="392" spans="1:26" x14ac:dyDescent="0.2">
      <c r="A392" s="12">
        <f t="shared" si="12"/>
        <v>380</v>
      </c>
      <c r="E392" s="10" t="str">
        <f t="shared" si="11"/>
        <v/>
      </c>
      <c r="I392" s="53"/>
      <c r="N392" s="8">
        <v>0</v>
      </c>
      <c r="Q392" s="1"/>
      <c r="R392" s="1"/>
      <c r="S392" s="1"/>
      <c r="T392" s="8"/>
      <c r="U392" s="8"/>
      <c r="V392" s="1"/>
      <c r="W392" s="1"/>
      <c r="X392" s="1"/>
      <c r="Z392" s="8"/>
    </row>
    <row r="393" spans="1:26" x14ac:dyDescent="0.2">
      <c r="A393" s="12">
        <f t="shared" si="12"/>
        <v>381</v>
      </c>
      <c r="E393" s="10" t="str">
        <f t="shared" si="11"/>
        <v/>
      </c>
      <c r="I393" s="53"/>
      <c r="N393" s="8">
        <v>0</v>
      </c>
      <c r="Q393" s="1"/>
      <c r="R393" s="1"/>
      <c r="S393" s="1"/>
      <c r="T393" s="8"/>
      <c r="U393" s="8"/>
      <c r="V393" s="1"/>
      <c r="W393" s="1"/>
      <c r="X393" s="1"/>
      <c r="Z393" s="8"/>
    </row>
    <row r="394" spans="1:26" x14ac:dyDescent="0.2">
      <c r="A394" s="12">
        <f t="shared" si="12"/>
        <v>382</v>
      </c>
      <c r="E394" s="10" t="str">
        <f t="shared" si="11"/>
        <v/>
      </c>
      <c r="I394" s="53"/>
      <c r="N394" s="8">
        <v>0</v>
      </c>
      <c r="Q394" s="1"/>
      <c r="R394" s="1"/>
      <c r="S394" s="1"/>
      <c r="T394" s="8"/>
      <c r="U394" s="8"/>
      <c r="V394" s="1"/>
      <c r="W394" s="1"/>
      <c r="X394" s="1"/>
      <c r="Z394" s="8"/>
    </row>
    <row r="395" spans="1:26" x14ac:dyDescent="0.2">
      <c r="A395" s="12">
        <f t="shared" si="12"/>
        <v>383</v>
      </c>
      <c r="E395" s="10" t="str">
        <f t="shared" si="11"/>
        <v/>
      </c>
      <c r="I395" s="53"/>
      <c r="N395" s="8">
        <v>0</v>
      </c>
      <c r="Q395" s="1"/>
      <c r="R395" s="1"/>
      <c r="S395" s="1"/>
      <c r="T395" s="8"/>
      <c r="U395" s="8"/>
      <c r="V395" s="1"/>
      <c r="W395" s="1"/>
      <c r="X395" s="1"/>
      <c r="Z395" s="8"/>
    </row>
    <row r="396" spans="1:26" x14ac:dyDescent="0.2">
      <c r="A396" s="12">
        <f t="shared" si="12"/>
        <v>384</v>
      </c>
      <c r="E396" s="10" t="str">
        <f t="shared" si="11"/>
        <v/>
      </c>
      <c r="I396" s="53"/>
      <c r="N396" s="8">
        <v>0</v>
      </c>
      <c r="Q396" s="1"/>
      <c r="R396" s="1"/>
      <c r="S396" s="1"/>
      <c r="T396" s="8"/>
      <c r="U396" s="8"/>
      <c r="V396" s="1"/>
      <c r="W396" s="1"/>
      <c r="X396" s="1"/>
      <c r="Z396" s="8"/>
    </row>
    <row r="397" spans="1:26" x14ac:dyDescent="0.2">
      <c r="A397" s="12">
        <f t="shared" si="12"/>
        <v>385</v>
      </c>
      <c r="E397" s="10" t="str">
        <f t="shared" ref="E397:E460" si="13">IF($C$8&gt;=A397,$E$1&amp;" "&amp;A397,"")</f>
        <v/>
      </c>
      <c r="I397" s="53"/>
      <c r="N397" s="8">
        <v>0</v>
      </c>
      <c r="Q397" s="1"/>
      <c r="R397" s="1"/>
      <c r="S397" s="1"/>
      <c r="T397" s="8"/>
      <c r="U397" s="8"/>
      <c r="V397" s="1"/>
      <c r="W397" s="1"/>
      <c r="X397" s="1"/>
      <c r="Z397" s="8"/>
    </row>
    <row r="398" spans="1:26" x14ac:dyDescent="0.2">
      <c r="A398" s="12">
        <f t="shared" si="12"/>
        <v>386</v>
      </c>
      <c r="E398" s="10" t="str">
        <f t="shared" si="13"/>
        <v/>
      </c>
      <c r="I398" s="53"/>
      <c r="N398" s="8">
        <v>0</v>
      </c>
      <c r="Q398" s="1"/>
      <c r="R398" s="1"/>
      <c r="S398" s="1"/>
      <c r="T398" s="8"/>
      <c r="U398" s="8"/>
      <c r="V398" s="1"/>
      <c r="W398" s="1"/>
      <c r="X398" s="1"/>
      <c r="Z398" s="8"/>
    </row>
    <row r="399" spans="1:26" x14ac:dyDescent="0.2">
      <c r="A399" s="12">
        <f t="shared" ref="A399:A462" si="14">A398+1</f>
        <v>387</v>
      </c>
      <c r="E399" s="10" t="str">
        <f t="shared" si="13"/>
        <v/>
      </c>
      <c r="I399" s="53"/>
      <c r="N399" s="8">
        <v>0</v>
      </c>
      <c r="Q399" s="1"/>
      <c r="R399" s="1"/>
      <c r="S399" s="1"/>
      <c r="T399" s="8"/>
      <c r="U399" s="8"/>
      <c r="V399" s="1"/>
      <c r="W399" s="1"/>
      <c r="X399" s="1"/>
      <c r="Z399" s="8"/>
    </row>
    <row r="400" spans="1:26" x14ac:dyDescent="0.2">
      <c r="A400" s="12">
        <f t="shared" si="14"/>
        <v>388</v>
      </c>
      <c r="E400" s="10" t="str">
        <f t="shared" si="13"/>
        <v/>
      </c>
      <c r="I400" s="53"/>
      <c r="N400" s="8">
        <v>0</v>
      </c>
      <c r="Q400" s="1"/>
      <c r="R400" s="1"/>
      <c r="S400" s="1"/>
      <c r="T400" s="8"/>
      <c r="U400" s="8"/>
      <c r="V400" s="1"/>
      <c r="W400" s="1"/>
      <c r="X400" s="1"/>
      <c r="Z400" s="8"/>
    </row>
    <row r="401" spans="1:26" x14ac:dyDescent="0.2">
      <c r="A401" s="12">
        <f t="shared" si="14"/>
        <v>389</v>
      </c>
      <c r="E401" s="10" t="str">
        <f t="shared" si="13"/>
        <v/>
      </c>
      <c r="I401" s="53"/>
      <c r="N401" s="8">
        <v>0</v>
      </c>
      <c r="Q401" s="1"/>
      <c r="R401" s="1"/>
      <c r="S401" s="1"/>
      <c r="T401" s="8"/>
      <c r="U401" s="8"/>
      <c r="V401" s="1"/>
      <c r="W401" s="1"/>
      <c r="X401" s="1"/>
      <c r="Z401" s="8"/>
    </row>
    <row r="402" spans="1:26" x14ac:dyDescent="0.2">
      <c r="A402" s="12">
        <f t="shared" si="14"/>
        <v>390</v>
      </c>
      <c r="E402" s="10" t="str">
        <f t="shared" si="13"/>
        <v/>
      </c>
      <c r="I402" s="53"/>
      <c r="N402" s="8">
        <v>0</v>
      </c>
      <c r="Q402" s="1"/>
      <c r="R402" s="1"/>
      <c r="S402" s="1"/>
      <c r="T402" s="8"/>
      <c r="U402" s="8"/>
      <c r="V402" s="1"/>
      <c r="W402" s="1"/>
      <c r="X402" s="1"/>
      <c r="Z402" s="8"/>
    </row>
    <row r="403" spans="1:26" x14ac:dyDescent="0.2">
      <c r="A403" s="12">
        <f t="shared" si="14"/>
        <v>391</v>
      </c>
      <c r="E403" s="10" t="str">
        <f t="shared" si="13"/>
        <v/>
      </c>
      <c r="I403" s="53"/>
      <c r="N403" s="8">
        <v>0</v>
      </c>
      <c r="Q403" s="1"/>
      <c r="R403" s="1"/>
      <c r="S403" s="1"/>
      <c r="T403" s="8"/>
      <c r="U403" s="8"/>
      <c r="V403" s="1"/>
      <c r="W403" s="1"/>
      <c r="X403" s="1"/>
      <c r="Z403" s="8"/>
    </row>
    <row r="404" spans="1:26" x14ac:dyDescent="0.2">
      <c r="A404" s="12">
        <f t="shared" si="14"/>
        <v>392</v>
      </c>
      <c r="E404" s="10" t="str">
        <f t="shared" si="13"/>
        <v/>
      </c>
      <c r="I404" s="53"/>
      <c r="N404" s="8">
        <v>0</v>
      </c>
      <c r="Q404" s="1"/>
      <c r="R404" s="1"/>
      <c r="S404" s="1"/>
      <c r="T404" s="8"/>
      <c r="U404" s="8"/>
      <c r="V404" s="1"/>
      <c r="W404" s="1"/>
      <c r="X404" s="1"/>
      <c r="Z404" s="8"/>
    </row>
    <row r="405" spans="1:26" x14ac:dyDescent="0.2">
      <c r="A405" s="12">
        <f t="shared" si="14"/>
        <v>393</v>
      </c>
      <c r="E405" s="10" t="str">
        <f t="shared" si="13"/>
        <v/>
      </c>
      <c r="I405" s="53"/>
      <c r="N405" s="8">
        <v>0</v>
      </c>
      <c r="Q405" s="1"/>
      <c r="R405" s="1"/>
      <c r="S405" s="1"/>
      <c r="T405" s="8"/>
      <c r="U405" s="8"/>
      <c r="V405" s="1"/>
      <c r="W405" s="1"/>
      <c r="X405" s="1"/>
      <c r="Z405" s="8"/>
    </row>
    <row r="406" spans="1:26" x14ac:dyDescent="0.2">
      <c r="A406" s="12">
        <f t="shared" si="14"/>
        <v>394</v>
      </c>
      <c r="E406" s="10" t="str">
        <f t="shared" si="13"/>
        <v/>
      </c>
      <c r="I406" s="53"/>
      <c r="N406" s="8">
        <v>0</v>
      </c>
      <c r="Q406" s="1"/>
      <c r="R406" s="1"/>
      <c r="S406" s="1"/>
      <c r="T406" s="8"/>
      <c r="U406" s="8"/>
      <c r="V406" s="1"/>
      <c r="W406" s="1"/>
      <c r="X406" s="1"/>
      <c r="Z406" s="8"/>
    </row>
    <row r="407" spans="1:26" x14ac:dyDescent="0.2">
      <c r="A407" s="12">
        <f t="shared" si="14"/>
        <v>395</v>
      </c>
      <c r="E407" s="10" t="str">
        <f t="shared" si="13"/>
        <v/>
      </c>
      <c r="I407" s="53"/>
      <c r="N407" s="8">
        <v>0</v>
      </c>
      <c r="Q407" s="1"/>
      <c r="R407" s="1"/>
      <c r="S407" s="1"/>
      <c r="T407" s="8"/>
      <c r="U407" s="8"/>
      <c r="V407" s="1"/>
      <c r="W407" s="1"/>
      <c r="X407" s="1"/>
      <c r="Z407" s="8"/>
    </row>
    <row r="408" spans="1:26" x14ac:dyDescent="0.2">
      <c r="A408" s="12">
        <f t="shared" si="14"/>
        <v>396</v>
      </c>
      <c r="E408" s="10" t="str">
        <f t="shared" si="13"/>
        <v/>
      </c>
      <c r="I408" s="53"/>
      <c r="N408" s="8">
        <v>0</v>
      </c>
      <c r="Q408" s="1"/>
      <c r="R408" s="1"/>
      <c r="S408" s="1"/>
      <c r="T408" s="8"/>
      <c r="U408" s="8"/>
      <c r="V408" s="1"/>
      <c r="W408" s="1"/>
      <c r="X408" s="1"/>
      <c r="Z408" s="8"/>
    </row>
    <row r="409" spans="1:26" x14ac:dyDescent="0.2">
      <c r="A409" s="12">
        <f t="shared" si="14"/>
        <v>397</v>
      </c>
      <c r="E409" s="10" t="str">
        <f t="shared" si="13"/>
        <v/>
      </c>
      <c r="I409" s="53"/>
      <c r="N409" s="8">
        <v>0</v>
      </c>
      <c r="Q409" s="1"/>
      <c r="R409" s="1"/>
      <c r="S409" s="1"/>
      <c r="T409" s="8"/>
      <c r="U409" s="8"/>
      <c r="V409" s="1"/>
      <c r="W409" s="1"/>
      <c r="X409" s="1"/>
      <c r="Z409" s="8"/>
    </row>
    <row r="410" spans="1:26" x14ac:dyDescent="0.2">
      <c r="A410" s="12">
        <f t="shared" si="14"/>
        <v>398</v>
      </c>
      <c r="E410" s="10" t="str">
        <f t="shared" si="13"/>
        <v/>
      </c>
      <c r="I410" s="53"/>
      <c r="N410" s="8">
        <v>0</v>
      </c>
      <c r="Q410" s="1"/>
      <c r="R410" s="1"/>
      <c r="S410" s="1"/>
      <c r="T410" s="8"/>
      <c r="U410" s="8"/>
      <c r="V410" s="1"/>
      <c r="W410" s="1"/>
      <c r="X410" s="1"/>
      <c r="Z410" s="8"/>
    </row>
    <row r="411" spans="1:26" x14ac:dyDescent="0.2">
      <c r="A411" s="12">
        <f t="shared" si="14"/>
        <v>399</v>
      </c>
      <c r="E411" s="10" t="str">
        <f t="shared" si="13"/>
        <v/>
      </c>
      <c r="I411" s="53"/>
      <c r="N411" s="8">
        <v>0</v>
      </c>
      <c r="Q411" s="1"/>
      <c r="R411" s="1"/>
      <c r="S411" s="1"/>
      <c r="T411" s="8"/>
      <c r="U411" s="8"/>
      <c r="V411" s="1"/>
      <c r="W411" s="1"/>
      <c r="X411" s="1"/>
      <c r="Z411" s="8"/>
    </row>
    <row r="412" spans="1:26" x14ac:dyDescent="0.2">
      <c r="A412" s="12">
        <f t="shared" si="14"/>
        <v>400</v>
      </c>
      <c r="E412" s="10" t="str">
        <f t="shared" si="13"/>
        <v/>
      </c>
      <c r="I412" s="53"/>
      <c r="N412" s="8">
        <v>0</v>
      </c>
      <c r="Q412" s="1"/>
      <c r="R412" s="1"/>
      <c r="S412" s="1"/>
      <c r="T412" s="8"/>
      <c r="U412" s="8"/>
      <c r="V412" s="1"/>
      <c r="W412" s="1"/>
      <c r="X412" s="1"/>
      <c r="Z412" s="8"/>
    </row>
    <row r="413" spans="1:26" x14ac:dyDescent="0.2">
      <c r="A413" s="12">
        <f t="shared" si="14"/>
        <v>401</v>
      </c>
      <c r="E413" s="10" t="str">
        <f t="shared" si="13"/>
        <v/>
      </c>
      <c r="I413" s="53"/>
      <c r="N413" s="8">
        <v>0</v>
      </c>
      <c r="Q413" s="1"/>
      <c r="R413" s="1"/>
      <c r="S413" s="1"/>
      <c r="T413" s="8"/>
      <c r="U413" s="8"/>
      <c r="V413" s="1"/>
      <c r="W413" s="1"/>
      <c r="X413" s="1"/>
      <c r="Z413" s="8"/>
    </row>
    <row r="414" spans="1:26" x14ac:dyDescent="0.2">
      <c r="A414" s="12">
        <f t="shared" si="14"/>
        <v>402</v>
      </c>
      <c r="E414" s="10" t="str">
        <f t="shared" si="13"/>
        <v/>
      </c>
      <c r="I414" s="53"/>
      <c r="N414" s="8">
        <v>0</v>
      </c>
      <c r="Q414" s="1"/>
      <c r="R414" s="1"/>
      <c r="S414" s="1"/>
      <c r="T414" s="8"/>
      <c r="U414" s="8"/>
      <c r="V414" s="1"/>
      <c r="W414" s="1"/>
      <c r="X414" s="1"/>
      <c r="Z414" s="8"/>
    </row>
    <row r="415" spans="1:26" x14ac:dyDescent="0.2">
      <c r="A415" s="12">
        <f t="shared" si="14"/>
        <v>403</v>
      </c>
      <c r="E415" s="10" t="str">
        <f t="shared" si="13"/>
        <v/>
      </c>
      <c r="I415" s="53"/>
      <c r="N415" s="8">
        <v>0</v>
      </c>
      <c r="Q415" s="1"/>
      <c r="R415" s="1"/>
      <c r="S415" s="1"/>
      <c r="T415" s="8"/>
      <c r="U415" s="8"/>
      <c r="V415" s="1"/>
      <c r="W415" s="1"/>
      <c r="X415" s="1"/>
      <c r="Z415" s="8"/>
    </row>
    <row r="416" spans="1:26" x14ac:dyDescent="0.2">
      <c r="A416" s="12">
        <f t="shared" si="14"/>
        <v>404</v>
      </c>
      <c r="E416" s="10" t="str">
        <f t="shared" si="13"/>
        <v/>
      </c>
      <c r="I416" s="53"/>
      <c r="N416" s="8">
        <v>0</v>
      </c>
      <c r="Q416" s="1"/>
      <c r="R416" s="1"/>
      <c r="S416" s="1"/>
      <c r="T416" s="8"/>
      <c r="U416" s="8"/>
      <c r="V416" s="1"/>
      <c r="W416" s="1"/>
      <c r="X416" s="1"/>
      <c r="Z416" s="8"/>
    </row>
    <row r="417" spans="1:26" x14ac:dyDescent="0.2">
      <c r="A417" s="12">
        <f t="shared" si="14"/>
        <v>405</v>
      </c>
      <c r="E417" s="10" t="str">
        <f t="shared" si="13"/>
        <v/>
      </c>
      <c r="I417" s="53"/>
      <c r="N417" s="8">
        <v>0</v>
      </c>
      <c r="Q417" s="1"/>
      <c r="R417" s="1"/>
      <c r="S417" s="1"/>
      <c r="T417" s="8"/>
      <c r="U417" s="8"/>
      <c r="V417" s="1"/>
      <c r="W417" s="1"/>
      <c r="X417" s="1"/>
      <c r="Z417" s="8"/>
    </row>
    <row r="418" spans="1:26" x14ac:dyDescent="0.2">
      <c r="A418" s="12">
        <f t="shared" si="14"/>
        <v>406</v>
      </c>
      <c r="E418" s="10" t="str">
        <f t="shared" si="13"/>
        <v/>
      </c>
      <c r="I418" s="53"/>
      <c r="N418" s="8">
        <v>0</v>
      </c>
      <c r="Q418" s="1"/>
      <c r="R418" s="1"/>
      <c r="S418" s="1"/>
      <c r="T418" s="8"/>
      <c r="U418" s="8"/>
      <c r="V418" s="1"/>
      <c r="W418" s="1"/>
      <c r="X418" s="1"/>
      <c r="Z418" s="8"/>
    </row>
    <row r="419" spans="1:26" x14ac:dyDescent="0.2">
      <c r="A419" s="12">
        <f t="shared" si="14"/>
        <v>407</v>
      </c>
      <c r="E419" s="10" t="str">
        <f t="shared" si="13"/>
        <v/>
      </c>
      <c r="I419" s="53"/>
      <c r="N419" s="8">
        <v>0</v>
      </c>
      <c r="Q419" s="1"/>
      <c r="R419" s="1"/>
      <c r="S419" s="1"/>
      <c r="T419" s="8"/>
      <c r="U419" s="8"/>
      <c r="V419" s="1"/>
      <c r="W419" s="1"/>
      <c r="X419" s="1"/>
      <c r="Z419" s="8"/>
    </row>
    <row r="420" spans="1:26" x14ac:dyDescent="0.2">
      <c r="A420" s="12">
        <f t="shared" si="14"/>
        <v>408</v>
      </c>
      <c r="E420" s="10" t="str">
        <f t="shared" si="13"/>
        <v/>
      </c>
      <c r="I420" s="53"/>
      <c r="N420" s="8">
        <v>0</v>
      </c>
      <c r="Q420" s="1"/>
      <c r="R420" s="1"/>
      <c r="S420" s="1"/>
      <c r="T420" s="8"/>
      <c r="U420" s="8"/>
      <c r="V420" s="1"/>
      <c r="W420" s="1"/>
      <c r="X420" s="1"/>
      <c r="Z420" s="8"/>
    </row>
    <row r="421" spans="1:26" x14ac:dyDescent="0.2">
      <c r="A421" s="12">
        <f t="shared" si="14"/>
        <v>409</v>
      </c>
      <c r="E421" s="10" t="str">
        <f t="shared" si="13"/>
        <v/>
      </c>
      <c r="I421" s="53"/>
      <c r="N421" s="8">
        <v>0</v>
      </c>
      <c r="Q421" s="1"/>
      <c r="R421" s="1"/>
      <c r="S421" s="1"/>
      <c r="T421" s="8"/>
      <c r="U421" s="8"/>
      <c r="V421" s="1"/>
      <c r="W421" s="1"/>
      <c r="X421" s="1"/>
      <c r="Z421" s="8"/>
    </row>
    <row r="422" spans="1:26" x14ac:dyDescent="0.2">
      <c r="A422" s="12">
        <f t="shared" si="14"/>
        <v>410</v>
      </c>
      <c r="E422" s="10" t="str">
        <f t="shared" si="13"/>
        <v/>
      </c>
      <c r="I422" s="53"/>
      <c r="N422" s="8">
        <v>0</v>
      </c>
      <c r="Q422" s="1"/>
      <c r="R422" s="1"/>
      <c r="S422" s="1"/>
      <c r="T422" s="8"/>
      <c r="U422" s="8"/>
      <c r="V422" s="1"/>
      <c r="W422" s="1"/>
      <c r="X422" s="1"/>
      <c r="Z422" s="8"/>
    </row>
    <row r="423" spans="1:26" x14ac:dyDescent="0.2">
      <c r="A423" s="12">
        <f t="shared" si="14"/>
        <v>411</v>
      </c>
      <c r="E423" s="10" t="str">
        <f t="shared" si="13"/>
        <v/>
      </c>
      <c r="I423" s="53"/>
      <c r="N423" s="8">
        <v>0</v>
      </c>
      <c r="Q423" s="1"/>
      <c r="R423" s="1"/>
      <c r="S423" s="1"/>
      <c r="T423" s="8"/>
      <c r="U423" s="8"/>
      <c r="V423" s="1"/>
      <c r="W423" s="1"/>
      <c r="X423" s="1"/>
      <c r="Z423" s="8"/>
    </row>
    <row r="424" spans="1:26" x14ac:dyDescent="0.2">
      <c r="A424" s="12">
        <f t="shared" si="14"/>
        <v>412</v>
      </c>
      <c r="E424" s="10" t="str">
        <f t="shared" si="13"/>
        <v/>
      </c>
      <c r="I424" s="53"/>
      <c r="N424" s="8">
        <v>0</v>
      </c>
      <c r="Q424" s="1"/>
      <c r="R424" s="1"/>
      <c r="S424" s="1"/>
      <c r="T424" s="8"/>
      <c r="U424" s="8"/>
      <c r="V424" s="1"/>
      <c r="W424" s="1"/>
      <c r="X424" s="1"/>
      <c r="Z424" s="8"/>
    </row>
    <row r="425" spans="1:26" x14ac:dyDescent="0.2">
      <c r="A425" s="12">
        <f t="shared" si="14"/>
        <v>413</v>
      </c>
      <c r="E425" s="10" t="str">
        <f t="shared" si="13"/>
        <v/>
      </c>
      <c r="I425" s="53"/>
      <c r="N425" s="8">
        <v>0</v>
      </c>
      <c r="Q425" s="1"/>
      <c r="R425" s="1"/>
      <c r="S425" s="1"/>
      <c r="T425" s="8"/>
      <c r="U425" s="8"/>
      <c r="V425" s="1"/>
      <c r="W425" s="1"/>
      <c r="X425" s="1"/>
      <c r="Z425" s="8"/>
    </row>
    <row r="426" spans="1:26" x14ac:dyDescent="0.2">
      <c r="A426" s="12">
        <f t="shared" si="14"/>
        <v>414</v>
      </c>
      <c r="E426" s="10" t="str">
        <f t="shared" si="13"/>
        <v/>
      </c>
      <c r="I426" s="53"/>
      <c r="N426" s="8">
        <v>0</v>
      </c>
      <c r="Q426" s="1"/>
      <c r="R426" s="1"/>
      <c r="S426" s="1"/>
      <c r="T426" s="8"/>
      <c r="U426" s="8"/>
      <c r="V426" s="1"/>
      <c r="W426" s="1"/>
      <c r="X426" s="1"/>
      <c r="Z426" s="8"/>
    </row>
    <row r="427" spans="1:26" x14ac:dyDescent="0.2">
      <c r="A427" s="12">
        <f t="shared" si="14"/>
        <v>415</v>
      </c>
      <c r="E427" s="10" t="str">
        <f t="shared" si="13"/>
        <v/>
      </c>
      <c r="I427" s="53"/>
      <c r="N427" s="8">
        <v>0</v>
      </c>
      <c r="Q427" s="1"/>
      <c r="R427" s="1"/>
      <c r="S427" s="1"/>
      <c r="T427" s="8"/>
      <c r="U427" s="8"/>
      <c r="V427" s="1"/>
      <c r="W427" s="1"/>
      <c r="X427" s="1"/>
      <c r="Z427" s="8"/>
    </row>
    <row r="428" spans="1:26" x14ac:dyDescent="0.2">
      <c r="A428" s="12">
        <f t="shared" si="14"/>
        <v>416</v>
      </c>
      <c r="E428" s="10" t="str">
        <f t="shared" si="13"/>
        <v/>
      </c>
      <c r="I428" s="53"/>
      <c r="N428" s="8">
        <v>0</v>
      </c>
      <c r="Q428" s="1"/>
      <c r="R428" s="1"/>
      <c r="S428" s="1"/>
      <c r="T428" s="8"/>
      <c r="U428" s="8"/>
      <c r="V428" s="1"/>
      <c r="W428" s="1"/>
      <c r="X428" s="1"/>
      <c r="Z428" s="8"/>
    </row>
    <row r="429" spans="1:26" x14ac:dyDescent="0.2">
      <c r="A429" s="12">
        <f t="shared" si="14"/>
        <v>417</v>
      </c>
      <c r="E429" s="10" t="str">
        <f t="shared" si="13"/>
        <v/>
      </c>
      <c r="I429" s="53"/>
      <c r="N429" s="8">
        <v>0</v>
      </c>
      <c r="Q429" s="1"/>
      <c r="R429" s="1"/>
      <c r="S429" s="1"/>
      <c r="T429" s="8"/>
      <c r="U429" s="8"/>
      <c r="V429" s="1"/>
      <c r="W429" s="1"/>
      <c r="X429" s="1"/>
      <c r="Z429" s="8"/>
    </row>
    <row r="430" spans="1:26" x14ac:dyDescent="0.2">
      <c r="A430" s="12">
        <f t="shared" si="14"/>
        <v>418</v>
      </c>
      <c r="E430" s="10" t="str">
        <f t="shared" si="13"/>
        <v/>
      </c>
      <c r="I430" s="53"/>
      <c r="N430" s="8">
        <v>0</v>
      </c>
      <c r="Q430" s="1"/>
      <c r="R430" s="1"/>
      <c r="S430" s="1"/>
      <c r="T430" s="8"/>
      <c r="U430" s="8"/>
      <c r="V430" s="1"/>
      <c r="W430" s="1"/>
      <c r="X430" s="1"/>
      <c r="Z430" s="8"/>
    </row>
    <row r="431" spans="1:26" x14ac:dyDescent="0.2">
      <c r="A431" s="12">
        <f t="shared" si="14"/>
        <v>419</v>
      </c>
      <c r="E431" s="10" t="str">
        <f t="shared" si="13"/>
        <v/>
      </c>
      <c r="I431" s="53"/>
      <c r="N431" s="8">
        <v>0</v>
      </c>
      <c r="Q431" s="1"/>
      <c r="R431" s="1"/>
      <c r="S431" s="1"/>
      <c r="T431" s="8"/>
      <c r="U431" s="8"/>
      <c r="V431" s="1"/>
      <c r="W431" s="1"/>
      <c r="X431" s="1"/>
      <c r="Z431" s="8"/>
    </row>
    <row r="432" spans="1:26" x14ac:dyDescent="0.2">
      <c r="A432" s="12">
        <f t="shared" si="14"/>
        <v>420</v>
      </c>
      <c r="E432" s="10" t="str">
        <f t="shared" si="13"/>
        <v/>
      </c>
      <c r="I432" s="53"/>
      <c r="N432" s="8">
        <v>0</v>
      </c>
      <c r="Q432" s="1"/>
      <c r="R432" s="1"/>
      <c r="S432" s="1"/>
      <c r="T432" s="8"/>
      <c r="U432" s="8"/>
      <c r="V432" s="1"/>
      <c r="W432" s="1"/>
      <c r="X432" s="1"/>
      <c r="Z432" s="8"/>
    </row>
    <row r="433" spans="1:26" x14ac:dyDescent="0.2">
      <c r="A433" s="12">
        <f t="shared" si="14"/>
        <v>421</v>
      </c>
      <c r="E433" s="10" t="str">
        <f t="shared" si="13"/>
        <v/>
      </c>
      <c r="I433" s="53"/>
      <c r="N433" s="8">
        <v>0</v>
      </c>
      <c r="Q433" s="1"/>
      <c r="R433" s="1"/>
      <c r="S433" s="1"/>
      <c r="T433" s="8"/>
      <c r="U433" s="8"/>
      <c r="V433" s="1"/>
      <c r="W433" s="1"/>
      <c r="X433" s="1"/>
      <c r="Z433" s="8"/>
    </row>
    <row r="434" spans="1:26" x14ac:dyDescent="0.2">
      <c r="A434" s="12">
        <f t="shared" si="14"/>
        <v>422</v>
      </c>
      <c r="E434" s="10" t="str">
        <f t="shared" si="13"/>
        <v/>
      </c>
      <c r="I434" s="53"/>
      <c r="N434" s="8">
        <v>0</v>
      </c>
      <c r="Q434" s="1"/>
      <c r="R434" s="1"/>
      <c r="S434" s="1"/>
      <c r="T434" s="8"/>
      <c r="U434" s="8"/>
      <c r="V434" s="1"/>
      <c r="W434" s="1"/>
      <c r="X434" s="1"/>
      <c r="Z434" s="8"/>
    </row>
    <row r="435" spans="1:26" x14ac:dyDescent="0.2">
      <c r="A435" s="12">
        <f t="shared" si="14"/>
        <v>423</v>
      </c>
      <c r="E435" s="10" t="str">
        <f t="shared" si="13"/>
        <v/>
      </c>
      <c r="I435" s="53"/>
      <c r="N435" s="8">
        <v>0</v>
      </c>
      <c r="Q435" s="1"/>
      <c r="R435" s="1"/>
      <c r="S435" s="1"/>
      <c r="T435" s="8"/>
      <c r="U435" s="8"/>
      <c r="V435" s="1"/>
      <c r="W435" s="1"/>
      <c r="X435" s="1"/>
      <c r="Z435" s="8"/>
    </row>
    <row r="436" spans="1:26" x14ac:dyDescent="0.2">
      <c r="A436" s="12">
        <f t="shared" si="14"/>
        <v>424</v>
      </c>
      <c r="E436" s="10" t="str">
        <f t="shared" si="13"/>
        <v/>
      </c>
      <c r="I436" s="53"/>
      <c r="N436" s="8">
        <v>0</v>
      </c>
      <c r="Q436" s="1"/>
      <c r="R436" s="1"/>
      <c r="S436" s="1"/>
      <c r="T436" s="8"/>
      <c r="U436" s="8"/>
      <c r="V436" s="1"/>
      <c r="W436" s="1"/>
      <c r="X436" s="1"/>
      <c r="Z436" s="8"/>
    </row>
    <row r="437" spans="1:26" x14ac:dyDescent="0.2">
      <c r="A437" s="12">
        <f t="shared" si="14"/>
        <v>425</v>
      </c>
      <c r="E437" s="10" t="str">
        <f t="shared" si="13"/>
        <v/>
      </c>
      <c r="I437" s="53"/>
      <c r="N437" s="8">
        <v>0</v>
      </c>
      <c r="Q437" s="1"/>
      <c r="R437" s="1"/>
      <c r="S437" s="1"/>
      <c r="T437" s="8"/>
      <c r="U437" s="8"/>
      <c r="V437" s="1"/>
      <c r="W437" s="1"/>
      <c r="X437" s="1"/>
      <c r="Z437" s="8"/>
    </row>
    <row r="438" spans="1:26" x14ac:dyDescent="0.2">
      <c r="A438" s="12">
        <f t="shared" si="14"/>
        <v>426</v>
      </c>
      <c r="E438" s="10" t="str">
        <f t="shared" si="13"/>
        <v/>
      </c>
      <c r="I438" s="53"/>
      <c r="N438" s="8">
        <v>0</v>
      </c>
      <c r="Q438" s="1"/>
      <c r="R438" s="1"/>
      <c r="S438" s="1"/>
      <c r="T438" s="8"/>
      <c r="U438" s="8"/>
      <c r="V438" s="1"/>
      <c r="W438" s="1"/>
      <c r="X438" s="1"/>
      <c r="Z438" s="8"/>
    </row>
    <row r="439" spans="1:26" x14ac:dyDescent="0.2">
      <c r="A439" s="12">
        <f t="shared" si="14"/>
        <v>427</v>
      </c>
      <c r="E439" s="10" t="str">
        <f t="shared" si="13"/>
        <v/>
      </c>
      <c r="I439" s="53"/>
      <c r="N439" s="8">
        <v>0</v>
      </c>
      <c r="Q439" s="1"/>
      <c r="R439" s="1"/>
      <c r="S439" s="1"/>
      <c r="T439" s="8"/>
      <c r="U439" s="8"/>
      <c r="V439" s="1"/>
      <c r="W439" s="1"/>
      <c r="X439" s="1"/>
      <c r="Z439" s="8"/>
    </row>
    <row r="440" spans="1:26" x14ac:dyDescent="0.2">
      <c r="A440" s="12">
        <f t="shared" si="14"/>
        <v>428</v>
      </c>
      <c r="E440" s="10" t="str">
        <f t="shared" si="13"/>
        <v/>
      </c>
      <c r="I440" s="53"/>
      <c r="N440" s="8">
        <v>0</v>
      </c>
      <c r="Q440" s="1"/>
      <c r="R440" s="1"/>
      <c r="S440" s="1"/>
      <c r="T440" s="8"/>
      <c r="U440" s="8"/>
      <c r="V440" s="1"/>
      <c r="W440" s="1"/>
      <c r="X440" s="1"/>
      <c r="Z440" s="8"/>
    </row>
    <row r="441" spans="1:26" x14ac:dyDescent="0.2">
      <c r="A441" s="12">
        <f t="shared" si="14"/>
        <v>429</v>
      </c>
      <c r="E441" s="10" t="str">
        <f t="shared" si="13"/>
        <v/>
      </c>
      <c r="I441" s="53"/>
      <c r="N441" s="8">
        <v>0</v>
      </c>
      <c r="Q441" s="1"/>
      <c r="R441" s="1"/>
      <c r="S441" s="1"/>
      <c r="T441" s="8"/>
      <c r="U441" s="8"/>
      <c r="V441" s="1"/>
      <c r="W441" s="1"/>
      <c r="X441" s="1"/>
      <c r="Z441" s="8"/>
    </row>
    <row r="442" spans="1:26" x14ac:dyDescent="0.2">
      <c r="A442" s="12">
        <f t="shared" si="14"/>
        <v>430</v>
      </c>
      <c r="E442" s="10" t="str">
        <f t="shared" si="13"/>
        <v/>
      </c>
      <c r="I442" s="53"/>
      <c r="N442" s="8">
        <v>0</v>
      </c>
      <c r="Q442" s="1"/>
      <c r="R442" s="1"/>
      <c r="S442" s="1"/>
      <c r="T442" s="8"/>
      <c r="U442" s="8"/>
      <c r="V442" s="1"/>
      <c r="W442" s="1"/>
      <c r="X442" s="1"/>
      <c r="Z442" s="8"/>
    </row>
    <row r="443" spans="1:26" x14ac:dyDescent="0.2">
      <c r="A443" s="12">
        <f t="shared" si="14"/>
        <v>431</v>
      </c>
      <c r="E443" s="10" t="str">
        <f t="shared" si="13"/>
        <v/>
      </c>
      <c r="I443" s="53"/>
      <c r="N443" s="8">
        <v>0</v>
      </c>
      <c r="Q443" s="1"/>
      <c r="R443" s="1"/>
      <c r="S443" s="1"/>
      <c r="T443" s="8"/>
      <c r="U443" s="8"/>
      <c r="V443" s="1"/>
      <c r="W443" s="1"/>
      <c r="X443" s="1"/>
      <c r="Z443" s="8"/>
    </row>
    <row r="444" spans="1:26" x14ac:dyDescent="0.2">
      <c r="A444" s="12">
        <f t="shared" si="14"/>
        <v>432</v>
      </c>
      <c r="E444" s="10" t="str">
        <f t="shared" si="13"/>
        <v/>
      </c>
      <c r="I444" s="53"/>
      <c r="N444" s="8">
        <v>0</v>
      </c>
      <c r="Q444" s="1"/>
      <c r="R444" s="1"/>
      <c r="S444" s="1"/>
      <c r="T444" s="8"/>
      <c r="U444" s="8"/>
      <c r="V444" s="1"/>
      <c r="W444" s="1"/>
      <c r="X444" s="1"/>
      <c r="Z444" s="8"/>
    </row>
    <row r="445" spans="1:26" x14ac:dyDescent="0.2">
      <c r="A445" s="12">
        <f t="shared" si="14"/>
        <v>433</v>
      </c>
      <c r="E445" s="10" t="str">
        <f t="shared" si="13"/>
        <v/>
      </c>
      <c r="I445" s="53"/>
      <c r="N445" s="8">
        <v>0</v>
      </c>
      <c r="Q445" s="1"/>
      <c r="R445" s="1"/>
      <c r="S445" s="1"/>
      <c r="T445" s="8"/>
      <c r="U445" s="8"/>
      <c r="V445" s="1"/>
      <c r="W445" s="1"/>
      <c r="X445" s="1"/>
      <c r="Z445" s="8"/>
    </row>
    <row r="446" spans="1:26" x14ac:dyDescent="0.2">
      <c r="A446" s="12">
        <f t="shared" si="14"/>
        <v>434</v>
      </c>
      <c r="E446" s="10" t="str">
        <f t="shared" si="13"/>
        <v/>
      </c>
      <c r="I446" s="53"/>
      <c r="N446" s="8">
        <v>0</v>
      </c>
      <c r="Q446" s="1"/>
      <c r="R446" s="1"/>
      <c r="S446" s="1"/>
      <c r="T446" s="8"/>
      <c r="U446" s="8"/>
      <c r="V446" s="1"/>
      <c r="W446" s="1"/>
      <c r="X446" s="1"/>
      <c r="Z446" s="8"/>
    </row>
    <row r="447" spans="1:26" x14ac:dyDescent="0.2">
      <c r="A447" s="12">
        <f t="shared" si="14"/>
        <v>435</v>
      </c>
      <c r="E447" s="10" t="str">
        <f t="shared" si="13"/>
        <v/>
      </c>
      <c r="I447" s="53"/>
      <c r="N447" s="8">
        <v>0</v>
      </c>
      <c r="Q447" s="1"/>
      <c r="R447" s="1"/>
      <c r="S447" s="1"/>
      <c r="T447" s="8"/>
      <c r="U447" s="8"/>
      <c r="V447" s="1"/>
      <c r="W447" s="1"/>
      <c r="X447" s="1"/>
      <c r="Z447" s="8"/>
    </row>
    <row r="448" spans="1:26" x14ac:dyDescent="0.2">
      <c r="A448" s="12">
        <f t="shared" si="14"/>
        <v>436</v>
      </c>
      <c r="E448" s="10" t="str">
        <f t="shared" si="13"/>
        <v/>
      </c>
      <c r="I448" s="53"/>
      <c r="N448" s="8">
        <v>0</v>
      </c>
      <c r="Q448" s="1"/>
      <c r="R448" s="1"/>
      <c r="S448" s="1"/>
      <c r="T448" s="8"/>
      <c r="U448" s="8"/>
      <c r="V448" s="1"/>
      <c r="W448" s="1"/>
      <c r="X448" s="1"/>
      <c r="Z448" s="8"/>
    </row>
    <row r="449" spans="1:26" x14ac:dyDescent="0.2">
      <c r="A449" s="12">
        <f t="shared" si="14"/>
        <v>437</v>
      </c>
      <c r="E449" s="10" t="str">
        <f t="shared" si="13"/>
        <v/>
      </c>
      <c r="I449" s="53"/>
      <c r="N449" s="8">
        <v>0</v>
      </c>
      <c r="Q449" s="1"/>
      <c r="R449" s="1"/>
      <c r="S449" s="1"/>
      <c r="T449" s="8"/>
      <c r="U449" s="8"/>
      <c r="V449" s="1"/>
      <c r="W449" s="1"/>
      <c r="X449" s="1"/>
      <c r="Z449" s="8"/>
    </row>
    <row r="450" spans="1:26" x14ac:dyDescent="0.2">
      <c r="A450" s="12">
        <f t="shared" si="14"/>
        <v>438</v>
      </c>
      <c r="E450" s="10" t="str">
        <f t="shared" si="13"/>
        <v/>
      </c>
      <c r="I450" s="53"/>
      <c r="N450" s="8">
        <v>0</v>
      </c>
      <c r="Q450" s="1"/>
      <c r="R450" s="1"/>
      <c r="S450" s="1"/>
      <c r="T450" s="8"/>
      <c r="U450" s="8"/>
      <c r="V450" s="1"/>
      <c r="W450" s="1"/>
      <c r="X450" s="1"/>
      <c r="Z450" s="8"/>
    </row>
    <row r="451" spans="1:26" x14ac:dyDescent="0.2">
      <c r="A451" s="12">
        <f t="shared" si="14"/>
        <v>439</v>
      </c>
      <c r="E451" s="10" t="str">
        <f t="shared" si="13"/>
        <v/>
      </c>
      <c r="I451" s="53"/>
      <c r="N451" s="8">
        <v>0</v>
      </c>
      <c r="Q451" s="1"/>
      <c r="R451" s="1"/>
      <c r="S451" s="1"/>
      <c r="T451" s="8"/>
      <c r="U451" s="8"/>
      <c r="V451" s="1"/>
      <c r="W451" s="1"/>
      <c r="X451" s="1"/>
      <c r="Z451" s="8"/>
    </row>
    <row r="452" spans="1:26" x14ac:dyDescent="0.2">
      <c r="A452" s="12">
        <f t="shared" si="14"/>
        <v>440</v>
      </c>
      <c r="E452" s="10" t="str">
        <f t="shared" si="13"/>
        <v/>
      </c>
      <c r="I452" s="53"/>
      <c r="N452" s="8">
        <v>0</v>
      </c>
      <c r="Q452" s="1"/>
      <c r="R452" s="1"/>
      <c r="S452" s="1"/>
      <c r="T452" s="8"/>
      <c r="U452" s="8"/>
      <c r="V452" s="1"/>
      <c r="W452" s="1"/>
      <c r="X452" s="1"/>
      <c r="Z452" s="8"/>
    </row>
    <row r="453" spans="1:26" x14ac:dyDescent="0.2">
      <c r="A453" s="12">
        <f t="shared" si="14"/>
        <v>441</v>
      </c>
      <c r="E453" s="10" t="str">
        <f t="shared" si="13"/>
        <v/>
      </c>
      <c r="I453" s="53"/>
      <c r="N453" s="8">
        <v>0</v>
      </c>
      <c r="Q453" s="1"/>
      <c r="R453" s="1"/>
      <c r="S453" s="1"/>
      <c r="T453" s="8"/>
      <c r="U453" s="8"/>
      <c r="V453" s="1"/>
      <c r="W453" s="1"/>
      <c r="X453" s="1"/>
      <c r="Z453" s="8"/>
    </row>
    <row r="454" spans="1:26" x14ac:dyDescent="0.2">
      <c r="A454" s="12">
        <f t="shared" si="14"/>
        <v>442</v>
      </c>
      <c r="E454" s="10" t="str">
        <f t="shared" si="13"/>
        <v/>
      </c>
      <c r="I454" s="53"/>
      <c r="N454" s="8">
        <v>0</v>
      </c>
      <c r="Q454" s="1"/>
      <c r="R454" s="1"/>
      <c r="S454" s="1"/>
      <c r="T454" s="8"/>
      <c r="U454" s="8"/>
      <c r="V454" s="1"/>
      <c r="W454" s="1"/>
      <c r="X454" s="1"/>
      <c r="Z454" s="8"/>
    </row>
    <row r="455" spans="1:26" x14ac:dyDescent="0.2">
      <c r="A455" s="12">
        <f t="shared" si="14"/>
        <v>443</v>
      </c>
      <c r="E455" s="10" t="str">
        <f t="shared" si="13"/>
        <v/>
      </c>
      <c r="I455" s="53"/>
      <c r="N455" s="8">
        <v>0</v>
      </c>
      <c r="Q455" s="1"/>
      <c r="R455" s="1"/>
      <c r="S455" s="1"/>
      <c r="T455" s="8"/>
      <c r="U455" s="8"/>
      <c r="V455" s="1"/>
      <c r="W455" s="1"/>
      <c r="X455" s="1"/>
      <c r="Z455" s="8"/>
    </row>
    <row r="456" spans="1:26" x14ac:dyDescent="0.2">
      <c r="A456" s="12">
        <f t="shared" si="14"/>
        <v>444</v>
      </c>
      <c r="E456" s="10" t="str">
        <f t="shared" si="13"/>
        <v/>
      </c>
      <c r="I456" s="53"/>
      <c r="N456" s="8">
        <v>0</v>
      </c>
      <c r="Q456" s="1"/>
      <c r="R456" s="1"/>
      <c r="S456" s="1"/>
      <c r="T456" s="8"/>
      <c r="U456" s="8"/>
      <c r="V456" s="1"/>
      <c r="W456" s="1"/>
      <c r="X456" s="1"/>
      <c r="Z456" s="8"/>
    </row>
    <row r="457" spans="1:26" x14ac:dyDescent="0.2">
      <c r="A457" s="12">
        <f t="shared" si="14"/>
        <v>445</v>
      </c>
      <c r="E457" s="10" t="str">
        <f t="shared" si="13"/>
        <v/>
      </c>
      <c r="I457" s="53"/>
      <c r="N457" s="8">
        <v>0</v>
      </c>
      <c r="Q457" s="1"/>
      <c r="R457" s="1"/>
      <c r="S457" s="1"/>
      <c r="T457" s="8"/>
      <c r="U457" s="8"/>
      <c r="V457" s="1"/>
      <c r="W457" s="1"/>
      <c r="X457" s="1"/>
      <c r="Z457" s="8"/>
    </row>
    <row r="458" spans="1:26" x14ac:dyDescent="0.2">
      <c r="A458" s="12">
        <f t="shared" si="14"/>
        <v>446</v>
      </c>
      <c r="E458" s="10" t="str">
        <f t="shared" si="13"/>
        <v/>
      </c>
      <c r="I458" s="53"/>
      <c r="N458" s="8">
        <v>0</v>
      </c>
      <c r="Q458" s="1"/>
      <c r="R458" s="1"/>
      <c r="S458" s="1"/>
      <c r="T458" s="8"/>
      <c r="U458" s="8"/>
      <c r="V458" s="1"/>
      <c r="W458" s="1"/>
      <c r="X458" s="1"/>
      <c r="Z458" s="8"/>
    </row>
    <row r="459" spans="1:26" x14ac:dyDescent="0.2">
      <c r="A459" s="12">
        <f t="shared" si="14"/>
        <v>447</v>
      </c>
      <c r="E459" s="10" t="str">
        <f t="shared" si="13"/>
        <v/>
      </c>
      <c r="I459" s="53"/>
      <c r="N459" s="8">
        <v>0</v>
      </c>
      <c r="Q459" s="1"/>
      <c r="R459" s="1"/>
      <c r="S459" s="1"/>
      <c r="T459" s="8"/>
      <c r="U459" s="8"/>
      <c r="V459" s="1"/>
      <c r="W459" s="1"/>
      <c r="X459" s="1"/>
      <c r="Z459" s="8"/>
    </row>
    <row r="460" spans="1:26" x14ac:dyDescent="0.2">
      <c r="A460" s="12">
        <f t="shared" si="14"/>
        <v>448</v>
      </c>
      <c r="E460" s="10" t="str">
        <f t="shared" si="13"/>
        <v/>
      </c>
      <c r="I460" s="53"/>
      <c r="N460" s="8">
        <v>0</v>
      </c>
      <c r="Q460" s="1"/>
      <c r="R460" s="1"/>
      <c r="S460" s="1"/>
      <c r="T460" s="8"/>
      <c r="U460" s="8"/>
      <c r="V460" s="1"/>
      <c r="W460" s="1"/>
      <c r="X460" s="1"/>
      <c r="Z460" s="8"/>
    </row>
    <row r="461" spans="1:26" x14ac:dyDescent="0.2">
      <c r="A461" s="12">
        <f t="shared" si="14"/>
        <v>449</v>
      </c>
      <c r="E461" s="10" t="str">
        <f t="shared" ref="E461:E524" si="15">IF($C$8&gt;=A461,$E$1&amp;" "&amp;A461,"")</f>
        <v/>
      </c>
      <c r="I461" s="53"/>
      <c r="N461" s="8">
        <v>0</v>
      </c>
      <c r="Q461" s="1"/>
      <c r="R461" s="1"/>
      <c r="S461" s="1"/>
      <c r="T461" s="8"/>
      <c r="U461" s="8"/>
      <c r="V461" s="1"/>
      <c r="W461" s="1"/>
      <c r="X461" s="1"/>
      <c r="Z461" s="8"/>
    </row>
    <row r="462" spans="1:26" x14ac:dyDescent="0.2">
      <c r="A462" s="12">
        <f t="shared" si="14"/>
        <v>450</v>
      </c>
      <c r="E462" s="10" t="str">
        <f t="shared" si="15"/>
        <v/>
      </c>
      <c r="I462" s="53"/>
      <c r="N462" s="8">
        <v>0</v>
      </c>
      <c r="Q462" s="1"/>
      <c r="R462" s="1"/>
      <c r="S462" s="1"/>
      <c r="T462" s="8"/>
      <c r="U462" s="8"/>
      <c r="V462" s="1"/>
      <c r="W462" s="1"/>
      <c r="X462" s="1"/>
      <c r="Z462" s="8"/>
    </row>
    <row r="463" spans="1:26" x14ac:dyDescent="0.2">
      <c r="A463" s="12">
        <f t="shared" ref="A463:A526" si="16">A462+1</f>
        <v>451</v>
      </c>
      <c r="E463" s="10" t="str">
        <f t="shared" si="15"/>
        <v/>
      </c>
      <c r="I463" s="53"/>
      <c r="N463" s="8">
        <v>0</v>
      </c>
      <c r="Q463" s="1"/>
      <c r="R463" s="1"/>
      <c r="S463" s="1"/>
      <c r="T463" s="8"/>
      <c r="U463" s="8"/>
      <c r="V463" s="1"/>
      <c r="W463" s="1"/>
      <c r="X463" s="1"/>
      <c r="Z463" s="8"/>
    </row>
    <row r="464" spans="1:26" x14ac:dyDescent="0.2">
      <c r="A464" s="12">
        <f t="shared" si="16"/>
        <v>452</v>
      </c>
      <c r="E464" s="10" t="str">
        <f t="shared" si="15"/>
        <v/>
      </c>
      <c r="I464" s="53"/>
      <c r="N464" s="8">
        <v>0</v>
      </c>
      <c r="Q464" s="1"/>
      <c r="R464" s="1"/>
      <c r="S464" s="1"/>
      <c r="T464" s="8"/>
      <c r="U464" s="8"/>
      <c r="V464" s="1"/>
      <c r="W464" s="1"/>
      <c r="X464" s="1"/>
      <c r="Z464" s="8"/>
    </row>
    <row r="465" spans="1:26" x14ac:dyDescent="0.2">
      <c r="A465" s="12">
        <f t="shared" si="16"/>
        <v>453</v>
      </c>
      <c r="E465" s="10" t="str">
        <f t="shared" si="15"/>
        <v/>
      </c>
      <c r="I465" s="53"/>
      <c r="N465" s="8">
        <v>0</v>
      </c>
      <c r="Q465" s="1"/>
      <c r="R465" s="1"/>
      <c r="S465" s="1"/>
      <c r="T465" s="8"/>
      <c r="U465" s="8"/>
      <c r="V465" s="1"/>
      <c r="W465" s="1"/>
      <c r="X465" s="1"/>
      <c r="Z465" s="8"/>
    </row>
    <row r="466" spans="1:26" x14ac:dyDescent="0.2">
      <c r="A466" s="12">
        <f t="shared" si="16"/>
        <v>454</v>
      </c>
      <c r="E466" s="10" t="str">
        <f t="shared" si="15"/>
        <v/>
      </c>
      <c r="I466" s="53"/>
      <c r="N466" s="8">
        <v>0</v>
      </c>
      <c r="Q466" s="1"/>
      <c r="R466" s="1"/>
      <c r="S466" s="1"/>
      <c r="T466" s="8"/>
      <c r="U466" s="8"/>
      <c r="V466" s="1"/>
      <c r="W466" s="1"/>
      <c r="X466" s="1"/>
      <c r="Z466" s="8"/>
    </row>
    <row r="467" spans="1:26" x14ac:dyDescent="0.2">
      <c r="A467" s="12">
        <f t="shared" si="16"/>
        <v>455</v>
      </c>
      <c r="E467" s="10" t="str">
        <f t="shared" si="15"/>
        <v/>
      </c>
      <c r="I467" s="53"/>
      <c r="N467" s="8">
        <v>0</v>
      </c>
      <c r="Q467" s="1"/>
      <c r="R467" s="1"/>
      <c r="S467" s="1"/>
      <c r="T467" s="8"/>
      <c r="U467" s="8"/>
      <c r="V467" s="1"/>
      <c r="W467" s="1"/>
      <c r="X467" s="1"/>
      <c r="Z467" s="8"/>
    </row>
    <row r="468" spans="1:26" x14ac:dyDescent="0.2">
      <c r="A468" s="12">
        <f t="shared" si="16"/>
        <v>456</v>
      </c>
      <c r="E468" s="10" t="str">
        <f t="shared" si="15"/>
        <v/>
      </c>
      <c r="I468" s="53"/>
      <c r="N468" s="8">
        <v>0</v>
      </c>
      <c r="Q468" s="1"/>
      <c r="R468" s="1"/>
      <c r="S468" s="1"/>
      <c r="T468" s="8"/>
      <c r="U468" s="8"/>
      <c r="V468" s="1"/>
      <c r="W468" s="1"/>
      <c r="X468" s="1"/>
      <c r="Z468" s="8"/>
    </row>
    <row r="469" spans="1:26" x14ac:dyDescent="0.2">
      <c r="A469" s="12">
        <f t="shared" si="16"/>
        <v>457</v>
      </c>
      <c r="E469" s="10" t="str">
        <f t="shared" si="15"/>
        <v/>
      </c>
      <c r="I469" s="53"/>
      <c r="N469" s="8">
        <v>0</v>
      </c>
      <c r="Q469" s="1"/>
      <c r="R469" s="1"/>
      <c r="S469" s="1"/>
      <c r="T469" s="8"/>
      <c r="U469" s="8"/>
      <c r="V469" s="1"/>
      <c r="W469" s="1"/>
      <c r="X469" s="1"/>
      <c r="Z469" s="8"/>
    </row>
    <row r="470" spans="1:26" x14ac:dyDescent="0.2">
      <c r="A470" s="12">
        <f t="shared" si="16"/>
        <v>458</v>
      </c>
      <c r="E470" s="10" t="str">
        <f t="shared" si="15"/>
        <v/>
      </c>
      <c r="I470" s="53"/>
      <c r="N470" s="8">
        <v>0</v>
      </c>
      <c r="Q470" s="1"/>
      <c r="R470" s="1"/>
      <c r="S470" s="1"/>
      <c r="T470" s="8"/>
      <c r="U470" s="8"/>
      <c r="V470" s="1"/>
      <c r="W470" s="1"/>
      <c r="X470" s="1"/>
      <c r="Z470" s="8"/>
    </row>
    <row r="471" spans="1:26" x14ac:dyDescent="0.2">
      <c r="A471" s="12">
        <f t="shared" si="16"/>
        <v>459</v>
      </c>
      <c r="E471" s="10" t="str">
        <f t="shared" si="15"/>
        <v/>
      </c>
      <c r="I471" s="53"/>
      <c r="N471" s="8">
        <v>0</v>
      </c>
      <c r="Q471" s="1"/>
      <c r="R471" s="1"/>
      <c r="S471" s="1"/>
      <c r="T471" s="8"/>
      <c r="U471" s="8"/>
      <c r="V471" s="1"/>
      <c r="W471" s="1"/>
      <c r="X471" s="1"/>
      <c r="Z471" s="8"/>
    </row>
    <row r="472" spans="1:26" x14ac:dyDescent="0.2">
      <c r="A472" s="12">
        <f t="shared" si="16"/>
        <v>460</v>
      </c>
      <c r="E472" s="10" t="str">
        <f t="shared" si="15"/>
        <v/>
      </c>
      <c r="I472" s="53"/>
      <c r="N472" s="8">
        <v>0</v>
      </c>
      <c r="Q472" s="1"/>
      <c r="R472" s="1"/>
      <c r="S472" s="1"/>
      <c r="T472" s="8"/>
      <c r="U472" s="8"/>
      <c r="V472" s="1"/>
      <c r="W472" s="1"/>
      <c r="X472" s="1"/>
      <c r="Z472" s="8"/>
    </row>
    <row r="473" spans="1:26" x14ac:dyDescent="0.2">
      <c r="A473" s="12">
        <f t="shared" si="16"/>
        <v>461</v>
      </c>
      <c r="E473" s="10" t="str">
        <f t="shared" si="15"/>
        <v/>
      </c>
      <c r="I473" s="53"/>
      <c r="N473" s="8">
        <v>0</v>
      </c>
      <c r="Q473" s="1"/>
      <c r="R473" s="1"/>
      <c r="S473" s="1"/>
      <c r="T473" s="8"/>
      <c r="U473" s="8"/>
      <c r="V473" s="1"/>
      <c r="W473" s="1"/>
      <c r="X473" s="1"/>
      <c r="Z473" s="8"/>
    </row>
    <row r="474" spans="1:26" x14ac:dyDescent="0.2">
      <c r="A474" s="12">
        <f t="shared" si="16"/>
        <v>462</v>
      </c>
      <c r="E474" s="10" t="str">
        <f t="shared" si="15"/>
        <v/>
      </c>
      <c r="I474" s="53"/>
      <c r="N474" s="8">
        <v>0</v>
      </c>
      <c r="Q474" s="1"/>
      <c r="R474" s="1"/>
      <c r="S474" s="1"/>
      <c r="T474" s="8"/>
      <c r="U474" s="8"/>
      <c r="V474" s="1"/>
      <c r="W474" s="1"/>
      <c r="X474" s="1"/>
      <c r="Z474" s="8"/>
    </row>
    <row r="475" spans="1:26" x14ac:dyDescent="0.2">
      <c r="A475" s="12">
        <f t="shared" si="16"/>
        <v>463</v>
      </c>
      <c r="E475" s="10" t="str">
        <f t="shared" si="15"/>
        <v/>
      </c>
      <c r="I475" s="53"/>
      <c r="N475" s="8">
        <v>0</v>
      </c>
      <c r="Q475" s="1"/>
      <c r="R475" s="1"/>
      <c r="S475" s="1"/>
      <c r="T475" s="8"/>
      <c r="U475" s="8"/>
      <c r="V475" s="1"/>
      <c r="W475" s="1"/>
      <c r="X475" s="1"/>
      <c r="Z475" s="8"/>
    </row>
    <row r="476" spans="1:26" x14ac:dyDescent="0.2">
      <c r="A476" s="12">
        <f t="shared" si="16"/>
        <v>464</v>
      </c>
      <c r="E476" s="10" t="str">
        <f t="shared" si="15"/>
        <v/>
      </c>
      <c r="I476" s="53"/>
      <c r="N476" s="8">
        <v>0</v>
      </c>
      <c r="Q476" s="1"/>
      <c r="R476" s="1"/>
      <c r="S476" s="1"/>
      <c r="T476" s="8"/>
      <c r="U476" s="8"/>
      <c r="V476" s="1"/>
      <c r="W476" s="1"/>
      <c r="X476" s="1"/>
      <c r="Z476" s="8"/>
    </row>
    <row r="477" spans="1:26" x14ac:dyDescent="0.2">
      <c r="A477" s="12">
        <f t="shared" si="16"/>
        <v>465</v>
      </c>
      <c r="E477" s="10" t="str">
        <f t="shared" si="15"/>
        <v/>
      </c>
      <c r="I477" s="53"/>
      <c r="N477" s="8">
        <v>0</v>
      </c>
      <c r="Q477" s="1"/>
      <c r="R477" s="1"/>
      <c r="S477" s="1"/>
      <c r="T477" s="8"/>
      <c r="U477" s="8"/>
      <c r="V477" s="1"/>
      <c r="W477" s="1"/>
      <c r="X477" s="1"/>
      <c r="Z477" s="8"/>
    </row>
    <row r="478" spans="1:26" x14ac:dyDescent="0.2">
      <c r="A478" s="12">
        <f t="shared" si="16"/>
        <v>466</v>
      </c>
      <c r="E478" s="10" t="str">
        <f t="shared" si="15"/>
        <v/>
      </c>
      <c r="I478" s="53"/>
      <c r="N478" s="8">
        <v>0</v>
      </c>
      <c r="Q478" s="1"/>
      <c r="R478" s="1"/>
      <c r="S478" s="1"/>
      <c r="T478" s="8"/>
      <c r="U478" s="8"/>
      <c r="V478" s="1"/>
      <c r="W478" s="1"/>
      <c r="X478" s="1"/>
      <c r="Z478" s="8"/>
    </row>
    <row r="479" spans="1:26" x14ac:dyDescent="0.2">
      <c r="A479" s="12">
        <f t="shared" si="16"/>
        <v>467</v>
      </c>
      <c r="E479" s="10" t="str">
        <f t="shared" si="15"/>
        <v/>
      </c>
      <c r="I479" s="53"/>
      <c r="N479" s="8">
        <v>0</v>
      </c>
      <c r="Q479" s="1"/>
      <c r="R479" s="1"/>
      <c r="S479" s="1"/>
      <c r="T479" s="8"/>
      <c r="U479" s="8"/>
      <c r="V479" s="1"/>
      <c r="W479" s="1"/>
      <c r="X479" s="1"/>
      <c r="Z479" s="8"/>
    </row>
    <row r="480" spans="1:26" x14ac:dyDescent="0.2">
      <c r="A480" s="12">
        <f t="shared" si="16"/>
        <v>468</v>
      </c>
      <c r="E480" s="10" t="str">
        <f t="shared" si="15"/>
        <v/>
      </c>
      <c r="I480" s="53"/>
      <c r="N480" s="8">
        <v>0</v>
      </c>
      <c r="Q480" s="1"/>
      <c r="R480" s="1"/>
      <c r="S480" s="1"/>
      <c r="T480" s="8"/>
      <c r="U480" s="8"/>
      <c r="V480" s="1"/>
      <c r="W480" s="1"/>
      <c r="X480" s="1"/>
      <c r="Z480" s="8"/>
    </row>
    <row r="481" spans="1:26" x14ac:dyDescent="0.2">
      <c r="A481" s="12">
        <f t="shared" si="16"/>
        <v>469</v>
      </c>
      <c r="E481" s="10" t="str">
        <f t="shared" si="15"/>
        <v/>
      </c>
      <c r="I481" s="53"/>
      <c r="N481" s="8">
        <v>0</v>
      </c>
      <c r="Q481" s="1"/>
      <c r="R481" s="1"/>
      <c r="S481" s="1"/>
      <c r="T481" s="8"/>
      <c r="U481" s="8"/>
      <c r="V481" s="1"/>
      <c r="W481" s="1"/>
      <c r="X481" s="1"/>
      <c r="Z481" s="8"/>
    </row>
    <row r="482" spans="1:26" x14ac:dyDescent="0.2">
      <c r="A482" s="12">
        <f t="shared" si="16"/>
        <v>470</v>
      </c>
      <c r="E482" s="10" t="str">
        <f t="shared" si="15"/>
        <v/>
      </c>
      <c r="I482" s="53"/>
      <c r="N482" s="8">
        <v>0</v>
      </c>
      <c r="Q482" s="1"/>
      <c r="R482" s="1"/>
      <c r="S482" s="1"/>
      <c r="T482" s="8"/>
      <c r="U482" s="8"/>
      <c r="V482" s="1"/>
      <c r="W482" s="1"/>
      <c r="X482" s="1"/>
      <c r="Z482" s="8"/>
    </row>
    <row r="483" spans="1:26" x14ac:dyDescent="0.2">
      <c r="A483" s="12">
        <f t="shared" si="16"/>
        <v>471</v>
      </c>
      <c r="E483" s="10" t="str">
        <f t="shared" si="15"/>
        <v/>
      </c>
      <c r="I483" s="53"/>
      <c r="N483" s="8">
        <v>0</v>
      </c>
      <c r="Q483" s="1"/>
      <c r="R483" s="1"/>
      <c r="S483" s="1"/>
      <c r="T483" s="8"/>
      <c r="U483" s="8"/>
      <c r="V483" s="1"/>
      <c r="W483" s="1"/>
      <c r="X483" s="1"/>
      <c r="Z483" s="8"/>
    </row>
    <row r="484" spans="1:26" x14ac:dyDescent="0.2">
      <c r="A484" s="12">
        <f t="shared" si="16"/>
        <v>472</v>
      </c>
      <c r="E484" s="10" t="str">
        <f t="shared" si="15"/>
        <v/>
      </c>
      <c r="I484" s="53"/>
      <c r="N484" s="8">
        <v>0</v>
      </c>
      <c r="Q484" s="1"/>
      <c r="R484" s="1"/>
      <c r="S484" s="1"/>
      <c r="T484" s="8"/>
      <c r="U484" s="8"/>
      <c r="V484" s="1"/>
      <c r="W484" s="1"/>
      <c r="X484" s="1"/>
      <c r="Z484" s="8"/>
    </row>
    <row r="485" spans="1:26" x14ac:dyDescent="0.2">
      <c r="A485" s="12">
        <f t="shared" si="16"/>
        <v>473</v>
      </c>
      <c r="E485" s="10" t="str">
        <f t="shared" si="15"/>
        <v/>
      </c>
      <c r="I485" s="53"/>
      <c r="N485" s="8">
        <v>0</v>
      </c>
      <c r="Q485" s="1"/>
      <c r="R485" s="1"/>
      <c r="S485" s="1"/>
      <c r="T485" s="8"/>
      <c r="U485" s="8"/>
      <c r="V485" s="1"/>
      <c r="W485" s="1"/>
      <c r="X485" s="1"/>
      <c r="Z485" s="8"/>
    </row>
    <row r="486" spans="1:26" x14ac:dyDescent="0.2">
      <c r="A486" s="12">
        <f t="shared" si="16"/>
        <v>474</v>
      </c>
      <c r="E486" s="10" t="str">
        <f t="shared" si="15"/>
        <v/>
      </c>
      <c r="I486" s="53"/>
      <c r="N486" s="8">
        <v>0</v>
      </c>
      <c r="Q486" s="1"/>
      <c r="R486" s="1"/>
      <c r="S486" s="1"/>
      <c r="T486" s="8"/>
      <c r="U486" s="8"/>
      <c r="V486" s="1"/>
      <c r="W486" s="1"/>
      <c r="X486" s="1"/>
      <c r="Z486" s="8"/>
    </row>
    <row r="487" spans="1:26" x14ac:dyDescent="0.2">
      <c r="A487" s="12">
        <f t="shared" si="16"/>
        <v>475</v>
      </c>
      <c r="E487" s="10" t="str">
        <f t="shared" si="15"/>
        <v/>
      </c>
      <c r="I487" s="53"/>
      <c r="N487" s="8">
        <v>0</v>
      </c>
      <c r="Q487" s="1"/>
      <c r="R487" s="1"/>
      <c r="S487" s="1"/>
      <c r="T487" s="8"/>
      <c r="U487" s="8"/>
      <c r="V487" s="1"/>
      <c r="W487" s="1"/>
      <c r="X487" s="1"/>
      <c r="Z487" s="8"/>
    </row>
    <row r="488" spans="1:26" x14ac:dyDescent="0.2">
      <c r="A488" s="12">
        <f t="shared" si="16"/>
        <v>476</v>
      </c>
      <c r="E488" s="10" t="str">
        <f t="shared" si="15"/>
        <v/>
      </c>
      <c r="I488" s="53"/>
      <c r="N488" s="8">
        <v>0</v>
      </c>
      <c r="Q488" s="1"/>
      <c r="R488" s="1"/>
      <c r="S488" s="1"/>
      <c r="T488" s="8"/>
      <c r="U488" s="8"/>
      <c r="V488" s="1"/>
      <c r="W488" s="1"/>
      <c r="X488" s="1"/>
      <c r="Z488" s="8"/>
    </row>
    <row r="489" spans="1:26" x14ac:dyDescent="0.2">
      <c r="A489" s="12">
        <f t="shared" si="16"/>
        <v>477</v>
      </c>
      <c r="E489" s="10" t="str">
        <f t="shared" si="15"/>
        <v/>
      </c>
      <c r="I489" s="53"/>
      <c r="N489" s="8">
        <v>0</v>
      </c>
      <c r="Q489" s="1"/>
      <c r="R489" s="1"/>
      <c r="S489" s="1"/>
      <c r="T489" s="8"/>
      <c r="U489" s="8"/>
      <c r="V489" s="1"/>
      <c r="W489" s="1"/>
      <c r="X489" s="1"/>
      <c r="Z489" s="8"/>
    </row>
    <row r="490" spans="1:26" x14ac:dyDescent="0.2">
      <c r="A490" s="12">
        <f t="shared" si="16"/>
        <v>478</v>
      </c>
      <c r="E490" s="10" t="str">
        <f t="shared" si="15"/>
        <v/>
      </c>
      <c r="I490" s="53"/>
      <c r="N490" s="8">
        <v>0</v>
      </c>
      <c r="Q490" s="1"/>
      <c r="R490" s="1"/>
      <c r="S490" s="1"/>
      <c r="T490" s="8"/>
      <c r="U490" s="8"/>
      <c r="V490" s="1"/>
      <c r="W490" s="1"/>
      <c r="X490" s="1"/>
      <c r="Z490" s="8"/>
    </row>
    <row r="491" spans="1:26" x14ac:dyDescent="0.2">
      <c r="A491" s="12">
        <f t="shared" si="16"/>
        <v>479</v>
      </c>
      <c r="E491" s="10" t="str">
        <f t="shared" si="15"/>
        <v/>
      </c>
      <c r="I491" s="53"/>
      <c r="N491" s="8">
        <v>0</v>
      </c>
      <c r="Q491" s="1"/>
      <c r="R491" s="1"/>
      <c r="S491" s="1"/>
      <c r="T491" s="8"/>
      <c r="U491" s="8"/>
      <c r="V491" s="1"/>
      <c r="W491" s="1"/>
      <c r="X491" s="1"/>
      <c r="Z491" s="8"/>
    </row>
    <row r="492" spans="1:26" x14ac:dyDescent="0.2">
      <c r="A492" s="12">
        <f t="shared" si="16"/>
        <v>480</v>
      </c>
      <c r="E492" s="10" t="str">
        <f t="shared" si="15"/>
        <v/>
      </c>
      <c r="I492" s="53"/>
      <c r="N492" s="8">
        <v>0</v>
      </c>
      <c r="Q492" s="1"/>
      <c r="R492" s="1"/>
      <c r="S492" s="1"/>
      <c r="T492" s="8"/>
      <c r="U492" s="8"/>
      <c r="V492" s="1"/>
      <c r="W492" s="1"/>
      <c r="X492" s="1"/>
      <c r="Z492" s="8"/>
    </row>
    <row r="493" spans="1:26" x14ac:dyDescent="0.2">
      <c r="A493" s="12">
        <f t="shared" si="16"/>
        <v>481</v>
      </c>
      <c r="E493" s="10" t="str">
        <f t="shared" si="15"/>
        <v/>
      </c>
      <c r="I493" s="53"/>
      <c r="N493" s="8">
        <v>0</v>
      </c>
      <c r="Q493" s="1"/>
      <c r="R493" s="1"/>
      <c r="S493" s="1"/>
      <c r="T493" s="8"/>
      <c r="U493" s="8"/>
      <c r="V493" s="1"/>
      <c r="W493" s="1"/>
      <c r="X493" s="1"/>
      <c r="Z493" s="8"/>
    </row>
    <row r="494" spans="1:26" x14ac:dyDescent="0.2">
      <c r="A494" s="12">
        <f t="shared" si="16"/>
        <v>482</v>
      </c>
      <c r="E494" s="10" t="str">
        <f t="shared" si="15"/>
        <v/>
      </c>
      <c r="I494" s="53"/>
      <c r="N494" s="8">
        <v>0</v>
      </c>
      <c r="Q494" s="1"/>
      <c r="R494" s="1"/>
      <c r="S494" s="1"/>
      <c r="T494" s="8"/>
      <c r="U494" s="8"/>
      <c r="V494" s="1"/>
      <c r="W494" s="1"/>
      <c r="X494" s="1"/>
      <c r="Z494" s="8"/>
    </row>
    <row r="495" spans="1:26" x14ac:dyDescent="0.2">
      <c r="A495" s="12">
        <f t="shared" si="16"/>
        <v>483</v>
      </c>
      <c r="E495" s="10" t="str">
        <f t="shared" si="15"/>
        <v/>
      </c>
      <c r="I495" s="53"/>
      <c r="N495" s="8">
        <v>0</v>
      </c>
      <c r="Q495" s="1"/>
      <c r="R495" s="1"/>
      <c r="S495" s="1"/>
      <c r="T495" s="8"/>
      <c r="U495" s="8"/>
      <c r="V495" s="1"/>
      <c r="W495" s="1"/>
      <c r="X495" s="1"/>
      <c r="Z495" s="8"/>
    </row>
    <row r="496" spans="1:26" x14ac:dyDescent="0.2">
      <c r="A496" s="12">
        <f t="shared" si="16"/>
        <v>484</v>
      </c>
      <c r="E496" s="10" t="str">
        <f t="shared" si="15"/>
        <v/>
      </c>
      <c r="I496" s="53"/>
      <c r="N496" s="8">
        <v>0</v>
      </c>
      <c r="Q496" s="1"/>
      <c r="R496" s="1"/>
      <c r="S496" s="1"/>
      <c r="T496" s="8"/>
      <c r="U496" s="8"/>
      <c r="V496" s="1"/>
      <c r="W496" s="1"/>
      <c r="X496" s="1"/>
      <c r="Z496" s="8"/>
    </row>
    <row r="497" spans="1:26" x14ac:dyDescent="0.2">
      <c r="A497" s="12">
        <f t="shared" si="16"/>
        <v>485</v>
      </c>
      <c r="E497" s="10" t="str">
        <f t="shared" si="15"/>
        <v/>
      </c>
      <c r="I497" s="53"/>
      <c r="N497" s="8">
        <v>0</v>
      </c>
      <c r="Q497" s="1"/>
      <c r="R497" s="1"/>
      <c r="S497" s="1"/>
      <c r="T497" s="8"/>
      <c r="U497" s="8"/>
      <c r="V497" s="1"/>
      <c r="W497" s="1"/>
      <c r="X497" s="1"/>
      <c r="Z497" s="8"/>
    </row>
    <row r="498" spans="1:26" x14ac:dyDescent="0.2">
      <c r="A498" s="12">
        <f t="shared" si="16"/>
        <v>486</v>
      </c>
      <c r="E498" s="10" t="str">
        <f t="shared" si="15"/>
        <v/>
      </c>
      <c r="I498" s="53"/>
      <c r="N498" s="8">
        <v>0</v>
      </c>
      <c r="Q498" s="1"/>
      <c r="R498" s="1"/>
      <c r="S498" s="1"/>
      <c r="T498" s="8"/>
      <c r="U498" s="8"/>
      <c r="V498" s="1"/>
      <c r="W498" s="1"/>
      <c r="X498" s="1"/>
      <c r="Z498" s="8"/>
    </row>
    <row r="499" spans="1:26" x14ac:dyDescent="0.2">
      <c r="A499" s="12">
        <f t="shared" si="16"/>
        <v>487</v>
      </c>
      <c r="E499" s="10" t="str">
        <f t="shared" si="15"/>
        <v/>
      </c>
      <c r="I499" s="53"/>
      <c r="N499" s="8">
        <v>0</v>
      </c>
      <c r="Q499" s="1"/>
      <c r="R499" s="1"/>
      <c r="S499" s="1"/>
      <c r="T499" s="8"/>
      <c r="U499" s="8"/>
      <c r="V499" s="1"/>
      <c r="W499" s="1"/>
      <c r="X499" s="1"/>
      <c r="Z499" s="8"/>
    </row>
    <row r="500" spans="1:26" x14ac:dyDescent="0.2">
      <c r="A500" s="12">
        <f t="shared" si="16"/>
        <v>488</v>
      </c>
      <c r="E500" s="10" t="str">
        <f t="shared" si="15"/>
        <v/>
      </c>
      <c r="I500" s="53"/>
      <c r="N500" s="8">
        <v>0</v>
      </c>
      <c r="Q500" s="1"/>
      <c r="R500" s="1"/>
      <c r="S500" s="1"/>
      <c r="T500" s="8"/>
      <c r="U500" s="8"/>
      <c r="V500" s="1"/>
      <c r="W500" s="1"/>
      <c r="X500" s="1"/>
      <c r="Z500" s="8"/>
    </row>
    <row r="501" spans="1:26" x14ac:dyDescent="0.2">
      <c r="A501" s="12">
        <f t="shared" si="16"/>
        <v>489</v>
      </c>
      <c r="E501" s="10" t="str">
        <f t="shared" si="15"/>
        <v/>
      </c>
      <c r="I501" s="53"/>
      <c r="N501" s="8">
        <v>0</v>
      </c>
      <c r="Q501" s="1"/>
      <c r="R501" s="1"/>
      <c r="S501" s="1"/>
      <c r="T501" s="8"/>
      <c r="U501" s="8"/>
      <c r="V501" s="1"/>
      <c r="W501" s="1"/>
      <c r="X501" s="1"/>
      <c r="Z501" s="8"/>
    </row>
    <row r="502" spans="1:26" x14ac:dyDescent="0.2">
      <c r="A502" s="12">
        <f t="shared" si="16"/>
        <v>490</v>
      </c>
      <c r="E502" s="10" t="str">
        <f t="shared" si="15"/>
        <v/>
      </c>
      <c r="I502" s="53"/>
      <c r="N502" s="8">
        <v>0</v>
      </c>
      <c r="Q502" s="1"/>
      <c r="R502" s="1"/>
      <c r="S502" s="1"/>
      <c r="T502" s="8"/>
      <c r="U502" s="8"/>
      <c r="V502" s="1"/>
      <c r="W502" s="1"/>
      <c r="X502" s="1"/>
      <c r="Z502" s="8"/>
    </row>
    <row r="503" spans="1:26" x14ac:dyDescent="0.2">
      <c r="A503" s="12">
        <f t="shared" si="16"/>
        <v>491</v>
      </c>
      <c r="E503" s="10" t="str">
        <f t="shared" si="15"/>
        <v/>
      </c>
      <c r="I503" s="53"/>
      <c r="N503" s="8">
        <v>0</v>
      </c>
      <c r="Q503" s="1"/>
      <c r="R503" s="1"/>
      <c r="S503" s="1"/>
      <c r="T503" s="8"/>
      <c r="U503" s="8"/>
      <c r="V503" s="1"/>
      <c r="W503" s="1"/>
      <c r="X503" s="1"/>
      <c r="Z503" s="8"/>
    </row>
    <row r="504" spans="1:26" x14ac:dyDescent="0.2">
      <c r="A504" s="12">
        <f t="shared" si="16"/>
        <v>492</v>
      </c>
      <c r="E504" s="10" t="str">
        <f t="shared" si="15"/>
        <v/>
      </c>
      <c r="I504" s="53"/>
      <c r="N504" s="8">
        <v>0</v>
      </c>
      <c r="Q504" s="1"/>
      <c r="R504" s="1"/>
      <c r="S504" s="1"/>
      <c r="T504" s="8"/>
      <c r="U504" s="8"/>
      <c r="V504" s="1"/>
      <c r="W504" s="1"/>
      <c r="X504" s="1"/>
      <c r="Z504" s="8"/>
    </row>
    <row r="505" spans="1:26" x14ac:dyDescent="0.2">
      <c r="A505" s="12">
        <f t="shared" si="16"/>
        <v>493</v>
      </c>
      <c r="E505" s="10" t="str">
        <f t="shared" si="15"/>
        <v/>
      </c>
      <c r="I505" s="53"/>
      <c r="N505" s="8">
        <v>0</v>
      </c>
      <c r="Q505" s="1"/>
      <c r="R505" s="1"/>
      <c r="S505" s="1"/>
      <c r="T505" s="8"/>
      <c r="U505" s="8"/>
      <c r="V505" s="1"/>
      <c r="W505" s="1"/>
      <c r="X505" s="1"/>
      <c r="Z505" s="8"/>
    </row>
    <row r="506" spans="1:26" x14ac:dyDescent="0.2">
      <c r="A506" s="12">
        <f t="shared" si="16"/>
        <v>494</v>
      </c>
      <c r="E506" s="10" t="str">
        <f t="shared" si="15"/>
        <v/>
      </c>
      <c r="I506" s="53"/>
      <c r="N506" s="8">
        <v>0</v>
      </c>
      <c r="Q506" s="1"/>
      <c r="R506" s="1"/>
      <c r="S506" s="1"/>
      <c r="T506" s="8"/>
      <c r="U506" s="8"/>
      <c r="V506" s="1"/>
      <c r="W506" s="1"/>
      <c r="X506" s="1"/>
      <c r="Z506" s="8"/>
    </row>
    <row r="507" spans="1:26" x14ac:dyDescent="0.2">
      <c r="A507" s="12">
        <f t="shared" si="16"/>
        <v>495</v>
      </c>
      <c r="E507" s="10" t="str">
        <f t="shared" si="15"/>
        <v/>
      </c>
      <c r="I507" s="53"/>
      <c r="N507" s="8">
        <v>0</v>
      </c>
      <c r="Q507" s="1"/>
      <c r="R507" s="1"/>
      <c r="S507" s="1"/>
      <c r="T507" s="8"/>
      <c r="U507" s="8"/>
      <c r="V507" s="1"/>
      <c r="W507" s="1"/>
      <c r="X507" s="1"/>
      <c r="Z507" s="8"/>
    </row>
    <row r="508" spans="1:26" x14ac:dyDescent="0.2">
      <c r="A508" s="12">
        <f t="shared" si="16"/>
        <v>496</v>
      </c>
      <c r="E508" s="10" t="str">
        <f t="shared" si="15"/>
        <v/>
      </c>
      <c r="I508" s="53"/>
      <c r="N508" s="8">
        <v>0</v>
      </c>
      <c r="Q508" s="1"/>
      <c r="R508" s="1"/>
      <c r="S508" s="1"/>
      <c r="T508" s="8"/>
      <c r="U508" s="8"/>
      <c r="V508" s="1"/>
      <c r="W508" s="1"/>
      <c r="X508" s="1"/>
      <c r="Z508" s="8"/>
    </row>
    <row r="509" spans="1:26" x14ac:dyDescent="0.2">
      <c r="A509" s="12">
        <f t="shared" si="16"/>
        <v>497</v>
      </c>
      <c r="E509" s="10" t="str">
        <f t="shared" si="15"/>
        <v/>
      </c>
      <c r="I509" s="53"/>
      <c r="N509" s="8">
        <v>0</v>
      </c>
      <c r="Q509" s="1"/>
      <c r="R509" s="1"/>
      <c r="S509" s="1"/>
      <c r="T509" s="8"/>
      <c r="U509" s="8"/>
      <c r="V509" s="1"/>
      <c r="W509" s="1"/>
      <c r="X509" s="1"/>
      <c r="Z509" s="8"/>
    </row>
    <row r="510" spans="1:26" x14ac:dyDescent="0.2">
      <c r="A510" s="12">
        <f t="shared" si="16"/>
        <v>498</v>
      </c>
      <c r="E510" s="10" t="str">
        <f t="shared" si="15"/>
        <v/>
      </c>
      <c r="I510" s="53"/>
      <c r="N510" s="8">
        <v>0</v>
      </c>
      <c r="Q510" s="1"/>
      <c r="R510" s="1"/>
      <c r="S510" s="1"/>
      <c r="T510" s="8"/>
      <c r="U510" s="8"/>
      <c r="V510" s="1"/>
      <c r="W510" s="1"/>
      <c r="X510" s="1"/>
      <c r="Z510" s="8"/>
    </row>
    <row r="511" spans="1:26" x14ac:dyDescent="0.2">
      <c r="A511" s="12">
        <f t="shared" si="16"/>
        <v>499</v>
      </c>
      <c r="E511" s="10" t="str">
        <f t="shared" si="15"/>
        <v/>
      </c>
      <c r="I511" s="53"/>
      <c r="N511" s="8">
        <v>0</v>
      </c>
      <c r="Q511" s="1"/>
      <c r="R511" s="1"/>
      <c r="S511" s="1"/>
      <c r="T511" s="8"/>
      <c r="U511" s="8"/>
      <c r="V511" s="1"/>
      <c r="W511" s="1"/>
      <c r="X511" s="1"/>
      <c r="Z511" s="8"/>
    </row>
    <row r="512" spans="1:26" x14ac:dyDescent="0.2">
      <c r="A512" s="12">
        <f t="shared" si="16"/>
        <v>500</v>
      </c>
      <c r="E512" s="10" t="str">
        <f t="shared" si="15"/>
        <v/>
      </c>
      <c r="I512" s="53"/>
      <c r="N512" s="8">
        <v>0</v>
      </c>
      <c r="Q512" s="1"/>
      <c r="R512" s="1"/>
      <c r="S512" s="1"/>
      <c r="T512" s="8"/>
      <c r="U512" s="8"/>
      <c r="V512" s="1"/>
      <c r="W512" s="1"/>
      <c r="X512" s="1"/>
      <c r="Z512" s="8"/>
    </row>
    <row r="513" spans="1:26" x14ac:dyDescent="0.2">
      <c r="A513" s="12">
        <f t="shared" si="16"/>
        <v>501</v>
      </c>
      <c r="E513" s="10" t="str">
        <f t="shared" si="15"/>
        <v/>
      </c>
      <c r="I513" s="53"/>
      <c r="N513" s="8">
        <v>0</v>
      </c>
      <c r="Q513" s="1"/>
      <c r="R513" s="1"/>
      <c r="S513" s="1"/>
      <c r="T513" s="8"/>
      <c r="U513" s="8"/>
      <c r="V513" s="1"/>
      <c r="W513" s="1"/>
      <c r="X513" s="1"/>
      <c r="Z513" s="8"/>
    </row>
    <row r="514" spans="1:26" x14ac:dyDescent="0.2">
      <c r="A514" s="12">
        <f t="shared" si="16"/>
        <v>502</v>
      </c>
      <c r="E514" s="10" t="str">
        <f t="shared" si="15"/>
        <v/>
      </c>
      <c r="I514" s="53"/>
      <c r="N514" s="8">
        <v>0</v>
      </c>
      <c r="Q514" s="1"/>
      <c r="R514" s="1"/>
      <c r="S514" s="1"/>
      <c r="T514" s="8"/>
      <c r="U514" s="8"/>
      <c r="V514" s="1"/>
      <c r="W514" s="1"/>
      <c r="X514" s="1"/>
      <c r="Z514" s="8"/>
    </row>
    <row r="515" spans="1:26" x14ac:dyDescent="0.2">
      <c r="A515" s="12">
        <f t="shared" si="16"/>
        <v>503</v>
      </c>
      <c r="E515" s="10" t="str">
        <f t="shared" si="15"/>
        <v/>
      </c>
      <c r="I515" s="53"/>
      <c r="N515" s="8">
        <v>0</v>
      </c>
      <c r="Q515" s="1"/>
      <c r="R515" s="1"/>
      <c r="S515" s="1"/>
      <c r="T515" s="8"/>
      <c r="U515" s="8"/>
      <c r="V515" s="1"/>
      <c r="W515" s="1"/>
      <c r="X515" s="1"/>
      <c r="Z515" s="8"/>
    </row>
    <row r="516" spans="1:26" x14ac:dyDescent="0.2">
      <c r="A516" s="12">
        <f t="shared" si="16"/>
        <v>504</v>
      </c>
      <c r="E516" s="10" t="str">
        <f t="shared" si="15"/>
        <v/>
      </c>
      <c r="I516" s="53"/>
      <c r="N516" s="8">
        <v>0</v>
      </c>
      <c r="Q516" s="1"/>
      <c r="R516" s="1"/>
      <c r="S516" s="1"/>
      <c r="T516" s="8"/>
      <c r="U516" s="8"/>
      <c r="V516" s="1"/>
      <c r="W516" s="1"/>
      <c r="X516" s="1"/>
      <c r="Z516" s="8"/>
    </row>
    <row r="517" spans="1:26" x14ac:dyDescent="0.2">
      <c r="A517" s="12">
        <f t="shared" si="16"/>
        <v>505</v>
      </c>
      <c r="E517" s="10" t="str">
        <f t="shared" si="15"/>
        <v/>
      </c>
      <c r="I517" s="53"/>
      <c r="N517" s="8">
        <v>0</v>
      </c>
      <c r="Q517" s="1"/>
      <c r="R517" s="1"/>
      <c r="S517" s="1"/>
      <c r="T517" s="8"/>
      <c r="U517" s="8"/>
      <c r="V517" s="1"/>
      <c r="W517" s="1"/>
      <c r="X517" s="1"/>
      <c r="Z517" s="8"/>
    </row>
    <row r="518" spans="1:26" x14ac:dyDescent="0.2">
      <c r="A518" s="12">
        <f t="shared" si="16"/>
        <v>506</v>
      </c>
      <c r="E518" s="10" t="str">
        <f t="shared" si="15"/>
        <v/>
      </c>
      <c r="I518" s="53"/>
      <c r="N518" s="8">
        <v>0</v>
      </c>
      <c r="Q518" s="1"/>
      <c r="R518" s="1"/>
      <c r="S518" s="1"/>
      <c r="T518" s="8"/>
      <c r="U518" s="8"/>
      <c r="V518" s="1"/>
      <c r="W518" s="1"/>
      <c r="X518" s="1"/>
      <c r="Z518" s="8"/>
    </row>
    <row r="519" spans="1:26" x14ac:dyDescent="0.2">
      <c r="A519" s="12">
        <f t="shared" si="16"/>
        <v>507</v>
      </c>
      <c r="E519" s="10" t="str">
        <f t="shared" si="15"/>
        <v/>
      </c>
      <c r="I519" s="53"/>
      <c r="N519" s="8">
        <v>0</v>
      </c>
      <c r="Q519" s="1"/>
      <c r="R519" s="1"/>
      <c r="S519" s="1"/>
      <c r="T519" s="8"/>
      <c r="U519" s="8"/>
      <c r="V519" s="1"/>
      <c r="W519" s="1"/>
      <c r="X519" s="1"/>
      <c r="Z519" s="8"/>
    </row>
    <row r="520" spans="1:26" x14ac:dyDescent="0.2">
      <c r="A520" s="12">
        <f t="shared" si="16"/>
        <v>508</v>
      </c>
      <c r="E520" s="10" t="str">
        <f t="shared" si="15"/>
        <v/>
      </c>
      <c r="I520" s="53"/>
      <c r="N520" s="8">
        <v>0</v>
      </c>
      <c r="Q520" s="1"/>
      <c r="R520" s="1"/>
      <c r="S520" s="1"/>
      <c r="T520" s="8"/>
      <c r="U520" s="8"/>
      <c r="V520" s="1"/>
      <c r="W520" s="1"/>
      <c r="X520" s="1"/>
      <c r="Z520" s="8"/>
    </row>
    <row r="521" spans="1:26" x14ac:dyDescent="0.2">
      <c r="A521" s="12">
        <f t="shared" si="16"/>
        <v>509</v>
      </c>
      <c r="E521" s="10" t="str">
        <f t="shared" si="15"/>
        <v/>
      </c>
      <c r="I521" s="53"/>
      <c r="N521" s="8">
        <v>0</v>
      </c>
      <c r="Q521" s="1"/>
      <c r="R521" s="1"/>
      <c r="S521" s="1"/>
      <c r="T521" s="8"/>
      <c r="U521" s="8"/>
      <c r="V521" s="1"/>
      <c r="W521" s="1"/>
      <c r="X521" s="1"/>
      <c r="Z521" s="8"/>
    </row>
    <row r="522" spans="1:26" x14ac:dyDescent="0.2">
      <c r="A522" s="12">
        <f t="shared" si="16"/>
        <v>510</v>
      </c>
      <c r="E522" s="10" t="str">
        <f t="shared" si="15"/>
        <v/>
      </c>
      <c r="I522" s="53"/>
      <c r="N522" s="8">
        <v>0</v>
      </c>
      <c r="Q522" s="1"/>
      <c r="R522" s="1"/>
      <c r="S522" s="1"/>
      <c r="T522" s="8"/>
      <c r="U522" s="8"/>
      <c r="V522" s="1"/>
      <c r="W522" s="1"/>
      <c r="X522" s="1"/>
      <c r="Z522" s="8"/>
    </row>
    <row r="523" spans="1:26" x14ac:dyDescent="0.2">
      <c r="A523" s="12">
        <f t="shared" si="16"/>
        <v>511</v>
      </c>
      <c r="E523" s="10" t="str">
        <f t="shared" si="15"/>
        <v/>
      </c>
      <c r="I523" s="53"/>
      <c r="N523" s="8">
        <v>0</v>
      </c>
      <c r="Q523" s="1"/>
      <c r="R523" s="1"/>
      <c r="S523" s="1"/>
      <c r="T523" s="8"/>
      <c r="U523" s="8"/>
      <c r="V523" s="1"/>
      <c r="W523" s="1"/>
      <c r="X523" s="1"/>
      <c r="Z523" s="8"/>
    </row>
    <row r="524" spans="1:26" x14ac:dyDescent="0.2">
      <c r="A524" s="12">
        <f t="shared" si="16"/>
        <v>512</v>
      </c>
      <c r="E524" s="10" t="str">
        <f t="shared" si="15"/>
        <v/>
      </c>
      <c r="I524" s="53"/>
      <c r="N524" s="8">
        <v>0</v>
      </c>
      <c r="Q524" s="1"/>
      <c r="R524" s="1"/>
      <c r="S524" s="1"/>
      <c r="T524" s="8"/>
      <c r="U524" s="8"/>
      <c r="V524" s="1"/>
      <c r="W524" s="1"/>
      <c r="X524" s="1"/>
      <c r="Z524" s="8"/>
    </row>
    <row r="525" spans="1:26" x14ac:dyDescent="0.2">
      <c r="A525" s="12">
        <f t="shared" si="16"/>
        <v>513</v>
      </c>
      <c r="E525" s="10" t="str">
        <f t="shared" ref="E525:E588" si="17">IF($C$8&gt;=A525,$E$1&amp;" "&amp;A525,"")</f>
        <v/>
      </c>
      <c r="I525" s="53"/>
      <c r="N525" s="8">
        <v>0</v>
      </c>
      <c r="Q525" s="1"/>
      <c r="R525" s="1"/>
      <c r="S525" s="1"/>
      <c r="T525" s="8"/>
      <c r="U525" s="8"/>
      <c r="V525" s="1"/>
      <c r="W525" s="1"/>
      <c r="X525" s="1"/>
      <c r="Z525" s="8"/>
    </row>
    <row r="526" spans="1:26" x14ac:dyDescent="0.2">
      <c r="A526" s="12">
        <f t="shared" si="16"/>
        <v>514</v>
      </c>
      <c r="E526" s="10" t="str">
        <f t="shared" si="17"/>
        <v/>
      </c>
      <c r="I526" s="53"/>
      <c r="N526" s="8">
        <v>0</v>
      </c>
      <c r="Q526" s="1"/>
      <c r="R526" s="1"/>
      <c r="S526" s="1"/>
      <c r="T526" s="8"/>
      <c r="U526" s="8"/>
      <c r="V526" s="1"/>
      <c r="W526" s="1"/>
      <c r="X526" s="1"/>
      <c r="Z526" s="8"/>
    </row>
    <row r="527" spans="1:26" x14ac:dyDescent="0.2">
      <c r="A527" s="12">
        <f t="shared" ref="A527:A590" si="18">A526+1</f>
        <v>515</v>
      </c>
      <c r="E527" s="10" t="str">
        <f t="shared" si="17"/>
        <v/>
      </c>
      <c r="I527" s="53"/>
      <c r="N527" s="8">
        <v>0</v>
      </c>
      <c r="Q527" s="1"/>
      <c r="R527" s="1"/>
      <c r="S527" s="1"/>
      <c r="T527" s="8"/>
      <c r="U527" s="8"/>
      <c r="V527" s="1"/>
      <c r="W527" s="1"/>
      <c r="X527" s="1"/>
      <c r="Z527" s="8"/>
    </row>
    <row r="528" spans="1:26" x14ac:dyDescent="0.2">
      <c r="A528" s="12">
        <f t="shared" si="18"/>
        <v>516</v>
      </c>
      <c r="E528" s="10" t="str">
        <f t="shared" si="17"/>
        <v/>
      </c>
      <c r="I528" s="53"/>
      <c r="N528" s="8">
        <v>0</v>
      </c>
      <c r="Q528" s="1"/>
      <c r="R528" s="1"/>
      <c r="S528" s="1"/>
      <c r="T528" s="8"/>
      <c r="U528" s="8"/>
      <c r="V528" s="1"/>
      <c r="W528" s="1"/>
      <c r="X528" s="1"/>
      <c r="Z528" s="8"/>
    </row>
    <row r="529" spans="1:26" x14ac:dyDescent="0.2">
      <c r="A529" s="12">
        <f t="shared" si="18"/>
        <v>517</v>
      </c>
      <c r="E529" s="10" t="str">
        <f t="shared" si="17"/>
        <v/>
      </c>
      <c r="I529" s="53"/>
      <c r="N529" s="8">
        <v>0</v>
      </c>
      <c r="Q529" s="1"/>
      <c r="R529" s="1"/>
      <c r="S529" s="1"/>
      <c r="T529" s="8"/>
      <c r="U529" s="8"/>
      <c r="V529" s="1"/>
      <c r="W529" s="1"/>
      <c r="X529" s="1"/>
      <c r="Z529" s="8"/>
    </row>
    <row r="530" spans="1:26" x14ac:dyDescent="0.2">
      <c r="A530" s="12">
        <f t="shared" si="18"/>
        <v>518</v>
      </c>
      <c r="E530" s="10" t="str">
        <f t="shared" si="17"/>
        <v/>
      </c>
      <c r="I530" s="53"/>
      <c r="N530" s="8">
        <v>0</v>
      </c>
      <c r="Q530" s="1"/>
      <c r="R530" s="1"/>
      <c r="S530" s="1"/>
      <c r="T530" s="8"/>
      <c r="U530" s="8"/>
      <c r="V530" s="1"/>
      <c r="W530" s="1"/>
      <c r="X530" s="1"/>
      <c r="Z530" s="8"/>
    </row>
    <row r="531" spans="1:26" x14ac:dyDescent="0.2">
      <c r="A531" s="12">
        <f t="shared" si="18"/>
        <v>519</v>
      </c>
      <c r="E531" s="10" t="str">
        <f t="shared" si="17"/>
        <v/>
      </c>
      <c r="I531" s="53"/>
      <c r="N531" s="8">
        <v>0</v>
      </c>
      <c r="Q531" s="1"/>
      <c r="R531" s="1"/>
      <c r="S531" s="1"/>
      <c r="T531" s="8"/>
      <c r="U531" s="8"/>
      <c r="V531" s="1"/>
      <c r="W531" s="1"/>
      <c r="X531" s="1"/>
      <c r="Z531" s="8"/>
    </row>
    <row r="532" spans="1:26" x14ac:dyDescent="0.2">
      <c r="A532" s="12">
        <f t="shared" si="18"/>
        <v>520</v>
      </c>
      <c r="E532" s="10" t="str">
        <f t="shared" si="17"/>
        <v/>
      </c>
      <c r="I532" s="53"/>
      <c r="N532" s="8">
        <v>0</v>
      </c>
      <c r="Q532" s="1"/>
      <c r="R532" s="1"/>
      <c r="S532" s="1"/>
      <c r="T532" s="8"/>
      <c r="U532" s="8"/>
      <c r="V532" s="1"/>
      <c r="W532" s="1"/>
      <c r="X532" s="1"/>
      <c r="Z532" s="8"/>
    </row>
    <row r="533" spans="1:26" x14ac:dyDescent="0.2">
      <c r="A533" s="12">
        <f t="shared" si="18"/>
        <v>521</v>
      </c>
      <c r="E533" s="10" t="str">
        <f t="shared" si="17"/>
        <v/>
      </c>
      <c r="I533" s="53"/>
      <c r="N533" s="8">
        <v>0</v>
      </c>
      <c r="Q533" s="1"/>
      <c r="R533" s="1"/>
      <c r="S533" s="1"/>
      <c r="T533" s="8"/>
      <c r="U533" s="8"/>
      <c r="V533" s="1"/>
      <c r="W533" s="1"/>
      <c r="X533" s="1"/>
      <c r="Z533" s="8"/>
    </row>
    <row r="534" spans="1:26" x14ac:dyDescent="0.2">
      <c r="A534" s="12">
        <f t="shared" si="18"/>
        <v>522</v>
      </c>
      <c r="E534" s="10" t="str">
        <f t="shared" si="17"/>
        <v/>
      </c>
      <c r="I534" s="53"/>
      <c r="N534" s="8">
        <v>0</v>
      </c>
      <c r="Q534" s="1"/>
      <c r="R534" s="1"/>
      <c r="S534" s="1"/>
      <c r="T534" s="8"/>
      <c r="U534" s="8"/>
      <c r="V534" s="1"/>
      <c r="W534" s="1"/>
      <c r="X534" s="1"/>
      <c r="Z534" s="8"/>
    </row>
    <row r="535" spans="1:26" x14ac:dyDescent="0.2">
      <c r="A535" s="12">
        <f t="shared" si="18"/>
        <v>523</v>
      </c>
      <c r="E535" s="10" t="str">
        <f t="shared" si="17"/>
        <v/>
      </c>
      <c r="I535" s="53"/>
      <c r="N535" s="8">
        <v>0</v>
      </c>
      <c r="Q535" s="1"/>
      <c r="R535" s="1"/>
      <c r="S535" s="1"/>
      <c r="T535" s="8"/>
      <c r="U535" s="8"/>
      <c r="V535" s="1"/>
      <c r="W535" s="1"/>
      <c r="X535" s="1"/>
      <c r="Z535" s="8"/>
    </row>
    <row r="536" spans="1:26" x14ac:dyDescent="0.2">
      <c r="A536" s="12">
        <f t="shared" si="18"/>
        <v>524</v>
      </c>
      <c r="E536" s="10" t="str">
        <f t="shared" si="17"/>
        <v/>
      </c>
      <c r="I536" s="53"/>
      <c r="N536" s="8">
        <v>0</v>
      </c>
      <c r="Q536" s="1"/>
      <c r="R536" s="1"/>
      <c r="S536" s="1"/>
      <c r="T536" s="8"/>
      <c r="U536" s="8"/>
      <c r="V536" s="1"/>
      <c r="W536" s="1"/>
      <c r="X536" s="1"/>
      <c r="Z536" s="8"/>
    </row>
    <row r="537" spans="1:26" x14ac:dyDescent="0.2">
      <c r="A537" s="12">
        <f t="shared" si="18"/>
        <v>525</v>
      </c>
      <c r="E537" s="10" t="str">
        <f t="shared" si="17"/>
        <v/>
      </c>
      <c r="I537" s="53"/>
      <c r="N537" s="8">
        <v>0</v>
      </c>
      <c r="Q537" s="1"/>
      <c r="R537" s="1"/>
      <c r="S537" s="1"/>
      <c r="T537" s="8"/>
      <c r="U537" s="8"/>
      <c r="V537" s="1"/>
      <c r="W537" s="1"/>
      <c r="X537" s="1"/>
      <c r="Z537" s="8"/>
    </row>
    <row r="538" spans="1:26" x14ac:dyDescent="0.2">
      <c r="A538" s="12">
        <f t="shared" si="18"/>
        <v>526</v>
      </c>
      <c r="E538" s="10" t="str">
        <f t="shared" si="17"/>
        <v/>
      </c>
      <c r="I538" s="53"/>
      <c r="N538" s="8">
        <v>0</v>
      </c>
      <c r="Q538" s="1"/>
      <c r="R538" s="1"/>
      <c r="S538" s="1"/>
      <c r="T538" s="8"/>
      <c r="U538" s="8"/>
      <c r="V538" s="1"/>
      <c r="W538" s="1"/>
      <c r="X538" s="1"/>
      <c r="Z538" s="8"/>
    </row>
    <row r="539" spans="1:26" x14ac:dyDescent="0.2">
      <c r="A539" s="12">
        <f t="shared" si="18"/>
        <v>527</v>
      </c>
      <c r="E539" s="10" t="str">
        <f t="shared" si="17"/>
        <v/>
      </c>
      <c r="I539" s="53"/>
      <c r="N539" s="8">
        <v>0</v>
      </c>
      <c r="Q539" s="1"/>
      <c r="R539" s="1"/>
      <c r="S539" s="1"/>
      <c r="T539" s="8"/>
      <c r="U539" s="8"/>
      <c r="V539" s="1"/>
      <c r="W539" s="1"/>
      <c r="X539" s="1"/>
      <c r="Z539" s="8"/>
    </row>
    <row r="540" spans="1:26" x14ac:dyDescent="0.2">
      <c r="A540" s="12">
        <f t="shared" si="18"/>
        <v>528</v>
      </c>
      <c r="E540" s="10" t="str">
        <f t="shared" si="17"/>
        <v/>
      </c>
      <c r="I540" s="53"/>
      <c r="N540" s="8">
        <v>0</v>
      </c>
      <c r="Q540" s="1"/>
      <c r="R540" s="1"/>
      <c r="S540" s="1"/>
      <c r="T540" s="8"/>
      <c r="U540" s="8"/>
      <c r="V540" s="1"/>
      <c r="W540" s="1"/>
      <c r="X540" s="1"/>
      <c r="Z540" s="8"/>
    </row>
    <row r="541" spans="1:26" x14ac:dyDescent="0.2">
      <c r="A541" s="12">
        <f t="shared" si="18"/>
        <v>529</v>
      </c>
      <c r="E541" s="10" t="str">
        <f t="shared" si="17"/>
        <v/>
      </c>
      <c r="I541" s="53"/>
      <c r="N541" s="8">
        <v>0</v>
      </c>
      <c r="Q541" s="1"/>
      <c r="R541" s="1"/>
      <c r="S541" s="1"/>
      <c r="T541" s="8"/>
      <c r="U541" s="8"/>
      <c r="V541" s="1"/>
      <c r="W541" s="1"/>
      <c r="X541" s="1"/>
      <c r="Z541" s="8"/>
    </row>
    <row r="542" spans="1:26" x14ac:dyDescent="0.2">
      <c r="A542" s="12">
        <f t="shared" si="18"/>
        <v>530</v>
      </c>
      <c r="E542" s="10" t="str">
        <f t="shared" si="17"/>
        <v/>
      </c>
      <c r="I542" s="53"/>
      <c r="N542" s="8">
        <v>0</v>
      </c>
      <c r="Q542" s="1"/>
      <c r="R542" s="1"/>
      <c r="S542" s="1"/>
      <c r="T542" s="8"/>
      <c r="U542" s="8"/>
      <c r="V542" s="1"/>
      <c r="W542" s="1"/>
      <c r="X542" s="1"/>
      <c r="Z542" s="8"/>
    </row>
    <row r="543" spans="1:26" x14ac:dyDescent="0.2">
      <c r="A543" s="12">
        <f t="shared" si="18"/>
        <v>531</v>
      </c>
      <c r="E543" s="10" t="str">
        <f t="shared" si="17"/>
        <v/>
      </c>
      <c r="I543" s="53"/>
      <c r="N543" s="8">
        <v>0</v>
      </c>
      <c r="Q543" s="1"/>
      <c r="R543" s="1"/>
      <c r="S543" s="1"/>
      <c r="T543" s="8"/>
      <c r="U543" s="8"/>
      <c r="V543" s="1"/>
      <c r="W543" s="1"/>
      <c r="X543" s="1"/>
      <c r="Z543" s="8"/>
    </row>
    <row r="544" spans="1:26" x14ac:dyDescent="0.2">
      <c r="A544" s="12">
        <f t="shared" si="18"/>
        <v>532</v>
      </c>
      <c r="E544" s="10" t="str">
        <f t="shared" si="17"/>
        <v/>
      </c>
      <c r="I544" s="53"/>
      <c r="N544" s="8">
        <v>0</v>
      </c>
      <c r="Q544" s="1"/>
      <c r="R544" s="1"/>
      <c r="S544" s="1"/>
      <c r="T544" s="8"/>
      <c r="U544" s="8"/>
      <c r="V544" s="1"/>
      <c r="W544" s="1"/>
      <c r="X544" s="1"/>
      <c r="Z544" s="8"/>
    </row>
    <row r="545" spans="1:26" x14ac:dyDescent="0.2">
      <c r="A545" s="12">
        <f t="shared" si="18"/>
        <v>533</v>
      </c>
      <c r="E545" s="10" t="str">
        <f t="shared" si="17"/>
        <v/>
      </c>
      <c r="I545" s="53"/>
      <c r="N545" s="8">
        <v>0</v>
      </c>
      <c r="Q545" s="1"/>
      <c r="R545" s="1"/>
      <c r="S545" s="1"/>
      <c r="T545" s="8"/>
      <c r="U545" s="8"/>
      <c r="V545" s="1"/>
      <c r="W545" s="1"/>
      <c r="X545" s="1"/>
      <c r="Z545" s="8"/>
    </row>
    <row r="546" spans="1:26" x14ac:dyDescent="0.2">
      <c r="A546" s="12">
        <f t="shared" si="18"/>
        <v>534</v>
      </c>
      <c r="E546" s="10" t="str">
        <f t="shared" si="17"/>
        <v/>
      </c>
      <c r="I546" s="53"/>
      <c r="N546" s="8">
        <v>0</v>
      </c>
      <c r="Q546" s="1"/>
      <c r="R546" s="1"/>
      <c r="S546" s="1"/>
      <c r="T546" s="8"/>
      <c r="U546" s="8"/>
      <c r="V546" s="1"/>
      <c r="W546" s="1"/>
      <c r="X546" s="1"/>
      <c r="Z546" s="8"/>
    </row>
    <row r="547" spans="1:26" x14ac:dyDescent="0.2">
      <c r="A547" s="12">
        <f t="shared" si="18"/>
        <v>535</v>
      </c>
      <c r="E547" s="10" t="str">
        <f t="shared" si="17"/>
        <v/>
      </c>
      <c r="I547" s="53"/>
      <c r="N547" s="8">
        <v>0</v>
      </c>
      <c r="Q547" s="1"/>
      <c r="R547" s="1"/>
      <c r="S547" s="1"/>
      <c r="T547" s="8"/>
      <c r="U547" s="8"/>
      <c r="V547" s="1"/>
      <c r="W547" s="1"/>
      <c r="X547" s="1"/>
      <c r="Z547" s="8"/>
    </row>
    <row r="548" spans="1:26" x14ac:dyDescent="0.2">
      <c r="A548" s="12">
        <f t="shared" si="18"/>
        <v>536</v>
      </c>
      <c r="E548" s="10" t="str">
        <f t="shared" si="17"/>
        <v/>
      </c>
      <c r="I548" s="53"/>
      <c r="N548" s="8">
        <v>0</v>
      </c>
      <c r="Q548" s="1"/>
      <c r="R548" s="1"/>
      <c r="S548" s="1"/>
      <c r="T548" s="8"/>
      <c r="U548" s="8"/>
      <c r="V548" s="1"/>
      <c r="W548" s="1"/>
      <c r="X548" s="1"/>
      <c r="Z548" s="8"/>
    </row>
    <row r="549" spans="1:26" x14ac:dyDescent="0.2">
      <c r="A549" s="12">
        <f t="shared" si="18"/>
        <v>537</v>
      </c>
      <c r="E549" s="10" t="str">
        <f t="shared" si="17"/>
        <v/>
      </c>
      <c r="I549" s="53"/>
      <c r="N549" s="8">
        <v>0</v>
      </c>
      <c r="Q549" s="1"/>
      <c r="R549" s="1"/>
      <c r="S549" s="1"/>
      <c r="T549" s="8"/>
      <c r="U549" s="8"/>
      <c r="V549" s="1"/>
      <c r="W549" s="1"/>
      <c r="X549" s="1"/>
      <c r="Z549" s="8"/>
    </row>
    <row r="550" spans="1:26" x14ac:dyDescent="0.2">
      <c r="A550" s="12">
        <f t="shared" si="18"/>
        <v>538</v>
      </c>
      <c r="E550" s="10" t="str">
        <f t="shared" si="17"/>
        <v/>
      </c>
      <c r="I550" s="53"/>
      <c r="N550" s="8">
        <v>0</v>
      </c>
      <c r="Q550" s="1"/>
      <c r="R550" s="1"/>
      <c r="S550" s="1"/>
      <c r="T550" s="8"/>
      <c r="U550" s="8"/>
      <c r="V550" s="1"/>
      <c r="W550" s="1"/>
      <c r="X550" s="1"/>
      <c r="Z550" s="8"/>
    </row>
    <row r="551" spans="1:26" x14ac:dyDescent="0.2">
      <c r="A551" s="12">
        <f t="shared" si="18"/>
        <v>539</v>
      </c>
      <c r="E551" s="10" t="str">
        <f t="shared" si="17"/>
        <v/>
      </c>
      <c r="I551" s="53"/>
      <c r="N551" s="8">
        <v>0</v>
      </c>
      <c r="Q551" s="1"/>
      <c r="R551" s="1"/>
      <c r="S551" s="1"/>
      <c r="T551" s="8"/>
      <c r="U551" s="8"/>
      <c r="V551" s="1"/>
      <c r="W551" s="1"/>
      <c r="X551" s="1"/>
      <c r="Z551" s="8"/>
    </row>
    <row r="552" spans="1:26" x14ac:dyDescent="0.2">
      <c r="A552" s="12">
        <f t="shared" si="18"/>
        <v>540</v>
      </c>
      <c r="E552" s="10" t="str">
        <f t="shared" si="17"/>
        <v/>
      </c>
      <c r="I552" s="53"/>
      <c r="N552" s="8">
        <v>0</v>
      </c>
      <c r="Q552" s="1"/>
      <c r="R552" s="1"/>
      <c r="S552" s="1"/>
      <c r="T552" s="8"/>
      <c r="U552" s="8"/>
      <c r="V552" s="1"/>
      <c r="W552" s="1"/>
      <c r="X552" s="1"/>
      <c r="Z552" s="8"/>
    </row>
    <row r="553" spans="1:26" x14ac:dyDescent="0.2">
      <c r="A553" s="12">
        <f t="shared" si="18"/>
        <v>541</v>
      </c>
      <c r="E553" s="10" t="str">
        <f t="shared" si="17"/>
        <v/>
      </c>
      <c r="I553" s="53"/>
      <c r="N553" s="8">
        <v>0</v>
      </c>
      <c r="Q553" s="1"/>
      <c r="R553" s="1"/>
      <c r="S553" s="1"/>
      <c r="T553" s="8"/>
      <c r="U553" s="8"/>
      <c r="V553" s="1"/>
      <c r="W553" s="1"/>
      <c r="X553" s="1"/>
      <c r="Z553" s="8"/>
    </row>
    <row r="554" spans="1:26" x14ac:dyDescent="0.2">
      <c r="A554" s="12">
        <f t="shared" si="18"/>
        <v>542</v>
      </c>
      <c r="E554" s="10" t="str">
        <f t="shared" si="17"/>
        <v/>
      </c>
      <c r="I554" s="53"/>
      <c r="N554" s="8">
        <v>0</v>
      </c>
      <c r="Q554" s="1"/>
      <c r="R554" s="1"/>
      <c r="S554" s="1"/>
      <c r="T554" s="8"/>
      <c r="U554" s="8"/>
      <c r="V554" s="1"/>
      <c r="W554" s="1"/>
      <c r="X554" s="1"/>
      <c r="Z554" s="8"/>
    </row>
    <row r="555" spans="1:26" x14ac:dyDescent="0.2">
      <c r="A555" s="12">
        <f t="shared" si="18"/>
        <v>543</v>
      </c>
      <c r="E555" s="10" t="str">
        <f t="shared" si="17"/>
        <v/>
      </c>
      <c r="I555" s="53"/>
      <c r="N555" s="8">
        <v>0</v>
      </c>
      <c r="Q555" s="1"/>
      <c r="R555" s="1"/>
      <c r="S555" s="1"/>
      <c r="T555" s="8"/>
      <c r="U555" s="8"/>
      <c r="V555" s="1"/>
      <c r="W555" s="1"/>
      <c r="X555" s="1"/>
      <c r="Z555" s="8"/>
    </row>
    <row r="556" spans="1:26" x14ac:dyDescent="0.2">
      <c r="A556" s="12">
        <f t="shared" si="18"/>
        <v>544</v>
      </c>
      <c r="E556" s="10" t="str">
        <f t="shared" si="17"/>
        <v/>
      </c>
      <c r="I556" s="53"/>
      <c r="N556" s="8">
        <v>0</v>
      </c>
      <c r="Q556" s="1"/>
      <c r="R556" s="1"/>
      <c r="S556" s="1"/>
      <c r="T556" s="8"/>
      <c r="U556" s="8"/>
      <c r="V556" s="1"/>
      <c r="W556" s="1"/>
      <c r="X556" s="1"/>
      <c r="Z556" s="8"/>
    </row>
    <row r="557" spans="1:26" x14ac:dyDescent="0.2">
      <c r="A557" s="12">
        <f t="shared" si="18"/>
        <v>545</v>
      </c>
      <c r="E557" s="10" t="str">
        <f t="shared" si="17"/>
        <v/>
      </c>
      <c r="I557" s="53"/>
      <c r="N557" s="8">
        <v>0</v>
      </c>
      <c r="Q557" s="1"/>
      <c r="R557" s="1"/>
      <c r="S557" s="1"/>
      <c r="T557" s="8"/>
      <c r="U557" s="8"/>
      <c r="V557" s="1"/>
      <c r="W557" s="1"/>
      <c r="X557" s="1"/>
      <c r="Z557" s="8"/>
    </row>
    <row r="558" spans="1:26" x14ac:dyDescent="0.2">
      <c r="A558" s="12">
        <f t="shared" si="18"/>
        <v>546</v>
      </c>
      <c r="E558" s="10" t="str">
        <f t="shared" si="17"/>
        <v/>
      </c>
      <c r="I558" s="53"/>
      <c r="N558" s="8">
        <v>0</v>
      </c>
      <c r="Q558" s="1"/>
      <c r="R558" s="1"/>
      <c r="S558" s="1"/>
      <c r="T558" s="8"/>
      <c r="U558" s="8"/>
      <c r="V558" s="1"/>
      <c r="W558" s="1"/>
      <c r="X558" s="1"/>
      <c r="Z558" s="8"/>
    </row>
    <row r="559" spans="1:26" x14ac:dyDescent="0.2">
      <c r="A559" s="12">
        <f t="shared" si="18"/>
        <v>547</v>
      </c>
      <c r="E559" s="10" t="str">
        <f t="shared" si="17"/>
        <v/>
      </c>
      <c r="I559" s="53"/>
      <c r="N559" s="8">
        <v>0</v>
      </c>
      <c r="Q559" s="1"/>
      <c r="R559" s="1"/>
      <c r="S559" s="1"/>
      <c r="T559" s="8"/>
      <c r="U559" s="8"/>
      <c r="V559" s="1"/>
      <c r="W559" s="1"/>
      <c r="X559" s="1"/>
      <c r="Z559" s="8"/>
    </row>
    <row r="560" spans="1:26" x14ac:dyDescent="0.2">
      <c r="A560" s="12">
        <f t="shared" si="18"/>
        <v>548</v>
      </c>
      <c r="E560" s="10" t="str">
        <f t="shared" si="17"/>
        <v/>
      </c>
      <c r="I560" s="53"/>
      <c r="N560" s="8">
        <v>0</v>
      </c>
      <c r="Q560" s="1"/>
      <c r="R560" s="1"/>
      <c r="S560" s="1"/>
      <c r="T560" s="8"/>
      <c r="U560" s="8"/>
      <c r="V560" s="1"/>
      <c r="W560" s="1"/>
      <c r="X560" s="1"/>
      <c r="Z560" s="8"/>
    </row>
    <row r="561" spans="1:26" x14ac:dyDescent="0.2">
      <c r="A561" s="12">
        <f t="shared" si="18"/>
        <v>549</v>
      </c>
      <c r="E561" s="10" t="str">
        <f t="shared" si="17"/>
        <v/>
      </c>
      <c r="I561" s="53"/>
      <c r="N561" s="8">
        <v>0</v>
      </c>
      <c r="Q561" s="1"/>
      <c r="R561" s="1"/>
      <c r="S561" s="1"/>
      <c r="T561" s="8"/>
      <c r="U561" s="8"/>
      <c r="V561" s="1"/>
      <c r="W561" s="1"/>
      <c r="X561" s="1"/>
      <c r="Z561" s="8"/>
    </row>
    <row r="562" spans="1:26" x14ac:dyDescent="0.2">
      <c r="A562" s="12">
        <f t="shared" si="18"/>
        <v>550</v>
      </c>
      <c r="E562" s="10" t="str">
        <f t="shared" si="17"/>
        <v/>
      </c>
      <c r="I562" s="53"/>
      <c r="N562" s="8">
        <v>0</v>
      </c>
      <c r="Q562" s="1"/>
      <c r="R562" s="1"/>
      <c r="S562" s="1"/>
      <c r="T562" s="8"/>
      <c r="U562" s="8"/>
      <c r="V562" s="1"/>
      <c r="W562" s="1"/>
      <c r="X562" s="1"/>
      <c r="Z562" s="8"/>
    </row>
    <row r="563" spans="1:26" x14ac:dyDescent="0.2">
      <c r="A563" s="12">
        <f t="shared" si="18"/>
        <v>551</v>
      </c>
      <c r="E563" s="10" t="str">
        <f t="shared" si="17"/>
        <v/>
      </c>
      <c r="I563" s="53"/>
      <c r="N563" s="8">
        <v>0</v>
      </c>
      <c r="Q563" s="1"/>
      <c r="R563" s="1"/>
      <c r="S563" s="1"/>
      <c r="T563" s="8"/>
      <c r="U563" s="8"/>
      <c r="V563" s="1"/>
      <c r="W563" s="1"/>
      <c r="X563" s="1"/>
      <c r="Z563" s="8"/>
    </row>
    <row r="564" spans="1:26" x14ac:dyDescent="0.2">
      <c r="A564" s="12">
        <f t="shared" si="18"/>
        <v>552</v>
      </c>
      <c r="E564" s="10" t="str">
        <f t="shared" si="17"/>
        <v/>
      </c>
      <c r="I564" s="53"/>
      <c r="N564" s="8">
        <v>0</v>
      </c>
      <c r="Q564" s="1"/>
      <c r="R564" s="1"/>
      <c r="S564" s="1"/>
      <c r="T564" s="8"/>
      <c r="U564" s="8"/>
      <c r="V564" s="1"/>
      <c r="W564" s="1"/>
      <c r="X564" s="1"/>
      <c r="Z564" s="8"/>
    </row>
    <row r="565" spans="1:26" x14ac:dyDescent="0.2">
      <c r="A565" s="12">
        <f t="shared" si="18"/>
        <v>553</v>
      </c>
      <c r="E565" s="10" t="str">
        <f t="shared" si="17"/>
        <v/>
      </c>
      <c r="I565" s="53"/>
      <c r="N565" s="8">
        <v>0</v>
      </c>
      <c r="Q565" s="1"/>
      <c r="R565" s="1"/>
      <c r="S565" s="1"/>
      <c r="T565" s="8"/>
      <c r="U565" s="8"/>
      <c r="V565" s="1"/>
      <c r="W565" s="1"/>
      <c r="X565" s="1"/>
      <c r="Z565" s="8"/>
    </row>
    <row r="566" spans="1:26" x14ac:dyDescent="0.2">
      <c r="A566" s="12">
        <f t="shared" si="18"/>
        <v>554</v>
      </c>
      <c r="E566" s="10" t="str">
        <f t="shared" si="17"/>
        <v/>
      </c>
      <c r="I566" s="53"/>
      <c r="N566" s="8">
        <v>0</v>
      </c>
      <c r="Q566" s="1"/>
      <c r="R566" s="1"/>
      <c r="S566" s="1"/>
      <c r="T566" s="8"/>
      <c r="U566" s="8"/>
      <c r="V566" s="1"/>
      <c r="W566" s="1"/>
      <c r="X566" s="1"/>
      <c r="Z566" s="8"/>
    </row>
    <row r="567" spans="1:26" x14ac:dyDescent="0.2">
      <c r="A567" s="12">
        <f t="shared" si="18"/>
        <v>555</v>
      </c>
      <c r="E567" s="10" t="str">
        <f t="shared" si="17"/>
        <v/>
      </c>
      <c r="I567" s="53"/>
      <c r="N567" s="8">
        <v>0</v>
      </c>
      <c r="Q567" s="1"/>
      <c r="R567" s="1"/>
      <c r="S567" s="1"/>
      <c r="T567" s="8"/>
      <c r="U567" s="8"/>
      <c r="V567" s="1"/>
      <c r="W567" s="1"/>
      <c r="X567" s="1"/>
      <c r="Z567" s="8"/>
    </row>
    <row r="568" spans="1:26" x14ac:dyDescent="0.2">
      <c r="A568" s="12">
        <f t="shared" si="18"/>
        <v>556</v>
      </c>
      <c r="E568" s="10" t="str">
        <f t="shared" si="17"/>
        <v/>
      </c>
      <c r="I568" s="53"/>
      <c r="N568" s="8">
        <v>0</v>
      </c>
      <c r="Q568" s="1"/>
      <c r="R568" s="1"/>
      <c r="S568" s="1"/>
      <c r="T568" s="8"/>
      <c r="U568" s="8"/>
      <c r="V568" s="1"/>
      <c r="W568" s="1"/>
      <c r="X568" s="1"/>
      <c r="Z568" s="8"/>
    </row>
    <row r="569" spans="1:26" x14ac:dyDescent="0.2">
      <c r="A569" s="12">
        <f t="shared" si="18"/>
        <v>557</v>
      </c>
      <c r="E569" s="10" t="str">
        <f t="shared" si="17"/>
        <v/>
      </c>
      <c r="I569" s="53"/>
      <c r="N569" s="8">
        <v>0</v>
      </c>
      <c r="Q569" s="1"/>
      <c r="R569" s="1"/>
      <c r="S569" s="1"/>
      <c r="T569" s="8"/>
      <c r="U569" s="8"/>
      <c r="V569" s="1"/>
      <c r="W569" s="1"/>
      <c r="X569" s="1"/>
      <c r="Z569" s="8"/>
    </row>
    <row r="570" spans="1:26" x14ac:dyDescent="0.2">
      <c r="A570" s="12">
        <f t="shared" si="18"/>
        <v>558</v>
      </c>
      <c r="E570" s="10" t="str">
        <f t="shared" si="17"/>
        <v/>
      </c>
      <c r="I570" s="53"/>
      <c r="N570" s="8">
        <v>0</v>
      </c>
      <c r="Q570" s="1"/>
      <c r="R570" s="1"/>
      <c r="S570" s="1"/>
      <c r="T570" s="8"/>
      <c r="U570" s="8"/>
      <c r="V570" s="1"/>
      <c r="W570" s="1"/>
      <c r="X570" s="1"/>
      <c r="Z570" s="8"/>
    </row>
    <row r="571" spans="1:26" x14ac:dyDescent="0.2">
      <c r="A571" s="12">
        <f t="shared" si="18"/>
        <v>559</v>
      </c>
      <c r="E571" s="10" t="str">
        <f t="shared" si="17"/>
        <v/>
      </c>
      <c r="I571" s="53"/>
      <c r="N571" s="8">
        <v>0</v>
      </c>
      <c r="Q571" s="1"/>
      <c r="R571" s="1"/>
      <c r="S571" s="1"/>
      <c r="T571" s="8"/>
      <c r="U571" s="8"/>
      <c r="V571" s="1"/>
      <c r="W571" s="1"/>
      <c r="X571" s="1"/>
      <c r="Z571" s="8"/>
    </row>
    <row r="572" spans="1:26" x14ac:dyDescent="0.2">
      <c r="A572" s="12">
        <f t="shared" si="18"/>
        <v>560</v>
      </c>
      <c r="E572" s="10" t="str">
        <f t="shared" si="17"/>
        <v/>
      </c>
      <c r="I572" s="53"/>
      <c r="N572" s="8">
        <v>0</v>
      </c>
      <c r="Q572" s="1"/>
      <c r="R572" s="1"/>
      <c r="S572" s="1"/>
      <c r="T572" s="8"/>
      <c r="U572" s="8"/>
      <c r="V572" s="1"/>
      <c r="W572" s="1"/>
      <c r="X572" s="1"/>
      <c r="Z572" s="8"/>
    </row>
    <row r="573" spans="1:26" x14ac:dyDescent="0.2">
      <c r="A573" s="12">
        <f t="shared" si="18"/>
        <v>561</v>
      </c>
      <c r="E573" s="10" t="str">
        <f t="shared" si="17"/>
        <v/>
      </c>
      <c r="I573" s="53"/>
      <c r="N573" s="8">
        <v>0</v>
      </c>
      <c r="Q573" s="1"/>
      <c r="R573" s="1"/>
      <c r="S573" s="1"/>
      <c r="T573" s="8"/>
      <c r="U573" s="8"/>
      <c r="V573" s="1"/>
      <c r="W573" s="1"/>
      <c r="X573" s="1"/>
      <c r="Z573" s="8"/>
    </row>
    <row r="574" spans="1:26" x14ac:dyDescent="0.2">
      <c r="A574" s="12">
        <f t="shared" si="18"/>
        <v>562</v>
      </c>
      <c r="E574" s="10" t="str">
        <f t="shared" si="17"/>
        <v/>
      </c>
      <c r="I574" s="53"/>
      <c r="N574" s="8">
        <v>0</v>
      </c>
      <c r="Q574" s="1"/>
      <c r="R574" s="1"/>
      <c r="S574" s="1"/>
      <c r="T574" s="8"/>
      <c r="U574" s="8"/>
      <c r="V574" s="1"/>
      <c r="W574" s="1"/>
      <c r="X574" s="1"/>
      <c r="Z574" s="8"/>
    </row>
    <row r="575" spans="1:26" x14ac:dyDescent="0.2">
      <c r="A575" s="12">
        <f t="shared" si="18"/>
        <v>563</v>
      </c>
      <c r="E575" s="10" t="str">
        <f t="shared" si="17"/>
        <v/>
      </c>
      <c r="I575" s="53"/>
      <c r="N575" s="8">
        <v>0</v>
      </c>
      <c r="Q575" s="1"/>
      <c r="R575" s="1"/>
      <c r="S575" s="1"/>
      <c r="T575" s="8"/>
      <c r="U575" s="8"/>
      <c r="V575" s="1"/>
      <c r="W575" s="1"/>
      <c r="X575" s="1"/>
      <c r="Z575" s="8"/>
    </row>
    <row r="576" spans="1:26" x14ac:dyDescent="0.2">
      <c r="A576" s="12">
        <f t="shared" si="18"/>
        <v>564</v>
      </c>
      <c r="E576" s="10" t="str">
        <f t="shared" si="17"/>
        <v/>
      </c>
      <c r="I576" s="53"/>
      <c r="N576" s="8">
        <v>0</v>
      </c>
      <c r="Q576" s="1"/>
      <c r="R576" s="1"/>
      <c r="S576" s="1"/>
      <c r="T576" s="8"/>
      <c r="U576" s="8"/>
      <c r="V576" s="1"/>
      <c r="W576" s="1"/>
      <c r="X576" s="1"/>
      <c r="Z576" s="8"/>
    </row>
    <row r="577" spans="1:26" x14ac:dyDescent="0.2">
      <c r="A577" s="12">
        <f t="shared" si="18"/>
        <v>565</v>
      </c>
      <c r="E577" s="10" t="str">
        <f t="shared" si="17"/>
        <v/>
      </c>
      <c r="I577" s="53"/>
      <c r="N577" s="8">
        <v>0</v>
      </c>
      <c r="Q577" s="1"/>
      <c r="R577" s="1"/>
      <c r="S577" s="1"/>
      <c r="T577" s="8"/>
      <c r="U577" s="8"/>
      <c r="V577" s="1"/>
      <c r="W577" s="1"/>
      <c r="X577" s="1"/>
      <c r="Z577" s="8"/>
    </row>
    <row r="578" spans="1:26" x14ac:dyDescent="0.2">
      <c r="A578" s="12">
        <f t="shared" si="18"/>
        <v>566</v>
      </c>
      <c r="E578" s="10" t="str">
        <f t="shared" si="17"/>
        <v/>
      </c>
      <c r="I578" s="53"/>
      <c r="N578" s="8">
        <v>0</v>
      </c>
      <c r="Q578" s="1"/>
      <c r="R578" s="1"/>
      <c r="S578" s="1"/>
      <c r="T578" s="8"/>
      <c r="U578" s="8"/>
      <c r="V578" s="1"/>
      <c r="W578" s="1"/>
      <c r="X578" s="1"/>
      <c r="Z578" s="8"/>
    </row>
    <row r="579" spans="1:26" x14ac:dyDescent="0.2">
      <c r="A579" s="12">
        <f t="shared" si="18"/>
        <v>567</v>
      </c>
      <c r="E579" s="10" t="str">
        <f t="shared" si="17"/>
        <v/>
      </c>
      <c r="I579" s="53"/>
      <c r="N579" s="8">
        <v>0</v>
      </c>
      <c r="Q579" s="1"/>
      <c r="R579" s="1"/>
      <c r="S579" s="1"/>
      <c r="T579" s="8"/>
      <c r="U579" s="8"/>
      <c r="V579" s="1"/>
      <c r="W579" s="1"/>
      <c r="X579" s="1"/>
      <c r="Z579" s="8"/>
    </row>
    <row r="580" spans="1:26" x14ac:dyDescent="0.2">
      <c r="A580" s="12">
        <f t="shared" si="18"/>
        <v>568</v>
      </c>
      <c r="E580" s="10" t="str">
        <f t="shared" si="17"/>
        <v/>
      </c>
      <c r="I580" s="53"/>
      <c r="N580" s="8">
        <v>0</v>
      </c>
      <c r="Q580" s="1"/>
      <c r="R580" s="1"/>
      <c r="S580" s="1"/>
      <c r="T580" s="8"/>
      <c r="U580" s="8"/>
      <c r="V580" s="1"/>
      <c r="W580" s="1"/>
      <c r="X580" s="1"/>
      <c r="Z580" s="8"/>
    </row>
    <row r="581" spans="1:26" x14ac:dyDescent="0.2">
      <c r="A581" s="12">
        <f t="shared" si="18"/>
        <v>569</v>
      </c>
      <c r="E581" s="10" t="str">
        <f t="shared" si="17"/>
        <v/>
      </c>
      <c r="I581" s="53"/>
      <c r="N581" s="8">
        <v>0</v>
      </c>
      <c r="Q581" s="1"/>
      <c r="R581" s="1"/>
      <c r="S581" s="1"/>
      <c r="T581" s="8"/>
      <c r="U581" s="8"/>
      <c r="V581" s="1"/>
      <c r="W581" s="1"/>
      <c r="X581" s="1"/>
      <c r="Z581" s="8"/>
    </row>
    <row r="582" spans="1:26" x14ac:dyDescent="0.2">
      <c r="A582" s="12">
        <f t="shared" si="18"/>
        <v>570</v>
      </c>
      <c r="E582" s="10" t="str">
        <f t="shared" si="17"/>
        <v/>
      </c>
      <c r="I582" s="53"/>
      <c r="N582" s="8">
        <v>0</v>
      </c>
      <c r="Q582" s="1"/>
      <c r="R582" s="1"/>
      <c r="S582" s="1"/>
      <c r="T582" s="8"/>
      <c r="U582" s="8"/>
      <c r="V582" s="1"/>
      <c r="W582" s="1"/>
      <c r="X582" s="1"/>
      <c r="Z582" s="8"/>
    </row>
    <row r="583" spans="1:26" x14ac:dyDescent="0.2">
      <c r="A583" s="12">
        <f t="shared" si="18"/>
        <v>571</v>
      </c>
      <c r="E583" s="10" t="str">
        <f t="shared" si="17"/>
        <v/>
      </c>
      <c r="I583" s="53"/>
      <c r="N583" s="8">
        <v>0</v>
      </c>
      <c r="Q583" s="1"/>
      <c r="R583" s="1"/>
      <c r="S583" s="1"/>
      <c r="T583" s="8"/>
      <c r="U583" s="8"/>
      <c r="V583" s="1"/>
      <c r="W583" s="1"/>
      <c r="X583" s="1"/>
      <c r="Z583" s="8"/>
    </row>
    <row r="584" spans="1:26" x14ac:dyDescent="0.2">
      <c r="A584" s="12">
        <f t="shared" si="18"/>
        <v>572</v>
      </c>
      <c r="E584" s="10" t="str">
        <f t="shared" si="17"/>
        <v/>
      </c>
      <c r="I584" s="53"/>
      <c r="N584" s="8">
        <v>0</v>
      </c>
      <c r="Q584" s="1"/>
      <c r="R584" s="1"/>
      <c r="S584" s="1"/>
      <c r="T584" s="8"/>
      <c r="U584" s="8"/>
      <c r="V584" s="1"/>
      <c r="W584" s="1"/>
      <c r="X584" s="1"/>
      <c r="Z584" s="8"/>
    </row>
    <row r="585" spans="1:26" x14ac:dyDescent="0.2">
      <c r="A585" s="12">
        <f t="shared" si="18"/>
        <v>573</v>
      </c>
      <c r="E585" s="10" t="str">
        <f t="shared" si="17"/>
        <v/>
      </c>
      <c r="I585" s="53"/>
      <c r="N585" s="8">
        <v>0</v>
      </c>
      <c r="Q585" s="1"/>
      <c r="R585" s="1"/>
      <c r="S585" s="1"/>
      <c r="T585" s="8"/>
      <c r="U585" s="8"/>
      <c r="V585" s="1"/>
      <c r="W585" s="1"/>
      <c r="X585" s="1"/>
      <c r="Z585" s="8"/>
    </row>
    <row r="586" spans="1:26" x14ac:dyDescent="0.2">
      <c r="A586" s="12">
        <f t="shared" si="18"/>
        <v>574</v>
      </c>
      <c r="E586" s="10" t="str">
        <f t="shared" si="17"/>
        <v/>
      </c>
      <c r="I586" s="53"/>
      <c r="N586" s="8">
        <v>0</v>
      </c>
      <c r="Q586" s="1"/>
      <c r="R586" s="1"/>
      <c r="S586" s="1"/>
      <c r="T586" s="8"/>
      <c r="U586" s="8"/>
      <c r="V586" s="1"/>
      <c r="W586" s="1"/>
      <c r="X586" s="1"/>
      <c r="Z586" s="8"/>
    </row>
    <row r="587" spans="1:26" x14ac:dyDescent="0.2">
      <c r="A587" s="12">
        <f t="shared" si="18"/>
        <v>575</v>
      </c>
      <c r="E587" s="10" t="str">
        <f t="shared" si="17"/>
        <v/>
      </c>
      <c r="I587" s="53"/>
      <c r="N587" s="8">
        <v>0</v>
      </c>
      <c r="Q587" s="1"/>
      <c r="R587" s="1"/>
      <c r="S587" s="1"/>
      <c r="T587" s="8"/>
      <c r="U587" s="8"/>
      <c r="V587" s="1"/>
      <c r="W587" s="1"/>
      <c r="X587" s="1"/>
      <c r="Z587" s="8"/>
    </row>
    <row r="588" spans="1:26" x14ac:dyDescent="0.2">
      <c r="A588" s="12">
        <f t="shared" si="18"/>
        <v>576</v>
      </c>
      <c r="E588" s="10" t="str">
        <f t="shared" si="17"/>
        <v/>
      </c>
      <c r="I588" s="53"/>
      <c r="N588" s="8">
        <v>0</v>
      </c>
      <c r="Q588" s="1"/>
      <c r="R588" s="1"/>
      <c r="S588" s="1"/>
      <c r="T588" s="8"/>
      <c r="U588" s="8"/>
      <c r="V588" s="1"/>
      <c r="W588" s="1"/>
      <c r="X588" s="1"/>
      <c r="Z588" s="8"/>
    </row>
    <row r="589" spans="1:26" x14ac:dyDescent="0.2">
      <c r="A589" s="12">
        <f t="shared" si="18"/>
        <v>577</v>
      </c>
      <c r="E589" s="10" t="str">
        <f t="shared" ref="E589:E652" si="19">IF($C$8&gt;=A589,$E$1&amp;" "&amp;A589,"")</f>
        <v/>
      </c>
      <c r="I589" s="53"/>
      <c r="N589" s="8">
        <v>0</v>
      </c>
      <c r="Q589" s="1"/>
      <c r="R589" s="1"/>
      <c r="S589" s="1"/>
      <c r="T589" s="8"/>
      <c r="U589" s="8"/>
      <c r="V589" s="1"/>
      <c r="W589" s="1"/>
      <c r="X589" s="1"/>
      <c r="Z589" s="8"/>
    </row>
    <row r="590" spans="1:26" x14ac:dyDescent="0.2">
      <c r="A590" s="12">
        <f t="shared" si="18"/>
        <v>578</v>
      </c>
      <c r="E590" s="10" t="str">
        <f t="shared" si="19"/>
        <v/>
      </c>
      <c r="I590" s="53"/>
      <c r="N590" s="8">
        <v>0</v>
      </c>
      <c r="Q590" s="1"/>
      <c r="R590" s="1"/>
      <c r="S590" s="1"/>
      <c r="T590" s="8"/>
      <c r="U590" s="8"/>
      <c r="V590" s="1"/>
      <c r="W590" s="1"/>
      <c r="X590" s="1"/>
      <c r="Z590" s="8"/>
    </row>
    <row r="591" spans="1:26" x14ac:dyDescent="0.2">
      <c r="A591" s="12">
        <f t="shared" ref="A591:A654" si="20">A590+1</f>
        <v>579</v>
      </c>
      <c r="E591" s="10" t="str">
        <f t="shared" si="19"/>
        <v/>
      </c>
      <c r="I591" s="53"/>
      <c r="N591" s="8">
        <v>0</v>
      </c>
      <c r="Q591" s="1"/>
      <c r="R591" s="1"/>
      <c r="S591" s="1"/>
      <c r="T591" s="8"/>
      <c r="U591" s="8"/>
      <c r="V591" s="1"/>
      <c r="W591" s="1"/>
      <c r="X591" s="1"/>
      <c r="Z591" s="8"/>
    </row>
    <row r="592" spans="1:26" x14ac:dyDescent="0.2">
      <c r="A592" s="12">
        <f t="shared" si="20"/>
        <v>580</v>
      </c>
      <c r="E592" s="10" t="str">
        <f t="shared" si="19"/>
        <v/>
      </c>
      <c r="I592" s="53"/>
      <c r="N592" s="8">
        <v>0</v>
      </c>
      <c r="Q592" s="1"/>
      <c r="R592" s="1"/>
      <c r="S592" s="1"/>
      <c r="T592" s="8"/>
      <c r="U592" s="8"/>
      <c r="V592" s="1"/>
      <c r="W592" s="1"/>
      <c r="X592" s="1"/>
      <c r="Z592" s="8"/>
    </row>
    <row r="593" spans="1:26" x14ac:dyDescent="0.2">
      <c r="A593" s="12">
        <f t="shared" si="20"/>
        <v>581</v>
      </c>
      <c r="E593" s="10" t="str">
        <f t="shared" si="19"/>
        <v/>
      </c>
      <c r="I593" s="53"/>
      <c r="N593" s="8">
        <v>0</v>
      </c>
      <c r="Q593" s="1"/>
      <c r="R593" s="1"/>
      <c r="S593" s="1"/>
      <c r="T593" s="8"/>
      <c r="U593" s="8"/>
      <c r="V593" s="1"/>
      <c r="W593" s="1"/>
      <c r="X593" s="1"/>
      <c r="Z593" s="8"/>
    </row>
    <row r="594" spans="1:26" x14ac:dyDescent="0.2">
      <c r="A594" s="12">
        <f t="shared" si="20"/>
        <v>582</v>
      </c>
      <c r="E594" s="10" t="str">
        <f t="shared" si="19"/>
        <v/>
      </c>
      <c r="I594" s="53"/>
      <c r="N594" s="8">
        <v>0</v>
      </c>
      <c r="Q594" s="1"/>
      <c r="R594" s="1"/>
      <c r="S594" s="1"/>
      <c r="T594" s="8"/>
      <c r="U594" s="8"/>
      <c r="V594" s="1"/>
      <c r="W594" s="1"/>
      <c r="X594" s="1"/>
      <c r="Z594" s="8"/>
    </row>
    <row r="595" spans="1:26" x14ac:dyDescent="0.2">
      <c r="A595" s="12">
        <f t="shared" si="20"/>
        <v>583</v>
      </c>
      <c r="E595" s="10" t="str">
        <f t="shared" si="19"/>
        <v/>
      </c>
      <c r="I595" s="53"/>
      <c r="N595" s="8">
        <v>0</v>
      </c>
      <c r="Q595" s="1"/>
      <c r="R595" s="1"/>
      <c r="S595" s="1"/>
      <c r="T595" s="8"/>
      <c r="U595" s="8"/>
      <c r="V595" s="1"/>
      <c r="W595" s="1"/>
      <c r="X595" s="1"/>
      <c r="Z595" s="8"/>
    </row>
    <row r="596" spans="1:26" x14ac:dyDescent="0.2">
      <c r="A596" s="12">
        <f t="shared" si="20"/>
        <v>584</v>
      </c>
      <c r="E596" s="10" t="str">
        <f t="shared" si="19"/>
        <v/>
      </c>
      <c r="I596" s="53"/>
      <c r="N596" s="8">
        <v>0</v>
      </c>
      <c r="Q596" s="1"/>
      <c r="R596" s="1"/>
      <c r="S596" s="1"/>
      <c r="T596" s="8"/>
      <c r="U596" s="8"/>
      <c r="V596" s="1"/>
      <c r="W596" s="1"/>
      <c r="X596" s="1"/>
      <c r="Z596" s="8"/>
    </row>
    <row r="597" spans="1:26" x14ac:dyDescent="0.2">
      <c r="A597" s="12">
        <f t="shared" si="20"/>
        <v>585</v>
      </c>
      <c r="E597" s="10" t="str">
        <f t="shared" si="19"/>
        <v/>
      </c>
      <c r="I597" s="53"/>
      <c r="N597" s="8">
        <v>0</v>
      </c>
      <c r="Q597" s="1"/>
      <c r="R597" s="1"/>
      <c r="S597" s="1"/>
      <c r="T597" s="8"/>
      <c r="U597" s="8"/>
      <c r="V597" s="1"/>
      <c r="W597" s="1"/>
      <c r="X597" s="1"/>
      <c r="Z597" s="8"/>
    </row>
    <row r="598" spans="1:26" x14ac:dyDescent="0.2">
      <c r="A598" s="12">
        <f t="shared" si="20"/>
        <v>586</v>
      </c>
      <c r="E598" s="10" t="str">
        <f t="shared" si="19"/>
        <v/>
      </c>
      <c r="I598" s="53"/>
      <c r="N598" s="8">
        <v>0</v>
      </c>
      <c r="Q598" s="1"/>
      <c r="R598" s="1"/>
      <c r="S598" s="1"/>
      <c r="T598" s="8"/>
      <c r="U598" s="8"/>
      <c r="V598" s="1"/>
      <c r="W598" s="1"/>
      <c r="X598" s="1"/>
      <c r="Z598" s="8"/>
    </row>
    <row r="599" spans="1:26" x14ac:dyDescent="0.2">
      <c r="A599" s="12">
        <f t="shared" si="20"/>
        <v>587</v>
      </c>
      <c r="E599" s="10" t="str">
        <f t="shared" si="19"/>
        <v/>
      </c>
      <c r="I599" s="53"/>
      <c r="N599" s="8">
        <v>0</v>
      </c>
      <c r="Q599" s="1"/>
      <c r="R599" s="1"/>
      <c r="S599" s="1"/>
      <c r="T599" s="8"/>
      <c r="U599" s="8"/>
      <c r="V599" s="1"/>
      <c r="W599" s="1"/>
      <c r="X599" s="1"/>
      <c r="Z599" s="8"/>
    </row>
    <row r="600" spans="1:26" x14ac:dyDescent="0.2">
      <c r="A600" s="12">
        <f t="shared" si="20"/>
        <v>588</v>
      </c>
      <c r="E600" s="10" t="str">
        <f t="shared" si="19"/>
        <v/>
      </c>
      <c r="I600" s="53"/>
      <c r="N600" s="8">
        <v>0</v>
      </c>
      <c r="Q600" s="1"/>
      <c r="R600" s="1"/>
      <c r="S600" s="1"/>
      <c r="T600" s="8"/>
      <c r="U600" s="8"/>
      <c r="V600" s="1"/>
      <c r="W600" s="1"/>
      <c r="X600" s="1"/>
      <c r="Z600" s="8"/>
    </row>
    <row r="601" spans="1:26" x14ac:dyDescent="0.2">
      <c r="A601" s="12">
        <f t="shared" si="20"/>
        <v>589</v>
      </c>
      <c r="E601" s="10" t="str">
        <f t="shared" si="19"/>
        <v/>
      </c>
      <c r="I601" s="53"/>
      <c r="N601" s="8">
        <v>0</v>
      </c>
      <c r="Q601" s="1"/>
      <c r="R601" s="1"/>
      <c r="S601" s="1"/>
      <c r="T601" s="8"/>
      <c r="U601" s="8"/>
      <c r="V601" s="1"/>
      <c r="W601" s="1"/>
      <c r="X601" s="1"/>
      <c r="Z601" s="8"/>
    </row>
    <row r="602" spans="1:26" x14ac:dyDescent="0.2">
      <c r="A602" s="12">
        <f t="shared" si="20"/>
        <v>590</v>
      </c>
      <c r="E602" s="10" t="str">
        <f t="shared" si="19"/>
        <v/>
      </c>
      <c r="I602" s="53"/>
      <c r="N602" s="8">
        <v>0</v>
      </c>
      <c r="Q602" s="1"/>
      <c r="R602" s="1"/>
      <c r="S602" s="1"/>
      <c r="T602" s="8"/>
      <c r="U602" s="8"/>
      <c r="V602" s="1"/>
      <c r="W602" s="1"/>
      <c r="X602" s="1"/>
      <c r="Z602" s="8"/>
    </row>
    <row r="603" spans="1:26" x14ac:dyDescent="0.2">
      <c r="A603" s="12">
        <f t="shared" si="20"/>
        <v>591</v>
      </c>
      <c r="E603" s="10" t="str">
        <f t="shared" si="19"/>
        <v/>
      </c>
      <c r="I603" s="53"/>
      <c r="N603" s="8">
        <v>0</v>
      </c>
      <c r="Q603" s="1"/>
      <c r="R603" s="1"/>
      <c r="S603" s="1"/>
      <c r="T603" s="8"/>
      <c r="U603" s="8"/>
      <c r="V603" s="1"/>
      <c r="W603" s="1"/>
      <c r="X603" s="1"/>
      <c r="Z603" s="8"/>
    </row>
    <row r="604" spans="1:26" x14ac:dyDescent="0.2">
      <c r="A604" s="12">
        <f t="shared" si="20"/>
        <v>592</v>
      </c>
      <c r="E604" s="10" t="str">
        <f t="shared" si="19"/>
        <v/>
      </c>
      <c r="I604" s="53"/>
      <c r="N604" s="8">
        <v>0</v>
      </c>
      <c r="Q604" s="1"/>
      <c r="R604" s="1"/>
      <c r="S604" s="1"/>
      <c r="T604" s="8"/>
      <c r="U604" s="8"/>
      <c r="V604" s="1"/>
      <c r="W604" s="1"/>
      <c r="X604" s="1"/>
      <c r="Z604" s="8"/>
    </row>
    <row r="605" spans="1:26" x14ac:dyDescent="0.2">
      <c r="A605" s="12">
        <f t="shared" si="20"/>
        <v>593</v>
      </c>
      <c r="E605" s="10" t="str">
        <f t="shared" si="19"/>
        <v/>
      </c>
      <c r="I605" s="53"/>
      <c r="N605" s="8">
        <v>0</v>
      </c>
      <c r="Q605" s="1"/>
      <c r="R605" s="1"/>
      <c r="S605" s="1"/>
      <c r="T605" s="8"/>
      <c r="U605" s="8"/>
      <c r="V605" s="1"/>
      <c r="W605" s="1"/>
      <c r="X605" s="1"/>
      <c r="Z605" s="8"/>
    </row>
    <row r="606" spans="1:26" x14ac:dyDescent="0.2">
      <c r="A606" s="12">
        <f t="shared" si="20"/>
        <v>594</v>
      </c>
      <c r="E606" s="10" t="str">
        <f t="shared" si="19"/>
        <v/>
      </c>
      <c r="I606" s="53"/>
      <c r="N606" s="8">
        <v>0</v>
      </c>
      <c r="Q606" s="1"/>
      <c r="R606" s="1"/>
      <c r="S606" s="1"/>
      <c r="T606" s="8"/>
      <c r="U606" s="8"/>
      <c r="V606" s="1"/>
      <c r="W606" s="1"/>
      <c r="X606" s="1"/>
      <c r="Z606" s="8"/>
    </row>
    <row r="607" spans="1:26" x14ac:dyDescent="0.2">
      <c r="A607" s="12">
        <f t="shared" si="20"/>
        <v>595</v>
      </c>
      <c r="E607" s="10" t="str">
        <f t="shared" si="19"/>
        <v/>
      </c>
      <c r="I607" s="53"/>
      <c r="N607" s="8">
        <v>0</v>
      </c>
      <c r="Q607" s="1"/>
      <c r="R607" s="1"/>
      <c r="S607" s="1"/>
      <c r="T607" s="8"/>
      <c r="U607" s="8"/>
      <c r="V607" s="1"/>
      <c r="W607" s="1"/>
      <c r="X607" s="1"/>
      <c r="Z607" s="8"/>
    </row>
    <row r="608" spans="1:26" x14ac:dyDescent="0.2">
      <c r="A608" s="12">
        <f t="shared" si="20"/>
        <v>596</v>
      </c>
      <c r="E608" s="10" t="str">
        <f t="shared" si="19"/>
        <v/>
      </c>
      <c r="I608" s="53"/>
      <c r="N608" s="8">
        <v>0</v>
      </c>
      <c r="Q608" s="1"/>
      <c r="R608" s="1"/>
      <c r="S608" s="1"/>
      <c r="T608" s="8"/>
      <c r="U608" s="8"/>
      <c r="V608" s="1"/>
      <c r="W608" s="1"/>
      <c r="X608" s="1"/>
      <c r="Z608" s="8"/>
    </row>
    <row r="609" spans="1:26" x14ac:dyDescent="0.2">
      <c r="A609" s="12">
        <f t="shared" si="20"/>
        <v>597</v>
      </c>
      <c r="E609" s="10" t="str">
        <f t="shared" si="19"/>
        <v/>
      </c>
      <c r="I609" s="53"/>
      <c r="N609" s="8">
        <v>0</v>
      </c>
      <c r="Q609" s="1"/>
      <c r="R609" s="1"/>
      <c r="S609" s="1"/>
      <c r="T609" s="8"/>
      <c r="U609" s="8"/>
      <c r="V609" s="1"/>
      <c r="W609" s="1"/>
      <c r="X609" s="1"/>
      <c r="Z609" s="8"/>
    </row>
    <row r="610" spans="1:26" x14ac:dyDescent="0.2">
      <c r="A610" s="12">
        <f t="shared" si="20"/>
        <v>598</v>
      </c>
      <c r="E610" s="10" t="str">
        <f t="shared" si="19"/>
        <v/>
      </c>
      <c r="I610" s="53"/>
      <c r="N610" s="8">
        <v>0</v>
      </c>
      <c r="Q610" s="1"/>
      <c r="R610" s="1"/>
      <c r="S610" s="1"/>
      <c r="T610" s="8"/>
      <c r="U610" s="8"/>
      <c r="V610" s="1"/>
      <c r="W610" s="1"/>
      <c r="X610" s="1"/>
      <c r="Z610" s="8"/>
    </row>
    <row r="611" spans="1:26" x14ac:dyDescent="0.2">
      <c r="A611" s="12">
        <f t="shared" si="20"/>
        <v>599</v>
      </c>
      <c r="E611" s="10" t="str">
        <f t="shared" si="19"/>
        <v/>
      </c>
      <c r="I611" s="53"/>
      <c r="N611" s="8">
        <v>0</v>
      </c>
      <c r="Q611" s="1"/>
      <c r="R611" s="1"/>
      <c r="S611" s="1"/>
      <c r="T611" s="8"/>
      <c r="U611" s="8"/>
      <c r="V611" s="1"/>
      <c r="W611" s="1"/>
      <c r="X611" s="1"/>
      <c r="Z611" s="8"/>
    </row>
    <row r="612" spans="1:26" x14ac:dyDescent="0.2">
      <c r="A612" s="12">
        <f t="shared" si="20"/>
        <v>600</v>
      </c>
      <c r="E612" s="10" t="str">
        <f t="shared" si="19"/>
        <v/>
      </c>
      <c r="I612" s="53"/>
      <c r="N612" s="8">
        <v>0</v>
      </c>
      <c r="Q612" s="1"/>
      <c r="R612" s="1"/>
      <c r="S612" s="1"/>
      <c r="T612" s="8"/>
      <c r="U612" s="8"/>
      <c r="V612" s="1"/>
      <c r="W612" s="1"/>
      <c r="X612" s="1"/>
      <c r="Z612" s="8"/>
    </row>
    <row r="613" spans="1:26" x14ac:dyDescent="0.2">
      <c r="A613" s="12">
        <f t="shared" si="20"/>
        <v>601</v>
      </c>
      <c r="E613" s="10" t="str">
        <f t="shared" si="19"/>
        <v/>
      </c>
      <c r="I613" s="53"/>
      <c r="N613" s="8">
        <v>0</v>
      </c>
      <c r="Q613" s="1"/>
      <c r="R613" s="1"/>
      <c r="S613" s="1"/>
      <c r="T613" s="8"/>
      <c r="U613" s="8"/>
      <c r="V613" s="1"/>
      <c r="W613" s="1"/>
      <c r="X613" s="1"/>
      <c r="Z613" s="8"/>
    </row>
    <row r="614" spans="1:26" x14ac:dyDescent="0.2">
      <c r="A614" s="12">
        <f t="shared" si="20"/>
        <v>602</v>
      </c>
      <c r="E614" s="10" t="str">
        <f t="shared" si="19"/>
        <v/>
      </c>
      <c r="I614" s="53"/>
      <c r="N614" s="8">
        <v>0</v>
      </c>
      <c r="Q614" s="1"/>
      <c r="R614" s="1"/>
      <c r="S614" s="1"/>
      <c r="T614" s="8"/>
      <c r="U614" s="8"/>
      <c r="V614" s="1"/>
      <c r="W614" s="1"/>
      <c r="X614" s="1"/>
      <c r="Z614" s="8"/>
    </row>
    <row r="615" spans="1:26" x14ac:dyDescent="0.2">
      <c r="A615" s="12">
        <f t="shared" si="20"/>
        <v>603</v>
      </c>
      <c r="E615" s="10" t="str">
        <f t="shared" si="19"/>
        <v/>
      </c>
      <c r="I615" s="53"/>
      <c r="N615" s="8">
        <v>0</v>
      </c>
      <c r="Q615" s="1"/>
      <c r="R615" s="1"/>
      <c r="S615" s="1"/>
      <c r="T615" s="8"/>
      <c r="U615" s="8"/>
      <c r="V615" s="1"/>
      <c r="W615" s="1"/>
      <c r="X615" s="1"/>
      <c r="Z615" s="8"/>
    </row>
    <row r="616" spans="1:26" x14ac:dyDescent="0.2">
      <c r="A616" s="12">
        <f t="shared" si="20"/>
        <v>604</v>
      </c>
      <c r="E616" s="10" t="str">
        <f t="shared" si="19"/>
        <v/>
      </c>
      <c r="I616" s="53"/>
      <c r="N616" s="8">
        <v>0</v>
      </c>
      <c r="Q616" s="1"/>
      <c r="R616" s="1"/>
      <c r="S616" s="1"/>
      <c r="T616" s="8"/>
      <c r="U616" s="8"/>
      <c r="V616" s="1"/>
      <c r="W616" s="1"/>
      <c r="X616" s="1"/>
      <c r="Z616" s="8"/>
    </row>
    <row r="617" spans="1:26" x14ac:dyDescent="0.2">
      <c r="A617" s="12">
        <f t="shared" si="20"/>
        <v>605</v>
      </c>
      <c r="E617" s="10" t="str">
        <f t="shared" si="19"/>
        <v/>
      </c>
      <c r="I617" s="53"/>
      <c r="N617" s="8">
        <v>0</v>
      </c>
      <c r="Q617" s="1"/>
      <c r="R617" s="1"/>
      <c r="S617" s="1"/>
      <c r="T617" s="8"/>
      <c r="U617" s="8"/>
      <c r="V617" s="1"/>
      <c r="W617" s="1"/>
      <c r="X617" s="1"/>
      <c r="Z617" s="8"/>
    </row>
    <row r="618" spans="1:26" x14ac:dyDescent="0.2">
      <c r="A618" s="12">
        <f t="shared" si="20"/>
        <v>606</v>
      </c>
      <c r="E618" s="10" t="str">
        <f t="shared" si="19"/>
        <v/>
      </c>
      <c r="I618" s="53"/>
      <c r="N618" s="8">
        <v>0</v>
      </c>
      <c r="Q618" s="1"/>
      <c r="R618" s="1"/>
      <c r="S618" s="1"/>
      <c r="T618" s="8"/>
      <c r="U618" s="8"/>
      <c r="V618" s="1"/>
      <c r="W618" s="1"/>
      <c r="X618" s="1"/>
      <c r="Z618" s="8"/>
    </row>
    <row r="619" spans="1:26" x14ac:dyDescent="0.2">
      <c r="A619" s="12">
        <f t="shared" si="20"/>
        <v>607</v>
      </c>
      <c r="E619" s="10" t="str">
        <f t="shared" si="19"/>
        <v/>
      </c>
      <c r="I619" s="53"/>
      <c r="N619" s="8">
        <v>0</v>
      </c>
      <c r="Q619" s="1"/>
      <c r="R619" s="1"/>
      <c r="S619" s="1"/>
      <c r="T619" s="8"/>
      <c r="U619" s="8"/>
      <c r="V619" s="1"/>
      <c r="W619" s="1"/>
      <c r="X619" s="1"/>
      <c r="Z619" s="8"/>
    </row>
    <row r="620" spans="1:26" x14ac:dyDescent="0.2">
      <c r="A620" s="12">
        <f t="shared" si="20"/>
        <v>608</v>
      </c>
      <c r="E620" s="10" t="str">
        <f t="shared" si="19"/>
        <v/>
      </c>
      <c r="I620" s="53"/>
      <c r="N620" s="8">
        <v>0</v>
      </c>
      <c r="Q620" s="1"/>
      <c r="R620" s="1"/>
      <c r="S620" s="1"/>
      <c r="T620" s="8"/>
      <c r="U620" s="8"/>
      <c r="V620" s="1"/>
      <c r="W620" s="1"/>
      <c r="X620" s="1"/>
      <c r="Z620" s="8"/>
    </row>
    <row r="621" spans="1:26" x14ac:dyDescent="0.2">
      <c r="A621" s="12">
        <f t="shared" si="20"/>
        <v>609</v>
      </c>
      <c r="E621" s="10" t="str">
        <f t="shared" si="19"/>
        <v/>
      </c>
      <c r="I621" s="53"/>
      <c r="N621" s="8">
        <v>0</v>
      </c>
      <c r="Q621" s="1"/>
      <c r="R621" s="1"/>
      <c r="S621" s="1"/>
      <c r="T621" s="8"/>
      <c r="U621" s="8"/>
      <c r="V621" s="1"/>
      <c r="W621" s="1"/>
      <c r="X621" s="1"/>
      <c r="Z621" s="8"/>
    </row>
    <row r="622" spans="1:26" x14ac:dyDescent="0.2">
      <c r="A622" s="12">
        <f t="shared" si="20"/>
        <v>610</v>
      </c>
      <c r="E622" s="10" t="str">
        <f t="shared" si="19"/>
        <v/>
      </c>
      <c r="I622" s="53"/>
      <c r="N622" s="8">
        <v>0</v>
      </c>
      <c r="Q622" s="1"/>
      <c r="R622" s="1"/>
      <c r="S622" s="1"/>
      <c r="T622" s="8"/>
      <c r="U622" s="8"/>
      <c r="V622" s="1"/>
      <c r="W622" s="1"/>
      <c r="X622" s="1"/>
      <c r="Z622" s="8"/>
    </row>
    <row r="623" spans="1:26" x14ac:dyDescent="0.2">
      <c r="A623" s="12">
        <f t="shared" si="20"/>
        <v>611</v>
      </c>
      <c r="E623" s="10" t="str">
        <f t="shared" si="19"/>
        <v/>
      </c>
      <c r="I623" s="53"/>
      <c r="N623" s="8">
        <v>0</v>
      </c>
      <c r="Q623" s="1"/>
      <c r="R623" s="1"/>
      <c r="S623" s="1"/>
      <c r="T623" s="8"/>
      <c r="U623" s="8"/>
      <c r="V623" s="1"/>
      <c r="W623" s="1"/>
      <c r="X623" s="1"/>
      <c r="Z623" s="8"/>
    </row>
    <row r="624" spans="1:26" x14ac:dyDescent="0.2">
      <c r="A624" s="12">
        <f t="shared" si="20"/>
        <v>612</v>
      </c>
      <c r="E624" s="10" t="str">
        <f t="shared" si="19"/>
        <v/>
      </c>
      <c r="I624" s="53"/>
      <c r="N624" s="8">
        <v>0</v>
      </c>
      <c r="Q624" s="1"/>
      <c r="R624" s="1"/>
      <c r="S624" s="1"/>
      <c r="T624" s="8"/>
      <c r="U624" s="8"/>
      <c r="V624" s="1"/>
      <c r="W624" s="1"/>
      <c r="X624" s="1"/>
      <c r="Z624" s="8"/>
    </row>
    <row r="625" spans="1:26" x14ac:dyDescent="0.2">
      <c r="A625" s="12">
        <f t="shared" si="20"/>
        <v>613</v>
      </c>
      <c r="E625" s="10" t="str">
        <f t="shared" si="19"/>
        <v/>
      </c>
      <c r="I625" s="53"/>
      <c r="N625" s="8">
        <v>0</v>
      </c>
      <c r="Q625" s="1"/>
      <c r="R625" s="1"/>
      <c r="S625" s="1"/>
      <c r="T625" s="8"/>
      <c r="U625" s="8"/>
      <c r="V625" s="1"/>
      <c r="W625" s="1"/>
      <c r="X625" s="1"/>
      <c r="Z625" s="8"/>
    </row>
    <row r="626" spans="1:26" x14ac:dyDescent="0.2">
      <c r="A626" s="12">
        <f t="shared" si="20"/>
        <v>614</v>
      </c>
      <c r="E626" s="10" t="str">
        <f t="shared" si="19"/>
        <v/>
      </c>
      <c r="I626" s="53"/>
      <c r="N626" s="8">
        <v>0</v>
      </c>
      <c r="Q626" s="1"/>
      <c r="R626" s="1"/>
      <c r="S626" s="1"/>
      <c r="T626" s="8"/>
      <c r="U626" s="8"/>
      <c r="V626" s="1"/>
      <c r="W626" s="1"/>
      <c r="X626" s="1"/>
      <c r="Z626" s="8"/>
    </row>
    <row r="627" spans="1:26" x14ac:dyDescent="0.2">
      <c r="A627" s="12">
        <f t="shared" si="20"/>
        <v>615</v>
      </c>
      <c r="E627" s="10" t="str">
        <f t="shared" si="19"/>
        <v/>
      </c>
      <c r="I627" s="53"/>
      <c r="N627" s="8">
        <v>0</v>
      </c>
      <c r="Q627" s="1"/>
      <c r="R627" s="1"/>
      <c r="S627" s="1"/>
      <c r="T627" s="8"/>
      <c r="U627" s="8"/>
      <c r="V627" s="1"/>
      <c r="W627" s="1"/>
      <c r="X627" s="1"/>
      <c r="Z627" s="8"/>
    </row>
    <row r="628" spans="1:26" x14ac:dyDescent="0.2">
      <c r="A628" s="12">
        <f t="shared" si="20"/>
        <v>616</v>
      </c>
      <c r="E628" s="10" t="str">
        <f t="shared" si="19"/>
        <v/>
      </c>
      <c r="I628" s="53"/>
      <c r="N628" s="8">
        <v>0</v>
      </c>
      <c r="Q628" s="1"/>
      <c r="R628" s="1"/>
      <c r="S628" s="1"/>
      <c r="T628" s="8"/>
      <c r="U628" s="8"/>
      <c r="V628" s="1"/>
      <c r="W628" s="1"/>
      <c r="X628" s="1"/>
      <c r="Z628" s="8"/>
    </row>
    <row r="629" spans="1:26" x14ac:dyDescent="0.2">
      <c r="A629" s="12">
        <f t="shared" si="20"/>
        <v>617</v>
      </c>
      <c r="E629" s="10" t="str">
        <f t="shared" si="19"/>
        <v/>
      </c>
      <c r="I629" s="53"/>
      <c r="N629" s="8">
        <v>0</v>
      </c>
      <c r="Q629" s="1"/>
      <c r="R629" s="1"/>
      <c r="S629" s="1"/>
      <c r="T629" s="8"/>
      <c r="U629" s="8"/>
      <c r="V629" s="1"/>
      <c r="W629" s="1"/>
      <c r="X629" s="1"/>
      <c r="Z629" s="8"/>
    </row>
    <row r="630" spans="1:26" x14ac:dyDescent="0.2">
      <c r="A630" s="12">
        <f t="shared" si="20"/>
        <v>618</v>
      </c>
      <c r="E630" s="10" t="str">
        <f t="shared" si="19"/>
        <v/>
      </c>
      <c r="I630" s="53"/>
      <c r="N630" s="8">
        <v>0</v>
      </c>
      <c r="Q630" s="1"/>
      <c r="R630" s="1"/>
      <c r="S630" s="1"/>
      <c r="T630" s="8"/>
      <c r="U630" s="8"/>
      <c r="V630" s="1"/>
      <c r="W630" s="1"/>
      <c r="X630" s="1"/>
      <c r="Z630" s="8"/>
    </row>
    <row r="631" spans="1:26" x14ac:dyDescent="0.2">
      <c r="A631" s="12">
        <f t="shared" si="20"/>
        <v>619</v>
      </c>
      <c r="E631" s="10" t="str">
        <f t="shared" si="19"/>
        <v/>
      </c>
      <c r="I631" s="53"/>
      <c r="N631" s="8">
        <v>0</v>
      </c>
      <c r="Q631" s="1"/>
      <c r="R631" s="1"/>
      <c r="S631" s="1"/>
      <c r="T631" s="8"/>
      <c r="U631" s="8"/>
      <c r="V631" s="1"/>
      <c r="W631" s="1"/>
      <c r="X631" s="1"/>
      <c r="Z631" s="8"/>
    </row>
    <row r="632" spans="1:26" x14ac:dyDescent="0.2">
      <c r="A632" s="12">
        <f t="shared" si="20"/>
        <v>620</v>
      </c>
      <c r="E632" s="10" t="str">
        <f t="shared" si="19"/>
        <v/>
      </c>
      <c r="I632" s="53"/>
      <c r="N632" s="8">
        <v>0</v>
      </c>
      <c r="Q632" s="1"/>
      <c r="R632" s="1"/>
      <c r="S632" s="1"/>
      <c r="T632" s="8"/>
      <c r="U632" s="8"/>
      <c r="V632" s="1"/>
      <c r="W632" s="1"/>
      <c r="X632" s="1"/>
      <c r="Z632" s="8"/>
    </row>
    <row r="633" spans="1:26" x14ac:dyDescent="0.2">
      <c r="A633" s="12">
        <f t="shared" si="20"/>
        <v>621</v>
      </c>
      <c r="E633" s="10" t="str">
        <f t="shared" si="19"/>
        <v/>
      </c>
      <c r="I633" s="53"/>
      <c r="N633" s="8">
        <v>0</v>
      </c>
      <c r="Q633" s="1"/>
      <c r="R633" s="1"/>
      <c r="S633" s="1"/>
      <c r="T633" s="8"/>
      <c r="U633" s="8"/>
      <c r="V633" s="1"/>
      <c r="W633" s="1"/>
      <c r="X633" s="1"/>
      <c r="Z633" s="8"/>
    </row>
    <row r="634" spans="1:26" x14ac:dyDescent="0.2">
      <c r="A634" s="12">
        <f t="shared" si="20"/>
        <v>622</v>
      </c>
      <c r="E634" s="10" t="str">
        <f t="shared" si="19"/>
        <v/>
      </c>
      <c r="I634" s="53"/>
      <c r="N634" s="8">
        <v>0</v>
      </c>
      <c r="Q634" s="1"/>
      <c r="R634" s="1"/>
      <c r="S634" s="1"/>
      <c r="T634" s="8"/>
      <c r="U634" s="8"/>
      <c r="V634" s="1"/>
      <c r="W634" s="1"/>
      <c r="X634" s="1"/>
      <c r="Z634" s="8"/>
    </row>
    <row r="635" spans="1:26" x14ac:dyDescent="0.2">
      <c r="A635" s="12">
        <f t="shared" si="20"/>
        <v>623</v>
      </c>
      <c r="E635" s="10" t="str">
        <f t="shared" si="19"/>
        <v/>
      </c>
      <c r="I635" s="53"/>
      <c r="N635" s="8">
        <v>0</v>
      </c>
      <c r="Q635" s="1"/>
      <c r="R635" s="1"/>
      <c r="S635" s="1"/>
      <c r="T635" s="8"/>
      <c r="U635" s="8"/>
      <c r="V635" s="1"/>
      <c r="W635" s="1"/>
      <c r="X635" s="1"/>
      <c r="Z635" s="8"/>
    </row>
    <row r="636" spans="1:26" x14ac:dyDescent="0.2">
      <c r="A636" s="12">
        <f t="shared" si="20"/>
        <v>624</v>
      </c>
      <c r="E636" s="10" t="str">
        <f t="shared" si="19"/>
        <v/>
      </c>
      <c r="I636" s="53"/>
      <c r="N636" s="8">
        <v>0</v>
      </c>
      <c r="Q636" s="1"/>
      <c r="R636" s="1"/>
      <c r="S636" s="1"/>
      <c r="T636" s="8"/>
      <c r="U636" s="8"/>
      <c r="V636" s="1"/>
      <c r="W636" s="1"/>
      <c r="X636" s="1"/>
      <c r="Z636" s="8"/>
    </row>
    <row r="637" spans="1:26" x14ac:dyDescent="0.2">
      <c r="A637" s="12">
        <f t="shared" si="20"/>
        <v>625</v>
      </c>
      <c r="E637" s="10" t="str">
        <f t="shared" si="19"/>
        <v/>
      </c>
      <c r="I637" s="53"/>
      <c r="N637" s="8">
        <v>0</v>
      </c>
      <c r="Q637" s="1"/>
      <c r="R637" s="1"/>
      <c r="S637" s="1"/>
      <c r="T637" s="8"/>
      <c r="U637" s="8"/>
      <c r="V637" s="1"/>
      <c r="W637" s="1"/>
      <c r="X637" s="1"/>
      <c r="Z637" s="8"/>
    </row>
    <row r="638" spans="1:26" x14ac:dyDescent="0.2">
      <c r="A638" s="12">
        <f t="shared" si="20"/>
        <v>626</v>
      </c>
      <c r="E638" s="10" t="str">
        <f t="shared" si="19"/>
        <v/>
      </c>
      <c r="I638" s="53"/>
      <c r="N638" s="8">
        <v>0</v>
      </c>
      <c r="Q638" s="1"/>
      <c r="R638" s="1"/>
      <c r="S638" s="1"/>
      <c r="T638" s="8"/>
      <c r="U638" s="8"/>
      <c r="V638" s="1"/>
      <c r="W638" s="1"/>
      <c r="X638" s="1"/>
      <c r="Z638" s="8"/>
    </row>
    <row r="639" spans="1:26" x14ac:dyDescent="0.2">
      <c r="A639" s="12">
        <f t="shared" si="20"/>
        <v>627</v>
      </c>
      <c r="E639" s="10" t="str">
        <f t="shared" si="19"/>
        <v/>
      </c>
      <c r="I639" s="53"/>
      <c r="N639" s="8">
        <v>0</v>
      </c>
      <c r="Q639" s="1"/>
      <c r="R639" s="1"/>
      <c r="S639" s="1"/>
      <c r="T639" s="8"/>
      <c r="U639" s="8"/>
      <c r="V639" s="1"/>
      <c r="W639" s="1"/>
      <c r="X639" s="1"/>
      <c r="Z639" s="8"/>
    </row>
    <row r="640" spans="1:26" x14ac:dyDescent="0.2">
      <c r="A640" s="12">
        <f t="shared" si="20"/>
        <v>628</v>
      </c>
      <c r="E640" s="10" t="str">
        <f t="shared" si="19"/>
        <v/>
      </c>
      <c r="I640" s="53"/>
      <c r="N640" s="8">
        <v>0</v>
      </c>
      <c r="Q640" s="1"/>
      <c r="R640" s="1"/>
      <c r="S640" s="1"/>
      <c r="T640" s="8"/>
      <c r="U640" s="8"/>
      <c r="V640" s="1"/>
      <c r="W640" s="1"/>
      <c r="X640" s="1"/>
      <c r="Z640" s="8"/>
    </row>
    <row r="641" spans="1:26" x14ac:dyDescent="0.2">
      <c r="A641" s="12">
        <f t="shared" si="20"/>
        <v>629</v>
      </c>
      <c r="E641" s="10" t="str">
        <f t="shared" si="19"/>
        <v/>
      </c>
      <c r="I641" s="53"/>
      <c r="N641" s="8">
        <v>0</v>
      </c>
      <c r="Q641" s="1"/>
      <c r="R641" s="1"/>
      <c r="S641" s="1"/>
      <c r="T641" s="8"/>
      <c r="U641" s="8"/>
      <c r="V641" s="1"/>
      <c r="W641" s="1"/>
      <c r="X641" s="1"/>
      <c r="Z641" s="8"/>
    </row>
    <row r="642" spans="1:26" x14ac:dyDescent="0.2">
      <c r="A642" s="12">
        <f t="shared" si="20"/>
        <v>630</v>
      </c>
      <c r="E642" s="10" t="str">
        <f t="shared" si="19"/>
        <v/>
      </c>
      <c r="I642" s="53"/>
      <c r="N642" s="8">
        <v>0</v>
      </c>
      <c r="Q642" s="1"/>
      <c r="R642" s="1"/>
      <c r="S642" s="1"/>
      <c r="T642" s="8"/>
      <c r="U642" s="8"/>
      <c r="V642" s="1"/>
      <c r="W642" s="1"/>
      <c r="X642" s="1"/>
      <c r="Z642" s="8"/>
    </row>
    <row r="643" spans="1:26" x14ac:dyDescent="0.2">
      <c r="A643" s="12">
        <f t="shared" si="20"/>
        <v>631</v>
      </c>
      <c r="E643" s="10" t="str">
        <f t="shared" si="19"/>
        <v/>
      </c>
      <c r="I643" s="53"/>
      <c r="N643" s="8">
        <v>0</v>
      </c>
      <c r="Q643" s="1"/>
      <c r="R643" s="1"/>
      <c r="S643" s="1"/>
      <c r="T643" s="8"/>
      <c r="U643" s="8"/>
      <c r="V643" s="1"/>
      <c r="W643" s="1"/>
      <c r="X643" s="1"/>
      <c r="Z643" s="8"/>
    </row>
    <row r="644" spans="1:26" x14ac:dyDescent="0.2">
      <c r="A644" s="12">
        <f t="shared" si="20"/>
        <v>632</v>
      </c>
      <c r="E644" s="10" t="str">
        <f t="shared" si="19"/>
        <v/>
      </c>
      <c r="I644" s="53"/>
      <c r="N644" s="8">
        <v>0</v>
      </c>
      <c r="Q644" s="1"/>
      <c r="R644" s="1"/>
      <c r="S644" s="1"/>
      <c r="T644" s="8"/>
      <c r="U644" s="8"/>
      <c r="V644" s="1"/>
      <c r="W644" s="1"/>
      <c r="X644" s="1"/>
      <c r="Z644" s="8"/>
    </row>
    <row r="645" spans="1:26" x14ac:dyDescent="0.2">
      <c r="A645" s="12">
        <f t="shared" si="20"/>
        <v>633</v>
      </c>
      <c r="E645" s="10" t="str">
        <f t="shared" si="19"/>
        <v/>
      </c>
      <c r="I645" s="53"/>
      <c r="N645" s="8">
        <v>0</v>
      </c>
      <c r="Q645" s="1"/>
      <c r="R645" s="1"/>
      <c r="S645" s="1"/>
      <c r="T645" s="8"/>
      <c r="U645" s="8"/>
      <c r="V645" s="1"/>
      <c r="W645" s="1"/>
      <c r="X645" s="1"/>
      <c r="Z645" s="8"/>
    </row>
    <row r="646" spans="1:26" x14ac:dyDescent="0.2">
      <c r="A646" s="12">
        <f t="shared" si="20"/>
        <v>634</v>
      </c>
      <c r="E646" s="10" t="str">
        <f t="shared" si="19"/>
        <v/>
      </c>
      <c r="I646" s="53"/>
      <c r="N646" s="8">
        <v>0</v>
      </c>
      <c r="Q646" s="1"/>
      <c r="R646" s="1"/>
      <c r="S646" s="1"/>
      <c r="T646" s="8"/>
      <c r="U646" s="8"/>
      <c r="V646" s="1"/>
      <c r="W646" s="1"/>
      <c r="X646" s="1"/>
      <c r="Z646" s="8"/>
    </row>
    <row r="647" spans="1:26" x14ac:dyDescent="0.2">
      <c r="A647" s="12">
        <f t="shared" si="20"/>
        <v>635</v>
      </c>
      <c r="E647" s="10" t="str">
        <f t="shared" si="19"/>
        <v/>
      </c>
      <c r="I647" s="53"/>
      <c r="N647" s="8">
        <v>0</v>
      </c>
      <c r="Q647" s="1"/>
      <c r="R647" s="1"/>
      <c r="S647" s="1"/>
      <c r="T647" s="8"/>
      <c r="U647" s="8"/>
      <c r="V647" s="1"/>
      <c r="W647" s="1"/>
      <c r="X647" s="1"/>
      <c r="Z647" s="8"/>
    </row>
    <row r="648" spans="1:26" x14ac:dyDescent="0.2">
      <c r="A648" s="12">
        <f t="shared" si="20"/>
        <v>636</v>
      </c>
      <c r="E648" s="10" t="str">
        <f t="shared" si="19"/>
        <v/>
      </c>
      <c r="I648" s="53"/>
      <c r="N648" s="8">
        <v>0</v>
      </c>
      <c r="Q648" s="1"/>
      <c r="R648" s="1"/>
      <c r="S648" s="1"/>
      <c r="T648" s="8"/>
      <c r="U648" s="8"/>
      <c r="V648" s="1"/>
      <c r="W648" s="1"/>
      <c r="X648" s="1"/>
      <c r="Z648" s="8"/>
    </row>
    <row r="649" spans="1:26" x14ac:dyDescent="0.2">
      <c r="A649" s="12">
        <f t="shared" si="20"/>
        <v>637</v>
      </c>
      <c r="E649" s="10" t="str">
        <f t="shared" si="19"/>
        <v/>
      </c>
      <c r="I649" s="53"/>
      <c r="N649" s="8">
        <v>0</v>
      </c>
      <c r="Q649" s="1"/>
      <c r="R649" s="1"/>
      <c r="S649" s="1"/>
      <c r="T649" s="8"/>
      <c r="U649" s="8"/>
      <c r="V649" s="1"/>
      <c r="W649" s="1"/>
      <c r="X649" s="1"/>
      <c r="Z649" s="8"/>
    </row>
    <row r="650" spans="1:26" x14ac:dyDescent="0.2">
      <c r="A650" s="12">
        <f t="shared" si="20"/>
        <v>638</v>
      </c>
      <c r="E650" s="10" t="str">
        <f t="shared" si="19"/>
        <v/>
      </c>
      <c r="I650" s="53"/>
      <c r="N650" s="8">
        <v>0</v>
      </c>
      <c r="Q650" s="1"/>
      <c r="R650" s="1"/>
      <c r="S650" s="1"/>
      <c r="T650" s="8"/>
      <c r="U650" s="8"/>
      <c r="V650" s="1"/>
      <c r="W650" s="1"/>
      <c r="X650" s="1"/>
      <c r="Z650" s="8"/>
    </row>
    <row r="651" spans="1:26" x14ac:dyDescent="0.2">
      <c r="A651" s="12">
        <f t="shared" si="20"/>
        <v>639</v>
      </c>
      <c r="E651" s="10" t="str">
        <f t="shared" si="19"/>
        <v/>
      </c>
      <c r="I651" s="53"/>
      <c r="N651" s="8">
        <v>0</v>
      </c>
      <c r="Q651" s="1"/>
      <c r="R651" s="1"/>
      <c r="S651" s="1"/>
      <c r="T651" s="8"/>
      <c r="U651" s="8"/>
      <c r="V651" s="1"/>
      <c r="W651" s="1"/>
      <c r="X651" s="1"/>
      <c r="Z651" s="8"/>
    </row>
    <row r="652" spans="1:26" x14ac:dyDescent="0.2">
      <c r="A652" s="12">
        <f t="shared" si="20"/>
        <v>640</v>
      </c>
      <c r="E652" s="10" t="str">
        <f t="shared" si="19"/>
        <v/>
      </c>
      <c r="I652" s="53"/>
      <c r="N652" s="8">
        <v>0</v>
      </c>
      <c r="Q652" s="1"/>
      <c r="R652" s="1"/>
      <c r="S652" s="1"/>
      <c r="T652" s="8"/>
      <c r="U652" s="8"/>
      <c r="V652" s="1"/>
      <c r="W652" s="1"/>
      <c r="X652" s="1"/>
      <c r="Z652" s="8"/>
    </row>
    <row r="653" spans="1:26" x14ac:dyDescent="0.2">
      <c r="A653" s="12">
        <f t="shared" si="20"/>
        <v>641</v>
      </c>
      <c r="E653" s="10" t="str">
        <f t="shared" ref="E653:E716" si="21">IF($C$8&gt;=A653,$E$1&amp;" "&amp;A653,"")</f>
        <v/>
      </c>
      <c r="I653" s="53"/>
      <c r="N653" s="8">
        <v>0</v>
      </c>
      <c r="Q653" s="1"/>
      <c r="R653" s="1"/>
      <c r="S653" s="1"/>
      <c r="T653" s="8"/>
      <c r="U653" s="8"/>
      <c r="V653" s="1"/>
      <c r="W653" s="1"/>
      <c r="X653" s="1"/>
      <c r="Z653" s="8"/>
    </row>
    <row r="654" spans="1:26" x14ac:dyDescent="0.2">
      <c r="A654" s="12">
        <f t="shared" si="20"/>
        <v>642</v>
      </c>
      <c r="E654" s="10" t="str">
        <f t="shared" si="21"/>
        <v/>
      </c>
      <c r="I654" s="53"/>
      <c r="N654" s="8">
        <v>0</v>
      </c>
      <c r="Q654" s="1"/>
      <c r="R654" s="1"/>
      <c r="S654" s="1"/>
      <c r="T654" s="8"/>
      <c r="U654" s="8"/>
      <c r="V654" s="1"/>
      <c r="W654" s="1"/>
      <c r="X654" s="1"/>
      <c r="Z654" s="8"/>
    </row>
    <row r="655" spans="1:26" x14ac:dyDescent="0.2">
      <c r="A655" s="12">
        <f t="shared" ref="A655:A718" si="22">A654+1</f>
        <v>643</v>
      </c>
      <c r="E655" s="10" t="str">
        <f t="shared" si="21"/>
        <v/>
      </c>
      <c r="I655" s="53"/>
      <c r="N655" s="8">
        <v>0</v>
      </c>
      <c r="Q655" s="1"/>
      <c r="R655" s="1"/>
      <c r="S655" s="1"/>
      <c r="T655" s="8"/>
      <c r="U655" s="8"/>
      <c r="V655" s="1"/>
      <c r="W655" s="1"/>
      <c r="X655" s="1"/>
      <c r="Z655" s="8"/>
    </row>
    <row r="656" spans="1:26" x14ac:dyDescent="0.2">
      <c r="A656" s="12">
        <f t="shared" si="22"/>
        <v>644</v>
      </c>
      <c r="E656" s="10" t="str">
        <f t="shared" si="21"/>
        <v/>
      </c>
      <c r="I656" s="53"/>
      <c r="N656" s="8">
        <v>0</v>
      </c>
      <c r="Q656" s="1"/>
      <c r="R656" s="1"/>
      <c r="S656" s="1"/>
      <c r="T656" s="8"/>
      <c r="U656" s="8"/>
      <c r="V656" s="1"/>
      <c r="W656" s="1"/>
      <c r="X656" s="1"/>
      <c r="Z656" s="8"/>
    </row>
    <row r="657" spans="1:26" x14ac:dyDescent="0.2">
      <c r="A657" s="12">
        <f t="shared" si="22"/>
        <v>645</v>
      </c>
      <c r="E657" s="10" t="str">
        <f t="shared" si="21"/>
        <v/>
      </c>
      <c r="I657" s="53"/>
      <c r="N657" s="8">
        <v>0</v>
      </c>
      <c r="Q657" s="1"/>
      <c r="R657" s="1"/>
      <c r="S657" s="1"/>
      <c r="T657" s="8"/>
      <c r="U657" s="8"/>
      <c r="V657" s="1"/>
      <c r="W657" s="1"/>
      <c r="X657" s="1"/>
      <c r="Z657" s="8"/>
    </row>
    <row r="658" spans="1:26" x14ac:dyDescent="0.2">
      <c r="A658" s="12">
        <f t="shared" si="22"/>
        <v>646</v>
      </c>
      <c r="E658" s="10" t="str">
        <f t="shared" si="21"/>
        <v/>
      </c>
      <c r="I658" s="53"/>
      <c r="N658" s="8">
        <v>0</v>
      </c>
      <c r="Q658" s="1"/>
      <c r="R658" s="1"/>
      <c r="S658" s="1"/>
      <c r="T658" s="8"/>
      <c r="U658" s="8"/>
      <c r="V658" s="1"/>
      <c r="W658" s="1"/>
      <c r="X658" s="1"/>
      <c r="Z658" s="8"/>
    </row>
    <row r="659" spans="1:26" x14ac:dyDescent="0.2">
      <c r="A659" s="12">
        <f t="shared" si="22"/>
        <v>647</v>
      </c>
      <c r="E659" s="10" t="str">
        <f t="shared" si="21"/>
        <v/>
      </c>
      <c r="I659" s="53"/>
      <c r="N659" s="8">
        <v>0</v>
      </c>
      <c r="Q659" s="1"/>
      <c r="R659" s="1"/>
      <c r="S659" s="1"/>
      <c r="T659" s="8"/>
      <c r="U659" s="8"/>
      <c r="V659" s="1"/>
      <c r="W659" s="1"/>
      <c r="X659" s="1"/>
      <c r="Z659" s="8"/>
    </row>
    <row r="660" spans="1:26" x14ac:dyDescent="0.2">
      <c r="A660" s="12">
        <f t="shared" si="22"/>
        <v>648</v>
      </c>
      <c r="E660" s="10" t="str">
        <f t="shared" si="21"/>
        <v/>
      </c>
      <c r="I660" s="53"/>
      <c r="N660" s="8">
        <v>0</v>
      </c>
      <c r="Q660" s="1"/>
      <c r="R660" s="1"/>
      <c r="S660" s="1"/>
      <c r="T660" s="8"/>
      <c r="U660" s="8"/>
      <c r="V660" s="1"/>
      <c r="W660" s="1"/>
      <c r="X660" s="1"/>
      <c r="Z660" s="8"/>
    </row>
    <row r="661" spans="1:26" x14ac:dyDescent="0.2">
      <c r="A661" s="12">
        <f t="shared" si="22"/>
        <v>649</v>
      </c>
      <c r="E661" s="10" t="str">
        <f t="shared" si="21"/>
        <v/>
      </c>
      <c r="I661" s="53"/>
      <c r="N661" s="8">
        <v>0</v>
      </c>
      <c r="Q661" s="1"/>
      <c r="R661" s="1"/>
      <c r="S661" s="1"/>
      <c r="T661" s="8"/>
      <c r="U661" s="8"/>
      <c r="V661" s="1"/>
      <c r="W661" s="1"/>
      <c r="X661" s="1"/>
      <c r="Z661" s="8"/>
    </row>
    <row r="662" spans="1:26" x14ac:dyDescent="0.2">
      <c r="A662" s="12">
        <f t="shared" si="22"/>
        <v>650</v>
      </c>
      <c r="E662" s="10" t="str">
        <f t="shared" si="21"/>
        <v/>
      </c>
      <c r="I662" s="53"/>
      <c r="N662" s="8">
        <v>0</v>
      </c>
      <c r="Q662" s="1"/>
      <c r="R662" s="1"/>
      <c r="S662" s="1"/>
      <c r="T662" s="8"/>
      <c r="U662" s="8"/>
      <c r="V662" s="1"/>
      <c r="W662" s="1"/>
      <c r="X662" s="1"/>
      <c r="Z662" s="8"/>
    </row>
    <row r="663" spans="1:26" x14ac:dyDescent="0.2">
      <c r="A663" s="12">
        <f t="shared" si="22"/>
        <v>651</v>
      </c>
      <c r="E663" s="10" t="str">
        <f t="shared" si="21"/>
        <v/>
      </c>
      <c r="I663" s="53"/>
      <c r="N663" s="8">
        <v>0</v>
      </c>
      <c r="Q663" s="1"/>
      <c r="R663" s="1"/>
      <c r="S663" s="1"/>
      <c r="T663" s="8"/>
      <c r="U663" s="8"/>
      <c r="V663" s="1"/>
      <c r="W663" s="1"/>
      <c r="X663" s="1"/>
      <c r="Z663" s="8"/>
    </row>
    <row r="664" spans="1:26" x14ac:dyDescent="0.2">
      <c r="A664" s="12">
        <f t="shared" si="22"/>
        <v>652</v>
      </c>
      <c r="E664" s="10" t="str">
        <f t="shared" si="21"/>
        <v/>
      </c>
      <c r="I664" s="53"/>
      <c r="N664" s="8">
        <v>0</v>
      </c>
      <c r="Q664" s="1"/>
      <c r="R664" s="1"/>
      <c r="S664" s="1"/>
      <c r="T664" s="8"/>
      <c r="U664" s="8"/>
      <c r="V664" s="1"/>
      <c r="W664" s="1"/>
      <c r="X664" s="1"/>
      <c r="Z664" s="8"/>
    </row>
    <row r="665" spans="1:26" x14ac:dyDescent="0.2">
      <c r="A665" s="12">
        <f t="shared" si="22"/>
        <v>653</v>
      </c>
      <c r="E665" s="10" t="str">
        <f t="shared" si="21"/>
        <v/>
      </c>
      <c r="I665" s="53"/>
      <c r="N665" s="8">
        <v>0</v>
      </c>
      <c r="Q665" s="1"/>
      <c r="R665" s="1"/>
      <c r="S665" s="1"/>
      <c r="T665" s="8"/>
      <c r="U665" s="8"/>
      <c r="V665" s="1"/>
      <c r="W665" s="1"/>
      <c r="X665" s="1"/>
      <c r="Z665" s="8"/>
    </row>
    <row r="666" spans="1:26" x14ac:dyDescent="0.2">
      <c r="A666" s="12">
        <f t="shared" si="22"/>
        <v>654</v>
      </c>
      <c r="E666" s="10" t="str">
        <f t="shared" si="21"/>
        <v/>
      </c>
      <c r="I666" s="53"/>
      <c r="N666" s="8">
        <v>0</v>
      </c>
      <c r="Q666" s="1"/>
      <c r="R666" s="1"/>
      <c r="S666" s="1"/>
      <c r="T666" s="8"/>
      <c r="U666" s="8"/>
      <c r="V666" s="1"/>
      <c r="W666" s="1"/>
      <c r="X666" s="1"/>
      <c r="Z666" s="8"/>
    </row>
    <row r="667" spans="1:26" x14ac:dyDescent="0.2">
      <c r="A667" s="12">
        <f t="shared" si="22"/>
        <v>655</v>
      </c>
      <c r="E667" s="10" t="str">
        <f t="shared" si="21"/>
        <v/>
      </c>
      <c r="I667" s="53"/>
      <c r="N667" s="8">
        <v>0</v>
      </c>
      <c r="Q667" s="1"/>
      <c r="R667" s="1"/>
      <c r="S667" s="1"/>
      <c r="T667" s="8"/>
      <c r="U667" s="8"/>
      <c r="V667" s="1"/>
      <c r="W667" s="1"/>
      <c r="X667" s="1"/>
      <c r="Z667" s="8"/>
    </row>
    <row r="668" spans="1:26" x14ac:dyDescent="0.2">
      <c r="A668" s="12">
        <f t="shared" si="22"/>
        <v>656</v>
      </c>
      <c r="E668" s="10" t="str">
        <f t="shared" si="21"/>
        <v/>
      </c>
      <c r="I668" s="53"/>
      <c r="N668" s="8">
        <v>0</v>
      </c>
      <c r="Q668" s="1"/>
      <c r="R668" s="1"/>
      <c r="S668" s="1"/>
      <c r="T668" s="8"/>
      <c r="U668" s="8"/>
      <c r="V668" s="1"/>
      <c r="W668" s="1"/>
      <c r="X668" s="1"/>
      <c r="Z668" s="8"/>
    </row>
    <row r="669" spans="1:26" x14ac:dyDescent="0.2">
      <c r="A669" s="12">
        <f t="shared" si="22"/>
        <v>657</v>
      </c>
      <c r="E669" s="10" t="str">
        <f t="shared" si="21"/>
        <v/>
      </c>
      <c r="I669" s="53"/>
      <c r="N669" s="8">
        <v>0</v>
      </c>
      <c r="Q669" s="1"/>
      <c r="R669" s="1"/>
      <c r="S669" s="1"/>
      <c r="T669" s="8"/>
      <c r="U669" s="8"/>
      <c r="V669" s="1"/>
      <c r="W669" s="1"/>
      <c r="X669" s="1"/>
      <c r="Z669" s="8"/>
    </row>
    <row r="670" spans="1:26" x14ac:dyDescent="0.2">
      <c r="A670" s="12">
        <f t="shared" si="22"/>
        <v>658</v>
      </c>
      <c r="E670" s="10" t="str">
        <f t="shared" si="21"/>
        <v/>
      </c>
      <c r="I670" s="53"/>
      <c r="N670" s="8">
        <v>0</v>
      </c>
      <c r="Q670" s="1"/>
      <c r="R670" s="1"/>
      <c r="S670" s="1"/>
      <c r="T670" s="8"/>
      <c r="U670" s="8"/>
      <c r="V670" s="1"/>
      <c r="W670" s="1"/>
      <c r="X670" s="1"/>
      <c r="Z670" s="8"/>
    </row>
    <row r="671" spans="1:26" x14ac:dyDescent="0.2">
      <c r="A671" s="12">
        <f t="shared" si="22"/>
        <v>659</v>
      </c>
      <c r="E671" s="10" t="str">
        <f t="shared" si="21"/>
        <v/>
      </c>
      <c r="I671" s="53"/>
      <c r="N671" s="8">
        <v>0</v>
      </c>
      <c r="Q671" s="1"/>
      <c r="R671" s="1"/>
      <c r="S671" s="1"/>
      <c r="T671" s="8"/>
      <c r="U671" s="8"/>
      <c r="V671" s="1"/>
      <c r="W671" s="1"/>
      <c r="X671" s="1"/>
      <c r="Z671" s="8"/>
    </row>
    <row r="672" spans="1:26" x14ac:dyDescent="0.2">
      <c r="A672" s="12">
        <f t="shared" si="22"/>
        <v>660</v>
      </c>
      <c r="E672" s="10" t="str">
        <f t="shared" si="21"/>
        <v/>
      </c>
      <c r="I672" s="53"/>
      <c r="N672" s="8">
        <v>0</v>
      </c>
      <c r="Q672" s="1"/>
      <c r="R672" s="1"/>
      <c r="S672" s="1"/>
      <c r="T672" s="8"/>
      <c r="U672" s="8"/>
      <c r="V672" s="1"/>
      <c r="W672" s="1"/>
      <c r="X672" s="1"/>
      <c r="Z672" s="8"/>
    </row>
    <row r="673" spans="1:26" x14ac:dyDescent="0.2">
      <c r="A673" s="12">
        <f t="shared" si="22"/>
        <v>661</v>
      </c>
      <c r="E673" s="10" t="str">
        <f t="shared" si="21"/>
        <v/>
      </c>
      <c r="I673" s="53"/>
      <c r="N673" s="8">
        <v>0</v>
      </c>
      <c r="Q673" s="1"/>
      <c r="R673" s="1"/>
      <c r="S673" s="1"/>
      <c r="T673" s="8"/>
      <c r="U673" s="8"/>
      <c r="V673" s="1"/>
      <c r="W673" s="1"/>
      <c r="X673" s="1"/>
      <c r="Z673" s="8"/>
    </row>
    <row r="674" spans="1:26" x14ac:dyDescent="0.2">
      <c r="A674" s="12">
        <f t="shared" si="22"/>
        <v>662</v>
      </c>
      <c r="E674" s="10" t="str">
        <f t="shared" si="21"/>
        <v/>
      </c>
      <c r="I674" s="53"/>
      <c r="N674" s="8">
        <v>0</v>
      </c>
      <c r="Q674" s="1"/>
      <c r="R674" s="1"/>
      <c r="S674" s="1"/>
      <c r="T674" s="8"/>
      <c r="U674" s="8"/>
      <c r="V674" s="1"/>
      <c r="W674" s="1"/>
      <c r="X674" s="1"/>
      <c r="Z674" s="8"/>
    </row>
    <row r="675" spans="1:26" x14ac:dyDescent="0.2">
      <c r="A675" s="12">
        <f t="shared" si="22"/>
        <v>663</v>
      </c>
      <c r="E675" s="10" t="str">
        <f t="shared" si="21"/>
        <v/>
      </c>
      <c r="I675" s="53"/>
      <c r="N675" s="8">
        <v>0</v>
      </c>
      <c r="Q675" s="1"/>
      <c r="R675" s="1"/>
      <c r="S675" s="1"/>
      <c r="T675" s="8"/>
      <c r="U675" s="8"/>
      <c r="V675" s="1"/>
      <c r="W675" s="1"/>
      <c r="X675" s="1"/>
      <c r="Z675" s="8"/>
    </row>
    <row r="676" spans="1:26" x14ac:dyDescent="0.2">
      <c r="A676" s="12">
        <f t="shared" si="22"/>
        <v>664</v>
      </c>
      <c r="E676" s="10" t="str">
        <f t="shared" si="21"/>
        <v/>
      </c>
      <c r="I676" s="53"/>
      <c r="N676" s="8">
        <v>0</v>
      </c>
      <c r="Q676" s="1"/>
      <c r="R676" s="1"/>
      <c r="S676" s="1"/>
      <c r="T676" s="8"/>
      <c r="U676" s="8"/>
      <c r="V676" s="1"/>
      <c r="W676" s="1"/>
      <c r="X676" s="1"/>
      <c r="Z676" s="8"/>
    </row>
    <row r="677" spans="1:26" x14ac:dyDescent="0.2">
      <c r="A677" s="12">
        <f t="shared" si="22"/>
        <v>665</v>
      </c>
      <c r="E677" s="10" t="str">
        <f t="shared" si="21"/>
        <v/>
      </c>
      <c r="I677" s="53"/>
      <c r="N677" s="8">
        <v>0</v>
      </c>
      <c r="Q677" s="1"/>
      <c r="R677" s="1"/>
      <c r="S677" s="1"/>
      <c r="T677" s="8"/>
      <c r="U677" s="8"/>
      <c r="V677" s="1"/>
      <c r="W677" s="1"/>
      <c r="X677" s="1"/>
      <c r="Z677" s="8"/>
    </row>
    <row r="678" spans="1:26" x14ac:dyDescent="0.2">
      <c r="A678" s="12">
        <f t="shared" si="22"/>
        <v>666</v>
      </c>
      <c r="E678" s="10" t="str">
        <f t="shared" si="21"/>
        <v/>
      </c>
      <c r="I678" s="53"/>
      <c r="N678" s="8">
        <v>0</v>
      </c>
      <c r="Q678" s="1"/>
      <c r="R678" s="1"/>
      <c r="S678" s="1"/>
      <c r="T678" s="8"/>
      <c r="U678" s="8"/>
      <c r="V678" s="1"/>
      <c r="W678" s="1"/>
      <c r="X678" s="1"/>
      <c r="Z678" s="8"/>
    </row>
    <row r="679" spans="1:26" x14ac:dyDescent="0.2">
      <c r="A679" s="12">
        <f t="shared" si="22"/>
        <v>667</v>
      </c>
      <c r="E679" s="10" t="str">
        <f t="shared" si="21"/>
        <v/>
      </c>
      <c r="I679" s="53"/>
      <c r="N679" s="8">
        <v>0</v>
      </c>
      <c r="Q679" s="1"/>
      <c r="R679" s="1"/>
      <c r="S679" s="1"/>
      <c r="T679" s="8"/>
      <c r="U679" s="8"/>
      <c r="V679" s="1"/>
      <c r="W679" s="1"/>
      <c r="X679" s="1"/>
      <c r="Z679" s="8"/>
    </row>
    <row r="680" spans="1:26" x14ac:dyDescent="0.2">
      <c r="A680" s="12">
        <f t="shared" si="22"/>
        <v>668</v>
      </c>
      <c r="E680" s="10" t="str">
        <f t="shared" si="21"/>
        <v/>
      </c>
      <c r="I680" s="53"/>
      <c r="N680" s="8">
        <v>0</v>
      </c>
      <c r="Q680" s="1"/>
      <c r="R680" s="1"/>
      <c r="S680" s="1"/>
      <c r="T680" s="8"/>
      <c r="U680" s="8"/>
      <c r="V680" s="1"/>
      <c r="W680" s="1"/>
      <c r="X680" s="1"/>
      <c r="Z680" s="8"/>
    </row>
    <row r="681" spans="1:26" x14ac:dyDescent="0.2">
      <c r="A681" s="12">
        <f t="shared" si="22"/>
        <v>669</v>
      </c>
      <c r="E681" s="10" t="str">
        <f t="shared" si="21"/>
        <v/>
      </c>
      <c r="I681" s="53"/>
      <c r="N681" s="8">
        <v>0</v>
      </c>
      <c r="Q681" s="1"/>
      <c r="R681" s="1"/>
      <c r="S681" s="1"/>
      <c r="T681" s="8"/>
      <c r="U681" s="8"/>
      <c r="V681" s="1"/>
      <c r="W681" s="1"/>
      <c r="X681" s="1"/>
      <c r="Z681" s="8"/>
    </row>
    <row r="682" spans="1:26" x14ac:dyDescent="0.2">
      <c r="A682" s="12">
        <f t="shared" si="22"/>
        <v>670</v>
      </c>
      <c r="E682" s="10" t="str">
        <f t="shared" si="21"/>
        <v/>
      </c>
      <c r="I682" s="53"/>
      <c r="N682" s="8">
        <v>0</v>
      </c>
      <c r="Q682" s="1"/>
      <c r="R682" s="1"/>
      <c r="S682" s="1"/>
      <c r="T682" s="8"/>
      <c r="U682" s="8"/>
      <c r="V682" s="1"/>
      <c r="W682" s="1"/>
      <c r="X682" s="1"/>
      <c r="Z682" s="8"/>
    </row>
    <row r="683" spans="1:26" x14ac:dyDescent="0.2">
      <c r="A683" s="12">
        <f t="shared" si="22"/>
        <v>671</v>
      </c>
      <c r="E683" s="10" t="str">
        <f t="shared" si="21"/>
        <v/>
      </c>
      <c r="I683" s="53"/>
      <c r="N683" s="8">
        <v>0</v>
      </c>
      <c r="Q683" s="1"/>
      <c r="R683" s="1"/>
      <c r="S683" s="1"/>
      <c r="T683" s="8"/>
      <c r="U683" s="8"/>
      <c r="V683" s="1"/>
      <c r="W683" s="1"/>
      <c r="X683" s="1"/>
      <c r="Z683" s="8"/>
    </row>
    <row r="684" spans="1:26" x14ac:dyDescent="0.2">
      <c r="A684" s="12">
        <f t="shared" si="22"/>
        <v>672</v>
      </c>
      <c r="E684" s="10" t="str">
        <f t="shared" si="21"/>
        <v/>
      </c>
      <c r="I684" s="53"/>
      <c r="N684" s="8">
        <v>0</v>
      </c>
      <c r="Q684" s="1"/>
      <c r="R684" s="1"/>
      <c r="S684" s="1"/>
      <c r="T684" s="8"/>
      <c r="U684" s="8"/>
      <c r="V684" s="1"/>
      <c r="W684" s="1"/>
      <c r="X684" s="1"/>
      <c r="Z684" s="8"/>
    </row>
    <row r="685" spans="1:26" x14ac:dyDescent="0.2">
      <c r="A685" s="12">
        <f t="shared" si="22"/>
        <v>673</v>
      </c>
      <c r="E685" s="10" t="str">
        <f t="shared" si="21"/>
        <v/>
      </c>
      <c r="I685" s="53"/>
      <c r="N685" s="8">
        <v>0</v>
      </c>
      <c r="Q685" s="1"/>
      <c r="R685" s="1"/>
      <c r="S685" s="1"/>
      <c r="T685" s="8"/>
      <c r="U685" s="8"/>
      <c r="V685" s="1"/>
      <c r="W685" s="1"/>
      <c r="X685" s="1"/>
      <c r="Z685" s="8"/>
    </row>
    <row r="686" spans="1:26" x14ac:dyDescent="0.2">
      <c r="A686" s="12">
        <f t="shared" si="22"/>
        <v>674</v>
      </c>
      <c r="E686" s="10" t="str">
        <f t="shared" si="21"/>
        <v/>
      </c>
      <c r="I686" s="53"/>
      <c r="N686" s="8">
        <v>0</v>
      </c>
      <c r="Q686" s="1"/>
      <c r="R686" s="1"/>
      <c r="S686" s="1"/>
      <c r="T686" s="8"/>
      <c r="U686" s="8"/>
      <c r="V686" s="1"/>
      <c r="W686" s="1"/>
      <c r="X686" s="1"/>
      <c r="Z686" s="8"/>
    </row>
    <row r="687" spans="1:26" x14ac:dyDescent="0.2">
      <c r="A687" s="12">
        <f t="shared" si="22"/>
        <v>675</v>
      </c>
      <c r="E687" s="10" t="str">
        <f t="shared" si="21"/>
        <v/>
      </c>
      <c r="I687" s="53"/>
      <c r="N687" s="8">
        <v>0</v>
      </c>
      <c r="Q687" s="1"/>
      <c r="R687" s="1"/>
      <c r="S687" s="1"/>
      <c r="T687" s="8"/>
      <c r="U687" s="8"/>
      <c r="V687" s="1"/>
      <c r="W687" s="1"/>
      <c r="X687" s="1"/>
      <c r="Z687" s="8"/>
    </row>
    <row r="688" spans="1:26" x14ac:dyDescent="0.2">
      <c r="A688" s="12">
        <f t="shared" si="22"/>
        <v>676</v>
      </c>
      <c r="E688" s="10" t="str">
        <f t="shared" si="21"/>
        <v/>
      </c>
      <c r="I688" s="53"/>
      <c r="N688" s="8">
        <v>0</v>
      </c>
      <c r="Q688" s="1"/>
      <c r="R688" s="1"/>
      <c r="S688" s="1"/>
      <c r="T688" s="8"/>
      <c r="U688" s="8"/>
      <c r="V688" s="1"/>
      <c r="W688" s="1"/>
      <c r="X688" s="1"/>
      <c r="Z688" s="8"/>
    </row>
    <row r="689" spans="1:26" x14ac:dyDescent="0.2">
      <c r="A689" s="12">
        <f t="shared" si="22"/>
        <v>677</v>
      </c>
      <c r="E689" s="10" t="str">
        <f t="shared" si="21"/>
        <v/>
      </c>
      <c r="I689" s="53"/>
      <c r="N689" s="8">
        <v>0</v>
      </c>
      <c r="Q689" s="1"/>
      <c r="R689" s="1"/>
      <c r="S689" s="1"/>
      <c r="T689" s="8"/>
      <c r="U689" s="8"/>
      <c r="V689" s="1"/>
      <c r="W689" s="1"/>
      <c r="X689" s="1"/>
      <c r="Z689" s="8"/>
    </row>
    <row r="690" spans="1:26" x14ac:dyDescent="0.2">
      <c r="A690" s="12">
        <f t="shared" si="22"/>
        <v>678</v>
      </c>
      <c r="E690" s="10" t="str">
        <f t="shared" si="21"/>
        <v/>
      </c>
      <c r="I690" s="53"/>
      <c r="N690" s="8">
        <v>0</v>
      </c>
      <c r="Q690" s="1"/>
      <c r="R690" s="1"/>
      <c r="S690" s="1"/>
      <c r="T690" s="8"/>
      <c r="U690" s="8"/>
      <c r="V690" s="1"/>
      <c r="W690" s="1"/>
      <c r="X690" s="1"/>
      <c r="Z690" s="8"/>
    </row>
    <row r="691" spans="1:26" x14ac:dyDescent="0.2">
      <c r="A691" s="12">
        <f t="shared" si="22"/>
        <v>679</v>
      </c>
      <c r="E691" s="10" t="str">
        <f t="shared" si="21"/>
        <v/>
      </c>
      <c r="I691" s="53"/>
      <c r="N691" s="8">
        <v>0</v>
      </c>
      <c r="Q691" s="1"/>
      <c r="R691" s="1"/>
      <c r="S691" s="1"/>
      <c r="T691" s="8"/>
      <c r="U691" s="8"/>
      <c r="V691" s="1"/>
      <c r="W691" s="1"/>
      <c r="X691" s="1"/>
      <c r="Z691" s="8"/>
    </row>
    <row r="692" spans="1:26" x14ac:dyDescent="0.2">
      <c r="A692" s="12">
        <f t="shared" si="22"/>
        <v>680</v>
      </c>
      <c r="E692" s="10" t="str">
        <f t="shared" si="21"/>
        <v/>
      </c>
      <c r="I692" s="53"/>
      <c r="N692" s="8">
        <v>0</v>
      </c>
      <c r="Q692" s="1"/>
      <c r="R692" s="1"/>
      <c r="S692" s="1"/>
      <c r="T692" s="8"/>
      <c r="U692" s="8"/>
      <c r="V692" s="1"/>
      <c r="W692" s="1"/>
      <c r="X692" s="1"/>
      <c r="Z692" s="8"/>
    </row>
    <row r="693" spans="1:26" x14ac:dyDescent="0.2">
      <c r="A693" s="12">
        <f t="shared" si="22"/>
        <v>681</v>
      </c>
      <c r="E693" s="10" t="str">
        <f t="shared" si="21"/>
        <v/>
      </c>
      <c r="I693" s="53"/>
      <c r="N693" s="8">
        <v>0</v>
      </c>
      <c r="Q693" s="1"/>
      <c r="R693" s="1"/>
      <c r="S693" s="1"/>
      <c r="T693" s="8"/>
      <c r="U693" s="8"/>
      <c r="V693" s="1"/>
      <c r="W693" s="1"/>
      <c r="X693" s="1"/>
      <c r="Z693" s="8"/>
    </row>
    <row r="694" spans="1:26" x14ac:dyDescent="0.2">
      <c r="A694" s="12">
        <f t="shared" si="22"/>
        <v>682</v>
      </c>
      <c r="E694" s="10" t="str">
        <f t="shared" si="21"/>
        <v/>
      </c>
      <c r="I694" s="53"/>
      <c r="N694" s="8">
        <v>0</v>
      </c>
      <c r="Q694" s="1"/>
      <c r="R694" s="1"/>
      <c r="S694" s="1"/>
      <c r="T694" s="8"/>
      <c r="U694" s="8"/>
      <c r="V694" s="1"/>
      <c r="W694" s="1"/>
      <c r="X694" s="1"/>
      <c r="Z694" s="8"/>
    </row>
    <row r="695" spans="1:26" x14ac:dyDescent="0.2">
      <c r="A695" s="12">
        <f t="shared" si="22"/>
        <v>683</v>
      </c>
      <c r="E695" s="10" t="str">
        <f t="shared" si="21"/>
        <v/>
      </c>
      <c r="I695" s="53"/>
      <c r="N695" s="8">
        <v>0</v>
      </c>
      <c r="Q695" s="1"/>
      <c r="R695" s="1"/>
      <c r="S695" s="1"/>
      <c r="T695" s="8"/>
      <c r="U695" s="8"/>
      <c r="V695" s="1"/>
      <c r="W695" s="1"/>
      <c r="X695" s="1"/>
      <c r="Z695" s="8"/>
    </row>
    <row r="696" spans="1:26" x14ac:dyDescent="0.2">
      <c r="A696" s="12">
        <f t="shared" si="22"/>
        <v>684</v>
      </c>
      <c r="E696" s="10" t="str">
        <f t="shared" si="21"/>
        <v/>
      </c>
      <c r="I696" s="53"/>
      <c r="N696" s="8">
        <v>0</v>
      </c>
      <c r="Q696" s="1"/>
      <c r="R696" s="1"/>
      <c r="S696" s="1"/>
      <c r="T696" s="8"/>
      <c r="U696" s="8"/>
      <c r="V696" s="1"/>
      <c r="W696" s="1"/>
      <c r="X696" s="1"/>
      <c r="Z696" s="8"/>
    </row>
    <row r="697" spans="1:26" x14ac:dyDescent="0.2">
      <c r="A697" s="12">
        <f t="shared" si="22"/>
        <v>685</v>
      </c>
      <c r="E697" s="10" t="str">
        <f t="shared" si="21"/>
        <v/>
      </c>
      <c r="I697" s="53"/>
      <c r="N697" s="8">
        <v>0</v>
      </c>
      <c r="Q697" s="1"/>
      <c r="R697" s="1"/>
      <c r="S697" s="1"/>
      <c r="T697" s="8"/>
      <c r="U697" s="8"/>
      <c r="V697" s="1"/>
      <c r="W697" s="1"/>
      <c r="X697" s="1"/>
      <c r="Z697" s="8"/>
    </row>
    <row r="698" spans="1:26" x14ac:dyDescent="0.2">
      <c r="A698" s="12">
        <f t="shared" si="22"/>
        <v>686</v>
      </c>
      <c r="E698" s="10" t="str">
        <f t="shared" si="21"/>
        <v/>
      </c>
      <c r="I698" s="53"/>
      <c r="N698" s="8">
        <v>0</v>
      </c>
      <c r="Q698" s="1"/>
      <c r="R698" s="1"/>
      <c r="S698" s="1"/>
      <c r="T698" s="8"/>
      <c r="U698" s="8"/>
      <c r="V698" s="1"/>
      <c r="W698" s="1"/>
      <c r="X698" s="1"/>
      <c r="Z698" s="8"/>
    </row>
    <row r="699" spans="1:26" x14ac:dyDescent="0.2">
      <c r="A699" s="12">
        <f t="shared" si="22"/>
        <v>687</v>
      </c>
      <c r="E699" s="10" t="str">
        <f t="shared" si="21"/>
        <v/>
      </c>
      <c r="I699" s="53"/>
      <c r="N699" s="8">
        <v>0</v>
      </c>
      <c r="Q699" s="1"/>
      <c r="R699" s="1"/>
      <c r="S699" s="1"/>
      <c r="T699" s="8"/>
      <c r="U699" s="8"/>
      <c r="V699" s="1"/>
      <c r="W699" s="1"/>
      <c r="X699" s="1"/>
      <c r="Z699" s="8"/>
    </row>
    <row r="700" spans="1:26" x14ac:dyDescent="0.2">
      <c r="A700" s="12">
        <f t="shared" si="22"/>
        <v>688</v>
      </c>
      <c r="E700" s="10" t="str">
        <f t="shared" si="21"/>
        <v/>
      </c>
      <c r="I700" s="53"/>
      <c r="N700" s="8">
        <v>0</v>
      </c>
      <c r="Q700" s="1"/>
      <c r="R700" s="1"/>
      <c r="S700" s="1"/>
      <c r="T700" s="8"/>
      <c r="U700" s="8"/>
      <c r="V700" s="1"/>
      <c r="W700" s="1"/>
      <c r="X700" s="1"/>
      <c r="Z700" s="8"/>
    </row>
    <row r="701" spans="1:26" x14ac:dyDescent="0.2">
      <c r="A701" s="12">
        <f t="shared" si="22"/>
        <v>689</v>
      </c>
      <c r="E701" s="10" t="str">
        <f t="shared" si="21"/>
        <v/>
      </c>
      <c r="I701" s="53"/>
      <c r="N701" s="8">
        <v>0</v>
      </c>
      <c r="Q701" s="1"/>
      <c r="R701" s="1"/>
      <c r="S701" s="1"/>
      <c r="T701" s="8"/>
      <c r="U701" s="8"/>
      <c r="V701" s="1"/>
      <c r="W701" s="1"/>
      <c r="X701" s="1"/>
      <c r="Z701" s="8"/>
    </row>
    <row r="702" spans="1:26" x14ac:dyDescent="0.2">
      <c r="A702" s="12">
        <f t="shared" si="22"/>
        <v>690</v>
      </c>
      <c r="E702" s="10" t="str">
        <f t="shared" si="21"/>
        <v/>
      </c>
      <c r="I702" s="53"/>
      <c r="N702" s="8">
        <v>0</v>
      </c>
      <c r="Q702" s="1"/>
      <c r="R702" s="1"/>
      <c r="S702" s="1"/>
      <c r="T702" s="8"/>
      <c r="U702" s="8"/>
      <c r="V702" s="1"/>
      <c r="W702" s="1"/>
      <c r="X702" s="1"/>
      <c r="Z702" s="8"/>
    </row>
    <row r="703" spans="1:26" x14ac:dyDescent="0.2">
      <c r="A703" s="12">
        <f t="shared" si="22"/>
        <v>691</v>
      </c>
      <c r="E703" s="10" t="str">
        <f t="shared" si="21"/>
        <v/>
      </c>
      <c r="I703" s="53"/>
      <c r="N703" s="8">
        <v>0</v>
      </c>
      <c r="Q703" s="1"/>
      <c r="R703" s="1"/>
      <c r="S703" s="1"/>
      <c r="T703" s="8"/>
      <c r="U703" s="8"/>
      <c r="V703" s="1"/>
      <c r="W703" s="1"/>
      <c r="X703" s="1"/>
      <c r="Z703" s="8"/>
    </row>
    <row r="704" spans="1:26" x14ac:dyDescent="0.2">
      <c r="A704" s="12">
        <f t="shared" si="22"/>
        <v>692</v>
      </c>
      <c r="E704" s="10" t="str">
        <f t="shared" si="21"/>
        <v/>
      </c>
      <c r="I704" s="53"/>
      <c r="N704" s="8">
        <v>0</v>
      </c>
      <c r="Q704" s="1"/>
      <c r="R704" s="1"/>
      <c r="S704" s="1"/>
      <c r="T704" s="8"/>
      <c r="U704" s="8"/>
      <c r="V704" s="1"/>
      <c r="W704" s="1"/>
      <c r="X704" s="1"/>
      <c r="Z704" s="8"/>
    </row>
    <row r="705" spans="1:26" x14ac:dyDescent="0.2">
      <c r="A705" s="12">
        <f t="shared" si="22"/>
        <v>693</v>
      </c>
      <c r="E705" s="10" t="str">
        <f t="shared" si="21"/>
        <v/>
      </c>
      <c r="I705" s="53"/>
      <c r="N705" s="8">
        <v>0</v>
      </c>
      <c r="Q705" s="1"/>
      <c r="R705" s="1"/>
      <c r="S705" s="1"/>
      <c r="T705" s="8"/>
      <c r="U705" s="8"/>
      <c r="V705" s="1"/>
      <c r="W705" s="1"/>
      <c r="X705" s="1"/>
      <c r="Z705" s="8"/>
    </row>
    <row r="706" spans="1:26" x14ac:dyDescent="0.2">
      <c r="A706" s="12">
        <f t="shared" si="22"/>
        <v>694</v>
      </c>
      <c r="E706" s="10" t="str">
        <f t="shared" si="21"/>
        <v/>
      </c>
      <c r="I706" s="53"/>
      <c r="N706" s="8">
        <v>0</v>
      </c>
      <c r="Q706" s="1"/>
      <c r="R706" s="1"/>
      <c r="S706" s="1"/>
      <c r="T706" s="8"/>
      <c r="U706" s="8"/>
      <c r="V706" s="1"/>
      <c r="W706" s="1"/>
      <c r="X706" s="1"/>
      <c r="Z706" s="8"/>
    </row>
    <row r="707" spans="1:26" x14ac:dyDescent="0.2">
      <c r="A707" s="12">
        <f t="shared" si="22"/>
        <v>695</v>
      </c>
      <c r="E707" s="10" t="str">
        <f t="shared" si="21"/>
        <v/>
      </c>
      <c r="I707" s="53"/>
      <c r="N707" s="8">
        <v>0</v>
      </c>
      <c r="Q707" s="1"/>
      <c r="R707" s="1"/>
      <c r="S707" s="1"/>
      <c r="T707" s="8"/>
      <c r="U707" s="8"/>
      <c r="V707" s="1"/>
      <c r="W707" s="1"/>
      <c r="X707" s="1"/>
      <c r="Z707" s="8"/>
    </row>
    <row r="708" spans="1:26" x14ac:dyDescent="0.2">
      <c r="A708" s="12">
        <f t="shared" si="22"/>
        <v>696</v>
      </c>
      <c r="E708" s="10" t="str">
        <f t="shared" si="21"/>
        <v/>
      </c>
      <c r="I708" s="53"/>
      <c r="N708" s="8">
        <v>0</v>
      </c>
      <c r="Q708" s="1"/>
      <c r="R708" s="1"/>
      <c r="S708" s="1"/>
      <c r="T708" s="8"/>
      <c r="U708" s="8"/>
      <c r="V708" s="1"/>
      <c r="W708" s="1"/>
      <c r="X708" s="1"/>
      <c r="Z708" s="8"/>
    </row>
    <row r="709" spans="1:26" x14ac:dyDescent="0.2">
      <c r="A709" s="12">
        <f t="shared" si="22"/>
        <v>697</v>
      </c>
      <c r="E709" s="10" t="str">
        <f t="shared" si="21"/>
        <v/>
      </c>
      <c r="I709" s="53"/>
      <c r="N709" s="8">
        <v>0</v>
      </c>
      <c r="Q709" s="1"/>
      <c r="R709" s="1"/>
      <c r="S709" s="1"/>
      <c r="T709" s="8"/>
      <c r="U709" s="8"/>
      <c r="V709" s="1"/>
      <c r="W709" s="1"/>
      <c r="X709" s="1"/>
      <c r="Z709" s="8"/>
    </row>
    <row r="710" spans="1:26" x14ac:dyDescent="0.2">
      <c r="A710" s="12">
        <f t="shared" si="22"/>
        <v>698</v>
      </c>
      <c r="E710" s="10" t="str">
        <f t="shared" si="21"/>
        <v/>
      </c>
      <c r="I710" s="53"/>
      <c r="N710" s="8">
        <v>0</v>
      </c>
      <c r="Q710" s="1"/>
      <c r="R710" s="1"/>
      <c r="S710" s="1"/>
      <c r="T710" s="8"/>
      <c r="U710" s="8"/>
      <c r="V710" s="1"/>
      <c r="W710" s="1"/>
      <c r="X710" s="1"/>
      <c r="Z710" s="8"/>
    </row>
    <row r="711" spans="1:26" x14ac:dyDescent="0.2">
      <c r="A711" s="12">
        <f t="shared" si="22"/>
        <v>699</v>
      </c>
      <c r="E711" s="10" t="str">
        <f t="shared" si="21"/>
        <v/>
      </c>
      <c r="I711" s="53"/>
      <c r="N711" s="8">
        <v>0</v>
      </c>
      <c r="Q711" s="1"/>
      <c r="R711" s="1"/>
      <c r="S711" s="1"/>
      <c r="T711" s="8"/>
      <c r="U711" s="8"/>
      <c r="V711" s="1"/>
      <c r="W711" s="1"/>
      <c r="X711" s="1"/>
      <c r="Z711" s="8"/>
    </row>
    <row r="712" spans="1:26" x14ac:dyDescent="0.2">
      <c r="A712" s="12">
        <f t="shared" si="22"/>
        <v>700</v>
      </c>
      <c r="E712" s="10" t="str">
        <f t="shared" si="21"/>
        <v/>
      </c>
      <c r="I712" s="53"/>
      <c r="N712" s="8">
        <v>0</v>
      </c>
      <c r="Q712" s="1"/>
      <c r="R712" s="1"/>
      <c r="S712" s="1"/>
      <c r="T712" s="8"/>
      <c r="U712" s="8"/>
      <c r="V712" s="1"/>
      <c r="W712" s="1"/>
      <c r="X712" s="1"/>
      <c r="Z712" s="8"/>
    </row>
    <row r="713" spans="1:26" x14ac:dyDescent="0.2">
      <c r="A713" s="12">
        <f t="shared" si="22"/>
        <v>701</v>
      </c>
      <c r="E713" s="10" t="str">
        <f t="shared" si="21"/>
        <v/>
      </c>
      <c r="I713" s="53"/>
      <c r="N713" s="8">
        <v>0</v>
      </c>
      <c r="Q713" s="1"/>
      <c r="R713" s="1"/>
      <c r="S713" s="1"/>
      <c r="T713" s="8"/>
      <c r="U713" s="8"/>
      <c r="V713" s="1"/>
      <c r="W713" s="1"/>
      <c r="X713" s="1"/>
      <c r="Z713" s="8"/>
    </row>
    <row r="714" spans="1:26" x14ac:dyDescent="0.2">
      <c r="A714" s="12">
        <f t="shared" si="22"/>
        <v>702</v>
      </c>
      <c r="E714" s="10" t="str">
        <f t="shared" si="21"/>
        <v/>
      </c>
      <c r="I714" s="53"/>
      <c r="N714" s="8">
        <v>0</v>
      </c>
      <c r="Q714" s="1"/>
      <c r="R714" s="1"/>
      <c r="S714" s="1"/>
      <c r="T714" s="8"/>
      <c r="U714" s="8"/>
      <c r="V714" s="1"/>
      <c r="W714" s="1"/>
      <c r="X714" s="1"/>
      <c r="Z714" s="8"/>
    </row>
    <row r="715" spans="1:26" x14ac:dyDescent="0.2">
      <c r="A715" s="12">
        <f t="shared" si="22"/>
        <v>703</v>
      </c>
      <c r="E715" s="10" t="str">
        <f t="shared" si="21"/>
        <v/>
      </c>
      <c r="I715" s="53"/>
      <c r="N715" s="8">
        <v>0</v>
      </c>
      <c r="Q715" s="1"/>
      <c r="R715" s="1"/>
      <c r="S715" s="1"/>
      <c r="T715" s="8"/>
      <c r="U715" s="8"/>
      <c r="V715" s="1"/>
      <c r="W715" s="1"/>
      <c r="X715" s="1"/>
      <c r="Z715" s="8"/>
    </row>
    <row r="716" spans="1:26" x14ac:dyDescent="0.2">
      <c r="A716" s="12">
        <f t="shared" si="22"/>
        <v>704</v>
      </c>
      <c r="E716" s="10" t="str">
        <f t="shared" si="21"/>
        <v/>
      </c>
      <c r="I716" s="53"/>
      <c r="N716" s="8">
        <v>0</v>
      </c>
      <c r="Q716" s="1"/>
      <c r="R716" s="1"/>
      <c r="S716" s="1"/>
      <c r="T716" s="8"/>
      <c r="U716" s="8"/>
      <c r="V716" s="1"/>
      <c r="W716" s="1"/>
      <c r="X716" s="1"/>
      <c r="Z716" s="8"/>
    </row>
    <row r="717" spans="1:26" x14ac:dyDescent="0.2">
      <c r="A717" s="12">
        <f t="shared" si="22"/>
        <v>705</v>
      </c>
      <c r="E717" s="10" t="str">
        <f t="shared" ref="E717:E780" si="23">IF($C$8&gt;=A717,$E$1&amp;" "&amp;A717,"")</f>
        <v/>
      </c>
      <c r="I717" s="53"/>
      <c r="N717" s="8">
        <v>0</v>
      </c>
      <c r="Q717" s="1"/>
      <c r="R717" s="1"/>
      <c r="S717" s="1"/>
      <c r="T717" s="8"/>
      <c r="U717" s="8"/>
      <c r="V717" s="1"/>
      <c r="W717" s="1"/>
      <c r="X717" s="1"/>
      <c r="Z717" s="8"/>
    </row>
    <row r="718" spans="1:26" x14ac:dyDescent="0.2">
      <c r="A718" s="12">
        <f t="shared" si="22"/>
        <v>706</v>
      </c>
      <c r="E718" s="10" t="str">
        <f t="shared" si="23"/>
        <v/>
      </c>
      <c r="I718" s="53"/>
      <c r="N718" s="8">
        <v>0</v>
      </c>
      <c r="Q718" s="1"/>
      <c r="R718" s="1"/>
      <c r="S718" s="1"/>
      <c r="T718" s="8"/>
      <c r="U718" s="8"/>
      <c r="V718" s="1"/>
      <c r="W718" s="1"/>
      <c r="X718" s="1"/>
      <c r="Z718" s="8"/>
    </row>
    <row r="719" spans="1:26" x14ac:dyDescent="0.2">
      <c r="A719" s="12">
        <f t="shared" ref="A719:A782" si="24">A718+1</f>
        <v>707</v>
      </c>
      <c r="E719" s="10" t="str">
        <f t="shared" si="23"/>
        <v/>
      </c>
      <c r="I719" s="53"/>
      <c r="N719" s="8">
        <v>0</v>
      </c>
      <c r="Q719" s="1"/>
      <c r="R719" s="1"/>
      <c r="S719" s="1"/>
      <c r="T719" s="8"/>
      <c r="U719" s="8"/>
      <c r="V719" s="1"/>
      <c r="W719" s="1"/>
      <c r="X719" s="1"/>
      <c r="Z719" s="8"/>
    </row>
    <row r="720" spans="1:26" x14ac:dyDescent="0.2">
      <c r="A720" s="12">
        <f t="shared" si="24"/>
        <v>708</v>
      </c>
      <c r="E720" s="10" t="str">
        <f t="shared" si="23"/>
        <v/>
      </c>
      <c r="I720" s="53"/>
      <c r="N720" s="8">
        <v>0</v>
      </c>
      <c r="Q720" s="1"/>
      <c r="R720" s="1"/>
      <c r="S720" s="1"/>
      <c r="T720" s="8"/>
      <c r="U720" s="8"/>
      <c r="V720" s="1"/>
      <c r="W720" s="1"/>
      <c r="X720" s="1"/>
      <c r="Z720" s="8"/>
    </row>
    <row r="721" spans="1:26" x14ac:dyDescent="0.2">
      <c r="A721" s="12">
        <f t="shared" si="24"/>
        <v>709</v>
      </c>
      <c r="E721" s="10" t="str">
        <f t="shared" si="23"/>
        <v/>
      </c>
      <c r="I721" s="53"/>
      <c r="N721" s="8">
        <v>0</v>
      </c>
      <c r="Q721" s="1"/>
      <c r="R721" s="1"/>
      <c r="S721" s="1"/>
      <c r="T721" s="8"/>
      <c r="U721" s="8"/>
      <c r="V721" s="1"/>
      <c r="W721" s="1"/>
      <c r="X721" s="1"/>
      <c r="Z721" s="8"/>
    </row>
    <row r="722" spans="1:26" x14ac:dyDescent="0.2">
      <c r="A722" s="12">
        <f t="shared" si="24"/>
        <v>710</v>
      </c>
      <c r="E722" s="10" t="str">
        <f t="shared" si="23"/>
        <v/>
      </c>
      <c r="I722" s="53"/>
      <c r="N722" s="8">
        <v>0</v>
      </c>
      <c r="Q722" s="1"/>
      <c r="R722" s="1"/>
      <c r="S722" s="1"/>
      <c r="T722" s="8"/>
      <c r="U722" s="8"/>
      <c r="V722" s="1"/>
      <c r="W722" s="1"/>
      <c r="X722" s="1"/>
      <c r="Z722" s="8"/>
    </row>
    <row r="723" spans="1:26" x14ac:dyDescent="0.2">
      <c r="A723" s="12">
        <f t="shared" si="24"/>
        <v>711</v>
      </c>
      <c r="E723" s="10" t="str">
        <f t="shared" si="23"/>
        <v/>
      </c>
      <c r="I723" s="53"/>
      <c r="N723" s="8">
        <v>0</v>
      </c>
      <c r="Q723" s="1"/>
      <c r="R723" s="1"/>
      <c r="S723" s="1"/>
      <c r="T723" s="8"/>
      <c r="U723" s="8"/>
      <c r="V723" s="1"/>
      <c r="W723" s="1"/>
      <c r="X723" s="1"/>
      <c r="Z723" s="8"/>
    </row>
    <row r="724" spans="1:26" x14ac:dyDescent="0.2">
      <c r="A724" s="12">
        <f t="shared" si="24"/>
        <v>712</v>
      </c>
      <c r="E724" s="10" t="str">
        <f t="shared" si="23"/>
        <v/>
      </c>
      <c r="I724" s="53"/>
      <c r="N724" s="8">
        <v>0</v>
      </c>
      <c r="Q724" s="1"/>
      <c r="R724" s="1"/>
      <c r="S724" s="1"/>
      <c r="T724" s="8"/>
      <c r="U724" s="8"/>
      <c r="V724" s="1"/>
      <c r="W724" s="1"/>
      <c r="X724" s="1"/>
      <c r="Z724" s="8"/>
    </row>
    <row r="725" spans="1:26" x14ac:dyDescent="0.2">
      <c r="A725" s="12">
        <f t="shared" si="24"/>
        <v>713</v>
      </c>
      <c r="E725" s="10" t="str">
        <f t="shared" si="23"/>
        <v/>
      </c>
      <c r="I725" s="53"/>
      <c r="N725" s="8">
        <v>0</v>
      </c>
      <c r="Q725" s="1"/>
      <c r="R725" s="1"/>
      <c r="S725" s="1"/>
      <c r="T725" s="8"/>
      <c r="U725" s="8"/>
      <c r="V725" s="1"/>
      <c r="W725" s="1"/>
      <c r="X725" s="1"/>
      <c r="Z725" s="8"/>
    </row>
    <row r="726" spans="1:26" x14ac:dyDescent="0.2">
      <c r="A726" s="12">
        <f t="shared" si="24"/>
        <v>714</v>
      </c>
      <c r="E726" s="10" t="str">
        <f t="shared" si="23"/>
        <v/>
      </c>
      <c r="I726" s="53"/>
      <c r="N726" s="8">
        <v>0</v>
      </c>
      <c r="Q726" s="1"/>
      <c r="R726" s="1"/>
      <c r="S726" s="1"/>
      <c r="T726" s="8"/>
      <c r="U726" s="8"/>
      <c r="V726" s="1"/>
      <c r="W726" s="1"/>
      <c r="X726" s="1"/>
      <c r="Z726" s="8"/>
    </row>
    <row r="727" spans="1:26" x14ac:dyDescent="0.2">
      <c r="A727" s="12">
        <f t="shared" si="24"/>
        <v>715</v>
      </c>
      <c r="E727" s="10" t="str">
        <f t="shared" si="23"/>
        <v/>
      </c>
      <c r="I727" s="53"/>
      <c r="N727" s="8">
        <v>0</v>
      </c>
      <c r="Q727" s="1"/>
      <c r="R727" s="1"/>
      <c r="S727" s="1"/>
      <c r="T727" s="8"/>
      <c r="U727" s="8"/>
      <c r="V727" s="1"/>
      <c r="W727" s="1"/>
      <c r="X727" s="1"/>
      <c r="Z727" s="8"/>
    </row>
    <row r="728" spans="1:26" x14ac:dyDescent="0.2">
      <c r="A728" s="12">
        <f t="shared" si="24"/>
        <v>716</v>
      </c>
      <c r="E728" s="10" t="str">
        <f t="shared" si="23"/>
        <v/>
      </c>
      <c r="I728" s="53"/>
      <c r="N728" s="8">
        <v>0</v>
      </c>
      <c r="Q728" s="1"/>
      <c r="R728" s="1"/>
      <c r="S728" s="1"/>
      <c r="T728" s="8"/>
      <c r="U728" s="8"/>
      <c r="V728" s="1"/>
      <c r="W728" s="1"/>
      <c r="X728" s="1"/>
      <c r="Z728" s="8"/>
    </row>
    <row r="729" spans="1:26" x14ac:dyDescent="0.2">
      <c r="A729" s="12">
        <f t="shared" si="24"/>
        <v>717</v>
      </c>
      <c r="E729" s="10" t="str">
        <f t="shared" si="23"/>
        <v/>
      </c>
      <c r="I729" s="53"/>
      <c r="N729" s="8">
        <v>0</v>
      </c>
      <c r="Q729" s="1"/>
      <c r="R729" s="1"/>
      <c r="S729" s="1"/>
      <c r="T729" s="8"/>
      <c r="U729" s="8"/>
      <c r="V729" s="1"/>
      <c r="W729" s="1"/>
      <c r="X729" s="1"/>
      <c r="Z729" s="8"/>
    </row>
    <row r="730" spans="1:26" x14ac:dyDescent="0.2">
      <c r="A730" s="12">
        <f t="shared" si="24"/>
        <v>718</v>
      </c>
      <c r="E730" s="10" t="str">
        <f t="shared" si="23"/>
        <v/>
      </c>
      <c r="I730" s="53"/>
      <c r="N730" s="8">
        <v>0</v>
      </c>
      <c r="Q730" s="1"/>
      <c r="R730" s="1"/>
      <c r="S730" s="1"/>
      <c r="T730" s="8"/>
      <c r="U730" s="8"/>
      <c r="V730" s="1"/>
      <c r="W730" s="1"/>
      <c r="X730" s="1"/>
      <c r="Z730" s="8"/>
    </row>
    <row r="731" spans="1:26" x14ac:dyDescent="0.2">
      <c r="A731" s="12">
        <f t="shared" si="24"/>
        <v>719</v>
      </c>
      <c r="E731" s="10" t="str">
        <f t="shared" si="23"/>
        <v/>
      </c>
      <c r="I731" s="53"/>
      <c r="N731" s="8">
        <v>0</v>
      </c>
      <c r="Q731" s="1"/>
      <c r="R731" s="1"/>
      <c r="S731" s="1"/>
      <c r="T731" s="8"/>
      <c r="U731" s="8"/>
      <c r="V731" s="1"/>
      <c r="W731" s="1"/>
      <c r="X731" s="1"/>
      <c r="Z731" s="8"/>
    </row>
    <row r="732" spans="1:26" x14ac:dyDescent="0.2">
      <c r="A732" s="12">
        <f t="shared" si="24"/>
        <v>720</v>
      </c>
      <c r="E732" s="10" t="str">
        <f t="shared" si="23"/>
        <v/>
      </c>
      <c r="I732" s="53"/>
      <c r="N732" s="8">
        <v>0</v>
      </c>
      <c r="Q732" s="1"/>
      <c r="R732" s="1"/>
      <c r="S732" s="1"/>
      <c r="T732" s="8"/>
      <c r="U732" s="8"/>
      <c r="V732" s="1"/>
      <c r="W732" s="1"/>
      <c r="X732" s="1"/>
      <c r="Z732" s="8"/>
    </row>
    <row r="733" spans="1:26" x14ac:dyDescent="0.2">
      <c r="A733" s="12">
        <f t="shared" si="24"/>
        <v>721</v>
      </c>
      <c r="E733" s="10" t="str">
        <f t="shared" si="23"/>
        <v/>
      </c>
      <c r="I733" s="53"/>
      <c r="N733" s="8">
        <v>0</v>
      </c>
      <c r="Q733" s="1"/>
      <c r="R733" s="1"/>
      <c r="S733" s="1"/>
      <c r="T733" s="8"/>
      <c r="U733" s="8"/>
      <c r="V733" s="1"/>
      <c r="W733" s="1"/>
      <c r="X733" s="1"/>
      <c r="Z733" s="8"/>
    </row>
    <row r="734" spans="1:26" x14ac:dyDescent="0.2">
      <c r="A734" s="12">
        <f t="shared" si="24"/>
        <v>722</v>
      </c>
      <c r="E734" s="10" t="str">
        <f t="shared" si="23"/>
        <v/>
      </c>
      <c r="I734" s="53"/>
      <c r="N734" s="8">
        <v>0</v>
      </c>
      <c r="Q734" s="1"/>
      <c r="R734" s="1"/>
      <c r="S734" s="1"/>
      <c r="T734" s="8"/>
      <c r="U734" s="8"/>
      <c r="V734" s="1"/>
      <c r="W734" s="1"/>
      <c r="X734" s="1"/>
      <c r="Z734" s="8"/>
    </row>
    <row r="735" spans="1:26" x14ac:dyDescent="0.2">
      <c r="A735" s="12">
        <f t="shared" si="24"/>
        <v>723</v>
      </c>
      <c r="E735" s="10" t="str">
        <f t="shared" si="23"/>
        <v/>
      </c>
      <c r="I735" s="53"/>
      <c r="N735" s="8">
        <v>0</v>
      </c>
      <c r="Q735" s="1"/>
      <c r="R735" s="1"/>
      <c r="S735" s="1"/>
      <c r="T735" s="8"/>
      <c r="U735" s="8"/>
      <c r="V735" s="1"/>
      <c r="W735" s="1"/>
      <c r="X735" s="1"/>
      <c r="Z735" s="8"/>
    </row>
    <row r="736" spans="1:26" x14ac:dyDescent="0.2">
      <c r="A736" s="12">
        <f t="shared" si="24"/>
        <v>724</v>
      </c>
      <c r="E736" s="10" t="str">
        <f t="shared" si="23"/>
        <v/>
      </c>
      <c r="I736" s="53"/>
      <c r="N736" s="8">
        <v>0</v>
      </c>
      <c r="Q736" s="1"/>
      <c r="R736" s="1"/>
      <c r="S736" s="1"/>
      <c r="T736" s="8"/>
      <c r="U736" s="8"/>
      <c r="V736" s="1"/>
      <c r="W736" s="1"/>
      <c r="X736" s="1"/>
      <c r="Z736" s="8"/>
    </row>
    <row r="737" spans="1:26" x14ac:dyDescent="0.2">
      <c r="A737" s="12">
        <f t="shared" si="24"/>
        <v>725</v>
      </c>
      <c r="E737" s="10" t="str">
        <f t="shared" si="23"/>
        <v/>
      </c>
      <c r="I737" s="53"/>
      <c r="N737" s="8">
        <v>0</v>
      </c>
      <c r="Q737" s="1"/>
      <c r="R737" s="1"/>
      <c r="S737" s="1"/>
      <c r="T737" s="8"/>
      <c r="U737" s="8"/>
      <c r="V737" s="1"/>
      <c r="W737" s="1"/>
      <c r="X737" s="1"/>
      <c r="Z737" s="8"/>
    </row>
    <row r="738" spans="1:26" x14ac:dyDescent="0.2">
      <c r="A738" s="12">
        <f t="shared" si="24"/>
        <v>726</v>
      </c>
      <c r="E738" s="10" t="str">
        <f t="shared" si="23"/>
        <v/>
      </c>
      <c r="I738" s="53"/>
      <c r="N738" s="8">
        <v>0</v>
      </c>
      <c r="Q738" s="1"/>
      <c r="R738" s="1"/>
      <c r="S738" s="1"/>
      <c r="T738" s="8"/>
      <c r="U738" s="8"/>
      <c r="V738" s="1"/>
      <c r="W738" s="1"/>
      <c r="X738" s="1"/>
      <c r="Z738" s="8"/>
    </row>
    <row r="739" spans="1:26" x14ac:dyDescent="0.2">
      <c r="A739" s="12">
        <f t="shared" si="24"/>
        <v>727</v>
      </c>
      <c r="E739" s="10" t="str">
        <f t="shared" si="23"/>
        <v/>
      </c>
      <c r="I739" s="53"/>
      <c r="N739" s="8">
        <v>0</v>
      </c>
      <c r="Q739" s="1"/>
      <c r="R739" s="1"/>
      <c r="S739" s="1"/>
      <c r="T739" s="8"/>
      <c r="U739" s="8"/>
      <c r="V739" s="1"/>
      <c r="W739" s="1"/>
      <c r="X739" s="1"/>
      <c r="Z739" s="8"/>
    </row>
    <row r="740" spans="1:26" x14ac:dyDescent="0.2">
      <c r="A740" s="12">
        <f t="shared" si="24"/>
        <v>728</v>
      </c>
      <c r="E740" s="10" t="str">
        <f t="shared" si="23"/>
        <v/>
      </c>
      <c r="I740" s="53"/>
      <c r="N740" s="8">
        <v>0</v>
      </c>
      <c r="Q740" s="1"/>
      <c r="R740" s="1"/>
      <c r="S740" s="1"/>
      <c r="T740" s="8"/>
      <c r="U740" s="8"/>
      <c r="V740" s="1"/>
      <c r="W740" s="1"/>
      <c r="X740" s="1"/>
      <c r="Z740" s="8"/>
    </row>
    <row r="741" spans="1:26" x14ac:dyDescent="0.2">
      <c r="A741" s="12">
        <f t="shared" si="24"/>
        <v>729</v>
      </c>
      <c r="E741" s="10" t="str">
        <f t="shared" si="23"/>
        <v/>
      </c>
      <c r="I741" s="53"/>
      <c r="N741" s="8">
        <v>0</v>
      </c>
      <c r="Q741" s="1"/>
      <c r="R741" s="1"/>
      <c r="S741" s="1"/>
      <c r="T741" s="8"/>
      <c r="U741" s="8"/>
      <c r="V741" s="1"/>
      <c r="W741" s="1"/>
      <c r="X741" s="1"/>
      <c r="Z741" s="8"/>
    </row>
    <row r="742" spans="1:26" x14ac:dyDescent="0.2">
      <c r="A742" s="12">
        <f t="shared" si="24"/>
        <v>730</v>
      </c>
      <c r="E742" s="10" t="str">
        <f t="shared" si="23"/>
        <v/>
      </c>
      <c r="I742" s="53"/>
      <c r="N742" s="8">
        <v>0</v>
      </c>
      <c r="Q742" s="1"/>
      <c r="R742" s="1"/>
      <c r="S742" s="1"/>
      <c r="T742" s="8"/>
      <c r="U742" s="8"/>
      <c r="V742" s="1"/>
      <c r="W742" s="1"/>
      <c r="X742" s="1"/>
      <c r="Z742" s="8"/>
    </row>
    <row r="743" spans="1:26" x14ac:dyDescent="0.2">
      <c r="A743" s="12">
        <f t="shared" si="24"/>
        <v>731</v>
      </c>
      <c r="E743" s="10" t="str">
        <f t="shared" si="23"/>
        <v/>
      </c>
      <c r="I743" s="53"/>
      <c r="N743" s="8">
        <v>0</v>
      </c>
      <c r="Q743" s="1"/>
      <c r="R743" s="1"/>
      <c r="S743" s="1"/>
      <c r="T743" s="8"/>
      <c r="U743" s="8"/>
      <c r="V743" s="1"/>
      <c r="W743" s="1"/>
      <c r="X743" s="1"/>
      <c r="Z743" s="8"/>
    </row>
    <row r="744" spans="1:26" x14ac:dyDescent="0.2">
      <c r="A744" s="12">
        <f t="shared" si="24"/>
        <v>732</v>
      </c>
      <c r="E744" s="10" t="str">
        <f t="shared" si="23"/>
        <v/>
      </c>
      <c r="I744" s="53"/>
      <c r="N744" s="8">
        <v>0</v>
      </c>
      <c r="Q744" s="1"/>
      <c r="R744" s="1"/>
      <c r="S744" s="1"/>
      <c r="T744" s="8"/>
      <c r="U744" s="8"/>
      <c r="V744" s="1"/>
      <c r="W744" s="1"/>
      <c r="X744" s="1"/>
      <c r="Z744" s="8"/>
    </row>
    <row r="745" spans="1:26" x14ac:dyDescent="0.2">
      <c r="A745" s="12">
        <f t="shared" si="24"/>
        <v>733</v>
      </c>
      <c r="E745" s="10" t="str">
        <f t="shared" si="23"/>
        <v/>
      </c>
      <c r="I745" s="53"/>
      <c r="N745" s="8">
        <v>0</v>
      </c>
      <c r="Q745" s="1"/>
      <c r="R745" s="1"/>
      <c r="S745" s="1"/>
      <c r="T745" s="8"/>
      <c r="U745" s="8"/>
      <c r="V745" s="1"/>
      <c r="W745" s="1"/>
      <c r="X745" s="1"/>
      <c r="Z745" s="8"/>
    </row>
    <row r="746" spans="1:26" x14ac:dyDescent="0.2">
      <c r="A746" s="12">
        <f t="shared" si="24"/>
        <v>734</v>
      </c>
      <c r="E746" s="10" t="str">
        <f t="shared" si="23"/>
        <v/>
      </c>
      <c r="I746" s="53"/>
      <c r="N746" s="8">
        <v>0</v>
      </c>
      <c r="Q746" s="1"/>
      <c r="R746" s="1"/>
      <c r="S746" s="1"/>
      <c r="T746" s="8"/>
      <c r="U746" s="8"/>
      <c r="V746" s="1"/>
      <c r="W746" s="1"/>
      <c r="X746" s="1"/>
      <c r="Z746" s="8"/>
    </row>
    <row r="747" spans="1:26" x14ac:dyDescent="0.2">
      <c r="A747" s="12">
        <f t="shared" si="24"/>
        <v>735</v>
      </c>
      <c r="E747" s="10" t="str">
        <f t="shared" si="23"/>
        <v/>
      </c>
      <c r="I747" s="53"/>
      <c r="N747" s="8">
        <v>0</v>
      </c>
      <c r="Q747" s="1"/>
      <c r="R747" s="1"/>
      <c r="S747" s="1"/>
      <c r="T747" s="8"/>
      <c r="U747" s="8"/>
      <c r="V747" s="1"/>
      <c r="W747" s="1"/>
      <c r="X747" s="1"/>
      <c r="Z747" s="8"/>
    </row>
    <row r="748" spans="1:26" x14ac:dyDescent="0.2">
      <c r="A748" s="12">
        <f t="shared" si="24"/>
        <v>736</v>
      </c>
      <c r="E748" s="10" t="str">
        <f t="shared" si="23"/>
        <v/>
      </c>
      <c r="I748" s="53"/>
      <c r="N748" s="8">
        <v>0</v>
      </c>
      <c r="Q748" s="1"/>
      <c r="R748" s="1"/>
      <c r="S748" s="1"/>
      <c r="T748" s="8"/>
      <c r="U748" s="8"/>
      <c r="V748" s="1"/>
      <c r="W748" s="1"/>
      <c r="X748" s="1"/>
      <c r="Z748" s="8"/>
    </row>
    <row r="749" spans="1:26" x14ac:dyDescent="0.2">
      <c r="A749" s="12">
        <f t="shared" si="24"/>
        <v>737</v>
      </c>
      <c r="E749" s="10" t="str">
        <f t="shared" si="23"/>
        <v/>
      </c>
      <c r="I749" s="53"/>
      <c r="N749" s="8">
        <v>0</v>
      </c>
      <c r="Q749" s="1"/>
      <c r="R749" s="1"/>
      <c r="S749" s="1"/>
      <c r="T749" s="8"/>
      <c r="U749" s="8"/>
      <c r="V749" s="1"/>
      <c r="W749" s="1"/>
      <c r="X749" s="1"/>
      <c r="Z749" s="8"/>
    </row>
    <row r="750" spans="1:26" x14ac:dyDescent="0.2">
      <c r="A750" s="12">
        <f t="shared" si="24"/>
        <v>738</v>
      </c>
      <c r="E750" s="10" t="str">
        <f t="shared" si="23"/>
        <v/>
      </c>
      <c r="I750" s="53"/>
      <c r="N750" s="8">
        <v>0</v>
      </c>
      <c r="Q750" s="1"/>
      <c r="R750" s="1"/>
      <c r="S750" s="1"/>
      <c r="T750" s="8"/>
      <c r="U750" s="8"/>
      <c r="V750" s="1"/>
      <c r="W750" s="1"/>
      <c r="X750" s="1"/>
      <c r="Z750" s="8"/>
    </row>
    <row r="751" spans="1:26" x14ac:dyDescent="0.2">
      <c r="A751" s="12">
        <f t="shared" si="24"/>
        <v>739</v>
      </c>
      <c r="E751" s="10" t="str">
        <f t="shared" si="23"/>
        <v/>
      </c>
      <c r="I751" s="53"/>
      <c r="N751" s="8">
        <v>0</v>
      </c>
      <c r="Q751" s="1"/>
      <c r="R751" s="1"/>
      <c r="S751" s="1"/>
      <c r="T751" s="8"/>
      <c r="U751" s="8"/>
      <c r="V751" s="1"/>
      <c r="W751" s="1"/>
      <c r="X751" s="1"/>
      <c r="Z751" s="8"/>
    </row>
    <row r="752" spans="1:26" x14ac:dyDescent="0.2">
      <c r="A752" s="12">
        <f t="shared" si="24"/>
        <v>740</v>
      </c>
      <c r="E752" s="10" t="str">
        <f t="shared" si="23"/>
        <v/>
      </c>
      <c r="I752" s="53"/>
      <c r="N752" s="8">
        <v>0</v>
      </c>
      <c r="Q752" s="1"/>
      <c r="R752" s="1"/>
      <c r="S752" s="1"/>
      <c r="T752" s="8"/>
      <c r="U752" s="8"/>
      <c r="V752" s="1"/>
      <c r="W752" s="1"/>
      <c r="X752" s="1"/>
      <c r="Z752" s="8"/>
    </row>
    <row r="753" spans="1:26" x14ac:dyDescent="0.2">
      <c r="A753" s="12">
        <f t="shared" si="24"/>
        <v>741</v>
      </c>
      <c r="E753" s="10" t="str">
        <f t="shared" si="23"/>
        <v/>
      </c>
      <c r="I753" s="53"/>
      <c r="N753" s="8">
        <v>0</v>
      </c>
      <c r="Q753" s="1"/>
      <c r="R753" s="1"/>
      <c r="S753" s="1"/>
      <c r="T753" s="8"/>
      <c r="U753" s="8"/>
      <c r="V753" s="1"/>
      <c r="W753" s="1"/>
      <c r="X753" s="1"/>
      <c r="Z753" s="8"/>
    </row>
    <row r="754" spans="1:26" x14ac:dyDescent="0.2">
      <c r="A754" s="12">
        <f t="shared" si="24"/>
        <v>742</v>
      </c>
      <c r="E754" s="10" t="str">
        <f t="shared" si="23"/>
        <v/>
      </c>
      <c r="I754" s="53"/>
      <c r="N754" s="8">
        <v>0</v>
      </c>
      <c r="Q754" s="1"/>
      <c r="R754" s="1"/>
      <c r="S754" s="1"/>
      <c r="T754" s="8"/>
      <c r="U754" s="8"/>
      <c r="V754" s="1"/>
      <c r="W754" s="1"/>
      <c r="X754" s="1"/>
      <c r="Z754" s="8"/>
    </row>
    <row r="755" spans="1:26" x14ac:dyDescent="0.2">
      <c r="A755" s="12">
        <f t="shared" si="24"/>
        <v>743</v>
      </c>
      <c r="E755" s="10" t="str">
        <f t="shared" si="23"/>
        <v/>
      </c>
      <c r="I755" s="53"/>
      <c r="N755" s="8">
        <v>0</v>
      </c>
      <c r="Q755" s="1"/>
      <c r="R755" s="1"/>
      <c r="S755" s="1"/>
      <c r="T755" s="8"/>
      <c r="U755" s="8"/>
      <c r="V755" s="1"/>
      <c r="W755" s="1"/>
      <c r="X755" s="1"/>
      <c r="Z755" s="8"/>
    </row>
    <row r="756" spans="1:26" x14ac:dyDescent="0.2">
      <c r="A756" s="12">
        <f t="shared" si="24"/>
        <v>744</v>
      </c>
      <c r="E756" s="10" t="str">
        <f t="shared" si="23"/>
        <v/>
      </c>
      <c r="I756" s="53"/>
      <c r="N756" s="8">
        <v>0</v>
      </c>
      <c r="Q756" s="1"/>
      <c r="R756" s="1"/>
      <c r="S756" s="1"/>
      <c r="T756" s="8"/>
      <c r="U756" s="8"/>
      <c r="V756" s="1"/>
      <c r="W756" s="1"/>
      <c r="X756" s="1"/>
      <c r="Z756" s="8"/>
    </row>
    <row r="757" spans="1:26" x14ac:dyDescent="0.2">
      <c r="A757" s="12">
        <f t="shared" si="24"/>
        <v>745</v>
      </c>
      <c r="E757" s="10" t="str">
        <f t="shared" si="23"/>
        <v/>
      </c>
      <c r="I757" s="53"/>
      <c r="N757" s="8">
        <v>0</v>
      </c>
      <c r="Q757" s="1"/>
      <c r="R757" s="1"/>
      <c r="S757" s="1"/>
      <c r="T757" s="8"/>
      <c r="U757" s="8"/>
      <c r="V757" s="1"/>
      <c r="W757" s="1"/>
      <c r="X757" s="1"/>
      <c r="Z757" s="8"/>
    </row>
    <row r="758" spans="1:26" x14ac:dyDescent="0.2">
      <c r="A758" s="12">
        <f t="shared" si="24"/>
        <v>746</v>
      </c>
      <c r="E758" s="10" t="str">
        <f t="shared" si="23"/>
        <v/>
      </c>
      <c r="I758" s="53"/>
      <c r="N758" s="8">
        <v>0</v>
      </c>
      <c r="Q758" s="1"/>
      <c r="R758" s="1"/>
      <c r="S758" s="1"/>
      <c r="T758" s="8"/>
      <c r="U758" s="8"/>
      <c r="V758" s="1"/>
      <c r="W758" s="1"/>
      <c r="X758" s="1"/>
      <c r="Z758" s="8"/>
    </row>
    <row r="759" spans="1:26" x14ac:dyDescent="0.2">
      <c r="A759" s="12">
        <f t="shared" si="24"/>
        <v>747</v>
      </c>
      <c r="E759" s="10" t="str">
        <f t="shared" si="23"/>
        <v/>
      </c>
      <c r="I759" s="53"/>
      <c r="N759" s="8">
        <v>0</v>
      </c>
      <c r="Q759" s="1"/>
      <c r="R759" s="1"/>
      <c r="S759" s="1"/>
      <c r="T759" s="8"/>
      <c r="U759" s="8"/>
      <c r="V759" s="1"/>
      <c r="W759" s="1"/>
      <c r="X759" s="1"/>
      <c r="Z759" s="8"/>
    </row>
    <row r="760" spans="1:26" x14ac:dyDescent="0.2">
      <c r="A760" s="12">
        <f t="shared" si="24"/>
        <v>748</v>
      </c>
      <c r="E760" s="10" t="str">
        <f t="shared" si="23"/>
        <v/>
      </c>
      <c r="I760" s="53"/>
      <c r="N760" s="8">
        <v>0</v>
      </c>
      <c r="Q760" s="1"/>
      <c r="R760" s="1"/>
      <c r="S760" s="1"/>
      <c r="T760" s="8"/>
      <c r="U760" s="8"/>
      <c r="V760" s="1"/>
      <c r="W760" s="1"/>
      <c r="X760" s="1"/>
      <c r="Z760" s="8"/>
    </row>
    <row r="761" spans="1:26" x14ac:dyDescent="0.2">
      <c r="A761" s="12">
        <f t="shared" si="24"/>
        <v>749</v>
      </c>
      <c r="E761" s="10" t="str">
        <f t="shared" si="23"/>
        <v/>
      </c>
      <c r="I761" s="53"/>
      <c r="N761" s="8">
        <v>0</v>
      </c>
      <c r="Q761" s="1"/>
      <c r="R761" s="1"/>
      <c r="S761" s="1"/>
      <c r="T761" s="8"/>
      <c r="U761" s="8"/>
      <c r="V761" s="1"/>
      <c r="W761" s="1"/>
      <c r="X761" s="1"/>
      <c r="Z761" s="8"/>
    </row>
    <row r="762" spans="1:26" x14ac:dyDescent="0.2">
      <c r="A762" s="12">
        <f t="shared" si="24"/>
        <v>750</v>
      </c>
      <c r="E762" s="10" t="str">
        <f t="shared" si="23"/>
        <v/>
      </c>
      <c r="I762" s="53"/>
      <c r="N762" s="8">
        <v>0</v>
      </c>
      <c r="Q762" s="1"/>
      <c r="R762" s="1"/>
      <c r="S762" s="1"/>
      <c r="T762" s="8"/>
      <c r="U762" s="8"/>
      <c r="V762" s="1"/>
      <c r="W762" s="1"/>
      <c r="X762" s="1"/>
      <c r="Z762" s="8"/>
    </row>
    <row r="763" spans="1:26" x14ac:dyDescent="0.2">
      <c r="A763" s="12">
        <f t="shared" si="24"/>
        <v>751</v>
      </c>
      <c r="E763" s="10" t="str">
        <f t="shared" si="23"/>
        <v/>
      </c>
      <c r="I763" s="53"/>
      <c r="N763" s="8">
        <v>0</v>
      </c>
      <c r="Q763" s="1"/>
      <c r="R763" s="1"/>
      <c r="S763" s="1"/>
      <c r="T763" s="8"/>
      <c r="U763" s="8"/>
      <c r="V763" s="1"/>
      <c r="W763" s="1"/>
      <c r="X763" s="1"/>
      <c r="Z763" s="8"/>
    </row>
    <row r="764" spans="1:26" x14ac:dyDescent="0.2">
      <c r="A764" s="12">
        <f t="shared" si="24"/>
        <v>752</v>
      </c>
      <c r="E764" s="10" t="str">
        <f t="shared" si="23"/>
        <v/>
      </c>
      <c r="I764" s="53"/>
      <c r="N764" s="8">
        <v>0</v>
      </c>
      <c r="Q764" s="1"/>
      <c r="R764" s="1"/>
      <c r="S764" s="1"/>
      <c r="T764" s="8"/>
      <c r="U764" s="8"/>
      <c r="V764" s="1"/>
      <c r="W764" s="1"/>
      <c r="X764" s="1"/>
      <c r="Z764" s="8"/>
    </row>
    <row r="765" spans="1:26" x14ac:dyDescent="0.2">
      <c r="A765" s="12">
        <f t="shared" si="24"/>
        <v>753</v>
      </c>
      <c r="E765" s="10" t="str">
        <f t="shared" si="23"/>
        <v/>
      </c>
      <c r="I765" s="53"/>
      <c r="N765" s="8">
        <v>0</v>
      </c>
      <c r="Q765" s="1"/>
      <c r="R765" s="1"/>
      <c r="S765" s="1"/>
      <c r="T765" s="8"/>
      <c r="U765" s="8"/>
      <c r="V765" s="1"/>
      <c r="W765" s="1"/>
      <c r="X765" s="1"/>
      <c r="Z765" s="8"/>
    </row>
    <row r="766" spans="1:26" x14ac:dyDescent="0.2">
      <c r="A766" s="12">
        <f t="shared" si="24"/>
        <v>754</v>
      </c>
      <c r="E766" s="10" t="str">
        <f t="shared" si="23"/>
        <v/>
      </c>
      <c r="I766" s="53"/>
      <c r="N766" s="8">
        <v>0</v>
      </c>
      <c r="Q766" s="1"/>
      <c r="R766" s="1"/>
      <c r="S766" s="1"/>
      <c r="T766" s="8"/>
      <c r="U766" s="8"/>
      <c r="V766" s="1"/>
      <c r="W766" s="1"/>
      <c r="X766" s="1"/>
      <c r="Z766" s="8"/>
    </row>
    <row r="767" spans="1:26" x14ac:dyDescent="0.2">
      <c r="A767" s="12">
        <f t="shared" si="24"/>
        <v>755</v>
      </c>
      <c r="E767" s="10" t="str">
        <f t="shared" si="23"/>
        <v/>
      </c>
      <c r="I767" s="53"/>
      <c r="N767" s="8">
        <v>0</v>
      </c>
      <c r="Q767" s="1"/>
      <c r="R767" s="1"/>
      <c r="S767" s="1"/>
      <c r="T767" s="8"/>
      <c r="U767" s="8"/>
      <c r="V767" s="1"/>
      <c r="W767" s="1"/>
      <c r="X767" s="1"/>
      <c r="Z767" s="8"/>
    </row>
    <row r="768" spans="1:26" x14ac:dyDescent="0.2">
      <c r="A768" s="12">
        <f t="shared" si="24"/>
        <v>756</v>
      </c>
      <c r="E768" s="10" t="str">
        <f t="shared" si="23"/>
        <v/>
      </c>
      <c r="I768" s="53"/>
      <c r="N768" s="8">
        <v>0</v>
      </c>
      <c r="Q768" s="1"/>
      <c r="R768" s="1"/>
      <c r="S768" s="1"/>
      <c r="T768" s="8"/>
      <c r="U768" s="8"/>
      <c r="V768" s="1"/>
      <c r="W768" s="1"/>
      <c r="X768" s="1"/>
      <c r="Z768" s="8"/>
    </row>
    <row r="769" spans="1:26" x14ac:dyDescent="0.2">
      <c r="A769" s="12">
        <f t="shared" si="24"/>
        <v>757</v>
      </c>
      <c r="E769" s="10" t="str">
        <f t="shared" si="23"/>
        <v/>
      </c>
      <c r="I769" s="53"/>
      <c r="N769" s="8">
        <v>0</v>
      </c>
      <c r="Q769" s="1"/>
      <c r="R769" s="1"/>
      <c r="S769" s="1"/>
      <c r="T769" s="8"/>
      <c r="U769" s="8"/>
      <c r="V769" s="1"/>
      <c r="W769" s="1"/>
      <c r="X769" s="1"/>
      <c r="Z769" s="8"/>
    </row>
    <row r="770" spans="1:26" x14ac:dyDescent="0.2">
      <c r="A770" s="12">
        <f t="shared" si="24"/>
        <v>758</v>
      </c>
      <c r="E770" s="10" t="str">
        <f t="shared" si="23"/>
        <v/>
      </c>
      <c r="I770" s="53"/>
      <c r="N770" s="8">
        <v>0</v>
      </c>
      <c r="Q770" s="1"/>
      <c r="R770" s="1"/>
      <c r="S770" s="1"/>
      <c r="T770" s="8"/>
      <c r="U770" s="8"/>
      <c r="V770" s="1"/>
      <c r="W770" s="1"/>
      <c r="X770" s="1"/>
      <c r="Z770" s="8"/>
    </row>
    <row r="771" spans="1:26" x14ac:dyDescent="0.2">
      <c r="A771" s="12">
        <f t="shared" si="24"/>
        <v>759</v>
      </c>
      <c r="E771" s="10" t="str">
        <f t="shared" si="23"/>
        <v/>
      </c>
      <c r="I771" s="53"/>
      <c r="N771" s="8">
        <v>0</v>
      </c>
      <c r="Q771" s="1"/>
      <c r="R771" s="1"/>
      <c r="S771" s="1"/>
      <c r="T771" s="8"/>
      <c r="U771" s="8"/>
      <c r="V771" s="1"/>
      <c r="W771" s="1"/>
      <c r="X771" s="1"/>
      <c r="Z771" s="8"/>
    </row>
    <row r="772" spans="1:26" x14ac:dyDescent="0.2">
      <c r="A772" s="12">
        <f t="shared" si="24"/>
        <v>760</v>
      </c>
      <c r="E772" s="10" t="str">
        <f t="shared" si="23"/>
        <v/>
      </c>
      <c r="I772" s="53"/>
      <c r="N772" s="8">
        <v>0</v>
      </c>
      <c r="Q772" s="1"/>
      <c r="R772" s="1"/>
      <c r="S772" s="1"/>
      <c r="T772" s="8"/>
      <c r="U772" s="8"/>
      <c r="V772" s="1"/>
      <c r="W772" s="1"/>
      <c r="X772" s="1"/>
      <c r="Z772" s="8"/>
    </row>
    <row r="773" spans="1:26" x14ac:dyDescent="0.2">
      <c r="A773" s="12">
        <f t="shared" si="24"/>
        <v>761</v>
      </c>
      <c r="E773" s="10" t="str">
        <f t="shared" si="23"/>
        <v/>
      </c>
      <c r="I773" s="53"/>
      <c r="N773" s="8">
        <v>0</v>
      </c>
      <c r="Q773" s="1"/>
      <c r="R773" s="1"/>
      <c r="S773" s="1"/>
      <c r="T773" s="8"/>
      <c r="U773" s="8"/>
      <c r="V773" s="1"/>
      <c r="W773" s="1"/>
      <c r="X773" s="1"/>
      <c r="Z773" s="8"/>
    </row>
    <row r="774" spans="1:26" x14ac:dyDescent="0.2">
      <c r="A774" s="12">
        <f t="shared" si="24"/>
        <v>762</v>
      </c>
      <c r="E774" s="10" t="str">
        <f t="shared" si="23"/>
        <v/>
      </c>
      <c r="I774" s="53"/>
      <c r="N774" s="8">
        <v>0</v>
      </c>
      <c r="Q774" s="1"/>
      <c r="R774" s="1"/>
      <c r="S774" s="1"/>
      <c r="T774" s="8"/>
      <c r="U774" s="8"/>
      <c r="V774" s="1"/>
      <c r="W774" s="1"/>
      <c r="X774" s="1"/>
      <c r="Z774" s="8"/>
    </row>
    <row r="775" spans="1:26" x14ac:dyDescent="0.2">
      <c r="A775" s="12">
        <f t="shared" si="24"/>
        <v>763</v>
      </c>
      <c r="E775" s="10" t="str">
        <f t="shared" si="23"/>
        <v/>
      </c>
      <c r="I775" s="53"/>
      <c r="N775" s="8">
        <v>0</v>
      </c>
      <c r="Q775" s="1"/>
      <c r="R775" s="1"/>
      <c r="S775" s="1"/>
      <c r="T775" s="8"/>
      <c r="U775" s="8"/>
      <c r="V775" s="1"/>
      <c r="W775" s="1"/>
      <c r="X775" s="1"/>
      <c r="Z775" s="8"/>
    </row>
    <row r="776" spans="1:26" x14ac:dyDescent="0.2">
      <c r="A776" s="12">
        <f t="shared" si="24"/>
        <v>764</v>
      </c>
      <c r="E776" s="10" t="str">
        <f t="shared" si="23"/>
        <v/>
      </c>
      <c r="I776" s="53"/>
      <c r="N776" s="8">
        <v>0</v>
      </c>
      <c r="Q776" s="1"/>
      <c r="R776" s="1"/>
      <c r="S776" s="1"/>
      <c r="T776" s="8"/>
      <c r="U776" s="8"/>
      <c r="V776" s="1"/>
      <c r="W776" s="1"/>
      <c r="X776" s="1"/>
      <c r="Z776" s="8"/>
    </row>
    <row r="777" spans="1:26" x14ac:dyDescent="0.2">
      <c r="A777" s="12">
        <f t="shared" si="24"/>
        <v>765</v>
      </c>
      <c r="E777" s="10" t="str">
        <f t="shared" si="23"/>
        <v/>
      </c>
      <c r="I777" s="53"/>
      <c r="N777" s="8">
        <v>0</v>
      </c>
      <c r="Q777" s="1"/>
      <c r="R777" s="1"/>
      <c r="S777" s="1"/>
      <c r="T777" s="8"/>
      <c r="U777" s="8"/>
      <c r="V777" s="1"/>
      <c r="W777" s="1"/>
      <c r="X777" s="1"/>
      <c r="Z777" s="8"/>
    </row>
    <row r="778" spans="1:26" x14ac:dyDescent="0.2">
      <c r="A778" s="12">
        <f t="shared" si="24"/>
        <v>766</v>
      </c>
      <c r="E778" s="10" t="str">
        <f t="shared" si="23"/>
        <v/>
      </c>
      <c r="I778" s="53"/>
      <c r="N778" s="8">
        <v>0</v>
      </c>
      <c r="Q778" s="1"/>
      <c r="R778" s="1"/>
      <c r="S778" s="1"/>
      <c r="T778" s="8"/>
      <c r="U778" s="8"/>
      <c r="V778" s="1"/>
      <c r="W778" s="1"/>
      <c r="X778" s="1"/>
      <c r="Z778" s="8"/>
    </row>
    <row r="779" spans="1:26" x14ac:dyDescent="0.2">
      <c r="A779" s="12">
        <f t="shared" si="24"/>
        <v>767</v>
      </c>
      <c r="E779" s="10" t="str">
        <f t="shared" si="23"/>
        <v/>
      </c>
      <c r="I779" s="53"/>
      <c r="N779" s="8">
        <v>0</v>
      </c>
      <c r="Q779" s="1"/>
      <c r="R779" s="1"/>
      <c r="S779" s="1"/>
      <c r="T779" s="8"/>
      <c r="U779" s="8"/>
      <c r="V779" s="1"/>
      <c r="W779" s="1"/>
      <c r="X779" s="1"/>
      <c r="Z779" s="8"/>
    </row>
    <row r="780" spans="1:26" x14ac:dyDescent="0.2">
      <c r="A780" s="12">
        <f t="shared" si="24"/>
        <v>768</v>
      </c>
      <c r="E780" s="10" t="str">
        <f t="shared" si="23"/>
        <v/>
      </c>
      <c r="I780" s="53"/>
      <c r="N780" s="8">
        <v>0</v>
      </c>
      <c r="Q780" s="1"/>
      <c r="R780" s="1"/>
      <c r="S780" s="1"/>
      <c r="T780" s="8"/>
      <c r="U780" s="8"/>
      <c r="V780" s="1"/>
      <c r="W780" s="1"/>
      <c r="X780" s="1"/>
      <c r="Z780" s="8"/>
    </row>
    <row r="781" spans="1:26" x14ac:dyDescent="0.2">
      <c r="A781" s="12">
        <f t="shared" si="24"/>
        <v>769</v>
      </c>
      <c r="E781" s="10" t="str">
        <f t="shared" ref="E781:E844" si="25">IF($C$8&gt;=A781,$E$1&amp;" "&amp;A781,"")</f>
        <v/>
      </c>
      <c r="I781" s="53"/>
      <c r="N781" s="8">
        <v>0</v>
      </c>
      <c r="Q781" s="1"/>
      <c r="R781" s="1"/>
      <c r="S781" s="1"/>
      <c r="T781" s="8"/>
      <c r="U781" s="8"/>
      <c r="V781" s="1"/>
      <c r="W781" s="1"/>
      <c r="X781" s="1"/>
      <c r="Z781" s="8"/>
    </row>
    <row r="782" spans="1:26" x14ac:dyDescent="0.2">
      <c r="A782" s="12">
        <f t="shared" si="24"/>
        <v>770</v>
      </c>
      <c r="E782" s="10" t="str">
        <f t="shared" si="25"/>
        <v/>
      </c>
      <c r="I782" s="53"/>
      <c r="N782" s="8">
        <v>0</v>
      </c>
      <c r="Q782" s="1"/>
      <c r="R782" s="1"/>
      <c r="S782" s="1"/>
      <c r="T782" s="8"/>
      <c r="U782" s="8"/>
      <c r="V782" s="1"/>
      <c r="W782" s="1"/>
      <c r="X782" s="1"/>
      <c r="Z782" s="8"/>
    </row>
    <row r="783" spans="1:26" x14ac:dyDescent="0.2">
      <c r="A783" s="12">
        <f t="shared" ref="A783:A846" si="26">A782+1</f>
        <v>771</v>
      </c>
      <c r="E783" s="10" t="str">
        <f t="shared" si="25"/>
        <v/>
      </c>
      <c r="I783" s="53"/>
      <c r="N783" s="8">
        <v>0</v>
      </c>
      <c r="Q783" s="1"/>
      <c r="R783" s="1"/>
      <c r="S783" s="1"/>
      <c r="T783" s="8"/>
      <c r="U783" s="8"/>
      <c r="V783" s="1"/>
      <c r="W783" s="1"/>
      <c r="X783" s="1"/>
      <c r="Z783" s="8"/>
    </row>
    <row r="784" spans="1:26" x14ac:dyDescent="0.2">
      <c r="A784" s="12">
        <f t="shared" si="26"/>
        <v>772</v>
      </c>
      <c r="E784" s="10" t="str">
        <f t="shared" si="25"/>
        <v/>
      </c>
      <c r="I784" s="53"/>
      <c r="N784" s="8">
        <v>0</v>
      </c>
      <c r="Q784" s="1"/>
      <c r="R784" s="1"/>
      <c r="S784" s="1"/>
      <c r="T784" s="8"/>
      <c r="U784" s="8"/>
      <c r="V784" s="1"/>
      <c r="W784" s="1"/>
      <c r="X784" s="1"/>
      <c r="Z784" s="8"/>
    </row>
    <row r="785" spans="1:26" x14ac:dyDescent="0.2">
      <c r="A785" s="12">
        <f t="shared" si="26"/>
        <v>773</v>
      </c>
      <c r="E785" s="10" t="str">
        <f t="shared" si="25"/>
        <v/>
      </c>
      <c r="I785" s="53"/>
      <c r="N785" s="8">
        <v>0</v>
      </c>
      <c r="Q785" s="1"/>
      <c r="R785" s="1"/>
      <c r="S785" s="1"/>
      <c r="T785" s="8"/>
      <c r="U785" s="8"/>
      <c r="V785" s="1"/>
      <c r="W785" s="1"/>
      <c r="X785" s="1"/>
      <c r="Z785" s="8"/>
    </row>
    <row r="786" spans="1:26" x14ac:dyDescent="0.2">
      <c r="A786" s="12">
        <f t="shared" si="26"/>
        <v>774</v>
      </c>
      <c r="E786" s="10" t="str">
        <f t="shared" si="25"/>
        <v/>
      </c>
      <c r="I786" s="53"/>
      <c r="N786" s="8">
        <v>0</v>
      </c>
      <c r="Q786" s="1"/>
      <c r="R786" s="1"/>
      <c r="S786" s="1"/>
      <c r="T786" s="8"/>
      <c r="U786" s="8"/>
      <c r="V786" s="1"/>
      <c r="W786" s="1"/>
      <c r="X786" s="1"/>
      <c r="Z786" s="8"/>
    </row>
    <row r="787" spans="1:26" x14ac:dyDescent="0.2">
      <c r="A787" s="12">
        <f t="shared" si="26"/>
        <v>775</v>
      </c>
      <c r="E787" s="10" t="str">
        <f t="shared" si="25"/>
        <v/>
      </c>
      <c r="I787" s="53"/>
      <c r="N787" s="8">
        <v>0</v>
      </c>
      <c r="Q787" s="1"/>
      <c r="R787" s="1"/>
      <c r="S787" s="1"/>
      <c r="T787" s="8"/>
      <c r="U787" s="8"/>
      <c r="V787" s="1"/>
      <c r="W787" s="1"/>
      <c r="X787" s="1"/>
      <c r="Z787" s="8"/>
    </row>
    <row r="788" spans="1:26" x14ac:dyDescent="0.2">
      <c r="A788" s="12">
        <f t="shared" si="26"/>
        <v>776</v>
      </c>
      <c r="E788" s="10" t="str">
        <f t="shared" si="25"/>
        <v/>
      </c>
      <c r="I788" s="53"/>
      <c r="N788" s="8">
        <v>0</v>
      </c>
      <c r="Q788" s="1"/>
      <c r="R788" s="1"/>
      <c r="S788" s="1"/>
      <c r="T788" s="8"/>
      <c r="U788" s="8"/>
      <c r="V788" s="1"/>
      <c r="W788" s="1"/>
      <c r="X788" s="1"/>
      <c r="Z788" s="8"/>
    </row>
    <row r="789" spans="1:26" x14ac:dyDescent="0.2">
      <c r="A789" s="12">
        <f t="shared" si="26"/>
        <v>777</v>
      </c>
      <c r="E789" s="10" t="str">
        <f t="shared" si="25"/>
        <v/>
      </c>
      <c r="I789" s="53"/>
      <c r="N789" s="8">
        <v>0</v>
      </c>
      <c r="Q789" s="1"/>
      <c r="R789" s="1"/>
      <c r="S789" s="1"/>
      <c r="T789" s="8"/>
      <c r="U789" s="8"/>
      <c r="V789" s="1"/>
      <c r="W789" s="1"/>
      <c r="X789" s="1"/>
      <c r="Z789" s="8"/>
    </row>
    <row r="790" spans="1:26" x14ac:dyDescent="0.2">
      <c r="A790" s="12">
        <f t="shared" si="26"/>
        <v>778</v>
      </c>
      <c r="E790" s="10" t="str">
        <f t="shared" si="25"/>
        <v/>
      </c>
      <c r="I790" s="53"/>
      <c r="N790" s="8">
        <v>0</v>
      </c>
      <c r="Q790" s="1"/>
      <c r="R790" s="1"/>
      <c r="S790" s="1"/>
      <c r="T790" s="8"/>
      <c r="U790" s="8"/>
      <c r="V790" s="1"/>
      <c r="W790" s="1"/>
      <c r="X790" s="1"/>
      <c r="Z790" s="8"/>
    </row>
    <row r="791" spans="1:26" x14ac:dyDescent="0.2">
      <c r="A791" s="12">
        <f t="shared" si="26"/>
        <v>779</v>
      </c>
      <c r="E791" s="10" t="str">
        <f t="shared" si="25"/>
        <v/>
      </c>
      <c r="I791" s="53"/>
      <c r="N791" s="8">
        <v>0</v>
      </c>
      <c r="Q791" s="1"/>
      <c r="R791" s="1"/>
      <c r="S791" s="1"/>
      <c r="T791" s="8"/>
      <c r="U791" s="8"/>
      <c r="V791" s="1"/>
      <c r="W791" s="1"/>
      <c r="X791" s="1"/>
      <c r="Z791" s="8"/>
    </row>
    <row r="792" spans="1:26" x14ac:dyDescent="0.2">
      <c r="A792" s="12">
        <f t="shared" si="26"/>
        <v>780</v>
      </c>
      <c r="E792" s="10" t="str">
        <f t="shared" si="25"/>
        <v/>
      </c>
      <c r="I792" s="53"/>
      <c r="N792" s="8">
        <v>0</v>
      </c>
      <c r="Q792" s="1"/>
      <c r="R792" s="1"/>
      <c r="S792" s="1"/>
      <c r="T792" s="8"/>
      <c r="U792" s="8"/>
      <c r="V792" s="1"/>
      <c r="W792" s="1"/>
      <c r="X792" s="1"/>
      <c r="Z792" s="8"/>
    </row>
    <row r="793" spans="1:26" x14ac:dyDescent="0.2">
      <c r="A793" s="12">
        <f t="shared" si="26"/>
        <v>781</v>
      </c>
      <c r="E793" s="10" t="str">
        <f t="shared" si="25"/>
        <v/>
      </c>
      <c r="I793" s="53"/>
      <c r="N793" s="8">
        <v>0</v>
      </c>
      <c r="Q793" s="1"/>
      <c r="R793" s="1"/>
      <c r="S793" s="1"/>
      <c r="T793" s="8"/>
      <c r="U793" s="8"/>
      <c r="V793" s="1"/>
      <c r="W793" s="1"/>
      <c r="X793" s="1"/>
      <c r="Z793" s="8"/>
    </row>
    <row r="794" spans="1:26" x14ac:dyDescent="0.2">
      <c r="A794" s="12">
        <f t="shared" si="26"/>
        <v>782</v>
      </c>
      <c r="E794" s="10" t="str">
        <f t="shared" si="25"/>
        <v/>
      </c>
      <c r="I794" s="53"/>
      <c r="N794" s="8">
        <v>0</v>
      </c>
      <c r="Q794" s="1"/>
      <c r="R794" s="1"/>
      <c r="S794" s="1"/>
      <c r="T794" s="8"/>
      <c r="U794" s="8"/>
      <c r="V794" s="1"/>
      <c r="W794" s="1"/>
      <c r="X794" s="1"/>
      <c r="Z794" s="8"/>
    </row>
    <row r="795" spans="1:26" x14ac:dyDescent="0.2">
      <c r="A795" s="12">
        <f t="shared" si="26"/>
        <v>783</v>
      </c>
      <c r="E795" s="10" t="str">
        <f t="shared" si="25"/>
        <v/>
      </c>
      <c r="I795" s="53"/>
      <c r="N795" s="8">
        <v>0</v>
      </c>
      <c r="Q795" s="1"/>
      <c r="R795" s="1"/>
      <c r="S795" s="1"/>
      <c r="T795" s="8"/>
      <c r="U795" s="8"/>
      <c r="V795" s="1"/>
      <c r="W795" s="1"/>
      <c r="X795" s="1"/>
      <c r="Z795" s="8"/>
    </row>
    <row r="796" spans="1:26" x14ac:dyDescent="0.2">
      <c r="A796" s="12">
        <f t="shared" si="26"/>
        <v>784</v>
      </c>
      <c r="E796" s="10" t="str">
        <f t="shared" si="25"/>
        <v/>
      </c>
      <c r="I796" s="53"/>
      <c r="N796" s="8">
        <v>0</v>
      </c>
      <c r="Q796" s="1"/>
      <c r="R796" s="1"/>
      <c r="S796" s="1"/>
      <c r="T796" s="8"/>
      <c r="U796" s="8"/>
      <c r="V796" s="1"/>
      <c r="W796" s="1"/>
      <c r="X796" s="1"/>
      <c r="Z796" s="8"/>
    </row>
    <row r="797" spans="1:26" x14ac:dyDescent="0.2">
      <c r="A797" s="12">
        <f t="shared" si="26"/>
        <v>785</v>
      </c>
      <c r="E797" s="10" t="str">
        <f t="shared" si="25"/>
        <v/>
      </c>
      <c r="I797" s="53"/>
      <c r="N797" s="8">
        <v>0</v>
      </c>
      <c r="Q797" s="1"/>
      <c r="R797" s="1"/>
      <c r="S797" s="1"/>
      <c r="T797" s="8"/>
      <c r="U797" s="8"/>
      <c r="V797" s="1"/>
      <c r="W797" s="1"/>
      <c r="X797" s="1"/>
      <c r="Z797" s="8"/>
    </row>
    <row r="798" spans="1:26" x14ac:dyDescent="0.2">
      <c r="A798" s="12">
        <f t="shared" si="26"/>
        <v>786</v>
      </c>
      <c r="E798" s="10" t="str">
        <f t="shared" si="25"/>
        <v/>
      </c>
      <c r="I798" s="53"/>
      <c r="N798" s="8">
        <v>0</v>
      </c>
      <c r="Q798" s="1"/>
      <c r="R798" s="1"/>
      <c r="S798" s="1"/>
      <c r="T798" s="8"/>
      <c r="U798" s="8"/>
      <c r="V798" s="1"/>
      <c r="W798" s="1"/>
      <c r="X798" s="1"/>
      <c r="Z798" s="8"/>
    </row>
    <row r="799" spans="1:26" x14ac:dyDescent="0.2">
      <c r="A799" s="12">
        <f t="shared" si="26"/>
        <v>787</v>
      </c>
      <c r="E799" s="10" t="str">
        <f t="shared" si="25"/>
        <v/>
      </c>
      <c r="I799" s="53"/>
      <c r="N799" s="8">
        <v>0</v>
      </c>
      <c r="Q799" s="1"/>
      <c r="R799" s="1"/>
      <c r="S799" s="1"/>
      <c r="T799" s="8"/>
      <c r="U799" s="8"/>
      <c r="V799" s="1"/>
      <c r="W799" s="1"/>
      <c r="X799" s="1"/>
      <c r="Z799" s="8"/>
    </row>
    <row r="800" spans="1:26" x14ac:dyDescent="0.2">
      <c r="A800" s="12">
        <f t="shared" si="26"/>
        <v>788</v>
      </c>
      <c r="E800" s="10" t="str">
        <f t="shared" si="25"/>
        <v/>
      </c>
      <c r="I800" s="53"/>
      <c r="N800" s="8">
        <v>0</v>
      </c>
      <c r="Q800" s="1"/>
      <c r="R800" s="1"/>
      <c r="S800" s="1"/>
      <c r="T800" s="8"/>
      <c r="U800" s="8"/>
      <c r="V800" s="1"/>
      <c r="W800" s="1"/>
      <c r="X800" s="1"/>
      <c r="Z800" s="8"/>
    </row>
    <row r="801" spans="1:26" x14ac:dyDescent="0.2">
      <c r="A801" s="12">
        <f t="shared" si="26"/>
        <v>789</v>
      </c>
      <c r="E801" s="10" t="str">
        <f t="shared" si="25"/>
        <v/>
      </c>
      <c r="I801" s="53"/>
      <c r="N801" s="8">
        <v>0</v>
      </c>
      <c r="Q801" s="1"/>
      <c r="R801" s="1"/>
      <c r="S801" s="1"/>
      <c r="T801" s="8"/>
      <c r="U801" s="8"/>
      <c r="V801" s="1"/>
      <c r="W801" s="1"/>
      <c r="X801" s="1"/>
      <c r="Z801" s="8"/>
    </row>
    <row r="802" spans="1:26" x14ac:dyDescent="0.2">
      <c r="A802" s="12">
        <f t="shared" si="26"/>
        <v>790</v>
      </c>
      <c r="E802" s="10" t="str">
        <f t="shared" si="25"/>
        <v/>
      </c>
      <c r="I802" s="53"/>
      <c r="N802" s="8">
        <v>0</v>
      </c>
      <c r="Q802" s="1"/>
      <c r="R802" s="1"/>
      <c r="S802" s="1"/>
      <c r="T802" s="8"/>
      <c r="U802" s="8"/>
      <c r="V802" s="1"/>
      <c r="W802" s="1"/>
      <c r="X802" s="1"/>
      <c r="Z802" s="8"/>
    </row>
    <row r="803" spans="1:26" x14ac:dyDescent="0.2">
      <c r="A803" s="12">
        <f t="shared" si="26"/>
        <v>791</v>
      </c>
      <c r="E803" s="10" t="str">
        <f t="shared" si="25"/>
        <v/>
      </c>
      <c r="I803" s="53"/>
      <c r="N803" s="8">
        <v>0</v>
      </c>
      <c r="Q803" s="1"/>
      <c r="R803" s="1"/>
      <c r="S803" s="1"/>
      <c r="T803" s="8"/>
      <c r="U803" s="8"/>
      <c r="V803" s="1"/>
      <c r="W803" s="1"/>
      <c r="X803" s="1"/>
      <c r="Z803" s="8"/>
    </row>
    <row r="804" spans="1:26" x14ac:dyDescent="0.2">
      <c r="A804" s="12">
        <f t="shared" si="26"/>
        <v>792</v>
      </c>
      <c r="E804" s="10" t="str">
        <f t="shared" si="25"/>
        <v/>
      </c>
      <c r="I804" s="53"/>
      <c r="N804" s="8">
        <v>0</v>
      </c>
      <c r="Q804" s="1"/>
      <c r="R804" s="1"/>
      <c r="S804" s="1"/>
      <c r="T804" s="8"/>
      <c r="U804" s="8"/>
      <c r="V804" s="1"/>
      <c r="W804" s="1"/>
      <c r="X804" s="1"/>
      <c r="Z804" s="8"/>
    </row>
    <row r="805" spans="1:26" x14ac:dyDescent="0.2">
      <c r="A805" s="12">
        <f t="shared" si="26"/>
        <v>793</v>
      </c>
      <c r="E805" s="10" t="str">
        <f t="shared" si="25"/>
        <v/>
      </c>
      <c r="I805" s="53"/>
      <c r="N805" s="8">
        <v>0</v>
      </c>
      <c r="Q805" s="1"/>
      <c r="R805" s="1"/>
      <c r="S805" s="1"/>
      <c r="T805" s="8"/>
      <c r="U805" s="8"/>
      <c r="V805" s="1"/>
      <c r="W805" s="1"/>
      <c r="X805" s="1"/>
      <c r="Z805" s="8"/>
    </row>
    <row r="806" spans="1:26" x14ac:dyDescent="0.2">
      <c r="A806" s="12">
        <f t="shared" si="26"/>
        <v>794</v>
      </c>
      <c r="E806" s="10" t="str">
        <f t="shared" si="25"/>
        <v/>
      </c>
      <c r="I806" s="53"/>
      <c r="N806" s="8">
        <v>0</v>
      </c>
      <c r="Q806" s="1"/>
      <c r="R806" s="1"/>
      <c r="S806" s="1"/>
      <c r="T806" s="8"/>
      <c r="U806" s="8"/>
      <c r="V806" s="1"/>
      <c r="W806" s="1"/>
      <c r="X806" s="1"/>
      <c r="Z806" s="8"/>
    </row>
    <row r="807" spans="1:26" x14ac:dyDescent="0.2">
      <c r="A807" s="12">
        <f t="shared" si="26"/>
        <v>795</v>
      </c>
      <c r="E807" s="10" t="str">
        <f t="shared" si="25"/>
        <v/>
      </c>
      <c r="I807" s="53"/>
      <c r="N807" s="8">
        <v>0</v>
      </c>
      <c r="Q807" s="1"/>
      <c r="R807" s="1"/>
      <c r="S807" s="1"/>
      <c r="T807" s="8"/>
      <c r="U807" s="8"/>
      <c r="V807" s="1"/>
      <c r="W807" s="1"/>
      <c r="X807" s="1"/>
      <c r="Z807" s="8"/>
    </row>
    <row r="808" spans="1:26" x14ac:dyDescent="0.2">
      <c r="A808" s="12">
        <f t="shared" si="26"/>
        <v>796</v>
      </c>
      <c r="E808" s="10" t="str">
        <f t="shared" si="25"/>
        <v/>
      </c>
      <c r="I808" s="53"/>
      <c r="N808" s="8">
        <v>0</v>
      </c>
      <c r="Q808" s="1"/>
      <c r="R808" s="1"/>
      <c r="S808" s="1"/>
      <c r="T808" s="8"/>
      <c r="U808" s="8"/>
      <c r="V808" s="1"/>
      <c r="W808" s="1"/>
      <c r="X808" s="1"/>
      <c r="Z808" s="8"/>
    </row>
    <row r="809" spans="1:26" x14ac:dyDescent="0.2">
      <c r="A809" s="12">
        <f t="shared" si="26"/>
        <v>797</v>
      </c>
      <c r="E809" s="10" t="str">
        <f t="shared" si="25"/>
        <v/>
      </c>
      <c r="I809" s="53"/>
      <c r="N809" s="8">
        <v>0</v>
      </c>
      <c r="Q809" s="1"/>
      <c r="R809" s="1"/>
      <c r="S809" s="1"/>
      <c r="T809" s="8"/>
      <c r="U809" s="8"/>
      <c r="V809" s="1"/>
      <c r="W809" s="1"/>
      <c r="X809" s="1"/>
      <c r="Z809" s="8"/>
    </row>
    <row r="810" spans="1:26" x14ac:dyDescent="0.2">
      <c r="A810" s="12">
        <f t="shared" si="26"/>
        <v>798</v>
      </c>
      <c r="E810" s="10" t="str">
        <f t="shared" si="25"/>
        <v/>
      </c>
      <c r="I810" s="53"/>
      <c r="N810" s="8">
        <v>0</v>
      </c>
      <c r="Q810" s="1"/>
      <c r="R810" s="1"/>
      <c r="S810" s="1"/>
      <c r="T810" s="8"/>
      <c r="U810" s="8"/>
      <c r="V810" s="1"/>
      <c r="W810" s="1"/>
      <c r="X810" s="1"/>
      <c r="Z810" s="8"/>
    </row>
    <row r="811" spans="1:26" x14ac:dyDescent="0.2">
      <c r="A811" s="12">
        <f t="shared" si="26"/>
        <v>799</v>
      </c>
      <c r="E811" s="10" t="str">
        <f t="shared" si="25"/>
        <v/>
      </c>
      <c r="I811" s="53"/>
      <c r="N811" s="8">
        <v>0</v>
      </c>
      <c r="Q811" s="1"/>
      <c r="R811" s="1"/>
      <c r="S811" s="1"/>
      <c r="T811" s="8"/>
      <c r="U811" s="8"/>
      <c r="V811" s="1"/>
      <c r="W811" s="1"/>
      <c r="X811" s="1"/>
      <c r="Z811" s="8"/>
    </row>
    <row r="812" spans="1:26" x14ac:dyDescent="0.2">
      <c r="A812" s="12">
        <f t="shared" si="26"/>
        <v>800</v>
      </c>
      <c r="E812" s="10" t="str">
        <f t="shared" si="25"/>
        <v/>
      </c>
      <c r="I812" s="53"/>
      <c r="N812" s="8">
        <v>0</v>
      </c>
      <c r="Q812" s="1"/>
      <c r="R812" s="1"/>
      <c r="S812" s="1"/>
      <c r="T812" s="8"/>
      <c r="U812" s="8"/>
      <c r="V812" s="1"/>
      <c r="W812" s="1"/>
      <c r="X812" s="1"/>
      <c r="Z812" s="8"/>
    </row>
    <row r="813" spans="1:26" x14ac:dyDescent="0.2">
      <c r="A813" s="12">
        <f t="shared" si="26"/>
        <v>801</v>
      </c>
      <c r="E813" s="10" t="str">
        <f t="shared" si="25"/>
        <v/>
      </c>
      <c r="I813" s="53"/>
      <c r="N813" s="8">
        <v>0</v>
      </c>
      <c r="Q813" s="1"/>
      <c r="R813" s="1"/>
      <c r="S813" s="1"/>
      <c r="T813" s="8"/>
      <c r="U813" s="8"/>
      <c r="V813" s="1"/>
      <c r="W813" s="1"/>
      <c r="X813" s="1"/>
      <c r="Z813" s="8"/>
    </row>
    <row r="814" spans="1:26" x14ac:dyDescent="0.2">
      <c r="A814" s="12">
        <f t="shared" si="26"/>
        <v>802</v>
      </c>
      <c r="E814" s="10" t="str">
        <f t="shared" si="25"/>
        <v/>
      </c>
      <c r="I814" s="53"/>
      <c r="N814" s="8">
        <v>0</v>
      </c>
      <c r="Q814" s="1"/>
      <c r="R814" s="1"/>
      <c r="S814" s="1"/>
      <c r="T814" s="8"/>
      <c r="U814" s="8"/>
      <c r="V814" s="1"/>
      <c r="W814" s="1"/>
      <c r="X814" s="1"/>
      <c r="Z814" s="8"/>
    </row>
    <row r="815" spans="1:26" x14ac:dyDescent="0.2">
      <c r="A815" s="12">
        <f t="shared" si="26"/>
        <v>803</v>
      </c>
      <c r="E815" s="10" t="str">
        <f t="shared" si="25"/>
        <v/>
      </c>
      <c r="I815" s="53"/>
      <c r="N815" s="8">
        <v>0</v>
      </c>
      <c r="Q815" s="1"/>
      <c r="R815" s="1"/>
      <c r="S815" s="1"/>
      <c r="T815" s="8"/>
      <c r="U815" s="8"/>
      <c r="V815" s="1"/>
      <c r="W815" s="1"/>
      <c r="X815" s="1"/>
      <c r="Z815" s="8"/>
    </row>
    <row r="816" spans="1:26" x14ac:dyDescent="0.2">
      <c r="A816" s="12">
        <f t="shared" si="26"/>
        <v>804</v>
      </c>
      <c r="E816" s="10" t="str">
        <f t="shared" si="25"/>
        <v/>
      </c>
      <c r="I816" s="53"/>
      <c r="N816" s="8">
        <v>0</v>
      </c>
      <c r="Q816" s="1"/>
      <c r="R816" s="1"/>
      <c r="S816" s="1"/>
      <c r="T816" s="8"/>
      <c r="U816" s="8"/>
      <c r="V816" s="1"/>
      <c r="W816" s="1"/>
      <c r="X816" s="1"/>
      <c r="Z816" s="8"/>
    </row>
    <row r="817" spans="1:26" x14ac:dyDescent="0.2">
      <c r="A817" s="12">
        <f t="shared" si="26"/>
        <v>805</v>
      </c>
      <c r="E817" s="10" t="str">
        <f t="shared" si="25"/>
        <v/>
      </c>
      <c r="I817" s="53"/>
      <c r="N817" s="8">
        <v>0</v>
      </c>
      <c r="Q817" s="1"/>
      <c r="R817" s="1"/>
      <c r="S817" s="1"/>
      <c r="T817" s="8"/>
      <c r="U817" s="8"/>
      <c r="V817" s="1"/>
      <c r="W817" s="1"/>
      <c r="X817" s="1"/>
      <c r="Z817" s="8"/>
    </row>
    <row r="818" spans="1:26" x14ac:dyDescent="0.2">
      <c r="A818" s="12">
        <f t="shared" si="26"/>
        <v>806</v>
      </c>
      <c r="E818" s="10" t="str">
        <f t="shared" si="25"/>
        <v/>
      </c>
      <c r="I818" s="53"/>
      <c r="N818" s="8">
        <v>0</v>
      </c>
      <c r="Q818" s="1"/>
      <c r="R818" s="1"/>
      <c r="S818" s="1"/>
      <c r="T818" s="8"/>
      <c r="U818" s="8"/>
      <c r="V818" s="1"/>
      <c r="W818" s="1"/>
      <c r="X818" s="1"/>
      <c r="Z818" s="8"/>
    </row>
    <row r="819" spans="1:26" x14ac:dyDescent="0.2">
      <c r="A819" s="12">
        <f t="shared" si="26"/>
        <v>807</v>
      </c>
      <c r="E819" s="10" t="str">
        <f t="shared" si="25"/>
        <v/>
      </c>
      <c r="I819" s="53"/>
      <c r="N819" s="8">
        <v>0</v>
      </c>
      <c r="Q819" s="1"/>
      <c r="R819" s="1"/>
      <c r="S819" s="1"/>
      <c r="T819" s="8"/>
      <c r="U819" s="8"/>
      <c r="V819" s="1"/>
      <c r="W819" s="1"/>
      <c r="X819" s="1"/>
      <c r="Z819" s="8"/>
    </row>
    <row r="820" spans="1:26" x14ac:dyDescent="0.2">
      <c r="A820" s="12">
        <f t="shared" si="26"/>
        <v>808</v>
      </c>
      <c r="E820" s="10" t="str">
        <f t="shared" si="25"/>
        <v/>
      </c>
      <c r="I820" s="53"/>
      <c r="N820" s="8">
        <v>0</v>
      </c>
      <c r="Q820" s="1"/>
      <c r="R820" s="1"/>
      <c r="S820" s="1"/>
      <c r="T820" s="8"/>
      <c r="U820" s="8"/>
      <c r="V820" s="1"/>
      <c r="W820" s="1"/>
      <c r="X820" s="1"/>
      <c r="Z820" s="8"/>
    </row>
    <row r="821" spans="1:26" x14ac:dyDescent="0.2">
      <c r="A821" s="12">
        <f t="shared" si="26"/>
        <v>809</v>
      </c>
      <c r="E821" s="10" t="str">
        <f t="shared" si="25"/>
        <v/>
      </c>
      <c r="I821" s="53"/>
      <c r="N821" s="8">
        <v>0</v>
      </c>
      <c r="Q821" s="1"/>
      <c r="R821" s="1"/>
      <c r="S821" s="1"/>
      <c r="T821" s="8"/>
      <c r="U821" s="8"/>
      <c r="V821" s="1"/>
      <c r="W821" s="1"/>
      <c r="X821" s="1"/>
      <c r="Z821" s="8"/>
    </row>
    <row r="822" spans="1:26" x14ac:dyDescent="0.2">
      <c r="A822" s="12">
        <f t="shared" si="26"/>
        <v>810</v>
      </c>
      <c r="E822" s="10" t="str">
        <f t="shared" si="25"/>
        <v/>
      </c>
      <c r="I822" s="53"/>
      <c r="N822" s="8">
        <v>0</v>
      </c>
      <c r="Q822" s="1"/>
      <c r="R822" s="1"/>
      <c r="S822" s="1"/>
      <c r="T822" s="8"/>
      <c r="U822" s="8"/>
      <c r="V822" s="1"/>
      <c r="W822" s="1"/>
      <c r="X822" s="1"/>
      <c r="Z822" s="8"/>
    </row>
    <row r="823" spans="1:26" x14ac:dyDescent="0.2">
      <c r="A823" s="12">
        <f t="shared" si="26"/>
        <v>811</v>
      </c>
      <c r="E823" s="10" t="str">
        <f t="shared" si="25"/>
        <v/>
      </c>
      <c r="I823" s="53"/>
      <c r="N823" s="8">
        <v>0</v>
      </c>
      <c r="Q823" s="1"/>
      <c r="R823" s="1"/>
      <c r="S823" s="1"/>
      <c r="T823" s="8"/>
      <c r="U823" s="8"/>
      <c r="V823" s="1"/>
      <c r="W823" s="1"/>
      <c r="X823" s="1"/>
      <c r="Z823" s="8"/>
    </row>
    <row r="824" spans="1:26" x14ac:dyDescent="0.2">
      <c r="A824" s="12">
        <f t="shared" si="26"/>
        <v>812</v>
      </c>
      <c r="E824" s="10" t="str">
        <f t="shared" si="25"/>
        <v/>
      </c>
      <c r="I824" s="53"/>
      <c r="N824" s="8">
        <v>0</v>
      </c>
      <c r="Q824" s="1"/>
      <c r="R824" s="1"/>
      <c r="S824" s="1"/>
      <c r="T824" s="8"/>
      <c r="U824" s="8"/>
      <c r="V824" s="1"/>
      <c r="W824" s="1"/>
      <c r="X824" s="1"/>
      <c r="Z824" s="8"/>
    </row>
    <row r="825" spans="1:26" x14ac:dyDescent="0.2">
      <c r="A825" s="12">
        <f t="shared" si="26"/>
        <v>813</v>
      </c>
      <c r="E825" s="10" t="str">
        <f t="shared" si="25"/>
        <v/>
      </c>
      <c r="I825" s="53"/>
      <c r="N825" s="8">
        <v>0</v>
      </c>
      <c r="Q825" s="1"/>
      <c r="R825" s="1"/>
      <c r="S825" s="1"/>
      <c r="T825" s="8"/>
      <c r="U825" s="8"/>
      <c r="V825" s="1"/>
      <c r="W825" s="1"/>
      <c r="X825" s="1"/>
      <c r="Z825" s="8"/>
    </row>
    <row r="826" spans="1:26" x14ac:dyDescent="0.2">
      <c r="A826" s="12">
        <f t="shared" si="26"/>
        <v>814</v>
      </c>
      <c r="E826" s="10" t="str">
        <f t="shared" si="25"/>
        <v/>
      </c>
      <c r="I826" s="53"/>
      <c r="N826" s="8">
        <v>0</v>
      </c>
      <c r="Q826" s="1"/>
      <c r="R826" s="1"/>
      <c r="S826" s="1"/>
      <c r="T826" s="8"/>
      <c r="U826" s="8"/>
      <c r="V826" s="1"/>
      <c r="W826" s="1"/>
      <c r="X826" s="1"/>
      <c r="Z826" s="8"/>
    </row>
    <row r="827" spans="1:26" x14ac:dyDescent="0.2">
      <c r="A827" s="12">
        <f t="shared" si="26"/>
        <v>815</v>
      </c>
      <c r="E827" s="10" t="str">
        <f t="shared" si="25"/>
        <v/>
      </c>
      <c r="I827" s="53"/>
      <c r="N827" s="8">
        <v>0</v>
      </c>
      <c r="Q827" s="1"/>
      <c r="R827" s="1"/>
      <c r="S827" s="1"/>
      <c r="T827" s="8"/>
      <c r="U827" s="8"/>
      <c r="V827" s="1"/>
      <c r="W827" s="1"/>
      <c r="X827" s="1"/>
      <c r="Z827" s="8"/>
    </row>
    <row r="828" spans="1:26" x14ac:dyDescent="0.2">
      <c r="A828" s="12">
        <f t="shared" si="26"/>
        <v>816</v>
      </c>
      <c r="E828" s="10" t="str">
        <f t="shared" si="25"/>
        <v/>
      </c>
      <c r="I828" s="53"/>
      <c r="N828" s="8">
        <v>0</v>
      </c>
      <c r="Q828" s="1"/>
      <c r="R828" s="1"/>
      <c r="S828" s="1"/>
      <c r="T828" s="8"/>
      <c r="U828" s="8"/>
      <c r="V828" s="1"/>
      <c r="W828" s="1"/>
      <c r="X828" s="1"/>
      <c r="Z828" s="8"/>
    </row>
    <row r="829" spans="1:26" x14ac:dyDescent="0.2">
      <c r="A829" s="12">
        <f t="shared" si="26"/>
        <v>817</v>
      </c>
      <c r="E829" s="10" t="str">
        <f t="shared" si="25"/>
        <v/>
      </c>
      <c r="I829" s="53"/>
      <c r="N829" s="8">
        <v>0</v>
      </c>
      <c r="Q829" s="1"/>
      <c r="R829" s="1"/>
      <c r="S829" s="1"/>
      <c r="T829" s="8"/>
      <c r="U829" s="8"/>
      <c r="V829" s="1"/>
      <c r="W829" s="1"/>
      <c r="X829" s="1"/>
      <c r="Z829" s="8"/>
    </row>
    <row r="830" spans="1:26" x14ac:dyDescent="0.2">
      <c r="A830" s="12">
        <f t="shared" si="26"/>
        <v>818</v>
      </c>
      <c r="E830" s="10" t="str">
        <f t="shared" si="25"/>
        <v/>
      </c>
      <c r="I830" s="53"/>
      <c r="N830" s="8">
        <v>0</v>
      </c>
      <c r="Q830" s="1"/>
      <c r="R830" s="1"/>
      <c r="S830" s="1"/>
      <c r="T830" s="8"/>
      <c r="U830" s="8"/>
      <c r="V830" s="1"/>
      <c r="W830" s="1"/>
      <c r="X830" s="1"/>
      <c r="Z830" s="8"/>
    </row>
    <row r="831" spans="1:26" x14ac:dyDescent="0.2">
      <c r="A831" s="12">
        <f t="shared" si="26"/>
        <v>819</v>
      </c>
      <c r="E831" s="10" t="str">
        <f t="shared" si="25"/>
        <v/>
      </c>
      <c r="I831" s="53"/>
      <c r="N831" s="8">
        <v>0</v>
      </c>
      <c r="Q831" s="1"/>
      <c r="R831" s="1"/>
      <c r="S831" s="1"/>
      <c r="T831" s="8"/>
      <c r="U831" s="8"/>
      <c r="V831" s="1"/>
      <c r="W831" s="1"/>
      <c r="X831" s="1"/>
      <c r="Z831" s="8"/>
    </row>
    <row r="832" spans="1:26" x14ac:dyDescent="0.2">
      <c r="A832" s="12">
        <f t="shared" si="26"/>
        <v>820</v>
      </c>
      <c r="E832" s="10" t="str">
        <f t="shared" si="25"/>
        <v/>
      </c>
      <c r="I832" s="53"/>
      <c r="N832" s="8">
        <v>0</v>
      </c>
      <c r="Q832" s="1"/>
      <c r="R832" s="1"/>
      <c r="S832" s="1"/>
      <c r="T832" s="8"/>
      <c r="U832" s="8"/>
      <c r="V832" s="1"/>
      <c r="W832" s="1"/>
      <c r="X832" s="1"/>
      <c r="Z832" s="8"/>
    </row>
    <row r="833" spans="1:26" x14ac:dyDescent="0.2">
      <c r="A833" s="12">
        <f t="shared" si="26"/>
        <v>821</v>
      </c>
      <c r="E833" s="10" t="str">
        <f t="shared" si="25"/>
        <v/>
      </c>
      <c r="I833" s="53"/>
      <c r="N833" s="8">
        <v>0</v>
      </c>
      <c r="Q833" s="1"/>
      <c r="R833" s="1"/>
      <c r="S833" s="1"/>
      <c r="T833" s="8"/>
      <c r="U833" s="8"/>
      <c r="V833" s="1"/>
      <c r="W833" s="1"/>
      <c r="X833" s="1"/>
      <c r="Z833" s="8"/>
    </row>
    <row r="834" spans="1:26" x14ac:dyDescent="0.2">
      <c r="A834" s="12">
        <f t="shared" si="26"/>
        <v>822</v>
      </c>
      <c r="E834" s="10" t="str">
        <f t="shared" si="25"/>
        <v/>
      </c>
      <c r="I834" s="53"/>
      <c r="N834" s="8">
        <v>0</v>
      </c>
      <c r="Q834" s="1"/>
      <c r="R834" s="1"/>
      <c r="S834" s="1"/>
      <c r="T834" s="8"/>
      <c r="U834" s="8"/>
      <c r="V834" s="1"/>
      <c r="W834" s="1"/>
      <c r="X834" s="1"/>
      <c r="Z834" s="8"/>
    </row>
    <row r="835" spans="1:26" x14ac:dyDescent="0.2">
      <c r="A835" s="12">
        <f t="shared" si="26"/>
        <v>823</v>
      </c>
      <c r="E835" s="10" t="str">
        <f t="shared" si="25"/>
        <v/>
      </c>
      <c r="I835" s="53"/>
      <c r="N835" s="8">
        <v>0</v>
      </c>
      <c r="Q835" s="1"/>
      <c r="R835" s="1"/>
      <c r="S835" s="1"/>
      <c r="T835" s="8"/>
      <c r="U835" s="8"/>
      <c r="V835" s="1"/>
      <c r="W835" s="1"/>
      <c r="X835" s="1"/>
      <c r="Z835" s="8"/>
    </row>
    <row r="836" spans="1:26" x14ac:dyDescent="0.2">
      <c r="A836" s="12">
        <f t="shared" si="26"/>
        <v>824</v>
      </c>
      <c r="E836" s="10" t="str">
        <f t="shared" si="25"/>
        <v/>
      </c>
      <c r="I836" s="53"/>
      <c r="N836" s="8">
        <v>0</v>
      </c>
      <c r="Q836" s="1"/>
      <c r="R836" s="1"/>
      <c r="S836" s="1"/>
      <c r="T836" s="8"/>
      <c r="U836" s="8"/>
      <c r="V836" s="1"/>
      <c r="W836" s="1"/>
      <c r="X836" s="1"/>
      <c r="Z836" s="8"/>
    </row>
    <row r="837" spans="1:26" x14ac:dyDescent="0.2">
      <c r="A837" s="12">
        <f t="shared" si="26"/>
        <v>825</v>
      </c>
      <c r="E837" s="10" t="str">
        <f t="shared" si="25"/>
        <v/>
      </c>
      <c r="I837" s="53"/>
      <c r="N837" s="8">
        <v>0</v>
      </c>
      <c r="Q837" s="1"/>
      <c r="R837" s="1"/>
      <c r="S837" s="1"/>
      <c r="T837" s="8"/>
      <c r="U837" s="8"/>
      <c r="V837" s="1"/>
      <c r="W837" s="1"/>
      <c r="X837" s="1"/>
      <c r="Z837" s="8"/>
    </row>
    <row r="838" spans="1:26" x14ac:dyDescent="0.2">
      <c r="A838" s="12">
        <f t="shared" si="26"/>
        <v>826</v>
      </c>
      <c r="E838" s="10" t="str">
        <f t="shared" si="25"/>
        <v/>
      </c>
      <c r="I838" s="53"/>
      <c r="N838" s="8">
        <v>0</v>
      </c>
      <c r="Q838" s="1"/>
      <c r="R838" s="1"/>
      <c r="S838" s="1"/>
      <c r="T838" s="8"/>
      <c r="U838" s="8"/>
      <c r="V838" s="1"/>
      <c r="W838" s="1"/>
      <c r="X838" s="1"/>
      <c r="Z838" s="8"/>
    </row>
    <row r="839" spans="1:26" x14ac:dyDescent="0.2">
      <c r="A839" s="12">
        <f t="shared" si="26"/>
        <v>827</v>
      </c>
      <c r="E839" s="10" t="str">
        <f t="shared" si="25"/>
        <v/>
      </c>
      <c r="I839" s="53"/>
      <c r="N839" s="8">
        <v>0</v>
      </c>
      <c r="Q839" s="1"/>
      <c r="R839" s="1"/>
      <c r="S839" s="1"/>
      <c r="T839" s="8"/>
      <c r="U839" s="8"/>
      <c r="V839" s="1"/>
      <c r="W839" s="1"/>
      <c r="X839" s="1"/>
      <c r="Z839" s="8"/>
    </row>
    <row r="840" spans="1:26" x14ac:dyDescent="0.2">
      <c r="A840" s="12">
        <f t="shared" si="26"/>
        <v>828</v>
      </c>
      <c r="E840" s="10" t="str">
        <f t="shared" si="25"/>
        <v/>
      </c>
      <c r="I840" s="53"/>
      <c r="N840" s="8">
        <v>0</v>
      </c>
      <c r="Q840" s="1"/>
      <c r="R840" s="1"/>
      <c r="S840" s="1"/>
      <c r="T840" s="8"/>
      <c r="U840" s="8"/>
      <c r="V840" s="1"/>
      <c r="W840" s="1"/>
      <c r="X840" s="1"/>
      <c r="Z840" s="8"/>
    </row>
    <row r="841" spans="1:26" x14ac:dyDescent="0.2">
      <c r="A841" s="12">
        <f t="shared" si="26"/>
        <v>829</v>
      </c>
      <c r="E841" s="10" t="str">
        <f t="shared" si="25"/>
        <v/>
      </c>
      <c r="I841" s="53"/>
      <c r="N841" s="8">
        <v>0</v>
      </c>
      <c r="Q841" s="1"/>
      <c r="R841" s="1"/>
      <c r="S841" s="1"/>
      <c r="T841" s="8"/>
      <c r="U841" s="8"/>
      <c r="V841" s="1"/>
      <c r="W841" s="1"/>
      <c r="X841" s="1"/>
      <c r="Z841" s="8"/>
    </row>
    <row r="842" spans="1:26" x14ac:dyDescent="0.2">
      <c r="A842" s="12">
        <f t="shared" si="26"/>
        <v>830</v>
      </c>
      <c r="E842" s="10" t="str">
        <f t="shared" si="25"/>
        <v/>
      </c>
      <c r="I842" s="53"/>
      <c r="N842" s="8">
        <v>0</v>
      </c>
      <c r="Q842" s="1"/>
      <c r="R842" s="1"/>
      <c r="S842" s="1"/>
      <c r="T842" s="8"/>
      <c r="U842" s="8"/>
      <c r="V842" s="1"/>
      <c r="W842" s="1"/>
      <c r="X842" s="1"/>
      <c r="Z842" s="8"/>
    </row>
    <row r="843" spans="1:26" x14ac:dyDescent="0.2">
      <c r="A843" s="12">
        <f t="shared" si="26"/>
        <v>831</v>
      </c>
      <c r="E843" s="10" t="str">
        <f t="shared" si="25"/>
        <v/>
      </c>
      <c r="I843" s="53"/>
      <c r="N843" s="8">
        <v>0</v>
      </c>
      <c r="Q843" s="1"/>
      <c r="R843" s="1"/>
      <c r="S843" s="1"/>
      <c r="T843" s="8"/>
      <c r="U843" s="8"/>
      <c r="V843" s="1"/>
      <c r="W843" s="1"/>
      <c r="X843" s="1"/>
      <c r="Z843" s="8"/>
    </row>
    <row r="844" spans="1:26" x14ac:dyDescent="0.2">
      <c r="A844" s="12">
        <f t="shared" si="26"/>
        <v>832</v>
      </c>
      <c r="E844" s="10" t="str">
        <f t="shared" si="25"/>
        <v/>
      </c>
      <c r="I844" s="53"/>
      <c r="N844" s="8">
        <v>0</v>
      </c>
      <c r="Q844" s="1"/>
      <c r="R844" s="1"/>
      <c r="S844" s="1"/>
      <c r="T844" s="8"/>
      <c r="U844" s="8"/>
      <c r="V844" s="1"/>
      <c r="W844" s="1"/>
      <c r="X844" s="1"/>
      <c r="Z844" s="8"/>
    </row>
    <row r="845" spans="1:26" x14ac:dyDescent="0.2">
      <c r="A845" s="12">
        <f t="shared" si="26"/>
        <v>833</v>
      </c>
      <c r="E845" s="10" t="str">
        <f t="shared" ref="E845:E908" si="27">IF($C$8&gt;=A845,$E$1&amp;" "&amp;A845,"")</f>
        <v/>
      </c>
      <c r="I845" s="53"/>
      <c r="N845" s="8">
        <v>0</v>
      </c>
      <c r="Q845" s="1"/>
      <c r="R845" s="1"/>
      <c r="S845" s="1"/>
      <c r="T845" s="8"/>
      <c r="U845" s="8"/>
      <c r="V845" s="1"/>
      <c r="W845" s="1"/>
      <c r="X845" s="1"/>
      <c r="Z845" s="8"/>
    </row>
    <row r="846" spans="1:26" x14ac:dyDescent="0.2">
      <c r="A846" s="12">
        <f t="shared" si="26"/>
        <v>834</v>
      </c>
      <c r="E846" s="10" t="str">
        <f t="shared" si="27"/>
        <v/>
      </c>
      <c r="I846" s="53"/>
      <c r="N846" s="8">
        <v>0</v>
      </c>
      <c r="Q846" s="1"/>
      <c r="R846" s="1"/>
      <c r="S846" s="1"/>
      <c r="T846" s="8"/>
      <c r="U846" s="8"/>
      <c r="V846" s="1"/>
      <c r="W846" s="1"/>
      <c r="X846" s="1"/>
      <c r="Z846" s="8"/>
    </row>
    <row r="847" spans="1:26" x14ac:dyDescent="0.2">
      <c r="A847" s="12">
        <f t="shared" ref="A847:A910" si="28">A846+1</f>
        <v>835</v>
      </c>
      <c r="E847" s="10" t="str">
        <f t="shared" si="27"/>
        <v/>
      </c>
      <c r="I847" s="53"/>
      <c r="N847" s="8">
        <v>0</v>
      </c>
      <c r="Q847" s="1"/>
      <c r="R847" s="1"/>
      <c r="S847" s="1"/>
      <c r="T847" s="8"/>
      <c r="U847" s="8"/>
      <c r="V847" s="1"/>
      <c r="W847" s="1"/>
      <c r="X847" s="1"/>
      <c r="Z847" s="8"/>
    </row>
    <row r="848" spans="1:26" x14ac:dyDescent="0.2">
      <c r="A848" s="12">
        <f t="shared" si="28"/>
        <v>836</v>
      </c>
      <c r="E848" s="10" t="str">
        <f t="shared" si="27"/>
        <v/>
      </c>
      <c r="I848" s="53"/>
      <c r="N848" s="8">
        <v>0</v>
      </c>
      <c r="Q848" s="1"/>
      <c r="R848" s="1"/>
      <c r="S848" s="1"/>
      <c r="T848" s="8"/>
      <c r="U848" s="8"/>
      <c r="V848" s="1"/>
      <c r="W848" s="1"/>
      <c r="X848" s="1"/>
      <c r="Z848" s="8"/>
    </row>
    <row r="849" spans="1:26" x14ac:dyDescent="0.2">
      <c r="A849" s="12">
        <f t="shared" si="28"/>
        <v>837</v>
      </c>
      <c r="E849" s="10" t="str">
        <f t="shared" si="27"/>
        <v/>
      </c>
      <c r="I849" s="53"/>
      <c r="N849" s="8">
        <v>0</v>
      </c>
      <c r="Q849" s="1"/>
      <c r="R849" s="1"/>
      <c r="S849" s="1"/>
      <c r="T849" s="8"/>
      <c r="U849" s="8"/>
      <c r="V849" s="1"/>
      <c r="W849" s="1"/>
      <c r="X849" s="1"/>
      <c r="Z849" s="8"/>
    </row>
    <row r="850" spans="1:26" x14ac:dyDescent="0.2">
      <c r="A850" s="12">
        <f t="shared" si="28"/>
        <v>838</v>
      </c>
      <c r="E850" s="10" t="str">
        <f t="shared" si="27"/>
        <v/>
      </c>
      <c r="I850" s="53"/>
      <c r="N850" s="8">
        <v>0</v>
      </c>
      <c r="Q850" s="1"/>
      <c r="R850" s="1"/>
      <c r="S850" s="1"/>
      <c r="T850" s="8"/>
      <c r="U850" s="8"/>
      <c r="V850" s="1"/>
      <c r="W850" s="1"/>
      <c r="X850" s="1"/>
      <c r="Z850" s="8"/>
    </row>
    <row r="851" spans="1:26" x14ac:dyDescent="0.2">
      <c r="A851" s="12">
        <f t="shared" si="28"/>
        <v>839</v>
      </c>
      <c r="E851" s="10" t="str">
        <f t="shared" si="27"/>
        <v/>
      </c>
      <c r="I851" s="53"/>
      <c r="N851" s="8">
        <v>0</v>
      </c>
      <c r="Q851" s="1"/>
      <c r="R851" s="1"/>
      <c r="S851" s="1"/>
      <c r="T851" s="8"/>
      <c r="U851" s="8"/>
      <c r="V851" s="1"/>
      <c r="W851" s="1"/>
      <c r="X851" s="1"/>
      <c r="Z851" s="8"/>
    </row>
    <row r="852" spans="1:26" x14ac:dyDescent="0.2">
      <c r="A852" s="12">
        <f t="shared" si="28"/>
        <v>840</v>
      </c>
      <c r="E852" s="10" t="str">
        <f t="shared" si="27"/>
        <v/>
      </c>
      <c r="I852" s="53"/>
      <c r="N852" s="8">
        <v>0</v>
      </c>
      <c r="Q852" s="1"/>
      <c r="R852" s="1"/>
      <c r="S852" s="1"/>
      <c r="T852" s="8"/>
      <c r="U852" s="8"/>
      <c r="V852" s="1"/>
      <c r="W852" s="1"/>
      <c r="X852" s="1"/>
      <c r="Z852" s="8"/>
    </row>
    <row r="853" spans="1:26" x14ac:dyDescent="0.2">
      <c r="A853" s="12">
        <f t="shared" si="28"/>
        <v>841</v>
      </c>
      <c r="E853" s="10" t="str">
        <f t="shared" si="27"/>
        <v/>
      </c>
      <c r="I853" s="53"/>
      <c r="N853" s="8">
        <v>0</v>
      </c>
      <c r="Q853" s="1"/>
      <c r="R853" s="1"/>
      <c r="S853" s="1"/>
      <c r="T853" s="8"/>
      <c r="U853" s="8"/>
      <c r="V853" s="1"/>
      <c r="W853" s="1"/>
      <c r="X853" s="1"/>
      <c r="Z853" s="8"/>
    </row>
    <row r="854" spans="1:26" x14ac:dyDescent="0.2">
      <c r="A854" s="12">
        <f t="shared" si="28"/>
        <v>842</v>
      </c>
      <c r="E854" s="10" t="str">
        <f t="shared" si="27"/>
        <v/>
      </c>
      <c r="I854" s="53"/>
      <c r="N854" s="8">
        <v>0</v>
      </c>
      <c r="Q854" s="1"/>
      <c r="R854" s="1"/>
      <c r="S854" s="1"/>
      <c r="T854" s="8"/>
      <c r="U854" s="8"/>
      <c r="V854" s="1"/>
      <c r="W854" s="1"/>
      <c r="X854" s="1"/>
      <c r="Z854" s="8"/>
    </row>
    <row r="855" spans="1:26" x14ac:dyDescent="0.2">
      <c r="A855" s="12">
        <f t="shared" si="28"/>
        <v>843</v>
      </c>
      <c r="E855" s="10" t="str">
        <f t="shared" si="27"/>
        <v/>
      </c>
      <c r="I855" s="53"/>
      <c r="N855" s="8">
        <v>0</v>
      </c>
      <c r="Q855" s="1"/>
      <c r="R855" s="1"/>
      <c r="S855" s="1"/>
      <c r="T855" s="8"/>
      <c r="U855" s="8"/>
      <c r="V855" s="1"/>
      <c r="W855" s="1"/>
      <c r="X855" s="1"/>
      <c r="Z855" s="8"/>
    </row>
    <row r="856" spans="1:26" x14ac:dyDescent="0.2">
      <c r="A856" s="12">
        <f t="shared" si="28"/>
        <v>844</v>
      </c>
      <c r="E856" s="10" t="str">
        <f t="shared" si="27"/>
        <v/>
      </c>
      <c r="I856" s="53"/>
      <c r="N856" s="8">
        <v>0</v>
      </c>
      <c r="Q856" s="1"/>
      <c r="R856" s="1"/>
      <c r="S856" s="1"/>
      <c r="T856" s="8"/>
      <c r="U856" s="8"/>
      <c r="V856" s="1"/>
      <c r="W856" s="1"/>
      <c r="X856" s="1"/>
      <c r="Z856" s="8"/>
    </row>
    <row r="857" spans="1:26" x14ac:dyDescent="0.2">
      <c r="A857" s="12">
        <f t="shared" si="28"/>
        <v>845</v>
      </c>
      <c r="E857" s="10" t="str">
        <f t="shared" si="27"/>
        <v/>
      </c>
      <c r="I857" s="53"/>
      <c r="N857" s="8">
        <v>0</v>
      </c>
      <c r="Q857" s="1"/>
      <c r="R857" s="1"/>
      <c r="S857" s="1"/>
      <c r="T857" s="8"/>
      <c r="U857" s="8"/>
      <c r="V857" s="1"/>
      <c r="W857" s="1"/>
      <c r="X857" s="1"/>
      <c r="Z857" s="8"/>
    </row>
    <row r="858" spans="1:26" x14ac:dyDescent="0.2">
      <c r="A858" s="12">
        <f t="shared" si="28"/>
        <v>846</v>
      </c>
      <c r="E858" s="10" t="str">
        <f t="shared" si="27"/>
        <v/>
      </c>
      <c r="I858" s="53"/>
      <c r="N858" s="8">
        <v>0</v>
      </c>
      <c r="Q858" s="1"/>
      <c r="R858" s="1"/>
      <c r="S858" s="1"/>
      <c r="T858" s="8"/>
      <c r="U858" s="8"/>
      <c r="V858" s="1"/>
      <c r="W858" s="1"/>
      <c r="X858" s="1"/>
      <c r="Z858" s="8"/>
    </row>
    <row r="859" spans="1:26" x14ac:dyDescent="0.2">
      <c r="A859" s="12">
        <f t="shared" si="28"/>
        <v>847</v>
      </c>
      <c r="E859" s="10" t="str">
        <f t="shared" si="27"/>
        <v/>
      </c>
      <c r="I859" s="53"/>
      <c r="N859" s="8">
        <v>0</v>
      </c>
      <c r="Q859" s="1"/>
      <c r="R859" s="1"/>
      <c r="S859" s="1"/>
      <c r="T859" s="8"/>
      <c r="U859" s="8"/>
      <c r="V859" s="1"/>
      <c r="W859" s="1"/>
      <c r="X859" s="1"/>
      <c r="Z859" s="8"/>
    </row>
    <row r="860" spans="1:26" x14ac:dyDescent="0.2">
      <c r="A860" s="12">
        <f t="shared" si="28"/>
        <v>848</v>
      </c>
      <c r="E860" s="10" t="str">
        <f t="shared" si="27"/>
        <v/>
      </c>
      <c r="I860" s="53"/>
      <c r="N860" s="8">
        <v>0</v>
      </c>
      <c r="Q860" s="1"/>
      <c r="R860" s="1"/>
      <c r="S860" s="1"/>
      <c r="T860" s="8"/>
      <c r="U860" s="8"/>
      <c r="V860" s="1"/>
      <c r="W860" s="1"/>
      <c r="X860" s="1"/>
      <c r="Z860" s="8"/>
    </row>
    <row r="861" spans="1:26" x14ac:dyDescent="0.2">
      <c r="A861" s="12">
        <f t="shared" si="28"/>
        <v>849</v>
      </c>
      <c r="E861" s="10" t="str">
        <f t="shared" si="27"/>
        <v/>
      </c>
      <c r="I861" s="53"/>
      <c r="N861" s="8">
        <v>0</v>
      </c>
      <c r="Q861" s="1"/>
      <c r="R861" s="1"/>
      <c r="S861" s="1"/>
      <c r="T861" s="8"/>
      <c r="U861" s="8"/>
      <c r="V861" s="1"/>
      <c r="W861" s="1"/>
      <c r="X861" s="1"/>
      <c r="Z861" s="8"/>
    </row>
    <row r="862" spans="1:26" x14ac:dyDescent="0.2">
      <c r="A862" s="12">
        <f t="shared" si="28"/>
        <v>850</v>
      </c>
      <c r="E862" s="10" t="str">
        <f t="shared" si="27"/>
        <v/>
      </c>
      <c r="I862" s="53"/>
      <c r="N862" s="8">
        <v>0</v>
      </c>
      <c r="Q862" s="1"/>
      <c r="R862" s="1"/>
      <c r="S862" s="1"/>
      <c r="T862" s="8"/>
      <c r="U862" s="8"/>
      <c r="V862" s="1"/>
      <c r="W862" s="1"/>
      <c r="X862" s="1"/>
      <c r="Z862" s="8"/>
    </row>
    <row r="863" spans="1:26" x14ac:dyDescent="0.2">
      <c r="A863" s="12">
        <f t="shared" si="28"/>
        <v>851</v>
      </c>
      <c r="E863" s="10" t="str">
        <f t="shared" si="27"/>
        <v/>
      </c>
      <c r="I863" s="53"/>
      <c r="N863" s="8">
        <v>0</v>
      </c>
      <c r="Q863" s="1"/>
      <c r="R863" s="1"/>
      <c r="S863" s="1"/>
      <c r="T863" s="8"/>
      <c r="U863" s="8"/>
      <c r="V863" s="1"/>
      <c r="W863" s="1"/>
      <c r="X863" s="1"/>
      <c r="Z863" s="8"/>
    </row>
    <row r="864" spans="1:26" x14ac:dyDescent="0.2">
      <c r="A864" s="12">
        <f t="shared" si="28"/>
        <v>852</v>
      </c>
      <c r="E864" s="10" t="str">
        <f t="shared" si="27"/>
        <v/>
      </c>
      <c r="I864" s="53"/>
      <c r="N864" s="8">
        <v>0</v>
      </c>
      <c r="Q864" s="1"/>
      <c r="R864" s="1"/>
      <c r="S864" s="1"/>
      <c r="T864" s="8"/>
      <c r="U864" s="8"/>
      <c r="V864" s="1"/>
      <c r="W864" s="1"/>
      <c r="X864" s="1"/>
      <c r="Z864" s="8"/>
    </row>
    <row r="865" spans="1:26" x14ac:dyDescent="0.2">
      <c r="A865" s="12">
        <f t="shared" si="28"/>
        <v>853</v>
      </c>
      <c r="E865" s="10" t="str">
        <f t="shared" si="27"/>
        <v/>
      </c>
      <c r="I865" s="53"/>
      <c r="N865" s="8">
        <v>0</v>
      </c>
      <c r="Q865" s="1"/>
      <c r="R865" s="1"/>
      <c r="S865" s="1"/>
      <c r="T865" s="8"/>
      <c r="U865" s="8"/>
      <c r="V865" s="1"/>
      <c r="W865" s="1"/>
      <c r="X865" s="1"/>
      <c r="Z865" s="8"/>
    </row>
    <row r="866" spans="1:26" x14ac:dyDescent="0.2">
      <c r="A866" s="12">
        <f t="shared" si="28"/>
        <v>854</v>
      </c>
      <c r="E866" s="10" t="str">
        <f t="shared" si="27"/>
        <v/>
      </c>
      <c r="I866" s="53"/>
      <c r="N866" s="8">
        <v>0</v>
      </c>
      <c r="Q866" s="1"/>
      <c r="R866" s="1"/>
      <c r="S866" s="1"/>
      <c r="T866" s="8"/>
      <c r="U866" s="8"/>
      <c r="V866" s="1"/>
      <c r="W866" s="1"/>
      <c r="X866" s="1"/>
      <c r="Z866" s="8"/>
    </row>
    <row r="867" spans="1:26" x14ac:dyDescent="0.2">
      <c r="A867" s="12">
        <f t="shared" si="28"/>
        <v>855</v>
      </c>
      <c r="E867" s="10" t="str">
        <f t="shared" si="27"/>
        <v/>
      </c>
      <c r="I867" s="53"/>
      <c r="N867" s="8">
        <v>0</v>
      </c>
      <c r="Q867" s="1"/>
      <c r="R867" s="1"/>
      <c r="S867" s="1"/>
      <c r="T867" s="8"/>
      <c r="U867" s="8"/>
      <c r="V867" s="1"/>
      <c r="W867" s="1"/>
      <c r="X867" s="1"/>
      <c r="Z867" s="8"/>
    </row>
    <row r="868" spans="1:26" x14ac:dyDescent="0.2">
      <c r="A868" s="12">
        <f t="shared" si="28"/>
        <v>856</v>
      </c>
      <c r="E868" s="10" t="str">
        <f t="shared" si="27"/>
        <v/>
      </c>
      <c r="I868" s="53"/>
      <c r="N868" s="8">
        <v>0</v>
      </c>
      <c r="Q868" s="1"/>
      <c r="R868" s="1"/>
      <c r="S868" s="1"/>
      <c r="T868" s="8"/>
      <c r="U868" s="8"/>
      <c r="V868" s="1"/>
      <c r="W868" s="1"/>
      <c r="X868" s="1"/>
      <c r="Z868" s="8"/>
    </row>
    <row r="869" spans="1:26" x14ac:dyDescent="0.2">
      <c r="A869" s="12">
        <f t="shared" si="28"/>
        <v>857</v>
      </c>
      <c r="E869" s="10" t="str">
        <f t="shared" si="27"/>
        <v/>
      </c>
      <c r="I869" s="53"/>
      <c r="N869" s="8">
        <v>0</v>
      </c>
      <c r="Q869" s="1"/>
      <c r="R869" s="1"/>
      <c r="S869" s="1"/>
      <c r="T869" s="8"/>
      <c r="U869" s="8"/>
      <c r="V869" s="1"/>
      <c r="W869" s="1"/>
      <c r="X869" s="1"/>
      <c r="Z869" s="8"/>
    </row>
    <row r="870" spans="1:26" x14ac:dyDescent="0.2">
      <c r="A870" s="12">
        <f t="shared" si="28"/>
        <v>858</v>
      </c>
      <c r="E870" s="10" t="str">
        <f t="shared" si="27"/>
        <v/>
      </c>
      <c r="I870" s="53"/>
      <c r="N870" s="8">
        <v>0</v>
      </c>
      <c r="Q870" s="1"/>
      <c r="R870" s="1"/>
      <c r="S870" s="1"/>
      <c r="T870" s="8"/>
      <c r="U870" s="8"/>
      <c r="V870" s="1"/>
      <c r="W870" s="1"/>
      <c r="X870" s="1"/>
      <c r="Z870" s="8"/>
    </row>
    <row r="871" spans="1:26" x14ac:dyDescent="0.2">
      <c r="A871" s="12">
        <f t="shared" si="28"/>
        <v>859</v>
      </c>
      <c r="E871" s="10" t="str">
        <f t="shared" si="27"/>
        <v/>
      </c>
      <c r="I871" s="53"/>
      <c r="N871" s="8">
        <v>0</v>
      </c>
      <c r="Q871" s="1"/>
      <c r="R871" s="1"/>
      <c r="S871" s="1"/>
      <c r="T871" s="8"/>
      <c r="U871" s="8"/>
      <c r="V871" s="1"/>
      <c r="W871" s="1"/>
      <c r="X871" s="1"/>
      <c r="Z871" s="8"/>
    </row>
    <row r="872" spans="1:26" x14ac:dyDescent="0.2">
      <c r="A872" s="12">
        <f t="shared" si="28"/>
        <v>860</v>
      </c>
      <c r="E872" s="10" t="str">
        <f t="shared" si="27"/>
        <v/>
      </c>
      <c r="I872" s="53"/>
      <c r="N872" s="8">
        <v>0</v>
      </c>
      <c r="Q872" s="1"/>
      <c r="R872" s="1"/>
      <c r="S872" s="1"/>
      <c r="T872" s="8"/>
      <c r="U872" s="8"/>
      <c r="V872" s="1"/>
      <c r="W872" s="1"/>
      <c r="X872" s="1"/>
      <c r="Z872" s="8"/>
    </row>
    <row r="873" spans="1:26" x14ac:dyDescent="0.2">
      <c r="A873" s="12">
        <f t="shared" si="28"/>
        <v>861</v>
      </c>
      <c r="E873" s="10" t="str">
        <f t="shared" si="27"/>
        <v/>
      </c>
      <c r="I873" s="53"/>
      <c r="N873" s="8">
        <v>0</v>
      </c>
      <c r="Q873" s="1"/>
      <c r="R873" s="1"/>
      <c r="S873" s="1"/>
      <c r="T873" s="8"/>
      <c r="U873" s="8"/>
      <c r="V873" s="1"/>
      <c r="W873" s="1"/>
      <c r="X873" s="1"/>
      <c r="Z873" s="8"/>
    </row>
    <row r="874" spans="1:26" x14ac:dyDescent="0.2">
      <c r="A874" s="12">
        <f t="shared" si="28"/>
        <v>862</v>
      </c>
      <c r="E874" s="10" t="str">
        <f t="shared" si="27"/>
        <v/>
      </c>
      <c r="I874" s="53"/>
      <c r="N874" s="8">
        <v>0</v>
      </c>
      <c r="Q874" s="1"/>
      <c r="R874" s="1"/>
      <c r="S874" s="1"/>
      <c r="T874" s="8"/>
      <c r="U874" s="8"/>
      <c r="V874" s="1"/>
      <c r="W874" s="1"/>
      <c r="X874" s="1"/>
      <c r="Z874" s="8"/>
    </row>
    <row r="875" spans="1:26" x14ac:dyDescent="0.2">
      <c r="A875" s="12">
        <f t="shared" si="28"/>
        <v>863</v>
      </c>
      <c r="E875" s="10" t="str">
        <f t="shared" si="27"/>
        <v/>
      </c>
      <c r="I875" s="53"/>
      <c r="N875" s="8">
        <v>0</v>
      </c>
      <c r="Q875" s="1"/>
      <c r="R875" s="1"/>
      <c r="S875" s="1"/>
      <c r="T875" s="8"/>
      <c r="U875" s="8"/>
      <c r="V875" s="1"/>
      <c r="W875" s="1"/>
      <c r="X875" s="1"/>
      <c r="Z875" s="8"/>
    </row>
    <row r="876" spans="1:26" x14ac:dyDescent="0.2">
      <c r="A876" s="12">
        <f t="shared" si="28"/>
        <v>864</v>
      </c>
      <c r="E876" s="10" t="str">
        <f t="shared" si="27"/>
        <v/>
      </c>
      <c r="I876" s="53"/>
      <c r="N876" s="8">
        <v>0</v>
      </c>
      <c r="Q876" s="1"/>
      <c r="R876" s="1"/>
      <c r="S876" s="1"/>
      <c r="T876" s="8"/>
      <c r="U876" s="8"/>
      <c r="V876" s="1"/>
      <c r="W876" s="1"/>
      <c r="X876" s="1"/>
      <c r="Z876" s="8"/>
    </row>
    <row r="877" spans="1:26" x14ac:dyDescent="0.2">
      <c r="A877" s="12">
        <f t="shared" si="28"/>
        <v>865</v>
      </c>
      <c r="E877" s="10" t="str">
        <f t="shared" si="27"/>
        <v/>
      </c>
      <c r="I877" s="53"/>
      <c r="N877" s="8">
        <v>0</v>
      </c>
      <c r="Q877" s="1"/>
      <c r="R877" s="1"/>
      <c r="S877" s="1"/>
      <c r="T877" s="8"/>
      <c r="U877" s="8"/>
      <c r="V877" s="1"/>
      <c r="W877" s="1"/>
      <c r="X877" s="1"/>
      <c r="Z877" s="8"/>
    </row>
    <row r="878" spans="1:26" x14ac:dyDescent="0.2">
      <c r="A878" s="12">
        <f t="shared" si="28"/>
        <v>866</v>
      </c>
      <c r="E878" s="10" t="str">
        <f t="shared" si="27"/>
        <v/>
      </c>
      <c r="I878" s="53"/>
      <c r="N878" s="8">
        <v>0</v>
      </c>
      <c r="Q878" s="1"/>
      <c r="R878" s="1"/>
      <c r="S878" s="1"/>
      <c r="T878" s="8"/>
      <c r="U878" s="8"/>
      <c r="V878" s="1"/>
      <c r="W878" s="1"/>
      <c r="X878" s="1"/>
      <c r="Z878" s="8"/>
    </row>
    <row r="879" spans="1:26" x14ac:dyDescent="0.2">
      <c r="A879" s="12">
        <f t="shared" si="28"/>
        <v>867</v>
      </c>
      <c r="E879" s="10" t="str">
        <f t="shared" si="27"/>
        <v/>
      </c>
      <c r="I879" s="53"/>
      <c r="N879" s="8">
        <v>0</v>
      </c>
      <c r="Q879" s="1"/>
      <c r="R879" s="1"/>
      <c r="S879" s="1"/>
      <c r="T879" s="8"/>
      <c r="U879" s="8"/>
      <c r="V879" s="1"/>
      <c r="W879" s="1"/>
      <c r="X879" s="1"/>
      <c r="Z879" s="8"/>
    </row>
    <row r="880" spans="1:26" x14ac:dyDescent="0.2">
      <c r="A880" s="12">
        <f t="shared" si="28"/>
        <v>868</v>
      </c>
      <c r="E880" s="10" t="str">
        <f t="shared" si="27"/>
        <v/>
      </c>
      <c r="I880" s="53"/>
      <c r="N880" s="8">
        <v>0</v>
      </c>
      <c r="Q880" s="1"/>
      <c r="R880" s="1"/>
      <c r="S880" s="1"/>
      <c r="T880" s="8"/>
      <c r="U880" s="8"/>
      <c r="V880" s="1"/>
      <c r="W880" s="1"/>
      <c r="X880" s="1"/>
      <c r="Z880" s="8"/>
    </row>
    <row r="881" spans="1:26" x14ac:dyDescent="0.2">
      <c r="A881" s="12">
        <f t="shared" si="28"/>
        <v>869</v>
      </c>
      <c r="E881" s="10" t="str">
        <f t="shared" si="27"/>
        <v/>
      </c>
      <c r="I881" s="53"/>
      <c r="N881" s="8">
        <v>0</v>
      </c>
      <c r="Q881" s="1"/>
      <c r="R881" s="1"/>
      <c r="S881" s="1"/>
      <c r="T881" s="8"/>
      <c r="U881" s="8"/>
      <c r="V881" s="1"/>
      <c r="W881" s="1"/>
      <c r="X881" s="1"/>
      <c r="Z881" s="8"/>
    </row>
    <row r="882" spans="1:26" x14ac:dyDescent="0.2">
      <c r="A882" s="12">
        <f t="shared" si="28"/>
        <v>870</v>
      </c>
      <c r="E882" s="10" t="str">
        <f t="shared" si="27"/>
        <v/>
      </c>
      <c r="I882" s="53"/>
      <c r="N882" s="8">
        <v>0</v>
      </c>
      <c r="Q882" s="1"/>
      <c r="R882" s="1"/>
      <c r="S882" s="1"/>
      <c r="T882" s="8"/>
      <c r="U882" s="8"/>
      <c r="V882" s="1"/>
      <c r="W882" s="1"/>
      <c r="X882" s="1"/>
      <c r="Z882" s="8"/>
    </row>
    <row r="883" spans="1:26" x14ac:dyDescent="0.2">
      <c r="A883" s="12">
        <f t="shared" si="28"/>
        <v>871</v>
      </c>
      <c r="E883" s="10" t="str">
        <f t="shared" si="27"/>
        <v/>
      </c>
      <c r="I883" s="53"/>
      <c r="N883" s="8">
        <v>0</v>
      </c>
      <c r="Q883" s="1"/>
      <c r="R883" s="1"/>
      <c r="S883" s="1"/>
      <c r="T883" s="8"/>
      <c r="U883" s="8"/>
      <c r="V883" s="1"/>
      <c r="W883" s="1"/>
      <c r="X883" s="1"/>
      <c r="Z883" s="8"/>
    </row>
    <row r="884" spans="1:26" x14ac:dyDescent="0.2">
      <c r="A884" s="12">
        <f t="shared" si="28"/>
        <v>872</v>
      </c>
      <c r="E884" s="10" t="str">
        <f t="shared" si="27"/>
        <v/>
      </c>
      <c r="I884" s="53"/>
      <c r="N884" s="8">
        <v>0</v>
      </c>
      <c r="Q884" s="1"/>
      <c r="R884" s="1"/>
      <c r="S884" s="1"/>
      <c r="T884" s="8"/>
      <c r="U884" s="8"/>
      <c r="V884" s="1"/>
      <c r="W884" s="1"/>
      <c r="X884" s="1"/>
      <c r="Z884" s="8"/>
    </row>
    <row r="885" spans="1:26" x14ac:dyDescent="0.2">
      <c r="A885" s="12">
        <f t="shared" si="28"/>
        <v>873</v>
      </c>
      <c r="E885" s="10" t="str">
        <f t="shared" si="27"/>
        <v/>
      </c>
      <c r="I885" s="53"/>
      <c r="N885" s="8">
        <v>0</v>
      </c>
      <c r="Q885" s="1"/>
      <c r="R885" s="1"/>
      <c r="S885" s="1"/>
      <c r="T885" s="8"/>
      <c r="U885" s="8"/>
      <c r="V885" s="1"/>
      <c r="W885" s="1"/>
      <c r="X885" s="1"/>
      <c r="Z885" s="8"/>
    </row>
    <row r="886" spans="1:26" x14ac:dyDescent="0.2">
      <c r="A886" s="12">
        <f t="shared" si="28"/>
        <v>874</v>
      </c>
      <c r="E886" s="10" t="str">
        <f t="shared" si="27"/>
        <v/>
      </c>
      <c r="I886" s="53"/>
      <c r="N886" s="8">
        <v>0</v>
      </c>
      <c r="Q886" s="1"/>
      <c r="R886" s="1"/>
      <c r="S886" s="1"/>
      <c r="T886" s="8"/>
      <c r="U886" s="8"/>
      <c r="V886" s="1"/>
      <c r="W886" s="1"/>
      <c r="X886" s="1"/>
      <c r="Z886" s="8"/>
    </row>
    <row r="887" spans="1:26" x14ac:dyDescent="0.2">
      <c r="A887" s="12">
        <f t="shared" si="28"/>
        <v>875</v>
      </c>
      <c r="E887" s="10" t="str">
        <f t="shared" si="27"/>
        <v/>
      </c>
      <c r="I887" s="53"/>
      <c r="N887" s="8">
        <v>0</v>
      </c>
      <c r="Q887" s="1"/>
      <c r="R887" s="1"/>
      <c r="S887" s="1"/>
      <c r="T887" s="8"/>
      <c r="U887" s="8"/>
      <c r="V887" s="1"/>
      <c r="W887" s="1"/>
      <c r="X887" s="1"/>
      <c r="Z887" s="8"/>
    </row>
    <row r="888" spans="1:26" x14ac:dyDescent="0.2">
      <c r="A888" s="12">
        <f t="shared" si="28"/>
        <v>876</v>
      </c>
      <c r="E888" s="10" t="str">
        <f t="shared" si="27"/>
        <v/>
      </c>
      <c r="I888" s="53"/>
      <c r="N888" s="8">
        <v>0</v>
      </c>
      <c r="Q888" s="1"/>
      <c r="R888" s="1"/>
      <c r="S888" s="1"/>
      <c r="T888" s="8"/>
      <c r="U888" s="8"/>
      <c r="V888" s="1"/>
      <c r="W888" s="1"/>
      <c r="X888" s="1"/>
      <c r="Z888" s="8"/>
    </row>
    <row r="889" spans="1:26" x14ac:dyDescent="0.2">
      <c r="A889" s="12">
        <f t="shared" si="28"/>
        <v>877</v>
      </c>
      <c r="E889" s="10" t="str">
        <f t="shared" si="27"/>
        <v/>
      </c>
      <c r="I889" s="53"/>
      <c r="N889" s="8">
        <v>0</v>
      </c>
      <c r="Q889" s="1"/>
      <c r="R889" s="1"/>
      <c r="S889" s="1"/>
      <c r="T889" s="8"/>
      <c r="U889" s="8"/>
      <c r="V889" s="1"/>
      <c r="W889" s="1"/>
      <c r="X889" s="1"/>
      <c r="Z889" s="8"/>
    </row>
    <row r="890" spans="1:26" x14ac:dyDescent="0.2">
      <c r="A890" s="12">
        <f t="shared" si="28"/>
        <v>878</v>
      </c>
      <c r="E890" s="10" t="str">
        <f t="shared" si="27"/>
        <v/>
      </c>
      <c r="I890" s="53"/>
      <c r="N890" s="8">
        <v>0</v>
      </c>
      <c r="Q890" s="1"/>
      <c r="R890" s="1"/>
      <c r="S890" s="1"/>
      <c r="T890" s="8"/>
      <c r="U890" s="8"/>
      <c r="V890" s="1"/>
      <c r="W890" s="1"/>
      <c r="X890" s="1"/>
      <c r="Z890" s="8"/>
    </row>
    <row r="891" spans="1:26" x14ac:dyDescent="0.2">
      <c r="A891" s="12">
        <f t="shared" si="28"/>
        <v>879</v>
      </c>
      <c r="E891" s="10" t="str">
        <f t="shared" si="27"/>
        <v/>
      </c>
      <c r="I891" s="53"/>
      <c r="N891" s="8">
        <v>0</v>
      </c>
      <c r="Q891" s="1"/>
      <c r="R891" s="1"/>
      <c r="S891" s="1"/>
      <c r="T891" s="8"/>
      <c r="U891" s="8"/>
      <c r="V891" s="1"/>
      <c r="W891" s="1"/>
      <c r="X891" s="1"/>
      <c r="Z891" s="8"/>
    </row>
    <row r="892" spans="1:26" x14ac:dyDescent="0.2">
      <c r="A892" s="12">
        <f t="shared" si="28"/>
        <v>880</v>
      </c>
      <c r="E892" s="10" t="str">
        <f t="shared" si="27"/>
        <v/>
      </c>
      <c r="I892" s="53"/>
      <c r="N892" s="8">
        <v>0</v>
      </c>
      <c r="Q892" s="1"/>
      <c r="R892" s="1"/>
      <c r="S892" s="1"/>
      <c r="T892" s="8"/>
      <c r="U892" s="8"/>
      <c r="V892" s="1"/>
      <c r="W892" s="1"/>
      <c r="X892" s="1"/>
      <c r="Z892" s="8"/>
    </row>
    <row r="893" spans="1:26" x14ac:dyDescent="0.2">
      <c r="A893" s="12">
        <f t="shared" si="28"/>
        <v>881</v>
      </c>
      <c r="E893" s="10" t="str">
        <f t="shared" si="27"/>
        <v/>
      </c>
      <c r="I893" s="53"/>
      <c r="N893" s="8">
        <v>0</v>
      </c>
      <c r="Q893" s="1"/>
      <c r="R893" s="1"/>
      <c r="S893" s="1"/>
      <c r="T893" s="8"/>
      <c r="U893" s="8"/>
      <c r="V893" s="1"/>
      <c r="W893" s="1"/>
      <c r="X893" s="1"/>
      <c r="Z893" s="8"/>
    </row>
    <row r="894" spans="1:26" x14ac:dyDescent="0.2">
      <c r="A894" s="12">
        <f t="shared" si="28"/>
        <v>882</v>
      </c>
      <c r="E894" s="10" t="str">
        <f t="shared" si="27"/>
        <v/>
      </c>
      <c r="I894" s="53"/>
      <c r="N894" s="8">
        <v>0</v>
      </c>
      <c r="Q894" s="1"/>
      <c r="R894" s="1"/>
      <c r="S894" s="1"/>
      <c r="T894" s="8"/>
      <c r="U894" s="8"/>
      <c r="V894" s="1"/>
      <c r="W894" s="1"/>
      <c r="X894" s="1"/>
      <c r="Z894" s="8"/>
    </row>
    <row r="895" spans="1:26" x14ac:dyDescent="0.2">
      <c r="A895" s="12">
        <f t="shared" si="28"/>
        <v>883</v>
      </c>
      <c r="E895" s="10" t="str">
        <f t="shared" si="27"/>
        <v/>
      </c>
      <c r="I895" s="53"/>
      <c r="N895" s="8">
        <v>0</v>
      </c>
      <c r="Q895" s="1"/>
      <c r="R895" s="1"/>
      <c r="S895" s="1"/>
      <c r="T895" s="8"/>
      <c r="U895" s="8"/>
      <c r="V895" s="1"/>
      <c r="W895" s="1"/>
      <c r="X895" s="1"/>
      <c r="Z895" s="8"/>
    </row>
    <row r="896" spans="1:26" x14ac:dyDescent="0.2">
      <c r="A896" s="12">
        <f t="shared" si="28"/>
        <v>884</v>
      </c>
      <c r="E896" s="10" t="str">
        <f t="shared" si="27"/>
        <v/>
      </c>
      <c r="I896" s="53"/>
      <c r="N896" s="8">
        <v>0</v>
      </c>
      <c r="Q896" s="1"/>
      <c r="R896" s="1"/>
      <c r="S896" s="1"/>
      <c r="T896" s="8"/>
      <c r="U896" s="8"/>
      <c r="V896" s="1"/>
      <c r="W896" s="1"/>
      <c r="X896" s="1"/>
      <c r="Z896" s="8"/>
    </row>
    <row r="897" spans="1:26" x14ac:dyDescent="0.2">
      <c r="A897" s="12">
        <f t="shared" si="28"/>
        <v>885</v>
      </c>
      <c r="E897" s="10" t="str">
        <f t="shared" si="27"/>
        <v/>
      </c>
      <c r="I897" s="53"/>
      <c r="N897" s="8">
        <v>0</v>
      </c>
      <c r="Q897" s="1"/>
      <c r="R897" s="1"/>
      <c r="S897" s="1"/>
      <c r="T897" s="8"/>
      <c r="U897" s="8"/>
      <c r="V897" s="1"/>
      <c r="W897" s="1"/>
      <c r="X897" s="1"/>
      <c r="Z897" s="8"/>
    </row>
    <row r="898" spans="1:26" x14ac:dyDescent="0.2">
      <c r="A898" s="12">
        <f t="shared" si="28"/>
        <v>886</v>
      </c>
      <c r="E898" s="10" t="str">
        <f t="shared" si="27"/>
        <v/>
      </c>
      <c r="I898" s="53"/>
      <c r="N898" s="8">
        <v>0</v>
      </c>
      <c r="Q898" s="1"/>
      <c r="R898" s="1"/>
      <c r="S898" s="1"/>
      <c r="T898" s="8"/>
      <c r="U898" s="8"/>
      <c r="V898" s="1"/>
      <c r="W898" s="1"/>
      <c r="X898" s="1"/>
      <c r="Z898" s="8"/>
    </row>
    <row r="899" spans="1:26" x14ac:dyDescent="0.2">
      <c r="A899" s="12">
        <f t="shared" si="28"/>
        <v>887</v>
      </c>
      <c r="E899" s="10" t="str">
        <f t="shared" si="27"/>
        <v/>
      </c>
      <c r="I899" s="53"/>
      <c r="N899" s="8">
        <v>0</v>
      </c>
      <c r="Q899" s="1"/>
      <c r="R899" s="1"/>
      <c r="S899" s="1"/>
      <c r="T899" s="8"/>
      <c r="U899" s="8"/>
      <c r="V899" s="1"/>
      <c r="W899" s="1"/>
      <c r="X899" s="1"/>
      <c r="Z899" s="8"/>
    </row>
    <row r="900" spans="1:26" x14ac:dyDescent="0.2">
      <c r="A900" s="12">
        <f t="shared" si="28"/>
        <v>888</v>
      </c>
      <c r="E900" s="10" t="str">
        <f t="shared" si="27"/>
        <v/>
      </c>
      <c r="I900" s="53"/>
      <c r="N900" s="8">
        <v>0</v>
      </c>
      <c r="Q900" s="1"/>
      <c r="R900" s="1"/>
      <c r="S900" s="1"/>
      <c r="T900" s="8"/>
      <c r="U900" s="8"/>
      <c r="V900" s="1"/>
      <c r="W900" s="1"/>
      <c r="X900" s="1"/>
      <c r="Z900" s="8"/>
    </row>
    <row r="901" spans="1:26" x14ac:dyDescent="0.2">
      <c r="A901" s="12">
        <f t="shared" si="28"/>
        <v>889</v>
      </c>
      <c r="E901" s="10" t="str">
        <f t="shared" si="27"/>
        <v/>
      </c>
      <c r="I901" s="53"/>
      <c r="N901" s="8">
        <v>0</v>
      </c>
      <c r="Q901" s="1"/>
      <c r="R901" s="1"/>
      <c r="S901" s="1"/>
      <c r="T901" s="8"/>
      <c r="U901" s="8"/>
      <c r="V901" s="1"/>
      <c r="W901" s="1"/>
      <c r="X901" s="1"/>
      <c r="Z901" s="8"/>
    </row>
    <row r="902" spans="1:26" x14ac:dyDescent="0.2">
      <c r="A902" s="12">
        <f t="shared" si="28"/>
        <v>890</v>
      </c>
      <c r="E902" s="10" t="str">
        <f t="shared" si="27"/>
        <v/>
      </c>
      <c r="I902" s="53"/>
      <c r="N902" s="8">
        <v>0</v>
      </c>
      <c r="Q902" s="1"/>
      <c r="R902" s="1"/>
      <c r="S902" s="1"/>
      <c r="T902" s="8"/>
      <c r="U902" s="8"/>
      <c r="V902" s="1"/>
      <c r="W902" s="1"/>
      <c r="X902" s="1"/>
      <c r="Z902" s="8"/>
    </row>
    <row r="903" spans="1:26" x14ac:dyDescent="0.2">
      <c r="A903" s="12">
        <f t="shared" si="28"/>
        <v>891</v>
      </c>
      <c r="E903" s="10" t="str">
        <f t="shared" si="27"/>
        <v/>
      </c>
      <c r="I903" s="53"/>
      <c r="N903" s="8">
        <v>0</v>
      </c>
      <c r="Q903" s="1"/>
      <c r="R903" s="1"/>
      <c r="S903" s="1"/>
      <c r="T903" s="8"/>
      <c r="U903" s="8"/>
      <c r="V903" s="1"/>
      <c r="W903" s="1"/>
      <c r="X903" s="1"/>
      <c r="Z903" s="8"/>
    </row>
    <row r="904" spans="1:26" x14ac:dyDescent="0.2">
      <c r="A904" s="12">
        <f t="shared" si="28"/>
        <v>892</v>
      </c>
      <c r="E904" s="10" t="str">
        <f t="shared" si="27"/>
        <v/>
      </c>
      <c r="I904" s="53"/>
      <c r="N904" s="8">
        <v>0</v>
      </c>
      <c r="Q904" s="1"/>
      <c r="R904" s="1"/>
      <c r="S904" s="1"/>
      <c r="T904" s="8"/>
      <c r="U904" s="8"/>
      <c r="V904" s="1"/>
      <c r="W904" s="1"/>
      <c r="X904" s="1"/>
      <c r="Z904" s="8"/>
    </row>
    <row r="905" spans="1:26" x14ac:dyDescent="0.2">
      <c r="A905" s="12">
        <f t="shared" si="28"/>
        <v>893</v>
      </c>
      <c r="E905" s="10" t="str">
        <f t="shared" si="27"/>
        <v/>
      </c>
      <c r="I905" s="53"/>
      <c r="N905" s="8">
        <v>0</v>
      </c>
      <c r="Q905" s="1"/>
      <c r="R905" s="1"/>
      <c r="S905" s="1"/>
      <c r="T905" s="8"/>
      <c r="U905" s="8"/>
      <c r="V905" s="1"/>
      <c r="W905" s="1"/>
      <c r="X905" s="1"/>
      <c r="Z905" s="8"/>
    </row>
    <row r="906" spans="1:26" x14ac:dyDescent="0.2">
      <c r="A906" s="12">
        <f t="shared" si="28"/>
        <v>894</v>
      </c>
      <c r="E906" s="10" t="str">
        <f t="shared" si="27"/>
        <v/>
      </c>
      <c r="I906" s="53"/>
      <c r="N906" s="8">
        <v>0</v>
      </c>
      <c r="Q906" s="1"/>
      <c r="R906" s="1"/>
      <c r="S906" s="1"/>
      <c r="T906" s="8"/>
      <c r="U906" s="8"/>
      <c r="V906" s="1"/>
      <c r="W906" s="1"/>
      <c r="X906" s="1"/>
      <c r="Z906" s="8"/>
    </row>
    <row r="907" spans="1:26" x14ac:dyDescent="0.2">
      <c r="A907" s="12">
        <f t="shared" si="28"/>
        <v>895</v>
      </c>
      <c r="E907" s="10" t="str">
        <f t="shared" si="27"/>
        <v/>
      </c>
      <c r="I907" s="53"/>
      <c r="N907" s="8">
        <v>0</v>
      </c>
      <c r="Q907" s="1"/>
      <c r="R907" s="1"/>
      <c r="S907" s="1"/>
      <c r="T907" s="8"/>
      <c r="U907" s="8"/>
      <c r="V907" s="1"/>
      <c r="W907" s="1"/>
      <c r="X907" s="1"/>
      <c r="Z907" s="8"/>
    </row>
    <row r="908" spans="1:26" x14ac:dyDescent="0.2">
      <c r="A908" s="12">
        <f t="shared" si="28"/>
        <v>896</v>
      </c>
      <c r="E908" s="10" t="str">
        <f t="shared" si="27"/>
        <v/>
      </c>
      <c r="I908" s="53"/>
      <c r="N908" s="8">
        <v>0</v>
      </c>
      <c r="Q908" s="1"/>
      <c r="R908" s="1"/>
      <c r="S908" s="1"/>
      <c r="T908" s="8"/>
      <c r="U908" s="8"/>
      <c r="V908" s="1"/>
      <c r="W908" s="1"/>
      <c r="X908" s="1"/>
      <c r="Z908" s="8"/>
    </row>
    <row r="909" spans="1:26" x14ac:dyDescent="0.2">
      <c r="A909" s="12">
        <f t="shared" si="28"/>
        <v>897</v>
      </c>
      <c r="E909" s="10" t="str">
        <f t="shared" ref="E909:E972" si="29">IF($C$8&gt;=A909,$E$1&amp;" "&amp;A909,"")</f>
        <v/>
      </c>
      <c r="I909" s="53"/>
      <c r="N909" s="8">
        <v>0</v>
      </c>
      <c r="Q909" s="1"/>
      <c r="R909" s="1"/>
      <c r="S909" s="1"/>
      <c r="T909" s="8"/>
      <c r="U909" s="8"/>
      <c r="V909" s="1"/>
      <c r="W909" s="1"/>
      <c r="X909" s="1"/>
      <c r="Z909" s="8"/>
    </row>
    <row r="910" spans="1:26" x14ac:dyDescent="0.2">
      <c r="A910" s="12">
        <f t="shared" si="28"/>
        <v>898</v>
      </c>
      <c r="E910" s="10" t="str">
        <f t="shared" si="29"/>
        <v/>
      </c>
      <c r="I910" s="53"/>
      <c r="N910" s="8">
        <v>0</v>
      </c>
      <c r="Q910" s="1"/>
      <c r="R910" s="1"/>
      <c r="S910" s="1"/>
      <c r="T910" s="8"/>
      <c r="U910" s="8"/>
      <c r="V910" s="1"/>
      <c r="W910" s="1"/>
      <c r="X910" s="1"/>
      <c r="Z910" s="8"/>
    </row>
    <row r="911" spans="1:26" x14ac:dyDescent="0.2">
      <c r="A911" s="12">
        <f t="shared" ref="A911:A974" si="30">A910+1</f>
        <v>899</v>
      </c>
      <c r="E911" s="10" t="str">
        <f t="shared" si="29"/>
        <v/>
      </c>
      <c r="I911" s="53"/>
      <c r="N911" s="8">
        <v>0</v>
      </c>
      <c r="Q911" s="1"/>
      <c r="R911" s="1"/>
      <c r="S911" s="1"/>
      <c r="T911" s="8"/>
      <c r="U911" s="8"/>
      <c r="V911" s="1"/>
      <c r="W911" s="1"/>
      <c r="X911" s="1"/>
      <c r="Z911" s="8"/>
    </row>
    <row r="912" spans="1:26" x14ac:dyDescent="0.2">
      <c r="A912" s="12">
        <f t="shared" si="30"/>
        <v>900</v>
      </c>
      <c r="E912" s="10" t="str">
        <f t="shared" si="29"/>
        <v/>
      </c>
      <c r="I912" s="53"/>
      <c r="N912" s="8">
        <v>0</v>
      </c>
      <c r="Q912" s="1"/>
      <c r="R912" s="1"/>
      <c r="S912" s="1"/>
      <c r="T912" s="8"/>
      <c r="U912" s="8"/>
      <c r="V912" s="1"/>
      <c r="W912" s="1"/>
      <c r="X912" s="1"/>
      <c r="Z912" s="8"/>
    </row>
    <row r="913" spans="1:26" x14ac:dyDescent="0.2">
      <c r="A913" s="12">
        <f t="shared" si="30"/>
        <v>901</v>
      </c>
      <c r="E913" s="10" t="str">
        <f t="shared" si="29"/>
        <v/>
      </c>
      <c r="I913" s="53"/>
      <c r="N913" s="8">
        <v>0</v>
      </c>
      <c r="Q913" s="1"/>
      <c r="R913" s="1"/>
      <c r="S913" s="1"/>
      <c r="T913" s="8"/>
      <c r="U913" s="8"/>
      <c r="V913" s="1"/>
      <c r="W913" s="1"/>
      <c r="X913" s="1"/>
      <c r="Z913" s="8"/>
    </row>
    <row r="914" spans="1:26" x14ac:dyDescent="0.2">
      <c r="A914" s="12">
        <f t="shared" si="30"/>
        <v>902</v>
      </c>
      <c r="E914" s="10" t="str">
        <f t="shared" si="29"/>
        <v/>
      </c>
      <c r="I914" s="53"/>
      <c r="N914" s="8">
        <v>0</v>
      </c>
      <c r="Q914" s="1"/>
      <c r="R914" s="1"/>
      <c r="S914" s="1"/>
      <c r="T914" s="8"/>
      <c r="U914" s="8"/>
      <c r="V914" s="1"/>
      <c r="W914" s="1"/>
      <c r="X914" s="1"/>
      <c r="Z914" s="8"/>
    </row>
    <row r="915" spans="1:26" x14ac:dyDescent="0.2">
      <c r="A915" s="12">
        <f t="shared" si="30"/>
        <v>903</v>
      </c>
      <c r="E915" s="10" t="str">
        <f t="shared" si="29"/>
        <v/>
      </c>
      <c r="I915" s="53"/>
      <c r="N915" s="8">
        <v>0</v>
      </c>
      <c r="Q915" s="1"/>
      <c r="R915" s="1"/>
      <c r="S915" s="1"/>
      <c r="T915" s="8"/>
      <c r="U915" s="8"/>
      <c r="V915" s="1"/>
      <c r="W915" s="1"/>
      <c r="X915" s="1"/>
      <c r="Z915" s="8"/>
    </row>
    <row r="916" spans="1:26" x14ac:dyDescent="0.2">
      <c r="A916" s="12">
        <f t="shared" si="30"/>
        <v>904</v>
      </c>
      <c r="E916" s="10" t="str">
        <f t="shared" si="29"/>
        <v/>
      </c>
      <c r="I916" s="53"/>
      <c r="N916" s="8">
        <v>0</v>
      </c>
      <c r="Q916" s="1"/>
      <c r="R916" s="1"/>
      <c r="S916" s="1"/>
      <c r="T916" s="8"/>
      <c r="U916" s="8"/>
      <c r="V916" s="1"/>
      <c r="W916" s="1"/>
      <c r="X916" s="1"/>
      <c r="Z916" s="8"/>
    </row>
    <row r="917" spans="1:26" x14ac:dyDescent="0.2">
      <c r="A917" s="12">
        <f t="shared" si="30"/>
        <v>905</v>
      </c>
      <c r="E917" s="10" t="str">
        <f t="shared" si="29"/>
        <v/>
      </c>
      <c r="I917" s="53"/>
      <c r="N917" s="8">
        <v>0</v>
      </c>
      <c r="Q917" s="1"/>
      <c r="R917" s="1"/>
      <c r="S917" s="1"/>
      <c r="T917" s="8"/>
      <c r="U917" s="8"/>
      <c r="V917" s="1"/>
      <c r="W917" s="1"/>
      <c r="X917" s="1"/>
      <c r="Z917" s="8"/>
    </row>
    <row r="918" spans="1:26" x14ac:dyDescent="0.2">
      <c r="A918" s="12">
        <f t="shared" si="30"/>
        <v>906</v>
      </c>
      <c r="E918" s="10" t="str">
        <f t="shared" si="29"/>
        <v/>
      </c>
      <c r="I918" s="53"/>
      <c r="N918" s="8">
        <v>0</v>
      </c>
      <c r="Q918" s="1"/>
      <c r="R918" s="1"/>
      <c r="S918" s="1"/>
      <c r="T918" s="8"/>
      <c r="U918" s="8"/>
      <c r="V918" s="1"/>
      <c r="W918" s="1"/>
      <c r="X918" s="1"/>
      <c r="Z918" s="8"/>
    </row>
    <row r="919" spans="1:26" x14ac:dyDescent="0.2">
      <c r="A919" s="12">
        <f t="shared" si="30"/>
        <v>907</v>
      </c>
      <c r="E919" s="10" t="str">
        <f t="shared" si="29"/>
        <v/>
      </c>
      <c r="I919" s="53"/>
      <c r="N919" s="8">
        <v>0</v>
      </c>
      <c r="Q919" s="1"/>
      <c r="R919" s="1"/>
      <c r="S919" s="1"/>
      <c r="T919" s="8"/>
      <c r="U919" s="8"/>
      <c r="V919" s="1"/>
      <c r="W919" s="1"/>
      <c r="X919" s="1"/>
      <c r="Z919" s="8"/>
    </row>
    <row r="920" spans="1:26" x14ac:dyDescent="0.2">
      <c r="A920" s="12">
        <f t="shared" si="30"/>
        <v>908</v>
      </c>
      <c r="E920" s="10" t="str">
        <f t="shared" si="29"/>
        <v/>
      </c>
      <c r="I920" s="53"/>
      <c r="N920" s="8">
        <v>0</v>
      </c>
      <c r="Q920" s="1"/>
      <c r="R920" s="1"/>
      <c r="S920" s="1"/>
      <c r="T920" s="8"/>
      <c r="U920" s="8"/>
      <c r="V920" s="1"/>
      <c r="W920" s="1"/>
      <c r="X920" s="1"/>
      <c r="Z920" s="8"/>
    </row>
    <row r="921" spans="1:26" x14ac:dyDescent="0.2">
      <c r="A921" s="12">
        <f t="shared" si="30"/>
        <v>909</v>
      </c>
      <c r="E921" s="10" t="str">
        <f t="shared" si="29"/>
        <v/>
      </c>
      <c r="I921" s="53"/>
      <c r="N921" s="8">
        <v>0</v>
      </c>
      <c r="Q921" s="1"/>
      <c r="R921" s="1"/>
      <c r="S921" s="1"/>
      <c r="T921" s="8"/>
      <c r="U921" s="8"/>
      <c r="V921" s="1"/>
      <c r="W921" s="1"/>
      <c r="X921" s="1"/>
      <c r="Z921" s="8"/>
    </row>
    <row r="922" spans="1:26" x14ac:dyDescent="0.2">
      <c r="A922" s="12">
        <f t="shared" si="30"/>
        <v>910</v>
      </c>
      <c r="E922" s="10" t="str">
        <f t="shared" si="29"/>
        <v/>
      </c>
      <c r="I922" s="53"/>
      <c r="N922" s="8">
        <v>0</v>
      </c>
      <c r="Q922" s="1"/>
      <c r="R922" s="1"/>
      <c r="S922" s="1"/>
      <c r="T922" s="8"/>
      <c r="U922" s="8"/>
      <c r="V922" s="1"/>
      <c r="W922" s="1"/>
      <c r="X922" s="1"/>
      <c r="Z922" s="8"/>
    </row>
    <row r="923" spans="1:26" x14ac:dyDescent="0.2">
      <c r="A923" s="12">
        <f t="shared" si="30"/>
        <v>911</v>
      </c>
      <c r="E923" s="10" t="str">
        <f t="shared" si="29"/>
        <v/>
      </c>
      <c r="I923" s="53"/>
      <c r="N923" s="8">
        <v>0</v>
      </c>
      <c r="Q923" s="1"/>
      <c r="R923" s="1"/>
      <c r="S923" s="1"/>
      <c r="T923" s="8"/>
      <c r="U923" s="8"/>
      <c r="V923" s="1"/>
      <c r="W923" s="1"/>
      <c r="X923" s="1"/>
      <c r="Z923" s="8"/>
    </row>
    <row r="924" spans="1:26" x14ac:dyDescent="0.2">
      <c r="A924" s="12">
        <f t="shared" si="30"/>
        <v>912</v>
      </c>
      <c r="E924" s="10" t="str">
        <f t="shared" si="29"/>
        <v/>
      </c>
      <c r="I924" s="53"/>
      <c r="N924" s="8">
        <v>0</v>
      </c>
      <c r="Q924" s="1"/>
      <c r="R924" s="1"/>
      <c r="S924" s="1"/>
      <c r="T924" s="8"/>
      <c r="U924" s="8"/>
      <c r="V924" s="1"/>
      <c r="W924" s="1"/>
      <c r="X924" s="1"/>
      <c r="Z924" s="8"/>
    </row>
    <row r="925" spans="1:26" x14ac:dyDescent="0.2">
      <c r="A925" s="12">
        <f t="shared" si="30"/>
        <v>913</v>
      </c>
      <c r="E925" s="10" t="str">
        <f t="shared" si="29"/>
        <v/>
      </c>
      <c r="I925" s="53"/>
      <c r="N925" s="8">
        <v>0</v>
      </c>
      <c r="Q925" s="1"/>
      <c r="R925" s="1"/>
      <c r="S925" s="1"/>
      <c r="T925" s="8"/>
      <c r="U925" s="8"/>
      <c r="V925" s="1"/>
      <c r="W925" s="1"/>
      <c r="X925" s="1"/>
      <c r="Z925" s="8"/>
    </row>
    <row r="926" spans="1:26" x14ac:dyDescent="0.2">
      <c r="A926" s="12">
        <f t="shared" si="30"/>
        <v>914</v>
      </c>
      <c r="E926" s="10" t="str">
        <f t="shared" si="29"/>
        <v/>
      </c>
      <c r="I926" s="53"/>
      <c r="N926" s="8">
        <v>0</v>
      </c>
      <c r="Q926" s="1"/>
      <c r="R926" s="1"/>
      <c r="S926" s="1"/>
      <c r="T926" s="8"/>
      <c r="U926" s="8"/>
      <c r="V926" s="1"/>
      <c r="W926" s="1"/>
      <c r="X926" s="1"/>
      <c r="Z926" s="8"/>
    </row>
    <row r="927" spans="1:26" x14ac:dyDescent="0.2">
      <c r="A927" s="12">
        <f t="shared" si="30"/>
        <v>915</v>
      </c>
      <c r="E927" s="10" t="str">
        <f t="shared" si="29"/>
        <v/>
      </c>
      <c r="I927" s="53"/>
      <c r="N927" s="8">
        <v>0</v>
      </c>
      <c r="Q927" s="1"/>
      <c r="R927" s="1"/>
      <c r="S927" s="1"/>
      <c r="T927" s="8"/>
      <c r="U927" s="8"/>
      <c r="V927" s="1"/>
      <c r="W927" s="1"/>
      <c r="X927" s="1"/>
      <c r="Z927" s="8"/>
    </row>
    <row r="928" spans="1:26" x14ac:dyDescent="0.2">
      <c r="A928" s="12">
        <f t="shared" si="30"/>
        <v>916</v>
      </c>
      <c r="E928" s="10" t="str">
        <f t="shared" si="29"/>
        <v/>
      </c>
      <c r="I928" s="53"/>
      <c r="N928" s="8">
        <v>0</v>
      </c>
      <c r="Q928" s="1"/>
      <c r="R928" s="1"/>
      <c r="S928" s="1"/>
      <c r="T928" s="8"/>
      <c r="U928" s="8"/>
      <c r="V928" s="1"/>
      <c r="W928" s="1"/>
      <c r="X928" s="1"/>
      <c r="Z928" s="8"/>
    </row>
    <row r="929" spans="1:26" x14ac:dyDescent="0.2">
      <c r="A929" s="12">
        <f t="shared" si="30"/>
        <v>917</v>
      </c>
      <c r="E929" s="10" t="str">
        <f t="shared" si="29"/>
        <v/>
      </c>
      <c r="I929" s="53"/>
      <c r="N929" s="8">
        <v>0</v>
      </c>
      <c r="Q929" s="1"/>
      <c r="R929" s="1"/>
      <c r="S929" s="1"/>
      <c r="T929" s="8"/>
      <c r="U929" s="8"/>
      <c r="V929" s="1"/>
      <c r="W929" s="1"/>
      <c r="X929" s="1"/>
      <c r="Z929" s="8"/>
    </row>
    <row r="930" spans="1:26" x14ac:dyDescent="0.2">
      <c r="A930" s="12">
        <f t="shared" si="30"/>
        <v>918</v>
      </c>
      <c r="E930" s="10" t="str">
        <f t="shared" si="29"/>
        <v/>
      </c>
      <c r="I930" s="53"/>
      <c r="N930" s="8">
        <v>0</v>
      </c>
      <c r="Q930" s="1"/>
      <c r="R930" s="1"/>
      <c r="S930" s="1"/>
      <c r="T930" s="8"/>
      <c r="U930" s="8"/>
      <c r="V930" s="1"/>
      <c r="W930" s="1"/>
      <c r="X930" s="1"/>
      <c r="Z930" s="8"/>
    </row>
    <row r="931" spans="1:26" x14ac:dyDescent="0.2">
      <c r="A931" s="12">
        <f t="shared" si="30"/>
        <v>919</v>
      </c>
      <c r="E931" s="10" t="str">
        <f t="shared" si="29"/>
        <v/>
      </c>
      <c r="I931" s="53"/>
      <c r="N931" s="8">
        <v>0</v>
      </c>
      <c r="Q931" s="1"/>
      <c r="R931" s="1"/>
      <c r="S931" s="1"/>
      <c r="T931" s="8"/>
      <c r="U931" s="8"/>
      <c r="V931" s="1"/>
      <c r="W931" s="1"/>
      <c r="X931" s="1"/>
      <c r="Z931" s="8"/>
    </row>
    <row r="932" spans="1:26" x14ac:dyDescent="0.2">
      <c r="A932" s="12">
        <f t="shared" si="30"/>
        <v>920</v>
      </c>
      <c r="E932" s="10" t="str">
        <f t="shared" si="29"/>
        <v/>
      </c>
      <c r="I932" s="53"/>
      <c r="N932" s="8">
        <v>0</v>
      </c>
      <c r="Q932" s="1"/>
      <c r="R932" s="1"/>
      <c r="S932" s="1"/>
      <c r="T932" s="8"/>
      <c r="U932" s="8"/>
      <c r="V932" s="1"/>
      <c r="W932" s="1"/>
      <c r="X932" s="1"/>
      <c r="Z932" s="8"/>
    </row>
    <row r="933" spans="1:26" x14ac:dyDescent="0.2">
      <c r="A933" s="12">
        <f t="shared" si="30"/>
        <v>921</v>
      </c>
      <c r="E933" s="10" t="str">
        <f t="shared" si="29"/>
        <v/>
      </c>
      <c r="I933" s="53"/>
      <c r="N933" s="8">
        <v>0</v>
      </c>
      <c r="Q933" s="1"/>
      <c r="R933" s="1"/>
      <c r="S933" s="1"/>
      <c r="T933" s="8"/>
      <c r="U933" s="8"/>
      <c r="V933" s="1"/>
      <c r="W933" s="1"/>
      <c r="X933" s="1"/>
      <c r="Z933" s="8"/>
    </row>
    <row r="934" spans="1:26" x14ac:dyDescent="0.2">
      <c r="A934" s="12">
        <f t="shared" si="30"/>
        <v>922</v>
      </c>
      <c r="E934" s="10" t="str">
        <f t="shared" si="29"/>
        <v/>
      </c>
      <c r="I934" s="53"/>
      <c r="N934" s="8">
        <v>0</v>
      </c>
      <c r="Q934" s="1"/>
      <c r="R934" s="1"/>
      <c r="S934" s="1"/>
      <c r="T934" s="8"/>
      <c r="U934" s="8"/>
      <c r="V934" s="1"/>
      <c r="W934" s="1"/>
      <c r="X934" s="1"/>
      <c r="Z934" s="8"/>
    </row>
    <row r="935" spans="1:26" x14ac:dyDescent="0.2">
      <c r="A935" s="12">
        <f t="shared" si="30"/>
        <v>923</v>
      </c>
      <c r="E935" s="10" t="str">
        <f t="shared" si="29"/>
        <v/>
      </c>
      <c r="I935" s="53"/>
      <c r="N935" s="8">
        <v>0</v>
      </c>
      <c r="Q935" s="1"/>
      <c r="R935" s="1"/>
      <c r="S935" s="1"/>
      <c r="T935" s="8"/>
      <c r="U935" s="8"/>
      <c r="V935" s="1"/>
      <c r="W935" s="1"/>
      <c r="X935" s="1"/>
      <c r="Z935" s="8"/>
    </row>
    <row r="936" spans="1:26" x14ac:dyDescent="0.2">
      <c r="A936" s="12">
        <f t="shared" si="30"/>
        <v>924</v>
      </c>
      <c r="E936" s="10" t="str">
        <f t="shared" si="29"/>
        <v/>
      </c>
      <c r="I936" s="53"/>
      <c r="N936" s="8">
        <v>0</v>
      </c>
      <c r="Q936" s="1"/>
      <c r="R936" s="1"/>
      <c r="S936" s="1"/>
      <c r="T936" s="8"/>
      <c r="U936" s="8"/>
      <c r="V936" s="1"/>
      <c r="W936" s="1"/>
      <c r="X936" s="1"/>
      <c r="Z936" s="8"/>
    </row>
    <row r="937" spans="1:26" x14ac:dyDescent="0.2">
      <c r="A937" s="12">
        <f t="shared" si="30"/>
        <v>925</v>
      </c>
      <c r="E937" s="10" t="str">
        <f t="shared" si="29"/>
        <v/>
      </c>
      <c r="I937" s="53"/>
      <c r="N937" s="8">
        <v>0</v>
      </c>
      <c r="Q937" s="1"/>
      <c r="R937" s="1"/>
      <c r="S937" s="1"/>
      <c r="T937" s="8"/>
      <c r="U937" s="8"/>
      <c r="V937" s="1"/>
      <c r="W937" s="1"/>
      <c r="X937" s="1"/>
      <c r="Z937" s="8"/>
    </row>
    <row r="938" spans="1:26" x14ac:dyDescent="0.2">
      <c r="A938" s="12">
        <f t="shared" si="30"/>
        <v>926</v>
      </c>
      <c r="E938" s="10" t="str">
        <f t="shared" si="29"/>
        <v/>
      </c>
      <c r="I938" s="53"/>
      <c r="N938" s="8">
        <v>0</v>
      </c>
      <c r="Q938" s="1"/>
      <c r="R938" s="1"/>
      <c r="S938" s="1"/>
      <c r="T938" s="8"/>
      <c r="U938" s="8"/>
      <c r="V938" s="1"/>
      <c r="W938" s="1"/>
      <c r="X938" s="1"/>
      <c r="Z938" s="8"/>
    </row>
    <row r="939" spans="1:26" x14ac:dyDescent="0.2">
      <c r="A939" s="12">
        <f t="shared" si="30"/>
        <v>927</v>
      </c>
      <c r="E939" s="10" t="str">
        <f t="shared" si="29"/>
        <v/>
      </c>
      <c r="I939" s="53"/>
      <c r="N939" s="8">
        <v>0</v>
      </c>
      <c r="Q939" s="1"/>
      <c r="R939" s="1"/>
      <c r="S939" s="1"/>
      <c r="T939" s="8"/>
      <c r="U939" s="8"/>
      <c r="V939" s="1"/>
      <c r="W939" s="1"/>
      <c r="X939" s="1"/>
      <c r="Z939" s="8"/>
    </row>
    <row r="940" spans="1:26" x14ac:dyDescent="0.2">
      <c r="A940" s="12">
        <f t="shared" si="30"/>
        <v>928</v>
      </c>
      <c r="E940" s="10" t="str">
        <f t="shared" si="29"/>
        <v/>
      </c>
      <c r="I940" s="53"/>
      <c r="N940" s="8">
        <v>0</v>
      </c>
      <c r="Q940" s="1"/>
      <c r="R940" s="1"/>
      <c r="S940" s="1"/>
      <c r="T940" s="8"/>
      <c r="U940" s="8"/>
      <c r="V940" s="1"/>
      <c r="W940" s="1"/>
      <c r="X940" s="1"/>
      <c r="Z940" s="8"/>
    </row>
    <row r="941" spans="1:26" x14ac:dyDescent="0.2">
      <c r="A941" s="12">
        <f t="shared" si="30"/>
        <v>929</v>
      </c>
      <c r="E941" s="10" t="str">
        <f t="shared" si="29"/>
        <v/>
      </c>
      <c r="I941" s="53"/>
      <c r="N941" s="8">
        <v>0</v>
      </c>
      <c r="Q941" s="1"/>
      <c r="R941" s="1"/>
      <c r="S941" s="1"/>
      <c r="T941" s="8"/>
      <c r="U941" s="8"/>
      <c r="V941" s="1"/>
      <c r="W941" s="1"/>
      <c r="X941" s="1"/>
      <c r="Z941" s="8"/>
    </row>
    <row r="942" spans="1:26" x14ac:dyDescent="0.2">
      <c r="A942" s="12">
        <f t="shared" si="30"/>
        <v>930</v>
      </c>
      <c r="E942" s="10" t="str">
        <f t="shared" si="29"/>
        <v/>
      </c>
      <c r="I942" s="53"/>
      <c r="N942" s="8">
        <v>0</v>
      </c>
      <c r="Q942" s="1"/>
      <c r="R942" s="1"/>
      <c r="S942" s="1"/>
      <c r="T942" s="8"/>
      <c r="U942" s="8"/>
      <c r="V942" s="1"/>
      <c r="W942" s="1"/>
      <c r="X942" s="1"/>
      <c r="Z942" s="8"/>
    </row>
    <row r="943" spans="1:26" x14ac:dyDescent="0.2">
      <c r="A943" s="12">
        <f t="shared" si="30"/>
        <v>931</v>
      </c>
      <c r="E943" s="10" t="str">
        <f t="shared" si="29"/>
        <v/>
      </c>
      <c r="I943" s="53"/>
      <c r="N943" s="8">
        <v>0</v>
      </c>
      <c r="Q943" s="1"/>
      <c r="R943" s="1"/>
      <c r="S943" s="1"/>
      <c r="T943" s="8"/>
      <c r="U943" s="8"/>
      <c r="V943" s="1"/>
      <c r="W943" s="1"/>
      <c r="X943" s="1"/>
      <c r="Z943" s="8"/>
    </row>
    <row r="944" spans="1:26" x14ac:dyDescent="0.2">
      <c r="A944" s="12">
        <f t="shared" si="30"/>
        <v>932</v>
      </c>
      <c r="E944" s="10" t="str">
        <f t="shared" si="29"/>
        <v/>
      </c>
      <c r="I944" s="53"/>
      <c r="N944" s="8">
        <v>0</v>
      </c>
      <c r="Q944" s="1"/>
      <c r="R944" s="1"/>
      <c r="S944" s="1"/>
      <c r="T944" s="8"/>
      <c r="U944" s="8"/>
      <c r="V944" s="1"/>
      <c r="W944" s="1"/>
      <c r="X944" s="1"/>
      <c r="Z944" s="8"/>
    </row>
    <row r="945" spans="1:26" x14ac:dyDescent="0.2">
      <c r="A945" s="12">
        <f t="shared" si="30"/>
        <v>933</v>
      </c>
      <c r="E945" s="10" t="str">
        <f t="shared" si="29"/>
        <v/>
      </c>
      <c r="I945" s="53"/>
      <c r="N945" s="8">
        <v>0</v>
      </c>
      <c r="Q945" s="1"/>
      <c r="R945" s="1"/>
      <c r="S945" s="1"/>
      <c r="T945" s="8"/>
      <c r="U945" s="8"/>
      <c r="V945" s="1"/>
      <c r="W945" s="1"/>
      <c r="X945" s="1"/>
      <c r="Z945" s="8"/>
    </row>
    <row r="946" spans="1:26" x14ac:dyDescent="0.2">
      <c r="A946" s="12">
        <f t="shared" si="30"/>
        <v>934</v>
      </c>
      <c r="E946" s="10" t="str">
        <f t="shared" si="29"/>
        <v/>
      </c>
      <c r="I946" s="53"/>
      <c r="N946" s="8">
        <v>0</v>
      </c>
      <c r="Q946" s="1"/>
      <c r="R946" s="1"/>
      <c r="S946" s="1"/>
      <c r="T946" s="8"/>
      <c r="U946" s="8"/>
      <c r="V946" s="1"/>
      <c r="W946" s="1"/>
      <c r="X946" s="1"/>
      <c r="Z946" s="8"/>
    </row>
    <row r="947" spans="1:26" x14ac:dyDescent="0.2">
      <c r="A947" s="12">
        <f t="shared" si="30"/>
        <v>935</v>
      </c>
      <c r="E947" s="10" t="str">
        <f t="shared" si="29"/>
        <v/>
      </c>
      <c r="I947" s="53"/>
      <c r="N947" s="8">
        <v>0</v>
      </c>
      <c r="Q947" s="1"/>
      <c r="R947" s="1"/>
      <c r="S947" s="1"/>
      <c r="T947" s="8"/>
      <c r="U947" s="8"/>
      <c r="V947" s="1"/>
      <c r="W947" s="1"/>
      <c r="X947" s="1"/>
      <c r="Z947" s="8"/>
    </row>
    <row r="948" spans="1:26" x14ac:dyDescent="0.2">
      <c r="A948" s="12">
        <f t="shared" si="30"/>
        <v>936</v>
      </c>
      <c r="E948" s="10" t="str">
        <f t="shared" si="29"/>
        <v/>
      </c>
      <c r="I948" s="53"/>
      <c r="N948" s="8">
        <v>0</v>
      </c>
      <c r="Q948" s="1"/>
      <c r="R948" s="1"/>
      <c r="S948" s="1"/>
      <c r="T948" s="8"/>
      <c r="U948" s="8"/>
      <c r="V948" s="1"/>
      <c r="W948" s="1"/>
      <c r="X948" s="1"/>
      <c r="Z948" s="8"/>
    </row>
    <row r="949" spans="1:26" x14ac:dyDescent="0.2">
      <c r="A949" s="12">
        <f t="shared" si="30"/>
        <v>937</v>
      </c>
      <c r="E949" s="10" t="str">
        <f t="shared" si="29"/>
        <v/>
      </c>
      <c r="I949" s="53"/>
      <c r="N949" s="8">
        <v>0</v>
      </c>
      <c r="Q949" s="1"/>
      <c r="R949" s="1"/>
      <c r="S949" s="1"/>
      <c r="T949" s="8"/>
      <c r="U949" s="8"/>
      <c r="V949" s="1"/>
      <c r="W949" s="1"/>
      <c r="X949" s="1"/>
      <c r="Z949" s="8"/>
    </row>
    <row r="950" spans="1:26" x14ac:dyDescent="0.2">
      <c r="A950" s="12">
        <f t="shared" si="30"/>
        <v>938</v>
      </c>
      <c r="E950" s="10" t="str">
        <f t="shared" si="29"/>
        <v/>
      </c>
      <c r="I950" s="53"/>
      <c r="N950" s="8">
        <v>0</v>
      </c>
      <c r="Q950" s="1"/>
      <c r="R950" s="1"/>
      <c r="S950" s="1"/>
      <c r="T950" s="8"/>
      <c r="U950" s="8"/>
      <c r="V950" s="1"/>
      <c r="W950" s="1"/>
      <c r="X950" s="1"/>
      <c r="Z950" s="8"/>
    </row>
    <row r="951" spans="1:26" x14ac:dyDescent="0.2">
      <c r="A951" s="12">
        <f t="shared" si="30"/>
        <v>939</v>
      </c>
      <c r="E951" s="10" t="str">
        <f t="shared" si="29"/>
        <v/>
      </c>
      <c r="I951" s="53"/>
      <c r="N951" s="8">
        <v>0</v>
      </c>
      <c r="Q951" s="1"/>
      <c r="R951" s="1"/>
      <c r="S951" s="1"/>
      <c r="T951" s="8"/>
      <c r="U951" s="8"/>
      <c r="V951" s="1"/>
      <c r="W951" s="1"/>
      <c r="X951" s="1"/>
      <c r="Z951" s="8"/>
    </row>
    <row r="952" spans="1:26" x14ac:dyDescent="0.2">
      <c r="A952" s="12">
        <f t="shared" si="30"/>
        <v>940</v>
      </c>
      <c r="E952" s="10" t="str">
        <f t="shared" si="29"/>
        <v/>
      </c>
      <c r="I952" s="53"/>
      <c r="N952" s="8">
        <v>0</v>
      </c>
      <c r="Q952" s="1"/>
      <c r="R952" s="1"/>
      <c r="S952" s="1"/>
      <c r="T952" s="8"/>
      <c r="U952" s="8"/>
      <c r="V952" s="1"/>
      <c r="W952" s="1"/>
      <c r="X952" s="1"/>
      <c r="Z952" s="8"/>
    </row>
    <row r="953" spans="1:26" x14ac:dyDescent="0.2">
      <c r="A953" s="12">
        <f t="shared" si="30"/>
        <v>941</v>
      </c>
      <c r="E953" s="10" t="str">
        <f t="shared" si="29"/>
        <v/>
      </c>
      <c r="I953" s="53"/>
      <c r="N953" s="8">
        <v>0</v>
      </c>
      <c r="Q953" s="1"/>
      <c r="R953" s="1"/>
      <c r="S953" s="1"/>
      <c r="T953" s="8"/>
      <c r="U953" s="8"/>
      <c r="V953" s="1"/>
      <c r="W953" s="1"/>
      <c r="X953" s="1"/>
      <c r="Z953" s="8"/>
    </row>
    <row r="954" spans="1:26" x14ac:dyDescent="0.2">
      <c r="A954" s="12">
        <f t="shared" si="30"/>
        <v>942</v>
      </c>
      <c r="E954" s="10" t="str">
        <f t="shared" si="29"/>
        <v/>
      </c>
      <c r="I954" s="53"/>
      <c r="N954" s="8">
        <v>0</v>
      </c>
      <c r="Q954" s="1"/>
      <c r="R954" s="1"/>
      <c r="S954" s="1"/>
      <c r="T954" s="8"/>
      <c r="U954" s="8"/>
      <c r="V954" s="1"/>
      <c r="W954" s="1"/>
      <c r="X954" s="1"/>
      <c r="Z954" s="8"/>
    </row>
    <row r="955" spans="1:26" x14ac:dyDescent="0.2">
      <c r="A955" s="12">
        <f t="shared" si="30"/>
        <v>943</v>
      </c>
      <c r="E955" s="10" t="str">
        <f t="shared" si="29"/>
        <v/>
      </c>
      <c r="I955" s="53"/>
      <c r="N955" s="8">
        <v>0</v>
      </c>
      <c r="Q955" s="1"/>
      <c r="R955" s="1"/>
      <c r="S955" s="1"/>
      <c r="T955" s="8"/>
      <c r="U955" s="8"/>
      <c r="V955" s="1"/>
      <c r="W955" s="1"/>
      <c r="X955" s="1"/>
      <c r="Z955" s="8"/>
    </row>
    <row r="956" spans="1:26" x14ac:dyDescent="0.2">
      <c r="A956" s="12">
        <f t="shared" si="30"/>
        <v>944</v>
      </c>
      <c r="E956" s="10" t="str">
        <f t="shared" si="29"/>
        <v/>
      </c>
      <c r="I956" s="53"/>
      <c r="N956" s="8">
        <v>0</v>
      </c>
      <c r="Q956" s="1"/>
      <c r="R956" s="1"/>
      <c r="S956" s="1"/>
      <c r="T956" s="8"/>
      <c r="U956" s="8"/>
      <c r="V956" s="1"/>
      <c r="W956" s="1"/>
      <c r="X956" s="1"/>
      <c r="Z956" s="8"/>
    </row>
    <row r="957" spans="1:26" x14ac:dyDescent="0.2">
      <c r="A957" s="12">
        <f t="shared" si="30"/>
        <v>945</v>
      </c>
      <c r="E957" s="10" t="str">
        <f t="shared" si="29"/>
        <v/>
      </c>
      <c r="I957" s="53"/>
      <c r="N957" s="8">
        <v>0</v>
      </c>
      <c r="Q957" s="1"/>
      <c r="R957" s="1"/>
      <c r="S957" s="1"/>
      <c r="T957" s="8"/>
      <c r="U957" s="8"/>
      <c r="V957" s="1"/>
      <c r="W957" s="1"/>
      <c r="X957" s="1"/>
      <c r="Z957" s="8"/>
    </row>
    <row r="958" spans="1:26" x14ac:dyDescent="0.2">
      <c r="A958" s="12">
        <f t="shared" si="30"/>
        <v>946</v>
      </c>
      <c r="E958" s="10" t="str">
        <f t="shared" si="29"/>
        <v/>
      </c>
      <c r="I958" s="53"/>
      <c r="N958" s="8">
        <v>0</v>
      </c>
      <c r="Q958" s="1"/>
      <c r="R958" s="1"/>
      <c r="S958" s="1"/>
      <c r="T958" s="8"/>
      <c r="U958" s="8"/>
      <c r="V958" s="1"/>
      <c r="W958" s="1"/>
      <c r="X958" s="1"/>
      <c r="Z958" s="8"/>
    </row>
    <row r="959" spans="1:26" x14ac:dyDescent="0.2">
      <c r="A959" s="12">
        <f t="shared" si="30"/>
        <v>947</v>
      </c>
      <c r="E959" s="10" t="str">
        <f t="shared" si="29"/>
        <v/>
      </c>
      <c r="I959" s="53"/>
      <c r="N959" s="8">
        <v>0</v>
      </c>
      <c r="Q959" s="1"/>
      <c r="R959" s="1"/>
      <c r="S959" s="1"/>
      <c r="T959" s="8"/>
      <c r="U959" s="8"/>
      <c r="V959" s="1"/>
      <c r="W959" s="1"/>
      <c r="X959" s="1"/>
      <c r="Z959" s="8"/>
    </row>
    <row r="960" spans="1:26" x14ac:dyDescent="0.2">
      <c r="A960" s="12">
        <f t="shared" si="30"/>
        <v>948</v>
      </c>
      <c r="E960" s="10" t="str">
        <f t="shared" si="29"/>
        <v/>
      </c>
      <c r="I960" s="53"/>
      <c r="N960" s="8">
        <v>0</v>
      </c>
      <c r="Q960" s="1"/>
      <c r="R960" s="1"/>
      <c r="S960" s="1"/>
      <c r="T960" s="8"/>
      <c r="U960" s="8"/>
      <c r="V960" s="1"/>
      <c r="W960" s="1"/>
      <c r="X960" s="1"/>
      <c r="Z960" s="8"/>
    </row>
    <row r="961" spans="1:26" x14ac:dyDescent="0.2">
      <c r="A961" s="12">
        <f t="shared" si="30"/>
        <v>949</v>
      </c>
      <c r="E961" s="10" t="str">
        <f t="shared" si="29"/>
        <v/>
      </c>
      <c r="I961" s="53"/>
      <c r="N961" s="8">
        <v>0</v>
      </c>
      <c r="Q961" s="1"/>
      <c r="R961" s="1"/>
      <c r="S961" s="1"/>
      <c r="T961" s="8"/>
      <c r="U961" s="8"/>
      <c r="V961" s="1"/>
      <c r="W961" s="1"/>
      <c r="X961" s="1"/>
      <c r="Z961" s="8"/>
    </row>
    <row r="962" spans="1:26" x14ac:dyDescent="0.2">
      <c r="A962" s="12">
        <f t="shared" si="30"/>
        <v>950</v>
      </c>
      <c r="E962" s="10" t="str">
        <f t="shared" si="29"/>
        <v/>
      </c>
      <c r="I962" s="53"/>
      <c r="N962" s="8">
        <v>0</v>
      </c>
      <c r="Q962" s="1"/>
      <c r="R962" s="1"/>
      <c r="S962" s="1"/>
      <c r="T962" s="8"/>
      <c r="U962" s="8"/>
      <c r="V962" s="1"/>
      <c r="W962" s="1"/>
      <c r="X962" s="1"/>
      <c r="Z962" s="8"/>
    </row>
    <row r="963" spans="1:26" x14ac:dyDescent="0.2">
      <c r="A963" s="12">
        <f t="shared" si="30"/>
        <v>951</v>
      </c>
      <c r="E963" s="10" t="str">
        <f t="shared" si="29"/>
        <v/>
      </c>
      <c r="I963" s="53"/>
      <c r="N963" s="8">
        <v>0</v>
      </c>
      <c r="Q963" s="1"/>
      <c r="R963" s="1"/>
      <c r="S963" s="1"/>
      <c r="T963" s="8"/>
      <c r="U963" s="8"/>
      <c r="V963" s="1"/>
      <c r="W963" s="1"/>
      <c r="X963" s="1"/>
      <c r="Z963" s="8"/>
    </row>
    <row r="964" spans="1:26" x14ac:dyDescent="0.2">
      <c r="A964" s="12">
        <f t="shared" si="30"/>
        <v>952</v>
      </c>
      <c r="E964" s="10" t="str">
        <f t="shared" si="29"/>
        <v/>
      </c>
      <c r="I964" s="53"/>
      <c r="N964" s="8">
        <v>0</v>
      </c>
      <c r="Q964" s="1"/>
      <c r="R964" s="1"/>
      <c r="S964" s="1"/>
      <c r="T964" s="8"/>
      <c r="U964" s="8"/>
      <c r="V964" s="1"/>
      <c r="W964" s="1"/>
      <c r="X964" s="1"/>
      <c r="Z964" s="8"/>
    </row>
    <row r="965" spans="1:26" x14ac:dyDescent="0.2">
      <c r="A965" s="12">
        <f t="shared" si="30"/>
        <v>953</v>
      </c>
      <c r="E965" s="10" t="str">
        <f t="shared" si="29"/>
        <v/>
      </c>
      <c r="I965" s="53"/>
      <c r="N965" s="8">
        <v>0</v>
      </c>
      <c r="Q965" s="1"/>
      <c r="R965" s="1"/>
      <c r="S965" s="1"/>
      <c r="T965" s="8"/>
      <c r="U965" s="8"/>
      <c r="V965" s="1"/>
      <c r="W965" s="1"/>
      <c r="X965" s="1"/>
      <c r="Z965" s="8"/>
    </row>
    <row r="966" spans="1:26" x14ac:dyDescent="0.2">
      <c r="A966" s="12">
        <f t="shared" si="30"/>
        <v>954</v>
      </c>
      <c r="E966" s="10" t="str">
        <f t="shared" si="29"/>
        <v/>
      </c>
      <c r="I966" s="53"/>
      <c r="N966" s="8">
        <v>0</v>
      </c>
      <c r="Q966" s="1"/>
      <c r="R966" s="1"/>
      <c r="S966" s="1"/>
      <c r="T966" s="8"/>
      <c r="U966" s="8"/>
      <c r="V966" s="1"/>
      <c r="W966" s="1"/>
      <c r="X966" s="1"/>
      <c r="Z966" s="8"/>
    </row>
    <row r="967" spans="1:26" x14ac:dyDescent="0.2">
      <c r="A967" s="12">
        <f t="shared" si="30"/>
        <v>955</v>
      </c>
      <c r="E967" s="10" t="str">
        <f t="shared" si="29"/>
        <v/>
      </c>
      <c r="I967" s="53"/>
      <c r="N967" s="8">
        <v>0</v>
      </c>
      <c r="Q967" s="1"/>
      <c r="R967" s="1"/>
      <c r="S967" s="1"/>
      <c r="T967" s="8"/>
      <c r="U967" s="8"/>
      <c r="V967" s="1"/>
      <c r="W967" s="1"/>
      <c r="X967" s="1"/>
      <c r="Z967" s="8"/>
    </row>
    <row r="968" spans="1:26" x14ac:dyDescent="0.2">
      <c r="A968" s="12">
        <f t="shared" si="30"/>
        <v>956</v>
      </c>
      <c r="E968" s="10" t="str">
        <f t="shared" si="29"/>
        <v/>
      </c>
      <c r="I968" s="53"/>
      <c r="N968" s="8">
        <v>0</v>
      </c>
      <c r="Q968" s="1"/>
      <c r="R968" s="1"/>
      <c r="S968" s="1"/>
      <c r="T968" s="8"/>
      <c r="U968" s="8"/>
      <c r="V968" s="1"/>
      <c r="W968" s="1"/>
      <c r="X968" s="1"/>
      <c r="Z968" s="8"/>
    </row>
    <row r="969" spans="1:26" x14ac:dyDescent="0.2">
      <c r="A969" s="12">
        <f t="shared" si="30"/>
        <v>957</v>
      </c>
      <c r="E969" s="10" t="str">
        <f t="shared" si="29"/>
        <v/>
      </c>
      <c r="I969" s="53"/>
      <c r="N969" s="8">
        <v>0</v>
      </c>
      <c r="Q969" s="1"/>
      <c r="R969" s="1"/>
      <c r="S969" s="1"/>
      <c r="T969" s="8"/>
      <c r="U969" s="8"/>
      <c r="V969" s="1"/>
      <c r="W969" s="1"/>
      <c r="X969" s="1"/>
      <c r="Z969" s="8"/>
    </row>
    <row r="970" spans="1:26" x14ac:dyDescent="0.2">
      <c r="A970" s="12">
        <f t="shared" si="30"/>
        <v>958</v>
      </c>
      <c r="E970" s="10" t="str">
        <f t="shared" si="29"/>
        <v/>
      </c>
      <c r="I970" s="53"/>
      <c r="N970" s="8">
        <v>0</v>
      </c>
      <c r="Q970" s="1"/>
      <c r="R970" s="1"/>
      <c r="S970" s="1"/>
      <c r="T970" s="8"/>
      <c r="U970" s="8"/>
      <c r="V970" s="1"/>
      <c r="W970" s="1"/>
      <c r="X970" s="1"/>
      <c r="Z970" s="8"/>
    </row>
    <row r="971" spans="1:26" x14ac:dyDescent="0.2">
      <c r="A971" s="12">
        <f t="shared" si="30"/>
        <v>959</v>
      </c>
      <c r="E971" s="10" t="str">
        <f t="shared" si="29"/>
        <v/>
      </c>
      <c r="I971" s="53"/>
      <c r="N971" s="8">
        <v>0</v>
      </c>
      <c r="Q971" s="1"/>
      <c r="R971" s="1"/>
      <c r="S971" s="1"/>
      <c r="T971" s="8"/>
      <c r="U971" s="8"/>
      <c r="V971" s="1"/>
      <c r="W971" s="1"/>
      <c r="X971" s="1"/>
      <c r="Z971" s="8"/>
    </row>
    <row r="972" spans="1:26" x14ac:dyDescent="0.2">
      <c r="A972" s="12">
        <f t="shared" si="30"/>
        <v>960</v>
      </c>
      <c r="E972" s="10" t="str">
        <f t="shared" si="29"/>
        <v/>
      </c>
      <c r="I972" s="53"/>
      <c r="N972" s="8">
        <v>0</v>
      </c>
      <c r="Q972" s="1"/>
      <c r="R972" s="1"/>
      <c r="S972" s="1"/>
      <c r="T972" s="8"/>
      <c r="U972" s="8"/>
      <c r="V972" s="1"/>
      <c r="W972" s="1"/>
      <c r="X972" s="1"/>
      <c r="Z972" s="8"/>
    </row>
    <row r="973" spans="1:26" x14ac:dyDescent="0.2">
      <c r="A973" s="12">
        <f t="shared" si="30"/>
        <v>961</v>
      </c>
      <c r="E973" s="10" t="str">
        <f t="shared" ref="E973:E1036" si="31">IF($C$8&gt;=A973,$E$1&amp;" "&amp;A973,"")</f>
        <v/>
      </c>
      <c r="I973" s="53"/>
      <c r="N973" s="8">
        <v>0</v>
      </c>
      <c r="Q973" s="1"/>
      <c r="R973" s="1"/>
      <c r="S973" s="1"/>
      <c r="T973" s="8"/>
      <c r="U973" s="8"/>
      <c r="V973" s="1"/>
      <c r="W973" s="1"/>
      <c r="X973" s="1"/>
      <c r="Z973" s="8"/>
    </row>
    <row r="974" spans="1:26" x14ac:dyDescent="0.2">
      <c r="A974" s="12">
        <f t="shared" si="30"/>
        <v>962</v>
      </c>
      <c r="E974" s="10" t="str">
        <f t="shared" si="31"/>
        <v/>
      </c>
      <c r="I974" s="53"/>
      <c r="N974" s="8">
        <v>0</v>
      </c>
      <c r="Q974" s="1"/>
      <c r="R974" s="1"/>
      <c r="S974" s="1"/>
      <c r="T974" s="8"/>
      <c r="U974" s="8"/>
      <c r="V974" s="1"/>
      <c r="W974" s="1"/>
      <c r="X974" s="1"/>
      <c r="Z974" s="8"/>
    </row>
    <row r="975" spans="1:26" x14ac:dyDescent="0.2">
      <c r="A975" s="12">
        <f t="shared" ref="A975:A1038" si="32">A974+1</f>
        <v>963</v>
      </c>
      <c r="E975" s="10" t="str">
        <f t="shared" si="31"/>
        <v/>
      </c>
      <c r="I975" s="53"/>
      <c r="N975" s="8">
        <v>0</v>
      </c>
      <c r="Q975" s="1"/>
      <c r="R975" s="1"/>
      <c r="S975" s="1"/>
      <c r="T975" s="8"/>
      <c r="U975" s="8"/>
      <c r="V975" s="1"/>
      <c r="W975" s="1"/>
      <c r="X975" s="1"/>
      <c r="Z975" s="8"/>
    </row>
    <row r="976" spans="1:26" x14ac:dyDescent="0.2">
      <c r="A976" s="12">
        <f t="shared" si="32"/>
        <v>964</v>
      </c>
      <c r="E976" s="10" t="str">
        <f t="shared" si="31"/>
        <v/>
      </c>
      <c r="I976" s="53"/>
      <c r="N976" s="8">
        <v>0</v>
      </c>
      <c r="Q976" s="1"/>
      <c r="R976" s="1"/>
      <c r="S976" s="1"/>
      <c r="T976" s="8"/>
      <c r="U976" s="8"/>
      <c r="V976" s="1"/>
      <c r="W976" s="1"/>
      <c r="X976" s="1"/>
      <c r="Z976" s="8"/>
    </row>
    <row r="977" spans="1:26" x14ac:dyDescent="0.2">
      <c r="A977" s="12">
        <f t="shared" si="32"/>
        <v>965</v>
      </c>
      <c r="E977" s="10" t="str">
        <f t="shared" si="31"/>
        <v/>
      </c>
      <c r="I977" s="53"/>
      <c r="N977" s="8">
        <v>0</v>
      </c>
      <c r="Q977" s="1"/>
      <c r="R977" s="1"/>
      <c r="S977" s="1"/>
      <c r="T977" s="8"/>
      <c r="U977" s="8"/>
      <c r="V977" s="1"/>
      <c r="W977" s="1"/>
      <c r="X977" s="1"/>
      <c r="Z977" s="8"/>
    </row>
    <row r="978" spans="1:26" x14ac:dyDescent="0.2">
      <c r="A978" s="12">
        <f t="shared" si="32"/>
        <v>966</v>
      </c>
      <c r="E978" s="10" t="str">
        <f t="shared" si="31"/>
        <v/>
      </c>
      <c r="I978" s="53"/>
      <c r="N978" s="8">
        <v>0</v>
      </c>
      <c r="Q978" s="1"/>
      <c r="R978" s="1"/>
      <c r="S978" s="1"/>
      <c r="T978" s="8"/>
      <c r="U978" s="8"/>
      <c r="V978" s="1"/>
      <c r="W978" s="1"/>
      <c r="X978" s="1"/>
      <c r="Z978" s="8"/>
    </row>
    <row r="979" spans="1:26" x14ac:dyDescent="0.2">
      <c r="A979" s="12">
        <f t="shared" si="32"/>
        <v>967</v>
      </c>
      <c r="E979" s="10" t="str">
        <f t="shared" si="31"/>
        <v/>
      </c>
      <c r="I979" s="53"/>
      <c r="N979" s="8">
        <v>0</v>
      </c>
      <c r="Q979" s="1"/>
      <c r="R979" s="1"/>
      <c r="S979" s="1"/>
      <c r="T979" s="8"/>
      <c r="U979" s="8"/>
      <c r="V979" s="1"/>
      <c r="W979" s="1"/>
      <c r="X979" s="1"/>
      <c r="Z979" s="8"/>
    </row>
    <row r="980" spans="1:26" x14ac:dyDescent="0.2">
      <c r="A980" s="12">
        <f t="shared" si="32"/>
        <v>968</v>
      </c>
      <c r="E980" s="10" t="str">
        <f t="shared" si="31"/>
        <v/>
      </c>
      <c r="I980" s="53"/>
      <c r="N980" s="8">
        <v>0</v>
      </c>
      <c r="Q980" s="1"/>
      <c r="R980" s="1"/>
      <c r="S980" s="1"/>
      <c r="T980" s="8"/>
      <c r="U980" s="8"/>
      <c r="V980" s="1"/>
      <c r="W980" s="1"/>
      <c r="X980" s="1"/>
      <c r="Z980" s="8"/>
    </row>
    <row r="981" spans="1:26" x14ac:dyDescent="0.2">
      <c r="A981" s="12">
        <f t="shared" si="32"/>
        <v>969</v>
      </c>
      <c r="E981" s="10" t="str">
        <f t="shared" si="31"/>
        <v/>
      </c>
      <c r="I981" s="53"/>
      <c r="N981" s="8">
        <v>0</v>
      </c>
      <c r="Q981" s="1"/>
      <c r="R981" s="1"/>
      <c r="S981" s="1"/>
      <c r="T981" s="8"/>
      <c r="U981" s="8"/>
      <c r="V981" s="1"/>
      <c r="W981" s="1"/>
      <c r="X981" s="1"/>
      <c r="Z981" s="8"/>
    </row>
    <row r="982" spans="1:26" x14ac:dyDescent="0.2">
      <c r="A982" s="12">
        <f t="shared" si="32"/>
        <v>970</v>
      </c>
      <c r="E982" s="10" t="str">
        <f t="shared" si="31"/>
        <v/>
      </c>
      <c r="I982" s="53"/>
      <c r="N982" s="8">
        <v>0</v>
      </c>
      <c r="Q982" s="1"/>
      <c r="R982" s="1"/>
      <c r="S982" s="1"/>
      <c r="T982" s="8"/>
      <c r="U982" s="8"/>
      <c r="V982" s="1"/>
      <c r="W982" s="1"/>
      <c r="X982" s="1"/>
      <c r="Z982" s="8"/>
    </row>
    <row r="983" spans="1:26" x14ac:dyDescent="0.2">
      <c r="A983" s="12">
        <f t="shared" si="32"/>
        <v>971</v>
      </c>
      <c r="E983" s="10" t="str">
        <f t="shared" si="31"/>
        <v/>
      </c>
      <c r="I983" s="53"/>
      <c r="N983" s="8">
        <v>0</v>
      </c>
      <c r="Q983" s="1"/>
      <c r="R983" s="1"/>
      <c r="S983" s="1"/>
      <c r="T983" s="8"/>
      <c r="U983" s="8"/>
      <c r="V983" s="1"/>
      <c r="W983" s="1"/>
      <c r="X983" s="1"/>
      <c r="Z983" s="8"/>
    </row>
    <row r="984" spans="1:26" x14ac:dyDescent="0.2">
      <c r="A984" s="12">
        <f t="shared" si="32"/>
        <v>972</v>
      </c>
      <c r="E984" s="10" t="str">
        <f t="shared" si="31"/>
        <v/>
      </c>
      <c r="I984" s="53"/>
      <c r="N984" s="8">
        <v>0</v>
      </c>
      <c r="Q984" s="1"/>
      <c r="R984" s="1"/>
      <c r="S984" s="1"/>
      <c r="T984" s="8"/>
      <c r="U984" s="8"/>
      <c r="V984" s="1"/>
      <c r="W984" s="1"/>
      <c r="X984" s="1"/>
      <c r="Z984" s="8"/>
    </row>
    <row r="985" spans="1:26" x14ac:dyDescent="0.2">
      <c r="A985" s="12">
        <f t="shared" si="32"/>
        <v>973</v>
      </c>
      <c r="E985" s="10" t="str">
        <f t="shared" si="31"/>
        <v/>
      </c>
      <c r="I985" s="53"/>
      <c r="N985" s="8">
        <v>0</v>
      </c>
      <c r="Q985" s="1"/>
      <c r="R985" s="1"/>
      <c r="S985" s="1"/>
      <c r="T985" s="8"/>
      <c r="U985" s="8"/>
      <c r="V985" s="1"/>
      <c r="W985" s="1"/>
      <c r="X985" s="1"/>
      <c r="Z985" s="8"/>
    </row>
    <row r="986" spans="1:26" x14ac:dyDescent="0.2">
      <c r="A986" s="12">
        <f t="shared" si="32"/>
        <v>974</v>
      </c>
      <c r="E986" s="10" t="str">
        <f t="shared" si="31"/>
        <v/>
      </c>
      <c r="I986" s="53"/>
      <c r="N986" s="8">
        <v>0</v>
      </c>
      <c r="Q986" s="1"/>
      <c r="R986" s="1"/>
      <c r="S986" s="1"/>
      <c r="T986" s="8"/>
      <c r="U986" s="8"/>
      <c r="V986" s="1"/>
      <c r="W986" s="1"/>
      <c r="X986" s="1"/>
      <c r="Z986" s="8"/>
    </row>
    <row r="987" spans="1:26" x14ac:dyDescent="0.2">
      <c r="A987" s="12">
        <f t="shared" si="32"/>
        <v>975</v>
      </c>
      <c r="E987" s="10" t="str">
        <f t="shared" si="31"/>
        <v/>
      </c>
      <c r="I987" s="53"/>
      <c r="N987" s="8">
        <v>0</v>
      </c>
      <c r="Q987" s="1"/>
      <c r="R987" s="1"/>
      <c r="S987" s="1"/>
      <c r="T987" s="8"/>
      <c r="U987" s="8"/>
      <c r="V987" s="1"/>
      <c r="W987" s="1"/>
      <c r="X987" s="1"/>
      <c r="Z987" s="8"/>
    </row>
    <row r="988" spans="1:26" x14ac:dyDescent="0.2">
      <c r="A988" s="12">
        <f t="shared" si="32"/>
        <v>976</v>
      </c>
      <c r="E988" s="10" t="str">
        <f t="shared" si="31"/>
        <v/>
      </c>
      <c r="I988" s="53"/>
      <c r="N988" s="8">
        <v>0</v>
      </c>
      <c r="Q988" s="1"/>
      <c r="R988" s="1"/>
      <c r="S988" s="1"/>
      <c r="T988" s="8"/>
      <c r="U988" s="8"/>
      <c r="V988" s="1"/>
      <c r="W988" s="1"/>
      <c r="X988" s="1"/>
      <c r="Z988" s="8"/>
    </row>
    <row r="989" spans="1:26" x14ac:dyDescent="0.2">
      <c r="A989" s="12">
        <f t="shared" si="32"/>
        <v>977</v>
      </c>
      <c r="E989" s="10" t="str">
        <f t="shared" si="31"/>
        <v/>
      </c>
      <c r="I989" s="53"/>
      <c r="N989" s="8">
        <v>0</v>
      </c>
      <c r="Q989" s="1"/>
      <c r="R989" s="1"/>
      <c r="S989" s="1"/>
      <c r="T989" s="8"/>
      <c r="U989" s="8"/>
      <c r="V989" s="1"/>
      <c r="W989" s="1"/>
      <c r="X989" s="1"/>
      <c r="Z989" s="8"/>
    </row>
    <row r="990" spans="1:26" x14ac:dyDescent="0.2">
      <c r="A990" s="12">
        <f t="shared" si="32"/>
        <v>978</v>
      </c>
      <c r="E990" s="10" t="str">
        <f t="shared" si="31"/>
        <v/>
      </c>
      <c r="I990" s="53"/>
      <c r="N990" s="8">
        <v>0</v>
      </c>
      <c r="Q990" s="1"/>
      <c r="R990" s="1"/>
      <c r="S990" s="1"/>
      <c r="T990" s="8"/>
      <c r="U990" s="8"/>
      <c r="V990" s="1"/>
      <c r="W990" s="1"/>
      <c r="X990" s="1"/>
      <c r="Z990" s="8"/>
    </row>
    <row r="991" spans="1:26" x14ac:dyDescent="0.2">
      <c r="A991" s="12">
        <f t="shared" si="32"/>
        <v>979</v>
      </c>
      <c r="E991" s="10" t="str">
        <f t="shared" si="31"/>
        <v/>
      </c>
      <c r="I991" s="53"/>
      <c r="N991" s="8">
        <v>0</v>
      </c>
      <c r="Q991" s="1"/>
      <c r="R991" s="1"/>
      <c r="S991" s="1"/>
      <c r="T991" s="8"/>
      <c r="U991" s="8"/>
      <c r="V991" s="1"/>
      <c r="W991" s="1"/>
      <c r="X991" s="1"/>
      <c r="Z991" s="8"/>
    </row>
    <row r="992" spans="1:26" x14ac:dyDescent="0.2">
      <c r="A992" s="12">
        <f t="shared" si="32"/>
        <v>980</v>
      </c>
      <c r="E992" s="10" t="str">
        <f t="shared" si="31"/>
        <v/>
      </c>
      <c r="I992" s="53"/>
      <c r="N992" s="8">
        <v>0</v>
      </c>
      <c r="Q992" s="1"/>
      <c r="R992" s="1"/>
      <c r="S992" s="1"/>
      <c r="T992" s="8"/>
      <c r="U992" s="8"/>
      <c r="V992" s="1"/>
      <c r="W992" s="1"/>
      <c r="X992" s="1"/>
      <c r="Z992" s="8"/>
    </row>
    <row r="993" spans="1:26" x14ac:dyDescent="0.2">
      <c r="A993" s="12">
        <f t="shared" si="32"/>
        <v>981</v>
      </c>
      <c r="E993" s="10" t="str">
        <f t="shared" si="31"/>
        <v/>
      </c>
      <c r="I993" s="53"/>
      <c r="N993" s="8">
        <v>0</v>
      </c>
      <c r="Q993" s="1"/>
      <c r="R993" s="1"/>
      <c r="S993" s="1"/>
      <c r="T993" s="8"/>
      <c r="U993" s="8"/>
      <c r="V993" s="1"/>
      <c r="W993" s="1"/>
      <c r="X993" s="1"/>
      <c r="Z993" s="8"/>
    </row>
    <row r="994" spans="1:26" x14ac:dyDescent="0.2">
      <c r="A994" s="12">
        <f t="shared" si="32"/>
        <v>982</v>
      </c>
      <c r="E994" s="10" t="str">
        <f t="shared" si="31"/>
        <v/>
      </c>
      <c r="I994" s="53"/>
      <c r="N994" s="8">
        <v>0</v>
      </c>
      <c r="Q994" s="1"/>
      <c r="R994" s="1"/>
      <c r="S994" s="1"/>
      <c r="T994" s="8"/>
      <c r="U994" s="8"/>
      <c r="V994" s="1"/>
      <c r="W994" s="1"/>
      <c r="X994" s="1"/>
      <c r="Z994" s="8"/>
    </row>
    <row r="995" spans="1:26" x14ac:dyDescent="0.2">
      <c r="A995" s="12">
        <f t="shared" si="32"/>
        <v>983</v>
      </c>
      <c r="E995" s="10" t="str">
        <f t="shared" si="31"/>
        <v/>
      </c>
      <c r="I995" s="53"/>
      <c r="N995" s="8">
        <v>0</v>
      </c>
      <c r="Q995" s="1"/>
      <c r="R995" s="1"/>
      <c r="S995" s="1"/>
      <c r="T995" s="8"/>
      <c r="U995" s="8"/>
      <c r="V995" s="1"/>
      <c r="W995" s="1"/>
      <c r="X995" s="1"/>
      <c r="Z995" s="8"/>
    </row>
    <row r="996" spans="1:26" x14ac:dyDescent="0.2">
      <c r="A996" s="12">
        <f t="shared" si="32"/>
        <v>984</v>
      </c>
      <c r="E996" s="10" t="str">
        <f t="shared" si="31"/>
        <v/>
      </c>
      <c r="I996" s="53"/>
      <c r="N996" s="8">
        <v>0</v>
      </c>
      <c r="Q996" s="1"/>
      <c r="R996" s="1"/>
      <c r="S996" s="1"/>
      <c r="T996" s="8"/>
      <c r="U996" s="8"/>
      <c r="V996" s="1"/>
      <c r="W996" s="1"/>
      <c r="X996" s="1"/>
      <c r="Z996" s="8"/>
    </row>
    <row r="997" spans="1:26" x14ac:dyDescent="0.2">
      <c r="A997" s="12">
        <f t="shared" si="32"/>
        <v>985</v>
      </c>
      <c r="E997" s="10" t="str">
        <f t="shared" si="31"/>
        <v/>
      </c>
      <c r="I997" s="53"/>
      <c r="N997" s="8">
        <v>0</v>
      </c>
      <c r="Q997" s="1"/>
      <c r="R997" s="1"/>
      <c r="S997" s="1"/>
      <c r="T997" s="8"/>
      <c r="U997" s="8"/>
      <c r="V997" s="1"/>
      <c r="W997" s="1"/>
      <c r="X997" s="1"/>
      <c r="Z997" s="8"/>
    </row>
    <row r="998" spans="1:26" x14ac:dyDescent="0.2">
      <c r="A998" s="12">
        <f t="shared" si="32"/>
        <v>986</v>
      </c>
      <c r="E998" s="10" t="str">
        <f t="shared" si="31"/>
        <v/>
      </c>
      <c r="I998" s="53"/>
      <c r="N998" s="8">
        <v>0</v>
      </c>
      <c r="Q998" s="1"/>
      <c r="R998" s="1"/>
      <c r="S998" s="1"/>
      <c r="T998" s="8"/>
      <c r="U998" s="8"/>
      <c r="V998" s="1"/>
      <c r="W998" s="1"/>
      <c r="X998" s="1"/>
      <c r="Z998" s="8"/>
    </row>
    <row r="999" spans="1:26" x14ac:dyDescent="0.2">
      <c r="A999" s="12">
        <f t="shared" si="32"/>
        <v>987</v>
      </c>
      <c r="E999" s="10" t="str">
        <f t="shared" si="31"/>
        <v/>
      </c>
      <c r="I999" s="53"/>
      <c r="N999" s="8">
        <v>0</v>
      </c>
      <c r="Q999" s="1"/>
      <c r="R999" s="1"/>
      <c r="S999" s="1"/>
      <c r="T999" s="8"/>
      <c r="U999" s="8"/>
      <c r="V999" s="1"/>
      <c r="W999" s="1"/>
      <c r="X999" s="1"/>
      <c r="Z999" s="8"/>
    </row>
    <row r="1000" spans="1:26" x14ac:dyDescent="0.2">
      <c r="A1000" s="12">
        <f t="shared" si="32"/>
        <v>988</v>
      </c>
      <c r="E1000" s="10" t="str">
        <f t="shared" si="31"/>
        <v/>
      </c>
      <c r="I1000" s="53"/>
      <c r="N1000" s="8">
        <v>0</v>
      </c>
      <c r="Q1000" s="1"/>
      <c r="R1000" s="1"/>
      <c r="S1000" s="1"/>
      <c r="T1000" s="8"/>
      <c r="U1000" s="8"/>
      <c r="V1000" s="1"/>
      <c r="W1000" s="1"/>
      <c r="X1000" s="1"/>
      <c r="Z1000" s="8"/>
    </row>
    <row r="1001" spans="1:26" x14ac:dyDescent="0.2">
      <c r="A1001" s="12">
        <f t="shared" si="32"/>
        <v>989</v>
      </c>
      <c r="E1001" s="10" t="str">
        <f t="shared" si="31"/>
        <v/>
      </c>
      <c r="I1001" s="53"/>
      <c r="N1001" s="8">
        <v>0</v>
      </c>
      <c r="Q1001" s="1"/>
      <c r="R1001" s="1"/>
      <c r="S1001" s="1"/>
      <c r="T1001" s="8"/>
      <c r="U1001" s="8"/>
      <c r="V1001" s="1"/>
      <c r="W1001" s="1"/>
      <c r="X1001" s="1"/>
      <c r="Z1001" s="8"/>
    </row>
    <row r="1002" spans="1:26" x14ac:dyDescent="0.2">
      <c r="A1002" s="12">
        <f t="shared" si="32"/>
        <v>990</v>
      </c>
      <c r="E1002" s="10" t="str">
        <f t="shared" si="31"/>
        <v/>
      </c>
      <c r="I1002" s="53"/>
      <c r="N1002" s="8">
        <v>0</v>
      </c>
      <c r="Q1002" s="1"/>
      <c r="R1002" s="1"/>
      <c r="S1002" s="1"/>
      <c r="T1002" s="8"/>
      <c r="U1002" s="8"/>
      <c r="V1002" s="1"/>
      <c r="W1002" s="1"/>
      <c r="X1002" s="1"/>
      <c r="Z1002" s="8"/>
    </row>
    <row r="1003" spans="1:26" x14ac:dyDescent="0.2">
      <c r="A1003" s="12">
        <f t="shared" si="32"/>
        <v>991</v>
      </c>
      <c r="E1003" s="10" t="str">
        <f t="shared" si="31"/>
        <v/>
      </c>
      <c r="I1003" s="53"/>
      <c r="N1003" s="8">
        <v>0</v>
      </c>
      <c r="Q1003" s="1"/>
      <c r="R1003" s="1"/>
      <c r="S1003" s="1"/>
      <c r="T1003" s="8"/>
      <c r="U1003" s="8"/>
      <c r="V1003" s="1"/>
      <c r="W1003" s="1"/>
      <c r="X1003" s="1"/>
      <c r="Z1003" s="8"/>
    </row>
    <row r="1004" spans="1:26" x14ac:dyDescent="0.2">
      <c r="A1004" s="12">
        <f t="shared" si="32"/>
        <v>992</v>
      </c>
      <c r="E1004" s="10" t="str">
        <f t="shared" si="31"/>
        <v/>
      </c>
      <c r="I1004" s="53"/>
      <c r="N1004" s="8">
        <v>0</v>
      </c>
      <c r="Q1004" s="1"/>
      <c r="R1004" s="1"/>
      <c r="S1004" s="1"/>
      <c r="T1004" s="8"/>
      <c r="U1004" s="8"/>
      <c r="V1004" s="1"/>
      <c r="W1004" s="1"/>
      <c r="X1004" s="1"/>
      <c r="Z1004" s="8"/>
    </row>
    <row r="1005" spans="1:26" x14ac:dyDescent="0.2">
      <c r="A1005" s="12">
        <f t="shared" si="32"/>
        <v>993</v>
      </c>
      <c r="E1005" s="10" t="str">
        <f t="shared" si="31"/>
        <v/>
      </c>
      <c r="I1005" s="53"/>
      <c r="N1005" s="8">
        <v>0</v>
      </c>
      <c r="Q1005" s="1"/>
      <c r="R1005" s="1"/>
      <c r="S1005" s="1"/>
      <c r="T1005" s="8"/>
      <c r="U1005" s="8"/>
      <c r="V1005" s="1"/>
      <c r="W1005" s="1"/>
      <c r="X1005" s="1"/>
      <c r="Z1005" s="8"/>
    </row>
    <row r="1006" spans="1:26" x14ac:dyDescent="0.2">
      <c r="A1006" s="12">
        <f t="shared" si="32"/>
        <v>994</v>
      </c>
      <c r="E1006" s="10" t="str">
        <f t="shared" si="31"/>
        <v/>
      </c>
      <c r="I1006" s="53"/>
      <c r="N1006" s="8">
        <v>0</v>
      </c>
      <c r="Q1006" s="1"/>
      <c r="R1006" s="1"/>
      <c r="S1006" s="1"/>
      <c r="T1006" s="8"/>
      <c r="U1006" s="8"/>
      <c r="V1006" s="1"/>
      <c r="W1006" s="1"/>
      <c r="X1006" s="1"/>
      <c r="Z1006" s="8"/>
    </row>
    <row r="1007" spans="1:26" x14ac:dyDescent="0.2">
      <c r="A1007" s="12">
        <f t="shared" si="32"/>
        <v>995</v>
      </c>
      <c r="E1007" s="10" t="str">
        <f t="shared" si="31"/>
        <v/>
      </c>
      <c r="I1007" s="53"/>
      <c r="N1007" s="8">
        <v>0</v>
      </c>
      <c r="Q1007" s="1"/>
      <c r="R1007" s="1"/>
      <c r="S1007" s="1"/>
      <c r="T1007" s="8"/>
      <c r="U1007" s="8"/>
      <c r="V1007" s="1"/>
      <c r="W1007" s="1"/>
      <c r="X1007" s="1"/>
      <c r="Z1007" s="8"/>
    </row>
    <row r="1008" spans="1:26" x14ac:dyDescent="0.2">
      <c r="A1008" s="12">
        <f t="shared" si="32"/>
        <v>996</v>
      </c>
      <c r="E1008" s="10" t="str">
        <f t="shared" si="31"/>
        <v/>
      </c>
      <c r="I1008" s="53"/>
      <c r="N1008" s="8">
        <v>0</v>
      </c>
      <c r="Q1008" s="1"/>
      <c r="R1008" s="1"/>
      <c r="S1008" s="1"/>
      <c r="T1008" s="8"/>
      <c r="U1008" s="8"/>
      <c r="V1008" s="1"/>
      <c r="W1008" s="1"/>
      <c r="X1008" s="1"/>
      <c r="Z1008" s="8"/>
    </row>
    <row r="1009" spans="1:26" x14ac:dyDescent="0.2">
      <c r="A1009" s="12">
        <f t="shared" si="32"/>
        <v>997</v>
      </c>
      <c r="E1009" s="10" t="str">
        <f t="shared" si="31"/>
        <v/>
      </c>
      <c r="I1009" s="53"/>
      <c r="N1009" s="8">
        <v>0</v>
      </c>
      <c r="Q1009" s="1"/>
      <c r="R1009" s="1"/>
      <c r="S1009" s="1"/>
      <c r="T1009" s="8"/>
      <c r="U1009" s="8"/>
      <c r="V1009" s="1"/>
      <c r="W1009" s="1"/>
      <c r="X1009" s="1"/>
      <c r="Z1009" s="8"/>
    </row>
    <row r="1010" spans="1:26" x14ac:dyDescent="0.2">
      <c r="A1010" s="12">
        <f t="shared" si="32"/>
        <v>998</v>
      </c>
      <c r="E1010" s="10" t="str">
        <f t="shared" si="31"/>
        <v/>
      </c>
      <c r="I1010" s="53"/>
      <c r="N1010" s="8">
        <v>0</v>
      </c>
      <c r="Q1010" s="1"/>
      <c r="R1010" s="1"/>
      <c r="S1010" s="1"/>
      <c r="T1010" s="8"/>
      <c r="U1010" s="8"/>
      <c r="V1010" s="1"/>
      <c r="W1010" s="1"/>
      <c r="X1010" s="1"/>
      <c r="Z1010" s="8"/>
    </row>
    <row r="1011" spans="1:26" x14ac:dyDescent="0.2">
      <c r="A1011" s="12">
        <f t="shared" si="32"/>
        <v>999</v>
      </c>
      <c r="E1011" s="10" t="str">
        <f t="shared" si="31"/>
        <v/>
      </c>
      <c r="I1011" s="53"/>
      <c r="N1011" s="8">
        <v>0</v>
      </c>
      <c r="Q1011" s="1"/>
      <c r="R1011" s="1"/>
      <c r="S1011" s="1"/>
      <c r="T1011" s="8"/>
      <c r="U1011" s="8"/>
      <c r="V1011" s="1"/>
      <c r="W1011" s="1"/>
      <c r="X1011" s="1"/>
      <c r="Z1011" s="8"/>
    </row>
    <row r="1012" spans="1:26" x14ac:dyDescent="0.2">
      <c r="A1012" s="12">
        <f t="shared" si="32"/>
        <v>1000</v>
      </c>
      <c r="E1012" s="10" t="str">
        <f t="shared" si="31"/>
        <v/>
      </c>
      <c r="I1012" s="53"/>
      <c r="N1012" s="8">
        <v>0</v>
      </c>
      <c r="Q1012" s="1"/>
      <c r="R1012" s="1"/>
      <c r="S1012" s="1"/>
      <c r="T1012" s="8"/>
      <c r="U1012" s="8"/>
      <c r="V1012" s="1"/>
      <c r="W1012" s="1"/>
      <c r="X1012" s="1"/>
      <c r="Z1012" s="8"/>
    </row>
    <row r="1013" spans="1:26" x14ac:dyDescent="0.2">
      <c r="A1013" s="12">
        <f t="shared" si="32"/>
        <v>1001</v>
      </c>
      <c r="E1013" s="10" t="str">
        <f t="shared" si="31"/>
        <v/>
      </c>
      <c r="I1013" s="53"/>
      <c r="N1013" s="8">
        <v>0</v>
      </c>
      <c r="Q1013" s="1"/>
      <c r="R1013" s="1"/>
      <c r="S1013" s="1"/>
      <c r="T1013" s="8"/>
      <c r="U1013" s="8"/>
      <c r="V1013" s="1"/>
      <c r="W1013" s="1"/>
      <c r="X1013" s="1"/>
      <c r="Z1013" s="8"/>
    </row>
    <row r="1014" spans="1:26" x14ac:dyDescent="0.2">
      <c r="A1014" s="12">
        <f t="shared" si="32"/>
        <v>1002</v>
      </c>
      <c r="E1014" s="10" t="str">
        <f t="shared" si="31"/>
        <v/>
      </c>
      <c r="I1014" s="53"/>
      <c r="N1014" s="8">
        <v>0</v>
      </c>
      <c r="Q1014" s="1"/>
      <c r="R1014" s="1"/>
      <c r="S1014" s="1"/>
      <c r="T1014" s="8"/>
      <c r="U1014" s="8"/>
      <c r="V1014" s="1"/>
      <c r="W1014" s="1"/>
      <c r="X1014" s="1"/>
      <c r="Z1014" s="8"/>
    </row>
    <row r="1015" spans="1:26" x14ac:dyDescent="0.2">
      <c r="A1015" s="12">
        <f t="shared" si="32"/>
        <v>1003</v>
      </c>
      <c r="E1015" s="10" t="str">
        <f t="shared" si="31"/>
        <v/>
      </c>
      <c r="I1015" s="53"/>
      <c r="N1015" s="8">
        <v>0</v>
      </c>
      <c r="Q1015" s="1"/>
      <c r="R1015" s="1"/>
      <c r="S1015" s="1"/>
      <c r="T1015" s="8"/>
      <c r="U1015" s="8"/>
      <c r="V1015" s="1"/>
      <c r="W1015" s="1"/>
      <c r="X1015" s="1"/>
      <c r="Z1015" s="8"/>
    </row>
    <row r="1016" spans="1:26" x14ac:dyDescent="0.2">
      <c r="A1016" s="12">
        <f t="shared" si="32"/>
        <v>1004</v>
      </c>
      <c r="E1016" s="10" t="str">
        <f t="shared" si="31"/>
        <v/>
      </c>
      <c r="I1016" s="53"/>
      <c r="N1016" s="8">
        <v>0</v>
      </c>
      <c r="Q1016" s="1"/>
      <c r="R1016" s="1"/>
      <c r="S1016" s="1"/>
      <c r="T1016" s="8"/>
      <c r="U1016" s="8"/>
      <c r="V1016" s="1"/>
      <c r="W1016" s="1"/>
      <c r="X1016" s="1"/>
      <c r="Z1016" s="8"/>
    </row>
    <row r="1017" spans="1:26" x14ac:dyDescent="0.2">
      <c r="A1017" s="12">
        <f t="shared" si="32"/>
        <v>1005</v>
      </c>
      <c r="E1017" s="10" t="str">
        <f t="shared" si="31"/>
        <v/>
      </c>
      <c r="I1017" s="53"/>
      <c r="N1017" s="8">
        <v>0</v>
      </c>
      <c r="Q1017" s="1"/>
      <c r="R1017" s="1"/>
      <c r="S1017" s="1"/>
      <c r="T1017" s="8"/>
      <c r="U1017" s="8"/>
      <c r="V1017" s="1"/>
      <c r="W1017" s="1"/>
      <c r="X1017" s="1"/>
      <c r="Z1017" s="8"/>
    </row>
    <row r="1018" spans="1:26" x14ac:dyDescent="0.2">
      <c r="A1018" s="12">
        <f t="shared" si="32"/>
        <v>1006</v>
      </c>
      <c r="E1018" s="10" t="str">
        <f t="shared" si="31"/>
        <v/>
      </c>
      <c r="I1018" s="53"/>
      <c r="N1018" s="8">
        <v>0</v>
      </c>
      <c r="Q1018" s="1"/>
      <c r="R1018" s="1"/>
      <c r="S1018" s="1"/>
      <c r="T1018" s="8"/>
      <c r="U1018" s="8"/>
      <c r="V1018" s="1"/>
      <c r="W1018" s="1"/>
      <c r="X1018" s="1"/>
      <c r="Z1018" s="8"/>
    </row>
    <row r="1019" spans="1:26" x14ac:dyDescent="0.2">
      <c r="A1019" s="12">
        <f t="shared" si="32"/>
        <v>1007</v>
      </c>
      <c r="E1019" s="10" t="str">
        <f t="shared" si="31"/>
        <v/>
      </c>
      <c r="I1019" s="53"/>
      <c r="N1019" s="8">
        <v>0</v>
      </c>
      <c r="Q1019" s="1"/>
      <c r="R1019" s="1"/>
      <c r="S1019" s="1"/>
      <c r="T1019" s="8"/>
      <c r="U1019" s="8"/>
      <c r="V1019" s="1"/>
      <c r="W1019" s="1"/>
      <c r="X1019" s="1"/>
      <c r="Z1019" s="8"/>
    </row>
    <row r="1020" spans="1:26" x14ac:dyDescent="0.2">
      <c r="A1020" s="12">
        <f t="shared" si="32"/>
        <v>1008</v>
      </c>
      <c r="E1020" s="10" t="str">
        <f t="shared" si="31"/>
        <v/>
      </c>
      <c r="I1020" s="53"/>
      <c r="N1020" s="8">
        <v>0</v>
      </c>
      <c r="Q1020" s="1"/>
      <c r="R1020" s="1"/>
      <c r="S1020" s="1"/>
      <c r="T1020" s="8"/>
      <c r="U1020" s="8"/>
      <c r="V1020" s="1"/>
      <c r="W1020" s="1"/>
      <c r="X1020" s="1"/>
      <c r="Z1020" s="8"/>
    </row>
    <row r="1021" spans="1:26" x14ac:dyDescent="0.2">
      <c r="A1021" s="12">
        <f t="shared" si="32"/>
        <v>1009</v>
      </c>
      <c r="E1021" s="10" t="str">
        <f t="shared" si="31"/>
        <v/>
      </c>
      <c r="I1021" s="53"/>
      <c r="N1021" s="8">
        <v>0</v>
      </c>
      <c r="Q1021" s="1"/>
      <c r="R1021" s="1"/>
      <c r="S1021" s="1"/>
      <c r="T1021" s="8"/>
      <c r="U1021" s="8"/>
      <c r="V1021" s="1"/>
      <c r="W1021" s="1"/>
      <c r="X1021" s="1"/>
      <c r="Z1021" s="8"/>
    </row>
    <row r="1022" spans="1:26" x14ac:dyDescent="0.2">
      <c r="A1022" s="12">
        <f t="shared" si="32"/>
        <v>1010</v>
      </c>
      <c r="E1022" s="10" t="str">
        <f t="shared" si="31"/>
        <v/>
      </c>
      <c r="I1022" s="53"/>
      <c r="N1022" s="8">
        <v>0</v>
      </c>
      <c r="Q1022" s="1"/>
      <c r="R1022" s="1"/>
      <c r="S1022" s="1"/>
      <c r="T1022" s="8"/>
      <c r="U1022" s="8"/>
      <c r="V1022" s="1"/>
      <c r="W1022" s="1"/>
      <c r="X1022" s="1"/>
      <c r="Z1022" s="8"/>
    </row>
    <row r="1023" spans="1:26" x14ac:dyDescent="0.2">
      <c r="A1023" s="12">
        <f t="shared" si="32"/>
        <v>1011</v>
      </c>
      <c r="E1023" s="10" t="str">
        <f t="shared" si="31"/>
        <v/>
      </c>
      <c r="I1023" s="53"/>
      <c r="N1023" s="8">
        <v>0</v>
      </c>
      <c r="Q1023" s="1"/>
      <c r="R1023" s="1"/>
      <c r="S1023" s="1"/>
      <c r="T1023" s="8"/>
      <c r="U1023" s="8"/>
      <c r="V1023" s="1"/>
      <c r="W1023" s="1"/>
      <c r="X1023" s="1"/>
      <c r="Z1023" s="8"/>
    </row>
    <row r="1024" spans="1:26" x14ac:dyDescent="0.2">
      <c r="A1024" s="12">
        <f t="shared" si="32"/>
        <v>1012</v>
      </c>
      <c r="E1024" s="10" t="str">
        <f t="shared" si="31"/>
        <v/>
      </c>
      <c r="I1024" s="53"/>
      <c r="N1024" s="8">
        <v>0</v>
      </c>
      <c r="Q1024" s="1"/>
      <c r="R1024" s="1"/>
      <c r="S1024" s="1"/>
      <c r="T1024" s="8"/>
      <c r="U1024" s="8"/>
      <c r="V1024" s="1"/>
      <c r="W1024" s="1"/>
      <c r="X1024" s="1"/>
      <c r="Z1024" s="8"/>
    </row>
    <row r="1025" spans="1:26" x14ac:dyDescent="0.2">
      <c r="A1025" s="12">
        <f t="shared" si="32"/>
        <v>1013</v>
      </c>
      <c r="E1025" s="10" t="str">
        <f t="shared" si="31"/>
        <v/>
      </c>
      <c r="I1025" s="53"/>
      <c r="N1025" s="8">
        <v>0</v>
      </c>
      <c r="Q1025" s="1"/>
      <c r="R1025" s="1"/>
      <c r="S1025" s="1"/>
      <c r="T1025" s="8"/>
      <c r="U1025" s="8"/>
      <c r="V1025" s="1"/>
      <c r="W1025" s="1"/>
      <c r="X1025" s="1"/>
      <c r="Z1025" s="8"/>
    </row>
    <row r="1026" spans="1:26" x14ac:dyDescent="0.2">
      <c r="A1026" s="12">
        <f t="shared" si="32"/>
        <v>1014</v>
      </c>
      <c r="E1026" s="10" t="str">
        <f t="shared" si="31"/>
        <v/>
      </c>
      <c r="I1026" s="53"/>
      <c r="N1026" s="8">
        <v>0</v>
      </c>
      <c r="Q1026" s="1"/>
      <c r="R1026" s="1"/>
      <c r="S1026" s="1"/>
      <c r="T1026" s="8"/>
      <c r="U1026" s="8"/>
      <c r="V1026" s="1"/>
      <c r="W1026" s="1"/>
      <c r="X1026" s="1"/>
      <c r="Z1026" s="8"/>
    </row>
    <row r="1027" spans="1:26" x14ac:dyDescent="0.2">
      <c r="A1027" s="12">
        <f t="shared" si="32"/>
        <v>1015</v>
      </c>
      <c r="E1027" s="10" t="str">
        <f t="shared" si="31"/>
        <v/>
      </c>
      <c r="I1027" s="53"/>
      <c r="N1027" s="8">
        <v>0</v>
      </c>
      <c r="Q1027" s="1"/>
      <c r="R1027" s="1"/>
      <c r="S1027" s="1"/>
      <c r="T1027" s="8"/>
      <c r="U1027" s="8"/>
      <c r="V1027" s="1"/>
      <c r="W1027" s="1"/>
      <c r="X1027" s="1"/>
      <c r="Z1027" s="8"/>
    </row>
    <row r="1028" spans="1:26" x14ac:dyDescent="0.2">
      <c r="A1028" s="12">
        <f t="shared" si="32"/>
        <v>1016</v>
      </c>
      <c r="E1028" s="10" t="str">
        <f t="shared" si="31"/>
        <v/>
      </c>
      <c r="I1028" s="53"/>
      <c r="N1028" s="8">
        <v>0</v>
      </c>
      <c r="Q1028" s="1"/>
      <c r="R1028" s="1"/>
      <c r="S1028" s="1"/>
      <c r="T1028" s="8"/>
      <c r="U1028" s="8"/>
      <c r="V1028" s="1"/>
      <c r="W1028" s="1"/>
      <c r="X1028" s="1"/>
      <c r="Z1028" s="8"/>
    </row>
    <row r="1029" spans="1:26" x14ac:dyDescent="0.2">
      <c r="A1029" s="12">
        <f t="shared" si="32"/>
        <v>1017</v>
      </c>
      <c r="E1029" s="10" t="str">
        <f t="shared" si="31"/>
        <v/>
      </c>
      <c r="I1029" s="53"/>
      <c r="N1029" s="8">
        <v>0</v>
      </c>
      <c r="Q1029" s="1"/>
      <c r="R1029" s="1"/>
      <c r="S1029" s="1"/>
      <c r="T1029" s="8"/>
      <c r="U1029" s="8"/>
      <c r="V1029" s="1"/>
      <c r="W1029" s="1"/>
      <c r="X1029" s="1"/>
      <c r="Z1029" s="8"/>
    </row>
    <row r="1030" spans="1:26" x14ac:dyDescent="0.2">
      <c r="A1030" s="12">
        <f t="shared" si="32"/>
        <v>1018</v>
      </c>
      <c r="E1030" s="10" t="str">
        <f t="shared" si="31"/>
        <v/>
      </c>
      <c r="I1030" s="53"/>
      <c r="N1030" s="8">
        <v>0</v>
      </c>
      <c r="Q1030" s="1"/>
      <c r="R1030" s="1"/>
      <c r="S1030" s="1"/>
      <c r="T1030" s="8"/>
      <c r="U1030" s="8"/>
      <c r="V1030" s="1"/>
      <c r="W1030" s="1"/>
      <c r="X1030" s="1"/>
      <c r="Z1030" s="8"/>
    </row>
    <row r="1031" spans="1:26" x14ac:dyDescent="0.2">
      <c r="A1031" s="12">
        <f t="shared" si="32"/>
        <v>1019</v>
      </c>
      <c r="E1031" s="10" t="str">
        <f t="shared" si="31"/>
        <v/>
      </c>
      <c r="I1031" s="53"/>
      <c r="N1031" s="8">
        <v>0</v>
      </c>
      <c r="Q1031" s="1"/>
      <c r="R1031" s="1"/>
      <c r="S1031" s="1"/>
      <c r="T1031" s="8"/>
      <c r="U1031" s="8"/>
      <c r="V1031" s="1"/>
      <c r="W1031" s="1"/>
      <c r="X1031" s="1"/>
      <c r="Z1031" s="8"/>
    </row>
    <row r="1032" spans="1:26" x14ac:dyDescent="0.2">
      <c r="A1032" s="12">
        <f t="shared" si="32"/>
        <v>1020</v>
      </c>
      <c r="E1032" s="10" t="str">
        <f t="shared" si="31"/>
        <v/>
      </c>
      <c r="I1032" s="53"/>
      <c r="N1032" s="8">
        <v>0</v>
      </c>
      <c r="Q1032" s="1"/>
      <c r="R1032" s="1"/>
      <c r="S1032" s="1"/>
      <c r="T1032" s="8"/>
      <c r="U1032" s="8"/>
      <c r="V1032" s="1"/>
      <c r="W1032" s="1"/>
      <c r="X1032" s="1"/>
      <c r="Z1032" s="8"/>
    </row>
    <row r="1033" spans="1:26" x14ac:dyDescent="0.2">
      <c r="A1033" s="12">
        <f t="shared" si="32"/>
        <v>1021</v>
      </c>
      <c r="E1033" s="10" t="str">
        <f t="shared" si="31"/>
        <v/>
      </c>
      <c r="I1033" s="53"/>
      <c r="N1033" s="8">
        <v>0</v>
      </c>
      <c r="Q1033" s="1"/>
      <c r="R1033" s="1"/>
      <c r="S1033" s="1"/>
      <c r="T1033" s="8"/>
      <c r="U1033" s="8"/>
      <c r="V1033" s="1"/>
      <c r="W1033" s="1"/>
      <c r="X1033" s="1"/>
      <c r="Z1033" s="8"/>
    </row>
    <row r="1034" spans="1:26" x14ac:dyDescent="0.2">
      <c r="A1034" s="12">
        <f t="shared" si="32"/>
        <v>1022</v>
      </c>
      <c r="E1034" s="10" t="str">
        <f t="shared" si="31"/>
        <v/>
      </c>
      <c r="I1034" s="53"/>
      <c r="N1034" s="8">
        <v>0</v>
      </c>
      <c r="Q1034" s="1"/>
      <c r="R1034" s="1"/>
      <c r="S1034" s="1"/>
      <c r="T1034" s="8"/>
      <c r="U1034" s="8"/>
      <c r="V1034" s="1"/>
      <c r="W1034" s="1"/>
      <c r="X1034" s="1"/>
      <c r="Z1034" s="8"/>
    </row>
    <row r="1035" spans="1:26" x14ac:dyDescent="0.2">
      <c r="A1035" s="12">
        <f t="shared" si="32"/>
        <v>1023</v>
      </c>
      <c r="E1035" s="10" t="str">
        <f t="shared" si="31"/>
        <v/>
      </c>
      <c r="I1035" s="53"/>
      <c r="N1035" s="8">
        <v>0</v>
      </c>
      <c r="Q1035" s="1"/>
      <c r="R1035" s="1"/>
      <c r="S1035" s="1"/>
      <c r="T1035" s="8"/>
      <c r="U1035" s="8"/>
      <c r="V1035" s="1"/>
      <c r="W1035" s="1"/>
      <c r="X1035" s="1"/>
      <c r="Z1035" s="8"/>
    </row>
    <row r="1036" spans="1:26" x14ac:dyDescent="0.2">
      <c r="A1036" s="12">
        <f t="shared" si="32"/>
        <v>1024</v>
      </c>
      <c r="E1036" s="10" t="str">
        <f t="shared" si="31"/>
        <v/>
      </c>
      <c r="I1036" s="53"/>
      <c r="N1036" s="8">
        <v>0</v>
      </c>
      <c r="Q1036" s="1"/>
      <c r="R1036" s="1"/>
      <c r="S1036" s="1"/>
      <c r="T1036" s="8"/>
      <c r="U1036" s="8"/>
      <c r="V1036" s="1"/>
      <c r="W1036" s="1"/>
      <c r="X1036" s="1"/>
      <c r="Z1036" s="8"/>
    </row>
    <row r="1037" spans="1:26" x14ac:dyDescent="0.2">
      <c r="A1037" s="12">
        <f t="shared" si="32"/>
        <v>1025</v>
      </c>
      <c r="E1037" s="10" t="str">
        <f t="shared" ref="E1037:E1100" si="33">IF($C$8&gt;=A1037,$E$1&amp;" "&amp;A1037,"")</f>
        <v/>
      </c>
      <c r="I1037" s="53"/>
      <c r="N1037" s="8">
        <v>0</v>
      </c>
      <c r="Q1037" s="1"/>
      <c r="R1037" s="1"/>
      <c r="S1037" s="1"/>
      <c r="T1037" s="8"/>
      <c r="U1037" s="8"/>
      <c r="V1037" s="1"/>
      <c r="W1037" s="1"/>
      <c r="X1037" s="1"/>
      <c r="Z1037" s="8"/>
    </row>
    <row r="1038" spans="1:26" x14ac:dyDescent="0.2">
      <c r="A1038" s="12">
        <f t="shared" si="32"/>
        <v>1026</v>
      </c>
      <c r="E1038" s="10" t="str">
        <f t="shared" si="33"/>
        <v/>
      </c>
      <c r="I1038" s="53"/>
      <c r="N1038" s="8">
        <v>0</v>
      </c>
      <c r="Q1038" s="1"/>
      <c r="R1038" s="1"/>
      <c r="S1038" s="1"/>
      <c r="T1038" s="8"/>
      <c r="U1038" s="8"/>
      <c r="V1038" s="1"/>
      <c r="W1038" s="1"/>
      <c r="X1038" s="1"/>
      <c r="Z1038" s="8"/>
    </row>
    <row r="1039" spans="1:26" x14ac:dyDescent="0.2">
      <c r="A1039" s="12">
        <f t="shared" ref="A1039:A1102" si="34">A1038+1</f>
        <v>1027</v>
      </c>
      <c r="E1039" s="10" t="str">
        <f t="shared" si="33"/>
        <v/>
      </c>
      <c r="I1039" s="53"/>
      <c r="N1039" s="8">
        <v>0</v>
      </c>
      <c r="Q1039" s="1"/>
      <c r="R1039" s="1"/>
      <c r="S1039" s="1"/>
      <c r="T1039" s="8"/>
      <c r="U1039" s="8"/>
      <c r="V1039" s="1"/>
      <c r="W1039" s="1"/>
      <c r="X1039" s="1"/>
      <c r="Z1039" s="8"/>
    </row>
    <row r="1040" spans="1:26" x14ac:dyDescent="0.2">
      <c r="A1040" s="12">
        <f t="shared" si="34"/>
        <v>1028</v>
      </c>
      <c r="E1040" s="10" t="str">
        <f t="shared" si="33"/>
        <v/>
      </c>
      <c r="I1040" s="53"/>
      <c r="N1040" s="8">
        <v>0</v>
      </c>
      <c r="Q1040" s="1"/>
      <c r="R1040" s="1"/>
      <c r="S1040" s="1"/>
      <c r="T1040" s="8"/>
      <c r="U1040" s="8"/>
      <c r="V1040" s="1"/>
      <c r="W1040" s="1"/>
      <c r="X1040" s="1"/>
      <c r="Z1040" s="8"/>
    </row>
    <row r="1041" spans="1:26" x14ac:dyDescent="0.2">
      <c r="A1041" s="12">
        <f t="shared" si="34"/>
        <v>1029</v>
      </c>
      <c r="E1041" s="10" t="str">
        <f t="shared" si="33"/>
        <v/>
      </c>
      <c r="I1041" s="53"/>
      <c r="N1041" s="8">
        <v>0</v>
      </c>
      <c r="Q1041" s="1"/>
      <c r="R1041" s="1"/>
      <c r="S1041" s="1"/>
      <c r="T1041" s="8"/>
      <c r="U1041" s="8"/>
      <c r="V1041" s="1"/>
      <c r="W1041" s="1"/>
      <c r="X1041" s="1"/>
      <c r="Z1041" s="8"/>
    </row>
    <row r="1042" spans="1:26" x14ac:dyDescent="0.2">
      <c r="A1042" s="12">
        <f t="shared" si="34"/>
        <v>1030</v>
      </c>
      <c r="E1042" s="10" t="str">
        <f t="shared" si="33"/>
        <v/>
      </c>
      <c r="I1042" s="53"/>
      <c r="N1042" s="8">
        <v>0</v>
      </c>
      <c r="Q1042" s="1"/>
      <c r="R1042" s="1"/>
      <c r="S1042" s="1"/>
      <c r="T1042" s="8"/>
      <c r="U1042" s="8"/>
      <c r="V1042" s="1"/>
      <c r="W1042" s="1"/>
      <c r="X1042" s="1"/>
      <c r="Z1042" s="8"/>
    </row>
    <row r="1043" spans="1:26" x14ac:dyDescent="0.2">
      <c r="A1043" s="12">
        <f t="shared" si="34"/>
        <v>1031</v>
      </c>
      <c r="E1043" s="10" t="str">
        <f t="shared" si="33"/>
        <v/>
      </c>
      <c r="I1043" s="53"/>
      <c r="N1043" s="8">
        <v>0</v>
      </c>
      <c r="Q1043" s="1"/>
      <c r="R1043" s="1"/>
      <c r="S1043" s="1"/>
      <c r="T1043" s="8"/>
      <c r="U1043" s="8"/>
      <c r="V1043" s="1"/>
      <c r="W1043" s="1"/>
      <c r="X1043" s="1"/>
      <c r="Z1043" s="8"/>
    </row>
    <row r="1044" spans="1:26" x14ac:dyDescent="0.2">
      <c r="A1044" s="12">
        <f t="shared" si="34"/>
        <v>1032</v>
      </c>
      <c r="E1044" s="10" t="str">
        <f t="shared" si="33"/>
        <v/>
      </c>
      <c r="I1044" s="53"/>
      <c r="N1044" s="8">
        <v>0</v>
      </c>
      <c r="Q1044" s="1"/>
      <c r="R1044" s="1"/>
      <c r="S1044" s="1"/>
      <c r="T1044" s="8"/>
      <c r="U1044" s="8"/>
      <c r="V1044" s="1"/>
      <c r="W1044" s="1"/>
      <c r="X1044" s="1"/>
      <c r="Z1044" s="8"/>
    </row>
    <row r="1045" spans="1:26" x14ac:dyDescent="0.2">
      <c r="A1045" s="12">
        <f t="shared" si="34"/>
        <v>1033</v>
      </c>
      <c r="E1045" s="10" t="str">
        <f t="shared" si="33"/>
        <v/>
      </c>
      <c r="I1045" s="53"/>
      <c r="N1045" s="8">
        <v>0</v>
      </c>
      <c r="Q1045" s="1"/>
      <c r="R1045" s="1"/>
      <c r="S1045" s="1"/>
      <c r="T1045" s="8"/>
      <c r="U1045" s="8"/>
      <c r="V1045" s="1"/>
      <c r="W1045" s="1"/>
      <c r="X1045" s="1"/>
      <c r="Z1045" s="8"/>
    </row>
    <row r="1046" spans="1:26" x14ac:dyDescent="0.2">
      <c r="A1046" s="12">
        <f t="shared" si="34"/>
        <v>1034</v>
      </c>
      <c r="E1046" s="10" t="str">
        <f t="shared" si="33"/>
        <v/>
      </c>
      <c r="I1046" s="53"/>
      <c r="N1046" s="8">
        <v>0</v>
      </c>
      <c r="Q1046" s="1"/>
      <c r="R1046" s="1"/>
      <c r="S1046" s="1"/>
      <c r="T1046" s="8"/>
      <c r="U1046" s="8"/>
      <c r="V1046" s="1"/>
      <c r="W1046" s="1"/>
      <c r="X1046" s="1"/>
      <c r="Z1046" s="8"/>
    </row>
    <row r="1047" spans="1:26" x14ac:dyDescent="0.2">
      <c r="A1047" s="12">
        <f t="shared" si="34"/>
        <v>1035</v>
      </c>
      <c r="E1047" s="10" t="str">
        <f t="shared" si="33"/>
        <v/>
      </c>
      <c r="I1047" s="53"/>
      <c r="N1047" s="8">
        <v>0</v>
      </c>
      <c r="Q1047" s="1"/>
      <c r="R1047" s="1"/>
      <c r="S1047" s="1"/>
      <c r="T1047" s="8"/>
      <c r="U1047" s="8"/>
      <c r="V1047" s="1"/>
      <c r="W1047" s="1"/>
      <c r="X1047" s="1"/>
      <c r="Z1047" s="8"/>
    </row>
    <row r="1048" spans="1:26" x14ac:dyDescent="0.2">
      <c r="A1048" s="12">
        <f t="shared" si="34"/>
        <v>1036</v>
      </c>
      <c r="E1048" s="10" t="str">
        <f t="shared" si="33"/>
        <v/>
      </c>
      <c r="I1048" s="53"/>
      <c r="N1048" s="8">
        <v>0</v>
      </c>
      <c r="Q1048" s="1"/>
      <c r="R1048" s="1"/>
      <c r="S1048" s="1"/>
      <c r="T1048" s="8"/>
      <c r="U1048" s="8"/>
      <c r="V1048" s="1"/>
      <c r="W1048" s="1"/>
      <c r="X1048" s="1"/>
      <c r="Z1048" s="8"/>
    </row>
    <row r="1049" spans="1:26" x14ac:dyDescent="0.2">
      <c r="A1049" s="12">
        <f t="shared" si="34"/>
        <v>1037</v>
      </c>
      <c r="E1049" s="10" t="str">
        <f t="shared" si="33"/>
        <v/>
      </c>
      <c r="I1049" s="53"/>
      <c r="N1049" s="8">
        <v>0</v>
      </c>
      <c r="Q1049" s="1"/>
      <c r="R1049" s="1"/>
      <c r="S1049" s="1"/>
      <c r="T1049" s="8"/>
      <c r="U1049" s="8"/>
      <c r="V1049" s="1"/>
      <c r="W1049" s="1"/>
      <c r="X1049" s="1"/>
      <c r="Z1049" s="8"/>
    </row>
    <row r="1050" spans="1:26" x14ac:dyDescent="0.2">
      <c r="A1050" s="12">
        <f t="shared" si="34"/>
        <v>1038</v>
      </c>
      <c r="E1050" s="10" t="str">
        <f t="shared" si="33"/>
        <v/>
      </c>
      <c r="I1050" s="53"/>
      <c r="N1050" s="8">
        <v>0</v>
      </c>
      <c r="Q1050" s="1"/>
      <c r="R1050" s="1"/>
      <c r="S1050" s="1"/>
      <c r="T1050" s="8"/>
      <c r="U1050" s="8"/>
      <c r="V1050" s="1"/>
      <c r="W1050" s="1"/>
      <c r="X1050" s="1"/>
      <c r="Z1050" s="8"/>
    </row>
    <row r="1051" spans="1:26" x14ac:dyDescent="0.2">
      <c r="A1051" s="12">
        <f t="shared" si="34"/>
        <v>1039</v>
      </c>
      <c r="E1051" s="10" t="str">
        <f t="shared" si="33"/>
        <v/>
      </c>
      <c r="I1051" s="53"/>
      <c r="N1051" s="8">
        <v>0</v>
      </c>
      <c r="Q1051" s="1"/>
      <c r="R1051" s="1"/>
      <c r="S1051" s="1"/>
      <c r="T1051" s="8"/>
      <c r="U1051" s="8"/>
      <c r="V1051" s="1"/>
      <c r="W1051" s="1"/>
      <c r="X1051" s="1"/>
      <c r="Z1051" s="8"/>
    </row>
    <row r="1052" spans="1:26" x14ac:dyDescent="0.2">
      <c r="A1052" s="12">
        <f t="shared" si="34"/>
        <v>1040</v>
      </c>
      <c r="E1052" s="10" t="str">
        <f t="shared" si="33"/>
        <v/>
      </c>
      <c r="I1052" s="53"/>
      <c r="N1052" s="8">
        <v>0</v>
      </c>
      <c r="Q1052" s="1"/>
      <c r="R1052" s="1"/>
      <c r="S1052" s="1"/>
      <c r="T1052" s="8"/>
      <c r="U1052" s="8"/>
      <c r="V1052" s="1"/>
      <c r="W1052" s="1"/>
      <c r="X1052" s="1"/>
      <c r="Z1052" s="8"/>
    </row>
    <row r="1053" spans="1:26" x14ac:dyDescent="0.2">
      <c r="A1053" s="12">
        <f t="shared" si="34"/>
        <v>1041</v>
      </c>
      <c r="E1053" s="10" t="str">
        <f t="shared" si="33"/>
        <v/>
      </c>
      <c r="I1053" s="53"/>
      <c r="N1053" s="8">
        <v>0</v>
      </c>
      <c r="Q1053" s="1"/>
      <c r="R1053" s="1"/>
      <c r="S1053" s="1"/>
      <c r="T1053" s="8"/>
      <c r="U1053" s="8"/>
      <c r="V1053" s="1"/>
      <c r="W1053" s="1"/>
      <c r="X1053" s="1"/>
      <c r="Z1053" s="8"/>
    </row>
    <row r="1054" spans="1:26" x14ac:dyDescent="0.2">
      <c r="A1054" s="12">
        <f t="shared" si="34"/>
        <v>1042</v>
      </c>
      <c r="E1054" s="10" t="str">
        <f t="shared" si="33"/>
        <v/>
      </c>
      <c r="I1054" s="53"/>
      <c r="N1054" s="8">
        <v>0</v>
      </c>
      <c r="Q1054" s="1"/>
      <c r="R1054" s="1"/>
      <c r="S1054" s="1"/>
      <c r="T1054" s="8"/>
      <c r="U1054" s="8"/>
      <c r="V1054" s="1"/>
      <c r="W1054" s="1"/>
      <c r="X1054" s="1"/>
      <c r="Z1054" s="8"/>
    </row>
    <row r="1055" spans="1:26" x14ac:dyDescent="0.2">
      <c r="A1055" s="12">
        <f t="shared" si="34"/>
        <v>1043</v>
      </c>
      <c r="E1055" s="10" t="str">
        <f t="shared" si="33"/>
        <v/>
      </c>
      <c r="I1055" s="53"/>
      <c r="N1055" s="8">
        <v>0</v>
      </c>
      <c r="Q1055" s="1"/>
      <c r="R1055" s="1"/>
      <c r="S1055" s="1"/>
      <c r="T1055" s="8"/>
      <c r="U1055" s="8"/>
      <c r="V1055" s="1"/>
      <c r="W1055" s="1"/>
      <c r="X1055" s="1"/>
      <c r="Z1055" s="8"/>
    </row>
    <row r="1056" spans="1:26" x14ac:dyDescent="0.2">
      <c r="A1056" s="12">
        <f t="shared" si="34"/>
        <v>1044</v>
      </c>
      <c r="E1056" s="10" t="str">
        <f t="shared" si="33"/>
        <v/>
      </c>
      <c r="I1056" s="53"/>
      <c r="N1056" s="8">
        <v>0</v>
      </c>
      <c r="Q1056" s="1"/>
      <c r="R1056" s="1"/>
      <c r="S1056" s="1"/>
      <c r="T1056" s="8"/>
      <c r="U1056" s="8"/>
      <c r="V1056" s="1"/>
      <c r="W1056" s="1"/>
      <c r="X1056" s="1"/>
      <c r="Z1056" s="8"/>
    </row>
    <row r="1057" spans="1:26" x14ac:dyDescent="0.2">
      <c r="A1057" s="12">
        <f t="shared" si="34"/>
        <v>1045</v>
      </c>
      <c r="E1057" s="10" t="str">
        <f t="shared" si="33"/>
        <v/>
      </c>
      <c r="I1057" s="53"/>
      <c r="N1057" s="8">
        <v>0</v>
      </c>
      <c r="Q1057" s="1"/>
      <c r="R1057" s="1"/>
      <c r="S1057" s="1"/>
      <c r="T1057" s="8"/>
      <c r="U1057" s="8"/>
      <c r="V1057" s="1"/>
      <c r="W1057" s="1"/>
      <c r="X1057" s="1"/>
      <c r="Z1057" s="8"/>
    </row>
    <row r="1058" spans="1:26" x14ac:dyDescent="0.2">
      <c r="A1058" s="12">
        <f t="shared" si="34"/>
        <v>1046</v>
      </c>
      <c r="E1058" s="10" t="str">
        <f t="shared" si="33"/>
        <v/>
      </c>
      <c r="I1058" s="53"/>
      <c r="N1058" s="8">
        <v>0</v>
      </c>
      <c r="Q1058" s="1"/>
      <c r="R1058" s="1"/>
      <c r="S1058" s="1"/>
      <c r="T1058" s="8"/>
      <c r="U1058" s="8"/>
      <c r="V1058" s="1"/>
      <c r="W1058" s="1"/>
      <c r="X1058" s="1"/>
      <c r="Z1058" s="8"/>
    </row>
    <row r="1059" spans="1:26" x14ac:dyDescent="0.2">
      <c r="A1059" s="12">
        <f t="shared" si="34"/>
        <v>1047</v>
      </c>
      <c r="E1059" s="10" t="str">
        <f t="shared" si="33"/>
        <v/>
      </c>
      <c r="I1059" s="53"/>
      <c r="N1059" s="8">
        <v>0</v>
      </c>
      <c r="Q1059" s="1"/>
      <c r="R1059" s="1"/>
      <c r="S1059" s="1"/>
      <c r="T1059" s="8"/>
      <c r="U1059" s="8"/>
      <c r="V1059" s="1"/>
      <c r="W1059" s="1"/>
      <c r="X1059" s="1"/>
      <c r="Z1059" s="8"/>
    </row>
    <row r="1060" spans="1:26" x14ac:dyDescent="0.2">
      <c r="A1060" s="12">
        <f t="shared" si="34"/>
        <v>1048</v>
      </c>
      <c r="E1060" s="10" t="str">
        <f t="shared" si="33"/>
        <v/>
      </c>
      <c r="I1060" s="53"/>
      <c r="N1060" s="8">
        <v>0</v>
      </c>
      <c r="Q1060" s="1"/>
      <c r="R1060" s="1"/>
      <c r="S1060" s="1"/>
      <c r="T1060" s="8"/>
      <c r="U1060" s="8"/>
      <c r="V1060" s="1"/>
      <c r="W1060" s="1"/>
      <c r="X1060" s="1"/>
      <c r="Z1060" s="8"/>
    </row>
    <row r="1061" spans="1:26" x14ac:dyDescent="0.2">
      <c r="A1061" s="12">
        <f t="shared" si="34"/>
        <v>1049</v>
      </c>
      <c r="E1061" s="10" t="str">
        <f t="shared" si="33"/>
        <v/>
      </c>
      <c r="I1061" s="53"/>
      <c r="N1061" s="8">
        <v>0</v>
      </c>
      <c r="Q1061" s="1"/>
      <c r="R1061" s="1"/>
      <c r="S1061" s="1"/>
      <c r="T1061" s="8"/>
      <c r="U1061" s="8"/>
      <c r="V1061" s="1"/>
      <c r="W1061" s="1"/>
      <c r="X1061" s="1"/>
      <c r="Z1061" s="8"/>
    </row>
    <row r="1062" spans="1:26" x14ac:dyDescent="0.2">
      <c r="A1062" s="12">
        <f t="shared" si="34"/>
        <v>1050</v>
      </c>
      <c r="E1062" s="10" t="str">
        <f t="shared" si="33"/>
        <v/>
      </c>
      <c r="I1062" s="53"/>
      <c r="N1062" s="8">
        <v>0</v>
      </c>
      <c r="Q1062" s="1"/>
      <c r="R1062" s="1"/>
      <c r="S1062" s="1"/>
      <c r="T1062" s="8"/>
      <c r="U1062" s="8"/>
      <c r="V1062" s="1"/>
      <c r="W1062" s="1"/>
      <c r="X1062" s="1"/>
      <c r="Z1062" s="8"/>
    </row>
    <row r="1063" spans="1:26" x14ac:dyDescent="0.2">
      <c r="A1063" s="12">
        <f t="shared" si="34"/>
        <v>1051</v>
      </c>
      <c r="E1063" s="10" t="str">
        <f t="shared" si="33"/>
        <v/>
      </c>
      <c r="I1063" s="53"/>
      <c r="N1063" s="8">
        <v>0</v>
      </c>
      <c r="Q1063" s="1"/>
      <c r="R1063" s="1"/>
      <c r="S1063" s="1"/>
      <c r="T1063" s="8"/>
      <c r="U1063" s="8"/>
      <c r="V1063" s="1"/>
      <c r="W1063" s="1"/>
      <c r="X1063" s="1"/>
      <c r="Z1063" s="8"/>
    </row>
    <row r="1064" spans="1:26" x14ac:dyDescent="0.2">
      <c r="A1064" s="12">
        <f t="shared" si="34"/>
        <v>1052</v>
      </c>
      <c r="E1064" s="10" t="str">
        <f t="shared" si="33"/>
        <v/>
      </c>
      <c r="I1064" s="53"/>
      <c r="N1064" s="8">
        <v>0</v>
      </c>
      <c r="Q1064" s="1"/>
      <c r="R1064" s="1"/>
      <c r="S1064" s="1"/>
      <c r="T1064" s="8"/>
      <c r="U1064" s="8"/>
      <c r="V1064" s="1"/>
      <c r="W1064" s="1"/>
      <c r="X1064" s="1"/>
      <c r="Z1064" s="8"/>
    </row>
    <row r="1065" spans="1:26" x14ac:dyDescent="0.2">
      <c r="A1065" s="12">
        <f t="shared" si="34"/>
        <v>1053</v>
      </c>
      <c r="E1065" s="10" t="str">
        <f t="shared" si="33"/>
        <v/>
      </c>
      <c r="I1065" s="53"/>
      <c r="N1065" s="8">
        <v>0</v>
      </c>
      <c r="Q1065" s="1"/>
      <c r="R1065" s="1"/>
      <c r="S1065" s="1"/>
      <c r="T1065" s="8"/>
      <c r="U1065" s="8"/>
      <c r="V1065" s="1"/>
      <c r="W1065" s="1"/>
      <c r="X1065" s="1"/>
      <c r="Z1065" s="8"/>
    </row>
    <row r="1066" spans="1:26" x14ac:dyDescent="0.2">
      <c r="A1066" s="12">
        <f t="shared" si="34"/>
        <v>1054</v>
      </c>
      <c r="E1066" s="10" t="str">
        <f t="shared" si="33"/>
        <v/>
      </c>
      <c r="I1066" s="53"/>
      <c r="N1066" s="8">
        <v>0</v>
      </c>
      <c r="Q1066" s="1"/>
      <c r="R1066" s="1"/>
      <c r="S1066" s="1"/>
      <c r="T1066" s="8"/>
      <c r="U1066" s="8"/>
      <c r="V1066" s="1"/>
      <c r="W1066" s="1"/>
      <c r="X1066" s="1"/>
      <c r="Z1066" s="8"/>
    </row>
    <row r="1067" spans="1:26" x14ac:dyDescent="0.2">
      <c r="A1067" s="12">
        <f t="shared" si="34"/>
        <v>1055</v>
      </c>
      <c r="E1067" s="10" t="str">
        <f t="shared" si="33"/>
        <v/>
      </c>
      <c r="I1067" s="53"/>
      <c r="N1067" s="8">
        <v>0</v>
      </c>
      <c r="Q1067" s="1"/>
      <c r="R1067" s="1"/>
      <c r="S1067" s="1"/>
      <c r="T1067" s="8"/>
      <c r="U1067" s="8"/>
      <c r="V1067" s="1"/>
      <c r="W1067" s="1"/>
      <c r="X1067" s="1"/>
      <c r="Z1067" s="8"/>
    </row>
    <row r="1068" spans="1:26" x14ac:dyDescent="0.2">
      <c r="A1068" s="12">
        <f t="shared" si="34"/>
        <v>1056</v>
      </c>
      <c r="E1068" s="10" t="str">
        <f t="shared" si="33"/>
        <v/>
      </c>
      <c r="I1068" s="53"/>
      <c r="N1068" s="8">
        <v>0</v>
      </c>
      <c r="Q1068" s="1"/>
      <c r="R1068" s="1"/>
      <c r="S1068" s="1"/>
      <c r="T1068" s="8"/>
      <c r="U1068" s="8"/>
      <c r="V1068" s="1"/>
      <c r="W1068" s="1"/>
      <c r="X1068" s="1"/>
      <c r="Z1068" s="8"/>
    </row>
    <row r="1069" spans="1:26" x14ac:dyDescent="0.2">
      <c r="A1069" s="12">
        <f t="shared" si="34"/>
        <v>1057</v>
      </c>
      <c r="E1069" s="10" t="str">
        <f t="shared" si="33"/>
        <v/>
      </c>
      <c r="I1069" s="53"/>
      <c r="N1069" s="8">
        <v>0</v>
      </c>
      <c r="Q1069" s="1"/>
      <c r="R1069" s="1"/>
      <c r="S1069" s="1"/>
      <c r="T1069" s="8"/>
      <c r="U1069" s="8"/>
      <c r="V1069" s="1"/>
      <c r="W1069" s="1"/>
      <c r="X1069" s="1"/>
      <c r="Z1069" s="8"/>
    </row>
    <row r="1070" spans="1:26" x14ac:dyDescent="0.2">
      <c r="A1070" s="12">
        <f t="shared" si="34"/>
        <v>1058</v>
      </c>
      <c r="E1070" s="10" t="str">
        <f t="shared" si="33"/>
        <v/>
      </c>
      <c r="I1070" s="53"/>
      <c r="N1070" s="8">
        <v>0</v>
      </c>
      <c r="Q1070" s="1"/>
      <c r="R1070" s="1"/>
      <c r="S1070" s="1"/>
      <c r="T1070" s="8"/>
      <c r="U1070" s="8"/>
      <c r="V1070" s="1"/>
      <c r="W1070" s="1"/>
      <c r="X1070" s="1"/>
      <c r="Z1070" s="8"/>
    </row>
    <row r="1071" spans="1:26" x14ac:dyDescent="0.2">
      <c r="A1071" s="12">
        <f t="shared" si="34"/>
        <v>1059</v>
      </c>
      <c r="E1071" s="10" t="str">
        <f t="shared" si="33"/>
        <v/>
      </c>
      <c r="I1071" s="53"/>
      <c r="N1071" s="8">
        <v>0</v>
      </c>
      <c r="Q1071" s="1"/>
      <c r="R1071" s="1"/>
      <c r="S1071" s="1"/>
      <c r="T1071" s="8"/>
      <c r="U1071" s="8"/>
      <c r="V1071" s="1"/>
      <c r="W1071" s="1"/>
      <c r="X1071" s="1"/>
      <c r="Z1071" s="8"/>
    </row>
    <row r="1072" spans="1:26" x14ac:dyDescent="0.2">
      <c r="A1072" s="12">
        <f t="shared" si="34"/>
        <v>1060</v>
      </c>
      <c r="E1072" s="10" t="str">
        <f t="shared" si="33"/>
        <v/>
      </c>
      <c r="I1072" s="53"/>
      <c r="N1072" s="8">
        <v>0</v>
      </c>
      <c r="Q1072" s="1"/>
      <c r="R1072" s="1"/>
      <c r="S1072" s="1"/>
      <c r="T1072" s="8"/>
      <c r="U1072" s="8"/>
      <c r="V1072" s="1"/>
      <c r="W1072" s="1"/>
      <c r="X1072" s="1"/>
      <c r="Z1072" s="8"/>
    </row>
    <row r="1073" spans="1:26" x14ac:dyDescent="0.2">
      <c r="A1073" s="12">
        <f t="shared" si="34"/>
        <v>1061</v>
      </c>
      <c r="E1073" s="10" t="str">
        <f t="shared" si="33"/>
        <v/>
      </c>
      <c r="I1073" s="53"/>
      <c r="N1073" s="8">
        <v>0</v>
      </c>
      <c r="Q1073" s="1"/>
      <c r="R1073" s="1"/>
      <c r="S1073" s="1"/>
      <c r="T1073" s="8"/>
      <c r="U1073" s="8"/>
      <c r="V1073" s="1"/>
      <c r="W1073" s="1"/>
      <c r="X1073" s="1"/>
      <c r="Z1073" s="8"/>
    </row>
    <row r="1074" spans="1:26" x14ac:dyDescent="0.2">
      <c r="A1074" s="12">
        <f t="shared" si="34"/>
        <v>1062</v>
      </c>
      <c r="E1074" s="10" t="str">
        <f t="shared" si="33"/>
        <v/>
      </c>
      <c r="I1074" s="53"/>
      <c r="N1074" s="8">
        <v>0</v>
      </c>
      <c r="Q1074" s="1"/>
      <c r="R1074" s="1"/>
      <c r="S1074" s="1"/>
      <c r="T1074" s="8"/>
      <c r="U1074" s="8"/>
      <c r="V1074" s="1"/>
      <c r="W1074" s="1"/>
      <c r="X1074" s="1"/>
      <c r="Z1074" s="8"/>
    </row>
    <row r="1075" spans="1:26" x14ac:dyDescent="0.2">
      <c r="A1075" s="12">
        <f t="shared" si="34"/>
        <v>1063</v>
      </c>
      <c r="E1075" s="10" t="str">
        <f t="shared" si="33"/>
        <v/>
      </c>
      <c r="I1075" s="53"/>
      <c r="N1075" s="8">
        <v>0</v>
      </c>
      <c r="Q1075" s="1"/>
      <c r="R1075" s="1"/>
      <c r="S1075" s="1"/>
      <c r="T1075" s="8"/>
      <c r="U1075" s="8"/>
      <c r="V1075" s="1"/>
      <c r="W1075" s="1"/>
      <c r="X1075" s="1"/>
      <c r="Z1075" s="8"/>
    </row>
    <row r="1076" spans="1:26" x14ac:dyDescent="0.2">
      <c r="A1076" s="12">
        <f t="shared" si="34"/>
        <v>1064</v>
      </c>
      <c r="E1076" s="10" t="str">
        <f t="shared" si="33"/>
        <v/>
      </c>
      <c r="I1076" s="53"/>
      <c r="N1076" s="8">
        <v>0</v>
      </c>
      <c r="Q1076" s="1"/>
      <c r="R1076" s="1"/>
      <c r="S1076" s="1"/>
      <c r="T1076" s="8"/>
      <c r="U1076" s="8"/>
      <c r="V1076" s="1"/>
      <c r="W1076" s="1"/>
      <c r="X1076" s="1"/>
      <c r="Z1076" s="8"/>
    </row>
    <row r="1077" spans="1:26" x14ac:dyDescent="0.2">
      <c r="A1077" s="12">
        <f t="shared" si="34"/>
        <v>1065</v>
      </c>
      <c r="E1077" s="10" t="str">
        <f t="shared" si="33"/>
        <v/>
      </c>
      <c r="I1077" s="53"/>
      <c r="N1077" s="8">
        <v>0</v>
      </c>
      <c r="Q1077" s="1"/>
      <c r="R1077" s="1"/>
      <c r="S1077" s="1"/>
      <c r="T1077" s="8"/>
      <c r="U1077" s="8"/>
      <c r="V1077" s="1"/>
      <c r="W1077" s="1"/>
      <c r="X1077" s="1"/>
      <c r="Z1077" s="8"/>
    </row>
    <row r="1078" spans="1:26" x14ac:dyDescent="0.2">
      <c r="A1078" s="12">
        <f t="shared" si="34"/>
        <v>1066</v>
      </c>
      <c r="E1078" s="10" t="str">
        <f t="shared" si="33"/>
        <v/>
      </c>
      <c r="I1078" s="53"/>
      <c r="N1078" s="8">
        <v>0</v>
      </c>
      <c r="Q1078" s="1"/>
      <c r="R1078" s="1"/>
      <c r="S1078" s="1"/>
      <c r="T1078" s="8"/>
      <c r="U1078" s="8"/>
      <c r="V1078" s="1"/>
      <c r="W1078" s="1"/>
      <c r="X1078" s="1"/>
      <c r="Z1078" s="8"/>
    </row>
    <row r="1079" spans="1:26" x14ac:dyDescent="0.2">
      <c r="A1079" s="12">
        <f t="shared" si="34"/>
        <v>1067</v>
      </c>
      <c r="E1079" s="10" t="str">
        <f t="shared" si="33"/>
        <v/>
      </c>
      <c r="I1079" s="53"/>
      <c r="N1079" s="8">
        <v>0</v>
      </c>
      <c r="Q1079" s="1"/>
      <c r="R1079" s="1"/>
      <c r="S1079" s="1"/>
      <c r="T1079" s="8"/>
      <c r="U1079" s="8"/>
      <c r="V1079" s="1"/>
      <c r="W1079" s="1"/>
      <c r="X1079" s="1"/>
      <c r="Z1079" s="8"/>
    </row>
    <row r="1080" spans="1:26" x14ac:dyDescent="0.2">
      <c r="A1080" s="12">
        <f t="shared" si="34"/>
        <v>1068</v>
      </c>
      <c r="E1080" s="10" t="str">
        <f t="shared" si="33"/>
        <v/>
      </c>
      <c r="I1080" s="53"/>
      <c r="N1080" s="8">
        <v>0</v>
      </c>
      <c r="Q1080" s="1"/>
      <c r="R1080" s="1"/>
      <c r="S1080" s="1"/>
      <c r="T1080" s="8"/>
      <c r="U1080" s="8"/>
      <c r="V1080" s="1"/>
      <c r="W1080" s="1"/>
      <c r="X1080" s="1"/>
      <c r="Z1080" s="8"/>
    </row>
    <row r="1081" spans="1:26" x14ac:dyDescent="0.2">
      <c r="A1081" s="12">
        <f t="shared" si="34"/>
        <v>1069</v>
      </c>
      <c r="E1081" s="10" t="str">
        <f t="shared" si="33"/>
        <v/>
      </c>
      <c r="I1081" s="53"/>
      <c r="N1081" s="8">
        <v>0</v>
      </c>
      <c r="Q1081" s="1"/>
      <c r="R1081" s="1"/>
      <c r="S1081" s="1"/>
      <c r="T1081" s="8"/>
      <c r="U1081" s="8"/>
      <c r="V1081" s="1"/>
      <c r="W1081" s="1"/>
      <c r="X1081" s="1"/>
      <c r="Z1081" s="8"/>
    </row>
    <row r="1082" spans="1:26" x14ac:dyDescent="0.2">
      <c r="A1082" s="12">
        <f t="shared" si="34"/>
        <v>1070</v>
      </c>
      <c r="E1082" s="10" t="str">
        <f t="shared" si="33"/>
        <v/>
      </c>
      <c r="I1082" s="53"/>
      <c r="N1082" s="8">
        <v>0</v>
      </c>
      <c r="Q1082" s="1"/>
      <c r="R1082" s="1"/>
      <c r="S1082" s="1"/>
      <c r="T1082" s="8"/>
      <c r="U1082" s="8"/>
      <c r="V1082" s="1"/>
      <c r="W1082" s="1"/>
      <c r="X1082" s="1"/>
      <c r="Z1082" s="8"/>
    </row>
    <row r="1083" spans="1:26" x14ac:dyDescent="0.2">
      <c r="A1083" s="12">
        <f t="shared" si="34"/>
        <v>1071</v>
      </c>
      <c r="E1083" s="10" t="str">
        <f t="shared" si="33"/>
        <v/>
      </c>
      <c r="I1083" s="53"/>
      <c r="N1083" s="8">
        <v>0</v>
      </c>
      <c r="Q1083" s="1"/>
      <c r="R1083" s="1"/>
      <c r="S1083" s="1"/>
      <c r="T1083" s="8"/>
      <c r="U1083" s="8"/>
      <c r="V1083" s="1"/>
      <c r="W1083" s="1"/>
      <c r="X1083" s="1"/>
      <c r="Z1083" s="8"/>
    </row>
    <row r="1084" spans="1:26" x14ac:dyDescent="0.2">
      <c r="A1084" s="12">
        <f t="shared" si="34"/>
        <v>1072</v>
      </c>
      <c r="E1084" s="10" t="str">
        <f t="shared" si="33"/>
        <v/>
      </c>
      <c r="I1084" s="53"/>
      <c r="N1084" s="8">
        <v>0</v>
      </c>
      <c r="Q1084" s="1"/>
      <c r="R1084" s="1"/>
      <c r="S1084" s="1"/>
      <c r="T1084" s="8"/>
      <c r="U1084" s="8"/>
      <c r="V1084" s="1"/>
      <c r="W1084" s="1"/>
      <c r="X1084" s="1"/>
      <c r="Z1084" s="8"/>
    </row>
    <row r="1085" spans="1:26" x14ac:dyDescent="0.2">
      <c r="A1085" s="12">
        <f t="shared" si="34"/>
        <v>1073</v>
      </c>
      <c r="E1085" s="10" t="str">
        <f t="shared" si="33"/>
        <v/>
      </c>
      <c r="I1085" s="53"/>
      <c r="N1085" s="8">
        <v>0</v>
      </c>
      <c r="Q1085" s="1"/>
      <c r="R1085" s="1"/>
      <c r="S1085" s="1"/>
      <c r="T1085" s="8"/>
      <c r="U1085" s="8"/>
      <c r="V1085" s="1"/>
      <c r="W1085" s="1"/>
      <c r="X1085" s="1"/>
      <c r="Z1085" s="8"/>
    </row>
    <row r="1086" spans="1:26" x14ac:dyDescent="0.2">
      <c r="A1086" s="12">
        <f t="shared" si="34"/>
        <v>1074</v>
      </c>
      <c r="E1086" s="10" t="str">
        <f t="shared" si="33"/>
        <v/>
      </c>
      <c r="I1086" s="53"/>
      <c r="N1086" s="8">
        <v>0</v>
      </c>
      <c r="Q1086" s="1"/>
      <c r="R1086" s="1"/>
      <c r="S1086" s="1"/>
      <c r="T1086" s="8"/>
      <c r="U1086" s="8"/>
      <c r="V1086" s="1"/>
      <c r="W1086" s="1"/>
      <c r="X1086" s="1"/>
      <c r="Z1086" s="8"/>
    </row>
    <row r="1087" spans="1:26" x14ac:dyDescent="0.2">
      <c r="A1087" s="12">
        <f t="shared" si="34"/>
        <v>1075</v>
      </c>
      <c r="E1087" s="10" t="str">
        <f t="shared" si="33"/>
        <v/>
      </c>
      <c r="I1087" s="53"/>
      <c r="N1087" s="8">
        <v>0</v>
      </c>
      <c r="Q1087" s="1"/>
      <c r="R1087" s="1"/>
      <c r="S1087" s="1"/>
      <c r="T1087" s="8"/>
      <c r="U1087" s="8"/>
      <c r="V1087" s="1"/>
      <c r="W1087" s="1"/>
      <c r="X1087" s="1"/>
      <c r="Z1087" s="8"/>
    </row>
    <row r="1088" spans="1:26" x14ac:dyDescent="0.2">
      <c r="A1088" s="12">
        <f t="shared" si="34"/>
        <v>1076</v>
      </c>
      <c r="E1088" s="10" t="str">
        <f t="shared" si="33"/>
        <v/>
      </c>
      <c r="I1088" s="53"/>
      <c r="N1088" s="8">
        <v>0</v>
      </c>
      <c r="Q1088" s="1"/>
      <c r="R1088" s="1"/>
      <c r="S1088" s="1"/>
      <c r="T1088" s="8"/>
      <c r="U1088" s="8"/>
      <c r="V1088" s="1"/>
      <c r="W1088" s="1"/>
      <c r="X1088" s="1"/>
      <c r="Z1088" s="8"/>
    </row>
    <row r="1089" spans="1:26" x14ac:dyDescent="0.2">
      <c r="A1089" s="12">
        <f t="shared" si="34"/>
        <v>1077</v>
      </c>
      <c r="E1089" s="10" t="str">
        <f t="shared" si="33"/>
        <v/>
      </c>
      <c r="I1089" s="53"/>
      <c r="N1089" s="8">
        <v>0</v>
      </c>
      <c r="Q1089" s="1"/>
      <c r="R1089" s="1"/>
      <c r="S1089" s="1"/>
      <c r="T1089" s="8"/>
      <c r="U1089" s="8"/>
      <c r="V1089" s="1"/>
      <c r="W1089" s="1"/>
      <c r="X1089" s="1"/>
      <c r="Z1089" s="8"/>
    </row>
    <row r="1090" spans="1:26" x14ac:dyDescent="0.2">
      <c r="A1090" s="12">
        <f t="shared" si="34"/>
        <v>1078</v>
      </c>
      <c r="E1090" s="10" t="str">
        <f t="shared" si="33"/>
        <v/>
      </c>
      <c r="I1090" s="53"/>
      <c r="N1090" s="8">
        <v>0</v>
      </c>
      <c r="Q1090" s="1"/>
      <c r="R1090" s="1"/>
      <c r="S1090" s="1"/>
      <c r="T1090" s="8"/>
      <c r="U1090" s="8"/>
      <c r="V1090" s="1"/>
      <c r="W1090" s="1"/>
      <c r="X1090" s="1"/>
      <c r="Z1090" s="8"/>
    </row>
    <row r="1091" spans="1:26" x14ac:dyDescent="0.2">
      <c r="A1091" s="12">
        <f t="shared" si="34"/>
        <v>1079</v>
      </c>
      <c r="E1091" s="10" t="str">
        <f t="shared" si="33"/>
        <v/>
      </c>
      <c r="I1091" s="53"/>
      <c r="N1091" s="8">
        <v>0</v>
      </c>
      <c r="Q1091" s="1"/>
      <c r="R1091" s="1"/>
      <c r="S1091" s="1"/>
      <c r="T1091" s="8"/>
      <c r="U1091" s="8"/>
      <c r="V1091" s="1"/>
      <c r="W1091" s="1"/>
      <c r="X1091" s="1"/>
      <c r="Z1091" s="8"/>
    </row>
    <row r="1092" spans="1:26" x14ac:dyDescent="0.2">
      <c r="A1092" s="12">
        <f t="shared" si="34"/>
        <v>1080</v>
      </c>
      <c r="E1092" s="10" t="str">
        <f t="shared" si="33"/>
        <v/>
      </c>
      <c r="I1092" s="53"/>
      <c r="N1092" s="8">
        <v>0</v>
      </c>
      <c r="Q1092" s="1"/>
      <c r="R1092" s="1"/>
      <c r="S1092" s="1"/>
      <c r="T1092" s="8"/>
      <c r="U1092" s="8"/>
      <c r="V1092" s="1"/>
      <c r="W1092" s="1"/>
      <c r="X1092" s="1"/>
      <c r="Z1092" s="8"/>
    </row>
    <row r="1093" spans="1:26" x14ac:dyDescent="0.2">
      <c r="A1093" s="12">
        <f t="shared" si="34"/>
        <v>1081</v>
      </c>
      <c r="E1093" s="10" t="str">
        <f t="shared" si="33"/>
        <v/>
      </c>
      <c r="I1093" s="53"/>
      <c r="N1093" s="8">
        <v>0</v>
      </c>
      <c r="Q1093" s="1"/>
      <c r="R1093" s="1"/>
      <c r="S1093" s="1"/>
      <c r="T1093" s="8"/>
      <c r="U1093" s="8"/>
      <c r="V1093" s="1"/>
      <c r="W1093" s="1"/>
      <c r="X1093" s="1"/>
      <c r="Z1093" s="8"/>
    </row>
    <row r="1094" spans="1:26" x14ac:dyDescent="0.2">
      <c r="A1094" s="12">
        <f t="shared" si="34"/>
        <v>1082</v>
      </c>
      <c r="E1094" s="10" t="str">
        <f t="shared" si="33"/>
        <v/>
      </c>
      <c r="I1094" s="53"/>
      <c r="N1094" s="8">
        <v>0</v>
      </c>
      <c r="Q1094" s="1"/>
      <c r="R1094" s="1"/>
      <c r="S1094" s="1"/>
      <c r="T1094" s="8"/>
      <c r="U1094" s="8"/>
      <c r="V1094" s="1"/>
      <c r="W1094" s="1"/>
      <c r="X1094" s="1"/>
      <c r="Z1094" s="8"/>
    </row>
    <row r="1095" spans="1:26" x14ac:dyDescent="0.2">
      <c r="A1095" s="12">
        <f t="shared" si="34"/>
        <v>1083</v>
      </c>
      <c r="E1095" s="10" t="str">
        <f t="shared" si="33"/>
        <v/>
      </c>
      <c r="I1095" s="53"/>
      <c r="N1095" s="8">
        <v>0</v>
      </c>
      <c r="Q1095" s="1"/>
      <c r="R1095" s="1"/>
      <c r="S1095" s="1"/>
      <c r="T1095" s="8"/>
      <c r="U1095" s="8"/>
      <c r="V1095" s="1"/>
      <c r="W1095" s="1"/>
      <c r="X1095" s="1"/>
      <c r="Z1095" s="8"/>
    </row>
    <row r="1096" spans="1:26" x14ac:dyDescent="0.2">
      <c r="A1096" s="12">
        <f t="shared" si="34"/>
        <v>1084</v>
      </c>
      <c r="E1096" s="10" t="str">
        <f t="shared" si="33"/>
        <v/>
      </c>
      <c r="I1096" s="53"/>
      <c r="N1096" s="8">
        <v>0</v>
      </c>
      <c r="Q1096" s="1"/>
      <c r="R1096" s="1"/>
      <c r="S1096" s="1"/>
      <c r="T1096" s="8"/>
      <c r="U1096" s="8"/>
      <c r="V1096" s="1"/>
      <c r="W1096" s="1"/>
      <c r="X1096" s="1"/>
      <c r="Z1096" s="8"/>
    </row>
    <row r="1097" spans="1:26" x14ac:dyDescent="0.2">
      <c r="A1097" s="12">
        <f t="shared" si="34"/>
        <v>1085</v>
      </c>
      <c r="E1097" s="10" t="str">
        <f t="shared" si="33"/>
        <v/>
      </c>
      <c r="I1097" s="53"/>
      <c r="N1097" s="8">
        <v>0</v>
      </c>
      <c r="Q1097" s="1"/>
      <c r="R1097" s="1"/>
      <c r="S1097" s="1"/>
      <c r="T1097" s="8"/>
      <c r="U1097" s="8"/>
      <c r="V1097" s="1"/>
      <c r="W1097" s="1"/>
      <c r="X1097" s="1"/>
      <c r="Z1097" s="8"/>
    </row>
    <row r="1098" spans="1:26" x14ac:dyDescent="0.2">
      <c r="A1098" s="12">
        <f t="shared" si="34"/>
        <v>1086</v>
      </c>
      <c r="E1098" s="10" t="str">
        <f t="shared" si="33"/>
        <v/>
      </c>
      <c r="I1098" s="53"/>
      <c r="N1098" s="8">
        <v>0</v>
      </c>
      <c r="Q1098" s="1"/>
      <c r="R1098" s="1"/>
      <c r="S1098" s="1"/>
      <c r="T1098" s="8"/>
      <c r="U1098" s="8"/>
      <c r="V1098" s="1"/>
      <c r="W1098" s="1"/>
      <c r="X1098" s="1"/>
      <c r="Z1098" s="8"/>
    </row>
    <row r="1099" spans="1:26" x14ac:dyDescent="0.2">
      <c r="A1099" s="12">
        <f t="shared" si="34"/>
        <v>1087</v>
      </c>
      <c r="E1099" s="10" t="str">
        <f t="shared" si="33"/>
        <v/>
      </c>
      <c r="I1099" s="53"/>
      <c r="N1099" s="8">
        <v>0</v>
      </c>
      <c r="Q1099" s="1"/>
      <c r="R1099" s="1"/>
      <c r="S1099" s="1"/>
      <c r="T1099" s="8"/>
      <c r="U1099" s="8"/>
      <c r="V1099" s="1"/>
      <c r="W1099" s="1"/>
      <c r="X1099" s="1"/>
      <c r="Z1099" s="8"/>
    </row>
    <row r="1100" spans="1:26" x14ac:dyDescent="0.2">
      <c r="A1100" s="12">
        <f t="shared" si="34"/>
        <v>1088</v>
      </c>
      <c r="E1100" s="10" t="str">
        <f t="shared" si="33"/>
        <v/>
      </c>
      <c r="I1100" s="53"/>
      <c r="N1100" s="8">
        <v>0</v>
      </c>
      <c r="Q1100" s="1"/>
      <c r="R1100" s="1"/>
      <c r="S1100" s="1"/>
      <c r="T1100" s="8"/>
      <c r="U1100" s="8"/>
      <c r="V1100" s="1"/>
      <c r="W1100" s="1"/>
      <c r="X1100" s="1"/>
      <c r="Z1100" s="8"/>
    </row>
    <row r="1101" spans="1:26" x14ac:dyDescent="0.2">
      <c r="A1101" s="12">
        <f t="shared" si="34"/>
        <v>1089</v>
      </c>
      <c r="E1101" s="10" t="str">
        <f t="shared" ref="E1101:E1164" si="35">IF($C$8&gt;=A1101,$E$1&amp;" "&amp;A1101,"")</f>
        <v/>
      </c>
      <c r="I1101" s="53"/>
      <c r="N1101" s="8">
        <v>0</v>
      </c>
      <c r="Q1101" s="1"/>
      <c r="R1101" s="1"/>
      <c r="S1101" s="1"/>
      <c r="T1101" s="8"/>
      <c r="U1101" s="8"/>
      <c r="V1101" s="1"/>
      <c r="W1101" s="1"/>
      <c r="X1101" s="1"/>
      <c r="Z1101" s="8"/>
    </row>
    <row r="1102" spans="1:26" x14ac:dyDescent="0.2">
      <c r="A1102" s="12">
        <f t="shared" si="34"/>
        <v>1090</v>
      </c>
      <c r="E1102" s="10" t="str">
        <f t="shared" si="35"/>
        <v/>
      </c>
      <c r="I1102" s="53"/>
      <c r="N1102" s="8">
        <v>0</v>
      </c>
      <c r="Q1102" s="1"/>
      <c r="R1102" s="1"/>
      <c r="S1102" s="1"/>
      <c r="T1102" s="8"/>
      <c r="U1102" s="8"/>
      <c r="V1102" s="1"/>
      <c r="W1102" s="1"/>
      <c r="X1102" s="1"/>
      <c r="Z1102" s="8"/>
    </row>
    <row r="1103" spans="1:26" x14ac:dyDescent="0.2">
      <c r="A1103" s="12">
        <f t="shared" ref="A1103:A1166" si="36">A1102+1</f>
        <v>1091</v>
      </c>
      <c r="E1103" s="10" t="str">
        <f t="shared" si="35"/>
        <v/>
      </c>
      <c r="I1103" s="53"/>
      <c r="N1103" s="8">
        <v>0</v>
      </c>
      <c r="Q1103" s="1"/>
      <c r="R1103" s="1"/>
      <c r="S1103" s="1"/>
      <c r="T1103" s="8"/>
      <c r="U1103" s="8"/>
      <c r="V1103" s="1"/>
      <c r="W1103" s="1"/>
      <c r="X1103" s="1"/>
      <c r="Z1103" s="8"/>
    </row>
    <row r="1104" spans="1:26" x14ac:dyDescent="0.2">
      <c r="A1104" s="12">
        <f t="shared" si="36"/>
        <v>1092</v>
      </c>
      <c r="E1104" s="10" t="str">
        <f t="shared" si="35"/>
        <v/>
      </c>
      <c r="I1104" s="53"/>
      <c r="N1104" s="8">
        <v>0</v>
      </c>
      <c r="Q1104" s="1"/>
      <c r="R1104" s="1"/>
      <c r="S1104" s="1"/>
      <c r="T1104" s="8"/>
      <c r="U1104" s="8"/>
      <c r="V1104" s="1"/>
      <c r="W1104" s="1"/>
      <c r="X1104" s="1"/>
      <c r="Z1104" s="8"/>
    </row>
    <row r="1105" spans="1:26" x14ac:dyDescent="0.2">
      <c r="A1105" s="12">
        <f t="shared" si="36"/>
        <v>1093</v>
      </c>
      <c r="E1105" s="10" t="str">
        <f t="shared" si="35"/>
        <v/>
      </c>
      <c r="I1105" s="53"/>
      <c r="N1105" s="8">
        <v>0</v>
      </c>
      <c r="Q1105" s="1"/>
      <c r="R1105" s="1"/>
      <c r="S1105" s="1"/>
      <c r="T1105" s="8"/>
      <c r="U1105" s="8"/>
      <c r="V1105" s="1"/>
      <c r="W1105" s="1"/>
      <c r="X1105" s="1"/>
      <c r="Z1105" s="8"/>
    </row>
    <row r="1106" spans="1:26" x14ac:dyDescent="0.2">
      <c r="A1106" s="12">
        <f t="shared" si="36"/>
        <v>1094</v>
      </c>
      <c r="E1106" s="10" t="str">
        <f t="shared" si="35"/>
        <v/>
      </c>
      <c r="I1106" s="53"/>
      <c r="N1106" s="8">
        <v>0</v>
      </c>
      <c r="Q1106" s="1"/>
      <c r="R1106" s="1"/>
      <c r="S1106" s="1"/>
      <c r="T1106" s="8"/>
      <c r="U1106" s="8"/>
      <c r="V1106" s="1"/>
      <c r="W1106" s="1"/>
      <c r="X1106" s="1"/>
      <c r="Z1106" s="8"/>
    </row>
    <row r="1107" spans="1:26" x14ac:dyDescent="0.2">
      <c r="A1107" s="12">
        <f t="shared" si="36"/>
        <v>1095</v>
      </c>
      <c r="E1107" s="10" t="str">
        <f t="shared" si="35"/>
        <v/>
      </c>
      <c r="I1107" s="53"/>
      <c r="N1107" s="8">
        <v>0</v>
      </c>
      <c r="Q1107" s="1"/>
      <c r="R1107" s="1"/>
      <c r="S1107" s="1"/>
      <c r="T1107" s="8"/>
      <c r="U1107" s="8"/>
      <c r="V1107" s="1"/>
      <c r="W1107" s="1"/>
      <c r="X1107" s="1"/>
      <c r="Z1107" s="8"/>
    </row>
    <row r="1108" spans="1:26" x14ac:dyDescent="0.2">
      <c r="A1108" s="12">
        <f t="shared" si="36"/>
        <v>1096</v>
      </c>
      <c r="E1108" s="10" t="str">
        <f t="shared" si="35"/>
        <v/>
      </c>
      <c r="I1108" s="53"/>
      <c r="N1108" s="8">
        <v>0</v>
      </c>
      <c r="Q1108" s="1"/>
      <c r="R1108" s="1"/>
      <c r="S1108" s="1"/>
      <c r="T1108" s="8"/>
      <c r="U1108" s="8"/>
      <c r="V1108" s="1"/>
      <c r="W1108" s="1"/>
      <c r="X1108" s="1"/>
      <c r="Z1108" s="8"/>
    </row>
    <row r="1109" spans="1:26" x14ac:dyDescent="0.2">
      <c r="A1109" s="12">
        <f t="shared" si="36"/>
        <v>1097</v>
      </c>
      <c r="E1109" s="10" t="str">
        <f t="shared" si="35"/>
        <v/>
      </c>
      <c r="I1109" s="53"/>
      <c r="N1109" s="8">
        <v>0</v>
      </c>
      <c r="Q1109" s="1"/>
      <c r="R1109" s="1"/>
      <c r="S1109" s="1"/>
      <c r="T1109" s="8"/>
      <c r="U1109" s="8"/>
      <c r="V1109" s="1"/>
      <c r="W1109" s="1"/>
      <c r="X1109" s="1"/>
      <c r="Z1109" s="8"/>
    </row>
    <row r="1110" spans="1:26" x14ac:dyDescent="0.2">
      <c r="A1110" s="12">
        <f t="shared" si="36"/>
        <v>1098</v>
      </c>
      <c r="E1110" s="10" t="str">
        <f t="shared" si="35"/>
        <v/>
      </c>
      <c r="I1110" s="53"/>
      <c r="N1110" s="8">
        <v>0</v>
      </c>
      <c r="Q1110" s="1"/>
      <c r="R1110" s="1"/>
      <c r="S1110" s="1"/>
      <c r="T1110" s="8"/>
      <c r="U1110" s="8"/>
      <c r="V1110" s="1"/>
      <c r="W1110" s="1"/>
      <c r="X1110" s="1"/>
      <c r="Z1110" s="8"/>
    </row>
    <row r="1111" spans="1:26" x14ac:dyDescent="0.2">
      <c r="A1111" s="12">
        <f t="shared" si="36"/>
        <v>1099</v>
      </c>
      <c r="E1111" s="10" t="str">
        <f t="shared" si="35"/>
        <v/>
      </c>
      <c r="I1111" s="53"/>
      <c r="N1111" s="8">
        <v>0</v>
      </c>
      <c r="Q1111" s="1"/>
      <c r="R1111" s="1"/>
      <c r="S1111" s="1"/>
      <c r="T1111" s="8"/>
      <c r="U1111" s="8"/>
      <c r="V1111" s="1"/>
      <c r="W1111" s="1"/>
      <c r="X1111" s="1"/>
      <c r="Z1111" s="8"/>
    </row>
    <row r="1112" spans="1:26" x14ac:dyDescent="0.2">
      <c r="A1112" s="12">
        <f t="shared" si="36"/>
        <v>1100</v>
      </c>
      <c r="E1112" s="10" t="str">
        <f t="shared" si="35"/>
        <v/>
      </c>
      <c r="I1112" s="53"/>
      <c r="N1112" s="8">
        <v>0</v>
      </c>
      <c r="Q1112" s="1"/>
      <c r="R1112" s="1"/>
      <c r="S1112" s="1"/>
      <c r="T1112" s="8"/>
      <c r="U1112" s="8"/>
      <c r="V1112" s="1"/>
      <c r="W1112" s="1"/>
      <c r="X1112" s="1"/>
      <c r="Z1112" s="8"/>
    </row>
    <row r="1113" spans="1:26" x14ac:dyDescent="0.2">
      <c r="A1113" s="12">
        <f t="shared" si="36"/>
        <v>1101</v>
      </c>
      <c r="E1113" s="10" t="str">
        <f t="shared" si="35"/>
        <v/>
      </c>
      <c r="I1113" s="53"/>
      <c r="N1113" s="8">
        <v>0</v>
      </c>
      <c r="Q1113" s="1"/>
      <c r="R1113" s="1"/>
      <c r="S1113" s="1"/>
      <c r="T1113" s="8"/>
      <c r="U1113" s="8"/>
      <c r="V1113" s="1"/>
      <c r="W1113" s="1"/>
      <c r="X1113" s="1"/>
      <c r="Z1113" s="8"/>
    </row>
    <row r="1114" spans="1:26" x14ac:dyDescent="0.2">
      <c r="A1114" s="12">
        <f t="shared" si="36"/>
        <v>1102</v>
      </c>
      <c r="E1114" s="10" t="str">
        <f t="shared" si="35"/>
        <v/>
      </c>
      <c r="I1114" s="53"/>
      <c r="N1114" s="8">
        <v>0</v>
      </c>
      <c r="Q1114" s="1"/>
      <c r="R1114" s="1"/>
      <c r="S1114" s="1"/>
      <c r="T1114" s="8"/>
      <c r="U1114" s="8"/>
      <c r="V1114" s="1"/>
      <c r="W1114" s="1"/>
      <c r="X1114" s="1"/>
      <c r="Z1114" s="8"/>
    </row>
    <row r="1115" spans="1:26" x14ac:dyDescent="0.2">
      <c r="A1115" s="12">
        <f t="shared" si="36"/>
        <v>1103</v>
      </c>
      <c r="E1115" s="10" t="str">
        <f t="shared" si="35"/>
        <v/>
      </c>
      <c r="I1115" s="53"/>
      <c r="N1115" s="8">
        <v>0</v>
      </c>
      <c r="Q1115" s="1"/>
      <c r="R1115" s="1"/>
      <c r="S1115" s="1"/>
      <c r="T1115" s="8"/>
      <c r="U1115" s="8"/>
      <c r="V1115" s="1"/>
      <c r="W1115" s="1"/>
      <c r="X1115" s="1"/>
      <c r="Z1115" s="8"/>
    </row>
    <row r="1116" spans="1:26" x14ac:dyDescent="0.2">
      <c r="A1116" s="12">
        <f t="shared" si="36"/>
        <v>1104</v>
      </c>
      <c r="E1116" s="10" t="str">
        <f t="shared" si="35"/>
        <v/>
      </c>
      <c r="I1116" s="53"/>
      <c r="N1116" s="8">
        <v>0</v>
      </c>
      <c r="Q1116" s="1"/>
      <c r="R1116" s="1"/>
      <c r="S1116" s="1"/>
      <c r="T1116" s="8"/>
      <c r="U1116" s="8"/>
      <c r="V1116" s="1"/>
      <c r="W1116" s="1"/>
      <c r="X1116" s="1"/>
      <c r="Z1116" s="8"/>
    </row>
    <row r="1117" spans="1:26" x14ac:dyDescent="0.2">
      <c r="A1117" s="12">
        <f t="shared" si="36"/>
        <v>1105</v>
      </c>
      <c r="E1117" s="10" t="str">
        <f t="shared" si="35"/>
        <v/>
      </c>
      <c r="I1117" s="53"/>
      <c r="N1117" s="8">
        <v>0</v>
      </c>
      <c r="Q1117" s="1"/>
      <c r="R1117" s="1"/>
      <c r="S1117" s="1"/>
      <c r="T1117" s="8"/>
      <c r="U1117" s="8"/>
      <c r="V1117" s="1"/>
      <c r="W1117" s="1"/>
      <c r="X1117" s="1"/>
      <c r="Z1117" s="8"/>
    </row>
    <row r="1118" spans="1:26" x14ac:dyDescent="0.2">
      <c r="A1118" s="12">
        <f t="shared" si="36"/>
        <v>1106</v>
      </c>
      <c r="E1118" s="10" t="str">
        <f t="shared" si="35"/>
        <v/>
      </c>
      <c r="I1118" s="53"/>
      <c r="N1118" s="8">
        <v>0</v>
      </c>
      <c r="Q1118" s="1"/>
      <c r="R1118" s="1"/>
      <c r="S1118" s="1"/>
      <c r="T1118" s="8"/>
      <c r="U1118" s="8"/>
      <c r="V1118" s="1"/>
      <c r="W1118" s="1"/>
      <c r="X1118" s="1"/>
      <c r="Z1118" s="8"/>
    </row>
    <row r="1119" spans="1:26" x14ac:dyDescent="0.2">
      <c r="A1119" s="12">
        <f t="shared" si="36"/>
        <v>1107</v>
      </c>
      <c r="E1119" s="10" t="str">
        <f t="shared" si="35"/>
        <v/>
      </c>
      <c r="I1119" s="53"/>
      <c r="N1119" s="8">
        <v>0</v>
      </c>
      <c r="Q1119" s="1"/>
      <c r="R1119" s="1"/>
      <c r="S1119" s="1"/>
      <c r="T1119" s="8"/>
      <c r="U1119" s="8"/>
      <c r="V1119" s="1"/>
      <c r="W1119" s="1"/>
      <c r="X1119" s="1"/>
      <c r="Z1119" s="8"/>
    </row>
    <row r="1120" spans="1:26" x14ac:dyDescent="0.2">
      <c r="A1120" s="12">
        <f t="shared" si="36"/>
        <v>1108</v>
      </c>
      <c r="E1120" s="10" t="str">
        <f t="shared" si="35"/>
        <v/>
      </c>
      <c r="I1120" s="53"/>
      <c r="N1120" s="8">
        <v>0</v>
      </c>
      <c r="Q1120" s="1"/>
      <c r="R1120" s="1"/>
      <c r="S1120" s="1"/>
      <c r="T1120" s="8"/>
      <c r="U1120" s="8"/>
      <c r="V1120" s="1"/>
      <c r="W1120" s="1"/>
      <c r="X1120" s="1"/>
      <c r="Z1120" s="8"/>
    </row>
    <row r="1121" spans="1:26" x14ac:dyDescent="0.2">
      <c r="A1121" s="12">
        <f t="shared" si="36"/>
        <v>1109</v>
      </c>
      <c r="E1121" s="10" t="str">
        <f t="shared" si="35"/>
        <v/>
      </c>
      <c r="I1121" s="53"/>
      <c r="N1121" s="8">
        <v>0</v>
      </c>
      <c r="Q1121" s="1"/>
      <c r="R1121" s="1"/>
      <c r="S1121" s="1"/>
      <c r="T1121" s="8"/>
      <c r="U1121" s="8"/>
      <c r="V1121" s="1"/>
      <c r="W1121" s="1"/>
      <c r="X1121" s="1"/>
      <c r="Z1121" s="8"/>
    </row>
    <row r="1122" spans="1:26" x14ac:dyDescent="0.2">
      <c r="A1122" s="12">
        <f t="shared" si="36"/>
        <v>1110</v>
      </c>
      <c r="E1122" s="10" t="str">
        <f t="shared" si="35"/>
        <v/>
      </c>
      <c r="I1122" s="53"/>
      <c r="N1122" s="8">
        <v>0</v>
      </c>
      <c r="Q1122" s="1"/>
      <c r="R1122" s="1"/>
      <c r="S1122" s="1"/>
      <c r="T1122" s="8"/>
      <c r="U1122" s="8"/>
      <c r="V1122" s="1"/>
      <c r="W1122" s="1"/>
      <c r="X1122" s="1"/>
      <c r="Z1122" s="8"/>
    </row>
    <row r="1123" spans="1:26" x14ac:dyDescent="0.2">
      <c r="A1123" s="12">
        <f t="shared" si="36"/>
        <v>1111</v>
      </c>
      <c r="E1123" s="10" t="str">
        <f t="shared" si="35"/>
        <v/>
      </c>
      <c r="I1123" s="53"/>
      <c r="N1123" s="8">
        <v>0</v>
      </c>
      <c r="Q1123" s="1"/>
      <c r="R1123" s="1"/>
      <c r="S1123" s="1"/>
      <c r="T1123" s="8"/>
      <c r="U1123" s="8"/>
      <c r="V1123" s="1"/>
      <c r="W1123" s="1"/>
      <c r="X1123" s="1"/>
      <c r="Z1123" s="8"/>
    </row>
    <row r="1124" spans="1:26" x14ac:dyDescent="0.2">
      <c r="A1124" s="12">
        <f t="shared" si="36"/>
        <v>1112</v>
      </c>
      <c r="E1124" s="10" t="str">
        <f t="shared" si="35"/>
        <v/>
      </c>
      <c r="I1124" s="53"/>
      <c r="N1124" s="8">
        <v>0</v>
      </c>
      <c r="Q1124" s="1"/>
      <c r="R1124" s="1"/>
      <c r="S1124" s="1"/>
      <c r="T1124" s="8"/>
      <c r="U1124" s="8"/>
      <c r="V1124" s="1"/>
      <c r="W1124" s="1"/>
      <c r="X1124" s="1"/>
      <c r="Z1124" s="8"/>
    </row>
    <row r="1125" spans="1:26" x14ac:dyDescent="0.2">
      <c r="A1125" s="12">
        <f t="shared" si="36"/>
        <v>1113</v>
      </c>
      <c r="E1125" s="10" t="str">
        <f t="shared" si="35"/>
        <v/>
      </c>
      <c r="I1125" s="53"/>
      <c r="N1125" s="8">
        <v>0</v>
      </c>
      <c r="Q1125" s="1"/>
      <c r="R1125" s="1"/>
      <c r="S1125" s="1"/>
      <c r="T1125" s="8"/>
      <c r="U1125" s="8"/>
      <c r="V1125" s="1"/>
      <c r="W1125" s="1"/>
      <c r="X1125" s="1"/>
      <c r="Z1125" s="8"/>
    </row>
    <row r="1126" spans="1:26" x14ac:dyDescent="0.2">
      <c r="A1126" s="12">
        <f t="shared" si="36"/>
        <v>1114</v>
      </c>
      <c r="E1126" s="10" t="str">
        <f t="shared" si="35"/>
        <v/>
      </c>
      <c r="I1126" s="53"/>
      <c r="N1126" s="8">
        <v>0</v>
      </c>
      <c r="Q1126" s="1"/>
      <c r="R1126" s="1"/>
      <c r="S1126" s="1"/>
      <c r="T1126" s="8"/>
      <c r="U1126" s="8"/>
      <c r="V1126" s="1"/>
      <c r="W1126" s="1"/>
      <c r="X1126" s="1"/>
      <c r="Z1126" s="8"/>
    </row>
    <row r="1127" spans="1:26" x14ac:dyDescent="0.2">
      <c r="A1127" s="12">
        <f t="shared" si="36"/>
        <v>1115</v>
      </c>
      <c r="E1127" s="10" t="str">
        <f t="shared" si="35"/>
        <v/>
      </c>
      <c r="I1127" s="53"/>
      <c r="N1127" s="8">
        <v>0</v>
      </c>
      <c r="Q1127" s="1"/>
      <c r="R1127" s="1"/>
      <c r="S1127" s="1"/>
      <c r="T1127" s="8"/>
      <c r="U1127" s="8"/>
      <c r="V1127" s="1"/>
      <c r="W1127" s="1"/>
      <c r="X1127" s="1"/>
      <c r="Z1127" s="8"/>
    </row>
    <row r="1128" spans="1:26" x14ac:dyDescent="0.2">
      <c r="A1128" s="12">
        <f t="shared" si="36"/>
        <v>1116</v>
      </c>
      <c r="E1128" s="10" t="str">
        <f t="shared" si="35"/>
        <v/>
      </c>
      <c r="I1128" s="53"/>
      <c r="N1128" s="8">
        <v>0</v>
      </c>
      <c r="Q1128" s="1"/>
      <c r="R1128" s="1"/>
      <c r="S1128" s="1"/>
      <c r="T1128" s="8"/>
      <c r="U1128" s="8"/>
      <c r="V1128" s="1"/>
      <c r="W1128" s="1"/>
      <c r="X1128" s="1"/>
      <c r="Z1128" s="8"/>
    </row>
    <row r="1129" spans="1:26" x14ac:dyDescent="0.2">
      <c r="A1129" s="12">
        <f t="shared" si="36"/>
        <v>1117</v>
      </c>
      <c r="E1129" s="10" t="str">
        <f t="shared" si="35"/>
        <v/>
      </c>
      <c r="I1129" s="53"/>
      <c r="N1129" s="8">
        <v>0</v>
      </c>
      <c r="Q1129" s="1"/>
      <c r="R1129" s="1"/>
      <c r="S1129" s="1"/>
      <c r="T1129" s="8"/>
      <c r="U1129" s="8"/>
      <c r="V1129" s="1"/>
      <c r="W1129" s="1"/>
      <c r="X1129" s="1"/>
      <c r="Z1129" s="8"/>
    </row>
    <row r="1130" spans="1:26" x14ac:dyDescent="0.2">
      <c r="A1130" s="12">
        <f t="shared" si="36"/>
        <v>1118</v>
      </c>
      <c r="E1130" s="10" t="str">
        <f t="shared" si="35"/>
        <v/>
      </c>
      <c r="I1130" s="53"/>
      <c r="N1130" s="8">
        <v>0</v>
      </c>
      <c r="Q1130" s="1"/>
      <c r="R1130" s="1"/>
      <c r="S1130" s="1"/>
      <c r="T1130" s="8"/>
      <c r="U1130" s="8"/>
      <c r="V1130" s="1"/>
      <c r="W1130" s="1"/>
      <c r="X1130" s="1"/>
      <c r="Z1130" s="8"/>
    </row>
    <row r="1131" spans="1:26" x14ac:dyDescent="0.2">
      <c r="A1131" s="12">
        <f t="shared" si="36"/>
        <v>1119</v>
      </c>
      <c r="E1131" s="10" t="str">
        <f t="shared" si="35"/>
        <v/>
      </c>
      <c r="I1131" s="53"/>
      <c r="N1131" s="8">
        <v>0</v>
      </c>
      <c r="Q1131" s="1"/>
      <c r="R1131" s="1"/>
      <c r="S1131" s="1"/>
      <c r="T1131" s="8"/>
      <c r="U1131" s="8"/>
      <c r="V1131" s="1"/>
      <c r="W1131" s="1"/>
      <c r="X1131" s="1"/>
      <c r="Z1131" s="8"/>
    </row>
    <row r="1132" spans="1:26" x14ac:dyDescent="0.2">
      <c r="A1132" s="12">
        <f t="shared" si="36"/>
        <v>1120</v>
      </c>
      <c r="E1132" s="10" t="str">
        <f t="shared" si="35"/>
        <v/>
      </c>
      <c r="I1132" s="53"/>
      <c r="N1132" s="8">
        <v>0</v>
      </c>
      <c r="Q1132" s="1"/>
      <c r="R1132" s="1"/>
      <c r="S1132" s="1"/>
      <c r="T1132" s="8"/>
      <c r="U1132" s="8"/>
      <c r="V1132" s="1"/>
      <c r="W1132" s="1"/>
      <c r="X1132" s="1"/>
      <c r="Z1132" s="8"/>
    </row>
    <row r="1133" spans="1:26" x14ac:dyDescent="0.2">
      <c r="A1133" s="12">
        <f t="shared" si="36"/>
        <v>1121</v>
      </c>
      <c r="E1133" s="10" t="str">
        <f t="shared" si="35"/>
        <v/>
      </c>
      <c r="I1133" s="53"/>
      <c r="N1133" s="8">
        <v>0</v>
      </c>
      <c r="Q1133" s="1"/>
      <c r="R1133" s="1"/>
      <c r="S1133" s="1"/>
      <c r="T1133" s="8"/>
      <c r="U1133" s="8"/>
      <c r="V1133" s="1"/>
      <c r="W1133" s="1"/>
      <c r="X1133" s="1"/>
      <c r="Z1133" s="8"/>
    </row>
    <row r="1134" spans="1:26" x14ac:dyDescent="0.2">
      <c r="A1134" s="12">
        <f t="shared" si="36"/>
        <v>1122</v>
      </c>
      <c r="E1134" s="10" t="str">
        <f t="shared" si="35"/>
        <v/>
      </c>
      <c r="I1134" s="53"/>
      <c r="N1134" s="8">
        <v>0</v>
      </c>
      <c r="Q1134" s="1"/>
      <c r="R1134" s="1"/>
      <c r="S1134" s="1"/>
      <c r="T1134" s="8"/>
      <c r="U1134" s="8"/>
      <c r="V1134" s="1"/>
      <c r="W1134" s="1"/>
      <c r="X1134" s="1"/>
      <c r="Z1134" s="8"/>
    </row>
    <row r="1135" spans="1:26" x14ac:dyDescent="0.2">
      <c r="A1135" s="12">
        <f t="shared" si="36"/>
        <v>1123</v>
      </c>
      <c r="E1135" s="10" t="str">
        <f t="shared" si="35"/>
        <v/>
      </c>
      <c r="I1135" s="53"/>
      <c r="N1135" s="8">
        <v>0</v>
      </c>
      <c r="Q1135" s="1"/>
      <c r="R1135" s="1"/>
      <c r="S1135" s="1"/>
      <c r="T1135" s="8"/>
      <c r="U1135" s="8"/>
      <c r="V1135" s="1"/>
      <c r="W1135" s="1"/>
      <c r="X1135" s="1"/>
      <c r="Z1135" s="8"/>
    </row>
    <row r="1136" spans="1:26" x14ac:dyDescent="0.2">
      <c r="A1136" s="12">
        <f t="shared" si="36"/>
        <v>1124</v>
      </c>
      <c r="E1136" s="10" t="str">
        <f t="shared" si="35"/>
        <v/>
      </c>
      <c r="I1136" s="53"/>
      <c r="N1136" s="8">
        <v>0</v>
      </c>
      <c r="Q1136" s="1"/>
      <c r="R1136" s="1"/>
      <c r="S1136" s="1"/>
      <c r="T1136" s="8"/>
      <c r="U1136" s="8"/>
      <c r="V1136" s="1"/>
      <c r="W1136" s="1"/>
      <c r="X1136" s="1"/>
      <c r="Z1136" s="8"/>
    </row>
    <row r="1137" spans="1:26" x14ac:dyDescent="0.2">
      <c r="A1137" s="12">
        <f t="shared" si="36"/>
        <v>1125</v>
      </c>
      <c r="E1137" s="10" t="str">
        <f t="shared" si="35"/>
        <v/>
      </c>
      <c r="I1137" s="53"/>
      <c r="N1137" s="8">
        <v>0</v>
      </c>
      <c r="Q1137" s="1"/>
      <c r="R1137" s="1"/>
      <c r="S1137" s="1"/>
      <c r="T1137" s="8"/>
      <c r="U1137" s="8"/>
      <c r="V1137" s="1"/>
      <c r="W1137" s="1"/>
      <c r="X1137" s="1"/>
      <c r="Z1137" s="8"/>
    </row>
    <row r="1138" spans="1:26" x14ac:dyDescent="0.2">
      <c r="A1138" s="12">
        <f t="shared" si="36"/>
        <v>1126</v>
      </c>
      <c r="E1138" s="10" t="str">
        <f t="shared" si="35"/>
        <v/>
      </c>
      <c r="I1138" s="53"/>
      <c r="N1138" s="8">
        <v>0</v>
      </c>
      <c r="Q1138" s="1"/>
      <c r="R1138" s="1"/>
      <c r="S1138" s="1"/>
      <c r="T1138" s="8"/>
      <c r="U1138" s="8"/>
      <c r="V1138" s="1"/>
      <c r="W1138" s="1"/>
      <c r="X1138" s="1"/>
      <c r="Z1138" s="8"/>
    </row>
    <row r="1139" spans="1:26" x14ac:dyDescent="0.2">
      <c r="A1139" s="12">
        <f t="shared" si="36"/>
        <v>1127</v>
      </c>
      <c r="E1139" s="10" t="str">
        <f t="shared" si="35"/>
        <v/>
      </c>
      <c r="I1139" s="53"/>
      <c r="N1139" s="8">
        <v>0</v>
      </c>
      <c r="Q1139" s="1"/>
      <c r="R1139" s="1"/>
      <c r="S1139" s="1"/>
      <c r="T1139" s="8"/>
      <c r="U1139" s="8"/>
      <c r="V1139" s="1"/>
      <c r="W1139" s="1"/>
      <c r="X1139" s="1"/>
      <c r="Z1139" s="8"/>
    </row>
    <row r="1140" spans="1:26" x14ac:dyDescent="0.2">
      <c r="A1140" s="12">
        <f t="shared" si="36"/>
        <v>1128</v>
      </c>
      <c r="E1140" s="10" t="str">
        <f t="shared" si="35"/>
        <v/>
      </c>
      <c r="I1140" s="53"/>
      <c r="N1140" s="8">
        <v>0</v>
      </c>
      <c r="Q1140" s="1"/>
      <c r="R1140" s="1"/>
      <c r="S1140" s="1"/>
      <c r="T1140" s="8"/>
      <c r="U1140" s="8"/>
      <c r="V1140" s="1"/>
      <c r="W1140" s="1"/>
      <c r="X1140" s="1"/>
      <c r="Z1140" s="8"/>
    </row>
    <row r="1141" spans="1:26" x14ac:dyDescent="0.2">
      <c r="A1141" s="12">
        <f t="shared" si="36"/>
        <v>1129</v>
      </c>
      <c r="E1141" s="10" t="str">
        <f t="shared" si="35"/>
        <v/>
      </c>
      <c r="I1141" s="53"/>
      <c r="N1141" s="8">
        <v>0</v>
      </c>
      <c r="Q1141" s="1"/>
      <c r="R1141" s="1"/>
      <c r="S1141" s="1"/>
      <c r="T1141" s="8"/>
      <c r="U1141" s="8"/>
      <c r="V1141" s="1"/>
      <c r="W1141" s="1"/>
      <c r="X1141" s="1"/>
      <c r="Z1141" s="8"/>
    </row>
    <row r="1142" spans="1:26" x14ac:dyDescent="0.2">
      <c r="A1142" s="12">
        <f t="shared" si="36"/>
        <v>1130</v>
      </c>
      <c r="E1142" s="10" t="str">
        <f t="shared" si="35"/>
        <v/>
      </c>
      <c r="I1142" s="53"/>
      <c r="N1142" s="8">
        <v>0</v>
      </c>
      <c r="Q1142" s="1"/>
      <c r="R1142" s="1"/>
      <c r="S1142" s="1"/>
      <c r="T1142" s="8"/>
      <c r="U1142" s="8"/>
      <c r="V1142" s="1"/>
      <c r="W1142" s="1"/>
      <c r="X1142" s="1"/>
      <c r="Z1142" s="8"/>
    </row>
    <row r="1143" spans="1:26" x14ac:dyDescent="0.2">
      <c r="A1143" s="12">
        <f t="shared" si="36"/>
        <v>1131</v>
      </c>
      <c r="E1143" s="10" t="str">
        <f t="shared" si="35"/>
        <v/>
      </c>
      <c r="I1143" s="53"/>
      <c r="N1143" s="8">
        <v>0</v>
      </c>
      <c r="Q1143" s="1"/>
      <c r="R1143" s="1"/>
      <c r="S1143" s="1"/>
      <c r="T1143" s="8"/>
      <c r="U1143" s="8"/>
      <c r="V1143" s="1"/>
      <c r="W1143" s="1"/>
      <c r="X1143" s="1"/>
      <c r="Z1143" s="8"/>
    </row>
    <row r="1144" spans="1:26" x14ac:dyDescent="0.2">
      <c r="A1144" s="12">
        <f t="shared" si="36"/>
        <v>1132</v>
      </c>
      <c r="E1144" s="10" t="str">
        <f t="shared" si="35"/>
        <v/>
      </c>
      <c r="I1144" s="53"/>
      <c r="N1144" s="8">
        <v>0</v>
      </c>
      <c r="Q1144" s="1"/>
      <c r="R1144" s="1"/>
      <c r="S1144" s="1"/>
      <c r="T1144" s="8"/>
      <c r="U1144" s="8"/>
      <c r="V1144" s="1"/>
      <c r="W1144" s="1"/>
      <c r="X1144" s="1"/>
      <c r="Z1144" s="8"/>
    </row>
    <row r="1145" spans="1:26" x14ac:dyDescent="0.2">
      <c r="A1145" s="12">
        <f t="shared" si="36"/>
        <v>1133</v>
      </c>
      <c r="E1145" s="10" t="str">
        <f t="shared" si="35"/>
        <v/>
      </c>
      <c r="I1145" s="53"/>
      <c r="N1145" s="8">
        <v>0</v>
      </c>
      <c r="Q1145" s="1"/>
      <c r="R1145" s="1"/>
      <c r="S1145" s="1"/>
      <c r="T1145" s="8"/>
      <c r="U1145" s="8"/>
      <c r="V1145" s="1"/>
      <c r="W1145" s="1"/>
      <c r="X1145" s="1"/>
      <c r="Z1145" s="8"/>
    </row>
    <row r="1146" spans="1:26" x14ac:dyDescent="0.2">
      <c r="A1146" s="12">
        <f t="shared" si="36"/>
        <v>1134</v>
      </c>
      <c r="E1146" s="10" t="str">
        <f t="shared" si="35"/>
        <v/>
      </c>
      <c r="I1146" s="53"/>
      <c r="N1146" s="8">
        <v>0</v>
      </c>
      <c r="Q1146" s="1"/>
      <c r="R1146" s="1"/>
      <c r="S1146" s="1"/>
      <c r="T1146" s="8"/>
      <c r="U1146" s="8"/>
      <c r="V1146" s="1"/>
      <c r="W1146" s="1"/>
      <c r="X1146" s="1"/>
      <c r="Z1146" s="8"/>
    </row>
    <row r="1147" spans="1:26" x14ac:dyDescent="0.2">
      <c r="A1147" s="12">
        <f t="shared" si="36"/>
        <v>1135</v>
      </c>
      <c r="E1147" s="10" t="str">
        <f t="shared" si="35"/>
        <v/>
      </c>
      <c r="I1147" s="53"/>
      <c r="N1147" s="8">
        <v>0</v>
      </c>
      <c r="Q1147" s="1"/>
      <c r="R1147" s="1"/>
      <c r="S1147" s="1"/>
      <c r="T1147" s="8"/>
      <c r="U1147" s="8"/>
      <c r="V1147" s="1"/>
      <c r="W1147" s="1"/>
      <c r="X1147" s="1"/>
      <c r="Z1147" s="8"/>
    </row>
    <row r="1148" spans="1:26" x14ac:dyDescent="0.2">
      <c r="A1148" s="12">
        <f t="shared" si="36"/>
        <v>1136</v>
      </c>
      <c r="E1148" s="10" t="str">
        <f t="shared" si="35"/>
        <v/>
      </c>
      <c r="I1148" s="53"/>
      <c r="N1148" s="8">
        <v>0</v>
      </c>
      <c r="Q1148" s="1"/>
      <c r="R1148" s="1"/>
      <c r="S1148" s="1"/>
      <c r="T1148" s="8"/>
      <c r="U1148" s="8"/>
      <c r="V1148" s="1"/>
      <c r="W1148" s="1"/>
      <c r="X1148" s="1"/>
      <c r="Z1148" s="8"/>
    </row>
    <row r="1149" spans="1:26" x14ac:dyDescent="0.2">
      <c r="A1149" s="12">
        <f t="shared" si="36"/>
        <v>1137</v>
      </c>
      <c r="E1149" s="10" t="str">
        <f t="shared" si="35"/>
        <v/>
      </c>
      <c r="I1149" s="53"/>
      <c r="N1149" s="8">
        <v>0</v>
      </c>
      <c r="Q1149" s="1"/>
      <c r="R1149" s="1"/>
      <c r="S1149" s="1"/>
      <c r="T1149" s="8"/>
      <c r="U1149" s="8"/>
      <c r="V1149" s="1"/>
      <c r="W1149" s="1"/>
      <c r="X1149" s="1"/>
      <c r="Z1149" s="8"/>
    </row>
    <row r="1150" spans="1:26" x14ac:dyDescent="0.2">
      <c r="A1150" s="12">
        <f t="shared" si="36"/>
        <v>1138</v>
      </c>
      <c r="E1150" s="10" t="str">
        <f t="shared" si="35"/>
        <v/>
      </c>
      <c r="I1150" s="53"/>
      <c r="N1150" s="8">
        <v>0</v>
      </c>
      <c r="Q1150" s="1"/>
      <c r="R1150" s="1"/>
      <c r="S1150" s="1"/>
      <c r="T1150" s="8"/>
      <c r="U1150" s="8"/>
      <c r="V1150" s="1"/>
      <c r="W1150" s="1"/>
      <c r="X1150" s="1"/>
      <c r="Z1150" s="8"/>
    </row>
    <row r="1151" spans="1:26" x14ac:dyDescent="0.2">
      <c r="A1151" s="12">
        <f t="shared" si="36"/>
        <v>1139</v>
      </c>
      <c r="E1151" s="10" t="str">
        <f t="shared" si="35"/>
        <v/>
      </c>
      <c r="I1151" s="53"/>
      <c r="N1151" s="8">
        <v>0</v>
      </c>
      <c r="Q1151" s="1"/>
      <c r="R1151" s="1"/>
      <c r="S1151" s="1"/>
      <c r="T1151" s="8"/>
      <c r="U1151" s="8"/>
      <c r="V1151" s="1"/>
      <c r="W1151" s="1"/>
      <c r="X1151" s="1"/>
      <c r="Z1151" s="8"/>
    </row>
    <row r="1152" spans="1:26" x14ac:dyDescent="0.2">
      <c r="A1152" s="12">
        <f t="shared" si="36"/>
        <v>1140</v>
      </c>
      <c r="E1152" s="10" t="str">
        <f t="shared" si="35"/>
        <v/>
      </c>
      <c r="I1152" s="53"/>
      <c r="N1152" s="8">
        <v>0</v>
      </c>
      <c r="Q1152" s="1"/>
      <c r="R1152" s="1"/>
      <c r="S1152" s="1"/>
      <c r="T1152" s="8"/>
      <c r="U1152" s="8"/>
      <c r="V1152" s="1"/>
      <c r="W1152" s="1"/>
      <c r="X1152" s="1"/>
      <c r="Z1152" s="8"/>
    </row>
    <row r="1153" spans="1:26" x14ac:dyDescent="0.2">
      <c r="A1153" s="12">
        <f t="shared" si="36"/>
        <v>1141</v>
      </c>
      <c r="E1153" s="10" t="str">
        <f t="shared" si="35"/>
        <v/>
      </c>
      <c r="I1153" s="53"/>
      <c r="N1153" s="8">
        <v>0</v>
      </c>
      <c r="Q1153" s="1"/>
      <c r="R1153" s="1"/>
      <c r="S1153" s="1"/>
      <c r="T1153" s="8"/>
      <c r="U1153" s="8"/>
      <c r="V1153" s="1"/>
      <c r="W1153" s="1"/>
      <c r="X1153" s="1"/>
      <c r="Z1153" s="8"/>
    </row>
    <row r="1154" spans="1:26" x14ac:dyDescent="0.2">
      <c r="A1154" s="12">
        <f t="shared" si="36"/>
        <v>1142</v>
      </c>
      <c r="E1154" s="10" t="str">
        <f t="shared" si="35"/>
        <v/>
      </c>
      <c r="I1154" s="53"/>
      <c r="N1154" s="8">
        <v>0</v>
      </c>
      <c r="Q1154" s="1"/>
      <c r="R1154" s="1"/>
      <c r="S1154" s="1"/>
      <c r="T1154" s="8"/>
      <c r="U1154" s="8"/>
      <c r="V1154" s="1"/>
      <c r="W1154" s="1"/>
      <c r="X1154" s="1"/>
      <c r="Z1154" s="8"/>
    </row>
    <row r="1155" spans="1:26" x14ac:dyDescent="0.2">
      <c r="A1155" s="12">
        <f t="shared" si="36"/>
        <v>1143</v>
      </c>
      <c r="E1155" s="10" t="str">
        <f t="shared" si="35"/>
        <v/>
      </c>
      <c r="I1155" s="53"/>
      <c r="N1155" s="8">
        <v>0</v>
      </c>
      <c r="Q1155" s="1"/>
      <c r="R1155" s="1"/>
      <c r="S1155" s="1"/>
      <c r="T1155" s="8"/>
      <c r="U1155" s="8"/>
      <c r="V1155" s="1"/>
      <c r="W1155" s="1"/>
      <c r="X1155" s="1"/>
      <c r="Z1155" s="8"/>
    </row>
    <row r="1156" spans="1:26" x14ac:dyDescent="0.2">
      <c r="A1156" s="12">
        <f t="shared" si="36"/>
        <v>1144</v>
      </c>
      <c r="E1156" s="10" t="str">
        <f t="shared" si="35"/>
        <v/>
      </c>
      <c r="I1156" s="53"/>
      <c r="N1156" s="8">
        <v>0</v>
      </c>
      <c r="Q1156" s="1"/>
      <c r="R1156" s="1"/>
      <c r="S1156" s="1"/>
      <c r="T1156" s="8"/>
      <c r="U1156" s="8"/>
      <c r="V1156" s="1"/>
      <c r="W1156" s="1"/>
      <c r="X1156" s="1"/>
      <c r="Z1156" s="8"/>
    </row>
    <row r="1157" spans="1:26" x14ac:dyDescent="0.2">
      <c r="A1157" s="12">
        <f t="shared" si="36"/>
        <v>1145</v>
      </c>
      <c r="E1157" s="10" t="str">
        <f t="shared" si="35"/>
        <v/>
      </c>
      <c r="I1157" s="53"/>
      <c r="N1157" s="8">
        <v>0</v>
      </c>
      <c r="Q1157" s="1"/>
      <c r="R1157" s="1"/>
      <c r="S1157" s="1"/>
      <c r="T1157" s="8"/>
      <c r="U1157" s="8"/>
      <c r="V1157" s="1"/>
      <c r="W1157" s="1"/>
      <c r="X1157" s="1"/>
      <c r="Z1157" s="8"/>
    </row>
    <row r="1158" spans="1:26" x14ac:dyDescent="0.2">
      <c r="A1158" s="12">
        <f t="shared" si="36"/>
        <v>1146</v>
      </c>
      <c r="E1158" s="10" t="str">
        <f t="shared" si="35"/>
        <v/>
      </c>
      <c r="I1158" s="53"/>
      <c r="N1158" s="8">
        <v>0</v>
      </c>
      <c r="Q1158" s="1"/>
      <c r="R1158" s="1"/>
      <c r="S1158" s="1"/>
      <c r="T1158" s="8"/>
      <c r="U1158" s="8"/>
      <c r="V1158" s="1"/>
      <c r="W1158" s="1"/>
      <c r="X1158" s="1"/>
      <c r="Z1158" s="8"/>
    </row>
    <row r="1159" spans="1:26" x14ac:dyDescent="0.2">
      <c r="A1159" s="12">
        <f t="shared" si="36"/>
        <v>1147</v>
      </c>
      <c r="E1159" s="10" t="str">
        <f t="shared" si="35"/>
        <v/>
      </c>
      <c r="I1159" s="53"/>
      <c r="N1159" s="8">
        <v>0</v>
      </c>
      <c r="Q1159" s="1"/>
      <c r="R1159" s="1"/>
      <c r="S1159" s="1"/>
      <c r="T1159" s="8"/>
      <c r="U1159" s="8"/>
      <c r="V1159" s="1"/>
      <c r="W1159" s="1"/>
      <c r="X1159" s="1"/>
      <c r="Z1159" s="8"/>
    </row>
    <row r="1160" spans="1:26" x14ac:dyDescent="0.2">
      <c r="A1160" s="12">
        <f t="shared" si="36"/>
        <v>1148</v>
      </c>
      <c r="E1160" s="10" t="str">
        <f t="shared" si="35"/>
        <v/>
      </c>
      <c r="I1160" s="53"/>
      <c r="N1160" s="8">
        <v>0</v>
      </c>
      <c r="Q1160" s="1"/>
      <c r="R1160" s="1"/>
      <c r="S1160" s="1"/>
      <c r="T1160" s="8"/>
      <c r="U1160" s="8"/>
      <c r="V1160" s="1"/>
      <c r="W1160" s="1"/>
      <c r="X1160" s="1"/>
      <c r="Z1160" s="8"/>
    </row>
    <row r="1161" spans="1:26" x14ac:dyDescent="0.2">
      <c r="A1161" s="12">
        <f t="shared" si="36"/>
        <v>1149</v>
      </c>
      <c r="E1161" s="10" t="str">
        <f t="shared" si="35"/>
        <v/>
      </c>
      <c r="I1161" s="53"/>
      <c r="N1161" s="8">
        <v>0</v>
      </c>
      <c r="Q1161" s="1"/>
      <c r="R1161" s="1"/>
      <c r="S1161" s="1"/>
      <c r="T1161" s="8"/>
      <c r="U1161" s="8"/>
      <c r="V1161" s="1"/>
      <c r="W1161" s="1"/>
      <c r="X1161" s="1"/>
      <c r="Z1161" s="8"/>
    </row>
    <row r="1162" spans="1:26" x14ac:dyDescent="0.2">
      <c r="A1162" s="12">
        <f t="shared" si="36"/>
        <v>1150</v>
      </c>
      <c r="E1162" s="10" t="str">
        <f t="shared" si="35"/>
        <v/>
      </c>
      <c r="I1162" s="53"/>
      <c r="N1162" s="8">
        <v>0</v>
      </c>
      <c r="Q1162" s="1"/>
      <c r="R1162" s="1"/>
      <c r="S1162" s="1"/>
      <c r="T1162" s="8"/>
      <c r="U1162" s="8"/>
      <c r="V1162" s="1"/>
      <c r="W1162" s="1"/>
      <c r="X1162" s="1"/>
      <c r="Z1162" s="8"/>
    </row>
    <row r="1163" spans="1:26" x14ac:dyDescent="0.2">
      <c r="A1163" s="12">
        <f t="shared" si="36"/>
        <v>1151</v>
      </c>
      <c r="E1163" s="10" t="str">
        <f t="shared" si="35"/>
        <v/>
      </c>
      <c r="I1163" s="53"/>
      <c r="N1163" s="8">
        <v>0</v>
      </c>
      <c r="Q1163" s="1"/>
      <c r="R1163" s="1"/>
      <c r="S1163" s="1"/>
      <c r="T1163" s="8"/>
      <c r="U1163" s="8"/>
      <c r="V1163" s="1"/>
      <c r="W1163" s="1"/>
      <c r="X1163" s="1"/>
      <c r="Z1163" s="8"/>
    </row>
    <row r="1164" spans="1:26" x14ac:dyDescent="0.2">
      <c r="A1164" s="12">
        <f t="shared" si="36"/>
        <v>1152</v>
      </c>
      <c r="E1164" s="10" t="str">
        <f t="shared" si="35"/>
        <v/>
      </c>
      <c r="I1164" s="53"/>
      <c r="N1164" s="8">
        <v>0</v>
      </c>
      <c r="Q1164" s="1"/>
      <c r="R1164" s="1"/>
      <c r="S1164" s="1"/>
      <c r="T1164" s="8"/>
      <c r="U1164" s="8"/>
      <c r="V1164" s="1"/>
      <c r="W1164" s="1"/>
      <c r="X1164" s="1"/>
      <c r="Z1164" s="8"/>
    </row>
    <row r="1165" spans="1:26" x14ac:dyDescent="0.2">
      <c r="A1165" s="12">
        <f t="shared" si="36"/>
        <v>1153</v>
      </c>
      <c r="E1165" s="10" t="str">
        <f t="shared" ref="E1165:E1228" si="37">IF($C$8&gt;=A1165,$E$1&amp;" "&amp;A1165,"")</f>
        <v/>
      </c>
      <c r="I1165" s="53"/>
      <c r="N1165" s="8">
        <v>0</v>
      </c>
      <c r="Q1165" s="1"/>
      <c r="R1165" s="1"/>
      <c r="S1165" s="1"/>
      <c r="T1165" s="8"/>
      <c r="U1165" s="8"/>
      <c r="V1165" s="1"/>
      <c r="W1165" s="1"/>
      <c r="X1165" s="1"/>
      <c r="Z1165" s="8"/>
    </row>
    <row r="1166" spans="1:26" x14ac:dyDescent="0.2">
      <c r="A1166" s="12">
        <f t="shared" si="36"/>
        <v>1154</v>
      </c>
      <c r="E1166" s="10" t="str">
        <f t="shared" si="37"/>
        <v/>
      </c>
      <c r="I1166" s="53"/>
      <c r="N1166" s="8">
        <v>0</v>
      </c>
      <c r="Q1166" s="1"/>
      <c r="R1166" s="1"/>
      <c r="S1166" s="1"/>
      <c r="T1166" s="8"/>
      <c r="U1166" s="8"/>
      <c r="V1166" s="1"/>
      <c r="W1166" s="1"/>
      <c r="X1166" s="1"/>
      <c r="Z1166" s="8"/>
    </row>
    <row r="1167" spans="1:26" x14ac:dyDescent="0.2">
      <c r="A1167" s="12">
        <f t="shared" ref="A1167:A1230" si="38">A1166+1</f>
        <v>1155</v>
      </c>
      <c r="E1167" s="10" t="str">
        <f t="shared" si="37"/>
        <v/>
      </c>
      <c r="I1167" s="53"/>
      <c r="N1167" s="8">
        <v>0</v>
      </c>
      <c r="Q1167" s="1"/>
      <c r="R1167" s="1"/>
      <c r="S1167" s="1"/>
      <c r="T1167" s="8"/>
      <c r="U1167" s="8"/>
      <c r="V1167" s="1"/>
      <c r="W1167" s="1"/>
      <c r="X1167" s="1"/>
      <c r="Z1167" s="8"/>
    </row>
    <row r="1168" spans="1:26" x14ac:dyDescent="0.2">
      <c r="A1168" s="12">
        <f t="shared" si="38"/>
        <v>1156</v>
      </c>
      <c r="E1168" s="10" t="str">
        <f t="shared" si="37"/>
        <v/>
      </c>
      <c r="I1168" s="53"/>
      <c r="N1168" s="8">
        <v>0</v>
      </c>
      <c r="Q1168" s="1"/>
      <c r="R1168" s="1"/>
      <c r="S1168" s="1"/>
      <c r="T1168" s="8"/>
      <c r="U1168" s="8"/>
      <c r="V1168" s="1"/>
      <c r="W1168" s="1"/>
      <c r="X1168" s="1"/>
      <c r="Z1168" s="8"/>
    </row>
    <row r="1169" spans="1:26" x14ac:dyDescent="0.2">
      <c r="A1169" s="12">
        <f t="shared" si="38"/>
        <v>1157</v>
      </c>
      <c r="E1169" s="10" t="str">
        <f t="shared" si="37"/>
        <v/>
      </c>
      <c r="I1169" s="53"/>
      <c r="N1169" s="8">
        <v>0</v>
      </c>
      <c r="Q1169" s="1"/>
      <c r="R1169" s="1"/>
      <c r="S1169" s="1"/>
      <c r="T1169" s="8"/>
      <c r="U1169" s="8"/>
      <c r="V1169" s="1"/>
      <c r="W1169" s="1"/>
      <c r="X1169" s="1"/>
      <c r="Z1169" s="8"/>
    </row>
    <row r="1170" spans="1:26" x14ac:dyDescent="0.2">
      <c r="A1170" s="12">
        <f t="shared" si="38"/>
        <v>1158</v>
      </c>
      <c r="E1170" s="10" t="str">
        <f t="shared" si="37"/>
        <v/>
      </c>
      <c r="I1170" s="53"/>
      <c r="N1170" s="8">
        <v>0</v>
      </c>
      <c r="Q1170" s="1"/>
      <c r="R1170" s="1"/>
      <c r="S1170" s="1"/>
      <c r="T1170" s="8"/>
      <c r="U1170" s="8"/>
      <c r="V1170" s="1"/>
      <c r="W1170" s="1"/>
      <c r="X1170" s="1"/>
      <c r="Z1170" s="8"/>
    </row>
    <row r="1171" spans="1:26" x14ac:dyDescent="0.2">
      <c r="A1171" s="12">
        <f t="shared" si="38"/>
        <v>1159</v>
      </c>
      <c r="E1171" s="10" t="str">
        <f t="shared" si="37"/>
        <v/>
      </c>
      <c r="I1171" s="53"/>
      <c r="N1171" s="8">
        <v>0</v>
      </c>
      <c r="Q1171" s="1"/>
      <c r="R1171" s="1"/>
      <c r="S1171" s="1"/>
      <c r="T1171" s="8"/>
      <c r="U1171" s="8"/>
      <c r="V1171" s="1"/>
      <c r="W1171" s="1"/>
      <c r="X1171" s="1"/>
      <c r="Z1171" s="8"/>
    </row>
    <row r="1172" spans="1:26" x14ac:dyDescent="0.2">
      <c r="A1172" s="12">
        <f t="shared" si="38"/>
        <v>1160</v>
      </c>
      <c r="E1172" s="10" t="str">
        <f t="shared" si="37"/>
        <v/>
      </c>
      <c r="I1172" s="53"/>
      <c r="N1172" s="8">
        <v>0</v>
      </c>
      <c r="Q1172" s="1"/>
      <c r="R1172" s="1"/>
      <c r="S1172" s="1"/>
      <c r="T1172" s="8"/>
      <c r="U1172" s="8"/>
      <c r="V1172" s="1"/>
      <c r="W1172" s="1"/>
      <c r="X1172" s="1"/>
      <c r="Z1172" s="8"/>
    </row>
    <row r="1173" spans="1:26" x14ac:dyDescent="0.2">
      <c r="A1173" s="12">
        <f t="shared" si="38"/>
        <v>1161</v>
      </c>
      <c r="E1173" s="10" t="str">
        <f t="shared" si="37"/>
        <v/>
      </c>
      <c r="I1173" s="53"/>
      <c r="N1173" s="8">
        <v>0</v>
      </c>
      <c r="Q1173" s="1"/>
      <c r="R1173" s="1"/>
      <c r="S1173" s="1"/>
      <c r="T1173" s="8"/>
      <c r="U1173" s="8"/>
      <c r="V1173" s="1"/>
      <c r="W1173" s="1"/>
      <c r="X1173" s="1"/>
      <c r="Z1173" s="8"/>
    </row>
    <row r="1174" spans="1:26" x14ac:dyDescent="0.2">
      <c r="A1174" s="12">
        <f t="shared" si="38"/>
        <v>1162</v>
      </c>
      <c r="E1174" s="10" t="str">
        <f t="shared" si="37"/>
        <v/>
      </c>
      <c r="I1174" s="53"/>
      <c r="N1174" s="8">
        <v>0</v>
      </c>
      <c r="Q1174" s="1"/>
      <c r="R1174" s="1"/>
      <c r="S1174" s="1"/>
      <c r="T1174" s="8"/>
      <c r="U1174" s="8"/>
      <c r="V1174" s="1"/>
      <c r="W1174" s="1"/>
      <c r="X1174" s="1"/>
      <c r="Z1174" s="8"/>
    </row>
    <row r="1175" spans="1:26" x14ac:dyDescent="0.2">
      <c r="A1175" s="12">
        <f t="shared" si="38"/>
        <v>1163</v>
      </c>
      <c r="E1175" s="10" t="str">
        <f t="shared" si="37"/>
        <v/>
      </c>
      <c r="I1175" s="53"/>
      <c r="N1175" s="8">
        <v>0</v>
      </c>
      <c r="Q1175" s="1"/>
      <c r="R1175" s="1"/>
      <c r="S1175" s="1"/>
      <c r="T1175" s="8"/>
      <c r="U1175" s="8"/>
      <c r="V1175" s="1"/>
      <c r="W1175" s="1"/>
      <c r="X1175" s="1"/>
      <c r="Z1175" s="8"/>
    </row>
    <row r="1176" spans="1:26" x14ac:dyDescent="0.2">
      <c r="A1176" s="12">
        <f t="shared" si="38"/>
        <v>1164</v>
      </c>
      <c r="E1176" s="10" t="str">
        <f t="shared" si="37"/>
        <v/>
      </c>
      <c r="I1176" s="53"/>
      <c r="N1176" s="8">
        <v>0</v>
      </c>
      <c r="Q1176" s="1"/>
      <c r="R1176" s="1"/>
      <c r="S1176" s="1"/>
      <c r="T1176" s="8"/>
      <c r="U1176" s="8"/>
      <c r="V1176" s="1"/>
      <c r="W1176" s="1"/>
      <c r="X1176" s="1"/>
      <c r="Z1176" s="8"/>
    </row>
    <row r="1177" spans="1:26" x14ac:dyDescent="0.2">
      <c r="A1177" s="12">
        <f t="shared" si="38"/>
        <v>1165</v>
      </c>
      <c r="E1177" s="10" t="str">
        <f t="shared" si="37"/>
        <v/>
      </c>
      <c r="I1177" s="53"/>
      <c r="N1177" s="8">
        <v>0</v>
      </c>
      <c r="Q1177" s="1"/>
      <c r="R1177" s="1"/>
      <c r="S1177" s="1"/>
      <c r="T1177" s="8"/>
      <c r="U1177" s="8"/>
      <c r="V1177" s="1"/>
      <c r="W1177" s="1"/>
      <c r="X1177" s="1"/>
      <c r="Z1177" s="8"/>
    </row>
    <row r="1178" spans="1:26" x14ac:dyDescent="0.2">
      <c r="A1178" s="12">
        <f t="shared" si="38"/>
        <v>1166</v>
      </c>
      <c r="E1178" s="10" t="str">
        <f t="shared" si="37"/>
        <v/>
      </c>
      <c r="I1178" s="53"/>
      <c r="N1178" s="8">
        <v>0</v>
      </c>
      <c r="Q1178" s="1"/>
      <c r="R1178" s="1"/>
      <c r="S1178" s="1"/>
      <c r="T1178" s="8"/>
      <c r="U1178" s="8"/>
      <c r="V1178" s="1"/>
      <c r="W1178" s="1"/>
      <c r="X1178" s="1"/>
      <c r="Z1178" s="8"/>
    </row>
    <row r="1179" spans="1:26" x14ac:dyDescent="0.2">
      <c r="A1179" s="12">
        <f t="shared" si="38"/>
        <v>1167</v>
      </c>
      <c r="E1179" s="10" t="str">
        <f t="shared" si="37"/>
        <v/>
      </c>
      <c r="I1179" s="53"/>
      <c r="N1179" s="8">
        <v>0</v>
      </c>
      <c r="Q1179" s="1"/>
      <c r="R1179" s="1"/>
      <c r="S1179" s="1"/>
      <c r="T1179" s="8"/>
      <c r="U1179" s="8"/>
      <c r="V1179" s="1"/>
      <c r="W1179" s="1"/>
      <c r="X1179" s="1"/>
      <c r="Z1179" s="8"/>
    </row>
    <row r="1180" spans="1:26" x14ac:dyDescent="0.2">
      <c r="A1180" s="12">
        <f t="shared" si="38"/>
        <v>1168</v>
      </c>
      <c r="E1180" s="10" t="str">
        <f t="shared" si="37"/>
        <v/>
      </c>
      <c r="I1180" s="53"/>
      <c r="N1180" s="8">
        <v>0</v>
      </c>
      <c r="Q1180" s="1"/>
      <c r="R1180" s="1"/>
      <c r="S1180" s="1"/>
      <c r="T1180" s="8"/>
      <c r="U1180" s="8"/>
      <c r="V1180" s="1"/>
      <c r="W1180" s="1"/>
      <c r="X1180" s="1"/>
      <c r="Z1180" s="8"/>
    </row>
    <row r="1181" spans="1:26" x14ac:dyDescent="0.2">
      <c r="A1181" s="12">
        <f t="shared" si="38"/>
        <v>1169</v>
      </c>
      <c r="E1181" s="10" t="str">
        <f t="shared" si="37"/>
        <v/>
      </c>
      <c r="I1181" s="53"/>
      <c r="N1181" s="8">
        <v>0</v>
      </c>
      <c r="Q1181" s="1"/>
      <c r="R1181" s="1"/>
      <c r="S1181" s="1"/>
      <c r="T1181" s="8"/>
      <c r="U1181" s="8"/>
      <c r="V1181" s="1"/>
      <c r="W1181" s="1"/>
      <c r="X1181" s="1"/>
      <c r="Z1181" s="8"/>
    </row>
    <row r="1182" spans="1:26" x14ac:dyDescent="0.2">
      <c r="A1182" s="12">
        <f t="shared" si="38"/>
        <v>1170</v>
      </c>
      <c r="E1182" s="10" t="str">
        <f t="shared" si="37"/>
        <v/>
      </c>
      <c r="I1182" s="53"/>
      <c r="N1182" s="8">
        <v>0</v>
      </c>
      <c r="Q1182" s="1"/>
      <c r="R1182" s="1"/>
      <c r="S1182" s="1"/>
      <c r="T1182" s="8"/>
      <c r="U1182" s="8"/>
      <c r="V1182" s="1"/>
      <c r="W1182" s="1"/>
      <c r="X1182" s="1"/>
      <c r="Z1182" s="8"/>
    </row>
    <row r="1183" spans="1:26" x14ac:dyDescent="0.2">
      <c r="A1183" s="12">
        <f t="shared" si="38"/>
        <v>1171</v>
      </c>
      <c r="E1183" s="10" t="str">
        <f t="shared" si="37"/>
        <v/>
      </c>
      <c r="I1183" s="53"/>
      <c r="N1183" s="8">
        <v>0</v>
      </c>
      <c r="Q1183" s="1"/>
      <c r="R1183" s="1"/>
      <c r="S1183" s="1"/>
      <c r="T1183" s="8"/>
      <c r="U1183" s="8"/>
      <c r="V1183" s="1"/>
      <c r="W1183" s="1"/>
      <c r="X1183" s="1"/>
      <c r="Z1183" s="8"/>
    </row>
    <row r="1184" spans="1:26" x14ac:dyDescent="0.2">
      <c r="A1184" s="12">
        <f t="shared" si="38"/>
        <v>1172</v>
      </c>
      <c r="E1184" s="10" t="str">
        <f t="shared" si="37"/>
        <v/>
      </c>
      <c r="I1184" s="53"/>
      <c r="N1184" s="8">
        <v>0</v>
      </c>
      <c r="Q1184" s="1"/>
      <c r="R1184" s="1"/>
      <c r="S1184" s="1"/>
      <c r="T1184" s="8"/>
      <c r="U1184" s="8"/>
      <c r="V1184" s="1"/>
      <c r="W1184" s="1"/>
      <c r="X1184" s="1"/>
      <c r="Z1184" s="8"/>
    </row>
    <row r="1185" spans="1:26" x14ac:dyDescent="0.2">
      <c r="A1185" s="12">
        <f t="shared" si="38"/>
        <v>1173</v>
      </c>
      <c r="E1185" s="10" t="str">
        <f t="shared" si="37"/>
        <v/>
      </c>
      <c r="I1185" s="53"/>
      <c r="N1185" s="8">
        <v>0</v>
      </c>
      <c r="Q1185" s="1"/>
      <c r="R1185" s="1"/>
      <c r="S1185" s="1"/>
      <c r="T1185" s="8"/>
      <c r="U1185" s="8"/>
      <c r="V1185" s="1"/>
      <c r="W1185" s="1"/>
      <c r="X1185" s="1"/>
      <c r="Z1185" s="8"/>
    </row>
    <row r="1186" spans="1:26" x14ac:dyDescent="0.2">
      <c r="A1186" s="12">
        <f t="shared" si="38"/>
        <v>1174</v>
      </c>
      <c r="E1186" s="10" t="str">
        <f t="shared" si="37"/>
        <v/>
      </c>
      <c r="I1186" s="53"/>
      <c r="N1186" s="8">
        <v>0</v>
      </c>
      <c r="Q1186" s="1"/>
      <c r="R1186" s="1"/>
      <c r="S1186" s="1"/>
      <c r="T1186" s="8"/>
      <c r="U1186" s="8"/>
      <c r="V1186" s="1"/>
      <c r="W1186" s="1"/>
      <c r="X1186" s="1"/>
      <c r="Z1186" s="8"/>
    </row>
    <row r="1187" spans="1:26" x14ac:dyDescent="0.2">
      <c r="A1187" s="12">
        <f t="shared" si="38"/>
        <v>1175</v>
      </c>
      <c r="E1187" s="10" t="str">
        <f t="shared" si="37"/>
        <v/>
      </c>
      <c r="I1187" s="53"/>
      <c r="N1187" s="8">
        <v>0</v>
      </c>
      <c r="Q1187" s="1"/>
      <c r="R1187" s="1"/>
      <c r="S1187" s="1"/>
      <c r="T1187" s="8"/>
      <c r="U1187" s="8"/>
      <c r="V1187" s="1"/>
      <c r="W1187" s="1"/>
      <c r="X1187" s="1"/>
      <c r="Z1187" s="8"/>
    </row>
    <row r="1188" spans="1:26" x14ac:dyDescent="0.2">
      <c r="A1188" s="12">
        <f t="shared" si="38"/>
        <v>1176</v>
      </c>
      <c r="E1188" s="10" t="str">
        <f t="shared" si="37"/>
        <v/>
      </c>
      <c r="I1188" s="53"/>
      <c r="N1188" s="8">
        <v>0</v>
      </c>
      <c r="Q1188" s="1"/>
      <c r="R1188" s="1"/>
      <c r="S1188" s="1"/>
      <c r="T1188" s="8"/>
      <c r="U1188" s="8"/>
      <c r="V1188" s="1"/>
      <c r="W1188" s="1"/>
      <c r="X1188" s="1"/>
      <c r="Z1188" s="8"/>
    </row>
    <row r="1189" spans="1:26" x14ac:dyDescent="0.2">
      <c r="A1189" s="12">
        <f t="shared" si="38"/>
        <v>1177</v>
      </c>
      <c r="E1189" s="10" t="str">
        <f t="shared" si="37"/>
        <v/>
      </c>
      <c r="I1189" s="53"/>
      <c r="N1189" s="8">
        <v>0</v>
      </c>
      <c r="Q1189" s="1"/>
      <c r="R1189" s="1"/>
      <c r="S1189" s="1"/>
      <c r="T1189" s="8"/>
      <c r="U1189" s="8"/>
      <c r="V1189" s="1"/>
      <c r="W1189" s="1"/>
      <c r="X1189" s="1"/>
      <c r="Z1189" s="8"/>
    </row>
    <row r="1190" spans="1:26" x14ac:dyDescent="0.2">
      <c r="A1190" s="12">
        <f t="shared" si="38"/>
        <v>1178</v>
      </c>
      <c r="E1190" s="10" t="str">
        <f t="shared" si="37"/>
        <v/>
      </c>
      <c r="I1190" s="53"/>
      <c r="N1190" s="8">
        <v>0</v>
      </c>
      <c r="Q1190" s="1"/>
      <c r="R1190" s="1"/>
      <c r="S1190" s="1"/>
      <c r="T1190" s="8"/>
      <c r="U1190" s="8"/>
      <c r="V1190" s="1"/>
      <c r="W1190" s="1"/>
      <c r="X1190" s="1"/>
      <c r="Z1190" s="8"/>
    </row>
    <row r="1191" spans="1:26" x14ac:dyDescent="0.2">
      <c r="A1191" s="12">
        <f t="shared" si="38"/>
        <v>1179</v>
      </c>
      <c r="E1191" s="10" t="str">
        <f t="shared" si="37"/>
        <v/>
      </c>
      <c r="I1191" s="53"/>
      <c r="N1191" s="8">
        <v>0</v>
      </c>
      <c r="Q1191" s="1"/>
      <c r="R1191" s="1"/>
      <c r="S1191" s="1"/>
      <c r="T1191" s="8"/>
      <c r="U1191" s="8"/>
      <c r="V1191" s="1"/>
      <c r="W1191" s="1"/>
      <c r="X1191" s="1"/>
      <c r="Z1191" s="8"/>
    </row>
    <row r="1192" spans="1:26" x14ac:dyDescent="0.2">
      <c r="A1192" s="12">
        <f t="shared" si="38"/>
        <v>1180</v>
      </c>
      <c r="E1192" s="10" t="str">
        <f t="shared" si="37"/>
        <v/>
      </c>
      <c r="I1192" s="53"/>
      <c r="N1192" s="8">
        <v>0</v>
      </c>
      <c r="Q1192" s="1"/>
      <c r="R1192" s="1"/>
      <c r="S1192" s="1"/>
      <c r="T1192" s="8"/>
      <c r="U1192" s="8"/>
      <c r="V1192" s="1"/>
      <c r="W1192" s="1"/>
      <c r="X1192" s="1"/>
      <c r="Z1192" s="8"/>
    </row>
    <row r="1193" spans="1:26" x14ac:dyDescent="0.2">
      <c r="A1193" s="12">
        <f t="shared" si="38"/>
        <v>1181</v>
      </c>
      <c r="E1193" s="10" t="str">
        <f t="shared" si="37"/>
        <v/>
      </c>
      <c r="I1193" s="53"/>
      <c r="N1193" s="8">
        <v>0</v>
      </c>
      <c r="Q1193" s="1"/>
      <c r="R1193" s="1"/>
      <c r="S1193" s="1"/>
      <c r="T1193" s="8"/>
      <c r="U1193" s="8"/>
      <c r="V1193" s="1"/>
      <c r="W1193" s="1"/>
      <c r="X1193" s="1"/>
      <c r="Z1193" s="8"/>
    </row>
    <row r="1194" spans="1:26" x14ac:dyDescent="0.2">
      <c r="A1194" s="12">
        <f t="shared" si="38"/>
        <v>1182</v>
      </c>
      <c r="E1194" s="10" t="str">
        <f t="shared" si="37"/>
        <v/>
      </c>
      <c r="I1194" s="53"/>
      <c r="N1194" s="8">
        <v>0</v>
      </c>
      <c r="Q1194" s="1"/>
      <c r="R1194" s="1"/>
      <c r="S1194" s="1"/>
      <c r="T1194" s="8"/>
      <c r="U1194" s="8"/>
      <c r="V1194" s="1"/>
      <c r="W1194" s="1"/>
      <c r="X1194" s="1"/>
      <c r="Z1194" s="8"/>
    </row>
    <row r="1195" spans="1:26" x14ac:dyDescent="0.2">
      <c r="A1195" s="12">
        <f t="shared" si="38"/>
        <v>1183</v>
      </c>
      <c r="E1195" s="10" t="str">
        <f t="shared" si="37"/>
        <v/>
      </c>
      <c r="I1195" s="53"/>
      <c r="N1195" s="8">
        <v>0</v>
      </c>
      <c r="Q1195" s="1"/>
      <c r="R1195" s="1"/>
      <c r="S1195" s="1"/>
      <c r="T1195" s="8"/>
      <c r="U1195" s="8"/>
      <c r="V1195" s="1"/>
      <c r="W1195" s="1"/>
      <c r="X1195" s="1"/>
      <c r="Z1195" s="8"/>
    </row>
    <row r="1196" spans="1:26" x14ac:dyDescent="0.2">
      <c r="A1196" s="12">
        <f t="shared" si="38"/>
        <v>1184</v>
      </c>
      <c r="E1196" s="10" t="str">
        <f t="shared" si="37"/>
        <v/>
      </c>
      <c r="I1196" s="53"/>
      <c r="N1196" s="8">
        <v>0</v>
      </c>
      <c r="Q1196" s="1"/>
      <c r="R1196" s="1"/>
      <c r="S1196" s="1"/>
      <c r="T1196" s="8"/>
      <c r="U1196" s="8"/>
      <c r="V1196" s="1"/>
      <c r="W1196" s="1"/>
      <c r="X1196" s="1"/>
      <c r="Z1196" s="8"/>
    </row>
    <row r="1197" spans="1:26" x14ac:dyDescent="0.2">
      <c r="A1197" s="12">
        <f t="shared" si="38"/>
        <v>1185</v>
      </c>
      <c r="E1197" s="10" t="str">
        <f t="shared" si="37"/>
        <v/>
      </c>
      <c r="I1197" s="53"/>
      <c r="N1197" s="8">
        <v>0</v>
      </c>
      <c r="Q1197" s="1"/>
      <c r="R1197" s="1"/>
      <c r="S1197" s="1"/>
      <c r="T1197" s="8"/>
      <c r="U1197" s="8"/>
      <c r="V1197" s="1"/>
      <c r="W1197" s="1"/>
      <c r="X1197" s="1"/>
      <c r="Z1197" s="8"/>
    </row>
    <row r="1198" spans="1:26" x14ac:dyDescent="0.2">
      <c r="A1198" s="12">
        <f t="shared" si="38"/>
        <v>1186</v>
      </c>
      <c r="E1198" s="10" t="str">
        <f t="shared" si="37"/>
        <v/>
      </c>
      <c r="I1198" s="53"/>
      <c r="N1198" s="8">
        <v>0</v>
      </c>
      <c r="Q1198" s="1"/>
      <c r="R1198" s="1"/>
      <c r="S1198" s="1"/>
      <c r="T1198" s="8"/>
      <c r="U1198" s="8"/>
      <c r="V1198" s="1"/>
      <c r="W1198" s="1"/>
      <c r="X1198" s="1"/>
      <c r="Z1198" s="8"/>
    </row>
    <row r="1199" spans="1:26" x14ac:dyDescent="0.2">
      <c r="A1199" s="12">
        <f t="shared" si="38"/>
        <v>1187</v>
      </c>
      <c r="E1199" s="10" t="str">
        <f t="shared" si="37"/>
        <v/>
      </c>
      <c r="I1199" s="53"/>
      <c r="N1199" s="8">
        <v>0</v>
      </c>
      <c r="Q1199" s="1"/>
      <c r="R1199" s="1"/>
      <c r="S1199" s="1"/>
      <c r="T1199" s="8"/>
      <c r="U1199" s="8"/>
      <c r="V1199" s="1"/>
      <c r="W1199" s="1"/>
      <c r="X1199" s="1"/>
      <c r="Z1199" s="8"/>
    </row>
    <row r="1200" spans="1:26" x14ac:dyDescent="0.2">
      <c r="A1200" s="12">
        <f t="shared" si="38"/>
        <v>1188</v>
      </c>
      <c r="E1200" s="10" t="str">
        <f t="shared" si="37"/>
        <v/>
      </c>
      <c r="I1200" s="53"/>
      <c r="N1200" s="8">
        <v>0</v>
      </c>
      <c r="Q1200" s="1"/>
      <c r="R1200" s="1"/>
      <c r="S1200" s="1"/>
      <c r="T1200" s="8"/>
      <c r="U1200" s="8"/>
      <c r="V1200" s="1"/>
      <c r="W1200" s="1"/>
      <c r="X1200" s="1"/>
      <c r="Z1200" s="8"/>
    </row>
    <row r="1201" spans="1:26" x14ac:dyDescent="0.2">
      <c r="A1201" s="12">
        <f t="shared" si="38"/>
        <v>1189</v>
      </c>
      <c r="E1201" s="10" t="str">
        <f t="shared" si="37"/>
        <v/>
      </c>
      <c r="I1201" s="53"/>
      <c r="N1201" s="8">
        <v>0</v>
      </c>
      <c r="Q1201" s="1"/>
      <c r="R1201" s="1"/>
      <c r="S1201" s="1"/>
      <c r="T1201" s="8"/>
      <c r="U1201" s="8"/>
      <c r="V1201" s="1"/>
      <c r="W1201" s="1"/>
      <c r="X1201" s="1"/>
      <c r="Z1201" s="8"/>
    </row>
    <row r="1202" spans="1:26" x14ac:dyDescent="0.2">
      <c r="A1202" s="12">
        <f t="shared" si="38"/>
        <v>1190</v>
      </c>
      <c r="E1202" s="10" t="str">
        <f t="shared" si="37"/>
        <v/>
      </c>
      <c r="I1202" s="53"/>
      <c r="N1202" s="8">
        <v>0</v>
      </c>
      <c r="Q1202" s="1"/>
      <c r="R1202" s="1"/>
      <c r="S1202" s="1"/>
      <c r="T1202" s="8"/>
      <c r="U1202" s="8"/>
      <c r="V1202" s="1"/>
      <c r="W1202" s="1"/>
      <c r="X1202" s="1"/>
      <c r="Z1202" s="8"/>
    </row>
    <row r="1203" spans="1:26" x14ac:dyDescent="0.2">
      <c r="A1203" s="12">
        <f t="shared" si="38"/>
        <v>1191</v>
      </c>
      <c r="E1203" s="10" t="str">
        <f t="shared" si="37"/>
        <v/>
      </c>
      <c r="I1203" s="53"/>
      <c r="N1203" s="8">
        <v>0</v>
      </c>
      <c r="Q1203" s="1"/>
      <c r="R1203" s="1"/>
      <c r="S1203" s="1"/>
      <c r="T1203" s="8"/>
      <c r="U1203" s="8"/>
      <c r="V1203" s="1"/>
      <c r="W1203" s="1"/>
      <c r="X1203" s="1"/>
      <c r="Z1203" s="8"/>
    </row>
    <row r="1204" spans="1:26" x14ac:dyDescent="0.2">
      <c r="A1204" s="12">
        <f t="shared" si="38"/>
        <v>1192</v>
      </c>
      <c r="E1204" s="10" t="str">
        <f t="shared" si="37"/>
        <v/>
      </c>
      <c r="I1204" s="53"/>
      <c r="N1204" s="8">
        <v>0</v>
      </c>
      <c r="Q1204" s="1"/>
      <c r="R1204" s="1"/>
      <c r="S1204" s="1"/>
      <c r="T1204" s="8"/>
      <c r="U1204" s="8"/>
      <c r="V1204" s="1"/>
      <c r="W1204" s="1"/>
      <c r="X1204" s="1"/>
      <c r="Z1204" s="8"/>
    </row>
    <row r="1205" spans="1:26" x14ac:dyDescent="0.2">
      <c r="A1205" s="12">
        <f t="shared" si="38"/>
        <v>1193</v>
      </c>
      <c r="E1205" s="10" t="str">
        <f t="shared" si="37"/>
        <v/>
      </c>
      <c r="I1205" s="53"/>
      <c r="N1205" s="8">
        <v>0</v>
      </c>
      <c r="Q1205" s="1"/>
      <c r="R1205" s="1"/>
      <c r="S1205" s="1"/>
      <c r="T1205" s="8"/>
      <c r="U1205" s="8"/>
      <c r="V1205" s="1"/>
      <c r="W1205" s="1"/>
      <c r="X1205" s="1"/>
      <c r="Z1205" s="8"/>
    </row>
    <row r="1206" spans="1:26" x14ac:dyDescent="0.2">
      <c r="A1206" s="12">
        <f t="shared" si="38"/>
        <v>1194</v>
      </c>
      <c r="E1206" s="10" t="str">
        <f t="shared" si="37"/>
        <v/>
      </c>
      <c r="I1206" s="53"/>
      <c r="N1206" s="8">
        <v>0</v>
      </c>
      <c r="Q1206" s="1"/>
      <c r="R1206" s="1"/>
      <c r="S1206" s="1"/>
      <c r="T1206" s="8"/>
      <c r="U1206" s="8"/>
      <c r="V1206" s="1"/>
      <c r="W1206" s="1"/>
      <c r="X1206" s="1"/>
      <c r="Z1206" s="8"/>
    </row>
    <row r="1207" spans="1:26" x14ac:dyDescent="0.2">
      <c r="A1207" s="12">
        <f t="shared" si="38"/>
        <v>1195</v>
      </c>
      <c r="E1207" s="10" t="str">
        <f t="shared" si="37"/>
        <v/>
      </c>
      <c r="I1207" s="53"/>
      <c r="N1207" s="8">
        <v>0</v>
      </c>
      <c r="Q1207" s="1"/>
      <c r="R1207" s="1"/>
      <c r="S1207" s="1"/>
      <c r="T1207" s="8"/>
      <c r="U1207" s="8"/>
      <c r="V1207" s="1"/>
      <c r="W1207" s="1"/>
      <c r="X1207" s="1"/>
      <c r="Z1207" s="8"/>
    </row>
    <row r="1208" spans="1:26" x14ac:dyDescent="0.2">
      <c r="A1208" s="12">
        <f t="shared" si="38"/>
        <v>1196</v>
      </c>
      <c r="E1208" s="10" t="str">
        <f t="shared" si="37"/>
        <v/>
      </c>
      <c r="I1208" s="53"/>
      <c r="N1208" s="8">
        <v>0</v>
      </c>
      <c r="Q1208" s="1"/>
      <c r="R1208" s="1"/>
      <c r="S1208" s="1"/>
      <c r="T1208" s="8"/>
      <c r="U1208" s="8"/>
      <c r="V1208" s="1"/>
      <c r="W1208" s="1"/>
      <c r="X1208" s="1"/>
      <c r="Z1208" s="8"/>
    </row>
    <row r="1209" spans="1:26" x14ac:dyDescent="0.2">
      <c r="A1209" s="12">
        <f t="shared" si="38"/>
        <v>1197</v>
      </c>
      <c r="E1209" s="10" t="str">
        <f t="shared" si="37"/>
        <v/>
      </c>
      <c r="I1209" s="53"/>
      <c r="N1209" s="8">
        <v>0</v>
      </c>
      <c r="Q1209" s="1"/>
      <c r="R1209" s="1"/>
      <c r="S1209" s="1"/>
      <c r="T1209" s="8"/>
      <c r="U1209" s="8"/>
      <c r="V1209" s="1"/>
      <c r="W1209" s="1"/>
      <c r="X1209" s="1"/>
      <c r="Z1209" s="8"/>
    </row>
    <row r="1210" spans="1:26" x14ac:dyDescent="0.2">
      <c r="A1210" s="12">
        <f t="shared" si="38"/>
        <v>1198</v>
      </c>
      <c r="E1210" s="10" t="str">
        <f t="shared" si="37"/>
        <v/>
      </c>
      <c r="I1210" s="53"/>
      <c r="N1210" s="8">
        <v>0</v>
      </c>
      <c r="Q1210" s="1"/>
      <c r="R1210" s="1"/>
      <c r="S1210" s="1"/>
      <c r="T1210" s="8"/>
      <c r="U1210" s="8"/>
      <c r="V1210" s="1"/>
      <c r="W1210" s="1"/>
      <c r="X1210" s="1"/>
      <c r="Z1210" s="8"/>
    </row>
    <row r="1211" spans="1:26" x14ac:dyDescent="0.2">
      <c r="A1211" s="12">
        <f t="shared" si="38"/>
        <v>1199</v>
      </c>
      <c r="E1211" s="10" t="str">
        <f t="shared" si="37"/>
        <v/>
      </c>
      <c r="I1211" s="53"/>
      <c r="N1211" s="8">
        <v>0</v>
      </c>
      <c r="Q1211" s="1"/>
      <c r="R1211" s="1"/>
      <c r="S1211" s="1"/>
      <c r="T1211" s="8"/>
      <c r="U1211" s="8"/>
      <c r="V1211" s="1"/>
      <c r="W1211" s="1"/>
      <c r="X1211" s="1"/>
      <c r="Z1211" s="8"/>
    </row>
    <row r="1212" spans="1:26" x14ac:dyDescent="0.2">
      <c r="A1212" s="12">
        <f t="shared" si="38"/>
        <v>1200</v>
      </c>
      <c r="E1212" s="10" t="str">
        <f t="shared" si="37"/>
        <v/>
      </c>
      <c r="I1212" s="53"/>
      <c r="N1212" s="8">
        <v>0</v>
      </c>
      <c r="Q1212" s="1"/>
      <c r="R1212" s="1"/>
      <c r="S1212" s="1"/>
      <c r="T1212" s="8"/>
      <c r="U1212" s="8"/>
      <c r="V1212" s="1"/>
      <c r="W1212" s="1"/>
      <c r="X1212" s="1"/>
      <c r="Z1212" s="8"/>
    </row>
    <row r="1213" spans="1:26" x14ac:dyDescent="0.2">
      <c r="A1213" s="12">
        <f t="shared" si="38"/>
        <v>1201</v>
      </c>
      <c r="E1213" s="10" t="str">
        <f t="shared" si="37"/>
        <v/>
      </c>
      <c r="I1213" s="53"/>
      <c r="N1213" s="8">
        <v>0</v>
      </c>
      <c r="Q1213" s="1"/>
      <c r="R1213" s="1"/>
      <c r="S1213" s="1"/>
      <c r="T1213" s="8"/>
      <c r="U1213" s="8"/>
      <c r="V1213" s="1"/>
      <c r="W1213" s="1"/>
      <c r="X1213" s="1"/>
      <c r="Z1213" s="8"/>
    </row>
    <row r="1214" spans="1:26" x14ac:dyDescent="0.2">
      <c r="A1214" s="12">
        <f t="shared" si="38"/>
        <v>1202</v>
      </c>
      <c r="E1214" s="10" t="str">
        <f t="shared" si="37"/>
        <v/>
      </c>
      <c r="I1214" s="53"/>
      <c r="N1214" s="8">
        <v>0</v>
      </c>
      <c r="Q1214" s="1"/>
      <c r="R1214" s="1"/>
      <c r="S1214" s="1"/>
      <c r="T1214" s="8"/>
      <c r="U1214" s="8"/>
      <c r="V1214" s="1"/>
      <c r="W1214" s="1"/>
      <c r="X1214" s="1"/>
      <c r="Z1214" s="8"/>
    </row>
    <row r="1215" spans="1:26" x14ac:dyDescent="0.2">
      <c r="A1215" s="12">
        <f t="shared" si="38"/>
        <v>1203</v>
      </c>
      <c r="E1215" s="10" t="str">
        <f t="shared" si="37"/>
        <v/>
      </c>
      <c r="I1215" s="53"/>
      <c r="N1215" s="8">
        <v>0</v>
      </c>
      <c r="Q1215" s="1"/>
      <c r="R1215" s="1"/>
      <c r="S1215" s="1"/>
      <c r="T1215" s="8"/>
      <c r="U1215" s="8"/>
      <c r="V1215" s="1"/>
      <c r="W1215" s="1"/>
      <c r="X1215" s="1"/>
      <c r="Z1215" s="8"/>
    </row>
    <row r="1216" spans="1:26" x14ac:dyDescent="0.2">
      <c r="A1216" s="12">
        <f t="shared" si="38"/>
        <v>1204</v>
      </c>
      <c r="E1216" s="10" t="str">
        <f t="shared" si="37"/>
        <v/>
      </c>
      <c r="I1216" s="53"/>
      <c r="N1216" s="8">
        <v>0</v>
      </c>
      <c r="Q1216" s="1"/>
      <c r="R1216" s="1"/>
      <c r="S1216" s="1"/>
      <c r="T1216" s="8"/>
      <c r="U1216" s="8"/>
      <c r="V1216" s="1"/>
      <c r="W1216" s="1"/>
      <c r="X1216" s="1"/>
      <c r="Z1216" s="8"/>
    </row>
    <row r="1217" spans="1:26" x14ac:dyDescent="0.2">
      <c r="A1217" s="12">
        <f t="shared" si="38"/>
        <v>1205</v>
      </c>
      <c r="E1217" s="10" t="str">
        <f t="shared" si="37"/>
        <v/>
      </c>
      <c r="I1217" s="53"/>
      <c r="N1217" s="8">
        <v>0</v>
      </c>
      <c r="Q1217" s="1"/>
      <c r="R1217" s="1"/>
      <c r="S1217" s="1"/>
      <c r="T1217" s="8"/>
      <c r="U1217" s="8"/>
      <c r="V1217" s="1"/>
      <c r="W1217" s="1"/>
      <c r="X1217" s="1"/>
      <c r="Z1217" s="8"/>
    </row>
    <row r="1218" spans="1:26" x14ac:dyDescent="0.2">
      <c r="A1218" s="12">
        <f t="shared" si="38"/>
        <v>1206</v>
      </c>
      <c r="E1218" s="10" t="str">
        <f t="shared" si="37"/>
        <v/>
      </c>
      <c r="I1218" s="53"/>
      <c r="N1218" s="8">
        <v>0</v>
      </c>
      <c r="Q1218" s="1"/>
      <c r="R1218" s="1"/>
      <c r="S1218" s="1"/>
      <c r="T1218" s="8"/>
      <c r="U1218" s="8"/>
      <c r="V1218" s="1"/>
      <c r="W1218" s="1"/>
      <c r="X1218" s="1"/>
      <c r="Z1218" s="8"/>
    </row>
    <row r="1219" spans="1:26" x14ac:dyDescent="0.2">
      <c r="A1219" s="12">
        <f t="shared" si="38"/>
        <v>1207</v>
      </c>
      <c r="E1219" s="10" t="str">
        <f t="shared" si="37"/>
        <v/>
      </c>
      <c r="I1219" s="53"/>
      <c r="N1219" s="8">
        <v>0</v>
      </c>
      <c r="Q1219" s="1"/>
      <c r="R1219" s="1"/>
      <c r="S1219" s="1"/>
      <c r="T1219" s="8"/>
      <c r="U1219" s="8"/>
      <c r="V1219" s="1"/>
      <c r="W1219" s="1"/>
      <c r="X1219" s="1"/>
      <c r="Z1219" s="8"/>
    </row>
    <row r="1220" spans="1:26" x14ac:dyDescent="0.2">
      <c r="A1220" s="12">
        <f t="shared" si="38"/>
        <v>1208</v>
      </c>
      <c r="E1220" s="10" t="str">
        <f t="shared" si="37"/>
        <v/>
      </c>
      <c r="I1220" s="53"/>
      <c r="N1220" s="8">
        <v>0</v>
      </c>
      <c r="Q1220" s="1"/>
      <c r="R1220" s="1"/>
      <c r="S1220" s="1"/>
      <c r="T1220" s="8"/>
      <c r="U1220" s="8"/>
      <c r="V1220" s="1"/>
      <c r="W1220" s="1"/>
      <c r="X1220" s="1"/>
      <c r="Z1220" s="8"/>
    </row>
    <row r="1221" spans="1:26" x14ac:dyDescent="0.2">
      <c r="A1221" s="12">
        <f t="shared" si="38"/>
        <v>1209</v>
      </c>
      <c r="E1221" s="10" t="str">
        <f t="shared" si="37"/>
        <v/>
      </c>
      <c r="I1221" s="53"/>
      <c r="N1221" s="8">
        <v>0</v>
      </c>
      <c r="Q1221" s="1"/>
      <c r="R1221" s="1"/>
      <c r="S1221" s="1"/>
      <c r="T1221" s="8"/>
      <c r="U1221" s="8"/>
      <c r="V1221" s="1"/>
      <c r="W1221" s="1"/>
      <c r="X1221" s="1"/>
      <c r="Z1221" s="8"/>
    </row>
    <row r="1222" spans="1:26" x14ac:dyDescent="0.2">
      <c r="A1222" s="12">
        <f t="shared" si="38"/>
        <v>1210</v>
      </c>
      <c r="E1222" s="10" t="str">
        <f t="shared" si="37"/>
        <v/>
      </c>
      <c r="I1222" s="53"/>
      <c r="N1222" s="8">
        <v>0</v>
      </c>
      <c r="Q1222" s="1"/>
      <c r="R1222" s="1"/>
      <c r="S1222" s="1"/>
      <c r="T1222" s="8"/>
      <c r="U1222" s="8"/>
      <c r="V1222" s="1"/>
      <c r="W1222" s="1"/>
      <c r="X1222" s="1"/>
      <c r="Z1222" s="8"/>
    </row>
    <row r="1223" spans="1:26" x14ac:dyDescent="0.2">
      <c r="A1223" s="12">
        <f t="shared" si="38"/>
        <v>1211</v>
      </c>
      <c r="E1223" s="10" t="str">
        <f t="shared" si="37"/>
        <v/>
      </c>
      <c r="I1223" s="53"/>
      <c r="N1223" s="8">
        <v>0</v>
      </c>
      <c r="Q1223" s="1"/>
      <c r="R1223" s="1"/>
      <c r="S1223" s="1"/>
      <c r="T1223" s="8"/>
      <c r="U1223" s="8"/>
      <c r="V1223" s="1"/>
      <c r="W1223" s="1"/>
      <c r="X1223" s="1"/>
      <c r="Z1223" s="8"/>
    </row>
    <row r="1224" spans="1:26" x14ac:dyDescent="0.2">
      <c r="A1224" s="12">
        <f t="shared" si="38"/>
        <v>1212</v>
      </c>
      <c r="E1224" s="10" t="str">
        <f t="shared" si="37"/>
        <v/>
      </c>
      <c r="I1224" s="53"/>
      <c r="N1224" s="8">
        <v>0</v>
      </c>
      <c r="Q1224" s="1"/>
      <c r="R1224" s="1"/>
      <c r="S1224" s="1"/>
      <c r="T1224" s="8"/>
      <c r="U1224" s="8"/>
      <c r="V1224" s="1"/>
      <c r="W1224" s="1"/>
      <c r="X1224" s="1"/>
      <c r="Z1224" s="8"/>
    </row>
    <row r="1225" spans="1:26" x14ac:dyDescent="0.2">
      <c r="A1225" s="12">
        <f t="shared" si="38"/>
        <v>1213</v>
      </c>
      <c r="E1225" s="10" t="str">
        <f t="shared" si="37"/>
        <v/>
      </c>
      <c r="I1225" s="53"/>
      <c r="N1225" s="8">
        <v>0</v>
      </c>
      <c r="Q1225" s="1"/>
      <c r="R1225" s="1"/>
      <c r="S1225" s="1"/>
      <c r="T1225" s="8"/>
      <c r="U1225" s="8"/>
      <c r="V1225" s="1"/>
      <c r="W1225" s="1"/>
      <c r="X1225" s="1"/>
      <c r="Z1225" s="8"/>
    </row>
    <row r="1226" spans="1:26" x14ac:dyDescent="0.2">
      <c r="A1226" s="12">
        <f t="shared" si="38"/>
        <v>1214</v>
      </c>
      <c r="E1226" s="10" t="str">
        <f t="shared" si="37"/>
        <v/>
      </c>
      <c r="I1226" s="53"/>
      <c r="N1226" s="8">
        <v>0</v>
      </c>
      <c r="Q1226" s="1"/>
      <c r="R1226" s="1"/>
      <c r="S1226" s="1"/>
      <c r="T1226" s="8"/>
      <c r="U1226" s="8"/>
      <c r="V1226" s="1"/>
      <c r="W1226" s="1"/>
      <c r="X1226" s="1"/>
      <c r="Z1226" s="8"/>
    </row>
    <row r="1227" spans="1:26" x14ac:dyDescent="0.2">
      <c r="A1227" s="12">
        <f t="shared" si="38"/>
        <v>1215</v>
      </c>
      <c r="E1227" s="10" t="str">
        <f t="shared" si="37"/>
        <v/>
      </c>
      <c r="I1227" s="53"/>
      <c r="N1227" s="8">
        <v>0</v>
      </c>
      <c r="Q1227" s="1"/>
      <c r="R1227" s="1"/>
      <c r="S1227" s="1"/>
      <c r="T1227" s="8"/>
      <c r="U1227" s="8"/>
      <c r="V1227" s="1"/>
      <c r="W1227" s="1"/>
      <c r="X1227" s="1"/>
      <c r="Z1227" s="8"/>
    </row>
    <row r="1228" spans="1:26" x14ac:dyDescent="0.2">
      <c r="A1228" s="12">
        <f t="shared" si="38"/>
        <v>1216</v>
      </c>
      <c r="E1228" s="10" t="str">
        <f t="shared" si="37"/>
        <v/>
      </c>
      <c r="I1228" s="53"/>
      <c r="N1228" s="8">
        <v>0</v>
      </c>
      <c r="Q1228" s="1"/>
      <c r="R1228" s="1"/>
      <c r="S1228" s="1"/>
      <c r="T1228" s="8"/>
      <c r="U1228" s="8"/>
      <c r="V1228" s="1"/>
      <c r="W1228" s="1"/>
      <c r="X1228" s="1"/>
      <c r="Z1228" s="8"/>
    </row>
    <row r="1229" spans="1:26" x14ac:dyDescent="0.2">
      <c r="A1229" s="12">
        <f t="shared" si="38"/>
        <v>1217</v>
      </c>
      <c r="E1229" s="10" t="str">
        <f t="shared" ref="E1229:E1292" si="39">IF($C$8&gt;=A1229,$E$1&amp;" "&amp;A1229,"")</f>
        <v/>
      </c>
      <c r="I1229" s="53"/>
      <c r="N1229" s="8">
        <v>0</v>
      </c>
      <c r="Q1229" s="1"/>
      <c r="R1229" s="1"/>
      <c r="S1229" s="1"/>
      <c r="T1229" s="8"/>
      <c r="U1229" s="8"/>
      <c r="V1229" s="1"/>
      <c r="W1229" s="1"/>
      <c r="X1229" s="1"/>
      <c r="Z1229" s="8"/>
    </row>
    <row r="1230" spans="1:26" x14ac:dyDescent="0.2">
      <c r="A1230" s="12">
        <f t="shared" si="38"/>
        <v>1218</v>
      </c>
      <c r="E1230" s="10" t="str">
        <f t="shared" si="39"/>
        <v/>
      </c>
      <c r="I1230" s="53"/>
      <c r="N1230" s="8">
        <v>0</v>
      </c>
      <c r="Q1230" s="1"/>
      <c r="R1230" s="1"/>
      <c r="S1230" s="1"/>
      <c r="T1230" s="8"/>
      <c r="U1230" s="8"/>
      <c r="V1230" s="1"/>
      <c r="W1230" s="1"/>
      <c r="X1230" s="1"/>
      <c r="Z1230" s="8"/>
    </row>
    <row r="1231" spans="1:26" x14ac:dyDescent="0.2">
      <c r="A1231" s="12">
        <f t="shared" ref="A1231:A1294" si="40">A1230+1</f>
        <v>1219</v>
      </c>
      <c r="E1231" s="10" t="str">
        <f t="shared" si="39"/>
        <v/>
      </c>
      <c r="I1231" s="53"/>
      <c r="N1231" s="8">
        <v>0</v>
      </c>
      <c r="Q1231" s="1"/>
      <c r="R1231" s="1"/>
      <c r="S1231" s="1"/>
      <c r="T1231" s="8"/>
      <c r="U1231" s="8"/>
      <c r="V1231" s="1"/>
      <c r="W1231" s="1"/>
      <c r="X1231" s="1"/>
      <c r="Z1231" s="8"/>
    </row>
    <row r="1232" spans="1:26" x14ac:dyDescent="0.2">
      <c r="A1232" s="12">
        <f t="shared" si="40"/>
        <v>1220</v>
      </c>
      <c r="E1232" s="10" t="str">
        <f t="shared" si="39"/>
        <v/>
      </c>
      <c r="I1232" s="53"/>
      <c r="N1232" s="8">
        <v>0</v>
      </c>
      <c r="Q1232" s="1"/>
      <c r="R1232" s="1"/>
      <c r="S1232" s="1"/>
      <c r="T1232" s="8"/>
      <c r="U1232" s="8"/>
      <c r="V1232" s="1"/>
      <c r="W1232" s="1"/>
      <c r="X1232" s="1"/>
      <c r="Z1232" s="8"/>
    </row>
    <row r="1233" spans="1:26" x14ac:dyDescent="0.2">
      <c r="A1233" s="12">
        <f t="shared" si="40"/>
        <v>1221</v>
      </c>
      <c r="E1233" s="10" t="str">
        <f t="shared" si="39"/>
        <v/>
      </c>
      <c r="I1233" s="53"/>
      <c r="N1233" s="8">
        <v>0</v>
      </c>
      <c r="Q1233" s="1"/>
      <c r="R1233" s="1"/>
      <c r="S1233" s="1"/>
      <c r="T1233" s="8"/>
      <c r="U1233" s="8"/>
      <c r="V1233" s="1"/>
      <c r="W1233" s="1"/>
      <c r="X1233" s="1"/>
      <c r="Z1233" s="8"/>
    </row>
    <row r="1234" spans="1:26" x14ac:dyDescent="0.2">
      <c r="A1234" s="12">
        <f t="shared" si="40"/>
        <v>1222</v>
      </c>
      <c r="E1234" s="10" t="str">
        <f t="shared" si="39"/>
        <v/>
      </c>
      <c r="I1234" s="53"/>
      <c r="N1234" s="8">
        <v>0</v>
      </c>
      <c r="Q1234" s="1"/>
      <c r="R1234" s="1"/>
      <c r="S1234" s="1"/>
      <c r="T1234" s="8"/>
      <c r="U1234" s="8"/>
      <c r="V1234" s="1"/>
      <c r="W1234" s="1"/>
      <c r="X1234" s="1"/>
      <c r="Z1234" s="8"/>
    </row>
    <row r="1235" spans="1:26" x14ac:dyDescent="0.2">
      <c r="A1235" s="12">
        <f t="shared" si="40"/>
        <v>1223</v>
      </c>
      <c r="E1235" s="10" t="str">
        <f t="shared" si="39"/>
        <v/>
      </c>
      <c r="I1235" s="53"/>
      <c r="N1235" s="8">
        <v>0</v>
      </c>
      <c r="Q1235" s="1"/>
      <c r="R1235" s="1"/>
      <c r="S1235" s="1"/>
      <c r="T1235" s="8"/>
      <c r="U1235" s="8"/>
      <c r="V1235" s="1"/>
      <c r="W1235" s="1"/>
      <c r="X1235" s="1"/>
      <c r="Z1235" s="8"/>
    </row>
    <row r="1236" spans="1:26" x14ac:dyDescent="0.2">
      <c r="A1236" s="12">
        <f t="shared" si="40"/>
        <v>1224</v>
      </c>
      <c r="E1236" s="10" t="str">
        <f t="shared" si="39"/>
        <v/>
      </c>
      <c r="I1236" s="53"/>
      <c r="N1236" s="8">
        <v>0</v>
      </c>
      <c r="Q1236" s="1"/>
      <c r="R1236" s="1"/>
      <c r="S1236" s="1"/>
      <c r="T1236" s="8"/>
      <c r="U1236" s="8"/>
      <c r="V1236" s="1"/>
      <c r="W1236" s="1"/>
      <c r="X1236" s="1"/>
      <c r="Z1236" s="8"/>
    </row>
    <row r="1237" spans="1:26" x14ac:dyDescent="0.2">
      <c r="A1237" s="12">
        <f t="shared" si="40"/>
        <v>1225</v>
      </c>
      <c r="E1237" s="10" t="str">
        <f t="shared" si="39"/>
        <v/>
      </c>
      <c r="I1237" s="53"/>
      <c r="N1237" s="8">
        <v>0</v>
      </c>
      <c r="Q1237" s="1"/>
      <c r="R1237" s="1"/>
      <c r="S1237" s="1"/>
      <c r="T1237" s="8"/>
      <c r="U1237" s="8"/>
      <c r="V1237" s="1"/>
      <c r="W1237" s="1"/>
      <c r="X1237" s="1"/>
      <c r="Z1237" s="8"/>
    </row>
    <row r="1238" spans="1:26" x14ac:dyDescent="0.2">
      <c r="A1238" s="12">
        <f t="shared" si="40"/>
        <v>1226</v>
      </c>
      <c r="E1238" s="10" t="str">
        <f t="shared" si="39"/>
        <v/>
      </c>
      <c r="I1238" s="53"/>
      <c r="N1238" s="8">
        <v>0</v>
      </c>
      <c r="Q1238" s="1"/>
      <c r="R1238" s="1"/>
      <c r="S1238" s="1"/>
      <c r="T1238" s="8"/>
      <c r="U1238" s="8"/>
      <c r="V1238" s="1"/>
      <c r="W1238" s="1"/>
      <c r="X1238" s="1"/>
      <c r="Z1238" s="8"/>
    </row>
    <row r="1239" spans="1:26" x14ac:dyDescent="0.2">
      <c r="A1239" s="12">
        <f t="shared" si="40"/>
        <v>1227</v>
      </c>
      <c r="E1239" s="10" t="str">
        <f t="shared" si="39"/>
        <v/>
      </c>
      <c r="I1239" s="53"/>
      <c r="N1239" s="8">
        <v>0</v>
      </c>
      <c r="Q1239" s="1"/>
      <c r="R1239" s="1"/>
      <c r="S1239" s="1"/>
      <c r="T1239" s="8"/>
      <c r="U1239" s="8"/>
      <c r="V1239" s="1"/>
      <c r="W1239" s="1"/>
      <c r="X1239" s="1"/>
      <c r="Z1239" s="8"/>
    </row>
    <row r="1240" spans="1:26" x14ac:dyDescent="0.2">
      <c r="A1240" s="12">
        <f t="shared" si="40"/>
        <v>1228</v>
      </c>
      <c r="E1240" s="10" t="str">
        <f t="shared" si="39"/>
        <v/>
      </c>
      <c r="I1240" s="53"/>
      <c r="N1240" s="8">
        <v>0</v>
      </c>
      <c r="Q1240" s="1"/>
      <c r="R1240" s="1"/>
      <c r="S1240" s="1"/>
      <c r="T1240" s="8"/>
      <c r="U1240" s="8"/>
      <c r="V1240" s="1"/>
      <c r="W1240" s="1"/>
      <c r="X1240" s="1"/>
      <c r="Z1240" s="8"/>
    </row>
    <row r="1241" spans="1:26" x14ac:dyDescent="0.2">
      <c r="A1241" s="12">
        <f t="shared" si="40"/>
        <v>1229</v>
      </c>
      <c r="E1241" s="10" t="str">
        <f t="shared" si="39"/>
        <v/>
      </c>
      <c r="I1241" s="53"/>
      <c r="N1241" s="8">
        <v>0</v>
      </c>
      <c r="Q1241" s="1"/>
      <c r="R1241" s="1"/>
      <c r="S1241" s="1"/>
      <c r="T1241" s="8"/>
      <c r="U1241" s="8"/>
      <c r="V1241" s="1"/>
      <c r="W1241" s="1"/>
      <c r="X1241" s="1"/>
      <c r="Z1241" s="8"/>
    </row>
    <row r="1242" spans="1:26" x14ac:dyDescent="0.2">
      <c r="A1242" s="12">
        <f t="shared" si="40"/>
        <v>1230</v>
      </c>
      <c r="E1242" s="10" t="str">
        <f t="shared" si="39"/>
        <v/>
      </c>
      <c r="I1242" s="53"/>
      <c r="N1242" s="8">
        <v>0</v>
      </c>
      <c r="Q1242" s="1"/>
      <c r="R1242" s="1"/>
      <c r="S1242" s="1"/>
      <c r="T1242" s="8"/>
      <c r="U1242" s="8"/>
      <c r="V1242" s="1"/>
      <c r="W1242" s="1"/>
      <c r="X1242" s="1"/>
      <c r="Z1242" s="8"/>
    </row>
    <row r="1243" spans="1:26" x14ac:dyDescent="0.2">
      <c r="A1243" s="12">
        <f t="shared" si="40"/>
        <v>1231</v>
      </c>
      <c r="E1243" s="10" t="str">
        <f t="shared" si="39"/>
        <v/>
      </c>
      <c r="I1243" s="53"/>
      <c r="N1243" s="8">
        <v>0</v>
      </c>
      <c r="Q1243" s="1"/>
      <c r="R1243" s="1"/>
      <c r="S1243" s="1"/>
      <c r="T1243" s="8"/>
      <c r="U1243" s="8"/>
      <c r="V1243" s="1"/>
      <c r="W1243" s="1"/>
      <c r="X1243" s="1"/>
      <c r="Z1243" s="8"/>
    </row>
    <row r="1244" spans="1:26" x14ac:dyDescent="0.2">
      <c r="A1244" s="12">
        <f t="shared" si="40"/>
        <v>1232</v>
      </c>
      <c r="E1244" s="10" t="str">
        <f t="shared" si="39"/>
        <v/>
      </c>
      <c r="I1244" s="53"/>
      <c r="N1244" s="8">
        <v>0</v>
      </c>
      <c r="Q1244" s="1"/>
      <c r="R1244" s="1"/>
      <c r="S1244" s="1"/>
      <c r="T1244" s="8"/>
      <c r="U1244" s="8"/>
      <c r="V1244" s="1"/>
      <c r="W1244" s="1"/>
      <c r="X1244" s="1"/>
      <c r="Z1244" s="8"/>
    </row>
    <row r="1245" spans="1:26" x14ac:dyDescent="0.2">
      <c r="A1245" s="12">
        <f t="shared" si="40"/>
        <v>1233</v>
      </c>
      <c r="E1245" s="10" t="str">
        <f t="shared" si="39"/>
        <v/>
      </c>
      <c r="I1245" s="53"/>
      <c r="N1245" s="8">
        <v>0</v>
      </c>
      <c r="Q1245" s="1"/>
      <c r="R1245" s="1"/>
      <c r="S1245" s="1"/>
      <c r="T1245" s="8"/>
      <c r="U1245" s="8"/>
      <c r="V1245" s="1"/>
      <c r="W1245" s="1"/>
      <c r="X1245" s="1"/>
      <c r="Z1245" s="8"/>
    </row>
    <row r="1246" spans="1:26" x14ac:dyDescent="0.2">
      <c r="A1246" s="12">
        <f t="shared" si="40"/>
        <v>1234</v>
      </c>
      <c r="E1246" s="10" t="str">
        <f t="shared" si="39"/>
        <v/>
      </c>
      <c r="I1246" s="53"/>
      <c r="N1246" s="8">
        <v>0</v>
      </c>
      <c r="Q1246" s="1"/>
      <c r="R1246" s="1"/>
      <c r="S1246" s="1"/>
      <c r="T1246" s="8"/>
      <c r="U1246" s="8"/>
      <c r="V1246" s="1"/>
      <c r="W1246" s="1"/>
      <c r="X1246" s="1"/>
      <c r="Z1246" s="8"/>
    </row>
    <row r="1247" spans="1:26" x14ac:dyDescent="0.2">
      <c r="A1247" s="12">
        <f t="shared" si="40"/>
        <v>1235</v>
      </c>
      <c r="E1247" s="10" t="str">
        <f t="shared" si="39"/>
        <v/>
      </c>
      <c r="I1247" s="53"/>
      <c r="N1247" s="8">
        <v>0</v>
      </c>
      <c r="Q1247" s="1"/>
      <c r="R1247" s="1"/>
      <c r="S1247" s="1"/>
      <c r="T1247" s="8"/>
      <c r="U1247" s="8"/>
      <c r="V1247" s="1"/>
      <c r="W1247" s="1"/>
      <c r="X1247" s="1"/>
      <c r="Z1247" s="8"/>
    </row>
    <row r="1248" spans="1:26" x14ac:dyDescent="0.2">
      <c r="A1248" s="12">
        <f t="shared" si="40"/>
        <v>1236</v>
      </c>
      <c r="E1248" s="10" t="str">
        <f t="shared" si="39"/>
        <v/>
      </c>
      <c r="I1248" s="53"/>
      <c r="N1248" s="8">
        <v>0</v>
      </c>
      <c r="Q1248" s="1"/>
      <c r="R1248" s="1"/>
      <c r="S1248" s="1"/>
      <c r="T1248" s="8"/>
      <c r="U1248" s="8"/>
      <c r="V1248" s="1"/>
      <c r="W1248" s="1"/>
      <c r="X1248" s="1"/>
      <c r="Z1248" s="8"/>
    </row>
    <row r="1249" spans="1:26" x14ac:dyDescent="0.2">
      <c r="A1249" s="12">
        <f t="shared" si="40"/>
        <v>1237</v>
      </c>
      <c r="E1249" s="10" t="str">
        <f t="shared" si="39"/>
        <v/>
      </c>
      <c r="I1249" s="53"/>
      <c r="N1249" s="8">
        <v>0</v>
      </c>
      <c r="Q1249" s="1"/>
      <c r="R1249" s="1"/>
      <c r="S1249" s="1"/>
      <c r="T1249" s="8"/>
      <c r="U1249" s="8"/>
      <c r="V1249" s="1"/>
      <c r="W1249" s="1"/>
      <c r="X1249" s="1"/>
      <c r="Z1249" s="8"/>
    </row>
    <row r="1250" spans="1:26" x14ac:dyDescent="0.2">
      <c r="A1250" s="12">
        <f t="shared" si="40"/>
        <v>1238</v>
      </c>
      <c r="E1250" s="10" t="str">
        <f t="shared" si="39"/>
        <v/>
      </c>
      <c r="I1250" s="53"/>
      <c r="N1250" s="8">
        <v>0</v>
      </c>
      <c r="Q1250" s="1"/>
      <c r="R1250" s="1"/>
      <c r="S1250" s="1"/>
      <c r="T1250" s="8"/>
      <c r="U1250" s="8"/>
      <c r="V1250" s="1"/>
      <c r="W1250" s="1"/>
      <c r="X1250" s="1"/>
      <c r="Z1250" s="8"/>
    </row>
    <row r="1251" spans="1:26" x14ac:dyDescent="0.2">
      <c r="A1251" s="12">
        <f t="shared" si="40"/>
        <v>1239</v>
      </c>
      <c r="E1251" s="10" t="str">
        <f t="shared" si="39"/>
        <v/>
      </c>
      <c r="I1251" s="53"/>
      <c r="N1251" s="8">
        <v>0</v>
      </c>
      <c r="Q1251" s="1"/>
      <c r="R1251" s="1"/>
      <c r="S1251" s="1"/>
      <c r="T1251" s="8"/>
      <c r="U1251" s="8"/>
      <c r="V1251" s="1"/>
      <c r="W1251" s="1"/>
      <c r="X1251" s="1"/>
      <c r="Z1251" s="8"/>
    </row>
    <row r="1252" spans="1:26" x14ac:dyDescent="0.2">
      <c r="A1252" s="12">
        <f t="shared" si="40"/>
        <v>1240</v>
      </c>
      <c r="E1252" s="10" t="str">
        <f t="shared" si="39"/>
        <v/>
      </c>
      <c r="I1252" s="53"/>
      <c r="N1252" s="8">
        <v>0</v>
      </c>
      <c r="Q1252" s="1"/>
      <c r="R1252" s="1"/>
      <c r="S1252" s="1"/>
      <c r="T1252" s="8"/>
      <c r="U1252" s="8"/>
      <c r="V1252" s="1"/>
      <c r="W1252" s="1"/>
      <c r="X1252" s="1"/>
      <c r="Z1252" s="8"/>
    </row>
    <row r="1253" spans="1:26" x14ac:dyDescent="0.2">
      <c r="A1253" s="12">
        <f t="shared" si="40"/>
        <v>1241</v>
      </c>
      <c r="E1253" s="10" t="str">
        <f t="shared" si="39"/>
        <v/>
      </c>
      <c r="I1253" s="53"/>
      <c r="N1253" s="8">
        <v>0</v>
      </c>
      <c r="Q1253" s="1"/>
      <c r="R1253" s="1"/>
      <c r="S1253" s="1"/>
      <c r="T1253" s="8"/>
      <c r="U1253" s="8"/>
      <c r="V1253" s="1"/>
      <c r="W1253" s="1"/>
      <c r="X1253" s="1"/>
      <c r="Z1253" s="8"/>
    </row>
    <row r="1254" spans="1:26" x14ac:dyDescent="0.2">
      <c r="A1254" s="12">
        <f t="shared" si="40"/>
        <v>1242</v>
      </c>
      <c r="E1254" s="10" t="str">
        <f t="shared" si="39"/>
        <v/>
      </c>
      <c r="I1254" s="53"/>
      <c r="N1254" s="8">
        <v>0</v>
      </c>
      <c r="Q1254" s="1"/>
      <c r="R1254" s="1"/>
      <c r="S1254" s="1"/>
      <c r="T1254" s="8"/>
      <c r="U1254" s="8"/>
      <c r="V1254" s="1"/>
      <c r="W1254" s="1"/>
      <c r="X1254" s="1"/>
      <c r="Z1254" s="8"/>
    </row>
    <row r="1255" spans="1:26" x14ac:dyDescent="0.2">
      <c r="A1255" s="12">
        <f t="shared" si="40"/>
        <v>1243</v>
      </c>
      <c r="E1255" s="10" t="str">
        <f t="shared" si="39"/>
        <v/>
      </c>
      <c r="I1255" s="53"/>
      <c r="N1255" s="8">
        <v>0</v>
      </c>
      <c r="Q1255" s="1"/>
      <c r="R1255" s="1"/>
      <c r="S1255" s="1"/>
      <c r="T1255" s="8"/>
      <c r="U1255" s="8"/>
      <c r="V1255" s="1"/>
      <c r="W1255" s="1"/>
      <c r="X1255" s="1"/>
      <c r="Z1255" s="8"/>
    </row>
    <row r="1256" spans="1:26" x14ac:dyDescent="0.2">
      <c r="A1256" s="12">
        <f t="shared" si="40"/>
        <v>1244</v>
      </c>
      <c r="E1256" s="10" t="str">
        <f t="shared" si="39"/>
        <v/>
      </c>
      <c r="I1256" s="53"/>
      <c r="N1256" s="8">
        <v>0</v>
      </c>
      <c r="Q1256" s="1"/>
      <c r="R1256" s="1"/>
      <c r="S1256" s="1"/>
      <c r="T1256" s="8"/>
      <c r="U1256" s="8"/>
      <c r="V1256" s="1"/>
      <c r="W1256" s="1"/>
      <c r="X1256" s="1"/>
      <c r="Z1256" s="8"/>
    </row>
    <row r="1257" spans="1:26" x14ac:dyDescent="0.2">
      <c r="A1257" s="12">
        <f t="shared" si="40"/>
        <v>1245</v>
      </c>
      <c r="E1257" s="10" t="str">
        <f t="shared" si="39"/>
        <v/>
      </c>
      <c r="I1257" s="53"/>
      <c r="N1257" s="8">
        <v>0</v>
      </c>
      <c r="Q1257" s="1"/>
      <c r="R1257" s="1"/>
      <c r="S1257" s="1"/>
      <c r="T1257" s="8"/>
      <c r="U1257" s="8"/>
      <c r="V1257" s="1"/>
      <c r="W1257" s="1"/>
      <c r="X1257" s="1"/>
      <c r="Z1257" s="8"/>
    </row>
    <row r="1258" spans="1:26" x14ac:dyDescent="0.2">
      <c r="A1258" s="12">
        <f t="shared" si="40"/>
        <v>1246</v>
      </c>
      <c r="E1258" s="10" t="str">
        <f t="shared" si="39"/>
        <v/>
      </c>
      <c r="I1258" s="53"/>
      <c r="N1258" s="8">
        <v>0</v>
      </c>
      <c r="Q1258" s="1"/>
      <c r="R1258" s="1"/>
      <c r="S1258" s="1"/>
      <c r="T1258" s="8"/>
      <c r="U1258" s="8"/>
      <c r="V1258" s="1"/>
      <c r="W1258" s="1"/>
      <c r="X1258" s="1"/>
      <c r="Z1258" s="8"/>
    </row>
    <row r="1259" spans="1:26" x14ac:dyDescent="0.2">
      <c r="A1259" s="12">
        <f t="shared" si="40"/>
        <v>1247</v>
      </c>
      <c r="E1259" s="10" t="str">
        <f t="shared" si="39"/>
        <v/>
      </c>
      <c r="I1259" s="53"/>
      <c r="N1259" s="8">
        <v>0</v>
      </c>
      <c r="Q1259" s="1"/>
      <c r="R1259" s="1"/>
      <c r="S1259" s="1"/>
      <c r="T1259" s="8"/>
      <c r="U1259" s="8"/>
      <c r="V1259" s="1"/>
      <c r="W1259" s="1"/>
      <c r="X1259" s="1"/>
      <c r="Z1259" s="8"/>
    </row>
    <row r="1260" spans="1:26" x14ac:dyDescent="0.2">
      <c r="A1260" s="12">
        <f t="shared" si="40"/>
        <v>1248</v>
      </c>
      <c r="E1260" s="10" t="str">
        <f t="shared" si="39"/>
        <v/>
      </c>
      <c r="I1260" s="53"/>
      <c r="N1260" s="8">
        <v>0</v>
      </c>
      <c r="Q1260" s="1"/>
      <c r="R1260" s="1"/>
      <c r="S1260" s="1"/>
      <c r="T1260" s="8"/>
      <c r="U1260" s="8"/>
      <c r="V1260" s="1"/>
      <c r="W1260" s="1"/>
      <c r="X1260" s="1"/>
      <c r="Z1260" s="8"/>
    </row>
    <row r="1261" spans="1:26" x14ac:dyDescent="0.2">
      <c r="A1261" s="12">
        <f t="shared" si="40"/>
        <v>1249</v>
      </c>
      <c r="E1261" s="10" t="str">
        <f t="shared" si="39"/>
        <v/>
      </c>
      <c r="I1261" s="53"/>
      <c r="N1261" s="8">
        <v>0</v>
      </c>
      <c r="Q1261" s="1"/>
      <c r="R1261" s="1"/>
      <c r="S1261" s="1"/>
      <c r="T1261" s="8"/>
      <c r="U1261" s="8"/>
      <c r="V1261" s="1"/>
      <c r="W1261" s="1"/>
      <c r="X1261" s="1"/>
      <c r="Z1261" s="8"/>
    </row>
    <row r="1262" spans="1:26" x14ac:dyDescent="0.2">
      <c r="A1262" s="12">
        <f t="shared" si="40"/>
        <v>1250</v>
      </c>
      <c r="E1262" s="10" t="str">
        <f t="shared" si="39"/>
        <v/>
      </c>
      <c r="I1262" s="53"/>
      <c r="N1262" s="8">
        <v>0</v>
      </c>
      <c r="Q1262" s="1"/>
      <c r="R1262" s="1"/>
      <c r="S1262" s="1"/>
      <c r="T1262" s="8"/>
      <c r="U1262" s="8"/>
      <c r="V1262" s="1"/>
      <c r="W1262" s="1"/>
      <c r="X1262" s="1"/>
      <c r="Z1262" s="8"/>
    </row>
    <row r="1263" spans="1:26" x14ac:dyDescent="0.2">
      <c r="A1263" s="12">
        <f t="shared" si="40"/>
        <v>1251</v>
      </c>
      <c r="E1263" s="10" t="str">
        <f t="shared" si="39"/>
        <v/>
      </c>
      <c r="I1263" s="53"/>
      <c r="N1263" s="8">
        <v>0</v>
      </c>
      <c r="Q1263" s="1"/>
      <c r="R1263" s="1"/>
      <c r="S1263" s="1"/>
      <c r="T1263" s="8"/>
      <c r="U1263" s="8"/>
      <c r="V1263" s="1"/>
      <c r="W1263" s="1"/>
      <c r="X1263" s="1"/>
      <c r="Z1263" s="8"/>
    </row>
    <row r="1264" spans="1:26" x14ac:dyDescent="0.2">
      <c r="A1264" s="12">
        <f t="shared" si="40"/>
        <v>1252</v>
      </c>
      <c r="E1264" s="10" t="str">
        <f t="shared" si="39"/>
        <v/>
      </c>
      <c r="I1264" s="53"/>
      <c r="N1264" s="8">
        <v>0</v>
      </c>
      <c r="Q1264" s="1"/>
      <c r="R1264" s="1"/>
      <c r="S1264" s="1"/>
      <c r="T1264" s="8"/>
      <c r="U1264" s="8"/>
      <c r="V1264" s="1"/>
      <c r="W1264" s="1"/>
      <c r="X1264" s="1"/>
      <c r="Z1264" s="8"/>
    </row>
    <row r="1265" spans="1:26" x14ac:dyDescent="0.2">
      <c r="A1265" s="12">
        <f t="shared" si="40"/>
        <v>1253</v>
      </c>
      <c r="E1265" s="10" t="str">
        <f t="shared" si="39"/>
        <v/>
      </c>
      <c r="I1265" s="53"/>
      <c r="N1265" s="8">
        <v>0</v>
      </c>
      <c r="Q1265" s="1"/>
      <c r="R1265" s="1"/>
      <c r="S1265" s="1"/>
      <c r="T1265" s="8"/>
      <c r="U1265" s="8"/>
      <c r="V1265" s="1"/>
      <c r="W1265" s="1"/>
      <c r="X1265" s="1"/>
      <c r="Z1265" s="8"/>
    </row>
    <row r="1266" spans="1:26" x14ac:dyDescent="0.2">
      <c r="A1266" s="12">
        <f t="shared" si="40"/>
        <v>1254</v>
      </c>
      <c r="E1266" s="10" t="str">
        <f t="shared" si="39"/>
        <v/>
      </c>
      <c r="I1266" s="53"/>
      <c r="N1266" s="8">
        <v>0</v>
      </c>
      <c r="Q1266" s="1"/>
      <c r="R1266" s="1"/>
      <c r="S1266" s="1"/>
      <c r="T1266" s="8"/>
      <c r="U1266" s="8"/>
      <c r="V1266" s="1"/>
      <c r="W1266" s="1"/>
      <c r="X1266" s="1"/>
      <c r="Z1266" s="8"/>
    </row>
    <row r="1267" spans="1:26" x14ac:dyDescent="0.2">
      <c r="A1267" s="12">
        <f t="shared" si="40"/>
        <v>1255</v>
      </c>
      <c r="E1267" s="10" t="str">
        <f t="shared" si="39"/>
        <v/>
      </c>
      <c r="I1267" s="53"/>
      <c r="N1267" s="8">
        <v>0</v>
      </c>
      <c r="Q1267" s="1"/>
      <c r="R1267" s="1"/>
      <c r="S1267" s="1"/>
      <c r="T1267" s="8"/>
      <c r="U1267" s="8"/>
      <c r="V1267" s="1"/>
      <c r="W1267" s="1"/>
      <c r="X1267" s="1"/>
      <c r="Z1267" s="8"/>
    </row>
    <row r="1268" spans="1:26" x14ac:dyDescent="0.2">
      <c r="A1268" s="12">
        <f t="shared" si="40"/>
        <v>1256</v>
      </c>
      <c r="E1268" s="10" t="str">
        <f t="shared" si="39"/>
        <v/>
      </c>
      <c r="I1268" s="53"/>
      <c r="N1268" s="8">
        <v>0</v>
      </c>
      <c r="Q1268" s="1"/>
      <c r="R1268" s="1"/>
      <c r="S1268" s="1"/>
      <c r="T1268" s="8"/>
      <c r="U1268" s="8"/>
      <c r="V1268" s="1"/>
      <c r="W1268" s="1"/>
      <c r="X1268" s="1"/>
      <c r="Z1268" s="8"/>
    </row>
    <row r="1269" spans="1:26" x14ac:dyDescent="0.2">
      <c r="A1269" s="12">
        <f t="shared" si="40"/>
        <v>1257</v>
      </c>
      <c r="E1269" s="10" t="str">
        <f t="shared" si="39"/>
        <v/>
      </c>
      <c r="I1269" s="53"/>
      <c r="N1269" s="8">
        <v>0</v>
      </c>
      <c r="Q1269" s="1"/>
      <c r="R1269" s="1"/>
      <c r="S1269" s="1"/>
      <c r="T1269" s="8"/>
      <c r="U1269" s="8"/>
      <c r="V1269" s="1"/>
      <c r="W1269" s="1"/>
      <c r="X1269" s="1"/>
      <c r="Z1269" s="8"/>
    </row>
    <row r="1270" spans="1:26" x14ac:dyDescent="0.2">
      <c r="A1270" s="12">
        <f t="shared" si="40"/>
        <v>1258</v>
      </c>
      <c r="E1270" s="10" t="str">
        <f t="shared" si="39"/>
        <v/>
      </c>
      <c r="I1270" s="53"/>
      <c r="N1270" s="8">
        <v>0</v>
      </c>
      <c r="Q1270" s="1"/>
      <c r="R1270" s="1"/>
      <c r="S1270" s="1"/>
      <c r="T1270" s="8"/>
      <c r="U1270" s="8"/>
      <c r="V1270" s="1"/>
      <c r="W1270" s="1"/>
      <c r="X1270" s="1"/>
      <c r="Z1270" s="8"/>
    </row>
    <row r="1271" spans="1:26" x14ac:dyDescent="0.2">
      <c r="A1271" s="12">
        <f t="shared" si="40"/>
        <v>1259</v>
      </c>
      <c r="E1271" s="10" t="str">
        <f t="shared" si="39"/>
        <v/>
      </c>
      <c r="I1271" s="53"/>
      <c r="N1271" s="8">
        <v>0</v>
      </c>
      <c r="Q1271" s="1"/>
      <c r="R1271" s="1"/>
      <c r="S1271" s="1"/>
      <c r="T1271" s="8"/>
      <c r="U1271" s="8"/>
      <c r="V1271" s="1"/>
      <c r="W1271" s="1"/>
      <c r="X1271" s="1"/>
      <c r="Z1271" s="8"/>
    </row>
    <row r="1272" spans="1:26" x14ac:dyDescent="0.2">
      <c r="A1272" s="12">
        <f t="shared" si="40"/>
        <v>1260</v>
      </c>
      <c r="E1272" s="10" t="str">
        <f t="shared" si="39"/>
        <v/>
      </c>
      <c r="I1272" s="53"/>
      <c r="N1272" s="8">
        <v>0</v>
      </c>
      <c r="Q1272" s="1"/>
      <c r="R1272" s="1"/>
      <c r="S1272" s="1"/>
      <c r="T1272" s="8"/>
      <c r="U1272" s="8"/>
      <c r="V1272" s="1"/>
      <c r="W1272" s="1"/>
      <c r="X1272" s="1"/>
      <c r="Z1272" s="8"/>
    </row>
    <row r="1273" spans="1:26" x14ac:dyDescent="0.2">
      <c r="A1273" s="12">
        <f t="shared" si="40"/>
        <v>1261</v>
      </c>
      <c r="E1273" s="10" t="str">
        <f t="shared" si="39"/>
        <v/>
      </c>
      <c r="I1273" s="53"/>
      <c r="N1273" s="8">
        <v>0</v>
      </c>
      <c r="Q1273" s="1"/>
      <c r="R1273" s="1"/>
      <c r="S1273" s="1"/>
      <c r="T1273" s="8"/>
      <c r="U1273" s="8"/>
      <c r="V1273" s="1"/>
      <c r="W1273" s="1"/>
      <c r="X1273" s="1"/>
      <c r="Z1273" s="8"/>
    </row>
    <row r="1274" spans="1:26" x14ac:dyDescent="0.2">
      <c r="A1274" s="12">
        <f t="shared" si="40"/>
        <v>1262</v>
      </c>
      <c r="E1274" s="10" t="str">
        <f t="shared" si="39"/>
        <v/>
      </c>
      <c r="I1274" s="53"/>
      <c r="N1274" s="8">
        <v>0</v>
      </c>
      <c r="Q1274" s="1"/>
      <c r="R1274" s="1"/>
      <c r="S1274" s="1"/>
      <c r="T1274" s="8"/>
      <c r="U1274" s="8"/>
      <c r="V1274" s="1"/>
      <c r="W1274" s="1"/>
      <c r="X1274" s="1"/>
      <c r="Z1274" s="8"/>
    </row>
    <row r="1275" spans="1:26" x14ac:dyDescent="0.2">
      <c r="A1275" s="12">
        <f t="shared" si="40"/>
        <v>1263</v>
      </c>
      <c r="E1275" s="10" t="str">
        <f t="shared" si="39"/>
        <v/>
      </c>
      <c r="I1275" s="53"/>
      <c r="N1275" s="8">
        <v>0</v>
      </c>
      <c r="Q1275" s="1"/>
      <c r="R1275" s="1"/>
      <c r="S1275" s="1"/>
      <c r="T1275" s="8"/>
      <c r="U1275" s="8"/>
      <c r="V1275" s="1"/>
      <c r="W1275" s="1"/>
      <c r="X1275" s="1"/>
      <c r="Z1275" s="8"/>
    </row>
    <row r="1276" spans="1:26" x14ac:dyDescent="0.2">
      <c r="A1276" s="12">
        <f t="shared" si="40"/>
        <v>1264</v>
      </c>
      <c r="E1276" s="10" t="str">
        <f t="shared" si="39"/>
        <v/>
      </c>
      <c r="I1276" s="53"/>
      <c r="N1276" s="8">
        <v>0</v>
      </c>
      <c r="Q1276" s="1"/>
      <c r="R1276" s="1"/>
      <c r="S1276" s="1"/>
      <c r="T1276" s="8"/>
      <c r="U1276" s="8"/>
      <c r="V1276" s="1"/>
      <c r="W1276" s="1"/>
      <c r="X1276" s="1"/>
      <c r="Z1276" s="8"/>
    </row>
    <row r="1277" spans="1:26" x14ac:dyDescent="0.2">
      <c r="A1277" s="12">
        <f t="shared" si="40"/>
        <v>1265</v>
      </c>
      <c r="E1277" s="10" t="str">
        <f t="shared" si="39"/>
        <v/>
      </c>
      <c r="I1277" s="53"/>
      <c r="N1277" s="8">
        <v>0</v>
      </c>
      <c r="Q1277" s="1"/>
      <c r="R1277" s="1"/>
      <c r="S1277" s="1"/>
      <c r="T1277" s="8"/>
      <c r="U1277" s="8"/>
      <c r="V1277" s="1"/>
      <c r="W1277" s="1"/>
      <c r="X1277" s="1"/>
      <c r="Z1277" s="8"/>
    </row>
    <row r="1278" spans="1:26" x14ac:dyDescent="0.2">
      <c r="A1278" s="12">
        <f t="shared" si="40"/>
        <v>1266</v>
      </c>
      <c r="E1278" s="10" t="str">
        <f t="shared" si="39"/>
        <v/>
      </c>
      <c r="I1278" s="53"/>
      <c r="N1278" s="8">
        <v>0</v>
      </c>
      <c r="Q1278" s="1"/>
      <c r="R1278" s="1"/>
      <c r="S1278" s="1"/>
      <c r="T1278" s="8"/>
      <c r="U1278" s="8"/>
      <c r="V1278" s="1"/>
      <c r="W1278" s="1"/>
      <c r="X1278" s="1"/>
      <c r="Z1278" s="8"/>
    </row>
    <row r="1279" spans="1:26" x14ac:dyDescent="0.2">
      <c r="A1279" s="12">
        <f t="shared" si="40"/>
        <v>1267</v>
      </c>
      <c r="E1279" s="10" t="str">
        <f t="shared" si="39"/>
        <v/>
      </c>
      <c r="I1279" s="53"/>
      <c r="N1279" s="8">
        <v>0</v>
      </c>
      <c r="Q1279" s="1"/>
      <c r="R1279" s="1"/>
      <c r="S1279" s="1"/>
      <c r="T1279" s="8"/>
      <c r="U1279" s="8"/>
      <c r="V1279" s="1"/>
      <c r="W1279" s="1"/>
      <c r="X1279" s="1"/>
      <c r="Z1279" s="8"/>
    </row>
    <row r="1280" spans="1:26" x14ac:dyDescent="0.2">
      <c r="A1280" s="12">
        <f t="shared" si="40"/>
        <v>1268</v>
      </c>
      <c r="E1280" s="10" t="str">
        <f t="shared" si="39"/>
        <v/>
      </c>
      <c r="I1280" s="53"/>
      <c r="N1280" s="8">
        <v>0</v>
      </c>
      <c r="Q1280" s="1"/>
      <c r="R1280" s="1"/>
      <c r="S1280" s="1"/>
      <c r="T1280" s="8"/>
      <c r="U1280" s="8"/>
      <c r="V1280" s="1"/>
      <c r="W1280" s="1"/>
      <c r="X1280" s="1"/>
      <c r="Z1280" s="8"/>
    </row>
    <row r="1281" spans="1:26" x14ac:dyDescent="0.2">
      <c r="A1281" s="12">
        <f t="shared" si="40"/>
        <v>1269</v>
      </c>
      <c r="E1281" s="10" t="str">
        <f t="shared" si="39"/>
        <v/>
      </c>
      <c r="I1281" s="53"/>
      <c r="N1281" s="8">
        <v>0</v>
      </c>
      <c r="Q1281" s="1"/>
      <c r="R1281" s="1"/>
      <c r="S1281" s="1"/>
      <c r="T1281" s="8"/>
      <c r="U1281" s="8"/>
      <c r="V1281" s="1"/>
      <c r="W1281" s="1"/>
      <c r="X1281" s="1"/>
      <c r="Z1281" s="8"/>
    </row>
    <row r="1282" spans="1:26" x14ac:dyDescent="0.2">
      <c r="A1282" s="12">
        <f t="shared" si="40"/>
        <v>1270</v>
      </c>
      <c r="E1282" s="10" t="str">
        <f t="shared" si="39"/>
        <v/>
      </c>
      <c r="I1282" s="53"/>
      <c r="N1282" s="8">
        <v>0</v>
      </c>
      <c r="Q1282" s="1"/>
      <c r="R1282" s="1"/>
      <c r="S1282" s="1"/>
      <c r="T1282" s="8"/>
      <c r="U1282" s="8"/>
      <c r="V1282" s="1"/>
      <c r="W1282" s="1"/>
      <c r="X1282" s="1"/>
      <c r="Z1282" s="8"/>
    </row>
    <row r="1283" spans="1:26" x14ac:dyDescent="0.2">
      <c r="A1283" s="12">
        <f t="shared" si="40"/>
        <v>1271</v>
      </c>
      <c r="E1283" s="10" t="str">
        <f t="shared" si="39"/>
        <v/>
      </c>
      <c r="I1283" s="53"/>
      <c r="N1283" s="8">
        <v>0</v>
      </c>
      <c r="Q1283" s="1"/>
      <c r="R1283" s="1"/>
      <c r="S1283" s="1"/>
      <c r="T1283" s="8"/>
      <c r="U1283" s="8"/>
      <c r="V1283" s="1"/>
      <c r="W1283" s="1"/>
      <c r="X1283" s="1"/>
      <c r="Z1283" s="8"/>
    </row>
    <row r="1284" spans="1:26" x14ac:dyDescent="0.2">
      <c r="A1284" s="12">
        <f t="shared" si="40"/>
        <v>1272</v>
      </c>
      <c r="E1284" s="10" t="str">
        <f t="shared" si="39"/>
        <v/>
      </c>
      <c r="I1284" s="53"/>
      <c r="N1284" s="8">
        <v>0</v>
      </c>
      <c r="Q1284" s="1"/>
      <c r="R1284" s="1"/>
      <c r="S1284" s="1"/>
      <c r="T1284" s="8"/>
      <c r="U1284" s="8"/>
      <c r="V1284" s="1"/>
      <c r="W1284" s="1"/>
      <c r="X1284" s="1"/>
      <c r="Z1284" s="8"/>
    </row>
    <row r="1285" spans="1:26" x14ac:dyDescent="0.2">
      <c r="A1285" s="12">
        <f t="shared" si="40"/>
        <v>1273</v>
      </c>
      <c r="E1285" s="10" t="str">
        <f t="shared" si="39"/>
        <v/>
      </c>
      <c r="I1285" s="53"/>
      <c r="N1285" s="8">
        <v>0</v>
      </c>
      <c r="Q1285" s="1"/>
      <c r="R1285" s="1"/>
      <c r="S1285" s="1"/>
      <c r="T1285" s="8"/>
      <c r="U1285" s="8"/>
      <c r="V1285" s="1"/>
      <c r="W1285" s="1"/>
      <c r="X1285" s="1"/>
      <c r="Z1285" s="8"/>
    </row>
    <row r="1286" spans="1:26" x14ac:dyDescent="0.2">
      <c r="A1286" s="12">
        <f t="shared" si="40"/>
        <v>1274</v>
      </c>
      <c r="E1286" s="10" t="str">
        <f t="shared" si="39"/>
        <v/>
      </c>
      <c r="I1286" s="53"/>
      <c r="N1286" s="8">
        <v>0</v>
      </c>
      <c r="Q1286" s="1"/>
      <c r="R1286" s="1"/>
      <c r="S1286" s="1"/>
      <c r="T1286" s="8"/>
      <c r="U1286" s="8"/>
      <c r="V1286" s="1"/>
      <c r="W1286" s="1"/>
      <c r="X1286" s="1"/>
      <c r="Z1286" s="8"/>
    </row>
    <row r="1287" spans="1:26" x14ac:dyDescent="0.2">
      <c r="A1287" s="12">
        <f t="shared" si="40"/>
        <v>1275</v>
      </c>
      <c r="E1287" s="10" t="str">
        <f t="shared" si="39"/>
        <v/>
      </c>
      <c r="I1287" s="53"/>
      <c r="N1287" s="8">
        <v>0</v>
      </c>
      <c r="Q1287" s="1"/>
      <c r="R1287" s="1"/>
      <c r="S1287" s="1"/>
      <c r="T1287" s="8"/>
      <c r="U1287" s="8"/>
      <c r="V1287" s="1"/>
      <c r="W1287" s="1"/>
      <c r="X1287" s="1"/>
      <c r="Z1287" s="8"/>
    </row>
    <row r="1288" spans="1:26" x14ac:dyDescent="0.2">
      <c r="A1288" s="12">
        <f t="shared" si="40"/>
        <v>1276</v>
      </c>
      <c r="E1288" s="10" t="str">
        <f t="shared" si="39"/>
        <v/>
      </c>
      <c r="I1288" s="53"/>
      <c r="N1288" s="8">
        <v>0</v>
      </c>
      <c r="Q1288" s="1"/>
      <c r="R1288" s="1"/>
      <c r="S1288" s="1"/>
      <c r="T1288" s="8"/>
      <c r="U1288" s="8"/>
      <c r="V1288" s="1"/>
      <c r="W1288" s="1"/>
      <c r="X1288" s="1"/>
      <c r="Z1288" s="8"/>
    </row>
    <row r="1289" spans="1:26" x14ac:dyDescent="0.2">
      <c r="A1289" s="12">
        <f t="shared" si="40"/>
        <v>1277</v>
      </c>
      <c r="E1289" s="10" t="str">
        <f t="shared" si="39"/>
        <v/>
      </c>
      <c r="I1289" s="53"/>
      <c r="N1289" s="8">
        <v>0</v>
      </c>
      <c r="Q1289" s="1"/>
      <c r="R1289" s="1"/>
      <c r="S1289" s="1"/>
      <c r="T1289" s="8"/>
      <c r="U1289" s="8"/>
      <c r="V1289" s="1"/>
      <c r="W1289" s="1"/>
      <c r="X1289" s="1"/>
      <c r="Z1289" s="8"/>
    </row>
    <row r="1290" spans="1:26" x14ac:dyDescent="0.2">
      <c r="A1290" s="12">
        <f t="shared" si="40"/>
        <v>1278</v>
      </c>
      <c r="E1290" s="10" t="str">
        <f t="shared" si="39"/>
        <v/>
      </c>
      <c r="I1290" s="53"/>
      <c r="N1290" s="8">
        <v>0</v>
      </c>
      <c r="Q1290" s="1"/>
      <c r="R1290" s="1"/>
      <c r="S1290" s="1"/>
      <c r="T1290" s="8"/>
      <c r="U1290" s="8"/>
      <c r="V1290" s="1"/>
      <c r="W1290" s="1"/>
      <c r="X1290" s="1"/>
      <c r="Z1290" s="8"/>
    </row>
    <row r="1291" spans="1:26" x14ac:dyDescent="0.2">
      <c r="A1291" s="12">
        <f t="shared" si="40"/>
        <v>1279</v>
      </c>
      <c r="E1291" s="10" t="str">
        <f t="shared" si="39"/>
        <v/>
      </c>
      <c r="I1291" s="53"/>
      <c r="N1291" s="8">
        <v>0</v>
      </c>
      <c r="Q1291" s="1"/>
      <c r="R1291" s="1"/>
      <c r="S1291" s="1"/>
      <c r="T1291" s="8"/>
      <c r="U1291" s="8"/>
      <c r="V1291" s="1"/>
      <c r="W1291" s="1"/>
      <c r="X1291" s="1"/>
      <c r="Z1291" s="8"/>
    </row>
    <row r="1292" spans="1:26" x14ac:dyDescent="0.2">
      <c r="A1292" s="12">
        <f t="shared" si="40"/>
        <v>1280</v>
      </c>
      <c r="E1292" s="10" t="str">
        <f t="shared" si="39"/>
        <v/>
      </c>
      <c r="I1292" s="53"/>
      <c r="N1292" s="8">
        <v>0</v>
      </c>
      <c r="Q1292" s="1"/>
      <c r="R1292" s="1"/>
      <c r="S1292" s="1"/>
      <c r="T1292" s="8"/>
      <c r="U1292" s="8"/>
      <c r="V1292" s="1"/>
      <c r="W1292" s="1"/>
      <c r="X1292" s="1"/>
      <c r="Z1292" s="8"/>
    </row>
    <row r="1293" spans="1:26" x14ac:dyDescent="0.2">
      <c r="A1293" s="12">
        <f t="shared" si="40"/>
        <v>1281</v>
      </c>
      <c r="E1293" s="10" t="str">
        <f t="shared" ref="E1293:E1356" si="41">IF($C$8&gt;=A1293,$E$1&amp;" "&amp;A1293,"")</f>
        <v/>
      </c>
      <c r="I1293" s="53"/>
      <c r="N1293" s="8">
        <v>0</v>
      </c>
      <c r="Q1293" s="1"/>
      <c r="R1293" s="1"/>
      <c r="S1293" s="1"/>
      <c r="T1293" s="8"/>
      <c r="U1293" s="8"/>
      <c r="V1293" s="1"/>
      <c r="W1293" s="1"/>
      <c r="X1293" s="1"/>
      <c r="Z1293" s="8"/>
    </row>
    <row r="1294" spans="1:26" x14ac:dyDescent="0.2">
      <c r="A1294" s="12">
        <f t="shared" si="40"/>
        <v>1282</v>
      </c>
      <c r="E1294" s="10" t="str">
        <f t="shared" si="41"/>
        <v/>
      </c>
      <c r="I1294" s="53"/>
      <c r="N1294" s="8">
        <v>0</v>
      </c>
      <c r="Q1294" s="1"/>
      <c r="R1294" s="1"/>
      <c r="S1294" s="1"/>
      <c r="T1294" s="8"/>
      <c r="U1294" s="8"/>
      <c r="V1294" s="1"/>
      <c r="W1294" s="1"/>
      <c r="X1294" s="1"/>
      <c r="Z1294" s="8"/>
    </row>
    <row r="1295" spans="1:26" x14ac:dyDescent="0.2">
      <c r="A1295" s="12">
        <f t="shared" ref="A1295:A1358" si="42">A1294+1</f>
        <v>1283</v>
      </c>
      <c r="E1295" s="10" t="str">
        <f t="shared" si="41"/>
        <v/>
      </c>
      <c r="I1295" s="53"/>
      <c r="N1295" s="8">
        <v>0</v>
      </c>
      <c r="Q1295" s="1"/>
      <c r="R1295" s="1"/>
      <c r="S1295" s="1"/>
      <c r="T1295" s="8"/>
      <c r="U1295" s="8"/>
      <c r="V1295" s="1"/>
      <c r="W1295" s="1"/>
      <c r="X1295" s="1"/>
      <c r="Z1295" s="8"/>
    </row>
    <row r="1296" spans="1:26" x14ac:dyDescent="0.2">
      <c r="A1296" s="12">
        <f t="shared" si="42"/>
        <v>1284</v>
      </c>
      <c r="E1296" s="10" t="str">
        <f t="shared" si="41"/>
        <v/>
      </c>
      <c r="I1296" s="53"/>
      <c r="N1296" s="8">
        <v>0</v>
      </c>
      <c r="Q1296" s="1"/>
      <c r="R1296" s="1"/>
      <c r="S1296" s="1"/>
      <c r="T1296" s="8"/>
      <c r="U1296" s="8"/>
      <c r="V1296" s="1"/>
      <c r="W1296" s="1"/>
      <c r="X1296" s="1"/>
      <c r="Z1296" s="8"/>
    </row>
    <row r="1297" spans="1:26" x14ac:dyDescent="0.2">
      <c r="A1297" s="12">
        <f t="shared" si="42"/>
        <v>1285</v>
      </c>
      <c r="E1297" s="10" t="str">
        <f t="shared" si="41"/>
        <v/>
      </c>
      <c r="I1297" s="53"/>
      <c r="N1297" s="8">
        <v>0</v>
      </c>
      <c r="Q1297" s="1"/>
      <c r="R1297" s="1"/>
      <c r="S1297" s="1"/>
      <c r="T1297" s="8"/>
      <c r="U1297" s="8"/>
      <c r="V1297" s="1"/>
      <c r="W1297" s="1"/>
      <c r="X1297" s="1"/>
      <c r="Z1297" s="8"/>
    </row>
    <row r="1298" spans="1:26" x14ac:dyDescent="0.2">
      <c r="A1298" s="12">
        <f t="shared" si="42"/>
        <v>1286</v>
      </c>
      <c r="E1298" s="10" t="str">
        <f t="shared" si="41"/>
        <v/>
      </c>
      <c r="I1298" s="53"/>
      <c r="N1298" s="8">
        <v>0</v>
      </c>
      <c r="Q1298" s="1"/>
      <c r="R1298" s="1"/>
      <c r="S1298" s="1"/>
      <c r="T1298" s="8"/>
      <c r="U1298" s="8"/>
      <c r="V1298" s="1"/>
      <c r="W1298" s="1"/>
      <c r="X1298" s="1"/>
      <c r="Z1298" s="8"/>
    </row>
    <row r="1299" spans="1:26" x14ac:dyDescent="0.2">
      <c r="A1299" s="12">
        <f t="shared" si="42"/>
        <v>1287</v>
      </c>
      <c r="E1299" s="10" t="str">
        <f t="shared" si="41"/>
        <v/>
      </c>
      <c r="I1299" s="53"/>
      <c r="N1299" s="8">
        <v>0</v>
      </c>
      <c r="Q1299" s="1"/>
      <c r="R1299" s="1"/>
      <c r="S1299" s="1"/>
      <c r="T1299" s="8"/>
      <c r="U1299" s="8"/>
      <c r="V1299" s="1"/>
      <c r="W1299" s="1"/>
      <c r="X1299" s="1"/>
      <c r="Z1299" s="8"/>
    </row>
    <row r="1300" spans="1:26" x14ac:dyDescent="0.2">
      <c r="A1300" s="12">
        <f t="shared" si="42"/>
        <v>1288</v>
      </c>
      <c r="E1300" s="10" t="str">
        <f t="shared" si="41"/>
        <v/>
      </c>
      <c r="I1300" s="53"/>
      <c r="N1300" s="8">
        <v>0</v>
      </c>
      <c r="Q1300" s="1"/>
      <c r="R1300" s="1"/>
      <c r="S1300" s="1"/>
      <c r="T1300" s="8"/>
      <c r="U1300" s="8"/>
      <c r="V1300" s="1"/>
      <c r="W1300" s="1"/>
      <c r="X1300" s="1"/>
      <c r="Z1300" s="8"/>
    </row>
    <row r="1301" spans="1:26" x14ac:dyDescent="0.2">
      <c r="A1301" s="12">
        <f t="shared" si="42"/>
        <v>1289</v>
      </c>
      <c r="E1301" s="10" t="str">
        <f t="shared" si="41"/>
        <v/>
      </c>
      <c r="I1301" s="53"/>
      <c r="N1301" s="8">
        <v>0</v>
      </c>
      <c r="Q1301" s="1"/>
      <c r="R1301" s="1"/>
      <c r="S1301" s="1"/>
      <c r="T1301" s="8"/>
      <c r="U1301" s="8"/>
      <c r="V1301" s="1"/>
      <c r="W1301" s="1"/>
      <c r="X1301" s="1"/>
      <c r="Z1301" s="8"/>
    </row>
    <row r="1302" spans="1:26" x14ac:dyDescent="0.2">
      <c r="A1302" s="12">
        <f t="shared" si="42"/>
        <v>1290</v>
      </c>
      <c r="E1302" s="10" t="str">
        <f t="shared" si="41"/>
        <v/>
      </c>
      <c r="I1302" s="53"/>
      <c r="N1302" s="8">
        <v>0</v>
      </c>
      <c r="Q1302" s="1"/>
      <c r="R1302" s="1"/>
      <c r="S1302" s="1"/>
      <c r="T1302" s="8"/>
      <c r="U1302" s="8"/>
      <c r="V1302" s="1"/>
      <c r="W1302" s="1"/>
      <c r="X1302" s="1"/>
      <c r="Z1302" s="8"/>
    </row>
    <row r="1303" spans="1:26" x14ac:dyDescent="0.2">
      <c r="A1303" s="12">
        <f t="shared" si="42"/>
        <v>1291</v>
      </c>
      <c r="E1303" s="10" t="str">
        <f t="shared" si="41"/>
        <v/>
      </c>
      <c r="I1303" s="53"/>
      <c r="N1303" s="8">
        <v>0</v>
      </c>
      <c r="Q1303" s="1"/>
      <c r="R1303" s="1"/>
      <c r="S1303" s="1"/>
      <c r="T1303" s="8"/>
      <c r="U1303" s="8"/>
      <c r="V1303" s="1"/>
      <c r="W1303" s="1"/>
      <c r="X1303" s="1"/>
      <c r="Z1303" s="8"/>
    </row>
    <row r="1304" spans="1:26" x14ac:dyDescent="0.2">
      <c r="A1304" s="12">
        <f t="shared" si="42"/>
        <v>1292</v>
      </c>
      <c r="E1304" s="10" t="str">
        <f t="shared" si="41"/>
        <v/>
      </c>
      <c r="I1304" s="53"/>
      <c r="N1304" s="8">
        <v>0</v>
      </c>
      <c r="Q1304" s="1"/>
      <c r="R1304" s="1"/>
      <c r="S1304" s="1"/>
      <c r="T1304" s="8"/>
      <c r="U1304" s="8"/>
      <c r="V1304" s="1"/>
      <c r="W1304" s="1"/>
      <c r="X1304" s="1"/>
      <c r="Z1304" s="8"/>
    </row>
    <row r="1305" spans="1:26" x14ac:dyDescent="0.2">
      <c r="A1305" s="12">
        <f t="shared" si="42"/>
        <v>1293</v>
      </c>
      <c r="E1305" s="10" t="str">
        <f t="shared" si="41"/>
        <v/>
      </c>
      <c r="I1305" s="53"/>
      <c r="N1305" s="8">
        <v>0</v>
      </c>
      <c r="Q1305" s="1"/>
      <c r="R1305" s="1"/>
      <c r="S1305" s="1"/>
      <c r="T1305" s="8"/>
      <c r="U1305" s="8"/>
      <c r="V1305" s="1"/>
      <c r="W1305" s="1"/>
      <c r="X1305" s="1"/>
      <c r="Z1305" s="8"/>
    </row>
    <row r="1306" spans="1:26" x14ac:dyDescent="0.2">
      <c r="A1306" s="12">
        <f t="shared" si="42"/>
        <v>1294</v>
      </c>
      <c r="E1306" s="10" t="str">
        <f t="shared" si="41"/>
        <v/>
      </c>
      <c r="I1306" s="53"/>
      <c r="N1306" s="8">
        <v>0</v>
      </c>
      <c r="Q1306" s="1"/>
      <c r="R1306" s="1"/>
      <c r="S1306" s="1"/>
      <c r="T1306" s="8"/>
      <c r="U1306" s="8"/>
      <c r="V1306" s="1"/>
      <c r="W1306" s="1"/>
      <c r="X1306" s="1"/>
      <c r="Z1306" s="8"/>
    </row>
    <row r="1307" spans="1:26" x14ac:dyDescent="0.2">
      <c r="A1307" s="12">
        <f t="shared" si="42"/>
        <v>1295</v>
      </c>
      <c r="E1307" s="10" t="str">
        <f t="shared" si="41"/>
        <v/>
      </c>
      <c r="I1307" s="53"/>
      <c r="N1307" s="8">
        <v>0</v>
      </c>
      <c r="Q1307" s="1"/>
      <c r="R1307" s="1"/>
      <c r="S1307" s="1"/>
      <c r="T1307" s="8"/>
      <c r="U1307" s="8"/>
      <c r="V1307" s="1"/>
      <c r="W1307" s="1"/>
      <c r="X1307" s="1"/>
      <c r="Z1307" s="8"/>
    </row>
    <row r="1308" spans="1:26" x14ac:dyDescent="0.2">
      <c r="A1308" s="12">
        <f t="shared" si="42"/>
        <v>1296</v>
      </c>
      <c r="E1308" s="10" t="str">
        <f t="shared" si="41"/>
        <v/>
      </c>
      <c r="I1308" s="53"/>
      <c r="N1308" s="8">
        <v>0</v>
      </c>
      <c r="Q1308" s="1"/>
      <c r="R1308" s="1"/>
      <c r="S1308" s="1"/>
      <c r="T1308" s="8"/>
      <c r="U1308" s="8"/>
      <c r="V1308" s="1"/>
      <c r="W1308" s="1"/>
      <c r="X1308" s="1"/>
      <c r="Z1308" s="8"/>
    </row>
    <row r="1309" spans="1:26" x14ac:dyDescent="0.2">
      <c r="A1309" s="12">
        <f t="shared" si="42"/>
        <v>1297</v>
      </c>
      <c r="E1309" s="10" t="str">
        <f t="shared" si="41"/>
        <v/>
      </c>
      <c r="I1309" s="53"/>
      <c r="N1309" s="8">
        <v>0</v>
      </c>
      <c r="Q1309" s="1"/>
      <c r="R1309" s="1"/>
      <c r="S1309" s="1"/>
      <c r="T1309" s="8"/>
      <c r="U1309" s="8"/>
      <c r="V1309" s="1"/>
      <c r="W1309" s="1"/>
      <c r="X1309" s="1"/>
      <c r="Z1309" s="8"/>
    </row>
    <row r="1310" spans="1:26" x14ac:dyDescent="0.2">
      <c r="A1310" s="12">
        <f t="shared" si="42"/>
        <v>1298</v>
      </c>
      <c r="E1310" s="10" t="str">
        <f t="shared" si="41"/>
        <v/>
      </c>
      <c r="I1310" s="53"/>
      <c r="N1310" s="8">
        <v>0</v>
      </c>
      <c r="Q1310" s="1"/>
      <c r="R1310" s="1"/>
      <c r="S1310" s="1"/>
      <c r="T1310" s="8"/>
      <c r="U1310" s="8"/>
      <c r="V1310" s="1"/>
      <c r="W1310" s="1"/>
      <c r="X1310" s="1"/>
      <c r="Z1310" s="8"/>
    </row>
    <row r="1311" spans="1:26" x14ac:dyDescent="0.2">
      <c r="A1311" s="12">
        <f t="shared" si="42"/>
        <v>1299</v>
      </c>
      <c r="E1311" s="10" t="str">
        <f t="shared" si="41"/>
        <v/>
      </c>
      <c r="I1311" s="53"/>
      <c r="N1311" s="8">
        <v>0</v>
      </c>
      <c r="Q1311" s="1"/>
      <c r="R1311" s="1"/>
      <c r="S1311" s="1"/>
      <c r="T1311" s="8"/>
      <c r="U1311" s="8"/>
      <c r="V1311" s="1"/>
      <c r="W1311" s="1"/>
      <c r="X1311" s="1"/>
      <c r="Z1311" s="8"/>
    </row>
    <row r="1312" spans="1:26" x14ac:dyDescent="0.2">
      <c r="A1312" s="12">
        <f t="shared" si="42"/>
        <v>1300</v>
      </c>
      <c r="E1312" s="10" t="str">
        <f t="shared" si="41"/>
        <v/>
      </c>
      <c r="I1312" s="53"/>
      <c r="N1312" s="8">
        <v>0</v>
      </c>
      <c r="Q1312" s="1"/>
      <c r="R1312" s="1"/>
      <c r="S1312" s="1"/>
      <c r="T1312" s="8"/>
      <c r="U1312" s="8"/>
      <c r="V1312" s="1"/>
      <c r="W1312" s="1"/>
      <c r="X1312" s="1"/>
      <c r="Z1312" s="8"/>
    </row>
    <row r="1313" spans="1:26" x14ac:dyDescent="0.2">
      <c r="A1313" s="12">
        <f t="shared" si="42"/>
        <v>1301</v>
      </c>
      <c r="E1313" s="10" t="str">
        <f t="shared" si="41"/>
        <v/>
      </c>
      <c r="I1313" s="53"/>
      <c r="N1313" s="8">
        <v>0</v>
      </c>
      <c r="Q1313" s="1"/>
      <c r="R1313" s="1"/>
      <c r="S1313" s="1"/>
      <c r="T1313" s="8"/>
      <c r="U1313" s="8"/>
      <c r="V1313" s="1"/>
      <c r="W1313" s="1"/>
      <c r="X1313" s="1"/>
      <c r="Z1313" s="8"/>
    </row>
    <row r="1314" spans="1:26" x14ac:dyDescent="0.2">
      <c r="A1314" s="12">
        <f t="shared" si="42"/>
        <v>1302</v>
      </c>
      <c r="E1314" s="10" t="str">
        <f t="shared" si="41"/>
        <v/>
      </c>
      <c r="I1314" s="53"/>
      <c r="N1314" s="8">
        <v>0</v>
      </c>
      <c r="Q1314" s="1"/>
      <c r="R1314" s="1"/>
      <c r="S1314" s="1"/>
      <c r="T1314" s="8"/>
      <c r="U1314" s="8"/>
      <c r="V1314" s="1"/>
      <c r="W1314" s="1"/>
      <c r="X1314" s="1"/>
      <c r="Z1314" s="8"/>
    </row>
    <row r="1315" spans="1:26" x14ac:dyDescent="0.2">
      <c r="A1315" s="12">
        <f t="shared" si="42"/>
        <v>1303</v>
      </c>
      <c r="E1315" s="10" t="str">
        <f t="shared" si="41"/>
        <v/>
      </c>
      <c r="I1315" s="53"/>
      <c r="N1315" s="8">
        <v>0</v>
      </c>
      <c r="Q1315" s="1"/>
      <c r="R1315" s="1"/>
      <c r="S1315" s="1"/>
      <c r="T1315" s="8"/>
      <c r="U1315" s="8"/>
      <c r="V1315" s="1"/>
      <c r="W1315" s="1"/>
      <c r="X1315" s="1"/>
      <c r="Z1315" s="8"/>
    </row>
    <row r="1316" spans="1:26" x14ac:dyDescent="0.2">
      <c r="A1316" s="12">
        <f t="shared" si="42"/>
        <v>1304</v>
      </c>
      <c r="E1316" s="10" t="str">
        <f t="shared" si="41"/>
        <v/>
      </c>
      <c r="I1316" s="53"/>
      <c r="N1316" s="8">
        <v>0</v>
      </c>
      <c r="Q1316" s="1"/>
      <c r="R1316" s="1"/>
      <c r="S1316" s="1"/>
      <c r="T1316" s="8"/>
      <c r="U1316" s="8"/>
      <c r="V1316" s="1"/>
      <c r="W1316" s="1"/>
      <c r="X1316" s="1"/>
      <c r="Z1316" s="8"/>
    </row>
    <row r="1317" spans="1:26" x14ac:dyDescent="0.2">
      <c r="A1317" s="12">
        <f t="shared" si="42"/>
        <v>1305</v>
      </c>
      <c r="E1317" s="10" t="str">
        <f t="shared" si="41"/>
        <v/>
      </c>
      <c r="I1317" s="53"/>
      <c r="N1317" s="8">
        <v>0</v>
      </c>
      <c r="Q1317" s="1"/>
      <c r="R1317" s="1"/>
      <c r="S1317" s="1"/>
      <c r="T1317" s="8"/>
      <c r="U1317" s="8"/>
      <c r="V1317" s="1"/>
      <c r="W1317" s="1"/>
      <c r="X1317" s="1"/>
      <c r="Z1317" s="8"/>
    </row>
    <row r="1318" spans="1:26" x14ac:dyDescent="0.2">
      <c r="A1318" s="12">
        <f t="shared" si="42"/>
        <v>1306</v>
      </c>
      <c r="E1318" s="10" t="str">
        <f t="shared" si="41"/>
        <v/>
      </c>
      <c r="I1318" s="53"/>
      <c r="N1318" s="8">
        <v>0</v>
      </c>
      <c r="Q1318" s="1"/>
      <c r="R1318" s="1"/>
      <c r="S1318" s="1"/>
      <c r="T1318" s="8"/>
      <c r="U1318" s="8"/>
      <c r="V1318" s="1"/>
      <c r="W1318" s="1"/>
      <c r="X1318" s="1"/>
      <c r="Z1318" s="8"/>
    </row>
    <row r="1319" spans="1:26" x14ac:dyDescent="0.2">
      <c r="A1319" s="12">
        <f t="shared" si="42"/>
        <v>1307</v>
      </c>
      <c r="E1319" s="10" t="str">
        <f t="shared" si="41"/>
        <v/>
      </c>
      <c r="I1319" s="53"/>
      <c r="N1319" s="8">
        <v>0</v>
      </c>
      <c r="Q1319" s="1"/>
      <c r="R1319" s="1"/>
      <c r="S1319" s="1"/>
      <c r="T1319" s="8"/>
      <c r="U1319" s="8"/>
      <c r="V1319" s="1"/>
      <c r="W1319" s="1"/>
      <c r="X1319" s="1"/>
      <c r="Z1319" s="8"/>
    </row>
    <row r="1320" spans="1:26" x14ac:dyDescent="0.2">
      <c r="A1320" s="12">
        <f t="shared" si="42"/>
        <v>1308</v>
      </c>
      <c r="E1320" s="10" t="str">
        <f t="shared" si="41"/>
        <v/>
      </c>
      <c r="I1320" s="53"/>
      <c r="N1320" s="8">
        <v>0</v>
      </c>
      <c r="Q1320" s="1"/>
      <c r="R1320" s="1"/>
      <c r="S1320" s="1"/>
      <c r="T1320" s="8"/>
      <c r="U1320" s="8"/>
      <c r="V1320" s="1"/>
      <c r="W1320" s="1"/>
      <c r="X1320" s="1"/>
      <c r="Z1320" s="8"/>
    </row>
    <row r="1321" spans="1:26" x14ac:dyDescent="0.2">
      <c r="A1321" s="12">
        <f t="shared" si="42"/>
        <v>1309</v>
      </c>
      <c r="E1321" s="10" t="str">
        <f t="shared" si="41"/>
        <v/>
      </c>
      <c r="I1321" s="53"/>
      <c r="N1321" s="8">
        <v>0</v>
      </c>
      <c r="Q1321" s="1"/>
      <c r="R1321" s="1"/>
      <c r="S1321" s="1"/>
      <c r="T1321" s="8"/>
      <c r="U1321" s="8"/>
      <c r="V1321" s="1"/>
      <c r="W1321" s="1"/>
      <c r="X1321" s="1"/>
      <c r="Z1321" s="8"/>
    </row>
    <row r="1322" spans="1:26" x14ac:dyDescent="0.2">
      <c r="A1322" s="12">
        <f t="shared" si="42"/>
        <v>1310</v>
      </c>
      <c r="E1322" s="10" t="str">
        <f t="shared" si="41"/>
        <v/>
      </c>
      <c r="I1322" s="53"/>
      <c r="N1322" s="8">
        <v>0</v>
      </c>
      <c r="Q1322" s="1"/>
      <c r="R1322" s="1"/>
      <c r="S1322" s="1"/>
      <c r="T1322" s="8"/>
      <c r="U1322" s="8"/>
      <c r="V1322" s="1"/>
      <c r="W1322" s="1"/>
      <c r="X1322" s="1"/>
      <c r="Z1322" s="8"/>
    </row>
    <row r="1323" spans="1:26" x14ac:dyDescent="0.2">
      <c r="A1323" s="12">
        <f t="shared" si="42"/>
        <v>1311</v>
      </c>
      <c r="E1323" s="10" t="str">
        <f t="shared" si="41"/>
        <v/>
      </c>
      <c r="I1323" s="53"/>
      <c r="N1323" s="8">
        <v>0</v>
      </c>
      <c r="Q1323" s="1"/>
      <c r="R1323" s="1"/>
      <c r="S1323" s="1"/>
      <c r="T1323" s="8"/>
      <c r="U1323" s="8"/>
      <c r="V1323" s="1"/>
      <c r="W1323" s="1"/>
      <c r="X1323" s="1"/>
      <c r="Z1323" s="8"/>
    </row>
    <row r="1324" spans="1:26" x14ac:dyDescent="0.2">
      <c r="A1324" s="12">
        <f t="shared" si="42"/>
        <v>1312</v>
      </c>
      <c r="E1324" s="10" t="str">
        <f t="shared" si="41"/>
        <v/>
      </c>
      <c r="I1324" s="53"/>
      <c r="N1324" s="8">
        <v>0</v>
      </c>
      <c r="Q1324" s="1"/>
      <c r="R1324" s="1"/>
      <c r="S1324" s="1"/>
      <c r="T1324" s="8"/>
      <c r="U1324" s="8"/>
      <c r="V1324" s="1"/>
      <c r="W1324" s="1"/>
      <c r="X1324" s="1"/>
      <c r="Z1324" s="8"/>
    </row>
    <row r="1325" spans="1:26" x14ac:dyDescent="0.2">
      <c r="A1325" s="12">
        <f t="shared" si="42"/>
        <v>1313</v>
      </c>
      <c r="E1325" s="10" t="str">
        <f t="shared" si="41"/>
        <v/>
      </c>
      <c r="I1325" s="53"/>
      <c r="N1325" s="8">
        <v>0</v>
      </c>
      <c r="Q1325" s="1"/>
      <c r="R1325" s="1"/>
      <c r="S1325" s="1"/>
      <c r="T1325" s="8"/>
      <c r="U1325" s="8"/>
      <c r="V1325" s="1"/>
      <c r="W1325" s="1"/>
      <c r="X1325" s="1"/>
      <c r="Z1325" s="8"/>
    </row>
    <row r="1326" spans="1:26" x14ac:dyDescent="0.2">
      <c r="A1326" s="12">
        <f t="shared" si="42"/>
        <v>1314</v>
      </c>
      <c r="E1326" s="10" t="str">
        <f t="shared" si="41"/>
        <v/>
      </c>
      <c r="I1326" s="53"/>
      <c r="N1326" s="8">
        <v>0</v>
      </c>
      <c r="Q1326" s="1"/>
      <c r="R1326" s="1"/>
      <c r="S1326" s="1"/>
      <c r="T1326" s="8"/>
      <c r="U1326" s="8"/>
      <c r="V1326" s="1"/>
      <c r="W1326" s="1"/>
      <c r="X1326" s="1"/>
      <c r="Z1326" s="8"/>
    </row>
    <row r="1327" spans="1:26" x14ac:dyDescent="0.2">
      <c r="A1327" s="12">
        <f t="shared" si="42"/>
        <v>1315</v>
      </c>
      <c r="E1327" s="10" t="str">
        <f t="shared" si="41"/>
        <v/>
      </c>
      <c r="I1327" s="53"/>
      <c r="N1327" s="8">
        <v>0</v>
      </c>
      <c r="Q1327" s="1"/>
      <c r="R1327" s="1"/>
      <c r="S1327" s="1"/>
      <c r="T1327" s="8"/>
      <c r="U1327" s="8"/>
      <c r="V1327" s="1"/>
      <c r="W1327" s="1"/>
      <c r="X1327" s="1"/>
      <c r="Z1327" s="8"/>
    </row>
    <row r="1328" spans="1:26" x14ac:dyDescent="0.2">
      <c r="A1328" s="12">
        <f t="shared" si="42"/>
        <v>1316</v>
      </c>
      <c r="E1328" s="10" t="str">
        <f t="shared" si="41"/>
        <v/>
      </c>
      <c r="I1328" s="53"/>
      <c r="N1328" s="8">
        <v>0</v>
      </c>
      <c r="Q1328" s="1"/>
      <c r="R1328" s="1"/>
      <c r="S1328" s="1"/>
      <c r="T1328" s="8"/>
      <c r="U1328" s="8"/>
      <c r="V1328" s="1"/>
      <c r="W1328" s="1"/>
      <c r="X1328" s="1"/>
      <c r="Z1328" s="8"/>
    </row>
    <row r="1329" spans="1:26" x14ac:dyDescent="0.2">
      <c r="A1329" s="12">
        <f t="shared" si="42"/>
        <v>1317</v>
      </c>
      <c r="E1329" s="10" t="str">
        <f t="shared" si="41"/>
        <v/>
      </c>
      <c r="I1329" s="53"/>
      <c r="N1329" s="8">
        <v>0</v>
      </c>
      <c r="Q1329" s="1"/>
      <c r="R1329" s="1"/>
      <c r="S1329" s="1"/>
      <c r="T1329" s="8"/>
      <c r="U1329" s="8"/>
      <c r="V1329" s="1"/>
      <c r="W1329" s="1"/>
      <c r="X1329" s="1"/>
      <c r="Z1329" s="8"/>
    </row>
    <row r="1330" spans="1:26" x14ac:dyDescent="0.2">
      <c r="A1330" s="12">
        <f t="shared" si="42"/>
        <v>1318</v>
      </c>
      <c r="E1330" s="10" t="str">
        <f t="shared" si="41"/>
        <v/>
      </c>
      <c r="I1330" s="53"/>
      <c r="N1330" s="8">
        <v>0</v>
      </c>
      <c r="Q1330" s="1"/>
      <c r="R1330" s="1"/>
      <c r="S1330" s="1"/>
      <c r="T1330" s="8"/>
      <c r="U1330" s="8"/>
      <c r="V1330" s="1"/>
      <c r="W1330" s="1"/>
      <c r="X1330" s="1"/>
      <c r="Z1330" s="8"/>
    </row>
    <row r="1331" spans="1:26" x14ac:dyDescent="0.2">
      <c r="A1331" s="12">
        <f t="shared" si="42"/>
        <v>1319</v>
      </c>
      <c r="E1331" s="10" t="str">
        <f t="shared" si="41"/>
        <v/>
      </c>
      <c r="I1331" s="53"/>
      <c r="N1331" s="8">
        <v>0</v>
      </c>
      <c r="Q1331" s="1"/>
      <c r="R1331" s="1"/>
      <c r="S1331" s="1"/>
      <c r="T1331" s="8"/>
      <c r="U1331" s="8"/>
      <c r="V1331" s="1"/>
      <c r="W1331" s="1"/>
      <c r="X1331" s="1"/>
      <c r="Z1331" s="8"/>
    </row>
    <row r="1332" spans="1:26" x14ac:dyDescent="0.2">
      <c r="A1332" s="12">
        <f t="shared" si="42"/>
        <v>1320</v>
      </c>
      <c r="E1332" s="10" t="str">
        <f t="shared" si="41"/>
        <v/>
      </c>
      <c r="I1332" s="53"/>
      <c r="N1332" s="8">
        <v>0</v>
      </c>
      <c r="Q1332" s="1"/>
      <c r="R1332" s="1"/>
      <c r="S1332" s="1"/>
      <c r="T1332" s="8"/>
      <c r="U1332" s="8"/>
      <c r="V1332" s="1"/>
      <c r="W1332" s="1"/>
      <c r="X1332" s="1"/>
      <c r="Z1332" s="8"/>
    </row>
    <row r="1333" spans="1:26" x14ac:dyDescent="0.2">
      <c r="A1333" s="12">
        <f t="shared" si="42"/>
        <v>1321</v>
      </c>
      <c r="E1333" s="10" t="str">
        <f t="shared" si="41"/>
        <v/>
      </c>
      <c r="I1333" s="53"/>
      <c r="N1333" s="8">
        <v>0</v>
      </c>
      <c r="Q1333" s="1"/>
      <c r="R1333" s="1"/>
      <c r="S1333" s="1"/>
      <c r="T1333" s="8"/>
      <c r="U1333" s="8"/>
      <c r="V1333" s="1"/>
      <c r="W1333" s="1"/>
      <c r="X1333" s="1"/>
      <c r="Z1333" s="8"/>
    </row>
    <row r="1334" spans="1:26" x14ac:dyDescent="0.2">
      <c r="A1334" s="12">
        <f t="shared" si="42"/>
        <v>1322</v>
      </c>
      <c r="E1334" s="10" t="str">
        <f t="shared" si="41"/>
        <v/>
      </c>
      <c r="I1334" s="53"/>
      <c r="N1334" s="8">
        <v>0</v>
      </c>
      <c r="Q1334" s="1"/>
      <c r="R1334" s="1"/>
      <c r="S1334" s="1"/>
      <c r="T1334" s="8"/>
      <c r="U1334" s="8"/>
      <c r="V1334" s="1"/>
      <c r="W1334" s="1"/>
      <c r="X1334" s="1"/>
      <c r="Z1334" s="8"/>
    </row>
    <row r="1335" spans="1:26" x14ac:dyDescent="0.2">
      <c r="A1335" s="12">
        <f t="shared" si="42"/>
        <v>1323</v>
      </c>
      <c r="E1335" s="10" t="str">
        <f t="shared" si="41"/>
        <v/>
      </c>
      <c r="I1335" s="53"/>
      <c r="N1335" s="8">
        <v>0</v>
      </c>
      <c r="Q1335" s="1"/>
      <c r="R1335" s="1"/>
      <c r="S1335" s="1"/>
      <c r="T1335" s="8"/>
      <c r="U1335" s="8"/>
      <c r="V1335" s="1"/>
      <c r="W1335" s="1"/>
      <c r="X1335" s="1"/>
      <c r="Z1335" s="8"/>
    </row>
    <row r="1336" spans="1:26" x14ac:dyDescent="0.2">
      <c r="A1336" s="12">
        <f t="shared" si="42"/>
        <v>1324</v>
      </c>
      <c r="E1336" s="10" t="str">
        <f t="shared" si="41"/>
        <v/>
      </c>
      <c r="I1336" s="53"/>
      <c r="N1336" s="8">
        <v>0</v>
      </c>
      <c r="Q1336" s="1"/>
      <c r="R1336" s="1"/>
      <c r="S1336" s="1"/>
      <c r="T1336" s="8"/>
      <c r="U1336" s="8"/>
      <c r="V1336" s="1"/>
      <c r="W1336" s="1"/>
      <c r="X1336" s="1"/>
      <c r="Z1336" s="8"/>
    </row>
    <row r="1337" spans="1:26" x14ac:dyDescent="0.2">
      <c r="A1337" s="12">
        <f t="shared" si="42"/>
        <v>1325</v>
      </c>
      <c r="E1337" s="10" t="str">
        <f t="shared" si="41"/>
        <v/>
      </c>
      <c r="I1337" s="53"/>
      <c r="N1337" s="8">
        <v>0</v>
      </c>
      <c r="Q1337" s="1"/>
      <c r="R1337" s="1"/>
      <c r="S1337" s="1"/>
      <c r="T1337" s="8"/>
      <c r="U1337" s="8"/>
      <c r="V1337" s="1"/>
      <c r="W1337" s="1"/>
      <c r="X1337" s="1"/>
      <c r="Z1337" s="8"/>
    </row>
    <row r="1338" spans="1:26" x14ac:dyDescent="0.2">
      <c r="A1338" s="12">
        <f t="shared" si="42"/>
        <v>1326</v>
      </c>
      <c r="E1338" s="10" t="str">
        <f t="shared" si="41"/>
        <v/>
      </c>
      <c r="I1338" s="53"/>
      <c r="N1338" s="8">
        <v>0</v>
      </c>
      <c r="Q1338" s="1"/>
      <c r="R1338" s="1"/>
      <c r="S1338" s="1"/>
      <c r="T1338" s="8"/>
      <c r="U1338" s="8"/>
      <c r="V1338" s="1"/>
      <c r="W1338" s="1"/>
      <c r="X1338" s="1"/>
      <c r="Z1338" s="8"/>
    </row>
    <row r="1339" spans="1:26" x14ac:dyDescent="0.2">
      <c r="A1339" s="12">
        <f t="shared" si="42"/>
        <v>1327</v>
      </c>
      <c r="E1339" s="10" t="str">
        <f t="shared" si="41"/>
        <v/>
      </c>
      <c r="I1339" s="53"/>
      <c r="N1339" s="8">
        <v>0</v>
      </c>
      <c r="Q1339" s="1"/>
      <c r="R1339" s="1"/>
      <c r="S1339" s="1"/>
      <c r="T1339" s="8"/>
      <c r="U1339" s="8"/>
      <c r="V1339" s="1"/>
      <c r="W1339" s="1"/>
      <c r="X1339" s="1"/>
      <c r="Z1339" s="8"/>
    </row>
    <row r="1340" spans="1:26" x14ac:dyDescent="0.2">
      <c r="A1340" s="12">
        <f t="shared" si="42"/>
        <v>1328</v>
      </c>
      <c r="E1340" s="10" t="str">
        <f t="shared" si="41"/>
        <v/>
      </c>
      <c r="I1340" s="53"/>
      <c r="N1340" s="8">
        <v>0</v>
      </c>
      <c r="Q1340" s="1"/>
      <c r="R1340" s="1"/>
      <c r="S1340" s="1"/>
      <c r="T1340" s="8"/>
      <c r="U1340" s="8"/>
      <c r="V1340" s="1"/>
      <c r="W1340" s="1"/>
      <c r="X1340" s="1"/>
      <c r="Z1340" s="8"/>
    </row>
    <row r="1341" spans="1:26" x14ac:dyDescent="0.2">
      <c r="A1341" s="12">
        <f t="shared" si="42"/>
        <v>1329</v>
      </c>
      <c r="E1341" s="10" t="str">
        <f t="shared" si="41"/>
        <v/>
      </c>
      <c r="I1341" s="53"/>
      <c r="N1341" s="8">
        <v>0</v>
      </c>
      <c r="Q1341" s="1"/>
      <c r="R1341" s="1"/>
      <c r="S1341" s="1"/>
      <c r="T1341" s="8"/>
      <c r="U1341" s="8"/>
      <c r="V1341" s="1"/>
      <c r="W1341" s="1"/>
      <c r="X1341" s="1"/>
      <c r="Z1341" s="8"/>
    </row>
    <row r="1342" spans="1:26" x14ac:dyDescent="0.2">
      <c r="A1342" s="12">
        <f t="shared" si="42"/>
        <v>1330</v>
      </c>
      <c r="E1342" s="10" t="str">
        <f t="shared" si="41"/>
        <v/>
      </c>
      <c r="I1342" s="53"/>
      <c r="N1342" s="8">
        <v>0</v>
      </c>
      <c r="Q1342" s="1"/>
      <c r="R1342" s="1"/>
      <c r="S1342" s="1"/>
      <c r="T1342" s="8"/>
      <c r="U1342" s="8"/>
      <c r="V1342" s="1"/>
      <c r="W1342" s="1"/>
      <c r="X1342" s="1"/>
      <c r="Z1342" s="8"/>
    </row>
    <row r="1343" spans="1:26" x14ac:dyDescent="0.2">
      <c r="A1343" s="12">
        <f t="shared" si="42"/>
        <v>1331</v>
      </c>
      <c r="E1343" s="10" t="str">
        <f t="shared" si="41"/>
        <v/>
      </c>
      <c r="I1343" s="53"/>
      <c r="N1343" s="8">
        <v>0</v>
      </c>
      <c r="Q1343" s="1"/>
      <c r="R1343" s="1"/>
      <c r="S1343" s="1"/>
      <c r="T1343" s="8"/>
      <c r="U1343" s="8"/>
      <c r="V1343" s="1"/>
      <c r="W1343" s="1"/>
      <c r="X1343" s="1"/>
      <c r="Z1343" s="8"/>
    </row>
    <row r="1344" spans="1:26" x14ac:dyDescent="0.2">
      <c r="A1344" s="12">
        <f t="shared" si="42"/>
        <v>1332</v>
      </c>
      <c r="E1344" s="10" t="str">
        <f t="shared" si="41"/>
        <v/>
      </c>
      <c r="I1344" s="53"/>
      <c r="N1344" s="8">
        <v>0</v>
      </c>
      <c r="Q1344" s="1"/>
      <c r="R1344" s="1"/>
      <c r="S1344" s="1"/>
      <c r="T1344" s="8"/>
      <c r="U1344" s="8"/>
      <c r="V1344" s="1"/>
      <c r="W1344" s="1"/>
      <c r="X1344" s="1"/>
      <c r="Z1344" s="8"/>
    </row>
    <row r="1345" spans="1:26" x14ac:dyDescent="0.2">
      <c r="A1345" s="12">
        <f t="shared" si="42"/>
        <v>1333</v>
      </c>
      <c r="E1345" s="10" t="str">
        <f t="shared" si="41"/>
        <v/>
      </c>
      <c r="I1345" s="53"/>
      <c r="N1345" s="8">
        <v>0</v>
      </c>
      <c r="Q1345" s="1"/>
      <c r="R1345" s="1"/>
      <c r="S1345" s="1"/>
      <c r="T1345" s="8"/>
      <c r="U1345" s="8"/>
      <c r="V1345" s="1"/>
      <c r="W1345" s="1"/>
      <c r="X1345" s="1"/>
      <c r="Z1345" s="8"/>
    </row>
    <row r="1346" spans="1:26" x14ac:dyDescent="0.2">
      <c r="A1346" s="12">
        <f t="shared" si="42"/>
        <v>1334</v>
      </c>
      <c r="E1346" s="10" t="str">
        <f t="shared" si="41"/>
        <v/>
      </c>
      <c r="I1346" s="53"/>
      <c r="N1346" s="8">
        <v>0</v>
      </c>
      <c r="Q1346" s="1"/>
      <c r="R1346" s="1"/>
      <c r="S1346" s="1"/>
      <c r="T1346" s="8"/>
      <c r="U1346" s="8"/>
      <c r="V1346" s="1"/>
      <c r="W1346" s="1"/>
      <c r="X1346" s="1"/>
      <c r="Z1346" s="8"/>
    </row>
    <row r="1347" spans="1:26" x14ac:dyDescent="0.2">
      <c r="A1347" s="12">
        <f t="shared" si="42"/>
        <v>1335</v>
      </c>
      <c r="E1347" s="10" t="str">
        <f t="shared" si="41"/>
        <v/>
      </c>
      <c r="I1347" s="53"/>
      <c r="N1347" s="8">
        <v>0</v>
      </c>
      <c r="Q1347" s="1"/>
      <c r="R1347" s="1"/>
      <c r="S1347" s="1"/>
      <c r="T1347" s="8"/>
      <c r="U1347" s="8"/>
      <c r="V1347" s="1"/>
      <c r="W1347" s="1"/>
      <c r="X1347" s="1"/>
      <c r="Z1347" s="8"/>
    </row>
    <row r="1348" spans="1:26" x14ac:dyDescent="0.2">
      <c r="A1348" s="12">
        <f t="shared" si="42"/>
        <v>1336</v>
      </c>
      <c r="E1348" s="10" t="str">
        <f t="shared" si="41"/>
        <v/>
      </c>
      <c r="I1348" s="53"/>
      <c r="N1348" s="8">
        <v>0</v>
      </c>
      <c r="Q1348" s="1"/>
      <c r="R1348" s="1"/>
      <c r="S1348" s="1"/>
      <c r="T1348" s="8"/>
      <c r="U1348" s="8"/>
      <c r="V1348" s="1"/>
      <c r="W1348" s="1"/>
      <c r="X1348" s="1"/>
      <c r="Z1348" s="8"/>
    </row>
    <row r="1349" spans="1:26" x14ac:dyDescent="0.2">
      <c r="A1349" s="12">
        <f t="shared" si="42"/>
        <v>1337</v>
      </c>
      <c r="E1349" s="10" t="str">
        <f t="shared" si="41"/>
        <v/>
      </c>
      <c r="I1349" s="53"/>
      <c r="N1349" s="8">
        <v>0</v>
      </c>
      <c r="Q1349" s="1"/>
      <c r="R1349" s="1"/>
      <c r="S1349" s="1"/>
      <c r="T1349" s="8"/>
      <c r="U1349" s="8"/>
      <c r="V1349" s="1"/>
      <c r="W1349" s="1"/>
      <c r="X1349" s="1"/>
      <c r="Z1349" s="8"/>
    </row>
    <row r="1350" spans="1:26" x14ac:dyDescent="0.2">
      <c r="A1350" s="12">
        <f t="shared" si="42"/>
        <v>1338</v>
      </c>
      <c r="E1350" s="10" t="str">
        <f t="shared" si="41"/>
        <v/>
      </c>
      <c r="I1350" s="53"/>
      <c r="N1350" s="8">
        <v>0</v>
      </c>
      <c r="Q1350" s="1"/>
      <c r="R1350" s="1"/>
      <c r="S1350" s="1"/>
      <c r="T1350" s="8"/>
      <c r="U1350" s="8"/>
      <c r="V1350" s="1"/>
      <c r="W1350" s="1"/>
      <c r="X1350" s="1"/>
      <c r="Z1350" s="8"/>
    </row>
    <row r="1351" spans="1:26" x14ac:dyDescent="0.2">
      <c r="A1351" s="12">
        <f t="shared" si="42"/>
        <v>1339</v>
      </c>
      <c r="E1351" s="10" t="str">
        <f t="shared" si="41"/>
        <v/>
      </c>
      <c r="I1351" s="53"/>
      <c r="N1351" s="8">
        <v>0</v>
      </c>
      <c r="Q1351" s="1"/>
      <c r="R1351" s="1"/>
      <c r="S1351" s="1"/>
      <c r="T1351" s="8"/>
      <c r="U1351" s="8"/>
      <c r="V1351" s="1"/>
      <c r="W1351" s="1"/>
      <c r="X1351" s="1"/>
      <c r="Z1351" s="8"/>
    </row>
    <row r="1352" spans="1:26" x14ac:dyDescent="0.2">
      <c r="A1352" s="12">
        <f t="shared" si="42"/>
        <v>1340</v>
      </c>
      <c r="E1352" s="10" t="str">
        <f t="shared" si="41"/>
        <v/>
      </c>
      <c r="I1352" s="53"/>
      <c r="N1352" s="8">
        <v>0</v>
      </c>
      <c r="Q1352" s="1"/>
      <c r="R1352" s="1"/>
      <c r="S1352" s="1"/>
      <c r="T1352" s="8"/>
      <c r="U1352" s="8"/>
      <c r="V1352" s="1"/>
      <c r="W1352" s="1"/>
      <c r="X1352" s="1"/>
      <c r="Z1352" s="8"/>
    </row>
    <row r="1353" spans="1:26" x14ac:dyDescent="0.2">
      <c r="A1353" s="12">
        <f t="shared" si="42"/>
        <v>1341</v>
      </c>
      <c r="E1353" s="10" t="str">
        <f t="shared" si="41"/>
        <v/>
      </c>
      <c r="I1353" s="53"/>
      <c r="N1353" s="8">
        <v>0</v>
      </c>
      <c r="Q1353" s="1"/>
      <c r="R1353" s="1"/>
      <c r="S1353" s="1"/>
      <c r="T1353" s="8"/>
      <c r="U1353" s="8"/>
      <c r="V1353" s="1"/>
      <c r="W1353" s="1"/>
      <c r="X1353" s="1"/>
      <c r="Z1353" s="8"/>
    </row>
    <row r="1354" spans="1:26" x14ac:dyDescent="0.2">
      <c r="A1354" s="12">
        <f t="shared" si="42"/>
        <v>1342</v>
      </c>
      <c r="E1354" s="10" t="str">
        <f t="shared" si="41"/>
        <v/>
      </c>
      <c r="I1354" s="53"/>
      <c r="N1354" s="8">
        <v>0</v>
      </c>
      <c r="Q1354" s="1"/>
      <c r="R1354" s="1"/>
      <c r="S1354" s="1"/>
      <c r="T1354" s="8"/>
      <c r="U1354" s="8"/>
      <c r="V1354" s="1"/>
      <c r="W1354" s="1"/>
      <c r="X1354" s="1"/>
      <c r="Z1354" s="8"/>
    </row>
    <row r="1355" spans="1:26" x14ac:dyDescent="0.2">
      <c r="A1355" s="12">
        <f t="shared" si="42"/>
        <v>1343</v>
      </c>
      <c r="E1355" s="10" t="str">
        <f t="shared" si="41"/>
        <v/>
      </c>
      <c r="I1355" s="53"/>
      <c r="N1355" s="8">
        <v>0</v>
      </c>
      <c r="Q1355" s="1"/>
      <c r="R1355" s="1"/>
      <c r="S1355" s="1"/>
      <c r="T1355" s="8"/>
      <c r="U1355" s="8"/>
      <c r="V1355" s="1"/>
      <c r="W1355" s="1"/>
      <c r="X1355" s="1"/>
      <c r="Z1355" s="8"/>
    </row>
    <row r="1356" spans="1:26" x14ac:dyDescent="0.2">
      <c r="A1356" s="12">
        <f t="shared" si="42"/>
        <v>1344</v>
      </c>
      <c r="E1356" s="10" t="str">
        <f t="shared" si="41"/>
        <v/>
      </c>
      <c r="I1356" s="53"/>
      <c r="N1356" s="8">
        <v>0</v>
      </c>
      <c r="Q1356" s="1"/>
      <c r="R1356" s="1"/>
      <c r="S1356" s="1"/>
      <c r="T1356" s="8"/>
      <c r="U1356" s="8"/>
      <c r="V1356" s="1"/>
      <c r="W1356" s="1"/>
      <c r="X1356" s="1"/>
      <c r="Z1356" s="8"/>
    </row>
    <row r="1357" spans="1:26" x14ac:dyDescent="0.2">
      <c r="A1357" s="12">
        <f t="shared" si="42"/>
        <v>1345</v>
      </c>
      <c r="E1357" s="10" t="str">
        <f t="shared" ref="E1357:E1420" si="43">IF($C$8&gt;=A1357,$E$1&amp;" "&amp;A1357,"")</f>
        <v/>
      </c>
      <c r="I1357" s="53"/>
      <c r="N1357" s="8">
        <v>0</v>
      </c>
      <c r="Q1357" s="1"/>
      <c r="R1357" s="1"/>
      <c r="S1357" s="1"/>
      <c r="T1357" s="8"/>
      <c r="U1357" s="8"/>
      <c r="V1357" s="1"/>
      <c r="W1357" s="1"/>
      <c r="X1357" s="1"/>
      <c r="Z1357" s="8"/>
    </row>
    <row r="1358" spans="1:26" x14ac:dyDescent="0.2">
      <c r="A1358" s="12">
        <f t="shared" si="42"/>
        <v>1346</v>
      </c>
      <c r="E1358" s="10" t="str">
        <f t="shared" si="43"/>
        <v/>
      </c>
      <c r="I1358" s="53"/>
      <c r="N1358" s="8">
        <v>0</v>
      </c>
      <c r="Q1358" s="1"/>
      <c r="R1358" s="1"/>
      <c r="S1358" s="1"/>
      <c r="T1358" s="8"/>
      <c r="U1358" s="8"/>
      <c r="V1358" s="1"/>
      <c r="W1358" s="1"/>
      <c r="X1358" s="1"/>
      <c r="Z1358" s="8"/>
    </row>
    <row r="1359" spans="1:26" x14ac:dyDescent="0.2">
      <c r="A1359" s="12">
        <f t="shared" ref="A1359:A1422" si="44">A1358+1</f>
        <v>1347</v>
      </c>
      <c r="E1359" s="10" t="str">
        <f t="shared" si="43"/>
        <v/>
      </c>
      <c r="I1359" s="53"/>
      <c r="N1359" s="8">
        <v>0</v>
      </c>
      <c r="Q1359" s="1"/>
      <c r="R1359" s="1"/>
      <c r="S1359" s="1"/>
      <c r="T1359" s="8"/>
      <c r="U1359" s="8"/>
      <c r="V1359" s="1"/>
      <c r="W1359" s="1"/>
      <c r="X1359" s="1"/>
      <c r="Z1359" s="8"/>
    </row>
    <row r="1360" spans="1:26" x14ac:dyDescent="0.2">
      <c r="A1360" s="12">
        <f t="shared" si="44"/>
        <v>1348</v>
      </c>
      <c r="E1360" s="10" t="str">
        <f t="shared" si="43"/>
        <v/>
      </c>
      <c r="I1360" s="53"/>
      <c r="N1360" s="8">
        <v>0</v>
      </c>
      <c r="Q1360" s="1"/>
      <c r="R1360" s="1"/>
      <c r="S1360" s="1"/>
      <c r="T1360" s="8"/>
      <c r="U1360" s="8"/>
      <c r="V1360" s="1"/>
      <c r="W1360" s="1"/>
      <c r="X1360" s="1"/>
      <c r="Z1360" s="8"/>
    </row>
    <row r="1361" spans="1:26" x14ac:dyDescent="0.2">
      <c r="A1361" s="12">
        <f t="shared" si="44"/>
        <v>1349</v>
      </c>
      <c r="E1361" s="10" t="str">
        <f t="shared" si="43"/>
        <v/>
      </c>
      <c r="I1361" s="53"/>
      <c r="N1361" s="8">
        <v>0</v>
      </c>
      <c r="Q1361" s="1"/>
      <c r="R1361" s="1"/>
      <c r="S1361" s="1"/>
      <c r="T1361" s="8"/>
      <c r="U1361" s="8"/>
      <c r="V1361" s="1"/>
      <c r="W1361" s="1"/>
      <c r="X1361" s="1"/>
      <c r="Z1361" s="8"/>
    </row>
    <row r="1362" spans="1:26" x14ac:dyDescent="0.2">
      <c r="A1362" s="12">
        <f t="shared" si="44"/>
        <v>1350</v>
      </c>
      <c r="E1362" s="10" t="str">
        <f t="shared" si="43"/>
        <v/>
      </c>
      <c r="I1362" s="53"/>
      <c r="N1362" s="8">
        <v>0</v>
      </c>
      <c r="Q1362" s="1"/>
      <c r="R1362" s="1"/>
      <c r="S1362" s="1"/>
      <c r="T1362" s="8"/>
      <c r="U1362" s="8"/>
      <c r="V1362" s="1"/>
      <c r="W1362" s="1"/>
      <c r="X1362" s="1"/>
      <c r="Z1362" s="8"/>
    </row>
    <row r="1363" spans="1:26" x14ac:dyDescent="0.2">
      <c r="A1363" s="12">
        <f t="shared" si="44"/>
        <v>1351</v>
      </c>
      <c r="E1363" s="10" t="str">
        <f t="shared" si="43"/>
        <v/>
      </c>
      <c r="I1363" s="53"/>
      <c r="N1363" s="8">
        <v>0</v>
      </c>
      <c r="Q1363" s="1"/>
      <c r="R1363" s="1"/>
      <c r="S1363" s="1"/>
      <c r="T1363" s="8"/>
      <c r="U1363" s="8"/>
      <c r="V1363" s="1"/>
      <c r="W1363" s="1"/>
      <c r="X1363" s="1"/>
      <c r="Z1363" s="8"/>
    </row>
    <row r="1364" spans="1:26" x14ac:dyDescent="0.2">
      <c r="A1364" s="12">
        <f t="shared" si="44"/>
        <v>1352</v>
      </c>
      <c r="E1364" s="10" t="str">
        <f t="shared" si="43"/>
        <v/>
      </c>
      <c r="I1364" s="53"/>
      <c r="N1364" s="8">
        <v>0</v>
      </c>
      <c r="Q1364" s="1"/>
      <c r="R1364" s="1"/>
      <c r="S1364" s="1"/>
      <c r="T1364" s="8"/>
      <c r="U1364" s="8"/>
      <c r="V1364" s="1"/>
      <c r="W1364" s="1"/>
      <c r="X1364" s="1"/>
      <c r="Z1364" s="8"/>
    </row>
    <row r="1365" spans="1:26" x14ac:dyDescent="0.2">
      <c r="A1365" s="12">
        <f t="shared" si="44"/>
        <v>1353</v>
      </c>
      <c r="E1365" s="10" t="str">
        <f t="shared" si="43"/>
        <v/>
      </c>
      <c r="I1365" s="53"/>
      <c r="N1365" s="8">
        <v>0</v>
      </c>
      <c r="Q1365" s="1"/>
      <c r="R1365" s="1"/>
      <c r="S1365" s="1"/>
      <c r="T1365" s="8"/>
      <c r="U1365" s="8"/>
      <c r="V1365" s="1"/>
      <c r="W1365" s="1"/>
      <c r="X1365" s="1"/>
      <c r="Z1365" s="8"/>
    </row>
    <row r="1366" spans="1:26" x14ac:dyDescent="0.2">
      <c r="A1366" s="12">
        <f t="shared" si="44"/>
        <v>1354</v>
      </c>
      <c r="E1366" s="10" t="str">
        <f t="shared" si="43"/>
        <v/>
      </c>
      <c r="I1366" s="53"/>
      <c r="N1366" s="8">
        <v>0</v>
      </c>
      <c r="Q1366" s="1"/>
      <c r="R1366" s="1"/>
      <c r="S1366" s="1"/>
      <c r="T1366" s="8"/>
      <c r="U1366" s="8"/>
      <c r="V1366" s="1"/>
      <c r="W1366" s="1"/>
      <c r="X1366" s="1"/>
      <c r="Z1366" s="8"/>
    </row>
    <row r="1367" spans="1:26" x14ac:dyDescent="0.2">
      <c r="A1367" s="12">
        <f t="shared" si="44"/>
        <v>1355</v>
      </c>
      <c r="E1367" s="10" t="str">
        <f t="shared" si="43"/>
        <v/>
      </c>
      <c r="I1367" s="53"/>
      <c r="N1367" s="8">
        <v>0</v>
      </c>
      <c r="Q1367" s="1"/>
      <c r="R1367" s="1"/>
      <c r="S1367" s="1"/>
      <c r="T1367" s="8"/>
      <c r="U1367" s="8"/>
      <c r="V1367" s="1"/>
      <c r="W1367" s="1"/>
      <c r="X1367" s="1"/>
      <c r="Z1367" s="8"/>
    </row>
    <row r="1368" spans="1:26" x14ac:dyDescent="0.2">
      <c r="A1368" s="12">
        <f t="shared" si="44"/>
        <v>1356</v>
      </c>
      <c r="E1368" s="10" t="str">
        <f t="shared" si="43"/>
        <v/>
      </c>
      <c r="I1368" s="53"/>
      <c r="N1368" s="8">
        <v>0</v>
      </c>
      <c r="Q1368" s="1"/>
      <c r="R1368" s="1"/>
      <c r="S1368" s="1"/>
      <c r="T1368" s="8"/>
      <c r="U1368" s="8"/>
      <c r="V1368" s="1"/>
      <c r="W1368" s="1"/>
      <c r="X1368" s="1"/>
      <c r="Z1368" s="8"/>
    </row>
    <row r="1369" spans="1:26" x14ac:dyDescent="0.2">
      <c r="A1369" s="12">
        <f t="shared" si="44"/>
        <v>1357</v>
      </c>
      <c r="E1369" s="10" t="str">
        <f t="shared" si="43"/>
        <v/>
      </c>
      <c r="I1369" s="53"/>
      <c r="N1369" s="8">
        <v>0</v>
      </c>
      <c r="Q1369" s="1"/>
      <c r="R1369" s="1"/>
      <c r="S1369" s="1"/>
      <c r="T1369" s="8"/>
      <c r="U1369" s="8"/>
      <c r="V1369" s="1"/>
      <c r="W1369" s="1"/>
      <c r="X1369" s="1"/>
      <c r="Z1369" s="8"/>
    </row>
    <row r="1370" spans="1:26" x14ac:dyDescent="0.2">
      <c r="A1370" s="12">
        <f t="shared" si="44"/>
        <v>1358</v>
      </c>
      <c r="E1370" s="10" t="str">
        <f t="shared" si="43"/>
        <v/>
      </c>
      <c r="I1370" s="53"/>
      <c r="N1370" s="8">
        <v>0</v>
      </c>
      <c r="Q1370" s="1"/>
      <c r="R1370" s="1"/>
      <c r="S1370" s="1"/>
      <c r="T1370" s="8"/>
      <c r="U1370" s="8"/>
      <c r="V1370" s="1"/>
      <c r="W1370" s="1"/>
      <c r="X1370" s="1"/>
      <c r="Z1370" s="8"/>
    </row>
    <row r="1371" spans="1:26" x14ac:dyDescent="0.2">
      <c r="A1371" s="12">
        <f t="shared" si="44"/>
        <v>1359</v>
      </c>
      <c r="E1371" s="10" t="str">
        <f t="shared" si="43"/>
        <v/>
      </c>
      <c r="I1371" s="53"/>
      <c r="N1371" s="8">
        <v>0</v>
      </c>
      <c r="Q1371" s="1"/>
      <c r="R1371" s="1"/>
      <c r="S1371" s="1"/>
      <c r="T1371" s="8"/>
      <c r="U1371" s="8"/>
      <c r="V1371" s="1"/>
      <c r="W1371" s="1"/>
      <c r="X1371" s="1"/>
      <c r="Z1371" s="8"/>
    </row>
    <row r="1372" spans="1:26" x14ac:dyDescent="0.2">
      <c r="A1372" s="12">
        <f t="shared" si="44"/>
        <v>1360</v>
      </c>
      <c r="E1372" s="10" t="str">
        <f t="shared" si="43"/>
        <v/>
      </c>
      <c r="I1372" s="53"/>
      <c r="N1372" s="8">
        <v>0</v>
      </c>
      <c r="Q1372" s="1"/>
      <c r="R1372" s="1"/>
      <c r="S1372" s="1"/>
      <c r="T1372" s="8"/>
      <c r="U1372" s="8"/>
      <c r="V1372" s="1"/>
      <c r="W1372" s="1"/>
      <c r="X1372" s="1"/>
      <c r="Z1372" s="8"/>
    </row>
    <row r="1373" spans="1:26" x14ac:dyDescent="0.2">
      <c r="A1373" s="12">
        <f t="shared" si="44"/>
        <v>1361</v>
      </c>
      <c r="E1373" s="10" t="str">
        <f t="shared" si="43"/>
        <v/>
      </c>
      <c r="I1373" s="53"/>
      <c r="N1373" s="8">
        <v>0</v>
      </c>
      <c r="Q1373" s="1"/>
      <c r="R1373" s="1"/>
      <c r="S1373" s="1"/>
      <c r="T1373" s="8"/>
      <c r="U1373" s="8"/>
      <c r="V1373" s="1"/>
      <c r="W1373" s="1"/>
      <c r="X1373" s="1"/>
      <c r="Z1373" s="8"/>
    </row>
    <row r="1374" spans="1:26" x14ac:dyDescent="0.2">
      <c r="A1374" s="12">
        <f t="shared" si="44"/>
        <v>1362</v>
      </c>
      <c r="E1374" s="10" t="str">
        <f t="shared" si="43"/>
        <v/>
      </c>
      <c r="I1374" s="53"/>
      <c r="N1374" s="8">
        <v>0</v>
      </c>
      <c r="Q1374" s="1"/>
      <c r="R1374" s="1"/>
      <c r="S1374" s="1"/>
      <c r="T1374" s="8"/>
      <c r="U1374" s="8"/>
      <c r="V1374" s="1"/>
      <c r="W1374" s="1"/>
      <c r="X1374" s="1"/>
      <c r="Z1374" s="8"/>
    </row>
    <row r="1375" spans="1:26" x14ac:dyDescent="0.2">
      <c r="A1375" s="12">
        <f t="shared" si="44"/>
        <v>1363</v>
      </c>
      <c r="E1375" s="10" t="str">
        <f t="shared" si="43"/>
        <v/>
      </c>
      <c r="I1375" s="53"/>
      <c r="N1375" s="8">
        <v>0</v>
      </c>
      <c r="Q1375" s="1"/>
      <c r="R1375" s="1"/>
      <c r="S1375" s="1"/>
      <c r="T1375" s="8"/>
      <c r="U1375" s="8"/>
      <c r="V1375" s="1"/>
      <c r="W1375" s="1"/>
      <c r="X1375" s="1"/>
      <c r="Z1375" s="8"/>
    </row>
    <row r="1376" spans="1:26" x14ac:dyDescent="0.2">
      <c r="A1376" s="12">
        <f t="shared" si="44"/>
        <v>1364</v>
      </c>
      <c r="E1376" s="10" t="str">
        <f t="shared" si="43"/>
        <v/>
      </c>
      <c r="I1376" s="53"/>
      <c r="N1376" s="8">
        <v>0</v>
      </c>
      <c r="Q1376" s="1"/>
      <c r="R1376" s="1"/>
      <c r="S1376" s="1"/>
      <c r="T1376" s="8"/>
      <c r="U1376" s="8"/>
      <c r="V1376" s="1"/>
      <c r="W1376" s="1"/>
      <c r="X1376" s="1"/>
      <c r="Z1376" s="8"/>
    </row>
    <row r="1377" spans="1:26" x14ac:dyDescent="0.2">
      <c r="A1377" s="12">
        <f t="shared" si="44"/>
        <v>1365</v>
      </c>
      <c r="E1377" s="10" t="str">
        <f t="shared" si="43"/>
        <v/>
      </c>
      <c r="I1377" s="53"/>
      <c r="N1377" s="8">
        <v>0</v>
      </c>
      <c r="Q1377" s="1"/>
      <c r="R1377" s="1"/>
      <c r="S1377" s="1"/>
      <c r="T1377" s="8"/>
      <c r="U1377" s="8"/>
      <c r="V1377" s="1"/>
      <c r="W1377" s="1"/>
      <c r="X1377" s="1"/>
      <c r="Z1377" s="8"/>
    </row>
    <row r="1378" spans="1:26" x14ac:dyDescent="0.2">
      <c r="A1378" s="12">
        <f t="shared" si="44"/>
        <v>1366</v>
      </c>
      <c r="E1378" s="10" t="str">
        <f t="shared" si="43"/>
        <v/>
      </c>
      <c r="I1378" s="53"/>
      <c r="N1378" s="8">
        <v>0</v>
      </c>
      <c r="Q1378" s="1"/>
      <c r="R1378" s="1"/>
      <c r="S1378" s="1"/>
      <c r="T1378" s="8"/>
      <c r="U1378" s="8"/>
      <c r="V1378" s="1"/>
      <c r="W1378" s="1"/>
      <c r="X1378" s="1"/>
      <c r="Z1378" s="8"/>
    </row>
    <row r="1379" spans="1:26" x14ac:dyDescent="0.2">
      <c r="A1379" s="12">
        <f t="shared" si="44"/>
        <v>1367</v>
      </c>
      <c r="E1379" s="10" t="str">
        <f t="shared" si="43"/>
        <v/>
      </c>
      <c r="I1379" s="53"/>
      <c r="N1379" s="8">
        <v>0</v>
      </c>
      <c r="Q1379" s="1"/>
      <c r="R1379" s="1"/>
      <c r="S1379" s="1"/>
      <c r="T1379" s="8"/>
      <c r="U1379" s="8"/>
      <c r="V1379" s="1"/>
      <c r="W1379" s="1"/>
      <c r="X1379" s="1"/>
      <c r="Z1379" s="8"/>
    </row>
    <row r="1380" spans="1:26" x14ac:dyDescent="0.2">
      <c r="A1380" s="12">
        <f t="shared" si="44"/>
        <v>1368</v>
      </c>
      <c r="E1380" s="10" t="str">
        <f t="shared" si="43"/>
        <v/>
      </c>
      <c r="I1380" s="53"/>
      <c r="N1380" s="8">
        <v>0</v>
      </c>
      <c r="Q1380" s="1"/>
      <c r="R1380" s="1"/>
      <c r="S1380" s="1"/>
      <c r="T1380" s="8"/>
      <c r="U1380" s="8"/>
      <c r="V1380" s="1"/>
      <c r="W1380" s="1"/>
      <c r="X1380" s="1"/>
      <c r="Z1380" s="8"/>
    </row>
    <row r="1381" spans="1:26" x14ac:dyDescent="0.2">
      <c r="A1381" s="12">
        <f t="shared" si="44"/>
        <v>1369</v>
      </c>
      <c r="E1381" s="10" t="str">
        <f t="shared" si="43"/>
        <v/>
      </c>
      <c r="I1381" s="53"/>
      <c r="N1381" s="8">
        <v>0</v>
      </c>
      <c r="Q1381" s="1"/>
      <c r="R1381" s="1"/>
      <c r="S1381" s="1"/>
      <c r="T1381" s="8"/>
      <c r="U1381" s="8"/>
      <c r="V1381" s="1"/>
      <c r="W1381" s="1"/>
      <c r="X1381" s="1"/>
      <c r="Z1381" s="8"/>
    </row>
    <row r="1382" spans="1:26" x14ac:dyDescent="0.2">
      <c r="A1382" s="12">
        <f t="shared" si="44"/>
        <v>1370</v>
      </c>
      <c r="E1382" s="10" t="str">
        <f t="shared" si="43"/>
        <v/>
      </c>
      <c r="I1382" s="53"/>
      <c r="N1382" s="8">
        <v>0</v>
      </c>
      <c r="Q1382" s="1"/>
      <c r="R1382" s="1"/>
      <c r="S1382" s="1"/>
      <c r="T1382" s="8"/>
      <c r="U1382" s="8"/>
      <c r="V1382" s="1"/>
      <c r="W1382" s="1"/>
      <c r="X1382" s="1"/>
      <c r="Z1382" s="8"/>
    </row>
    <row r="1383" spans="1:26" x14ac:dyDescent="0.2">
      <c r="A1383" s="12">
        <f t="shared" si="44"/>
        <v>1371</v>
      </c>
      <c r="E1383" s="10" t="str">
        <f t="shared" si="43"/>
        <v/>
      </c>
      <c r="I1383" s="53"/>
      <c r="N1383" s="8">
        <v>0</v>
      </c>
      <c r="Q1383" s="1"/>
      <c r="R1383" s="1"/>
      <c r="S1383" s="1"/>
      <c r="T1383" s="8"/>
      <c r="U1383" s="8"/>
      <c r="V1383" s="1"/>
      <c r="W1383" s="1"/>
      <c r="X1383" s="1"/>
      <c r="Z1383" s="8"/>
    </row>
    <row r="1384" spans="1:26" x14ac:dyDescent="0.2">
      <c r="A1384" s="12">
        <f t="shared" si="44"/>
        <v>1372</v>
      </c>
      <c r="E1384" s="10" t="str">
        <f t="shared" si="43"/>
        <v/>
      </c>
      <c r="I1384" s="53"/>
      <c r="N1384" s="8">
        <v>0</v>
      </c>
      <c r="Q1384" s="1"/>
      <c r="R1384" s="1"/>
      <c r="S1384" s="1"/>
      <c r="T1384" s="8"/>
      <c r="U1384" s="8"/>
      <c r="V1384" s="1"/>
      <c r="W1384" s="1"/>
      <c r="X1384" s="1"/>
      <c r="Z1384" s="8"/>
    </row>
    <row r="1385" spans="1:26" x14ac:dyDescent="0.2">
      <c r="A1385" s="12">
        <f t="shared" si="44"/>
        <v>1373</v>
      </c>
      <c r="E1385" s="10" t="str">
        <f t="shared" si="43"/>
        <v/>
      </c>
      <c r="I1385" s="53"/>
      <c r="N1385" s="8">
        <v>0</v>
      </c>
      <c r="Q1385" s="1"/>
      <c r="R1385" s="1"/>
      <c r="S1385" s="1"/>
      <c r="T1385" s="8"/>
      <c r="U1385" s="8"/>
      <c r="V1385" s="1"/>
      <c r="W1385" s="1"/>
      <c r="X1385" s="1"/>
      <c r="Z1385" s="8"/>
    </row>
    <row r="1386" spans="1:26" x14ac:dyDescent="0.2">
      <c r="A1386" s="12">
        <f t="shared" si="44"/>
        <v>1374</v>
      </c>
      <c r="E1386" s="10" t="str">
        <f t="shared" si="43"/>
        <v/>
      </c>
      <c r="I1386" s="53"/>
      <c r="N1386" s="8">
        <v>0</v>
      </c>
      <c r="Q1386" s="1"/>
      <c r="R1386" s="1"/>
      <c r="S1386" s="1"/>
      <c r="T1386" s="8"/>
      <c r="U1386" s="8"/>
      <c r="V1386" s="1"/>
      <c r="W1386" s="1"/>
      <c r="X1386" s="1"/>
      <c r="Z1386" s="8"/>
    </row>
    <row r="1387" spans="1:26" x14ac:dyDescent="0.2">
      <c r="A1387" s="12">
        <f t="shared" si="44"/>
        <v>1375</v>
      </c>
      <c r="E1387" s="10" t="str">
        <f t="shared" si="43"/>
        <v/>
      </c>
      <c r="I1387" s="53"/>
      <c r="N1387" s="8">
        <v>0</v>
      </c>
      <c r="Q1387" s="1"/>
      <c r="R1387" s="1"/>
      <c r="S1387" s="1"/>
      <c r="T1387" s="8"/>
      <c r="U1387" s="8"/>
      <c r="V1387" s="1"/>
      <c r="W1387" s="1"/>
      <c r="X1387" s="1"/>
      <c r="Z1387" s="8"/>
    </row>
    <row r="1388" spans="1:26" x14ac:dyDescent="0.2">
      <c r="A1388" s="12">
        <f t="shared" si="44"/>
        <v>1376</v>
      </c>
      <c r="E1388" s="10" t="str">
        <f t="shared" si="43"/>
        <v/>
      </c>
      <c r="I1388" s="53"/>
      <c r="N1388" s="8">
        <v>0</v>
      </c>
      <c r="Q1388" s="1"/>
      <c r="R1388" s="1"/>
      <c r="S1388" s="1"/>
      <c r="T1388" s="8"/>
      <c r="U1388" s="8"/>
      <c r="V1388" s="1"/>
      <c r="W1388" s="1"/>
      <c r="X1388" s="1"/>
      <c r="Z1388" s="8"/>
    </row>
    <row r="1389" spans="1:26" x14ac:dyDescent="0.2">
      <c r="A1389" s="12">
        <f t="shared" si="44"/>
        <v>1377</v>
      </c>
      <c r="E1389" s="10" t="str">
        <f t="shared" si="43"/>
        <v/>
      </c>
      <c r="I1389" s="53"/>
      <c r="N1389" s="8">
        <v>0</v>
      </c>
      <c r="Q1389" s="1"/>
      <c r="R1389" s="1"/>
      <c r="S1389" s="1"/>
      <c r="T1389" s="8"/>
      <c r="U1389" s="8"/>
      <c r="V1389" s="1"/>
      <c r="W1389" s="1"/>
      <c r="X1389" s="1"/>
      <c r="Z1389" s="8"/>
    </row>
    <row r="1390" spans="1:26" x14ac:dyDescent="0.2">
      <c r="A1390" s="12">
        <f t="shared" si="44"/>
        <v>1378</v>
      </c>
      <c r="E1390" s="10" t="str">
        <f t="shared" si="43"/>
        <v/>
      </c>
      <c r="I1390" s="53"/>
      <c r="N1390" s="8">
        <v>0</v>
      </c>
      <c r="Q1390" s="1"/>
      <c r="R1390" s="1"/>
      <c r="S1390" s="1"/>
      <c r="T1390" s="8"/>
      <c r="U1390" s="8"/>
      <c r="V1390" s="1"/>
      <c r="W1390" s="1"/>
      <c r="X1390" s="1"/>
      <c r="Z1390" s="8"/>
    </row>
    <row r="1391" spans="1:26" x14ac:dyDescent="0.2">
      <c r="A1391" s="12">
        <f t="shared" si="44"/>
        <v>1379</v>
      </c>
      <c r="E1391" s="10" t="str">
        <f t="shared" si="43"/>
        <v/>
      </c>
      <c r="I1391" s="53"/>
      <c r="N1391" s="8">
        <v>0</v>
      </c>
      <c r="Q1391" s="1"/>
      <c r="R1391" s="1"/>
      <c r="S1391" s="1"/>
      <c r="T1391" s="8"/>
      <c r="U1391" s="8"/>
      <c r="V1391" s="1"/>
      <c r="W1391" s="1"/>
      <c r="X1391" s="1"/>
      <c r="Z1391" s="8"/>
    </row>
    <row r="1392" spans="1:26" x14ac:dyDescent="0.2">
      <c r="A1392" s="12">
        <f t="shared" si="44"/>
        <v>1380</v>
      </c>
      <c r="E1392" s="10" t="str">
        <f t="shared" si="43"/>
        <v/>
      </c>
      <c r="I1392" s="53"/>
      <c r="N1392" s="8">
        <v>0</v>
      </c>
      <c r="Q1392" s="1"/>
      <c r="R1392" s="1"/>
      <c r="S1392" s="1"/>
      <c r="T1392" s="8"/>
      <c r="U1392" s="8"/>
      <c r="V1392" s="1"/>
      <c r="W1392" s="1"/>
      <c r="X1392" s="1"/>
      <c r="Z1392" s="8"/>
    </row>
    <row r="1393" spans="1:26" x14ac:dyDescent="0.2">
      <c r="A1393" s="12">
        <f t="shared" si="44"/>
        <v>1381</v>
      </c>
      <c r="E1393" s="10" t="str">
        <f t="shared" si="43"/>
        <v/>
      </c>
      <c r="I1393" s="53"/>
      <c r="N1393" s="8">
        <v>0</v>
      </c>
      <c r="Q1393" s="1"/>
      <c r="R1393" s="1"/>
      <c r="S1393" s="1"/>
      <c r="T1393" s="8"/>
      <c r="U1393" s="8"/>
      <c r="V1393" s="1"/>
      <c r="W1393" s="1"/>
      <c r="X1393" s="1"/>
      <c r="Z1393" s="8"/>
    </row>
    <row r="1394" spans="1:26" x14ac:dyDescent="0.2">
      <c r="A1394" s="12">
        <f t="shared" si="44"/>
        <v>1382</v>
      </c>
      <c r="E1394" s="10" t="str">
        <f t="shared" si="43"/>
        <v/>
      </c>
      <c r="I1394" s="53"/>
      <c r="N1394" s="8">
        <v>0</v>
      </c>
      <c r="Q1394" s="1"/>
      <c r="R1394" s="1"/>
      <c r="S1394" s="1"/>
      <c r="T1394" s="8"/>
      <c r="U1394" s="8"/>
      <c r="V1394" s="1"/>
      <c r="W1394" s="1"/>
      <c r="X1394" s="1"/>
      <c r="Z1394" s="8"/>
    </row>
    <row r="1395" spans="1:26" x14ac:dyDescent="0.2">
      <c r="A1395" s="12">
        <f t="shared" si="44"/>
        <v>1383</v>
      </c>
      <c r="E1395" s="10" t="str">
        <f t="shared" si="43"/>
        <v/>
      </c>
      <c r="I1395" s="53"/>
      <c r="N1395" s="8">
        <v>0</v>
      </c>
      <c r="Q1395" s="1"/>
      <c r="R1395" s="1"/>
      <c r="S1395" s="1"/>
      <c r="T1395" s="8"/>
      <c r="U1395" s="8"/>
      <c r="V1395" s="1"/>
      <c r="W1395" s="1"/>
      <c r="X1395" s="1"/>
      <c r="Z1395" s="8"/>
    </row>
    <row r="1396" spans="1:26" x14ac:dyDescent="0.2">
      <c r="A1396" s="12">
        <f t="shared" si="44"/>
        <v>1384</v>
      </c>
      <c r="E1396" s="10" t="str">
        <f t="shared" si="43"/>
        <v/>
      </c>
      <c r="I1396" s="53"/>
      <c r="N1396" s="8">
        <v>0</v>
      </c>
      <c r="Q1396" s="1"/>
      <c r="R1396" s="1"/>
      <c r="S1396" s="1"/>
      <c r="T1396" s="8"/>
      <c r="U1396" s="8"/>
      <c r="V1396" s="1"/>
      <c r="W1396" s="1"/>
      <c r="X1396" s="1"/>
      <c r="Z1396" s="8"/>
    </row>
    <row r="1397" spans="1:26" x14ac:dyDescent="0.2">
      <c r="A1397" s="12">
        <f t="shared" si="44"/>
        <v>1385</v>
      </c>
      <c r="E1397" s="10" t="str">
        <f t="shared" si="43"/>
        <v/>
      </c>
      <c r="I1397" s="53"/>
      <c r="N1397" s="8">
        <v>0</v>
      </c>
      <c r="Q1397" s="1"/>
      <c r="R1397" s="1"/>
      <c r="S1397" s="1"/>
      <c r="T1397" s="8"/>
      <c r="U1397" s="8"/>
      <c r="V1397" s="1"/>
      <c r="W1397" s="1"/>
      <c r="X1397" s="1"/>
      <c r="Z1397" s="8"/>
    </row>
    <row r="1398" spans="1:26" x14ac:dyDescent="0.2">
      <c r="A1398" s="12">
        <f t="shared" si="44"/>
        <v>1386</v>
      </c>
      <c r="E1398" s="10" t="str">
        <f t="shared" si="43"/>
        <v/>
      </c>
      <c r="I1398" s="53"/>
      <c r="N1398" s="8">
        <v>0</v>
      </c>
      <c r="Q1398" s="1"/>
      <c r="R1398" s="1"/>
      <c r="S1398" s="1"/>
      <c r="T1398" s="8"/>
      <c r="U1398" s="8"/>
      <c r="V1398" s="1"/>
      <c r="W1398" s="1"/>
      <c r="X1398" s="1"/>
      <c r="Z1398" s="8"/>
    </row>
    <row r="1399" spans="1:26" x14ac:dyDescent="0.2">
      <c r="A1399" s="12">
        <f t="shared" si="44"/>
        <v>1387</v>
      </c>
      <c r="E1399" s="10" t="str">
        <f t="shared" si="43"/>
        <v/>
      </c>
      <c r="I1399" s="53"/>
      <c r="N1399" s="8">
        <v>0</v>
      </c>
      <c r="Q1399" s="1"/>
      <c r="R1399" s="1"/>
      <c r="S1399" s="1"/>
      <c r="T1399" s="8"/>
      <c r="U1399" s="8"/>
      <c r="V1399" s="1"/>
      <c r="W1399" s="1"/>
      <c r="X1399" s="1"/>
      <c r="Z1399" s="8"/>
    </row>
    <row r="1400" spans="1:26" x14ac:dyDescent="0.2">
      <c r="A1400" s="12">
        <f t="shared" si="44"/>
        <v>1388</v>
      </c>
      <c r="E1400" s="10" t="str">
        <f t="shared" si="43"/>
        <v/>
      </c>
      <c r="I1400" s="53"/>
      <c r="N1400" s="8">
        <v>0</v>
      </c>
      <c r="Q1400" s="1"/>
      <c r="R1400" s="1"/>
      <c r="S1400" s="1"/>
      <c r="T1400" s="8"/>
      <c r="U1400" s="8"/>
      <c r="V1400" s="1"/>
      <c r="W1400" s="1"/>
      <c r="X1400" s="1"/>
      <c r="Z1400" s="8"/>
    </row>
    <row r="1401" spans="1:26" x14ac:dyDescent="0.2">
      <c r="A1401" s="12">
        <f t="shared" si="44"/>
        <v>1389</v>
      </c>
      <c r="E1401" s="10" t="str">
        <f t="shared" si="43"/>
        <v/>
      </c>
      <c r="I1401" s="53"/>
      <c r="N1401" s="8">
        <v>0</v>
      </c>
      <c r="Q1401" s="1"/>
      <c r="R1401" s="1"/>
      <c r="S1401" s="1"/>
      <c r="T1401" s="8"/>
      <c r="U1401" s="8"/>
      <c r="V1401" s="1"/>
      <c r="W1401" s="1"/>
      <c r="X1401" s="1"/>
      <c r="Z1401" s="8"/>
    </row>
    <row r="1402" spans="1:26" x14ac:dyDescent="0.2">
      <c r="A1402" s="12">
        <f t="shared" si="44"/>
        <v>1390</v>
      </c>
      <c r="E1402" s="10" t="str">
        <f t="shared" si="43"/>
        <v/>
      </c>
      <c r="I1402" s="53"/>
      <c r="N1402" s="8">
        <v>0</v>
      </c>
      <c r="Q1402" s="1"/>
      <c r="R1402" s="1"/>
      <c r="S1402" s="1"/>
      <c r="T1402" s="8"/>
      <c r="U1402" s="8"/>
      <c r="V1402" s="1"/>
      <c r="W1402" s="1"/>
      <c r="X1402" s="1"/>
      <c r="Z1402" s="8"/>
    </row>
    <row r="1403" spans="1:26" x14ac:dyDescent="0.2">
      <c r="A1403" s="12">
        <f t="shared" si="44"/>
        <v>1391</v>
      </c>
      <c r="E1403" s="10" t="str">
        <f t="shared" si="43"/>
        <v/>
      </c>
      <c r="I1403" s="53"/>
      <c r="N1403" s="8">
        <v>0</v>
      </c>
      <c r="Q1403" s="1"/>
      <c r="R1403" s="1"/>
      <c r="S1403" s="1"/>
      <c r="T1403" s="8"/>
      <c r="U1403" s="8"/>
      <c r="V1403" s="1"/>
      <c r="W1403" s="1"/>
      <c r="X1403" s="1"/>
      <c r="Z1403" s="8"/>
    </row>
    <row r="1404" spans="1:26" x14ac:dyDescent="0.2">
      <c r="A1404" s="12">
        <f t="shared" si="44"/>
        <v>1392</v>
      </c>
      <c r="E1404" s="10" t="str">
        <f t="shared" si="43"/>
        <v/>
      </c>
      <c r="I1404" s="53"/>
      <c r="N1404" s="8">
        <v>0</v>
      </c>
      <c r="Q1404" s="1"/>
      <c r="R1404" s="1"/>
      <c r="S1404" s="1"/>
      <c r="T1404" s="8"/>
      <c r="U1404" s="8"/>
      <c r="V1404" s="1"/>
      <c r="W1404" s="1"/>
      <c r="X1404" s="1"/>
      <c r="Z1404" s="8"/>
    </row>
    <row r="1405" spans="1:26" x14ac:dyDescent="0.2">
      <c r="A1405" s="12">
        <f t="shared" si="44"/>
        <v>1393</v>
      </c>
      <c r="E1405" s="10" t="str">
        <f t="shared" si="43"/>
        <v/>
      </c>
      <c r="I1405" s="53"/>
      <c r="N1405" s="8">
        <v>0</v>
      </c>
      <c r="Q1405" s="1"/>
      <c r="R1405" s="1"/>
      <c r="S1405" s="1"/>
      <c r="T1405" s="8"/>
      <c r="U1405" s="8"/>
      <c r="V1405" s="1"/>
      <c r="W1405" s="1"/>
      <c r="X1405" s="1"/>
      <c r="Z1405" s="8"/>
    </row>
    <row r="1406" spans="1:26" x14ac:dyDescent="0.2">
      <c r="A1406" s="12">
        <f t="shared" si="44"/>
        <v>1394</v>
      </c>
      <c r="E1406" s="10" t="str">
        <f t="shared" si="43"/>
        <v/>
      </c>
      <c r="I1406" s="53"/>
      <c r="N1406" s="8">
        <v>0</v>
      </c>
      <c r="Q1406" s="1"/>
      <c r="R1406" s="1"/>
      <c r="S1406" s="1"/>
      <c r="T1406" s="8"/>
      <c r="U1406" s="8"/>
      <c r="V1406" s="1"/>
      <c r="W1406" s="1"/>
      <c r="X1406" s="1"/>
      <c r="Z1406" s="8"/>
    </row>
    <row r="1407" spans="1:26" x14ac:dyDescent="0.2">
      <c r="A1407" s="12">
        <f t="shared" si="44"/>
        <v>1395</v>
      </c>
      <c r="E1407" s="10" t="str">
        <f t="shared" si="43"/>
        <v/>
      </c>
      <c r="I1407" s="53"/>
      <c r="N1407" s="8">
        <v>0</v>
      </c>
      <c r="Q1407" s="1"/>
      <c r="R1407" s="1"/>
      <c r="S1407" s="1"/>
      <c r="T1407" s="8"/>
      <c r="U1407" s="8"/>
      <c r="V1407" s="1"/>
      <c r="W1407" s="1"/>
      <c r="X1407" s="1"/>
      <c r="Z1407" s="8"/>
    </row>
    <row r="1408" spans="1:26" x14ac:dyDescent="0.2">
      <c r="A1408" s="12">
        <f t="shared" si="44"/>
        <v>1396</v>
      </c>
      <c r="E1408" s="10" t="str">
        <f t="shared" si="43"/>
        <v/>
      </c>
      <c r="I1408" s="53"/>
      <c r="N1408" s="8">
        <v>0</v>
      </c>
      <c r="Q1408" s="1"/>
      <c r="R1408" s="1"/>
      <c r="S1408" s="1"/>
      <c r="T1408" s="8"/>
      <c r="U1408" s="8"/>
      <c r="V1408" s="1"/>
      <c r="W1408" s="1"/>
      <c r="X1408" s="1"/>
      <c r="Z1408" s="8"/>
    </row>
    <row r="1409" spans="1:26" x14ac:dyDescent="0.2">
      <c r="A1409" s="12">
        <f t="shared" si="44"/>
        <v>1397</v>
      </c>
      <c r="E1409" s="10" t="str">
        <f t="shared" si="43"/>
        <v/>
      </c>
      <c r="I1409" s="53"/>
      <c r="N1409" s="8">
        <v>0</v>
      </c>
      <c r="Q1409" s="1"/>
      <c r="R1409" s="1"/>
      <c r="S1409" s="1"/>
      <c r="T1409" s="8"/>
      <c r="U1409" s="8"/>
      <c r="V1409" s="1"/>
      <c r="W1409" s="1"/>
      <c r="X1409" s="1"/>
      <c r="Z1409" s="8"/>
    </row>
    <row r="1410" spans="1:26" x14ac:dyDescent="0.2">
      <c r="A1410" s="12">
        <f t="shared" si="44"/>
        <v>1398</v>
      </c>
      <c r="E1410" s="10" t="str">
        <f t="shared" si="43"/>
        <v/>
      </c>
      <c r="I1410" s="53"/>
      <c r="N1410" s="8">
        <v>0</v>
      </c>
      <c r="Q1410" s="1"/>
      <c r="R1410" s="1"/>
      <c r="S1410" s="1"/>
      <c r="T1410" s="8"/>
      <c r="U1410" s="8"/>
      <c r="V1410" s="1"/>
      <c r="W1410" s="1"/>
      <c r="X1410" s="1"/>
      <c r="Z1410" s="8"/>
    </row>
    <row r="1411" spans="1:26" x14ac:dyDescent="0.2">
      <c r="A1411" s="12">
        <f t="shared" si="44"/>
        <v>1399</v>
      </c>
      <c r="E1411" s="10" t="str">
        <f t="shared" si="43"/>
        <v/>
      </c>
      <c r="I1411" s="53"/>
      <c r="N1411" s="8">
        <v>0</v>
      </c>
      <c r="Q1411" s="1"/>
      <c r="R1411" s="1"/>
      <c r="S1411" s="1"/>
      <c r="T1411" s="8"/>
      <c r="U1411" s="8"/>
      <c r="V1411" s="1"/>
      <c r="W1411" s="1"/>
      <c r="X1411" s="1"/>
      <c r="Z1411" s="8"/>
    </row>
    <row r="1412" spans="1:26" x14ac:dyDescent="0.2">
      <c r="A1412" s="12">
        <f t="shared" si="44"/>
        <v>1400</v>
      </c>
      <c r="E1412" s="10" t="str">
        <f t="shared" si="43"/>
        <v/>
      </c>
      <c r="I1412" s="53"/>
      <c r="N1412" s="8">
        <v>0</v>
      </c>
      <c r="Q1412" s="1"/>
      <c r="R1412" s="1"/>
      <c r="S1412" s="1"/>
      <c r="T1412" s="8"/>
      <c r="U1412" s="8"/>
      <c r="V1412" s="1"/>
      <c r="W1412" s="1"/>
      <c r="X1412" s="1"/>
      <c r="Z1412" s="8"/>
    </row>
    <row r="1413" spans="1:26" x14ac:dyDescent="0.2">
      <c r="A1413" s="12">
        <f t="shared" si="44"/>
        <v>1401</v>
      </c>
      <c r="E1413" s="10" t="str">
        <f t="shared" si="43"/>
        <v/>
      </c>
      <c r="I1413" s="53"/>
      <c r="N1413" s="8">
        <v>0</v>
      </c>
      <c r="Q1413" s="1"/>
      <c r="R1413" s="1"/>
      <c r="S1413" s="1"/>
      <c r="T1413" s="8"/>
      <c r="U1413" s="8"/>
      <c r="V1413" s="1"/>
      <c r="W1413" s="1"/>
      <c r="X1413" s="1"/>
      <c r="Z1413" s="8"/>
    </row>
    <row r="1414" spans="1:26" x14ac:dyDescent="0.2">
      <c r="A1414" s="12">
        <f t="shared" si="44"/>
        <v>1402</v>
      </c>
      <c r="E1414" s="10" t="str">
        <f t="shared" si="43"/>
        <v/>
      </c>
      <c r="I1414" s="53"/>
      <c r="N1414" s="8">
        <v>0</v>
      </c>
      <c r="Q1414" s="1"/>
      <c r="R1414" s="1"/>
      <c r="S1414" s="1"/>
      <c r="T1414" s="8"/>
      <c r="U1414" s="8"/>
      <c r="V1414" s="1"/>
      <c r="W1414" s="1"/>
      <c r="X1414" s="1"/>
      <c r="Z1414" s="8"/>
    </row>
    <row r="1415" spans="1:26" x14ac:dyDescent="0.2">
      <c r="A1415" s="12">
        <f t="shared" si="44"/>
        <v>1403</v>
      </c>
      <c r="E1415" s="10" t="str">
        <f t="shared" si="43"/>
        <v/>
      </c>
      <c r="I1415" s="53"/>
      <c r="N1415" s="8">
        <v>0</v>
      </c>
      <c r="Q1415" s="1"/>
      <c r="R1415" s="1"/>
      <c r="S1415" s="1"/>
      <c r="T1415" s="8"/>
      <c r="U1415" s="8"/>
      <c r="V1415" s="1"/>
      <c r="W1415" s="1"/>
      <c r="X1415" s="1"/>
      <c r="Z1415" s="8"/>
    </row>
    <row r="1416" spans="1:26" x14ac:dyDescent="0.2">
      <c r="A1416" s="12">
        <f t="shared" si="44"/>
        <v>1404</v>
      </c>
      <c r="E1416" s="10" t="str">
        <f t="shared" si="43"/>
        <v/>
      </c>
      <c r="I1416" s="53"/>
      <c r="N1416" s="8">
        <v>0</v>
      </c>
      <c r="Q1416" s="1"/>
      <c r="R1416" s="1"/>
      <c r="S1416" s="1"/>
      <c r="T1416" s="8"/>
      <c r="U1416" s="8"/>
      <c r="V1416" s="1"/>
      <c r="W1416" s="1"/>
      <c r="X1416" s="1"/>
      <c r="Z1416" s="8"/>
    </row>
    <row r="1417" spans="1:26" x14ac:dyDescent="0.2">
      <c r="A1417" s="12">
        <f t="shared" si="44"/>
        <v>1405</v>
      </c>
      <c r="E1417" s="10" t="str">
        <f t="shared" si="43"/>
        <v/>
      </c>
      <c r="I1417" s="53"/>
      <c r="N1417" s="8">
        <v>0</v>
      </c>
      <c r="Q1417" s="1"/>
      <c r="R1417" s="1"/>
      <c r="S1417" s="1"/>
      <c r="T1417" s="8"/>
      <c r="U1417" s="8"/>
      <c r="V1417" s="1"/>
      <c r="W1417" s="1"/>
      <c r="X1417" s="1"/>
      <c r="Z1417" s="8"/>
    </row>
    <row r="1418" spans="1:26" x14ac:dyDescent="0.2">
      <c r="A1418" s="12">
        <f t="shared" si="44"/>
        <v>1406</v>
      </c>
      <c r="E1418" s="10" t="str">
        <f t="shared" si="43"/>
        <v/>
      </c>
      <c r="I1418" s="53"/>
      <c r="N1418" s="8">
        <v>0</v>
      </c>
      <c r="Q1418" s="1"/>
      <c r="R1418" s="1"/>
      <c r="S1418" s="1"/>
      <c r="T1418" s="8"/>
      <c r="U1418" s="8"/>
      <c r="V1418" s="1"/>
      <c r="W1418" s="1"/>
      <c r="X1418" s="1"/>
      <c r="Z1418" s="8"/>
    </row>
    <row r="1419" spans="1:26" x14ac:dyDescent="0.2">
      <c r="A1419" s="12">
        <f t="shared" si="44"/>
        <v>1407</v>
      </c>
      <c r="E1419" s="10" t="str">
        <f t="shared" si="43"/>
        <v/>
      </c>
      <c r="I1419" s="53"/>
      <c r="N1419" s="8">
        <v>0</v>
      </c>
      <c r="Q1419" s="1"/>
      <c r="R1419" s="1"/>
      <c r="S1419" s="1"/>
      <c r="T1419" s="8"/>
      <c r="U1419" s="8"/>
      <c r="V1419" s="1"/>
      <c r="W1419" s="1"/>
      <c r="X1419" s="1"/>
      <c r="Z1419" s="8"/>
    </row>
    <row r="1420" spans="1:26" x14ac:dyDescent="0.2">
      <c r="A1420" s="12">
        <f t="shared" si="44"/>
        <v>1408</v>
      </c>
      <c r="E1420" s="10" t="str">
        <f t="shared" si="43"/>
        <v/>
      </c>
      <c r="I1420" s="53"/>
      <c r="N1420" s="8">
        <v>0</v>
      </c>
      <c r="Q1420" s="1"/>
      <c r="R1420" s="1"/>
      <c r="S1420" s="1"/>
      <c r="T1420" s="8"/>
      <c r="U1420" s="8"/>
      <c r="V1420" s="1"/>
      <c r="W1420" s="1"/>
      <c r="X1420" s="1"/>
      <c r="Z1420" s="8"/>
    </row>
    <row r="1421" spans="1:26" x14ac:dyDescent="0.2">
      <c r="A1421" s="12">
        <f t="shared" si="44"/>
        <v>1409</v>
      </c>
      <c r="E1421" s="10" t="str">
        <f t="shared" ref="E1421:E1484" si="45">IF($C$8&gt;=A1421,$E$1&amp;" "&amp;A1421,"")</f>
        <v/>
      </c>
      <c r="I1421" s="53"/>
      <c r="N1421" s="8">
        <v>0</v>
      </c>
      <c r="Q1421" s="1"/>
      <c r="R1421" s="1"/>
      <c r="S1421" s="1"/>
      <c r="T1421" s="8"/>
      <c r="U1421" s="8"/>
      <c r="V1421" s="1"/>
      <c r="W1421" s="1"/>
      <c r="X1421" s="1"/>
      <c r="Z1421" s="8"/>
    </row>
    <row r="1422" spans="1:26" x14ac:dyDescent="0.2">
      <c r="A1422" s="12">
        <f t="shared" si="44"/>
        <v>1410</v>
      </c>
      <c r="E1422" s="10" t="str">
        <f t="shared" si="45"/>
        <v/>
      </c>
      <c r="I1422" s="53"/>
      <c r="N1422" s="8">
        <v>0</v>
      </c>
      <c r="Q1422" s="1"/>
      <c r="R1422" s="1"/>
      <c r="S1422" s="1"/>
      <c r="T1422" s="8"/>
      <c r="U1422" s="8"/>
      <c r="V1422" s="1"/>
      <c r="W1422" s="1"/>
      <c r="X1422" s="1"/>
      <c r="Z1422" s="8"/>
    </row>
    <row r="1423" spans="1:26" x14ac:dyDescent="0.2">
      <c r="A1423" s="12">
        <f t="shared" ref="A1423:A1486" si="46">A1422+1</f>
        <v>1411</v>
      </c>
      <c r="E1423" s="10" t="str">
        <f t="shared" si="45"/>
        <v/>
      </c>
      <c r="I1423" s="53"/>
      <c r="N1423" s="8">
        <v>0</v>
      </c>
      <c r="Q1423" s="1"/>
      <c r="R1423" s="1"/>
      <c r="S1423" s="1"/>
      <c r="T1423" s="8"/>
      <c r="U1423" s="8"/>
      <c r="V1423" s="1"/>
      <c r="W1423" s="1"/>
      <c r="X1423" s="1"/>
      <c r="Z1423" s="8"/>
    </row>
    <row r="1424" spans="1:26" x14ac:dyDescent="0.2">
      <c r="A1424" s="12">
        <f t="shared" si="46"/>
        <v>1412</v>
      </c>
      <c r="E1424" s="10" t="str">
        <f t="shared" si="45"/>
        <v/>
      </c>
      <c r="I1424" s="53"/>
      <c r="N1424" s="8">
        <v>0</v>
      </c>
      <c r="Q1424" s="1"/>
      <c r="R1424" s="1"/>
      <c r="S1424" s="1"/>
      <c r="T1424" s="8"/>
      <c r="U1424" s="8"/>
      <c r="V1424" s="1"/>
      <c r="W1424" s="1"/>
      <c r="X1424" s="1"/>
      <c r="Z1424" s="8"/>
    </row>
    <row r="1425" spans="1:26" x14ac:dyDescent="0.2">
      <c r="A1425" s="12">
        <f t="shared" si="46"/>
        <v>1413</v>
      </c>
      <c r="E1425" s="10" t="str">
        <f t="shared" si="45"/>
        <v/>
      </c>
      <c r="I1425" s="53"/>
      <c r="N1425" s="8">
        <v>0</v>
      </c>
      <c r="Q1425" s="1"/>
      <c r="R1425" s="1"/>
      <c r="S1425" s="1"/>
      <c r="T1425" s="8"/>
      <c r="U1425" s="8"/>
      <c r="V1425" s="1"/>
      <c r="W1425" s="1"/>
      <c r="X1425" s="1"/>
      <c r="Z1425" s="8"/>
    </row>
    <row r="1426" spans="1:26" x14ac:dyDescent="0.2">
      <c r="A1426" s="12">
        <f t="shared" si="46"/>
        <v>1414</v>
      </c>
      <c r="E1426" s="10" t="str">
        <f t="shared" si="45"/>
        <v/>
      </c>
      <c r="I1426" s="53"/>
      <c r="N1426" s="8">
        <v>0</v>
      </c>
      <c r="Q1426" s="1"/>
      <c r="R1426" s="1"/>
      <c r="S1426" s="1"/>
      <c r="T1426" s="8"/>
      <c r="U1426" s="8"/>
      <c r="V1426" s="1"/>
      <c r="W1426" s="1"/>
      <c r="X1426" s="1"/>
      <c r="Z1426" s="8"/>
    </row>
    <row r="1427" spans="1:26" x14ac:dyDescent="0.2">
      <c r="A1427" s="12">
        <f t="shared" si="46"/>
        <v>1415</v>
      </c>
      <c r="E1427" s="10" t="str">
        <f t="shared" si="45"/>
        <v/>
      </c>
      <c r="I1427" s="53"/>
      <c r="N1427" s="8">
        <v>0</v>
      </c>
      <c r="Q1427" s="1"/>
      <c r="R1427" s="1"/>
      <c r="S1427" s="1"/>
      <c r="T1427" s="8"/>
      <c r="U1427" s="8"/>
      <c r="V1427" s="1"/>
      <c r="W1427" s="1"/>
      <c r="X1427" s="1"/>
      <c r="Z1427" s="8"/>
    </row>
    <row r="1428" spans="1:26" x14ac:dyDescent="0.2">
      <c r="A1428" s="12">
        <f t="shared" si="46"/>
        <v>1416</v>
      </c>
      <c r="E1428" s="10" t="str">
        <f t="shared" si="45"/>
        <v/>
      </c>
      <c r="I1428" s="53"/>
      <c r="N1428" s="8">
        <v>0</v>
      </c>
      <c r="Q1428" s="1"/>
      <c r="R1428" s="1"/>
      <c r="S1428" s="1"/>
      <c r="T1428" s="8"/>
      <c r="U1428" s="8"/>
      <c r="V1428" s="1"/>
      <c r="W1428" s="1"/>
      <c r="X1428" s="1"/>
      <c r="Z1428" s="8"/>
    </row>
    <row r="1429" spans="1:26" x14ac:dyDescent="0.2">
      <c r="A1429" s="12">
        <f t="shared" si="46"/>
        <v>1417</v>
      </c>
      <c r="E1429" s="10" t="str">
        <f t="shared" si="45"/>
        <v/>
      </c>
      <c r="I1429" s="53"/>
      <c r="N1429" s="8">
        <v>0</v>
      </c>
      <c r="Q1429" s="1"/>
      <c r="R1429" s="1"/>
      <c r="S1429" s="1"/>
      <c r="T1429" s="8"/>
      <c r="U1429" s="8"/>
      <c r="V1429" s="1"/>
      <c r="W1429" s="1"/>
      <c r="X1429" s="1"/>
      <c r="Z1429" s="8"/>
    </row>
    <row r="1430" spans="1:26" x14ac:dyDescent="0.2">
      <c r="A1430" s="12">
        <f t="shared" si="46"/>
        <v>1418</v>
      </c>
      <c r="E1430" s="10" t="str">
        <f t="shared" si="45"/>
        <v/>
      </c>
      <c r="I1430" s="53"/>
      <c r="N1430" s="8">
        <v>0</v>
      </c>
      <c r="Q1430" s="1"/>
      <c r="R1430" s="1"/>
      <c r="S1430" s="1"/>
      <c r="T1430" s="8"/>
      <c r="U1430" s="8"/>
      <c r="V1430" s="1"/>
      <c r="W1430" s="1"/>
      <c r="X1430" s="1"/>
      <c r="Z1430" s="8"/>
    </row>
    <row r="1431" spans="1:26" x14ac:dyDescent="0.2">
      <c r="A1431" s="12">
        <f t="shared" si="46"/>
        <v>1419</v>
      </c>
      <c r="E1431" s="10" t="str">
        <f t="shared" si="45"/>
        <v/>
      </c>
      <c r="I1431" s="53"/>
      <c r="N1431" s="8">
        <v>0</v>
      </c>
      <c r="Q1431" s="1"/>
      <c r="R1431" s="1"/>
      <c r="S1431" s="1"/>
      <c r="T1431" s="8"/>
      <c r="U1431" s="8"/>
      <c r="V1431" s="1"/>
      <c r="W1431" s="1"/>
      <c r="X1431" s="1"/>
      <c r="Z1431" s="8"/>
    </row>
    <row r="1432" spans="1:26" x14ac:dyDescent="0.2">
      <c r="A1432" s="12">
        <f t="shared" si="46"/>
        <v>1420</v>
      </c>
      <c r="E1432" s="10" t="str">
        <f t="shared" si="45"/>
        <v/>
      </c>
      <c r="I1432" s="53"/>
      <c r="N1432" s="8">
        <v>0</v>
      </c>
      <c r="Q1432" s="1"/>
      <c r="R1432" s="1"/>
      <c r="S1432" s="1"/>
      <c r="T1432" s="8"/>
      <c r="U1432" s="8"/>
      <c r="V1432" s="1"/>
      <c r="W1432" s="1"/>
      <c r="X1432" s="1"/>
      <c r="Z1432" s="8"/>
    </row>
    <row r="1433" spans="1:26" x14ac:dyDescent="0.2">
      <c r="A1433" s="12">
        <f t="shared" si="46"/>
        <v>1421</v>
      </c>
      <c r="E1433" s="10" t="str">
        <f t="shared" si="45"/>
        <v/>
      </c>
      <c r="I1433" s="53"/>
      <c r="N1433" s="8">
        <v>0</v>
      </c>
      <c r="Q1433" s="1"/>
      <c r="R1433" s="1"/>
      <c r="S1433" s="1"/>
      <c r="T1433" s="8"/>
      <c r="U1433" s="8"/>
      <c r="V1433" s="1"/>
      <c r="W1433" s="1"/>
      <c r="X1433" s="1"/>
      <c r="Z1433" s="8"/>
    </row>
    <row r="1434" spans="1:26" x14ac:dyDescent="0.2">
      <c r="A1434" s="12">
        <f t="shared" si="46"/>
        <v>1422</v>
      </c>
      <c r="E1434" s="10" t="str">
        <f t="shared" si="45"/>
        <v/>
      </c>
      <c r="I1434" s="53"/>
      <c r="N1434" s="8">
        <v>0</v>
      </c>
      <c r="Q1434" s="1"/>
      <c r="R1434" s="1"/>
      <c r="S1434" s="1"/>
      <c r="T1434" s="8"/>
      <c r="U1434" s="8"/>
      <c r="V1434" s="1"/>
      <c r="W1434" s="1"/>
      <c r="X1434" s="1"/>
      <c r="Z1434" s="8"/>
    </row>
    <row r="1435" spans="1:26" x14ac:dyDescent="0.2">
      <c r="A1435" s="12">
        <f t="shared" si="46"/>
        <v>1423</v>
      </c>
      <c r="E1435" s="10" t="str">
        <f t="shared" si="45"/>
        <v/>
      </c>
      <c r="I1435" s="53"/>
      <c r="N1435" s="8">
        <v>0</v>
      </c>
      <c r="Q1435" s="1"/>
      <c r="R1435" s="1"/>
      <c r="S1435" s="1"/>
      <c r="T1435" s="8"/>
      <c r="U1435" s="8"/>
      <c r="V1435" s="1"/>
      <c r="W1435" s="1"/>
      <c r="X1435" s="1"/>
      <c r="Z1435" s="8"/>
    </row>
    <row r="1436" spans="1:26" x14ac:dyDescent="0.2">
      <c r="A1436" s="12">
        <f t="shared" si="46"/>
        <v>1424</v>
      </c>
      <c r="E1436" s="10" t="str">
        <f t="shared" si="45"/>
        <v/>
      </c>
      <c r="I1436" s="53"/>
      <c r="N1436" s="8">
        <v>0</v>
      </c>
      <c r="Q1436" s="1"/>
      <c r="R1436" s="1"/>
      <c r="S1436" s="1"/>
      <c r="T1436" s="8"/>
      <c r="U1436" s="8"/>
      <c r="V1436" s="1"/>
      <c r="W1436" s="1"/>
      <c r="X1436" s="1"/>
      <c r="Z1436" s="8"/>
    </row>
    <row r="1437" spans="1:26" x14ac:dyDescent="0.2">
      <c r="A1437" s="12">
        <f t="shared" si="46"/>
        <v>1425</v>
      </c>
      <c r="E1437" s="10" t="str">
        <f t="shared" si="45"/>
        <v/>
      </c>
      <c r="I1437" s="53"/>
      <c r="N1437" s="8">
        <v>0</v>
      </c>
      <c r="Q1437" s="1"/>
      <c r="R1437" s="1"/>
      <c r="S1437" s="1"/>
      <c r="T1437" s="8"/>
      <c r="U1437" s="8"/>
      <c r="V1437" s="1"/>
      <c r="W1437" s="1"/>
      <c r="X1437" s="1"/>
      <c r="Z1437" s="8"/>
    </row>
    <row r="1438" spans="1:26" x14ac:dyDescent="0.2">
      <c r="A1438" s="12">
        <f t="shared" si="46"/>
        <v>1426</v>
      </c>
      <c r="E1438" s="10" t="str">
        <f t="shared" si="45"/>
        <v/>
      </c>
      <c r="I1438" s="53"/>
      <c r="N1438" s="8">
        <v>0</v>
      </c>
      <c r="Q1438" s="1"/>
      <c r="R1438" s="1"/>
      <c r="S1438" s="1"/>
      <c r="T1438" s="8"/>
      <c r="U1438" s="8"/>
      <c r="V1438" s="1"/>
      <c r="W1438" s="1"/>
      <c r="X1438" s="1"/>
      <c r="Z1438" s="8"/>
    </row>
    <row r="1439" spans="1:26" x14ac:dyDescent="0.2">
      <c r="A1439" s="12">
        <f t="shared" si="46"/>
        <v>1427</v>
      </c>
      <c r="E1439" s="10" t="str">
        <f t="shared" si="45"/>
        <v/>
      </c>
      <c r="I1439" s="53"/>
      <c r="N1439" s="8">
        <v>0</v>
      </c>
      <c r="Q1439" s="1"/>
      <c r="R1439" s="1"/>
      <c r="S1439" s="1"/>
      <c r="T1439" s="8"/>
      <c r="U1439" s="8"/>
      <c r="V1439" s="1"/>
      <c r="W1439" s="1"/>
      <c r="X1439" s="1"/>
      <c r="Z1439" s="8"/>
    </row>
    <row r="1440" spans="1:26" x14ac:dyDescent="0.2">
      <c r="A1440" s="12">
        <f t="shared" si="46"/>
        <v>1428</v>
      </c>
      <c r="E1440" s="10" t="str">
        <f t="shared" si="45"/>
        <v/>
      </c>
      <c r="I1440" s="53"/>
      <c r="N1440" s="8">
        <v>0</v>
      </c>
      <c r="Q1440" s="1"/>
      <c r="R1440" s="1"/>
      <c r="S1440" s="1"/>
      <c r="T1440" s="8"/>
      <c r="U1440" s="8"/>
      <c r="V1440" s="1"/>
      <c r="W1440" s="1"/>
      <c r="X1440" s="1"/>
      <c r="Z1440" s="8"/>
    </row>
    <row r="1441" spans="1:26" x14ac:dyDescent="0.2">
      <c r="A1441" s="12">
        <f t="shared" si="46"/>
        <v>1429</v>
      </c>
      <c r="E1441" s="10" t="str">
        <f t="shared" si="45"/>
        <v/>
      </c>
      <c r="I1441" s="53"/>
      <c r="N1441" s="8">
        <v>0</v>
      </c>
      <c r="Q1441" s="1"/>
      <c r="R1441" s="1"/>
      <c r="S1441" s="1"/>
      <c r="T1441" s="8"/>
      <c r="U1441" s="8"/>
      <c r="V1441" s="1"/>
      <c r="W1441" s="1"/>
      <c r="X1441" s="1"/>
      <c r="Z1441" s="8"/>
    </row>
    <row r="1442" spans="1:26" x14ac:dyDescent="0.2">
      <c r="A1442" s="12">
        <f t="shared" si="46"/>
        <v>1430</v>
      </c>
      <c r="E1442" s="10" t="str">
        <f t="shared" si="45"/>
        <v/>
      </c>
      <c r="I1442" s="53"/>
      <c r="N1442" s="8">
        <v>0</v>
      </c>
      <c r="Q1442" s="1"/>
      <c r="R1442" s="1"/>
      <c r="S1442" s="1"/>
      <c r="T1442" s="8"/>
      <c r="U1442" s="8"/>
      <c r="V1442" s="1"/>
      <c r="W1442" s="1"/>
      <c r="X1442" s="1"/>
      <c r="Z1442" s="8"/>
    </row>
    <row r="1443" spans="1:26" x14ac:dyDescent="0.2">
      <c r="A1443" s="12">
        <f t="shared" si="46"/>
        <v>1431</v>
      </c>
      <c r="E1443" s="10" t="str">
        <f t="shared" si="45"/>
        <v/>
      </c>
      <c r="I1443" s="53"/>
      <c r="N1443" s="8">
        <v>0</v>
      </c>
      <c r="Q1443" s="1"/>
      <c r="R1443" s="1"/>
      <c r="S1443" s="1"/>
      <c r="T1443" s="8"/>
      <c r="U1443" s="8"/>
      <c r="V1443" s="1"/>
      <c r="W1443" s="1"/>
      <c r="X1443" s="1"/>
      <c r="Z1443" s="8"/>
    </row>
    <row r="1444" spans="1:26" x14ac:dyDescent="0.2">
      <c r="A1444" s="12">
        <f t="shared" si="46"/>
        <v>1432</v>
      </c>
      <c r="E1444" s="10" t="str">
        <f t="shared" si="45"/>
        <v/>
      </c>
      <c r="I1444" s="53"/>
      <c r="N1444" s="8">
        <v>0</v>
      </c>
      <c r="Q1444" s="1"/>
      <c r="R1444" s="1"/>
      <c r="S1444" s="1"/>
      <c r="T1444" s="8"/>
      <c r="U1444" s="8"/>
      <c r="V1444" s="1"/>
      <c r="W1444" s="1"/>
      <c r="X1444" s="1"/>
      <c r="Z1444" s="8"/>
    </row>
    <row r="1445" spans="1:26" x14ac:dyDescent="0.2">
      <c r="A1445" s="12">
        <f t="shared" si="46"/>
        <v>1433</v>
      </c>
      <c r="E1445" s="10" t="str">
        <f t="shared" si="45"/>
        <v/>
      </c>
      <c r="I1445" s="53"/>
      <c r="N1445" s="8">
        <v>0</v>
      </c>
      <c r="Q1445" s="1"/>
      <c r="R1445" s="1"/>
      <c r="S1445" s="1"/>
      <c r="T1445" s="8"/>
      <c r="U1445" s="8"/>
      <c r="V1445" s="1"/>
      <c r="W1445" s="1"/>
      <c r="X1445" s="1"/>
      <c r="Z1445" s="8"/>
    </row>
    <row r="1446" spans="1:26" x14ac:dyDescent="0.2">
      <c r="A1446" s="12">
        <f t="shared" si="46"/>
        <v>1434</v>
      </c>
      <c r="E1446" s="10" t="str">
        <f t="shared" si="45"/>
        <v/>
      </c>
      <c r="I1446" s="53"/>
      <c r="N1446" s="8">
        <v>0</v>
      </c>
      <c r="Q1446" s="1"/>
      <c r="R1446" s="1"/>
      <c r="S1446" s="1"/>
      <c r="T1446" s="8"/>
      <c r="U1446" s="8"/>
      <c r="V1446" s="1"/>
      <c r="W1446" s="1"/>
      <c r="X1446" s="1"/>
      <c r="Z1446" s="8"/>
    </row>
    <row r="1447" spans="1:26" x14ac:dyDescent="0.2">
      <c r="A1447" s="12">
        <f t="shared" si="46"/>
        <v>1435</v>
      </c>
      <c r="E1447" s="10" t="str">
        <f t="shared" si="45"/>
        <v/>
      </c>
      <c r="I1447" s="53"/>
      <c r="N1447" s="8">
        <v>0</v>
      </c>
      <c r="Q1447" s="1"/>
      <c r="R1447" s="1"/>
      <c r="S1447" s="1"/>
      <c r="T1447" s="8"/>
      <c r="U1447" s="8"/>
      <c r="V1447" s="1"/>
      <c r="W1447" s="1"/>
      <c r="X1447" s="1"/>
      <c r="Z1447" s="8"/>
    </row>
    <row r="1448" spans="1:26" x14ac:dyDescent="0.2">
      <c r="A1448" s="12">
        <f t="shared" si="46"/>
        <v>1436</v>
      </c>
      <c r="E1448" s="10" t="str">
        <f t="shared" si="45"/>
        <v/>
      </c>
      <c r="I1448" s="53"/>
      <c r="N1448" s="8">
        <v>0</v>
      </c>
      <c r="Q1448" s="1"/>
      <c r="R1448" s="1"/>
      <c r="S1448" s="1"/>
      <c r="T1448" s="8"/>
      <c r="U1448" s="8"/>
      <c r="V1448" s="1"/>
      <c r="W1448" s="1"/>
      <c r="X1448" s="1"/>
      <c r="Z1448" s="8"/>
    </row>
    <row r="1449" spans="1:26" x14ac:dyDescent="0.2">
      <c r="A1449" s="12">
        <f t="shared" si="46"/>
        <v>1437</v>
      </c>
      <c r="E1449" s="10" t="str">
        <f t="shared" si="45"/>
        <v/>
      </c>
      <c r="I1449" s="53"/>
      <c r="N1449" s="8">
        <v>0</v>
      </c>
      <c r="Q1449" s="1"/>
      <c r="R1449" s="1"/>
      <c r="S1449" s="1"/>
      <c r="T1449" s="8"/>
      <c r="U1449" s="8"/>
      <c r="V1449" s="1"/>
      <c r="W1449" s="1"/>
      <c r="X1449" s="1"/>
      <c r="Z1449" s="8"/>
    </row>
    <row r="1450" spans="1:26" x14ac:dyDescent="0.2">
      <c r="A1450" s="12">
        <f t="shared" si="46"/>
        <v>1438</v>
      </c>
      <c r="E1450" s="10" t="str">
        <f t="shared" si="45"/>
        <v/>
      </c>
      <c r="I1450" s="53"/>
      <c r="N1450" s="8">
        <v>0</v>
      </c>
      <c r="Q1450" s="1"/>
      <c r="R1450" s="1"/>
      <c r="S1450" s="1"/>
      <c r="T1450" s="8"/>
      <c r="U1450" s="8"/>
      <c r="V1450" s="1"/>
      <c r="W1450" s="1"/>
      <c r="X1450" s="1"/>
      <c r="Z1450" s="8"/>
    </row>
    <row r="1451" spans="1:26" x14ac:dyDescent="0.2">
      <c r="A1451" s="12">
        <f t="shared" si="46"/>
        <v>1439</v>
      </c>
      <c r="E1451" s="10" t="str">
        <f t="shared" si="45"/>
        <v/>
      </c>
      <c r="I1451" s="53"/>
      <c r="N1451" s="8">
        <v>0</v>
      </c>
      <c r="Q1451" s="1"/>
      <c r="R1451" s="1"/>
      <c r="S1451" s="1"/>
      <c r="T1451" s="8"/>
      <c r="U1451" s="8"/>
      <c r="V1451" s="1"/>
      <c r="W1451" s="1"/>
      <c r="X1451" s="1"/>
      <c r="Z1451" s="8"/>
    </row>
    <row r="1452" spans="1:26" x14ac:dyDescent="0.2">
      <c r="A1452" s="12">
        <f t="shared" si="46"/>
        <v>1440</v>
      </c>
      <c r="E1452" s="10" t="str">
        <f t="shared" si="45"/>
        <v/>
      </c>
      <c r="I1452" s="53"/>
      <c r="N1452" s="8">
        <v>0</v>
      </c>
      <c r="Q1452" s="1"/>
      <c r="R1452" s="1"/>
      <c r="S1452" s="1"/>
      <c r="T1452" s="8"/>
      <c r="U1452" s="8"/>
      <c r="V1452" s="1"/>
      <c r="W1452" s="1"/>
      <c r="X1452" s="1"/>
      <c r="Z1452" s="8"/>
    </row>
    <row r="1453" spans="1:26" x14ac:dyDescent="0.2">
      <c r="A1453" s="12">
        <f t="shared" si="46"/>
        <v>1441</v>
      </c>
      <c r="E1453" s="10" t="str">
        <f t="shared" si="45"/>
        <v/>
      </c>
      <c r="I1453" s="53"/>
      <c r="N1453" s="8">
        <v>0</v>
      </c>
      <c r="Q1453" s="1"/>
      <c r="R1453" s="1"/>
      <c r="S1453" s="1"/>
      <c r="T1453" s="8"/>
      <c r="U1453" s="8"/>
      <c r="V1453" s="1"/>
      <c r="W1453" s="1"/>
      <c r="X1453" s="1"/>
      <c r="Z1453" s="8"/>
    </row>
    <row r="1454" spans="1:26" x14ac:dyDescent="0.2">
      <c r="A1454" s="12">
        <f t="shared" si="46"/>
        <v>1442</v>
      </c>
      <c r="E1454" s="10" t="str">
        <f t="shared" si="45"/>
        <v/>
      </c>
      <c r="I1454" s="53"/>
      <c r="N1454" s="8">
        <v>0</v>
      </c>
      <c r="Q1454" s="1"/>
      <c r="R1454" s="1"/>
      <c r="S1454" s="1"/>
      <c r="T1454" s="8"/>
      <c r="U1454" s="8"/>
      <c r="V1454" s="1"/>
      <c r="W1454" s="1"/>
      <c r="X1454" s="1"/>
      <c r="Z1454" s="8"/>
    </row>
    <row r="1455" spans="1:26" x14ac:dyDescent="0.2">
      <c r="A1455" s="12">
        <f t="shared" si="46"/>
        <v>1443</v>
      </c>
      <c r="E1455" s="10" t="str">
        <f t="shared" si="45"/>
        <v/>
      </c>
      <c r="I1455" s="53"/>
      <c r="N1455" s="8">
        <v>0</v>
      </c>
      <c r="Q1455" s="1"/>
      <c r="R1455" s="1"/>
      <c r="S1455" s="1"/>
      <c r="T1455" s="8"/>
      <c r="U1455" s="8"/>
      <c r="V1455" s="1"/>
      <c r="W1455" s="1"/>
      <c r="X1455" s="1"/>
      <c r="Z1455" s="8"/>
    </row>
    <row r="1456" spans="1:26" x14ac:dyDescent="0.2">
      <c r="A1456" s="12">
        <f t="shared" si="46"/>
        <v>1444</v>
      </c>
      <c r="E1456" s="10" t="str">
        <f t="shared" si="45"/>
        <v/>
      </c>
      <c r="I1456" s="53"/>
      <c r="N1456" s="8">
        <v>0</v>
      </c>
      <c r="Q1456" s="1"/>
      <c r="R1456" s="1"/>
      <c r="S1456" s="1"/>
      <c r="T1456" s="8"/>
      <c r="U1456" s="8"/>
      <c r="V1456" s="1"/>
      <c r="W1456" s="1"/>
      <c r="X1456" s="1"/>
      <c r="Z1456" s="8"/>
    </row>
    <row r="1457" spans="1:26" x14ac:dyDescent="0.2">
      <c r="A1457" s="12">
        <f t="shared" si="46"/>
        <v>1445</v>
      </c>
      <c r="E1457" s="10" t="str">
        <f t="shared" si="45"/>
        <v/>
      </c>
      <c r="I1457" s="53"/>
      <c r="N1457" s="8">
        <v>0</v>
      </c>
      <c r="Q1457" s="1"/>
      <c r="R1457" s="1"/>
      <c r="S1457" s="1"/>
      <c r="T1457" s="8"/>
      <c r="U1457" s="8"/>
      <c r="V1457" s="1"/>
      <c r="W1457" s="1"/>
      <c r="X1457" s="1"/>
      <c r="Z1457" s="8"/>
    </row>
    <row r="1458" spans="1:26" x14ac:dyDescent="0.2">
      <c r="A1458" s="12">
        <f t="shared" si="46"/>
        <v>1446</v>
      </c>
      <c r="E1458" s="10" t="str">
        <f t="shared" si="45"/>
        <v/>
      </c>
      <c r="I1458" s="53"/>
      <c r="N1458" s="8">
        <v>0</v>
      </c>
      <c r="Q1458" s="1"/>
      <c r="R1458" s="1"/>
      <c r="S1458" s="1"/>
      <c r="T1458" s="8"/>
      <c r="U1458" s="8"/>
      <c r="V1458" s="1"/>
      <c r="W1458" s="1"/>
      <c r="X1458" s="1"/>
      <c r="Z1458" s="8"/>
    </row>
    <row r="1459" spans="1:26" x14ac:dyDescent="0.2">
      <c r="A1459" s="12">
        <f t="shared" si="46"/>
        <v>1447</v>
      </c>
      <c r="E1459" s="10" t="str">
        <f t="shared" si="45"/>
        <v/>
      </c>
      <c r="I1459" s="53"/>
      <c r="N1459" s="8">
        <v>0</v>
      </c>
      <c r="Q1459" s="1"/>
      <c r="R1459" s="1"/>
      <c r="S1459" s="1"/>
      <c r="T1459" s="8"/>
      <c r="U1459" s="8"/>
      <c r="V1459" s="1"/>
      <c r="W1459" s="1"/>
      <c r="X1459" s="1"/>
      <c r="Z1459" s="8"/>
    </row>
    <row r="1460" spans="1:26" x14ac:dyDescent="0.2">
      <c r="A1460" s="12">
        <f t="shared" si="46"/>
        <v>1448</v>
      </c>
      <c r="E1460" s="10" t="str">
        <f t="shared" si="45"/>
        <v/>
      </c>
      <c r="I1460" s="53"/>
      <c r="N1460" s="8">
        <v>0</v>
      </c>
      <c r="Q1460" s="1"/>
      <c r="R1460" s="1"/>
      <c r="S1460" s="1"/>
      <c r="T1460" s="8"/>
      <c r="U1460" s="8"/>
      <c r="V1460" s="1"/>
      <c r="W1460" s="1"/>
      <c r="X1460" s="1"/>
      <c r="Z1460" s="8"/>
    </row>
    <row r="1461" spans="1:26" x14ac:dyDescent="0.2">
      <c r="A1461" s="12">
        <f t="shared" si="46"/>
        <v>1449</v>
      </c>
      <c r="E1461" s="10" t="str">
        <f t="shared" si="45"/>
        <v/>
      </c>
      <c r="I1461" s="53"/>
      <c r="N1461" s="8">
        <v>0</v>
      </c>
      <c r="Q1461" s="1"/>
      <c r="R1461" s="1"/>
      <c r="S1461" s="1"/>
      <c r="T1461" s="8"/>
      <c r="U1461" s="8"/>
      <c r="V1461" s="1"/>
      <c r="W1461" s="1"/>
      <c r="X1461" s="1"/>
      <c r="Z1461" s="8"/>
    </row>
    <row r="1462" spans="1:26" x14ac:dyDescent="0.2">
      <c r="A1462" s="12">
        <f t="shared" si="46"/>
        <v>1450</v>
      </c>
      <c r="E1462" s="10" t="str">
        <f t="shared" si="45"/>
        <v/>
      </c>
      <c r="I1462" s="53"/>
      <c r="N1462" s="8">
        <v>0</v>
      </c>
      <c r="Q1462" s="1"/>
      <c r="R1462" s="1"/>
      <c r="S1462" s="1"/>
      <c r="T1462" s="8"/>
      <c r="U1462" s="8"/>
      <c r="V1462" s="1"/>
      <c r="W1462" s="1"/>
      <c r="X1462" s="1"/>
      <c r="Z1462" s="8"/>
    </row>
    <row r="1463" spans="1:26" x14ac:dyDescent="0.2">
      <c r="A1463" s="12">
        <f t="shared" si="46"/>
        <v>1451</v>
      </c>
      <c r="E1463" s="10" t="str">
        <f t="shared" si="45"/>
        <v/>
      </c>
      <c r="I1463" s="53"/>
      <c r="N1463" s="8">
        <v>0</v>
      </c>
      <c r="Q1463" s="1"/>
      <c r="R1463" s="1"/>
      <c r="S1463" s="1"/>
      <c r="T1463" s="8"/>
      <c r="U1463" s="8"/>
      <c r="V1463" s="1"/>
      <c r="W1463" s="1"/>
      <c r="X1463" s="1"/>
      <c r="Z1463" s="8"/>
    </row>
    <row r="1464" spans="1:26" x14ac:dyDescent="0.2">
      <c r="A1464" s="12">
        <f t="shared" si="46"/>
        <v>1452</v>
      </c>
      <c r="E1464" s="10" t="str">
        <f t="shared" si="45"/>
        <v/>
      </c>
      <c r="I1464" s="53"/>
      <c r="N1464" s="8">
        <v>0</v>
      </c>
      <c r="Q1464" s="1"/>
      <c r="R1464" s="1"/>
      <c r="S1464" s="1"/>
      <c r="T1464" s="8"/>
      <c r="U1464" s="8"/>
      <c r="V1464" s="1"/>
      <c r="W1464" s="1"/>
      <c r="X1464" s="1"/>
      <c r="Z1464" s="8"/>
    </row>
    <row r="1465" spans="1:26" x14ac:dyDescent="0.2">
      <c r="A1465" s="12">
        <f t="shared" si="46"/>
        <v>1453</v>
      </c>
      <c r="E1465" s="10" t="str">
        <f t="shared" si="45"/>
        <v/>
      </c>
      <c r="I1465" s="53"/>
      <c r="N1465" s="8">
        <v>0</v>
      </c>
      <c r="Q1465" s="1"/>
      <c r="R1465" s="1"/>
      <c r="S1465" s="1"/>
      <c r="T1465" s="8"/>
      <c r="U1465" s="8"/>
      <c r="V1465" s="1"/>
      <c r="W1465" s="1"/>
      <c r="X1465" s="1"/>
      <c r="Z1465" s="8"/>
    </row>
    <row r="1466" spans="1:26" x14ac:dyDescent="0.2">
      <c r="A1466" s="12">
        <f t="shared" si="46"/>
        <v>1454</v>
      </c>
      <c r="E1466" s="10" t="str">
        <f t="shared" si="45"/>
        <v/>
      </c>
      <c r="I1466" s="53"/>
      <c r="N1466" s="8">
        <v>0</v>
      </c>
      <c r="Q1466" s="1"/>
      <c r="R1466" s="1"/>
      <c r="S1466" s="1"/>
      <c r="T1466" s="8"/>
      <c r="U1466" s="8"/>
      <c r="V1466" s="1"/>
      <c r="W1466" s="1"/>
      <c r="X1466" s="1"/>
      <c r="Z1466" s="8"/>
    </row>
    <row r="1467" spans="1:26" x14ac:dyDescent="0.2">
      <c r="A1467" s="12">
        <f t="shared" si="46"/>
        <v>1455</v>
      </c>
      <c r="E1467" s="10" t="str">
        <f t="shared" si="45"/>
        <v/>
      </c>
      <c r="I1467" s="53"/>
      <c r="N1467" s="8">
        <v>0</v>
      </c>
      <c r="Q1467" s="1"/>
      <c r="R1467" s="1"/>
      <c r="S1467" s="1"/>
      <c r="T1467" s="8"/>
      <c r="U1467" s="8"/>
      <c r="V1467" s="1"/>
      <c r="W1467" s="1"/>
      <c r="X1467" s="1"/>
      <c r="Z1467" s="8"/>
    </row>
    <row r="1468" spans="1:26" x14ac:dyDescent="0.2">
      <c r="A1468" s="12">
        <f t="shared" si="46"/>
        <v>1456</v>
      </c>
      <c r="E1468" s="10" t="str">
        <f t="shared" si="45"/>
        <v/>
      </c>
      <c r="I1468" s="53"/>
      <c r="N1468" s="8">
        <v>0</v>
      </c>
      <c r="Q1468" s="1"/>
      <c r="R1468" s="1"/>
      <c r="S1468" s="1"/>
      <c r="T1468" s="8"/>
      <c r="U1468" s="8"/>
      <c r="V1468" s="1"/>
      <c r="W1468" s="1"/>
      <c r="X1468" s="1"/>
      <c r="Z1468" s="8"/>
    </row>
    <row r="1469" spans="1:26" x14ac:dyDescent="0.2">
      <c r="A1469" s="12">
        <f t="shared" si="46"/>
        <v>1457</v>
      </c>
      <c r="E1469" s="10" t="str">
        <f t="shared" si="45"/>
        <v/>
      </c>
      <c r="I1469" s="53"/>
      <c r="N1469" s="8">
        <v>0</v>
      </c>
      <c r="Q1469" s="1"/>
      <c r="R1469" s="1"/>
      <c r="S1469" s="1"/>
      <c r="T1469" s="8"/>
      <c r="U1469" s="8"/>
      <c r="V1469" s="1"/>
      <c r="W1469" s="1"/>
      <c r="X1469" s="1"/>
      <c r="Z1469" s="8"/>
    </row>
    <row r="1470" spans="1:26" x14ac:dyDescent="0.2">
      <c r="A1470" s="12">
        <f t="shared" si="46"/>
        <v>1458</v>
      </c>
      <c r="E1470" s="10" t="str">
        <f t="shared" si="45"/>
        <v/>
      </c>
      <c r="I1470" s="53"/>
      <c r="N1470" s="8">
        <v>0</v>
      </c>
      <c r="Q1470" s="1"/>
      <c r="R1470" s="1"/>
      <c r="S1470" s="1"/>
      <c r="T1470" s="8"/>
      <c r="U1470" s="8"/>
      <c r="V1470" s="1"/>
      <c r="W1470" s="1"/>
      <c r="X1470" s="1"/>
      <c r="Z1470" s="8"/>
    </row>
    <row r="1471" spans="1:26" x14ac:dyDescent="0.2">
      <c r="A1471" s="12">
        <f t="shared" si="46"/>
        <v>1459</v>
      </c>
      <c r="E1471" s="10" t="str">
        <f t="shared" si="45"/>
        <v/>
      </c>
      <c r="I1471" s="53"/>
      <c r="N1471" s="8">
        <v>0</v>
      </c>
      <c r="Q1471" s="1"/>
      <c r="R1471" s="1"/>
      <c r="S1471" s="1"/>
      <c r="T1471" s="8"/>
      <c r="U1471" s="8"/>
      <c r="V1471" s="1"/>
      <c r="W1471" s="1"/>
      <c r="X1471" s="1"/>
      <c r="Z1471" s="8"/>
    </row>
    <row r="1472" spans="1:26" x14ac:dyDescent="0.2">
      <c r="A1472" s="12">
        <f t="shared" si="46"/>
        <v>1460</v>
      </c>
      <c r="E1472" s="10" t="str">
        <f t="shared" si="45"/>
        <v/>
      </c>
      <c r="I1472" s="53"/>
      <c r="N1472" s="8">
        <v>0</v>
      </c>
      <c r="Q1472" s="1"/>
      <c r="R1472" s="1"/>
      <c r="S1472" s="1"/>
      <c r="T1472" s="8"/>
      <c r="U1472" s="8"/>
      <c r="V1472" s="1"/>
      <c r="W1472" s="1"/>
      <c r="X1472" s="1"/>
      <c r="Z1472" s="8"/>
    </row>
    <row r="1473" spans="1:26" x14ac:dyDescent="0.2">
      <c r="A1473" s="12">
        <f t="shared" si="46"/>
        <v>1461</v>
      </c>
      <c r="E1473" s="10" t="str">
        <f t="shared" si="45"/>
        <v/>
      </c>
      <c r="I1473" s="53"/>
      <c r="N1473" s="8">
        <v>0</v>
      </c>
      <c r="Q1473" s="1"/>
      <c r="R1473" s="1"/>
      <c r="S1473" s="1"/>
      <c r="T1473" s="8"/>
      <c r="U1473" s="8"/>
      <c r="V1473" s="1"/>
      <c r="W1473" s="1"/>
      <c r="X1473" s="1"/>
      <c r="Z1473" s="8"/>
    </row>
    <row r="1474" spans="1:26" x14ac:dyDescent="0.2">
      <c r="A1474" s="12">
        <f t="shared" si="46"/>
        <v>1462</v>
      </c>
      <c r="E1474" s="10" t="str">
        <f t="shared" si="45"/>
        <v/>
      </c>
      <c r="I1474" s="53"/>
      <c r="N1474" s="8">
        <v>0</v>
      </c>
      <c r="Q1474" s="1"/>
      <c r="R1474" s="1"/>
      <c r="S1474" s="1"/>
      <c r="T1474" s="8"/>
      <c r="U1474" s="8"/>
      <c r="V1474" s="1"/>
      <c r="W1474" s="1"/>
      <c r="X1474" s="1"/>
      <c r="Z1474" s="8"/>
    </row>
    <row r="1475" spans="1:26" x14ac:dyDescent="0.2">
      <c r="A1475" s="12">
        <f t="shared" si="46"/>
        <v>1463</v>
      </c>
      <c r="E1475" s="10" t="str">
        <f t="shared" si="45"/>
        <v/>
      </c>
      <c r="I1475" s="53"/>
      <c r="N1475" s="8">
        <v>0</v>
      </c>
      <c r="Q1475" s="1"/>
      <c r="R1475" s="1"/>
      <c r="S1475" s="1"/>
      <c r="T1475" s="8"/>
      <c r="U1475" s="8"/>
      <c r="V1475" s="1"/>
      <c r="W1475" s="1"/>
      <c r="X1475" s="1"/>
      <c r="Z1475" s="8"/>
    </row>
    <row r="1476" spans="1:26" x14ac:dyDescent="0.2">
      <c r="A1476" s="12">
        <f t="shared" si="46"/>
        <v>1464</v>
      </c>
      <c r="E1476" s="10" t="str">
        <f t="shared" si="45"/>
        <v/>
      </c>
      <c r="I1476" s="53"/>
      <c r="N1476" s="8">
        <v>0</v>
      </c>
      <c r="Q1476" s="1"/>
      <c r="R1476" s="1"/>
      <c r="S1476" s="1"/>
      <c r="T1476" s="8"/>
      <c r="U1476" s="8"/>
      <c r="V1476" s="1"/>
      <c r="W1476" s="1"/>
      <c r="X1476" s="1"/>
      <c r="Z1476" s="8"/>
    </row>
    <row r="1477" spans="1:26" x14ac:dyDescent="0.2">
      <c r="A1477" s="12">
        <f t="shared" si="46"/>
        <v>1465</v>
      </c>
      <c r="E1477" s="10" t="str">
        <f t="shared" si="45"/>
        <v/>
      </c>
      <c r="I1477" s="53"/>
      <c r="N1477" s="8">
        <v>0</v>
      </c>
      <c r="Q1477" s="1"/>
      <c r="R1477" s="1"/>
      <c r="S1477" s="1"/>
      <c r="T1477" s="8"/>
      <c r="U1477" s="8"/>
      <c r="V1477" s="1"/>
      <c r="W1477" s="1"/>
      <c r="X1477" s="1"/>
      <c r="Z1477" s="8"/>
    </row>
    <row r="1478" spans="1:26" x14ac:dyDescent="0.2">
      <c r="A1478" s="12">
        <f t="shared" si="46"/>
        <v>1466</v>
      </c>
      <c r="E1478" s="10" t="str">
        <f t="shared" si="45"/>
        <v/>
      </c>
      <c r="I1478" s="53"/>
      <c r="N1478" s="8">
        <v>0</v>
      </c>
      <c r="Q1478" s="1"/>
      <c r="R1478" s="1"/>
      <c r="S1478" s="1"/>
      <c r="T1478" s="8"/>
      <c r="U1478" s="8"/>
      <c r="V1478" s="1"/>
      <c r="W1478" s="1"/>
      <c r="X1478" s="1"/>
      <c r="Z1478" s="8"/>
    </row>
    <row r="1479" spans="1:26" x14ac:dyDescent="0.2">
      <c r="A1479" s="12">
        <f t="shared" si="46"/>
        <v>1467</v>
      </c>
      <c r="E1479" s="10" t="str">
        <f t="shared" si="45"/>
        <v/>
      </c>
      <c r="I1479" s="53"/>
      <c r="N1479" s="8">
        <v>0</v>
      </c>
      <c r="Q1479" s="1"/>
      <c r="R1479" s="1"/>
      <c r="S1479" s="1"/>
      <c r="T1479" s="8"/>
      <c r="U1479" s="8"/>
      <c r="V1479" s="1"/>
      <c r="W1479" s="1"/>
      <c r="X1479" s="1"/>
      <c r="Z1479" s="8"/>
    </row>
    <row r="1480" spans="1:26" x14ac:dyDescent="0.2">
      <c r="A1480" s="12">
        <f t="shared" si="46"/>
        <v>1468</v>
      </c>
      <c r="E1480" s="10" t="str">
        <f t="shared" si="45"/>
        <v/>
      </c>
      <c r="I1480" s="53"/>
      <c r="N1480" s="8">
        <v>0</v>
      </c>
      <c r="Q1480" s="1"/>
      <c r="R1480" s="1"/>
      <c r="S1480" s="1"/>
      <c r="T1480" s="8"/>
      <c r="U1480" s="8"/>
      <c r="V1480" s="1"/>
      <c r="W1480" s="1"/>
      <c r="X1480" s="1"/>
      <c r="Z1480" s="8"/>
    </row>
    <row r="1481" spans="1:26" x14ac:dyDescent="0.2">
      <c r="A1481" s="12">
        <f t="shared" si="46"/>
        <v>1469</v>
      </c>
      <c r="E1481" s="10" t="str">
        <f t="shared" si="45"/>
        <v/>
      </c>
      <c r="I1481" s="53"/>
      <c r="N1481" s="8">
        <v>0</v>
      </c>
      <c r="Q1481" s="1"/>
      <c r="R1481" s="1"/>
      <c r="S1481" s="1"/>
      <c r="T1481" s="8"/>
      <c r="U1481" s="8"/>
      <c r="V1481" s="1"/>
      <c r="W1481" s="1"/>
      <c r="X1481" s="1"/>
      <c r="Z1481" s="8"/>
    </row>
    <row r="1482" spans="1:26" x14ac:dyDescent="0.2">
      <c r="A1482" s="12">
        <f t="shared" si="46"/>
        <v>1470</v>
      </c>
      <c r="E1482" s="10" t="str">
        <f t="shared" si="45"/>
        <v/>
      </c>
      <c r="I1482" s="53"/>
      <c r="N1482" s="8">
        <v>0</v>
      </c>
      <c r="Q1482" s="1"/>
      <c r="R1482" s="1"/>
      <c r="S1482" s="1"/>
      <c r="T1482" s="8"/>
      <c r="U1482" s="8"/>
      <c r="V1482" s="1"/>
      <c r="W1482" s="1"/>
      <c r="X1482" s="1"/>
      <c r="Z1482" s="8"/>
    </row>
    <row r="1483" spans="1:26" x14ac:dyDescent="0.2">
      <c r="A1483" s="12">
        <f t="shared" si="46"/>
        <v>1471</v>
      </c>
      <c r="E1483" s="10" t="str">
        <f t="shared" si="45"/>
        <v/>
      </c>
      <c r="I1483" s="53"/>
      <c r="N1483" s="8">
        <v>0</v>
      </c>
      <c r="Q1483" s="1"/>
      <c r="R1483" s="1"/>
      <c r="S1483" s="1"/>
      <c r="T1483" s="8"/>
      <c r="U1483" s="8"/>
      <c r="V1483" s="1"/>
      <c r="W1483" s="1"/>
      <c r="X1483" s="1"/>
      <c r="Z1483" s="8"/>
    </row>
    <row r="1484" spans="1:26" x14ac:dyDescent="0.2">
      <c r="A1484" s="12">
        <f t="shared" si="46"/>
        <v>1472</v>
      </c>
      <c r="E1484" s="10" t="str">
        <f t="shared" si="45"/>
        <v/>
      </c>
      <c r="I1484" s="53"/>
      <c r="N1484" s="8">
        <v>0</v>
      </c>
      <c r="Q1484" s="1"/>
      <c r="R1484" s="1"/>
      <c r="S1484" s="1"/>
      <c r="T1484" s="8"/>
      <c r="U1484" s="8"/>
      <c r="V1484" s="1"/>
      <c r="W1484" s="1"/>
      <c r="X1484" s="1"/>
      <c r="Z1484" s="8"/>
    </row>
    <row r="1485" spans="1:26" x14ac:dyDescent="0.2">
      <c r="A1485" s="12">
        <f t="shared" si="46"/>
        <v>1473</v>
      </c>
      <c r="E1485" s="10" t="str">
        <f t="shared" ref="E1485:E1511" si="47">IF($C$8&gt;=A1485,$E$1&amp;" "&amp;A1485,"")</f>
        <v/>
      </c>
      <c r="I1485" s="53"/>
      <c r="N1485" s="8">
        <v>0</v>
      </c>
      <c r="Q1485" s="1"/>
      <c r="R1485" s="1"/>
      <c r="S1485" s="1"/>
      <c r="T1485" s="8"/>
      <c r="U1485" s="8"/>
      <c r="V1485" s="1"/>
      <c r="W1485" s="1"/>
      <c r="X1485" s="1"/>
      <c r="Z1485" s="8"/>
    </row>
    <row r="1486" spans="1:26" x14ac:dyDescent="0.2">
      <c r="A1486" s="12">
        <f t="shared" si="46"/>
        <v>1474</v>
      </c>
      <c r="E1486" s="10" t="str">
        <f t="shared" si="47"/>
        <v/>
      </c>
      <c r="I1486" s="53"/>
      <c r="N1486" s="8">
        <v>0</v>
      </c>
      <c r="Q1486" s="1"/>
      <c r="R1486" s="1"/>
      <c r="S1486" s="1"/>
      <c r="T1486" s="8"/>
      <c r="U1486" s="8"/>
      <c r="V1486" s="1"/>
      <c r="W1486" s="1"/>
      <c r="X1486" s="1"/>
      <c r="Z1486" s="8"/>
    </row>
    <row r="1487" spans="1:26" x14ac:dyDescent="0.2">
      <c r="A1487" s="12">
        <f t="shared" ref="A1487:A1512" si="48">A1486+1</f>
        <v>1475</v>
      </c>
      <c r="E1487" s="10" t="str">
        <f t="shared" si="47"/>
        <v/>
      </c>
      <c r="I1487" s="53"/>
      <c r="N1487" s="8">
        <v>0</v>
      </c>
      <c r="Q1487" s="1"/>
      <c r="R1487" s="1"/>
      <c r="S1487" s="1"/>
      <c r="T1487" s="8"/>
      <c r="U1487" s="8"/>
      <c r="V1487" s="1"/>
      <c r="W1487" s="1"/>
      <c r="X1487" s="1"/>
      <c r="Z1487" s="8"/>
    </row>
    <row r="1488" spans="1:26" x14ac:dyDescent="0.2">
      <c r="A1488" s="12">
        <f t="shared" si="48"/>
        <v>1476</v>
      </c>
      <c r="E1488" s="10" t="str">
        <f t="shared" si="47"/>
        <v/>
      </c>
      <c r="I1488" s="53"/>
      <c r="N1488" s="8">
        <v>0</v>
      </c>
      <c r="Q1488" s="1"/>
      <c r="R1488" s="1"/>
      <c r="S1488" s="1"/>
      <c r="T1488" s="8"/>
      <c r="U1488" s="8"/>
      <c r="V1488" s="1"/>
      <c r="W1488" s="1"/>
      <c r="X1488" s="1"/>
      <c r="Z1488" s="8"/>
    </row>
    <row r="1489" spans="1:26" x14ac:dyDescent="0.2">
      <c r="A1489" s="12">
        <f t="shared" si="48"/>
        <v>1477</v>
      </c>
      <c r="E1489" s="10" t="str">
        <f t="shared" si="47"/>
        <v/>
      </c>
      <c r="I1489" s="53"/>
      <c r="N1489" s="8">
        <v>0</v>
      </c>
      <c r="Q1489" s="1"/>
      <c r="R1489" s="1"/>
      <c r="S1489" s="1"/>
      <c r="T1489" s="8"/>
      <c r="U1489" s="8"/>
      <c r="V1489" s="1"/>
      <c r="W1489" s="1"/>
      <c r="X1489" s="1"/>
      <c r="Z1489" s="8"/>
    </row>
    <row r="1490" spans="1:26" x14ac:dyDescent="0.2">
      <c r="A1490" s="12">
        <f t="shared" si="48"/>
        <v>1478</v>
      </c>
      <c r="E1490" s="10" t="str">
        <f t="shared" si="47"/>
        <v/>
      </c>
      <c r="I1490" s="53"/>
      <c r="N1490" s="8">
        <v>0</v>
      </c>
      <c r="Q1490" s="1"/>
      <c r="R1490" s="1"/>
      <c r="S1490" s="1"/>
      <c r="T1490" s="8"/>
      <c r="U1490" s="8"/>
      <c r="V1490" s="1"/>
      <c r="W1490" s="1"/>
      <c r="X1490" s="1"/>
      <c r="Z1490" s="8"/>
    </row>
    <row r="1491" spans="1:26" x14ac:dyDescent="0.2">
      <c r="A1491" s="12">
        <f t="shared" si="48"/>
        <v>1479</v>
      </c>
      <c r="E1491" s="10" t="str">
        <f t="shared" si="47"/>
        <v/>
      </c>
      <c r="I1491" s="53"/>
      <c r="N1491" s="8">
        <v>0</v>
      </c>
      <c r="Q1491" s="1"/>
      <c r="R1491" s="1"/>
      <c r="S1491" s="1"/>
      <c r="T1491" s="8"/>
      <c r="U1491" s="8"/>
      <c r="V1491" s="1"/>
      <c r="W1491" s="1"/>
      <c r="X1491" s="1"/>
      <c r="Z1491" s="8"/>
    </row>
    <row r="1492" spans="1:26" x14ac:dyDescent="0.2">
      <c r="A1492" s="12">
        <f t="shared" si="48"/>
        <v>1480</v>
      </c>
      <c r="E1492" s="10" t="str">
        <f t="shared" si="47"/>
        <v/>
      </c>
      <c r="I1492" s="53"/>
      <c r="N1492" s="8">
        <v>0</v>
      </c>
      <c r="Q1492" s="1"/>
      <c r="R1492" s="1"/>
      <c r="S1492" s="1"/>
      <c r="T1492" s="8"/>
      <c r="U1492" s="8"/>
      <c r="V1492" s="1"/>
      <c r="W1492" s="1"/>
      <c r="X1492" s="1"/>
      <c r="Z1492" s="8"/>
    </row>
    <row r="1493" spans="1:26" x14ac:dyDescent="0.2">
      <c r="A1493" s="12">
        <f t="shared" si="48"/>
        <v>1481</v>
      </c>
      <c r="E1493" s="10" t="str">
        <f t="shared" si="47"/>
        <v/>
      </c>
      <c r="I1493" s="53"/>
      <c r="N1493" s="8">
        <v>0</v>
      </c>
      <c r="Q1493" s="1"/>
      <c r="R1493" s="1"/>
      <c r="S1493" s="1"/>
      <c r="T1493" s="8"/>
      <c r="U1493" s="8"/>
      <c r="V1493" s="1"/>
      <c r="W1493" s="1"/>
      <c r="X1493" s="1"/>
      <c r="Z1493" s="8"/>
    </row>
    <row r="1494" spans="1:26" x14ac:dyDescent="0.2">
      <c r="A1494" s="12">
        <f t="shared" si="48"/>
        <v>1482</v>
      </c>
      <c r="E1494" s="10" t="str">
        <f t="shared" si="47"/>
        <v/>
      </c>
      <c r="I1494" s="53"/>
      <c r="N1494" s="8">
        <v>0</v>
      </c>
      <c r="Q1494" s="1"/>
      <c r="R1494" s="1"/>
      <c r="S1494" s="1"/>
      <c r="T1494" s="8"/>
      <c r="U1494" s="8"/>
      <c r="V1494" s="1"/>
      <c r="W1494" s="1"/>
      <c r="X1494" s="1"/>
      <c r="Z1494" s="8"/>
    </row>
    <row r="1495" spans="1:26" x14ac:dyDescent="0.2">
      <c r="A1495" s="12">
        <f t="shared" si="48"/>
        <v>1483</v>
      </c>
      <c r="E1495" s="10" t="str">
        <f t="shared" si="47"/>
        <v/>
      </c>
      <c r="I1495" s="53"/>
      <c r="N1495" s="8">
        <v>0</v>
      </c>
      <c r="Q1495" s="1"/>
      <c r="R1495" s="1"/>
      <c r="S1495" s="1"/>
      <c r="T1495" s="8"/>
      <c r="U1495" s="8"/>
      <c r="V1495" s="1"/>
      <c r="W1495" s="1"/>
      <c r="X1495" s="1"/>
      <c r="Z1495" s="8"/>
    </row>
    <row r="1496" spans="1:26" x14ac:dyDescent="0.2">
      <c r="A1496" s="12">
        <f t="shared" si="48"/>
        <v>1484</v>
      </c>
      <c r="E1496" s="10" t="str">
        <f t="shared" si="47"/>
        <v/>
      </c>
      <c r="I1496" s="53"/>
      <c r="N1496" s="8">
        <v>0</v>
      </c>
      <c r="Q1496" s="1"/>
      <c r="R1496" s="1"/>
      <c r="S1496" s="1"/>
      <c r="T1496" s="8"/>
      <c r="U1496" s="8"/>
      <c r="V1496" s="1"/>
      <c r="W1496" s="1"/>
      <c r="X1496" s="1"/>
      <c r="Z1496" s="8"/>
    </row>
    <row r="1497" spans="1:26" x14ac:dyDescent="0.2">
      <c r="A1497" s="12">
        <f t="shared" si="48"/>
        <v>1485</v>
      </c>
      <c r="E1497" s="10" t="str">
        <f t="shared" si="47"/>
        <v/>
      </c>
      <c r="I1497" s="53"/>
      <c r="N1497" s="8">
        <v>0</v>
      </c>
      <c r="Q1497" s="1"/>
      <c r="R1497" s="1"/>
      <c r="S1497" s="1"/>
      <c r="T1497" s="8"/>
      <c r="U1497" s="8"/>
      <c r="V1497" s="1"/>
      <c r="W1497" s="1"/>
      <c r="X1497" s="1"/>
      <c r="Z1497" s="8"/>
    </row>
    <row r="1498" spans="1:26" x14ac:dyDescent="0.2">
      <c r="A1498" s="12">
        <f t="shared" si="48"/>
        <v>1486</v>
      </c>
      <c r="E1498" s="10" t="str">
        <f t="shared" si="47"/>
        <v/>
      </c>
      <c r="I1498" s="53"/>
      <c r="N1498" s="8">
        <v>0</v>
      </c>
      <c r="Q1498" s="1"/>
      <c r="R1498" s="1"/>
      <c r="S1498" s="1"/>
      <c r="T1498" s="8"/>
      <c r="U1498" s="8"/>
      <c r="V1498" s="1"/>
      <c r="W1498" s="1"/>
      <c r="X1498" s="1"/>
      <c r="Z1498" s="8"/>
    </row>
    <row r="1499" spans="1:26" x14ac:dyDescent="0.2">
      <c r="A1499" s="12">
        <f t="shared" si="48"/>
        <v>1487</v>
      </c>
      <c r="E1499" s="10" t="str">
        <f t="shared" si="47"/>
        <v/>
      </c>
      <c r="I1499" s="53"/>
      <c r="N1499" s="8">
        <v>0</v>
      </c>
      <c r="Q1499" s="1"/>
      <c r="R1499" s="1"/>
      <c r="S1499" s="1"/>
      <c r="T1499" s="8"/>
      <c r="U1499" s="8"/>
      <c r="V1499" s="1"/>
      <c r="W1499" s="1"/>
      <c r="X1499" s="1"/>
      <c r="Z1499" s="8"/>
    </row>
    <row r="1500" spans="1:26" x14ac:dyDescent="0.2">
      <c r="A1500" s="12">
        <f t="shared" si="48"/>
        <v>1488</v>
      </c>
      <c r="E1500" s="10" t="str">
        <f t="shared" si="47"/>
        <v/>
      </c>
      <c r="I1500" s="53"/>
      <c r="N1500" s="8">
        <v>0</v>
      </c>
      <c r="Q1500" s="1"/>
      <c r="R1500" s="1"/>
      <c r="S1500" s="1"/>
      <c r="T1500" s="8"/>
      <c r="U1500" s="8"/>
      <c r="V1500" s="1"/>
      <c r="W1500" s="1"/>
      <c r="X1500" s="1"/>
      <c r="Z1500" s="8"/>
    </row>
    <row r="1501" spans="1:26" x14ac:dyDescent="0.2">
      <c r="A1501" s="12">
        <f t="shared" si="48"/>
        <v>1489</v>
      </c>
      <c r="E1501" s="10" t="str">
        <f t="shared" si="47"/>
        <v/>
      </c>
      <c r="I1501" s="53"/>
      <c r="N1501" s="8">
        <v>0</v>
      </c>
      <c r="Q1501" s="1"/>
      <c r="R1501" s="1"/>
      <c r="S1501" s="1"/>
      <c r="T1501" s="8"/>
      <c r="U1501" s="8"/>
      <c r="V1501" s="1"/>
      <c r="W1501" s="1"/>
      <c r="X1501" s="1"/>
      <c r="Z1501" s="8"/>
    </row>
    <row r="1502" spans="1:26" x14ac:dyDescent="0.2">
      <c r="A1502" s="12">
        <f t="shared" si="48"/>
        <v>1490</v>
      </c>
      <c r="E1502" s="10" t="str">
        <f t="shared" si="47"/>
        <v/>
      </c>
      <c r="I1502" s="53"/>
      <c r="N1502" s="8">
        <v>0</v>
      </c>
      <c r="Q1502" s="1"/>
      <c r="R1502" s="1"/>
      <c r="S1502" s="1"/>
      <c r="T1502" s="8"/>
      <c r="U1502" s="8"/>
      <c r="V1502" s="1"/>
      <c r="W1502" s="1"/>
      <c r="X1502" s="1"/>
      <c r="Z1502" s="8"/>
    </row>
    <row r="1503" spans="1:26" x14ac:dyDescent="0.2">
      <c r="A1503" s="12">
        <f t="shared" si="48"/>
        <v>1491</v>
      </c>
      <c r="E1503" s="10" t="str">
        <f t="shared" si="47"/>
        <v/>
      </c>
      <c r="I1503" s="53"/>
      <c r="N1503" s="8">
        <v>0</v>
      </c>
      <c r="Q1503" s="1"/>
      <c r="R1503" s="1"/>
      <c r="S1503" s="1"/>
      <c r="T1503" s="8"/>
      <c r="U1503" s="8"/>
      <c r="V1503" s="1"/>
      <c r="W1503" s="1"/>
      <c r="X1503" s="1"/>
      <c r="Z1503" s="8"/>
    </row>
    <row r="1504" spans="1:26" x14ac:dyDescent="0.2">
      <c r="A1504" s="12">
        <f t="shared" si="48"/>
        <v>1492</v>
      </c>
      <c r="E1504" s="10" t="str">
        <f t="shared" si="47"/>
        <v/>
      </c>
      <c r="I1504" s="53"/>
      <c r="N1504" s="8">
        <v>0</v>
      </c>
      <c r="Q1504" s="1"/>
      <c r="R1504" s="1"/>
      <c r="S1504" s="1"/>
      <c r="T1504" s="8"/>
      <c r="U1504" s="8"/>
      <c r="V1504" s="1"/>
      <c r="W1504" s="1"/>
      <c r="X1504" s="1"/>
      <c r="Z1504" s="8"/>
    </row>
    <row r="1505" spans="1:26" x14ac:dyDescent="0.2">
      <c r="A1505" s="12">
        <f t="shared" si="48"/>
        <v>1493</v>
      </c>
      <c r="E1505" s="10" t="str">
        <f t="shared" si="47"/>
        <v/>
      </c>
      <c r="I1505" s="53"/>
      <c r="N1505" s="8">
        <v>0</v>
      </c>
      <c r="Q1505" s="1"/>
      <c r="R1505" s="1"/>
      <c r="S1505" s="1"/>
      <c r="T1505" s="8"/>
      <c r="U1505" s="8"/>
      <c r="V1505" s="1"/>
      <c r="W1505" s="1"/>
      <c r="X1505" s="1"/>
      <c r="Z1505" s="8"/>
    </row>
    <row r="1506" spans="1:26" x14ac:dyDescent="0.2">
      <c r="A1506" s="12">
        <f t="shared" si="48"/>
        <v>1494</v>
      </c>
      <c r="E1506" s="10" t="str">
        <f t="shared" si="47"/>
        <v/>
      </c>
      <c r="I1506" s="53"/>
      <c r="N1506" s="8">
        <v>0</v>
      </c>
      <c r="Q1506" s="1"/>
      <c r="R1506" s="1"/>
      <c r="S1506" s="1"/>
      <c r="T1506" s="8"/>
      <c r="U1506" s="8"/>
      <c r="V1506" s="1"/>
      <c r="W1506" s="1"/>
      <c r="X1506" s="1"/>
      <c r="Z1506" s="8"/>
    </row>
    <row r="1507" spans="1:26" x14ac:dyDescent="0.2">
      <c r="A1507" s="12">
        <f t="shared" si="48"/>
        <v>1495</v>
      </c>
      <c r="E1507" s="10" t="str">
        <f t="shared" si="47"/>
        <v/>
      </c>
      <c r="I1507" s="53"/>
      <c r="N1507" s="8">
        <v>0</v>
      </c>
      <c r="Q1507" s="1"/>
      <c r="R1507" s="1"/>
      <c r="S1507" s="1"/>
      <c r="T1507" s="8"/>
      <c r="U1507" s="8"/>
      <c r="V1507" s="1"/>
      <c r="W1507" s="1"/>
      <c r="X1507" s="1"/>
      <c r="Z1507" s="8"/>
    </row>
    <row r="1508" spans="1:26" x14ac:dyDescent="0.2">
      <c r="A1508" s="12">
        <f t="shared" si="48"/>
        <v>1496</v>
      </c>
      <c r="E1508" s="10" t="str">
        <f t="shared" si="47"/>
        <v/>
      </c>
      <c r="I1508" s="53"/>
      <c r="N1508" s="8">
        <v>0</v>
      </c>
      <c r="Q1508" s="1"/>
      <c r="R1508" s="1"/>
      <c r="S1508" s="1"/>
      <c r="T1508" s="8"/>
      <c r="U1508" s="8"/>
      <c r="V1508" s="1"/>
      <c r="W1508" s="1"/>
      <c r="X1508" s="1"/>
      <c r="Z1508" s="8"/>
    </row>
    <row r="1509" spans="1:26" x14ac:dyDescent="0.2">
      <c r="A1509" s="12">
        <f t="shared" si="48"/>
        <v>1497</v>
      </c>
      <c r="E1509" s="10" t="str">
        <f t="shared" si="47"/>
        <v/>
      </c>
      <c r="I1509" s="53"/>
      <c r="N1509" s="8">
        <v>0</v>
      </c>
      <c r="Q1509" s="1"/>
      <c r="R1509" s="1"/>
      <c r="S1509" s="1"/>
      <c r="T1509" s="8"/>
      <c r="U1509" s="8"/>
      <c r="V1509" s="1"/>
      <c r="W1509" s="1"/>
      <c r="X1509" s="1"/>
      <c r="Z1509" s="8"/>
    </row>
    <row r="1510" spans="1:26" x14ac:dyDescent="0.2">
      <c r="A1510" s="12">
        <f t="shared" si="48"/>
        <v>1498</v>
      </c>
      <c r="E1510" s="10" t="str">
        <f t="shared" si="47"/>
        <v/>
      </c>
      <c r="I1510" s="53"/>
      <c r="N1510" s="8">
        <v>0</v>
      </c>
      <c r="Q1510" s="1"/>
      <c r="R1510" s="1"/>
      <c r="S1510" s="1"/>
      <c r="T1510" s="8"/>
      <c r="U1510" s="8"/>
      <c r="V1510" s="1"/>
      <c r="W1510" s="1"/>
      <c r="X1510" s="1"/>
      <c r="Z1510" s="8"/>
    </row>
    <row r="1511" spans="1:26" x14ac:dyDescent="0.2">
      <c r="A1511" s="12">
        <f t="shared" si="48"/>
        <v>1499</v>
      </c>
      <c r="E1511" s="10" t="str">
        <f t="shared" si="47"/>
        <v/>
      </c>
      <c r="I1511" s="53"/>
      <c r="N1511" s="8">
        <v>0</v>
      </c>
      <c r="Q1511" s="1"/>
      <c r="R1511" s="1"/>
      <c r="S1511" s="1"/>
      <c r="T1511" s="8"/>
      <c r="U1511" s="8"/>
      <c r="V1511" s="1"/>
      <c r="W1511" s="1"/>
      <c r="X1511" s="1"/>
      <c r="Z1511" s="8"/>
    </row>
    <row r="1512" spans="1:26" x14ac:dyDescent="0.2">
      <c r="A1512" s="12">
        <f t="shared" si="48"/>
        <v>1500</v>
      </c>
      <c r="N1512" s="8"/>
      <c r="Q1512" s="1"/>
      <c r="R1512" s="1"/>
      <c r="S1512" s="1"/>
      <c r="T1512" s="9"/>
      <c r="U1512" s="9"/>
      <c r="V1512" s="8"/>
      <c r="W1512" s="8"/>
      <c r="X1512" s="1"/>
    </row>
  </sheetData>
  <conditionalFormatting sqref="AC9">
    <cfRule type="containsText" dxfId="2" priority="2" operator="containsText" text="Warning">
      <formula>NOT(ISERROR(SEARCH("Warning",AC9)))</formula>
    </cfRule>
    <cfRule type="expression" dxfId="1" priority="3">
      <formula>$AC$1</formula>
    </cfRule>
  </conditionalFormatting>
  <conditionalFormatting sqref="Y27:AB1512 AA13:AB26 Y13:Y1511 AA19:AA1511">
    <cfRule type="containsText" dxfId="0" priority="1" operator="containsText" text="Unstable">
      <formula>NOT(ISERROR(SEARCH("Unstable",Y13)))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Calculate Outputs">
              <controlPr defaultSize="0" autoFill="0" autoPict="0" macro="[0]!CalculateFinWR">
                <anchor moveWithCells="1" sizeWithCells="1">
                  <from>
                    <xdr:col>1</xdr:col>
                    <xdr:colOff>38100</xdr:colOff>
                    <xdr:row>8</xdr:row>
                    <xdr:rowOff>25400</xdr:rowOff>
                  </from>
                  <to>
                    <xdr:col>3</xdr:col>
                    <xdr:colOff>762000</xdr:colOff>
                    <xdr:row>10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Calculations</vt:lpstr>
      <vt:lpstr>Inputs_Outputs</vt:lpstr>
    </vt:vector>
  </TitlesOfParts>
  <Company>Massachusetts Institute of Technology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Graves</dc:creator>
  <cp:lastModifiedBy>Microsoft Office User</cp:lastModifiedBy>
  <dcterms:created xsi:type="dcterms:W3CDTF">2020-03-31T23:58:56Z</dcterms:created>
  <dcterms:modified xsi:type="dcterms:W3CDTF">2020-06-10T22:05:09Z</dcterms:modified>
</cp:coreProperties>
</file>