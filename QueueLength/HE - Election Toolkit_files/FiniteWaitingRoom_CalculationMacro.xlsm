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MIT/HealthyElections/Queueing_Webpage/VTP - Election Toolkit_files/"/>
    </mc:Choice>
  </mc:AlternateContent>
  <bookViews>
    <workbookView xWindow="0" yWindow="460" windowWidth="28800" windowHeight="17540" activeTab="1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Calculations!$J$11</definedName>
    <definedName name="FirstInputPoint">Inputs_Outputs!$I$13</definedName>
    <definedName name="NumberOfPrecincts">Inputs_Outputs!$C$8</definedName>
    <definedName name="OverallAlert">Inputs_Outputs!$AC$9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4" i="3" l="1"/>
  <c r="E14" i="3"/>
  <c r="I14" i="3"/>
  <c r="A15" i="3"/>
  <c r="E15" i="3"/>
  <c r="I15" i="3"/>
  <c r="A16" i="3"/>
  <c r="E16" i="3"/>
  <c r="I16" i="3"/>
  <c r="A17" i="3"/>
  <c r="E17" i="3"/>
  <c r="I17" i="3"/>
  <c r="A18" i="3"/>
  <c r="E18" i="3"/>
  <c r="I18" i="3"/>
  <c r="A19" i="3"/>
  <c r="E19" i="3"/>
  <c r="I19" i="3"/>
  <c r="A20" i="3"/>
  <c r="E20" i="3"/>
  <c r="I20" i="3"/>
  <c r="A21" i="3"/>
  <c r="E21" i="3"/>
  <c r="I21" i="3"/>
  <c r="A22" i="3"/>
  <c r="E22" i="3"/>
  <c r="I22" i="3"/>
  <c r="A23" i="3"/>
  <c r="E23" i="3"/>
  <c r="I23" i="3"/>
  <c r="A24" i="3"/>
  <c r="E24" i="3"/>
  <c r="I24" i="3"/>
  <c r="A25" i="3"/>
  <c r="E25" i="3"/>
  <c r="I25" i="3"/>
  <c r="A26" i="3"/>
  <c r="E26" i="3"/>
  <c r="I26" i="3"/>
  <c r="A27" i="3"/>
  <c r="E27" i="3"/>
  <c r="I27" i="3"/>
  <c r="A28" i="3"/>
  <c r="E28" i="3"/>
  <c r="I28" i="3"/>
  <c r="A29" i="3"/>
  <c r="E29" i="3"/>
  <c r="I29" i="3"/>
  <c r="A30" i="3"/>
  <c r="E30" i="3"/>
  <c r="I30" i="3"/>
  <c r="A31" i="3"/>
  <c r="E31" i="3"/>
  <c r="I31" i="3"/>
  <c r="A32" i="3"/>
  <c r="E32" i="3"/>
  <c r="I32" i="3"/>
  <c r="A33" i="3"/>
  <c r="E33" i="3"/>
  <c r="I33" i="3"/>
  <c r="A34" i="3"/>
  <c r="E34" i="3"/>
  <c r="I34" i="3"/>
  <c r="A35" i="3"/>
  <c r="E35" i="3"/>
  <c r="I35" i="3"/>
  <c r="A36" i="3"/>
  <c r="E36" i="3"/>
  <c r="I36" i="3"/>
  <c r="A37" i="3"/>
  <c r="E37" i="3"/>
  <c r="I37" i="3"/>
  <c r="A38" i="3"/>
  <c r="E38" i="3"/>
  <c r="I38" i="3"/>
  <c r="A39" i="3"/>
  <c r="E39" i="3"/>
  <c r="I39" i="3"/>
  <c r="A40" i="3"/>
  <c r="E40" i="3"/>
  <c r="I40" i="3"/>
  <c r="A41" i="3"/>
  <c r="E41" i="3"/>
  <c r="I41" i="3"/>
  <c r="A42" i="3"/>
  <c r="E42" i="3"/>
  <c r="I42" i="3"/>
  <c r="A43" i="3"/>
  <c r="E43" i="3"/>
  <c r="I43" i="3"/>
  <c r="A44" i="3"/>
  <c r="E44" i="3"/>
  <c r="I44" i="3"/>
  <c r="A45" i="3"/>
  <c r="E45" i="3"/>
  <c r="I45" i="3"/>
  <c r="A46" i="3"/>
  <c r="E46" i="3"/>
  <c r="I46" i="3"/>
  <c r="A47" i="3"/>
  <c r="E47" i="3"/>
  <c r="I47" i="3"/>
  <c r="A48" i="3"/>
  <c r="E48" i="3"/>
  <c r="I48" i="3"/>
  <c r="A49" i="3"/>
  <c r="E49" i="3"/>
  <c r="I49" i="3"/>
  <c r="A50" i="3"/>
  <c r="E50" i="3"/>
  <c r="I50" i="3"/>
  <c r="A51" i="3"/>
  <c r="E51" i="3"/>
  <c r="I51" i="3"/>
  <c r="A52" i="3"/>
  <c r="E52" i="3"/>
  <c r="I52" i="3"/>
  <c r="A53" i="3"/>
  <c r="E53" i="3"/>
  <c r="I53" i="3"/>
  <c r="A54" i="3"/>
  <c r="E54" i="3"/>
  <c r="I54" i="3"/>
  <c r="A55" i="3"/>
  <c r="E55" i="3"/>
  <c r="I55" i="3"/>
  <c r="A56" i="3"/>
  <c r="E56" i="3"/>
  <c r="I56" i="3"/>
  <c r="A57" i="3"/>
  <c r="E57" i="3"/>
  <c r="I57" i="3"/>
  <c r="A58" i="3"/>
  <c r="E58" i="3"/>
  <c r="I58" i="3"/>
  <c r="A59" i="3"/>
  <c r="E59" i="3"/>
  <c r="I59" i="3"/>
  <c r="A60" i="3"/>
  <c r="E60" i="3"/>
  <c r="I60" i="3"/>
  <c r="A61" i="3"/>
  <c r="E61" i="3"/>
  <c r="I61" i="3"/>
  <c r="A62" i="3"/>
  <c r="E62" i="3"/>
  <c r="I62" i="3"/>
  <c r="A63" i="3"/>
  <c r="E63" i="3"/>
  <c r="I63" i="3"/>
  <c r="A64" i="3"/>
  <c r="E64" i="3"/>
  <c r="I64" i="3"/>
  <c r="A65" i="3"/>
  <c r="E65" i="3"/>
  <c r="I65" i="3"/>
  <c r="A66" i="3"/>
  <c r="E66" i="3"/>
  <c r="I66" i="3"/>
  <c r="A67" i="3"/>
  <c r="E67" i="3"/>
  <c r="I67" i="3"/>
  <c r="A68" i="3"/>
  <c r="E68" i="3"/>
  <c r="I68" i="3"/>
  <c r="A69" i="3"/>
  <c r="E69" i="3"/>
  <c r="I69" i="3"/>
  <c r="A70" i="3"/>
  <c r="E70" i="3"/>
  <c r="I70" i="3"/>
  <c r="A71" i="3"/>
  <c r="E71" i="3"/>
  <c r="I71" i="3"/>
  <c r="A72" i="3"/>
  <c r="E72" i="3"/>
  <c r="I72" i="3"/>
  <c r="A73" i="3"/>
  <c r="E73" i="3"/>
  <c r="I73" i="3"/>
  <c r="A74" i="3"/>
  <c r="E74" i="3"/>
  <c r="I74" i="3"/>
  <c r="A75" i="3"/>
  <c r="E75" i="3"/>
  <c r="I75" i="3"/>
  <c r="A76" i="3"/>
  <c r="E76" i="3"/>
  <c r="I76" i="3"/>
  <c r="A77" i="3"/>
  <c r="E77" i="3"/>
  <c r="I77" i="3"/>
  <c r="A78" i="3"/>
  <c r="E78" i="3"/>
  <c r="I78" i="3"/>
  <c r="A79" i="3"/>
  <c r="E79" i="3"/>
  <c r="I79" i="3"/>
  <c r="A80" i="3"/>
  <c r="E80" i="3"/>
  <c r="I80" i="3"/>
  <c r="A81" i="3"/>
  <c r="E81" i="3"/>
  <c r="I81" i="3"/>
  <c r="A82" i="3"/>
  <c r="E82" i="3"/>
  <c r="I82" i="3"/>
  <c r="A83" i="3"/>
  <c r="E83" i="3"/>
  <c r="I83" i="3"/>
  <c r="A84" i="3"/>
  <c r="E84" i="3"/>
  <c r="I84" i="3"/>
  <c r="A85" i="3"/>
  <c r="E85" i="3"/>
  <c r="I85" i="3"/>
  <c r="A86" i="3"/>
  <c r="E86" i="3"/>
  <c r="I86" i="3"/>
  <c r="A87" i="3"/>
  <c r="E87" i="3"/>
  <c r="I87" i="3"/>
  <c r="A88" i="3"/>
  <c r="E88" i="3"/>
  <c r="I88" i="3"/>
  <c r="A89" i="3"/>
  <c r="E89" i="3"/>
  <c r="I89" i="3"/>
  <c r="A90" i="3"/>
  <c r="E90" i="3"/>
  <c r="I90" i="3"/>
  <c r="A91" i="3"/>
  <c r="E91" i="3"/>
  <c r="I91" i="3"/>
  <c r="A92" i="3"/>
  <c r="E92" i="3"/>
  <c r="I92" i="3"/>
  <c r="A93" i="3"/>
  <c r="E93" i="3"/>
  <c r="I93" i="3"/>
  <c r="A94" i="3"/>
  <c r="E94" i="3"/>
  <c r="I94" i="3"/>
  <c r="A95" i="3"/>
  <c r="E95" i="3"/>
  <c r="I95" i="3"/>
  <c r="A96" i="3"/>
  <c r="E96" i="3"/>
  <c r="I96" i="3"/>
  <c r="A97" i="3"/>
  <c r="E97" i="3"/>
  <c r="I97" i="3"/>
  <c r="A98" i="3"/>
  <c r="E98" i="3"/>
  <c r="I98" i="3"/>
  <c r="A99" i="3"/>
  <c r="E99" i="3"/>
  <c r="I99" i="3"/>
  <c r="A100" i="3"/>
  <c r="E100" i="3"/>
  <c r="I100" i="3"/>
  <c r="A101" i="3"/>
  <c r="E101" i="3"/>
  <c r="I101" i="3"/>
  <c r="A102" i="3"/>
  <c r="E102" i="3"/>
  <c r="I102" i="3"/>
  <c r="A103" i="3"/>
  <c r="E103" i="3"/>
  <c r="I103" i="3"/>
  <c r="A104" i="3"/>
  <c r="E104" i="3"/>
  <c r="I104" i="3"/>
  <c r="A105" i="3"/>
  <c r="E105" i="3"/>
  <c r="I105" i="3"/>
  <c r="A106" i="3"/>
  <c r="E106" i="3"/>
  <c r="I106" i="3"/>
  <c r="A107" i="3"/>
  <c r="E107" i="3"/>
  <c r="I107" i="3"/>
  <c r="A108" i="3"/>
  <c r="E108" i="3"/>
  <c r="I108" i="3"/>
  <c r="A109" i="3"/>
  <c r="E109" i="3"/>
  <c r="I109" i="3"/>
  <c r="A110" i="3"/>
  <c r="E110" i="3"/>
  <c r="I110" i="3"/>
  <c r="A111" i="3"/>
  <c r="E111" i="3"/>
  <c r="I111" i="3"/>
  <c r="A112" i="3"/>
  <c r="E112" i="3"/>
  <c r="I112" i="3"/>
  <c r="A113" i="3"/>
  <c r="E113" i="3"/>
  <c r="I113" i="3"/>
  <c r="A114" i="3"/>
  <c r="E114" i="3"/>
  <c r="I114" i="3"/>
  <c r="A115" i="3"/>
  <c r="E115" i="3"/>
  <c r="I115" i="3"/>
  <c r="A116" i="3"/>
  <c r="E116" i="3"/>
  <c r="I116" i="3"/>
  <c r="A117" i="3"/>
  <c r="E117" i="3"/>
  <c r="I117" i="3"/>
  <c r="A118" i="3"/>
  <c r="E118" i="3"/>
  <c r="I118" i="3"/>
  <c r="A119" i="3"/>
  <c r="E119" i="3"/>
  <c r="I119" i="3"/>
  <c r="A120" i="3"/>
  <c r="E120" i="3"/>
  <c r="I120" i="3"/>
  <c r="A121" i="3"/>
  <c r="E121" i="3"/>
  <c r="I121" i="3"/>
  <c r="A122" i="3"/>
  <c r="E122" i="3"/>
  <c r="I122" i="3"/>
  <c r="A123" i="3"/>
  <c r="E123" i="3"/>
  <c r="I123" i="3"/>
  <c r="A124" i="3"/>
  <c r="E124" i="3"/>
  <c r="I124" i="3"/>
  <c r="A125" i="3"/>
  <c r="E125" i="3"/>
  <c r="I125" i="3"/>
  <c r="A126" i="3"/>
  <c r="E126" i="3"/>
  <c r="I126" i="3"/>
  <c r="A127" i="3"/>
  <c r="E127" i="3"/>
  <c r="I127" i="3"/>
  <c r="A128" i="3"/>
  <c r="E128" i="3"/>
  <c r="I128" i="3"/>
  <c r="A129" i="3"/>
  <c r="E129" i="3"/>
  <c r="I129" i="3"/>
  <c r="A130" i="3"/>
  <c r="E130" i="3"/>
  <c r="I130" i="3"/>
  <c r="A131" i="3"/>
  <c r="E131" i="3"/>
  <c r="I131" i="3"/>
  <c r="A132" i="3"/>
  <c r="E132" i="3"/>
  <c r="I132" i="3"/>
  <c r="A133" i="3"/>
  <c r="E133" i="3"/>
  <c r="I133" i="3"/>
  <c r="A134" i="3"/>
  <c r="E134" i="3"/>
  <c r="I134" i="3"/>
  <c r="A135" i="3"/>
  <c r="E135" i="3"/>
  <c r="I135" i="3"/>
  <c r="A136" i="3"/>
  <c r="E136" i="3"/>
  <c r="I136" i="3"/>
  <c r="A137" i="3"/>
  <c r="E137" i="3"/>
  <c r="I137" i="3"/>
  <c r="A138" i="3"/>
  <c r="E138" i="3"/>
  <c r="I138" i="3"/>
  <c r="A139" i="3"/>
  <c r="E139" i="3"/>
  <c r="I139" i="3"/>
  <c r="A140" i="3"/>
  <c r="E140" i="3"/>
  <c r="I140" i="3"/>
  <c r="A141" i="3"/>
  <c r="E141" i="3"/>
  <c r="I141" i="3"/>
  <c r="A142" i="3"/>
  <c r="E142" i="3"/>
  <c r="I142" i="3"/>
  <c r="A143" i="3"/>
  <c r="E143" i="3"/>
  <c r="I143" i="3"/>
  <c r="A144" i="3"/>
  <c r="E144" i="3"/>
  <c r="I144" i="3"/>
  <c r="A145" i="3"/>
  <c r="E145" i="3"/>
  <c r="I145" i="3"/>
  <c r="A146" i="3"/>
  <c r="E146" i="3"/>
  <c r="I146" i="3"/>
  <c r="A147" i="3"/>
  <c r="E147" i="3"/>
  <c r="I147" i="3"/>
  <c r="A148" i="3"/>
  <c r="E148" i="3"/>
  <c r="I148" i="3"/>
  <c r="A149" i="3"/>
  <c r="E149" i="3"/>
  <c r="I149" i="3"/>
  <c r="A150" i="3"/>
  <c r="E150" i="3"/>
  <c r="I150" i="3"/>
  <c r="A151" i="3"/>
  <c r="E151" i="3"/>
  <c r="I151" i="3"/>
  <c r="A152" i="3"/>
  <c r="E152" i="3"/>
  <c r="I152" i="3"/>
  <c r="A153" i="3"/>
  <c r="E153" i="3"/>
  <c r="I153" i="3"/>
  <c r="A154" i="3"/>
  <c r="E154" i="3"/>
  <c r="I154" i="3"/>
  <c r="A155" i="3"/>
  <c r="E155" i="3"/>
  <c r="I155" i="3"/>
  <c r="A156" i="3"/>
  <c r="E156" i="3"/>
  <c r="I156" i="3"/>
  <c r="A157" i="3"/>
  <c r="E157" i="3"/>
  <c r="I157" i="3"/>
  <c r="A158" i="3"/>
  <c r="E158" i="3"/>
  <c r="I158" i="3"/>
  <c r="A159" i="3"/>
  <c r="E159" i="3"/>
  <c r="I159" i="3"/>
  <c r="A160" i="3"/>
  <c r="E160" i="3"/>
  <c r="I160" i="3"/>
  <c r="A161" i="3"/>
  <c r="E161" i="3"/>
  <c r="I161" i="3"/>
  <c r="A162" i="3"/>
  <c r="E162" i="3"/>
  <c r="I162" i="3"/>
  <c r="A163" i="3"/>
  <c r="E163" i="3"/>
  <c r="I163" i="3"/>
  <c r="A164" i="3"/>
  <c r="E164" i="3"/>
  <c r="I164" i="3"/>
  <c r="A165" i="3"/>
  <c r="E165" i="3"/>
  <c r="I165" i="3"/>
  <c r="A166" i="3"/>
  <c r="E166" i="3"/>
  <c r="I166" i="3"/>
  <c r="A167" i="3"/>
  <c r="E167" i="3"/>
  <c r="I167" i="3"/>
  <c r="A168" i="3"/>
  <c r="E168" i="3"/>
  <c r="I168" i="3"/>
  <c r="A169" i="3"/>
  <c r="E169" i="3"/>
  <c r="I169" i="3"/>
  <c r="A170" i="3"/>
  <c r="E170" i="3"/>
  <c r="I170" i="3"/>
  <c r="A171" i="3"/>
  <c r="E171" i="3"/>
  <c r="I171" i="3"/>
  <c r="A172" i="3"/>
  <c r="E172" i="3"/>
  <c r="I172" i="3"/>
  <c r="A173" i="3"/>
  <c r="E173" i="3"/>
  <c r="I173" i="3"/>
  <c r="A174" i="3"/>
  <c r="E174" i="3"/>
  <c r="I174" i="3"/>
  <c r="A175" i="3"/>
  <c r="E175" i="3"/>
  <c r="I175" i="3"/>
  <c r="A176" i="3"/>
  <c r="E176" i="3"/>
  <c r="I176" i="3"/>
  <c r="A177" i="3"/>
  <c r="E177" i="3"/>
  <c r="I177" i="3"/>
  <c r="A178" i="3"/>
  <c r="E178" i="3"/>
  <c r="I178" i="3"/>
  <c r="A179" i="3"/>
  <c r="E179" i="3"/>
  <c r="I179" i="3"/>
  <c r="A180" i="3"/>
  <c r="E180" i="3"/>
  <c r="I180" i="3"/>
  <c r="A181" i="3"/>
  <c r="E181" i="3"/>
  <c r="I181" i="3"/>
  <c r="A182" i="3"/>
  <c r="E182" i="3"/>
  <c r="I182" i="3"/>
  <c r="A183" i="3"/>
  <c r="E183" i="3"/>
  <c r="I183" i="3"/>
  <c r="A184" i="3"/>
  <c r="E184" i="3"/>
  <c r="I184" i="3"/>
  <c r="A185" i="3"/>
  <c r="E185" i="3"/>
  <c r="I185" i="3"/>
  <c r="A186" i="3"/>
  <c r="E186" i="3"/>
  <c r="I186" i="3"/>
  <c r="A187" i="3"/>
  <c r="E187" i="3"/>
  <c r="I187" i="3"/>
  <c r="A188" i="3"/>
  <c r="E188" i="3"/>
  <c r="I188" i="3"/>
  <c r="A189" i="3"/>
  <c r="E189" i="3"/>
  <c r="I189" i="3"/>
  <c r="A190" i="3"/>
  <c r="E190" i="3"/>
  <c r="I190" i="3"/>
  <c r="A191" i="3"/>
  <c r="E191" i="3"/>
  <c r="I191" i="3"/>
  <c r="A192" i="3"/>
  <c r="E192" i="3"/>
  <c r="I192" i="3"/>
  <c r="A193" i="3"/>
  <c r="E193" i="3"/>
  <c r="I193" i="3"/>
  <c r="A194" i="3"/>
  <c r="E194" i="3"/>
  <c r="I194" i="3"/>
  <c r="A195" i="3"/>
  <c r="E195" i="3"/>
  <c r="I195" i="3"/>
  <c r="A196" i="3"/>
  <c r="E196" i="3"/>
  <c r="I196" i="3"/>
  <c r="A197" i="3"/>
  <c r="E197" i="3"/>
  <c r="I197" i="3"/>
  <c r="A198" i="3"/>
  <c r="E198" i="3"/>
  <c r="I198" i="3"/>
  <c r="A199" i="3"/>
  <c r="E199" i="3"/>
  <c r="I199" i="3"/>
  <c r="A200" i="3"/>
  <c r="E200" i="3"/>
  <c r="I200" i="3"/>
  <c r="A201" i="3"/>
  <c r="E201" i="3"/>
  <c r="I201" i="3"/>
  <c r="A202" i="3"/>
  <c r="E202" i="3"/>
  <c r="I202" i="3"/>
  <c r="A203" i="3"/>
  <c r="E203" i="3"/>
  <c r="I203" i="3"/>
  <c r="A204" i="3"/>
  <c r="E204" i="3"/>
  <c r="I204" i="3"/>
  <c r="A205" i="3"/>
  <c r="E205" i="3"/>
  <c r="I205" i="3"/>
  <c r="A206" i="3"/>
  <c r="E206" i="3"/>
  <c r="I206" i="3"/>
  <c r="A207" i="3"/>
  <c r="E207" i="3"/>
  <c r="I207" i="3"/>
  <c r="A208" i="3"/>
  <c r="E208" i="3"/>
  <c r="I208" i="3"/>
  <c r="A209" i="3"/>
  <c r="E209" i="3"/>
  <c r="I209" i="3"/>
  <c r="A210" i="3"/>
  <c r="E210" i="3"/>
  <c r="I210" i="3"/>
  <c r="A211" i="3"/>
  <c r="E211" i="3"/>
  <c r="I211" i="3"/>
  <c r="A212" i="3"/>
  <c r="E212" i="3"/>
  <c r="I212" i="3"/>
  <c r="A213" i="3"/>
  <c r="E213" i="3"/>
  <c r="I213" i="3"/>
  <c r="A214" i="3"/>
  <c r="E214" i="3"/>
  <c r="I214" i="3"/>
  <c r="A215" i="3"/>
  <c r="E215" i="3"/>
  <c r="I215" i="3"/>
  <c r="A216" i="3"/>
  <c r="E216" i="3"/>
  <c r="I216" i="3"/>
  <c r="A217" i="3"/>
  <c r="E217" i="3"/>
  <c r="I217" i="3"/>
  <c r="A218" i="3"/>
  <c r="E218" i="3"/>
  <c r="I218" i="3"/>
  <c r="A219" i="3"/>
  <c r="E219" i="3"/>
  <c r="I219" i="3"/>
  <c r="A220" i="3"/>
  <c r="E220" i="3"/>
  <c r="I220" i="3"/>
  <c r="A221" i="3"/>
  <c r="E221" i="3"/>
  <c r="I221" i="3"/>
  <c r="A222" i="3"/>
  <c r="E222" i="3"/>
  <c r="I222" i="3"/>
  <c r="A223" i="3"/>
  <c r="E223" i="3"/>
  <c r="I223" i="3"/>
  <c r="A224" i="3"/>
  <c r="E224" i="3"/>
  <c r="I224" i="3"/>
  <c r="A225" i="3"/>
  <c r="E225" i="3"/>
  <c r="I225" i="3"/>
  <c r="A226" i="3"/>
  <c r="E226" i="3"/>
  <c r="I226" i="3"/>
  <c r="A227" i="3"/>
  <c r="E227" i="3"/>
  <c r="I227" i="3"/>
  <c r="A228" i="3"/>
  <c r="E228" i="3"/>
  <c r="I228" i="3"/>
  <c r="A229" i="3"/>
  <c r="E229" i="3"/>
  <c r="I229" i="3"/>
  <c r="A230" i="3"/>
  <c r="E230" i="3"/>
  <c r="I230" i="3"/>
  <c r="A231" i="3"/>
  <c r="E231" i="3"/>
  <c r="I231" i="3"/>
  <c r="A232" i="3"/>
  <c r="E232" i="3"/>
  <c r="I232" i="3"/>
  <c r="A233" i="3"/>
  <c r="E233" i="3"/>
  <c r="I233" i="3"/>
  <c r="A234" i="3"/>
  <c r="E234" i="3"/>
  <c r="I234" i="3"/>
  <c r="A235" i="3"/>
  <c r="E235" i="3"/>
  <c r="I235" i="3"/>
  <c r="A236" i="3"/>
  <c r="E236" i="3"/>
  <c r="I236" i="3"/>
  <c r="A237" i="3"/>
  <c r="E237" i="3"/>
  <c r="I237" i="3"/>
  <c r="A238" i="3"/>
  <c r="E238" i="3"/>
  <c r="I238" i="3"/>
  <c r="A239" i="3"/>
  <c r="E239" i="3"/>
  <c r="I239" i="3"/>
  <c r="A240" i="3"/>
  <c r="E240" i="3"/>
  <c r="I240" i="3"/>
  <c r="A241" i="3"/>
  <c r="E241" i="3"/>
  <c r="I241" i="3"/>
  <c r="A242" i="3"/>
  <c r="E242" i="3"/>
  <c r="I242" i="3"/>
  <c r="A243" i="3"/>
  <c r="E243" i="3"/>
  <c r="I243" i="3"/>
  <c r="A244" i="3"/>
  <c r="E244" i="3"/>
  <c r="I244" i="3"/>
  <c r="A245" i="3"/>
  <c r="E245" i="3"/>
  <c r="I245" i="3"/>
  <c r="A246" i="3"/>
  <c r="E246" i="3"/>
  <c r="I246" i="3"/>
  <c r="A247" i="3"/>
  <c r="E247" i="3"/>
  <c r="I247" i="3"/>
  <c r="A248" i="3"/>
  <c r="E248" i="3"/>
  <c r="I248" i="3"/>
  <c r="A249" i="3"/>
  <c r="E249" i="3"/>
  <c r="I249" i="3"/>
  <c r="A250" i="3"/>
  <c r="E250" i="3"/>
  <c r="I250" i="3"/>
  <c r="A251" i="3"/>
  <c r="E251" i="3"/>
  <c r="I251" i="3"/>
  <c r="A252" i="3"/>
  <c r="E252" i="3"/>
  <c r="I252" i="3"/>
  <c r="A253" i="3"/>
  <c r="E253" i="3"/>
  <c r="I253" i="3"/>
  <c r="A254" i="3"/>
  <c r="E254" i="3"/>
  <c r="I254" i="3"/>
  <c r="A255" i="3"/>
  <c r="E255" i="3"/>
  <c r="I255" i="3"/>
  <c r="A256" i="3"/>
  <c r="E256" i="3"/>
  <c r="I256" i="3"/>
  <c r="A257" i="3"/>
  <c r="E257" i="3"/>
  <c r="I257" i="3"/>
  <c r="A258" i="3"/>
  <c r="E258" i="3"/>
  <c r="I258" i="3"/>
  <c r="A259" i="3"/>
  <c r="E259" i="3"/>
  <c r="I259" i="3"/>
  <c r="A260" i="3"/>
  <c r="E260" i="3"/>
  <c r="I260" i="3"/>
  <c r="A261" i="3"/>
  <c r="E261" i="3"/>
  <c r="I261" i="3"/>
  <c r="A262" i="3"/>
  <c r="E262" i="3"/>
  <c r="I262" i="3"/>
  <c r="A263" i="3"/>
  <c r="E263" i="3"/>
  <c r="I263" i="3"/>
  <c r="A264" i="3"/>
  <c r="E264" i="3"/>
  <c r="I264" i="3"/>
  <c r="A265" i="3"/>
  <c r="E265" i="3"/>
  <c r="I265" i="3"/>
  <c r="A266" i="3"/>
  <c r="E266" i="3"/>
  <c r="I266" i="3"/>
  <c r="A267" i="3"/>
  <c r="E267" i="3"/>
  <c r="I267" i="3"/>
  <c r="A268" i="3"/>
  <c r="E268" i="3"/>
  <c r="I268" i="3"/>
  <c r="A269" i="3"/>
  <c r="E269" i="3"/>
  <c r="I269" i="3"/>
  <c r="A270" i="3"/>
  <c r="E270" i="3"/>
  <c r="I270" i="3"/>
  <c r="A271" i="3"/>
  <c r="E271" i="3"/>
  <c r="I271" i="3"/>
  <c r="A272" i="3"/>
  <c r="E272" i="3"/>
  <c r="I272" i="3"/>
  <c r="A273" i="3"/>
  <c r="E273" i="3"/>
  <c r="I273" i="3"/>
  <c r="A274" i="3"/>
  <c r="E274" i="3"/>
  <c r="I274" i="3"/>
  <c r="A275" i="3"/>
  <c r="E275" i="3"/>
  <c r="I275" i="3"/>
  <c r="A276" i="3"/>
  <c r="E276" i="3"/>
  <c r="I276" i="3"/>
  <c r="A277" i="3"/>
  <c r="E277" i="3"/>
  <c r="I277" i="3"/>
  <c r="A278" i="3"/>
  <c r="E278" i="3"/>
  <c r="I278" i="3"/>
  <c r="A279" i="3"/>
  <c r="E279" i="3"/>
  <c r="I279" i="3"/>
  <c r="A280" i="3"/>
  <c r="E280" i="3"/>
  <c r="I280" i="3"/>
  <c r="A281" i="3"/>
  <c r="E281" i="3"/>
  <c r="I281" i="3"/>
  <c r="A282" i="3"/>
  <c r="E282" i="3"/>
  <c r="I282" i="3"/>
  <c r="A283" i="3"/>
  <c r="E283" i="3"/>
  <c r="I283" i="3"/>
  <c r="A284" i="3"/>
  <c r="E284" i="3"/>
  <c r="I284" i="3"/>
  <c r="A285" i="3"/>
  <c r="E285" i="3"/>
  <c r="I285" i="3"/>
  <c r="A286" i="3"/>
  <c r="E286" i="3"/>
  <c r="I286" i="3"/>
  <c r="A287" i="3"/>
  <c r="E287" i="3"/>
  <c r="I287" i="3"/>
  <c r="A288" i="3"/>
  <c r="E288" i="3"/>
  <c r="I288" i="3"/>
  <c r="A289" i="3"/>
  <c r="E289" i="3"/>
  <c r="I289" i="3"/>
  <c r="A290" i="3"/>
  <c r="E290" i="3"/>
  <c r="I290" i="3"/>
  <c r="A291" i="3"/>
  <c r="E291" i="3"/>
  <c r="I291" i="3"/>
  <c r="A292" i="3"/>
  <c r="E292" i="3"/>
  <c r="I292" i="3"/>
  <c r="A293" i="3"/>
  <c r="E293" i="3"/>
  <c r="I293" i="3"/>
  <c r="A294" i="3"/>
  <c r="E294" i="3"/>
  <c r="I294" i="3"/>
  <c r="A295" i="3"/>
  <c r="E295" i="3"/>
  <c r="I295" i="3"/>
  <c r="A296" i="3"/>
  <c r="E296" i="3"/>
  <c r="I296" i="3"/>
  <c r="A297" i="3"/>
  <c r="E297" i="3"/>
  <c r="I297" i="3"/>
  <c r="A298" i="3"/>
  <c r="E298" i="3"/>
  <c r="I298" i="3"/>
  <c r="A299" i="3"/>
  <c r="E299" i="3"/>
  <c r="I299" i="3"/>
  <c r="A300" i="3"/>
  <c r="E300" i="3"/>
  <c r="I300" i="3"/>
  <c r="A301" i="3"/>
  <c r="E301" i="3"/>
  <c r="I301" i="3"/>
  <c r="A302" i="3"/>
  <c r="E302" i="3"/>
  <c r="I302" i="3"/>
  <c r="A303" i="3"/>
  <c r="E303" i="3"/>
  <c r="I303" i="3"/>
  <c r="A304" i="3"/>
  <c r="E304" i="3"/>
  <c r="I304" i="3"/>
  <c r="A305" i="3"/>
  <c r="E305" i="3"/>
  <c r="I305" i="3"/>
  <c r="A306" i="3"/>
  <c r="E306" i="3"/>
  <c r="I306" i="3"/>
  <c r="A307" i="3"/>
  <c r="E307" i="3"/>
  <c r="I307" i="3"/>
  <c r="A308" i="3"/>
  <c r="E308" i="3"/>
  <c r="I308" i="3"/>
  <c r="A309" i="3"/>
  <c r="E309" i="3"/>
  <c r="I309" i="3"/>
  <c r="A310" i="3"/>
  <c r="E310" i="3"/>
  <c r="I310" i="3"/>
  <c r="A311" i="3"/>
  <c r="E311" i="3"/>
  <c r="I311" i="3"/>
  <c r="A312" i="3"/>
  <c r="E312" i="3"/>
  <c r="I312" i="3"/>
  <c r="A313" i="3"/>
  <c r="E313" i="3"/>
  <c r="I313" i="3"/>
  <c r="A314" i="3"/>
  <c r="E314" i="3"/>
  <c r="I314" i="3"/>
  <c r="A315" i="3"/>
  <c r="E315" i="3"/>
  <c r="I315" i="3"/>
  <c r="A316" i="3"/>
  <c r="E316" i="3"/>
  <c r="I316" i="3"/>
  <c r="A317" i="3"/>
  <c r="E317" i="3"/>
  <c r="I317" i="3"/>
  <c r="A318" i="3"/>
  <c r="E318" i="3"/>
  <c r="I318" i="3"/>
  <c r="A319" i="3"/>
  <c r="E319" i="3"/>
  <c r="I319" i="3"/>
  <c r="A320" i="3"/>
  <c r="E320" i="3"/>
  <c r="I320" i="3"/>
  <c r="A321" i="3"/>
  <c r="E321" i="3"/>
  <c r="I321" i="3"/>
  <c r="A322" i="3"/>
  <c r="E322" i="3"/>
  <c r="I322" i="3"/>
  <c r="A323" i="3"/>
  <c r="E323" i="3"/>
  <c r="I323" i="3"/>
  <c r="A324" i="3"/>
  <c r="E324" i="3"/>
  <c r="I324" i="3"/>
  <c r="A325" i="3"/>
  <c r="E325" i="3"/>
  <c r="I325" i="3"/>
  <c r="A326" i="3"/>
  <c r="E326" i="3"/>
  <c r="I326" i="3"/>
  <c r="A327" i="3"/>
  <c r="E327" i="3"/>
  <c r="I327" i="3"/>
  <c r="A328" i="3"/>
  <c r="E328" i="3"/>
  <c r="I328" i="3"/>
  <c r="A329" i="3"/>
  <c r="E329" i="3"/>
  <c r="I329" i="3"/>
  <c r="A330" i="3"/>
  <c r="E330" i="3"/>
  <c r="I330" i="3"/>
  <c r="A331" i="3"/>
  <c r="E331" i="3"/>
  <c r="I331" i="3"/>
  <c r="A332" i="3"/>
  <c r="E332" i="3"/>
  <c r="I332" i="3"/>
  <c r="A333" i="3"/>
  <c r="E333" i="3"/>
  <c r="I333" i="3"/>
  <c r="A334" i="3"/>
  <c r="E334" i="3"/>
  <c r="I334" i="3"/>
  <c r="A335" i="3"/>
  <c r="E335" i="3"/>
  <c r="I335" i="3"/>
  <c r="A336" i="3"/>
  <c r="E336" i="3"/>
  <c r="I336" i="3"/>
  <c r="A337" i="3"/>
  <c r="E337" i="3"/>
  <c r="I337" i="3"/>
  <c r="A338" i="3"/>
  <c r="E338" i="3"/>
  <c r="I338" i="3"/>
  <c r="A339" i="3"/>
  <c r="E339" i="3"/>
  <c r="I339" i="3"/>
  <c r="A340" i="3"/>
  <c r="E340" i="3"/>
  <c r="I340" i="3"/>
  <c r="A341" i="3"/>
  <c r="E341" i="3"/>
  <c r="I341" i="3"/>
  <c r="A342" i="3"/>
  <c r="E342" i="3"/>
  <c r="I342" i="3"/>
  <c r="A343" i="3"/>
  <c r="E343" i="3"/>
  <c r="I343" i="3"/>
  <c r="A344" i="3"/>
  <c r="E344" i="3"/>
  <c r="I344" i="3"/>
  <c r="A345" i="3"/>
  <c r="E345" i="3"/>
  <c r="I345" i="3"/>
  <c r="A346" i="3"/>
  <c r="E346" i="3"/>
  <c r="I346" i="3"/>
  <c r="A347" i="3"/>
  <c r="E347" i="3"/>
  <c r="I347" i="3"/>
  <c r="A348" i="3"/>
  <c r="E348" i="3"/>
  <c r="I348" i="3"/>
  <c r="A349" i="3"/>
  <c r="E349" i="3"/>
  <c r="I349" i="3"/>
  <c r="A350" i="3"/>
  <c r="E350" i="3"/>
  <c r="I350" i="3"/>
  <c r="A351" i="3"/>
  <c r="E351" i="3"/>
  <c r="I351" i="3"/>
  <c r="A352" i="3"/>
  <c r="E352" i="3"/>
  <c r="I352" i="3"/>
  <c r="A353" i="3"/>
  <c r="E353" i="3"/>
  <c r="I353" i="3"/>
  <c r="A354" i="3"/>
  <c r="E354" i="3"/>
  <c r="I354" i="3"/>
  <c r="A355" i="3"/>
  <c r="E355" i="3"/>
  <c r="I355" i="3"/>
  <c r="A356" i="3"/>
  <c r="E356" i="3"/>
  <c r="I356" i="3"/>
  <c r="A357" i="3"/>
  <c r="E357" i="3"/>
  <c r="I357" i="3"/>
  <c r="A358" i="3"/>
  <c r="E358" i="3"/>
  <c r="I358" i="3"/>
  <c r="A359" i="3"/>
  <c r="E359" i="3"/>
  <c r="I359" i="3"/>
  <c r="A360" i="3"/>
  <c r="E360" i="3"/>
  <c r="I360" i="3"/>
  <c r="A361" i="3"/>
  <c r="E361" i="3"/>
  <c r="I361" i="3"/>
  <c r="A362" i="3"/>
  <c r="E362" i="3"/>
  <c r="I362" i="3"/>
  <c r="A363" i="3"/>
  <c r="E363" i="3"/>
  <c r="I363" i="3"/>
  <c r="A364" i="3"/>
  <c r="E364" i="3"/>
  <c r="I364" i="3"/>
  <c r="A365" i="3"/>
  <c r="E365" i="3"/>
  <c r="I365" i="3"/>
  <c r="A366" i="3"/>
  <c r="E366" i="3"/>
  <c r="I366" i="3"/>
  <c r="A367" i="3"/>
  <c r="E367" i="3"/>
  <c r="I367" i="3"/>
  <c r="A368" i="3"/>
  <c r="E368" i="3"/>
  <c r="I368" i="3"/>
  <c r="A369" i="3"/>
  <c r="E369" i="3"/>
  <c r="I369" i="3"/>
  <c r="A370" i="3"/>
  <c r="E370" i="3"/>
  <c r="I370" i="3"/>
  <c r="A371" i="3"/>
  <c r="E371" i="3"/>
  <c r="I371" i="3"/>
  <c r="A372" i="3"/>
  <c r="E372" i="3"/>
  <c r="I372" i="3"/>
  <c r="A373" i="3"/>
  <c r="E373" i="3"/>
  <c r="I373" i="3"/>
  <c r="A374" i="3"/>
  <c r="E374" i="3"/>
  <c r="I374" i="3"/>
  <c r="A375" i="3"/>
  <c r="E375" i="3"/>
  <c r="I375" i="3"/>
  <c r="A376" i="3"/>
  <c r="E376" i="3"/>
  <c r="I376" i="3"/>
  <c r="A377" i="3"/>
  <c r="E377" i="3"/>
  <c r="I377" i="3"/>
  <c r="A378" i="3"/>
  <c r="E378" i="3"/>
  <c r="I378" i="3"/>
  <c r="A379" i="3"/>
  <c r="E379" i="3"/>
  <c r="I379" i="3"/>
  <c r="A380" i="3"/>
  <c r="E380" i="3"/>
  <c r="I380" i="3"/>
  <c r="A381" i="3"/>
  <c r="E381" i="3"/>
  <c r="I381" i="3"/>
  <c r="A382" i="3"/>
  <c r="E382" i="3"/>
  <c r="I382" i="3"/>
  <c r="A383" i="3"/>
  <c r="E383" i="3"/>
  <c r="I383" i="3"/>
  <c r="A384" i="3"/>
  <c r="E384" i="3"/>
  <c r="I384" i="3"/>
  <c r="A385" i="3"/>
  <c r="E385" i="3"/>
  <c r="I385" i="3"/>
  <c r="A386" i="3"/>
  <c r="E386" i="3"/>
  <c r="I386" i="3"/>
  <c r="A387" i="3"/>
  <c r="E387" i="3"/>
  <c r="I387" i="3"/>
  <c r="A388" i="3"/>
  <c r="E388" i="3"/>
  <c r="I388" i="3"/>
  <c r="A389" i="3"/>
  <c r="E389" i="3"/>
  <c r="I389" i="3"/>
  <c r="A390" i="3"/>
  <c r="E390" i="3"/>
  <c r="I390" i="3"/>
  <c r="A391" i="3"/>
  <c r="E391" i="3"/>
  <c r="I391" i="3"/>
  <c r="A392" i="3"/>
  <c r="E392" i="3"/>
  <c r="I392" i="3"/>
  <c r="A393" i="3"/>
  <c r="E393" i="3"/>
  <c r="I393" i="3"/>
  <c r="A394" i="3"/>
  <c r="E394" i="3"/>
  <c r="I394" i="3"/>
  <c r="A395" i="3"/>
  <c r="E395" i="3"/>
  <c r="I395" i="3"/>
  <c r="A396" i="3"/>
  <c r="E396" i="3"/>
  <c r="I396" i="3"/>
  <c r="A397" i="3"/>
  <c r="E397" i="3"/>
  <c r="I397" i="3"/>
  <c r="A398" i="3"/>
  <c r="E398" i="3"/>
  <c r="I398" i="3"/>
  <c r="A399" i="3"/>
  <c r="E399" i="3"/>
  <c r="I399" i="3"/>
  <c r="A400" i="3"/>
  <c r="E400" i="3"/>
  <c r="I400" i="3"/>
  <c r="A401" i="3"/>
  <c r="E401" i="3"/>
  <c r="I401" i="3"/>
  <c r="A402" i="3"/>
  <c r="E402" i="3"/>
  <c r="I402" i="3"/>
  <c r="A403" i="3"/>
  <c r="E403" i="3"/>
  <c r="I403" i="3"/>
  <c r="A404" i="3"/>
  <c r="E404" i="3"/>
  <c r="I404" i="3"/>
  <c r="A405" i="3"/>
  <c r="E405" i="3"/>
  <c r="I405" i="3"/>
  <c r="A406" i="3"/>
  <c r="E406" i="3"/>
  <c r="I406" i="3"/>
  <c r="A407" i="3"/>
  <c r="E407" i="3"/>
  <c r="I407" i="3"/>
  <c r="A408" i="3"/>
  <c r="E408" i="3"/>
  <c r="I408" i="3"/>
  <c r="A409" i="3"/>
  <c r="E409" i="3"/>
  <c r="I409" i="3"/>
  <c r="A410" i="3"/>
  <c r="E410" i="3"/>
  <c r="I410" i="3"/>
  <c r="A411" i="3"/>
  <c r="E411" i="3"/>
  <c r="I411" i="3"/>
  <c r="A412" i="3"/>
  <c r="E412" i="3"/>
  <c r="I412" i="3"/>
  <c r="A413" i="3"/>
  <c r="E413" i="3"/>
  <c r="I413" i="3"/>
  <c r="A414" i="3"/>
  <c r="E414" i="3"/>
  <c r="I414" i="3"/>
  <c r="A415" i="3"/>
  <c r="E415" i="3"/>
  <c r="I415" i="3"/>
  <c r="A416" i="3"/>
  <c r="E416" i="3"/>
  <c r="I416" i="3"/>
  <c r="A417" i="3"/>
  <c r="E417" i="3"/>
  <c r="I417" i="3"/>
  <c r="A418" i="3"/>
  <c r="E418" i="3"/>
  <c r="I418" i="3"/>
  <c r="A419" i="3"/>
  <c r="E419" i="3"/>
  <c r="I419" i="3"/>
  <c r="A420" i="3"/>
  <c r="E420" i="3"/>
  <c r="I420" i="3"/>
  <c r="A421" i="3"/>
  <c r="E421" i="3"/>
  <c r="I421" i="3"/>
  <c r="A422" i="3"/>
  <c r="E422" i="3"/>
  <c r="I422" i="3"/>
  <c r="A423" i="3"/>
  <c r="E423" i="3"/>
  <c r="I423" i="3"/>
  <c r="A424" i="3"/>
  <c r="E424" i="3"/>
  <c r="I424" i="3"/>
  <c r="A425" i="3"/>
  <c r="E425" i="3"/>
  <c r="I425" i="3"/>
  <c r="A426" i="3"/>
  <c r="E426" i="3"/>
  <c r="I426" i="3"/>
  <c r="A427" i="3"/>
  <c r="E427" i="3"/>
  <c r="I427" i="3"/>
  <c r="A428" i="3"/>
  <c r="E428" i="3"/>
  <c r="I428" i="3"/>
  <c r="A429" i="3"/>
  <c r="E429" i="3"/>
  <c r="I429" i="3"/>
  <c r="A430" i="3"/>
  <c r="E430" i="3"/>
  <c r="I430" i="3"/>
  <c r="A431" i="3"/>
  <c r="E431" i="3"/>
  <c r="I431" i="3"/>
  <c r="A432" i="3"/>
  <c r="E432" i="3"/>
  <c r="I432" i="3"/>
  <c r="A433" i="3"/>
  <c r="E433" i="3"/>
  <c r="I433" i="3"/>
  <c r="A434" i="3"/>
  <c r="E434" i="3"/>
  <c r="I434" i="3"/>
  <c r="A435" i="3"/>
  <c r="E435" i="3"/>
  <c r="I435" i="3"/>
  <c r="A436" i="3"/>
  <c r="E436" i="3"/>
  <c r="I436" i="3"/>
  <c r="A437" i="3"/>
  <c r="E437" i="3"/>
  <c r="I437" i="3"/>
  <c r="A438" i="3"/>
  <c r="E438" i="3"/>
  <c r="I438" i="3"/>
  <c r="A439" i="3"/>
  <c r="E439" i="3"/>
  <c r="I439" i="3"/>
  <c r="A440" i="3"/>
  <c r="E440" i="3"/>
  <c r="I440" i="3"/>
  <c r="A441" i="3"/>
  <c r="E441" i="3"/>
  <c r="I441" i="3"/>
  <c r="A442" i="3"/>
  <c r="E442" i="3"/>
  <c r="I442" i="3"/>
  <c r="A443" i="3"/>
  <c r="E443" i="3"/>
  <c r="I443" i="3"/>
  <c r="A444" i="3"/>
  <c r="E444" i="3"/>
  <c r="I444" i="3"/>
  <c r="A445" i="3"/>
  <c r="E445" i="3"/>
  <c r="I445" i="3"/>
  <c r="A446" i="3"/>
  <c r="E446" i="3"/>
  <c r="I446" i="3"/>
  <c r="A447" i="3"/>
  <c r="E447" i="3"/>
  <c r="I447" i="3"/>
  <c r="A448" i="3"/>
  <c r="E448" i="3"/>
  <c r="I448" i="3"/>
  <c r="A449" i="3"/>
  <c r="E449" i="3"/>
  <c r="I449" i="3"/>
  <c r="A450" i="3"/>
  <c r="E450" i="3"/>
  <c r="I450" i="3"/>
  <c r="A451" i="3"/>
  <c r="E451" i="3"/>
  <c r="I451" i="3"/>
  <c r="A452" i="3"/>
  <c r="E452" i="3"/>
  <c r="I452" i="3"/>
  <c r="A453" i="3"/>
  <c r="E453" i="3"/>
  <c r="I453" i="3"/>
  <c r="A454" i="3"/>
  <c r="E454" i="3"/>
  <c r="I454" i="3"/>
  <c r="A455" i="3"/>
  <c r="E455" i="3"/>
  <c r="I455" i="3"/>
  <c r="A456" i="3"/>
  <c r="E456" i="3"/>
  <c r="I456" i="3"/>
  <c r="A457" i="3"/>
  <c r="E457" i="3"/>
  <c r="I457" i="3"/>
  <c r="A458" i="3"/>
  <c r="E458" i="3"/>
  <c r="I458" i="3"/>
  <c r="A459" i="3"/>
  <c r="E459" i="3"/>
  <c r="I459" i="3"/>
  <c r="A460" i="3"/>
  <c r="E460" i="3"/>
  <c r="I460" i="3"/>
  <c r="A461" i="3"/>
  <c r="E461" i="3"/>
  <c r="I461" i="3"/>
  <c r="A462" i="3"/>
  <c r="E462" i="3"/>
  <c r="I462" i="3"/>
  <c r="A463" i="3"/>
  <c r="E463" i="3"/>
  <c r="I463" i="3"/>
  <c r="A464" i="3"/>
  <c r="E464" i="3"/>
  <c r="I464" i="3"/>
  <c r="A465" i="3"/>
  <c r="E465" i="3"/>
  <c r="I465" i="3"/>
  <c r="A466" i="3"/>
  <c r="E466" i="3"/>
  <c r="I466" i="3"/>
  <c r="A467" i="3"/>
  <c r="E467" i="3"/>
  <c r="I467" i="3"/>
  <c r="A468" i="3"/>
  <c r="E468" i="3"/>
  <c r="I468" i="3"/>
  <c r="A469" i="3"/>
  <c r="E469" i="3"/>
  <c r="I469" i="3"/>
  <c r="A470" i="3"/>
  <c r="E470" i="3"/>
  <c r="I470" i="3"/>
  <c r="A471" i="3"/>
  <c r="E471" i="3"/>
  <c r="I471" i="3"/>
  <c r="A472" i="3"/>
  <c r="E472" i="3"/>
  <c r="I472" i="3"/>
  <c r="A473" i="3"/>
  <c r="E473" i="3"/>
  <c r="I473" i="3"/>
  <c r="A474" i="3"/>
  <c r="E474" i="3"/>
  <c r="I474" i="3"/>
  <c r="A475" i="3"/>
  <c r="E475" i="3"/>
  <c r="I475" i="3"/>
  <c r="A476" i="3"/>
  <c r="E476" i="3"/>
  <c r="I476" i="3"/>
  <c r="A477" i="3"/>
  <c r="E477" i="3"/>
  <c r="I477" i="3"/>
  <c r="A478" i="3"/>
  <c r="E478" i="3"/>
  <c r="I478" i="3"/>
  <c r="A479" i="3"/>
  <c r="E479" i="3"/>
  <c r="I479" i="3"/>
  <c r="A480" i="3"/>
  <c r="E480" i="3"/>
  <c r="I480" i="3"/>
  <c r="A481" i="3"/>
  <c r="E481" i="3"/>
  <c r="I481" i="3"/>
  <c r="A482" i="3"/>
  <c r="E482" i="3"/>
  <c r="I482" i="3"/>
  <c r="A483" i="3"/>
  <c r="E483" i="3"/>
  <c r="I483" i="3"/>
  <c r="A484" i="3"/>
  <c r="E484" i="3"/>
  <c r="I484" i="3"/>
  <c r="A485" i="3"/>
  <c r="E485" i="3"/>
  <c r="I485" i="3"/>
  <c r="A486" i="3"/>
  <c r="E486" i="3"/>
  <c r="I486" i="3"/>
  <c r="A487" i="3"/>
  <c r="E487" i="3"/>
  <c r="I487" i="3"/>
  <c r="A488" i="3"/>
  <c r="E488" i="3"/>
  <c r="I488" i="3"/>
  <c r="A489" i="3"/>
  <c r="E489" i="3"/>
  <c r="I489" i="3"/>
  <c r="A490" i="3"/>
  <c r="E490" i="3"/>
  <c r="I490" i="3"/>
  <c r="A491" i="3"/>
  <c r="E491" i="3"/>
  <c r="I491" i="3"/>
  <c r="A492" i="3"/>
  <c r="E492" i="3"/>
  <c r="I492" i="3"/>
  <c r="A493" i="3"/>
  <c r="E493" i="3"/>
  <c r="I493" i="3"/>
  <c r="A494" i="3"/>
  <c r="E494" i="3"/>
  <c r="I494" i="3"/>
  <c r="A495" i="3"/>
  <c r="E495" i="3"/>
  <c r="I495" i="3"/>
  <c r="A496" i="3"/>
  <c r="E496" i="3"/>
  <c r="I496" i="3"/>
  <c r="A497" i="3"/>
  <c r="E497" i="3"/>
  <c r="I497" i="3"/>
  <c r="A498" i="3"/>
  <c r="E498" i="3"/>
  <c r="I498" i="3"/>
  <c r="A499" i="3"/>
  <c r="E499" i="3"/>
  <c r="I499" i="3"/>
  <c r="A500" i="3"/>
  <c r="E500" i="3"/>
  <c r="I500" i="3"/>
  <c r="A501" i="3"/>
  <c r="E501" i="3"/>
  <c r="I501" i="3"/>
  <c r="A502" i="3"/>
  <c r="E502" i="3"/>
  <c r="I502" i="3"/>
  <c r="A503" i="3"/>
  <c r="E503" i="3"/>
  <c r="I503" i="3"/>
  <c r="A504" i="3"/>
  <c r="E504" i="3"/>
  <c r="I504" i="3"/>
  <c r="A505" i="3"/>
  <c r="E505" i="3"/>
  <c r="I505" i="3"/>
  <c r="A506" i="3"/>
  <c r="E506" i="3"/>
  <c r="I506" i="3"/>
  <c r="A507" i="3"/>
  <c r="E507" i="3"/>
  <c r="I507" i="3"/>
  <c r="A508" i="3"/>
  <c r="E508" i="3"/>
  <c r="I508" i="3"/>
  <c r="A509" i="3"/>
  <c r="E509" i="3"/>
  <c r="I509" i="3"/>
  <c r="A510" i="3"/>
  <c r="E510" i="3"/>
  <c r="I510" i="3"/>
  <c r="A511" i="3"/>
  <c r="E511" i="3"/>
  <c r="I511" i="3"/>
  <c r="A512" i="3"/>
  <c r="E512" i="3"/>
  <c r="I512" i="3"/>
  <c r="A513" i="3"/>
  <c r="E513" i="3"/>
  <c r="I513" i="3"/>
  <c r="A514" i="3"/>
  <c r="E514" i="3"/>
  <c r="I514" i="3"/>
  <c r="A515" i="3"/>
  <c r="E515" i="3"/>
  <c r="I515" i="3"/>
  <c r="A516" i="3"/>
  <c r="E516" i="3"/>
  <c r="I516" i="3"/>
  <c r="A517" i="3"/>
  <c r="E517" i="3"/>
  <c r="I517" i="3"/>
  <c r="A518" i="3"/>
  <c r="E518" i="3"/>
  <c r="I518" i="3"/>
  <c r="A519" i="3"/>
  <c r="E519" i="3"/>
  <c r="I519" i="3"/>
  <c r="A520" i="3"/>
  <c r="E520" i="3"/>
  <c r="I520" i="3"/>
  <c r="A521" i="3"/>
  <c r="E521" i="3"/>
  <c r="I521" i="3"/>
  <c r="A522" i="3"/>
  <c r="E522" i="3"/>
  <c r="I522" i="3"/>
  <c r="A523" i="3"/>
  <c r="E523" i="3"/>
  <c r="I523" i="3"/>
  <c r="A524" i="3"/>
  <c r="E524" i="3"/>
  <c r="I524" i="3"/>
  <c r="A525" i="3"/>
  <c r="E525" i="3"/>
  <c r="I525" i="3"/>
  <c r="A526" i="3"/>
  <c r="E526" i="3"/>
  <c r="I526" i="3"/>
  <c r="A527" i="3"/>
  <c r="E527" i="3"/>
  <c r="I527" i="3"/>
  <c r="A528" i="3"/>
  <c r="E528" i="3"/>
  <c r="I528" i="3"/>
  <c r="A529" i="3"/>
  <c r="E529" i="3"/>
  <c r="I529" i="3"/>
  <c r="A530" i="3"/>
  <c r="E530" i="3"/>
  <c r="I530" i="3"/>
  <c r="A531" i="3"/>
  <c r="E531" i="3"/>
  <c r="I531" i="3"/>
  <c r="A532" i="3"/>
  <c r="E532" i="3"/>
  <c r="I532" i="3"/>
  <c r="A533" i="3"/>
  <c r="E533" i="3"/>
  <c r="I533" i="3"/>
  <c r="A534" i="3"/>
  <c r="E534" i="3"/>
  <c r="I534" i="3"/>
  <c r="A535" i="3"/>
  <c r="E535" i="3"/>
  <c r="I535" i="3"/>
  <c r="A536" i="3"/>
  <c r="E536" i="3"/>
  <c r="I536" i="3"/>
  <c r="A537" i="3"/>
  <c r="E537" i="3"/>
  <c r="I537" i="3"/>
  <c r="A538" i="3"/>
  <c r="E538" i="3"/>
  <c r="I538" i="3"/>
  <c r="A539" i="3"/>
  <c r="E539" i="3"/>
  <c r="I539" i="3"/>
  <c r="A540" i="3"/>
  <c r="E540" i="3"/>
  <c r="I540" i="3"/>
  <c r="A541" i="3"/>
  <c r="E541" i="3"/>
  <c r="I541" i="3"/>
  <c r="A542" i="3"/>
  <c r="E542" i="3"/>
  <c r="I542" i="3"/>
  <c r="A543" i="3"/>
  <c r="E543" i="3"/>
  <c r="I543" i="3"/>
  <c r="A544" i="3"/>
  <c r="E544" i="3"/>
  <c r="I544" i="3"/>
  <c r="A545" i="3"/>
  <c r="E545" i="3"/>
  <c r="I545" i="3"/>
  <c r="A546" i="3"/>
  <c r="E546" i="3"/>
  <c r="I546" i="3"/>
  <c r="A547" i="3"/>
  <c r="E547" i="3"/>
  <c r="I547" i="3"/>
  <c r="A548" i="3"/>
  <c r="E548" i="3"/>
  <c r="I548" i="3"/>
  <c r="A549" i="3"/>
  <c r="E549" i="3"/>
  <c r="I549" i="3"/>
  <c r="A550" i="3"/>
  <c r="E550" i="3"/>
  <c r="I550" i="3"/>
  <c r="A551" i="3"/>
  <c r="E551" i="3"/>
  <c r="I551" i="3"/>
  <c r="A552" i="3"/>
  <c r="E552" i="3"/>
  <c r="I552" i="3"/>
  <c r="A553" i="3"/>
  <c r="E553" i="3"/>
  <c r="I553" i="3"/>
  <c r="A554" i="3"/>
  <c r="E554" i="3"/>
  <c r="I554" i="3"/>
  <c r="A555" i="3"/>
  <c r="E555" i="3"/>
  <c r="I555" i="3"/>
  <c r="A556" i="3"/>
  <c r="E556" i="3"/>
  <c r="I556" i="3"/>
  <c r="A557" i="3"/>
  <c r="E557" i="3"/>
  <c r="I557" i="3"/>
  <c r="A558" i="3"/>
  <c r="E558" i="3"/>
  <c r="I558" i="3"/>
  <c r="A559" i="3"/>
  <c r="E559" i="3"/>
  <c r="I559" i="3"/>
  <c r="A560" i="3"/>
  <c r="E560" i="3"/>
  <c r="I560" i="3"/>
  <c r="A561" i="3"/>
  <c r="E561" i="3"/>
  <c r="I561" i="3"/>
  <c r="A562" i="3"/>
  <c r="E562" i="3"/>
  <c r="I562" i="3"/>
  <c r="A563" i="3"/>
  <c r="E563" i="3"/>
  <c r="I563" i="3"/>
  <c r="A564" i="3"/>
  <c r="E564" i="3"/>
  <c r="I564" i="3"/>
  <c r="A565" i="3"/>
  <c r="E565" i="3"/>
  <c r="I565" i="3"/>
  <c r="A566" i="3"/>
  <c r="E566" i="3"/>
  <c r="I566" i="3"/>
  <c r="A567" i="3"/>
  <c r="E567" i="3"/>
  <c r="I567" i="3"/>
  <c r="A568" i="3"/>
  <c r="E568" i="3"/>
  <c r="I568" i="3"/>
  <c r="A569" i="3"/>
  <c r="E569" i="3"/>
  <c r="I569" i="3"/>
  <c r="A570" i="3"/>
  <c r="E570" i="3"/>
  <c r="I570" i="3"/>
  <c r="A571" i="3"/>
  <c r="E571" i="3"/>
  <c r="I571" i="3"/>
  <c r="A572" i="3"/>
  <c r="E572" i="3"/>
  <c r="I572" i="3"/>
  <c r="A573" i="3"/>
  <c r="E573" i="3"/>
  <c r="I573" i="3"/>
  <c r="A574" i="3"/>
  <c r="E574" i="3"/>
  <c r="I574" i="3"/>
  <c r="A575" i="3"/>
  <c r="E575" i="3"/>
  <c r="I575" i="3"/>
  <c r="A576" i="3"/>
  <c r="E576" i="3"/>
  <c r="I576" i="3"/>
  <c r="A577" i="3"/>
  <c r="E577" i="3"/>
  <c r="I577" i="3"/>
  <c r="A578" i="3"/>
  <c r="E578" i="3"/>
  <c r="I578" i="3"/>
  <c r="A579" i="3"/>
  <c r="E579" i="3"/>
  <c r="I579" i="3"/>
  <c r="A580" i="3"/>
  <c r="E580" i="3"/>
  <c r="I580" i="3"/>
  <c r="A581" i="3"/>
  <c r="E581" i="3"/>
  <c r="I581" i="3"/>
  <c r="A582" i="3"/>
  <c r="E582" i="3"/>
  <c r="I582" i="3"/>
  <c r="A583" i="3"/>
  <c r="E583" i="3"/>
  <c r="I583" i="3"/>
  <c r="A584" i="3"/>
  <c r="E584" i="3"/>
  <c r="I584" i="3"/>
  <c r="A585" i="3"/>
  <c r="E585" i="3"/>
  <c r="I585" i="3"/>
  <c r="A586" i="3"/>
  <c r="E586" i="3"/>
  <c r="I586" i="3"/>
  <c r="A587" i="3"/>
  <c r="E587" i="3"/>
  <c r="I587" i="3"/>
  <c r="A588" i="3"/>
  <c r="E588" i="3"/>
  <c r="I588" i="3"/>
  <c r="A589" i="3"/>
  <c r="E589" i="3"/>
  <c r="I589" i="3"/>
  <c r="A590" i="3"/>
  <c r="E590" i="3"/>
  <c r="I590" i="3"/>
  <c r="A591" i="3"/>
  <c r="E591" i="3"/>
  <c r="I591" i="3"/>
  <c r="A592" i="3"/>
  <c r="E592" i="3"/>
  <c r="I592" i="3"/>
  <c r="A593" i="3"/>
  <c r="E593" i="3"/>
  <c r="I593" i="3"/>
  <c r="A594" i="3"/>
  <c r="E594" i="3"/>
  <c r="I594" i="3"/>
  <c r="A595" i="3"/>
  <c r="E595" i="3"/>
  <c r="I595" i="3"/>
  <c r="A596" i="3"/>
  <c r="E596" i="3"/>
  <c r="I596" i="3"/>
  <c r="A597" i="3"/>
  <c r="E597" i="3"/>
  <c r="I597" i="3"/>
  <c r="A598" i="3"/>
  <c r="E598" i="3"/>
  <c r="I598" i="3"/>
  <c r="A599" i="3"/>
  <c r="E599" i="3"/>
  <c r="I599" i="3"/>
  <c r="A600" i="3"/>
  <c r="E600" i="3"/>
  <c r="I600" i="3"/>
  <c r="A601" i="3"/>
  <c r="E601" i="3"/>
  <c r="I601" i="3"/>
  <c r="A602" i="3"/>
  <c r="E602" i="3"/>
  <c r="I602" i="3"/>
  <c r="A603" i="3"/>
  <c r="E603" i="3"/>
  <c r="I603" i="3"/>
  <c r="A604" i="3"/>
  <c r="E604" i="3"/>
  <c r="I604" i="3"/>
  <c r="A605" i="3"/>
  <c r="E605" i="3"/>
  <c r="I605" i="3"/>
  <c r="A606" i="3"/>
  <c r="E606" i="3"/>
  <c r="I606" i="3"/>
  <c r="A607" i="3"/>
  <c r="E607" i="3"/>
  <c r="I607" i="3"/>
  <c r="A608" i="3"/>
  <c r="E608" i="3"/>
  <c r="I608" i="3"/>
  <c r="A609" i="3"/>
  <c r="E609" i="3"/>
  <c r="I609" i="3"/>
  <c r="A610" i="3"/>
  <c r="E610" i="3"/>
  <c r="I610" i="3"/>
  <c r="A611" i="3"/>
  <c r="E611" i="3"/>
  <c r="I611" i="3"/>
  <c r="A612" i="3"/>
  <c r="E612" i="3"/>
  <c r="I612" i="3"/>
  <c r="A613" i="3"/>
  <c r="E613" i="3"/>
  <c r="I613" i="3"/>
  <c r="A614" i="3"/>
  <c r="E614" i="3"/>
  <c r="I614" i="3"/>
  <c r="A615" i="3"/>
  <c r="E615" i="3"/>
  <c r="I615" i="3"/>
  <c r="A616" i="3"/>
  <c r="E616" i="3"/>
  <c r="I616" i="3"/>
  <c r="A617" i="3"/>
  <c r="E617" i="3"/>
  <c r="I617" i="3"/>
  <c r="A618" i="3"/>
  <c r="E618" i="3"/>
  <c r="I618" i="3"/>
  <c r="A619" i="3"/>
  <c r="E619" i="3"/>
  <c r="I619" i="3"/>
  <c r="A620" i="3"/>
  <c r="E620" i="3"/>
  <c r="I620" i="3"/>
  <c r="A621" i="3"/>
  <c r="E621" i="3"/>
  <c r="I621" i="3"/>
  <c r="A622" i="3"/>
  <c r="E622" i="3"/>
  <c r="I622" i="3"/>
  <c r="A623" i="3"/>
  <c r="E623" i="3"/>
  <c r="I623" i="3"/>
  <c r="A624" i="3"/>
  <c r="E624" i="3"/>
  <c r="I624" i="3"/>
  <c r="A625" i="3"/>
  <c r="E625" i="3"/>
  <c r="I625" i="3"/>
  <c r="A626" i="3"/>
  <c r="E626" i="3"/>
  <c r="I626" i="3"/>
  <c r="A627" i="3"/>
  <c r="E627" i="3"/>
  <c r="I627" i="3"/>
  <c r="A628" i="3"/>
  <c r="E628" i="3"/>
  <c r="I628" i="3"/>
  <c r="A629" i="3"/>
  <c r="E629" i="3"/>
  <c r="I629" i="3"/>
  <c r="A630" i="3"/>
  <c r="E630" i="3"/>
  <c r="I630" i="3"/>
  <c r="A631" i="3"/>
  <c r="E631" i="3"/>
  <c r="I631" i="3"/>
  <c r="A632" i="3"/>
  <c r="E632" i="3"/>
  <c r="I632" i="3"/>
  <c r="A633" i="3"/>
  <c r="E633" i="3"/>
  <c r="I633" i="3"/>
  <c r="A634" i="3"/>
  <c r="E634" i="3"/>
  <c r="I634" i="3"/>
  <c r="A635" i="3"/>
  <c r="E635" i="3"/>
  <c r="I635" i="3"/>
  <c r="A636" i="3"/>
  <c r="E636" i="3"/>
  <c r="I636" i="3"/>
  <c r="A637" i="3"/>
  <c r="E637" i="3"/>
  <c r="I637" i="3"/>
  <c r="A638" i="3"/>
  <c r="E638" i="3"/>
  <c r="I638" i="3"/>
  <c r="A639" i="3"/>
  <c r="E639" i="3"/>
  <c r="I639" i="3"/>
  <c r="A640" i="3"/>
  <c r="E640" i="3"/>
  <c r="I640" i="3"/>
  <c r="A641" i="3"/>
  <c r="E641" i="3"/>
  <c r="I641" i="3"/>
  <c r="A642" i="3"/>
  <c r="E642" i="3"/>
  <c r="I642" i="3"/>
  <c r="A643" i="3"/>
  <c r="E643" i="3"/>
  <c r="I643" i="3"/>
  <c r="A644" i="3"/>
  <c r="E644" i="3"/>
  <c r="I644" i="3"/>
  <c r="A645" i="3"/>
  <c r="E645" i="3"/>
  <c r="I645" i="3"/>
  <c r="A646" i="3"/>
  <c r="E646" i="3"/>
  <c r="I646" i="3"/>
  <c r="A647" i="3"/>
  <c r="E647" i="3"/>
  <c r="I647" i="3"/>
  <c r="A648" i="3"/>
  <c r="E648" i="3"/>
  <c r="I648" i="3"/>
  <c r="A649" i="3"/>
  <c r="E649" i="3"/>
  <c r="I649" i="3"/>
  <c r="A650" i="3"/>
  <c r="E650" i="3"/>
  <c r="I650" i="3"/>
  <c r="A651" i="3"/>
  <c r="E651" i="3"/>
  <c r="I651" i="3"/>
  <c r="A652" i="3"/>
  <c r="E652" i="3"/>
  <c r="I652" i="3"/>
  <c r="A653" i="3"/>
  <c r="E653" i="3"/>
  <c r="I653" i="3"/>
  <c r="A654" i="3"/>
  <c r="E654" i="3"/>
  <c r="I654" i="3"/>
  <c r="A655" i="3"/>
  <c r="E655" i="3"/>
  <c r="I655" i="3"/>
  <c r="A656" i="3"/>
  <c r="E656" i="3"/>
  <c r="I656" i="3"/>
  <c r="A657" i="3"/>
  <c r="E657" i="3"/>
  <c r="I657" i="3"/>
  <c r="A658" i="3"/>
  <c r="E658" i="3"/>
  <c r="I658" i="3"/>
  <c r="A659" i="3"/>
  <c r="E659" i="3"/>
  <c r="I659" i="3"/>
  <c r="A660" i="3"/>
  <c r="E660" i="3"/>
  <c r="I660" i="3"/>
  <c r="A661" i="3"/>
  <c r="E661" i="3"/>
  <c r="I661" i="3"/>
  <c r="A662" i="3"/>
  <c r="E662" i="3"/>
  <c r="I662" i="3"/>
  <c r="A663" i="3"/>
  <c r="E663" i="3"/>
  <c r="I663" i="3"/>
  <c r="A664" i="3"/>
  <c r="E664" i="3"/>
  <c r="I664" i="3"/>
  <c r="A665" i="3"/>
  <c r="E665" i="3"/>
  <c r="I665" i="3"/>
  <c r="A666" i="3"/>
  <c r="E666" i="3"/>
  <c r="I666" i="3"/>
  <c r="A667" i="3"/>
  <c r="E667" i="3"/>
  <c r="I667" i="3"/>
  <c r="A668" i="3"/>
  <c r="E668" i="3"/>
  <c r="I668" i="3"/>
  <c r="A669" i="3"/>
  <c r="E669" i="3"/>
  <c r="I669" i="3"/>
  <c r="A670" i="3"/>
  <c r="E670" i="3"/>
  <c r="I670" i="3"/>
  <c r="A671" i="3"/>
  <c r="E671" i="3"/>
  <c r="I671" i="3"/>
  <c r="A672" i="3"/>
  <c r="E672" i="3"/>
  <c r="I672" i="3"/>
  <c r="A673" i="3"/>
  <c r="E673" i="3"/>
  <c r="I673" i="3"/>
  <c r="A674" i="3"/>
  <c r="E674" i="3"/>
  <c r="I674" i="3"/>
  <c r="A675" i="3"/>
  <c r="E675" i="3"/>
  <c r="I675" i="3"/>
  <c r="A676" i="3"/>
  <c r="E676" i="3"/>
  <c r="I676" i="3"/>
  <c r="A677" i="3"/>
  <c r="E677" i="3"/>
  <c r="I677" i="3"/>
  <c r="A678" i="3"/>
  <c r="E678" i="3"/>
  <c r="I678" i="3"/>
  <c r="A679" i="3"/>
  <c r="E679" i="3"/>
  <c r="I679" i="3"/>
  <c r="A680" i="3"/>
  <c r="E680" i="3"/>
  <c r="I680" i="3"/>
  <c r="A681" i="3"/>
  <c r="E681" i="3"/>
  <c r="I681" i="3"/>
  <c r="A682" i="3"/>
  <c r="E682" i="3"/>
  <c r="I682" i="3"/>
  <c r="A683" i="3"/>
  <c r="E683" i="3"/>
  <c r="I683" i="3"/>
  <c r="A684" i="3"/>
  <c r="E684" i="3"/>
  <c r="I684" i="3"/>
  <c r="A685" i="3"/>
  <c r="E685" i="3"/>
  <c r="I685" i="3"/>
  <c r="A686" i="3"/>
  <c r="E686" i="3"/>
  <c r="I686" i="3"/>
  <c r="A687" i="3"/>
  <c r="E687" i="3"/>
  <c r="I687" i="3"/>
  <c r="A688" i="3"/>
  <c r="E688" i="3"/>
  <c r="I688" i="3"/>
  <c r="A689" i="3"/>
  <c r="E689" i="3"/>
  <c r="I689" i="3"/>
  <c r="A690" i="3"/>
  <c r="E690" i="3"/>
  <c r="I690" i="3"/>
  <c r="A691" i="3"/>
  <c r="E691" i="3"/>
  <c r="I691" i="3"/>
  <c r="A692" i="3"/>
  <c r="E692" i="3"/>
  <c r="I692" i="3"/>
  <c r="A693" i="3"/>
  <c r="E693" i="3"/>
  <c r="I693" i="3"/>
  <c r="A694" i="3"/>
  <c r="E694" i="3"/>
  <c r="I694" i="3"/>
  <c r="A695" i="3"/>
  <c r="E695" i="3"/>
  <c r="I695" i="3"/>
  <c r="A696" i="3"/>
  <c r="E696" i="3"/>
  <c r="I696" i="3"/>
  <c r="A697" i="3"/>
  <c r="E697" i="3"/>
  <c r="I697" i="3"/>
  <c r="A698" i="3"/>
  <c r="E698" i="3"/>
  <c r="I698" i="3"/>
  <c r="A699" i="3"/>
  <c r="E699" i="3"/>
  <c r="I699" i="3"/>
  <c r="A700" i="3"/>
  <c r="E700" i="3"/>
  <c r="I700" i="3"/>
  <c r="A701" i="3"/>
  <c r="E701" i="3"/>
  <c r="I701" i="3"/>
  <c r="A702" i="3"/>
  <c r="E702" i="3"/>
  <c r="I702" i="3"/>
  <c r="A703" i="3"/>
  <c r="E703" i="3"/>
  <c r="I703" i="3"/>
  <c r="A704" i="3"/>
  <c r="E704" i="3"/>
  <c r="I704" i="3"/>
  <c r="A705" i="3"/>
  <c r="E705" i="3"/>
  <c r="I705" i="3"/>
  <c r="A706" i="3"/>
  <c r="E706" i="3"/>
  <c r="I706" i="3"/>
  <c r="A707" i="3"/>
  <c r="E707" i="3"/>
  <c r="I707" i="3"/>
  <c r="A708" i="3"/>
  <c r="E708" i="3"/>
  <c r="I708" i="3"/>
  <c r="A709" i="3"/>
  <c r="E709" i="3"/>
  <c r="I709" i="3"/>
  <c r="A710" i="3"/>
  <c r="E710" i="3"/>
  <c r="I710" i="3"/>
  <c r="A711" i="3"/>
  <c r="E711" i="3"/>
  <c r="I711" i="3"/>
  <c r="A712" i="3"/>
  <c r="E712" i="3"/>
  <c r="I712" i="3"/>
  <c r="A713" i="3"/>
  <c r="E713" i="3"/>
  <c r="I713" i="3"/>
  <c r="A714" i="3"/>
  <c r="E714" i="3"/>
  <c r="I714" i="3"/>
  <c r="A715" i="3"/>
  <c r="E715" i="3"/>
  <c r="I715" i="3"/>
  <c r="A716" i="3"/>
  <c r="E716" i="3"/>
  <c r="I716" i="3"/>
  <c r="A717" i="3"/>
  <c r="E717" i="3"/>
  <c r="I717" i="3"/>
  <c r="A718" i="3"/>
  <c r="E718" i="3"/>
  <c r="I718" i="3"/>
  <c r="A719" i="3"/>
  <c r="E719" i="3"/>
  <c r="I719" i="3"/>
  <c r="A720" i="3"/>
  <c r="E720" i="3"/>
  <c r="I720" i="3"/>
  <c r="A721" i="3"/>
  <c r="E721" i="3"/>
  <c r="I721" i="3"/>
  <c r="A722" i="3"/>
  <c r="E722" i="3"/>
  <c r="I722" i="3"/>
  <c r="A723" i="3"/>
  <c r="E723" i="3"/>
  <c r="I723" i="3"/>
  <c r="A724" i="3"/>
  <c r="E724" i="3"/>
  <c r="I724" i="3"/>
  <c r="A725" i="3"/>
  <c r="E725" i="3"/>
  <c r="I725" i="3"/>
  <c r="A726" i="3"/>
  <c r="E726" i="3"/>
  <c r="I726" i="3"/>
  <c r="A727" i="3"/>
  <c r="E727" i="3"/>
  <c r="I727" i="3"/>
  <c r="A728" i="3"/>
  <c r="E728" i="3"/>
  <c r="I728" i="3"/>
  <c r="A729" i="3"/>
  <c r="E729" i="3"/>
  <c r="I729" i="3"/>
  <c r="A730" i="3"/>
  <c r="E730" i="3"/>
  <c r="I730" i="3"/>
  <c r="A731" i="3"/>
  <c r="E731" i="3"/>
  <c r="I731" i="3"/>
  <c r="A732" i="3"/>
  <c r="E732" i="3"/>
  <c r="I732" i="3"/>
  <c r="A733" i="3"/>
  <c r="E733" i="3"/>
  <c r="I733" i="3"/>
  <c r="A734" i="3"/>
  <c r="E734" i="3"/>
  <c r="I734" i="3"/>
  <c r="A735" i="3"/>
  <c r="E735" i="3"/>
  <c r="I735" i="3"/>
  <c r="A736" i="3"/>
  <c r="E736" i="3"/>
  <c r="I736" i="3"/>
  <c r="A737" i="3"/>
  <c r="E737" i="3"/>
  <c r="I737" i="3"/>
  <c r="A738" i="3"/>
  <c r="E738" i="3"/>
  <c r="I738" i="3"/>
  <c r="A739" i="3"/>
  <c r="E739" i="3"/>
  <c r="I739" i="3"/>
  <c r="A740" i="3"/>
  <c r="E740" i="3"/>
  <c r="I740" i="3"/>
  <c r="A741" i="3"/>
  <c r="E741" i="3"/>
  <c r="I741" i="3"/>
  <c r="A742" i="3"/>
  <c r="E742" i="3"/>
  <c r="I742" i="3"/>
  <c r="A743" i="3"/>
  <c r="E743" i="3"/>
  <c r="I743" i="3"/>
  <c r="A744" i="3"/>
  <c r="E744" i="3"/>
  <c r="I744" i="3"/>
  <c r="A745" i="3"/>
  <c r="E745" i="3"/>
  <c r="I745" i="3"/>
  <c r="A746" i="3"/>
  <c r="E746" i="3"/>
  <c r="I746" i="3"/>
  <c r="A747" i="3"/>
  <c r="E747" i="3"/>
  <c r="I747" i="3"/>
  <c r="A748" i="3"/>
  <c r="E748" i="3"/>
  <c r="I748" i="3"/>
  <c r="A749" i="3"/>
  <c r="E749" i="3"/>
  <c r="I749" i="3"/>
  <c r="A750" i="3"/>
  <c r="E750" i="3"/>
  <c r="I750" i="3"/>
  <c r="A751" i="3"/>
  <c r="E751" i="3"/>
  <c r="I751" i="3"/>
  <c r="A752" i="3"/>
  <c r="E752" i="3"/>
  <c r="I752" i="3"/>
  <c r="A753" i="3"/>
  <c r="E753" i="3"/>
  <c r="I753" i="3"/>
  <c r="A754" i="3"/>
  <c r="E754" i="3"/>
  <c r="I754" i="3"/>
  <c r="A755" i="3"/>
  <c r="E755" i="3"/>
  <c r="I755" i="3"/>
  <c r="A756" i="3"/>
  <c r="E756" i="3"/>
  <c r="I756" i="3"/>
  <c r="A757" i="3"/>
  <c r="E757" i="3"/>
  <c r="I757" i="3"/>
  <c r="A758" i="3"/>
  <c r="E758" i="3"/>
  <c r="I758" i="3"/>
  <c r="A759" i="3"/>
  <c r="E759" i="3"/>
  <c r="I759" i="3"/>
  <c r="A760" i="3"/>
  <c r="E760" i="3"/>
  <c r="I760" i="3"/>
  <c r="A761" i="3"/>
  <c r="E761" i="3"/>
  <c r="I761" i="3"/>
  <c r="A762" i="3"/>
  <c r="E762" i="3"/>
  <c r="I762" i="3"/>
  <c r="A763" i="3"/>
  <c r="E763" i="3"/>
  <c r="I763" i="3"/>
  <c r="A764" i="3"/>
  <c r="E764" i="3"/>
  <c r="I764" i="3"/>
  <c r="A765" i="3"/>
  <c r="E765" i="3"/>
  <c r="I765" i="3"/>
  <c r="A766" i="3"/>
  <c r="E766" i="3"/>
  <c r="I766" i="3"/>
  <c r="A767" i="3"/>
  <c r="E767" i="3"/>
  <c r="I767" i="3"/>
  <c r="A768" i="3"/>
  <c r="E768" i="3"/>
  <c r="I768" i="3"/>
  <c r="A769" i="3"/>
  <c r="E769" i="3"/>
  <c r="I769" i="3"/>
  <c r="A770" i="3"/>
  <c r="E770" i="3"/>
  <c r="I770" i="3"/>
  <c r="A771" i="3"/>
  <c r="E771" i="3"/>
  <c r="I771" i="3"/>
  <c r="A772" i="3"/>
  <c r="E772" i="3"/>
  <c r="I772" i="3"/>
  <c r="A773" i="3"/>
  <c r="E773" i="3"/>
  <c r="I773" i="3"/>
  <c r="A774" i="3"/>
  <c r="E774" i="3"/>
  <c r="I774" i="3"/>
  <c r="A775" i="3"/>
  <c r="E775" i="3"/>
  <c r="I775" i="3"/>
  <c r="A776" i="3"/>
  <c r="E776" i="3"/>
  <c r="I776" i="3"/>
  <c r="A777" i="3"/>
  <c r="E777" i="3"/>
  <c r="I777" i="3"/>
  <c r="A778" i="3"/>
  <c r="E778" i="3"/>
  <c r="I778" i="3"/>
  <c r="A779" i="3"/>
  <c r="E779" i="3"/>
  <c r="I779" i="3"/>
  <c r="A780" i="3"/>
  <c r="E780" i="3"/>
  <c r="I780" i="3"/>
  <c r="A781" i="3"/>
  <c r="E781" i="3"/>
  <c r="I781" i="3"/>
  <c r="A782" i="3"/>
  <c r="E782" i="3"/>
  <c r="I782" i="3"/>
  <c r="A783" i="3"/>
  <c r="E783" i="3"/>
  <c r="I783" i="3"/>
  <c r="A784" i="3"/>
  <c r="E784" i="3"/>
  <c r="I784" i="3"/>
  <c r="A785" i="3"/>
  <c r="E785" i="3"/>
  <c r="I785" i="3"/>
  <c r="A786" i="3"/>
  <c r="E786" i="3"/>
  <c r="I786" i="3"/>
  <c r="A787" i="3"/>
  <c r="E787" i="3"/>
  <c r="I787" i="3"/>
  <c r="A788" i="3"/>
  <c r="E788" i="3"/>
  <c r="I788" i="3"/>
  <c r="A789" i="3"/>
  <c r="E789" i="3"/>
  <c r="I789" i="3"/>
  <c r="A790" i="3"/>
  <c r="E790" i="3"/>
  <c r="I790" i="3"/>
  <c r="A791" i="3"/>
  <c r="E791" i="3"/>
  <c r="I791" i="3"/>
  <c r="A792" i="3"/>
  <c r="E792" i="3"/>
  <c r="I792" i="3"/>
  <c r="A793" i="3"/>
  <c r="E793" i="3"/>
  <c r="I793" i="3"/>
  <c r="A794" i="3"/>
  <c r="E794" i="3"/>
  <c r="I794" i="3"/>
  <c r="A795" i="3"/>
  <c r="E795" i="3"/>
  <c r="I795" i="3"/>
  <c r="A796" i="3"/>
  <c r="E796" i="3"/>
  <c r="I796" i="3"/>
  <c r="A797" i="3"/>
  <c r="E797" i="3"/>
  <c r="I797" i="3"/>
  <c r="A798" i="3"/>
  <c r="E798" i="3"/>
  <c r="I798" i="3"/>
  <c r="A799" i="3"/>
  <c r="E799" i="3"/>
  <c r="I799" i="3"/>
  <c r="A800" i="3"/>
  <c r="E800" i="3"/>
  <c r="I800" i="3"/>
  <c r="A801" i="3"/>
  <c r="E801" i="3"/>
  <c r="I801" i="3"/>
  <c r="A802" i="3"/>
  <c r="E802" i="3"/>
  <c r="I802" i="3"/>
  <c r="A803" i="3"/>
  <c r="E803" i="3"/>
  <c r="I803" i="3"/>
  <c r="A804" i="3"/>
  <c r="E804" i="3"/>
  <c r="I804" i="3"/>
  <c r="A805" i="3"/>
  <c r="E805" i="3"/>
  <c r="I805" i="3"/>
  <c r="A806" i="3"/>
  <c r="E806" i="3"/>
  <c r="I806" i="3"/>
  <c r="A807" i="3"/>
  <c r="E807" i="3"/>
  <c r="I807" i="3"/>
  <c r="A808" i="3"/>
  <c r="E808" i="3"/>
  <c r="I808" i="3"/>
  <c r="A809" i="3"/>
  <c r="E809" i="3"/>
  <c r="I809" i="3"/>
  <c r="A810" i="3"/>
  <c r="E810" i="3"/>
  <c r="I810" i="3"/>
  <c r="A811" i="3"/>
  <c r="E811" i="3"/>
  <c r="I811" i="3"/>
  <c r="A812" i="3"/>
  <c r="E812" i="3"/>
  <c r="I812" i="3"/>
  <c r="A813" i="3"/>
  <c r="E813" i="3"/>
  <c r="I813" i="3"/>
  <c r="A814" i="3"/>
  <c r="E814" i="3"/>
  <c r="I814" i="3"/>
  <c r="A815" i="3"/>
  <c r="E815" i="3"/>
  <c r="I815" i="3"/>
  <c r="A816" i="3"/>
  <c r="E816" i="3"/>
  <c r="I816" i="3"/>
  <c r="A817" i="3"/>
  <c r="E817" i="3"/>
  <c r="I817" i="3"/>
  <c r="A818" i="3"/>
  <c r="E818" i="3"/>
  <c r="I818" i="3"/>
  <c r="A819" i="3"/>
  <c r="E819" i="3"/>
  <c r="I819" i="3"/>
  <c r="A820" i="3"/>
  <c r="E820" i="3"/>
  <c r="I820" i="3"/>
  <c r="A821" i="3"/>
  <c r="E821" i="3"/>
  <c r="I821" i="3"/>
  <c r="A822" i="3"/>
  <c r="E822" i="3"/>
  <c r="I822" i="3"/>
  <c r="A823" i="3"/>
  <c r="E823" i="3"/>
  <c r="I823" i="3"/>
  <c r="A824" i="3"/>
  <c r="E824" i="3"/>
  <c r="I824" i="3"/>
  <c r="A825" i="3"/>
  <c r="E825" i="3"/>
  <c r="I825" i="3"/>
  <c r="A826" i="3"/>
  <c r="E826" i="3"/>
  <c r="I826" i="3"/>
  <c r="A827" i="3"/>
  <c r="E827" i="3"/>
  <c r="I827" i="3"/>
  <c r="A828" i="3"/>
  <c r="E828" i="3"/>
  <c r="I828" i="3"/>
  <c r="A829" i="3"/>
  <c r="E829" i="3"/>
  <c r="I829" i="3"/>
  <c r="A830" i="3"/>
  <c r="E830" i="3"/>
  <c r="I830" i="3"/>
  <c r="A831" i="3"/>
  <c r="E831" i="3"/>
  <c r="I831" i="3"/>
  <c r="A832" i="3"/>
  <c r="E832" i="3"/>
  <c r="I832" i="3"/>
  <c r="A833" i="3"/>
  <c r="E833" i="3"/>
  <c r="I833" i="3"/>
  <c r="A834" i="3"/>
  <c r="E834" i="3"/>
  <c r="I834" i="3"/>
  <c r="A835" i="3"/>
  <c r="E835" i="3"/>
  <c r="I835" i="3"/>
  <c r="A836" i="3"/>
  <c r="E836" i="3"/>
  <c r="I836" i="3"/>
  <c r="A837" i="3"/>
  <c r="E837" i="3"/>
  <c r="I837" i="3"/>
  <c r="A838" i="3"/>
  <c r="E838" i="3"/>
  <c r="I838" i="3"/>
  <c r="A839" i="3"/>
  <c r="E839" i="3"/>
  <c r="I839" i="3"/>
  <c r="A840" i="3"/>
  <c r="E840" i="3"/>
  <c r="I840" i="3"/>
  <c r="A841" i="3"/>
  <c r="E841" i="3"/>
  <c r="I841" i="3"/>
  <c r="A842" i="3"/>
  <c r="E842" i="3"/>
  <c r="I842" i="3"/>
  <c r="A843" i="3"/>
  <c r="E843" i="3"/>
  <c r="I843" i="3"/>
  <c r="A844" i="3"/>
  <c r="E844" i="3"/>
  <c r="I844" i="3"/>
  <c r="A845" i="3"/>
  <c r="E845" i="3"/>
  <c r="I845" i="3"/>
  <c r="A846" i="3"/>
  <c r="E846" i="3"/>
  <c r="I846" i="3"/>
  <c r="A847" i="3"/>
  <c r="E847" i="3"/>
  <c r="I847" i="3"/>
  <c r="A848" i="3"/>
  <c r="E848" i="3"/>
  <c r="I848" i="3"/>
  <c r="A849" i="3"/>
  <c r="E849" i="3"/>
  <c r="I849" i="3"/>
  <c r="A850" i="3"/>
  <c r="E850" i="3"/>
  <c r="I850" i="3"/>
  <c r="A851" i="3"/>
  <c r="E851" i="3"/>
  <c r="I851" i="3"/>
  <c r="A852" i="3"/>
  <c r="E852" i="3"/>
  <c r="I852" i="3"/>
  <c r="A853" i="3"/>
  <c r="E853" i="3"/>
  <c r="I853" i="3"/>
  <c r="A854" i="3"/>
  <c r="E854" i="3"/>
  <c r="I854" i="3"/>
  <c r="A855" i="3"/>
  <c r="E855" i="3"/>
  <c r="I855" i="3"/>
  <c r="A856" i="3"/>
  <c r="E856" i="3"/>
  <c r="I856" i="3"/>
  <c r="A857" i="3"/>
  <c r="E857" i="3"/>
  <c r="I857" i="3"/>
  <c r="A858" i="3"/>
  <c r="E858" i="3"/>
  <c r="I858" i="3"/>
  <c r="A859" i="3"/>
  <c r="E859" i="3"/>
  <c r="I859" i="3"/>
  <c r="A860" i="3"/>
  <c r="E860" i="3"/>
  <c r="I860" i="3"/>
  <c r="A861" i="3"/>
  <c r="E861" i="3"/>
  <c r="I861" i="3"/>
  <c r="A862" i="3"/>
  <c r="E862" i="3"/>
  <c r="I862" i="3"/>
  <c r="A863" i="3"/>
  <c r="E863" i="3"/>
  <c r="I863" i="3"/>
  <c r="A864" i="3"/>
  <c r="E864" i="3"/>
  <c r="I864" i="3"/>
  <c r="A865" i="3"/>
  <c r="E865" i="3"/>
  <c r="I865" i="3"/>
  <c r="A866" i="3"/>
  <c r="E866" i="3"/>
  <c r="I866" i="3"/>
  <c r="A867" i="3"/>
  <c r="E867" i="3"/>
  <c r="I867" i="3"/>
  <c r="A868" i="3"/>
  <c r="E868" i="3"/>
  <c r="I868" i="3"/>
  <c r="A869" i="3"/>
  <c r="E869" i="3"/>
  <c r="I869" i="3"/>
  <c r="A870" i="3"/>
  <c r="E870" i="3"/>
  <c r="I870" i="3"/>
  <c r="A871" i="3"/>
  <c r="E871" i="3"/>
  <c r="I871" i="3"/>
  <c r="A872" i="3"/>
  <c r="E872" i="3"/>
  <c r="I872" i="3"/>
  <c r="A873" i="3"/>
  <c r="E873" i="3"/>
  <c r="I873" i="3"/>
  <c r="A874" i="3"/>
  <c r="E874" i="3"/>
  <c r="I874" i="3"/>
  <c r="A875" i="3"/>
  <c r="E875" i="3"/>
  <c r="I875" i="3"/>
  <c r="A876" i="3"/>
  <c r="E876" i="3"/>
  <c r="I876" i="3"/>
  <c r="A877" i="3"/>
  <c r="E877" i="3"/>
  <c r="I877" i="3"/>
  <c r="A878" i="3"/>
  <c r="E878" i="3"/>
  <c r="I878" i="3"/>
  <c r="A879" i="3"/>
  <c r="E879" i="3"/>
  <c r="I879" i="3"/>
  <c r="A880" i="3"/>
  <c r="E880" i="3"/>
  <c r="I880" i="3"/>
  <c r="A881" i="3"/>
  <c r="E881" i="3"/>
  <c r="I881" i="3"/>
  <c r="A882" i="3"/>
  <c r="E882" i="3"/>
  <c r="I882" i="3"/>
  <c r="A883" i="3"/>
  <c r="E883" i="3"/>
  <c r="I883" i="3"/>
  <c r="A884" i="3"/>
  <c r="E884" i="3"/>
  <c r="I884" i="3"/>
  <c r="A885" i="3"/>
  <c r="E885" i="3"/>
  <c r="I885" i="3"/>
  <c r="A886" i="3"/>
  <c r="E886" i="3"/>
  <c r="I886" i="3"/>
  <c r="A887" i="3"/>
  <c r="E887" i="3"/>
  <c r="I887" i="3"/>
  <c r="A888" i="3"/>
  <c r="E888" i="3"/>
  <c r="I888" i="3"/>
  <c r="A889" i="3"/>
  <c r="E889" i="3"/>
  <c r="I889" i="3"/>
  <c r="A890" i="3"/>
  <c r="E890" i="3"/>
  <c r="I890" i="3"/>
  <c r="A891" i="3"/>
  <c r="E891" i="3"/>
  <c r="I891" i="3"/>
  <c r="A892" i="3"/>
  <c r="E892" i="3"/>
  <c r="I892" i="3"/>
  <c r="A893" i="3"/>
  <c r="E893" i="3"/>
  <c r="I893" i="3"/>
  <c r="A894" i="3"/>
  <c r="E894" i="3"/>
  <c r="I894" i="3"/>
  <c r="A895" i="3"/>
  <c r="E895" i="3"/>
  <c r="I895" i="3"/>
  <c r="A896" i="3"/>
  <c r="E896" i="3"/>
  <c r="I896" i="3"/>
  <c r="A897" i="3"/>
  <c r="E897" i="3"/>
  <c r="I897" i="3"/>
  <c r="A898" i="3"/>
  <c r="E898" i="3"/>
  <c r="I898" i="3"/>
  <c r="A899" i="3"/>
  <c r="E899" i="3"/>
  <c r="I899" i="3"/>
  <c r="A900" i="3"/>
  <c r="E900" i="3"/>
  <c r="I900" i="3"/>
  <c r="A901" i="3"/>
  <c r="E901" i="3"/>
  <c r="I901" i="3"/>
  <c r="A902" i="3"/>
  <c r="E902" i="3"/>
  <c r="I902" i="3"/>
  <c r="A903" i="3"/>
  <c r="E903" i="3"/>
  <c r="I903" i="3"/>
  <c r="A904" i="3"/>
  <c r="E904" i="3"/>
  <c r="I904" i="3"/>
  <c r="A905" i="3"/>
  <c r="E905" i="3"/>
  <c r="I905" i="3"/>
  <c r="A906" i="3"/>
  <c r="E906" i="3"/>
  <c r="I906" i="3"/>
  <c r="A907" i="3"/>
  <c r="E907" i="3"/>
  <c r="I907" i="3"/>
  <c r="A908" i="3"/>
  <c r="E908" i="3"/>
  <c r="I908" i="3"/>
  <c r="A909" i="3"/>
  <c r="E909" i="3"/>
  <c r="I909" i="3"/>
  <c r="A910" i="3"/>
  <c r="E910" i="3"/>
  <c r="I910" i="3"/>
  <c r="A911" i="3"/>
  <c r="E911" i="3"/>
  <c r="I911" i="3"/>
  <c r="A912" i="3"/>
  <c r="E912" i="3"/>
  <c r="I912" i="3"/>
  <c r="A913" i="3"/>
  <c r="E913" i="3"/>
  <c r="I913" i="3"/>
  <c r="A914" i="3"/>
  <c r="E914" i="3"/>
  <c r="I914" i="3"/>
  <c r="A915" i="3"/>
  <c r="E915" i="3"/>
  <c r="I915" i="3"/>
  <c r="A916" i="3"/>
  <c r="E916" i="3"/>
  <c r="I916" i="3"/>
  <c r="A917" i="3"/>
  <c r="E917" i="3"/>
  <c r="I917" i="3"/>
  <c r="A918" i="3"/>
  <c r="E918" i="3"/>
  <c r="I918" i="3"/>
  <c r="A919" i="3"/>
  <c r="E919" i="3"/>
  <c r="I919" i="3"/>
  <c r="A920" i="3"/>
  <c r="E920" i="3"/>
  <c r="I920" i="3"/>
  <c r="A921" i="3"/>
  <c r="E921" i="3"/>
  <c r="I921" i="3"/>
  <c r="A922" i="3"/>
  <c r="E922" i="3"/>
  <c r="I922" i="3"/>
  <c r="A923" i="3"/>
  <c r="E923" i="3"/>
  <c r="I923" i="3"/>
  <c r="A924" i="3"/>
  <c r="E924" i="3"/>
  <c r="I924" i="3"/>
  <c r="A925" i="3"/>
  <c r="E925" i="3"/>
  <c r="I925" i="3"/>
  <c r="A926" i="3"/>
  <c r="E926" i="3"/>
  <c r="I926" i="3"/>
  <c r="A927" i="3"/>
  <c r="E927" i="3"/>
  <c r="I927" i="3"/>
  <c r="A928" i="3"/>
  <c r="E928" i="3"/>
  <c r="I928" i="3"/>
  <c r="A929" i="3"/>
  <c r="E929" i="3"/>
  <c r="I929" i="3"/>
  <c r="A930" i="3"/>
  <c r="E930" i="3"/>
  <c r="I930" i="3"/>
  <c r="A931" i="3"/>
  <c r="E931" i="3"/>
  <c r="I931" i="3"/>
  <c r="A932" i="3"/>
  <c r="E932" i="3"/>
  <c r="I932" i="3"/>
  <c r="A933" i="3"/>
  <c r="E933" i="3"/>
  <c r="I933" i="3"/>
  <c r="A934" i="3"/>
  <c r="E934" i="3"/>
  <c r="I934" i="3"/>
  <c r="A935" i="3"/>
  <c r="E935" i="3"/>
  <c r="I935" i="3"/>
  <c r="A936" i="3"/>
  <c r="E936" i="3"/>
  <c r="I936" i="3"/>
  <c r="A937" i="3"/>
  <c r="E937" i="3"/>
  <c r="I937" i="3"/>
  <c r="A938" i="3"/>
  <c r="E938" i="3"/>
  <c r="I938" i="3"/>
  <c r="A939" i="3"/>
  <c r="E939" i="3"/>
  <c r="I939" i="3"/>
  <c r="A940" i="3"/>
  <c r="E940" i="3"/>
  <c r="I940" i="3"/>
  <c r="A941" i="3"/>
  <c r="E941" i="3"/>
  <c r="I941" i="3"/>
  <c r="A942" i="3"/>
  <c r="E942" i="3"/>
  <c r="I942" i="3"/>
  <c r="A943" i="3"/>
  <c r="E943" i="3"/>
  <c r="I943" i="3"/>
  <c r="A944" i="3"/>
  <c r="E944" i="3"/>
  <c r="I944" i="3"/>
  <c r="A945" i="3"/>
  <c r="E945" i="3"/>
  <c r="I945" i="3"/>
  <c r="A946" i="3"/>
  <c r="E946" i="3"/>
  <c r="I946" i="3"/>
  <c r="A947" i="3"/>
  <c r="E947" i="3"/>
  <c r="I947" i="3"/>
  <c r="A948" i="3"/>
  <c r="E948" i="3"/>
  <c r="I948" i="3"/>
  <c r="A949" i="3"/>
  <c r="E949" i="3"/>
  <c r="I949" i="3"/>
  <c r="A950" i="3"/>
  <c r="E950" i="3"/>
  <c r="I950" i="3"/>
  <c r="A951" i="3"/>
  <c r="E951" i="3"/>
  <c r="I951" i="3"/>
  <c r="A952" i="3"/>
  <c r="E952" i="3"/>
  <c r="I952" i="3"/>
  <c r="A953" i="3"/>
  <c r="E953" i="3"/>
  <c r="I953" i="3"/>
  <c r="A954" i="3"/>
  <c r="E954" i="3"/>
  <c r="I954" i="3"/>
  <c r="A955" i="3"/>
  <c r="E955" i="3"/>
  <c r="I955" i="3"/>
  <c r="A956" i="3"/>
  <c r="E956" i="3"/>
  <c r="I956" i="3"/>
  <c r="A957" i="3"/>
  <c r="E957" i="3"/>
  <c r="I957" i="3"/>
  <c r="A958" i="3"/>
  <c r="E958" i="3"/>
  <c r="I958" i="3"/>
  <c r="A959" i="3"/>
  <c r="E959" i="3"/>
  <c r="I959" i="3"/>
  <c r="A960" i="3"/>
  <c r="E960" i="3"/>
  <c r="I960" i="3"/>
  <c r="A961" i="3"/>
  <c r="E961" i="3"/>
  <c r="I961" i="3"/>
  <c r="A962" i="3"/>
  <c r="E962" i="3"/>
  <c r="I962" i="3"/>
  <c r="A963" i="3"/>
  <c r="E963" i="3"/>
  <c r="I963" i="3"/>
  <c r="A964" i="3"/>
  <c r="E964" i="3"/>
  <c r="I964" i="3"/>
  <c r="A965" i="3"/>
  <c r="E965" i="3"/>
  <c r="I965" i="3"/>
  <c r="A966" i="3"/>
  <c r="E966" i="3"/>
  <c r="I966" i="3"/>
  <c r="A967" i="3"/>
  <c r="E967" i="3"/>
  <c r="I967" i="3"/>
  <c r="A968" i="3"/>
  <c r="E968" i="3"/>
  <c r="I968" i="3"/>
  <c r="A969" i="3"/>
  <c r="E969" i="3"/>
  <c r="I969" i="3"/>
  <c r="A970" i="3"/>
  <c r="E970" i="3"/>
  <c r="I970" i="3"/>
  <c r="A971" i="3"/>
  <c r="E971" i="3"/>
  <c r="I971" i="3"/>
  <c r="A972" i="3"/>
  <c r="E972" i="3"/>
  <c r="I972" i="3"/>
  <c r="A973" i="3"/>
  <c r="E973" i="3"/>
  <c r="I973" i="3"/>
  <c r="A974" i="3"/>
  <c r="E974" i="3"/>
  <c r="I974" i="3"/>
  <c r="A975" i="3"/>
  <c r="E975" i="3"/>
  <c r="I975" i="3"/>
  <c r="A976" i="3"/>
  <c r="E976" i="3"/>
  <c r="I976" i="3"/>
  <c r="A977" i="3"/>
  <c r="E977" i="3"/>
  <c r="I977" i="3"/>
  <c r="A978" i="3"/>
  <c r="E978" i="3"/>
  <c r="I978" i="3"/>
  <c r="A979" i="3"/>
  <c r="E979" i="3"/>
  <c r="I979" i="3"/>
  <c r="A980" i="3"/>
  <c r="E980" i="3"/>
  <c r="I980" i="3"/>
  <c r="A981" i="3"/>
  <c r="E981" i="3"/>
  <c r="I981" i="3"/>
  <c r="A982" i="3"/>
  <c r="E982" i="3"/>
  <c r="I982" i="3"/>
  <c r="A983" i="3"/>
  <c r="E983" i="3"/>
  <c r="I983" i="3"/>
  <c r="A984" i="3"/>
  <c r="E984" i="3"/>
  <c r="I984" i="3"/>
  <c r="A985" i="3"/>
  <c r="E985" i="3"/>
  <c r="I985" i="3"/>
  <c r="A986" i="3"/>
  <c r="E986" i="3"/>
  <c r="I986" i="3"/>
  <c r="A987" i="3"/>
  <c r="E987" i="3"/>
  <c r="I987" i="3"/>
  <c r="A988" i="3"/>
  <c r="E988" i="3"/>
  <c r="I988" i="3"/>
  <c r="A989" i="3"/>
  <c r="E989" i="3"/>
  <c r="I989" i="3"/>
  <c r="A990" i="3"/>
  <c r="E990" i="3"/>
  <c r="I990" i="3"/>
  <c r="A991" i="3"/>
  <c r="E991" i="3"/>
  <c r="I991" i="3"/>
  <c r="A992" i="3"/>
  <c r="E992" i="3"/>
  <c r="I992" i="3"/>
  <c r="A993" i="3"/>
  <c r="E993" i="3"/>
  <c r="I993" i="3"/>
  <c r="A994" i="3"/>
  <c r="E994" i="3"/>
  <c r="I994" i="3"/>
  <c r="A995" i="3"/>
  <c r="E995" i="3"/>
  <c r="I995" i="3"/>
  <c r="A996" i="3"/>
  <c r="E996" i="3"/>
  <c r="I996" i="3"/>
  <c r="A997" i="3"/>
  <c r="E997" i="3"/>
  <c r="I997" i="3"/>
  <c r="A998" i="3"/>
  <c r="E998" i="3"/>
  <c r="I998" i="3"/>
  <c r="A999" i="3"/>
  <c r="E999" i="3"/>
  <c r="I999" i="3"/>
  <c r="A1000" i="3"/>
  <c r="E1000" i="3"/>
  <c r="I1000" i="3"/>
  <c r="A1001" i="3"/>
  <c r="E1001" i="3"/>
  <c r="I1001" i="3"/>
  <c r="A1002" i="3"/>
  <c r="E1002" i="3"/>
  <c r="I1002" i="3"/>
  <c r="A1003" i="3"/>
  <c r="E1003" i="3"/>
  <c r="I1003" i="3"/>
  <c r="A1004" i="3"/>
  <c r="E1004" i="3"/>
  <c r="I1004" i="3"/>
  <c r="A1005" i="3"/>
  <c r="E1005" i="3"/>
  <c r="I1005" i="3"/>
  <c r="A1006" i="3"/>
  <c r="E1006" i="3"/>
  <c r="I1006" i="3"/>
  <c r="A1007" i="3"/>
  <c r="E1007" i="3"/>
  <c r="I1007" i="3"/>
  <c r="A1008" i="3"/>
  <c r="E1008" i="3"/>
  <c r="I1008" i="3"/>
  <c r="A1009" i="3"/>
  <c r="E1009" i="3"/>
  <c r="I1009" i="3"/>
  <c r="A1010" i="3"/>
  <c r="E1010" i="3"/>
  <c r="I1010" i="3"/>
  <c r="A1011" i="3"/>
  <c r="E1011" i="3"/>
  <c r="I1011" i="3"/>
  <c r="A1012" i="3"/>
  <c r="E1012" i="3"/>
  <c r="I1012" i="3"/>
  <c r="A1013" i="3"/>
  <c r="E1013" i="3"/>
  <c r="I1013" i="3"/>
  <c r="A1014" i="3"/>
  <c r="E1014" i="3"/>
  <c r="I1014" i="3"/>
  <c r="A1015" i="3"/>
  <c r="E1015" i="3"/>
  <c r="I1015" i="3"/>
  <c r="A1016" i="3"/>
  <c r="E1016" i="3"/>
  <c r="I1016" i="3"/>
  <c r="A1017" i="3"/>
  <c r="E1017" i="3"/>
  <c r="I1017" i="3"/>
  <c r="A1018" i="3"/>
  <c r="E1018" i="3"/>
  <c r="I1018" i="3"/>
  <c r="A1019" i="3"/>
  <c r="E1019" i="3"/>
  <c r="I1019" i="3"/>
  <c r="A1020" i="3"/>
  <c r="E1020" i="3"/>
  <c r="I1020" i="3"/>
  <c r="A1021" i="3"/>
  <c r="E1021" i="3"/>
  <c r="I1021" i="3"/>
  <c r="A1022" i="3"/>
  <c r="E1022" i="3"/>
  <c r="I1022" i="3"/>
  <c r="A1023" i="3"/>
  <c r="E1023" i="3"/>
  <c r="I1023" i="3"/>
  <c r="A1024" i="3"/>
  <c r="E1024" i="3"/>
  <c r="I1024" i="3"/>
  <c r="A1025" i="3"/>
  <c r="E1025" i="3"/>
  <c r="I1025" i="3"/>
  <c r="A1026" i="3"/>
  <c r="E1026" i="3"/>
  <c r="I1026" i="3"/>
  <c r="A1027" i="3"/>
  <c r="E1027" i="3"/>
  <c r="I1027" i="3"/>
  <c r="A1028" i="3"/>
  <c r="E1028" i="3"/>
  <c r="I1028" i="3"/>
  <c r="A1029" i="3"/>
  <c r="E1029" i="3"/>
  <c r="I1029" i="3"/>
  <c r="A1030" i="3"/>
  <c r="E1030" i="3"/>
  <c r="I1030" i="3"/>
  <c r="A1031" i="3"/>
  <c r="E1031" i="3"/>
  <c r="I1031" i="3"/>
  <c r="A1032" i="3"/>
  <c r="E1032" i="3"/>
  <c r="I1032" i="3"/>
  <c r="A1033" i="3"/>
  <c r="E1033" i="3"/>
  <c r="I1033" i="3"/>
  <c r="A1034" i="3"/>
  <c r="E1034" i="3"/>
  <c r="I1034" i="3"/>
  <c r="A1035" i="3"/>
  <c r="E1035" i="3"/>
  <c r="I1035" i="3"/>
  <c r="A1036" i="3"/>
  <c r="E1036" i="3"/>
  <c r="I1036" i="3"/>
  <c r="A1037" i="3"/>
  <c r="E1037" i="3"/>
  <c r="I1037" i="3"/>
  <c r="A1038" i="3"/>
  <c r="E1038" i="3"/>
  <c r="I1038" i="3"/>
  <c r="A1039" i="3"/>
  <c r="E1039" i="3"/>
  <c r="I1039" i="3"/>
  <c r="A1040" i="3"/>
  <c r="E1040" i="3"/>
  <c r="I1040" i="3"/>
  <c r="A1041" i="3"/>
  <c r="E1041" i="3"/>
  <c r="I1041" i="3"/>
  <c r="A1042" i="3"/>
  <c r="E1042" i="3"/>
  <c r="I1042" i="3"/>
  <c r="A1043" i="3"/>
  <c r="E1043" i="3"/>
  <c r="I1043" i="3"/>
  <c r="A1044" i="3"/>
  <c r="E1044" i="3"/>
  <c r="I1044" i="3"/>
  <c r="A1045" i="3"/>
  <c r="E1045" i="3"/>
  <c r="I1045" i="3"/>
  <c r="A1046" i="3"/>
  <c r="E1046" i="3"/>
  <c r="I1046" i="3"/>
  <c r="A1047" i="3"/>
  <c r="E1047" i="3"/>
  <c r="I1047" i="3"/>
  <c r="A1048" i="3"/>
  <c r="E1048" i="3"/>
  <c r="I1048" i="3"/>
  <c r="A1049" i="3"/>
  <c r="E1049" i="3"/>
  <c r="I1049" i="3"/>
  <c r="A1050" i="3"/>
  <c r="E1050" i="3"/>
  <c r="I1050" i="3"/>
  <c r="A1051" i="3"/>
  <c r="E1051" i="3"/>
  <c r="I1051" i="3"/>
  <c r="A1052" i="3"/>
  <c r="E1052" i="3"/>
  <c r="I1052" i="3"/>
  <c r="A1053" i="3"/>
  <c r="E1053" i="3"/>
  <c r="I1053" i="3"/>
  <c r="A1054" i="3"/>
  <c r="E1054" i="3"/>
  <c r="I1054" i="3"/>
  <c r="A1055" i="3"/>
  <c r="E1055" i="3"/>
  <c r="I1055" i="3"/>
  <c r="A1056" i="3"/>
  <c r="E1056" i="3"/>
  <c r="I1056" i="3"/>
  <c r="A1057" i="3"/>
  <c r="E1057" i="3"/>
  <c r="I1057" i="3"/>
  <c r="A1058" i="3"/>
  <c r="E1058" i="3"/>
  <c r="I1058" i="3"/>
  <c r="A1059" i="3"/>
  <c r="E1059" i="3"/>
  <c r="I1059" i="3"/>
  <c r="A1060" i="3"/>
  <c r="E1060" i="3"/>
  <c r="I1060" i="3"/>
  <c r="A1061" i="3"/>
  <c r="E1061" i="3"/>
  <c r="I1061" i="3"/>
  <c r="A1062" i="3"/>
  <c r="E1062" i="3"/>
  <c r="I1062" i="3"/>
  <c r="A1063" i="3"/>
  <c r="E1063" i="3"/>
  <c r="I1063" i="3"/>
  <c r="A1064" i="3"/>
  <c r="E1064" i="3"/>
  <c r="I1064" i="3"/>
  <c r="A1065" i="3"/>
  <c r="E1065" i="3"/>
  <c r="I1065" i="3"/>
  <c r="A1066" i="3"/>
  <c r="E1066" i="3"/>
  <c r="I1066" i="3"/>
  <c r="A1067" i="3"/>
  <c r="E1067" i="3"/>
  <c r="I1067" i="3"/>
  <c r="A1068" i="3"/>
  <c r="E1068" i="3"/>
  <c r="I1068" i="3"/>
  <c r="A1069" i="3"/>
  <c r="E1069" i="3"/>
  <c r="I1069" i="3"/>
  <c r="A1070" i="3"/>
  <c r="E1070" i="3"/>
  <c r="I1070" i="3"/>
  <c r="A1071" i="3"/>
  <c r="E1071" i="3"/>
  <c r="I1071" i="3"/>
  <c r="A1072" i="3"/>
  <c r="E1072" i="3"/>
  <c r="I1072" i="3"/>
  <c r="A1073" i="3"/>
  <c r="E1073" i="3"/>
  <c r="I1073" i="3"/>
  <c r="A1074" i="3"/>
  <c r="E1074" i="3"/>
  <c r="I1074" i="3"/>
  <c r="A1075" i="3"/>
  <c r="E1075" i="3"/>
  <c r="I1075" i="3"/>
  <c r="A1076" i="3"/>
  <c r="E1076" i="3"/>
  <c r="I1076" i="3"/>
  <c r="A1077" i="3"/>
  <c r="E1077" i="3"/>
  <c r="I1077" i="3"/>
  <c r="A1078" i="3"/>
  <c r="E1078" i="3"/>
  <c r="I1078" i="3"/>
  <c r="A1079" i="3"/>
  <c r="E1079" i="3"/>
  <c r="I1079" i="3"/>
  <c r="A1080" i="3"/>
  <c r="E1080" i="3"/>
  <c r="I1080" i="3"/>
  <c r="A1081" i="3"/>
  <c r="E1081" i="3"/>
  <c r="I1081" i="3"/>
  <c r="A1082" i="3"/>
  <c r="E1082" i="3"/>
  <c r="I1082" i="3"/>
  <c r="A1083" i="3"/>
  <c r="E1083" i="3"/>
  <c r="I1083" i="3"/>
  <c r="A1084" i="3"/>
  <c r="E1084" i="3"/>
  <c r="I1084" i="3"/>
  <c r="A1085" i="3"/>
  <c r="E1085" i="3"/>
  <c r="I1085" i="3"/>
  <c r="A1086" i="3"/>
  <c r="E1086" i="3"/>
  <c r="I1086" i="3"/>
  <c r="A1087" i="3"/>
  <c r="E1087" i="3"/>
  <c r="I1087" i="3"/>
  <c r="A1088" i="3"/>
  <c r="E1088" i="3"/>
  <c r="I1088" i="3"/>
  <c r="A1089" i="3"/>
  <c r="E1089" i="3"/>
  <c r="I1089" i="3"/>
  <c r="A1090" i="3"/>
  <c r="E1090" i="3"/>
  <c r="I1090" i="3"/>
  <c r="A1091" i="3"/>
  <c r="E1091" i="3"/>
  <c r="I1091" i="3"/>
  <c r="A1092" i="3"/>
  <c r="E1092" i="3"/>
  <c r="I1092" i="3"/>
  <c r="A1093" i="3"/>
  <c r="E1093" i="3"/>
  <c r="I1093" i="3"/>
  <c r="A1094" i="3"/>
  <c r="E1094" i="3"/>
  <c r="I1094" i="3"/>
  <c r="A1095" i="3"/>
  <c r="E1095" i="3"/>
  <c r="I1095" i="3"/>
  <c r="A1096" i="3"/>
  <c r="E1096" i="3"/>
  <c r="I1096" i="3"/>
  <c r="A1097" i="3"/>
  <c r="E1097" i="3"/>
  <c r="I1097" i="3"/>
  <c r="A1098" i="3"/>
  <c r="E1098" i="3"/>
  <c r="I1098" i="3"/>
  <c r="A1099" i="3"/>
  <c r="E1099" i="3"/>
  <c r="I1099" i="3"/>
  <c r="A1100" i="3"/>
  <c r="E1100" i="3"/>
  <c r="I1100" i="3"/>
  <c r="A1101" i="3"/>
  <c r="E1101" i="3"/>
  <c r="I1101" i="3"/>
  <c r="A1102" i="3"/>
  <c r="E1102" i="3"/>
  <c r="I1102" i="3"/>
  <c r="A1103" i="3"/>
  <c r="E1103" i="3"/>
  <c r="I1103" i="3"/>
  <c r="A1104" i="3"/>
  <c r="E1104" i="3"/>
  <c r="I1104" i="3"/>
  <c r="A1105" i="3"/>
  <c r="E1105" i="3"/>
  <c r="I1105" i="3"/>
  <c r="A1106" i="3"/>
  <c r="E1106" i="3"/>
  <c r="I1106" i="3"/>
  <c r="A1107" i="3"/>
  <c r="E1107" i="3"/>
  <c r="I1107" i="3"/>
  <c r="A1108" i="3"/>
  <c r="E1108" i="3"/>
  <c r="I1108" i="3"/>
  <c r="A1109" i="3"/>
  <c r="E1109" i="3"/>
  <c r="I1109" i="3"/>
  <c r="A1110" i="3"/>
  <c r="E1110" i="3"/>
  <c r="I1110" i="3"/>
  <c r="A1111" i="3"/>
  <c r="E1111" i="3"/>
  <c r="I1111" i="3"/>
  <c r="A1112" i="3"/>
  <c r="E1112" i="3"/>
  <c r="I1112" i="3"/>
  <c r="A1113" i="3"/>
  <c r="E1113" i="3"/>
  <c r="I1113" i="3"/>
  <c r="A1114" i="3"/>
  <c r="E1114" i="3"/>
  <c r="I1114" i="3"/>
  <c r="A1115" i="3"/>
  <c r="E1115" i="3"/>
  <c r="I1115" i="3"/>
  <c r="A1116" i="3"/>
  <c r="E1116" i="3"/>
  <c r="I1116" i="3"/>
  <c r="A1117" i="3"/>
  <c r="E1117" i="3"/>
  <c r="I1117" i="3"/>
  <c r="A1118" i="3"/>
  <c r="E1118" i="3"/>
  <c r="I1118" i="3"/>
  <c r="A1119" i="3"/>
  <c r="E1119" i="3"/>
  <c r="I1119" i="3"/>
  <c r="A1120" i="3"/>
  <c r="E1120" i="3"/>
  <c r="I1120" i="3"/>
  <c r="A1121" i="3"/>
  <c r="E1121" i="3"/>
  <c r="I1121" i="3"/>
  <c r="A1122" i="3"/>
  <c r="E1122" i="3"/>
  <c r="I1122" i="3"/>
  <c r="A1123" i="3"/>
  <c r="E1123" i="3"/>
  <c r="I1123" i="3"/>
  <c r="A1124" i="3"/>
  <c r="E1124" i="3"/>
  <c r="I1124" i="3"/>
  <c r="A1125" i="3"/>
  <c r="E1125" i="3"/>
  <c r="I1125" i="3"/>
  <c r="A1126" i="3"/>
  <c r="E1126" i="3"/>
  <c r="I1126" i="3"/>
  <c r="A1127" i="3"/>
  <c r="E1127" i="3"/>
  <c r="I1127" i="3"/>
  <c r="A1128" i="3"/>
  <c r="E1128" i="3"/>
  <c r="I1128" i="3"/>
  <c r="A1129" i="3"/>
  <c r="E1129" i="3"/>
  <c r="I1129" i="3"/>
  <c r="A1130" i="3"/>
  <c r="E1130" i="3"/>
  <c r="I1130" i="3"/>
  <c r="A1131" i="3"/>
  <c r="E1131" i="3"/>
  <c r="I1131" i="3"/>
  <c r="A1132" i="3"/>
  <c r="E1132" i="3"/>
  <c r="I1132" i="3"/>
  <c r="A1133" i="3"/>
  <c r="E1133" i="3"/>
  <c r="I1133" i="3"/>
  <c r="A1134" i="3"/>
  <c r="E1134" i="3"/>
  <c r="I1134" i="3"/>
  <c r="A1135" i="3"/>
  <c r="E1135" i="3"/>
  <c r="I1135" i="3"/>
  <c r="A1136" i="3"/>
  <c r="E1136" i="3"/>
  <c r="I1136" i="3"/>
  <c r="A1137" i="3"/>
  <c r="E1137" i="3"/>
  <c r="I1137" i="3"/>
  <c r="A1138" i="3"/>
  <c r="E1138" i="3"/>
  <c r="I1138" i="3"/>
  <c r="A1139" i="3"/>
  <c r="E1139" i="3"/>
  <c r="I1139" i="3"/>
  <c r="A1140" i="3"/>
  <c r="E1140" i="3"/>
  <c r="I1140" i="3"/>
  <c r="A1141" i="3"/>
  <c r="E1141" i="3"/>
  <c r="I1141" i="3"/>
  <c r="A1142" i="3"/>
  <c r="E1142" i="3"/>
  <c r="I1142" i="3"/>
  <c r="A1143" i="3"/>
  <c r="E1143" i="3"/>
  <c r="I1143" i="3"/>
  <c r="A1144" i="3"/>
  <c r="E1144" i="3"/>
  <c r="I1144" i="3"/>
  <c r="A1145" i="3"/>
  <c r="E1145" i="3"/>
  <c r="I1145" i="3"/>
  <c r="A1146" i="3"/>
  <c r="E1146" i="3"/>
  <c r="I1146" i="3"/>
  <c r="A1147" i="3"/>
  <c r="E1147" i="3"/>
  <c r="I1147" i="3"/>
  <c r="A1148" i="3"/>
  <c r="E1148" i="3"/>
  <c r="I1148" i="3"/>
  <c r="A1149" i="3"/>
  <c r="E1149" i="3"/>
  <c r="I1149" i="3"/>
  <c r="A1150" i="3"/>
  <c r="E1150" i="3"/>
  <c r="I1150" i="3"/>
  <c r="A1151" i="3"/>
  <c r="E1151" i="3"/>
  <c r="I1151" i="3"/>
  <c r="A1152" i="3"/>
  <c r="E1152" i="3"/>
  <c r="I1152" i="3"/>
  <c r="A1153" i="3"/>
  <c r="E1153" i="3"/>
  <c r="I1153" i="3"/>
  <c r="A1154" i="3"/>
  <c r="E1154" i="3"/>
  <c r="I1154" i="3"/>
  <c r="A1155" i="3"/>
  <c r="E1155" i="3"/>
  <c r="I1155" i="3"/>
  <c r="A1156" i="3"/>
  <c r="E1156" i="3"/>
  <c r="I1156" i="3"/>
  <c r="A1157" i="3"/>
  <c r="E1157" i="3"/>
  <c r="I1157" i="3"/>
  <c r="A1158" i="3"/>
  <c r="E1158" i="3"/>
  <c r="I1158" i="3"/>
  <c r="A1159" i="3"/>
  <c r="E1159" i="3"/>
  <c r="I1159" i="3"/>
  <c r="A1160" i="3"/>
  <c r="E1160" i="3"/>
  <c r="I1160" i="3"/>
  <c r="A1161" i="3"/>
  <c r="E1161" i="3"/>
  <c r="I1161" i="3"/>
  <c r="A1162" i="3"/>
  <c r="E1162" i="3"/>
  <c r="I1162" i="3"/>
  <c r="A1163" i="3"/>
  <c r="E1163" i="3"/>
  <c r="I1163" i="3"/>
  <c r="A1164" i="3"/>
  <c r="E1164" i="3"/>
  <c r="I1164" i="3"/>
  <c r="A1165" i="3"/>
  <c r="E1165" i="3"/>
  <c r="I1165" i="3"/>
  <c r="A1166" i="3"/>
  <c r="E1166" i="3"/>
  <c r="I1166" i="3"/>
  <c r="A1167" i="3"/>
  <c r="E1167" i="3"/>
  <c r="I1167" i="3"/>
  <c r="A1168" i="3"/>
  <c r="E1168" i="3"/>
  <c r="I1168" i="3"/>
  <c r="A1169" i="3"/>
  <c r="E1169" i="3"/>
  <c r="I1169" i="3"/>
  <c r="A1170" i="3"/>
  <c r="E1170" i="3"/>
  <c r="I1170" i="3"/>
  <c r="A1171" i="3"/>
  <c r="E1171" i="3"/>
  <c r="I1171" i="3"/>
  <c r="A1172" i="3"/>
  <c r="E1172" i="3"/>
  <c r="I1172" i="3"/>
  <c r="A1173" i="3"/>
  <c r="E1173" i="3"/>
  <c r="I1173" i="3"/>
  <c r="A1174" i="3"/>
  <c r="E1174" i="3"/>
  <c r="I1174" i="3"/>
  <c r="A1175" i="3"/>
  <c r="E1175" i="3"/>
  <c r="I1175" i="3"/>
  <c r="A1176" i="3"/>
  <c r="E1176" i="3"/>
  <c r="I1176" i="3"/>
  <c r="A1177" i="3"/>
  <c r="E1177" i="3"/>
  <c r="I1177" i="3"/>
  <c r="A1178" i="3"/>
  <c r="E1178" i="3"/>
  <c r="I1178" i="3"/>
  <c r="A1179" i="3"/>
  <c r="E1179" i="3"/>
  <c r="I1179" i="3"/>
  <c r="A1180" i="3"/>
  <c r="E1180" i="3"/>
  <c r="I1180" i="3"/>
  <c r="A1181" i="3"/>
  <c r="E1181" i="3"/>
  <c r="I1181" i="3"/>
  <c r="A1182" i="3"/>
  <c r="E1182" i="3"/>
  <c r="I1182" i="3"/>
  <c r="A1183" i="3"/>
  <c r="E1183" i="3"/>
  <c r="I1183" i="3"/>
  <c r="A1184" i="3"/>
  <c r="E1184" i="3"/>
  <c r="I1184" i="3"/>
  <c r="A1185" i="3"/>
  <c r="E1185" i="3"/>
  <c r="I1185" i="3"/>
  <c r="A1186" i="3"/>
  <c r="E1186" i="3"/>
  <c r="I1186" i="3"/>
  <c r="A1187" i="3"/>
  <c r="E1187" i="3"/>
  <c r="I1187" i="3"/>
  <c r="A1188" i="3"/>
  <c r="E1188" i="3"/>
  <c r="I1188" i="3"/>
  <c r="A1189" i="3"/>
  <c r="E1189" i="3"/>
  <c r="I1189" i="3"/>
  <c r="A1190" i="3"/>
  <c r="E1190" i="3"/>
  <c r="I1190" i="3"/>
  <c r="A1191" i="3"/>
  <c r="E1191" i="3"/>
  <c r="I1191" i="3"/>
  <c r="A1192" i="3"/>
  <c r="E1192" i="3"/>
  <c r="I1192" i="3"/>
  <c r="A1193" i="3"/>
  <c r="E1193" i="3"/>
  <c r="I1193" i="3"/>
  <c r="A1194" i="3"/>
  <c r="E1194" i="3"/>
  <c r="I1194" i="3"/>
  <c r="A1195" i="3"/>
  <c r="E1195" i="3"/>
  <c r="I1195" i="3"/>
  <c r="A1196" i="3"/>
  <c r="E1196" i="3"/>
  <c r="I1196" i="3"/>
  <c r="A1197" i="3"/>
  <c r="E1197" i="3"/>
  <c r="I1197" i="3"/>
  <c r="A1198" i="3"/>
  <c r="E1198" i="3"/>
  <c r="I1198" i="3"/>
  <c r="A1199" i="3"/>
  <c r="E1199" i="3"/>
  <c r="I1199" i="3"/>
  <c r="A1200" i="3"/>
  <c r="E1200" i="3"/>
  <c r="I1200" i="3"/>
  <c r="A1201" i="3"/>
  <c r="E1201" i="3"/>
  <c r="I1201" i="3"/>
  <c r="A1202" i="3"/>
  <c r="E1202" i="3"/>
  <c r="I1202" i="3"/>
  <c r="A1203" i="3"/>
  <c r="E1203" i="3"/>
  <c r="I1203" i="3"/>
  <c r="A1204" i="3"/>
  <c r="E1204" i="3"/>
  <c r="I1204" i="3"/>
  <c r="A1205" i="3"/>
  <c r="E1205" i="3"/>
  <c r="I1205" i="3"/>
  <c r="A1206" i="3"/>
  <c r="E1206" i="3"/>
  <c r="I1206" i="3"/>
  <c r="A1207" i="3"/>
  <c r="E1207" i="3"/>
  <c r="I1207" i="3"/>
  <c r="A1208" i="3"/>
  <c r="E1208" i="3"/>
  <c r="I1208" i="3"/>
  <c r="A1209" i="3"/>
  <c r="E1209" i="3"/>
  <c r="I1209" i="3"/>
  <c r="A1210" i="3"/>
  <c r="E1210" i="3"/>
  <c r="I1210" i="3"/>
  <c r="A1211" i="3"/>
  <c r="E1211" i="3"/>
  <c r="I1211" i="3"/>
  <c r="A1212" i="3"/>
  <c r="E1212" i="3"/>
  <c r="I1212" i="3"/>
  <c r="A1213" i="3"/>
  <c r="E1213" i="3"/>
  <c r="I1213" i="3"/>
  <c r="A1214" i="3"/>
  <c r="E1214" i="3"/>
  <c r="I1214" i="3"/>
  <c r="A1215" i="3"/>
  <c r="E1215" i="3"/>
  <c r="I1215" i="3"/>
  <c r="A1216" i="3"/>
  <c r="E1216" i="3"/>
  <c r="I1216" i="3"/>
  <c r="A1217" i="3"/>
  <c r="E1217" i="3"/>
  <c r="I1217" i="3"/>
  <c r="A1218" i="3"/>
  <c r="E1218" i="3"/>
  <c r="I1218" i="3"/>
  <c r="A1219" i="3"/>
  <c r="E1219" i="3"/>
  <c r="I1219" i="3"/>
  <c r="A1220" i="3"/>
  <c r="E1220" i="3"/>
  <c r="I1220" i="3"/>
  <c r="A1221" i="3"/>
  <c r="E1221" i="3"/>
  <c r="I1221" i="3"/>
  <c r="A1222" i="3"/>
  <c r="E1222" i="3"/>
  <c r="I1222" i="3"/>
  <c r="A1223" i="3"/>
  <c r="E1223" i="3"/>
  <c r="I1223" i="3"/>
  <c r="A1224" i="3"/>
  <c r="E1224" i="3"/>
  <c r="I1224" i="3"/>
  <c r="A1225" i="3"/>
  <c r="E1225" i="3"/>
  <c r="I1225" i="3"/>
  <c r="A1226" i="3"/>
  <c r="E1226" i="3"/>
  <c r="I1226" i="3"/>
  <c r="A1227" i="3"/>
  <c r="E1227" i="3"/>
  <c r="I1227" i="3"/>
  <c r="A1228" i="3"/>
  <c r="E1228" i="3"/>
  <c r="I1228" i="3"/>
  <c r="A1229" i="3"/>
  <c r="E1229" i="3"/>
  <c r="I1229" i="3"/>
  <c r="A1230" i="3"/>
  <c r="E1230" i="3"/>
  <c r="I1230" i="3"/>
  <c r="A1231" i="3"/>
  <c r="E1231" i="3"/>
  <c r="I1231" i="3"/>
  <c r="A1232" i="3"/>
  <c r="E1232" i="3"/>
  <c r="I1232" i="3"/>
  <c r="A1233" i="3"/>
  <c r="E1233" i="3"/>
  <c r="I1233" i="3"/>
  <c r="A1234" i="3"/>
  <c r="E1234" i="3"/>
  <c r="I1234" i="3"/>
  <c r="A1235" i="3"/>
  <c r="E1235" i="3"/>
  <c r="I1235" i="3"/>
  <c r="A1236" i="3"/>
  <c r="E1236" i="3"/>
  <c r="I1236" i="3"/>
  <c r="A1237" i="3"/>
  <c r="E1237" i="3"/>
  <c r="I1237" i="3"/>
  <c r="A1238" i="3"/>
  <c r="E1238" i="3"/>
  <c r="I1238" i="3"/>
  <c r="A1239" i="3"/>
  <c r="E1239" i="3"/>
  <c r="I1239" i="3"/>
  <c r="A1240" i="3"/>
  <c r="E1240" i="3"/>
  <c r="I1240" i="3"/>
  <c r="A1241" i="3"/>
  <c r="E1241" i="3"/>
  <c r="I1241" i="3"/>
  <c r="A1242" i="3"/>
  <c r="E1242" i="3"/>
  <c r="I1242" i="3"/>
  <c r="A1243" i="3"/>
  <c r="E1243" i="3"/>
  <c r="I1243" i="3"/>
  <c r="A1244" i="3"/>
  <c r="E1244" i="3"/>
  <c r="I1244" i="3"/>
  <c r="A1245" i="3"/>
  <c r="E1245" i="3"/>
  <c r="I1245" i="3"/>
  <c r="A1246" i="3"/>
  <c r="E1246" i="3"/>
  <c r="I1246" i="3"/>
  <c r="A1247" i="3"/>
  <c r="E1247" i="3"/>
  <c r="I1247" i="3"/>
  <c r="A1248" i="3"/>
  <c r="E1248" i="3"/>
  <c r="I1248" i="3"/>
  <c r="A1249" i="3"/>
  <c r="E1249" i="3"/>
  <c r="I1249" i="3"/>
  <c r="A1250" i="3"/>
  <c r="E1250" i="3"/>
  <c r="I1250" i="3"/>
  <c r="A1251" i="3"/>
  <c r="E1251" i="3"/>
  <c r="I1251" i="3"/>
  <c r="A1252" i="3"/>
  <c r="E1252" i="3"/>
  <c r="I1252" i="3"/>
  <c r="A1253" i="3"/>
  <c r="E1253" i="3"/>
  <c r="I1253" i="3"/>
  <c r="A1254" i="3"/>
  <c r="E1254" i="3"/>
  <c r="I1254" i="3"/>
  <c r="A1255" i="3"/>
  <c r="E1255" i="3"/>
  <c r="I1255" i="3"/>
  <c r="A1256" i="3"/>
  <c r="E1256" i="3"/>
  <c r="I1256" i="3"/>
  <c r="A1257" i="3"/>
  <c r="E1257" i="3"/>
  <c r="I1257" i="3"/>
  <c r="A1258" i="3"/>
  <c r="E1258" i="3"/>
  <c r="I1258" i="3"/>
  <c r="A1259" i="3"/>
  <c r="E1259" i="3"/>
  <c r="I1259" i="3"/>
  <c r="A1260" i="3"/>
  <c r="E1260" i="3"/>
  <c r="I1260" i="3"/>
  <c r="A1261" i="3"/>
  <c r="E1261" i="3"/>
  <c r="I1261" i="3"/>
  <c r="A1262" i="3"/>
  <c r="E1262" i="3"/>
  <c r="I1262" i="3"/>
  <c r="A1263" i="3"/>
  <c r="E1263" i="3"/>
  <c r="I1263" i="3"/>
  <c r="A1264" i="3"/>
  <c r="E1264" i="3"/>
  <c r="I1264" i="3"/>
  <c r="A1265" i="3"/>
  <c r="E1265" i="3"/>
  <c r="I1265" i="3"/>
  <c r="A1266" i="3"/>
  <c r="E1266" i="3"/>
  <c r="I1266" i="3"/>
  <c r="A1267" i="3"/>
  <c r="E1267" i="3"/>
  <c r="I1267" i="3"/>
  <c r="A1268" i="3"/>
  <c r="E1268" i="3"/>
  <c r="I1268" i="3"/>
  <c r="A1269" i="3"/>
  <c r="E1269" i="3"/>
  <c r="I1269" i="3"/>
  <c r="A1270" i="3"/>
  <c r="E1270" i="3"/>
  <c r="I1270" i="3"/>
  <c r="A1271" i="3"/>
  <c r="E1271" i="3"/>
  <c r="I1271" i="3"/>
  <c r="A1272" i="3"/>
  <c r="E1272" i="3"/>
  <c r="I1272" i="3"/>
  <c r="A1273" i="3"/>
  <c r="E1273" i="3"/>
  <c r="I1273" i="3"/>
  <c r="A1274" i="3"/>
  <c r="E1274" i="3"/>
  <c r="I1274" i="3"/>
  <c r="A1275" i="3"/>
  <c r="E1275" i="3"/>
  <c r="I1275" i="3"/>
  <c r="A1276" i="3"/>
  <c r="E1276" i="3"/>
  <c r="I1276" i="3"/>
  <c r="A1277" i="3"/>
  <c r="E1277" i="3"/>
  <c r="I1277" i="3"/>
  <c r="A1278" i="3"/>
  <c r="E1278" i="3"/>
  <c r="I1278" i="3"/>
  <c r="A1279" i="3"/>
  <c r="E1279" i="3"/>
  <c r="I1279" i="3"/>
  <c r="A1280" i="3"/>
  <c r="E1280" i="3"/>
  <c r="I1280" i="3"/>
  <c r="A1281" i="3"/>
  <c r="E1281" i="3"/>
  <c r="I1281" i="3"/>
  <c r="A1282" i="3"/>
  <c r="E1282" i="3"/>
  <c r="I1282" i="3"/>
  <c r="A1283" i="3"/>
  <c r="E1283" i="3"/>
  <c r="I1283" i="3"/>
  <c r="A1284" i="3"/>
  <c r="E1284" i="3"/>
  <c r="I1284" i="3"/>
  <c r="A1285" i="3"/>
  <c r="E1285" i="3"/>
  <c r="I1285" i="3"/>
  <c r="A1286" i="3"/>
  <c r="E1286" i="3"/>
  <c r="I1286" i="3"/>
  <c r="A1287" i="3"/>
  <c r="E1287" i="3"/>
  <c r="I1287" i="3"/>
  <c r="A1288" i="3"/>
  <c r="E1288" i="3"/>
  <c r="I1288" i="3"/>
  <c r="A1289" i="3"/>
  <c r="E1289" i="3"/>
  <c r="I1289" i="3"/>
  <c r="A1290" i="3"/>
  <c r="E1290" i="3"/>
  <c r="I1290" i="3"/>
  <c r="A1291" i="3"/>
  <c r="E1291" i="3"/>
  <c r="I1291" i="3"/>
  <c r="A1292" i="3"/>
  <c r="E1292" i="3"/>
  <c r="I1292" i="3"/>
  <c r="A1293" i="3"/>
  <c r="E1293" i="3"/>
  <c r="I1293" i="3"/>
  <c r="A1294" i="3"/>
  <c r="E1294" i="3"/>
  <c r="I1294" i="3"/>
  <c r="A1295" i="3"/>
  <c r="E1295" i="3"/>
  <c r="I1295" i="3"/>
  <c r="A1296" i="3"/>
  <c r="E1296" i="3"/>
  <c r="I1296" i="3"/>
  <c r="A1297" i="3"/>
  <c r="E1297" i="3"/>
  <c r="I1297" i="3"/>
  <c r="A1298" i="3"/>
  <c r="E1298" i="3"/>
  <c r="I1298" i="3"/>
  <c r="A1299" i="3"/>
  <c r="E1299" i="3"/>
  <c r="I1299" i="3"/>
  <c r="A1300" i="3"/>
  <c r="E1300" i="3"/>
  <c r="I1300" i="3"/>
  <c r="A1301" i="3"/>
  <c r="E1301" i="3"/>
  <c r="I1301" i="3"/>
  <c r="A1302" i="3"/>
  <c r="E1302" i="3"/>
  <c r="I1302" i="3"/>
  <c r="A1303" i="3"/>
  <c r="E1303" i="3"/>
  <c r="I1303" i="3"/>
  <c r="A1304" i="3"/>
  <c r="E1304" i="3"/>
  <c r="I1304" i="3"/>
  <c r="A1305" i="3"/>
  <c r="E1305" i="3"/>
  <c r="I1305" i="3"/>
  <c r="A1306" i="3"/>
  <c r="E1306" i="3"/>
  <c r="I1306" i="3"/>
  <c r="A1307" i="3"/>
  <c r="E1307" i="3"/>
  <c r="I1307" i="3"/>
  <c r="A1308" i="3"/>
  <c r="E1308" i="3"/>
  <c r="I1308" i="3"/>
  <c r="A1309" i="3"/>
  <c r="E1309" i="3"/>
  <c r="I1309" i="3"/>
  <c r="A1310" i="3"/>
  <c r="E1310" i="3"/>
  <c r="I1310" i="3"/>
  <c r="A1311" i="3"/>
  <c r="E1311" i="3"/>
  <c r="I1311" i="3"/>
  <c r="A1312" i="3"/>
  <c r="E1312" i="3"/>
  <c r="I1312" i="3"/>
  <c r="A1313" i="3"/>
  <c r="E1313" i="3"/>
  <c r="I1313" i="3"/>
  <c r="A1314" i="3"/>
  <c r="E1314" i="3"/>
  <c r="I1314" i="3"/>
  <c r="A1315" i="3"/>
  <c r="E1315" i="3"/>
  <c r="I1315" i="3"/>
  <c r="A1316" i="3"/>
  <c r="E1316" i="3"/>
  <c r="I1316" i="3"/>
  <c r="A1317" i="3"/>
  <c r="E1317" i="3"/>
  <c r="I1317" i="3"/>
  <c r="A1318" i="3"/>
  <c r="E1318" i="3"/>
  <c r="I1318" i="3"/>
  <c r="A1319" i="3"/>
  <c r="E1319" i="3"/>
  <c r="I1319" i="3"/>
  <c r="A1320" i="3"/>
  <c r="E1320" i="3"/>
  <c r="I1320" i="3"/>
  <c r="A1321" i="3"/>
  <c r="E1321" i="3"/>
  <c r="I1321" i="3"/>
  <c r="A1322" i="3"/>
  <c r="E1322" i="3"/>
  <c r="I1322" i="3"/>
  <c r="A1323" i="3"/>
  <c r="E1323" i="3"/>
  <c r="I1323" i="3"/>
  <c r="A1324" i="3"/>
  <c r="E1324" i="3"/>
  <c r="I1324" i="3"/>
  <c r="A1325" i="3"/>
  <c r="E1325" i="3"/>
  <c r="I1325" i="3"/>
  <c r="A1326" i="3"/>
  <c r="E1326" i="3"/>
  <c r="I1326" i="3"/>
  <c r="A1327" i="3"/>
  <c r="E1327" i="3"/>
  <c r="I1327" i="3"/>
  <c r="A1328" i="3"/>
  <c r="E1328" i="3"/>
  <c r="I1328" i="3"/>
  <c r="A1329" i="3"/>
  <c r="E1329" i="3"/>
  <c r="I1329" i="3"/>
  <c r="A1330" i="3"/>
  <c r="E1330" i="3"/>
  <c r="I1330" i="3"/>
  <c r="A1331" i="3"/>
  <c r="E1331" i="3"/>
  <c r="I1331" i="3"/>
  <c r="A1332" i="3"/>
  <c r="E1332" i="3"/>
  <c r="I1332" i="3"/>
  <c r="A1333" i="3"/>
  <c r="E1333" i="3"/>
  <c r="I1333" i="3"/>
  <c r="A1334" i="3"/>
  <c r="E1334" i="3"/>
  <c r="I1334" i="3"/>
  <c r="A1335" i="3"/>
  <c r="E1335" i="3"/>
  <c r="I1335" i="3"/>
  <c r="A1336" i="3"/>
  <c r="E1336" i="3"/>
  <c r="I1336" i="3"/>
  <c r="A1337" i="3"/>
  <c r="E1337" i="3"/>
  <c r="I1337" i="3"/>
  <c r="A1338" i="3"/>
  <c r="E1338" i="3"/>
  <c r="I1338" i="3"/>
  <c r="A1339" i="3"/>
  <c r="E1339" i="3"/>
  <c r="I1339" i="3"/>
  <c r="A1340" i="3"/>
  <c r="E1340" i="3"/>
  <c r="I1340" i="3"/>
  <c r="A1341" i="3"/>
  <c r="E1341" i="3"/>
  <c r="I1341" i="3"/>
  <c r="A1342" i="3"/>
  <c r="E1342" i="3"/>
  <c r="I1342" i="3"/>
  <c r="A1343" i="3"/>
  <c r="E1343" i="3"/>
  <c r="I1343" i="3"/>
  <c r="A1344" i="3"/>
  <c r="E1344" i="3"/>
  <c r="I1344" i="3"/>
  <c r="A1345" i="3"/>
  <c r="E1345" i="3"/>
  <c r="I1345" i="3"/>
  <c r="A1346" i="3"/>
  <c r="E1346" i="3"/>
  <c r="I1346" i="3"/>
  <c r="A1347" i="3"/>
  <c r="E1347" i="3"/>
  <c r="I1347" i="3"/>
  <c r="A1348" i="3"/>
  <c r="E1348" i="3"/>
  <c r="I1348" i="3"/>
  <c r="A1349" i="3"/>
  <c r="E1349" i="3"/>
  <c r="I1349" i="3"/>
  <c r="A1350" i="3"/>
  <c r="E1350" i="3"/>
  <c r="I1350" i="3"/>
  <c r="A1351" i="3"/>
  <c r="E1351" i="3"/>
  <c r="I1351" i="3"/>
  <c r="A1352" i="3"/>
  <c r="E1352" i="3"/>
  <c r="I1352" i="3"/>
  <c r="A1353" i="3"/>
  <c r="E1353" i="3"/>
  <c r="I1353" i="3"/>
  <c r="A1354" i="3"/>
  <c r="E1354" i="3"/>
  <c r="I1354" i="3"/>
  <c r="A1355" i="3"/>
  <c r="E1355" i="3"/>
  <c r="I1355" i="3"/>
  <c r="A1356" i="3"/>
  <c r="E1356" i="3"/>
  <c r="I1356" i="3"/>
  <c r="A1357" i="3"/>
  <c r="E1357" i="3"/>
  <c r="I1357" i="3"/>
  <c r="A1358" i="3"/>
  <c r="E1358" i="3"/>
  <c r="I1358" i="3"/>
  <c r="A1359" i="3"/>
  <c r="E1359" i="3"/>
  <c r="I1359" i="3"/>
  <c r="A1360" i="3"/>
  <c r="E1360" i="3"/>
  <c r="I1360" i="3"/>
  <c r="A1361" i="3"/>
  <c r="E1361" i="3"/>
  <c r="I1361" i="3"/>
  <c r="A1362" i="3"/>
  <c r="E1362" i="3"/>
  <c r="I1362" i="3"/>
  <c r="A1363" i="3"/>
  <c r="E1363" i="3"/>
  <c r="I1363" i="3"/>
  <c r="A1364" i="3"/>
  <c r="E1364" i="3"/>
  <c r="I1364" i="3"/>
  <c r="A1365" i="3"/>
  <c r="E1365" i="3"/>
  <c r="I1365" i="3"/>
  <c r="A1366" i="3"/>
  <c r="E1366" i="3"/>
  <c r="I1366" i="3"/>
  <c r="A1367" i="3"/>
  <c r="E1367" i="3"/>
  <c r="I1367" i="3"/>
  <c r="A1368" i="3"/>
  <c r="E1368" i="3"/>
  <c r="I1368" i="3"/>
  <c r="A1369" i="3"/>
  <c r="E1369" i="3"/>
  <c r="I1369" i="3"/>
  <c r="A1370" i="3"/>
  <c r="E1370" i="3"/>
  <c r="I1370" i="3"/>
  <c r="A1371" i="3"/>
  <c r="E1371" i="3"/>
  <c r="I1371" i="3"/>
  <c r="A1372" i="3"/>
  <c r="E1372" i="3"/>
  <c r="I1372" i="3"/>
  <c r="A1373" i="3"/>
  <c r="E1373" i="3"/>
  <c r="I1373" i="3"/>
  <c r="A1374" i="3"/>
  <c r="E1374" i="3"/>
  <c r="I1374" i="3"/>
  <c r="A1375" i="3"/>
  <c r="E1375" i="3"/>
  <c r="I1375" i="3"/>
  <c r="A1376" i="3"/>
  <c r="E1376" i="3"/>
  <c r="I1376" i="3"/>
  <c r="A1377" i="3"/>
  <c r="E1377" i="3"/>
  <c r="I1377" i="3"/>
  <c r="A1378" i="3"/>
  <c r="E1378" i="3"/>
  <c r="I1378" i="3"/>
  <c r="A1379" i="3"/>
  <c r="E1379" i="3"/>
  <c r="I1379" i="3"/>
  <c r="A1380" i="3"/>
  <c r="E1380" i="3"/>
  <c r="I1380" i="3"/>
  <c r="A1381" i="3"/>
  <c r="E1381" i="3"/>
  <c r="I1381" i="3"/>
  <c r="A1382" i="3"/>
  <c r="E1382" i="3"/>
  <c r="I1382" i="3"/>
  <c r="A1383" i="3"/>
  <c r="E1383" i="3"/>
  <c r="I1383" i="3"/>
  <c r="A1384" i="3"/>
  <c r="E1384" i="3"/>
  <c r="I1384" i="3"/>
  <c r="A1385" i="3"/>
  <c r="E1385" i="3"/>
  <c r="I1385" i="3"/>
  <c r="A1386" i="3"/>
  <c r="E1386" i="3"/>
  <c r="I1386" i="3"/>
  <c r="A1387" i="3"/>
  <c r="E1387" i="3"/>
  <c r="I1387" i="3"/>
  <c r="A1388" i="3"/>
  <c r="E1388" i="3"/>
  <c r="I1388" i="3"/>
  <c r="A1389" i="3"/>
  <c r="E1389" i="3"/>
  <c r="I1389" i="3"/>
  <c r="A1390" i="3"/>
  <c r="E1390" i="3"/>
  <c r="I1390" i="3"/>
  <c r="A1391" i="3"/>
  <c r="E1391" i="3"/>
  <c r="I1391" i="3"/>
  <c r="A1392" i="3"/>
  <c r="E1392" i="3"/>
  <c r="I1392" i="3"/>
  <c r="A1393" i="3"/>
  <c r="E1393" i="3"/>
  <c r="I1393" i="3"/>
  <c r="A1394" i="3"/>
  <c r="E1394" i="3"/>
  <c r="I1394" i="3"/>
  <c r="A1395" i="3"/>
  <c r="E1395" i="3"/>
  <c r="I1395" i="3"/>
  <c r="A1396" i="3"/>
  <c r="E1396" i="3"/>
  <c r="I1396" i="3"/>
  <c r="A1397" i="3"/>
  <c r="E1397" i="3"/>
  <c r="I1397" i="3"/>
  <c r="A1398" i="3"/>
  <c r="E1398" i="3"/>
  <c r="I1398" i="3"/>
  <c r="A1399" i="3"/>
  <c r="E1399" i="3"/>
  <c r="I1399" i="3"/>
  <c r="A1400" i="3"/>
  <c r="E1400" i="3"/>
  <c r="I1400" i="3"/>
  <c r="A1401" i="3"/>
  <c r="E1401" i="3"/>
  <c r="I1401" i="3"/>
  <c r="A1402" i="3"/>
  <c r="E1402" i="3"/>
  <c r="I1402" i="3"/>
  <c r="A1403" i="3"/>
  <c r="E1403" i="3"/>
  <c r="I1403" i="3"/>
  <c r="A1404" i="3"/>
  <c r="E1404" i="3"/>
  <c r="I1404" i="3"/>
  <c r="A1405" i="3"/>
  <c r="E1405" i="3"/>
  <c r="I1405" i="3"/>
  <c r="A1406" i="3"/>
  <c r="E1406" i="3"/>
  <c r="I1406" i="3"/>
  <c r="A1407" i="3"/>
  <c r="E1407" i="3"/>
  <c r="I1407" i="3"/>
  <c r="A1408" i="3"/>
  <c r="E1408" i="3"/>
  <c r="I1408" i="3"/>
  <c r="A1409" i="3"/>
  <c r="E1409" i="3"/>
  <c r="I1409" i="3"/>
  <c r="A1410" i="3"/>
  <c r="E1410" i="3"/>
  <c r="I1410" i="3"/>
  <c r="A1411" i="3"/>
  <c r="E1411" i="3"/>
  <c r="I1411" i="3"/>
  <c r="A1412" i="3"/>
  <c r="E1412" i="3"/>
  <c r="I1412" i="3"/>
  <c r="A1413" i="3"/>
  <c r="E1413" i="3"/>
  <c r="I1413" i="3"/>
  <c r="A1414" i="3"/>
  <c r="E1414" i="3"/>
  <c r="I1414" i="3"/>
  <c r="A1415" i="3"/>
  <c r="E1415" i="3"/>
  <c r="I1415" i="3"/>
  <c r="A1416" i="3"/>
  <c r="E1416" i="3"/>
  <c r="I1416" i="3"/>
  <c r="A1417" i="3"/>
  <c r="E1417" i="3"/>
  <c r="I1417" i="3"/>
  <c r="A1418" i="3"/>
  <c r="E1418" i="3"/>
  <c r="I1418" i="3"/>
  <c r="A1419" i="3"/>
  <c r="E1419" i="3"/>
  <c r="I1419" i="3"/>
  <c r="A1420" i="3"/>
  <c r="E1420" i="3"/>
  <c r="I1420" i="3"/>
  <c r="A1421" i="3"/>
  <c r="E1421" i="3"/>
  <c r="I1421" i="3"/>
  <c r="A1422" i="3"/>
  <c r="E1422" i="3"/>
  <c r="I1422" i="3"/>
  <c r="A1423" i="3"/>
  <c r="E1423" i="3"/>
  <c r="I1423" i="3"/>
  <c r="A1424" i="3"/>
  <c r="E1424" i="3"/>
  <c r="I1424" i="3"/>
  <c r="A1425" i="3"/>
  <c r="E1425" i="3"/>
  <c r="I1425" i="3"/>
  <c r="A1426" i="3"/>
  <c r="E1426" i="3"/>
  <c r="I1426" i="3"/>
  <c r="A1427" i="3"/>
  <c r="E1427" i="3"/>
  <c r="I1427" i="3"/>
  <c r="A1428" i="3"/>
  <c r="E1428" i="3"/>
  <c r="I1428" i="3"/>
  <c r="A1429" i="3"/>
  <c r="E1429" i="3"/>
  <c r="I1429" i="3"/>
  <c r="A1430" i="3"/>
  <c r="E1430" i="3"/>
  <c r="I1430" i="3"/>
  <c r="A1431" i="3"/>
  <c r="E1431" i="3"/>
  <c r="I1431" i="3"/>
  <c r="A1432" i="3"/>
  <c r="E1432" i="3"/>
  <c r="I1432" i="3"/>
  <c r="A1433" i="3"/>
  <c r="E1433" i="3"/>
  <c r="I1433" i="3"/>
  <c r="A1434" i="3"/>
  <c r="E1434" i="3"/>
  <c r="I1434" i="3"/>
  <c r="A1435" i="3"/>
  <c r="E1435" i="3"/>
  <c r="I1435" i="3"/>
  <c r="A1436" i="3"/>
  <c r="E1436" i="3"/>
  <c r="I1436" i="3"/>
  <c r="A1437" i="3"/>
  <c r="E1437" i="3"/>
  <c r="I1437" i="3"/>
  <c r="A1438" i="3"/>
  <c r="E1438" i="3"/>
  <c r="I1438" i="3"/>
  <c r="A1439" i="3"/>
  <c r="E1439" i="3"/>
  <c r="I1439" i="3"/>
  <c r="A1440" i="3"/>
  <c r="E1440" i="3"/>
  <c r="I1440" i="3"/>
  <c r="A1441" i="3"/>
  <c r="E1441" i="3"/>
  <c r="I1441" i="3"/>
  <c r="A1442" i="3"/>
  <c r="E1442" i="3"/>
  <c r="I1442" i="3"/>
  <c r="A1443" i="3"/>
  <c r="E1443" i="3"/>
  <c r="I1443" i="3"/>
  <c r="A1444" i="3"/>
  <c r="E1444" i="3"/>
  <c r="I1444" i="3"/>
  <c r="A1445" i="3"/>
  <c r="E1445" i="3"/>
  <c r="I1445" i="3"/>
  <c r="A1446" i="3"/>
  <c r="E1446" i="3"/>
  <c r="I1446" i="3"/>
  <c r="A1447" i="3"/>
  <c r="E1447" i="3"/>
  <c r="I1447" i="3"/>
  <c r="A1448" i="3"/>
  <c r="E1448" i="3"/>
  <c r="I1448" i="3"/>
  <c r="A1449" i="3"/>
  <c r="E1449" i="3"/>
  <c r="I1449" i="3"/>
  <c r="A1450" i="3"/>
  <c r="E1450" i="3"/>
  <c r="I1450" i="3"/>
  <c r="A1451" i="3"/>
  <c r="E1451" i="3"/>
  <c r="I1451" i="3"/>
  <c r="A1452" i="3"/>
  <c r="E1452" i="3"/>
  <c r="I1452" i="3"/>
  <c r="A1453" i="3"/>
  <c r="E1453" i="3"/>
  <c r="I1453" i="3"/>
  <c r="A1454" i="3"/>
  <c r="E1454" i="3"/>
  <c r="I1454" i="3"/>
  <c r="A1455" i="3"/>
  <c r="E1455" i="3"/>
  <c r="I1455" i="3"/>
  <c r="A1456" i="3"/>
  <c r="E1456" i="3"/>
  <c r="I1456" i="3"/>
  <c r="A1457" i="3"/>
  <c r="E1457" i="3"/>
  <c r="I1457" i="3"/>
  <c r="A1458" i="3"/>
  <c r="E1458" i="3"/>
  <c r="I1458" i="3"/>
  <c r="A1459" i="3"/>
  <c r="E1459" i="3"/>
  <c r="I1459" i="3"/>
  <c r="A1460" i="3"/>
  <c r="E1460" i="3"/>
  <c r="I1460" i="3"/>
  <c r="A1461" i="3"/>
  <c r="E1461" i="3"/>
  <c r="I1461" i="3"/>
  <c r="A1462" i="3"/>
  <c r="E1462" i="3"/>
  <c r="I1462" i="3"/>
  <c r="A1463" i="3"/>
  <c r="E1463" i="3"/>
  <c r="I1463" i="3"/>
  <c r="A1464" i="3"/>
  <c r="E1464" i="3"/>
  <c r="I1464" i="3"/>
  <c r="A1465" i="3"/>
  <c r="E1465" i="3"/>
  <c r="I1465" i="3"/>
  <c r="A1466" i="3"/>
  <c r="E1466" i="3"/>
  <c r="I1466" i="3"/>
  <c r="A1467" i="3"/>
  <c r="E1467" i="3"/>
  <c r="I1467" i="3"/>
  <c r="A1468" i="3"/>
  <c r="E1468" i="3"/>
  <c r="I1468" i="3"/>
  <c r="A1469" i="3"/>
  <c r="E1469" i="3"/>
  <c r="I1469" i="3"/>
  <c r="A1470" i="3"/>
  <c r="E1470" i="3"/>
  <c r="I1470" i="3"/>
  <c r="A1471" i="3"/>
  <c r="E1471" i="3"/>
  <c r="I1471" i="3"/>
  <c r="A1472" i="3"/>
  <c r="E1472" i="3"/>
  <c r="I1472" i="3"/>
  <c r="A1473" i="3"/>
  <c r="E1473" i="3"/>
  <c r="I1473" i="3"/>
  <c r="A1474" i="3"/>
  <c r="E1474" i="3"/>
  <c r="I1474" i="3"/>
  <c r="A1475" i="3"/>
  <c r="E1475" i="3"/>
  <c r="I1475" i="3"/>
  <c r="A1476" i="3"/>
  <c r="E1476" i="3"/>
  <c r="I1476" i="3"/>
  <c r="A1477" i="3"/>
  <c r="E1477" i="3"/>
  <c r="I1477" i="3"/>
  <c r="A1478" i="3"/>
  <c r="E1478" i="3"/>
  <c r="I1478" i="3"/>
  <c r="A1479" i="3"/>
  <c r="E1479" i="3"/>
  <c r="I1479" i="3"/>
  <c r="A1480" i="3"/>
  <c r="E1480" i="3"/>
  <c r="I1480" i="3"/>
  <c r="A1481" i="3"/>
  <c r="E1481" i="3"/>
  <c r="I1481" i="3"/>
  <c r="A1482" i="3"/>
  <c r="E1482" i="3"/>
  <c r="I1482" i="3"/>
  <c r="A1483" i="3"/>
  <c r="E1483" i="3"/>
  <c r="I1483" i="3"/>
  <c r="A1484" i="3"/>
  <c r="E1484" i="3"/>
  <c r="I1484" i="3"/>
  <c r="A1485" i="3"/>
  <c r="E1485" i="3"/>
  <c r="I1485" i="3"/>
  <c r="A1486" i="3"/>
  <c r="E1486" i="3"/>
  <c r="I1486" i="3"/>
  <c r="A1487" i="3"/>
  <c r="E1487" i="3"/>
  <c r="I1487" i="3"/>
  <c r="A1488" i="3"/>
  <c r="E1488" i="3"/>
  <c r="I1488" i="3"/>
  <c r="A1489" i="3"/>
  <c r="E1489" i="3"/>
  <c r="I1489" i="3"/>
  <c r="A1490" i="3"/>
  <c r="E1490" i="3"/>
  <c r="I1490" i="3"/>
  <c r="A1491" i="3"/>
  <c r="E1491" i="3"/>
  <c r="I1491" i="3"/>
  <c r="A1492" i="3"/>
  <c r="E1492" i="3"/>
  <c r="I1492" i="3"/>
  <c r="A1493" i="3"/>
  <c r="E1493" i="3"/>
  <c r="I1493" i="3"/>
  <c r="A1494" i="3"/>
  <c r="E1494" i="3"/>
  <c r="I1494" i="3"/>
  <c r="A1495" i="3"/>
  <c r="E1495" i="3"/>
  <c r="I1495" i="3"/>
  <c r="A1496" i="3"/>
  <c r="E1496" i="3"/>
  <c r="I1496" i="3"/>
  <c r="A1497" i="3"/>
  <c r="E1497" i="3"/>
  <c r="I1497" i="3"/>
  <c r="A1498" i="3"/>
  <c r="E1498" i="3"/>
  <c r="I1498" i="3"/>
  <c r="A1499" i="3"/>
  <c r="E1499" i="3"/>
  <c r="I1499" i="3"/>
  <c r="A1500" i="3"/>
  <c r="E1500" i="3"/>
  <c r="I1500" i="3"/>
  <c r="A1501" i="3"/>
  <c r="E1501" i="3"/>
  <c r="I1501" i="3"/>
  <c r="A1502" i="3"/>
  <c r="E1502" i="3"/>
  <c r="I1502" i="3"/>
  <c r="A1503" i="3"/>
  <c r="E1503" i="3"/>
  <c r="I1503" i="3"/>
  <c r="A1504" i="3"/>
  <c r="E1504" i="3"/>
  <c r="I1504" i="3"/>
  <c r="A1505" i="3"/>
  <c r="E1505" i="3"/>
  <c r="I1505" i="3"/>
  <c r="A1506" i="3"/>
  <c r="E1506" i="3"/>
  <c r="I1506" i="3"/>
  <c r="A1507" i="3"/>
  <c r="E1507" i="3"/>
  <c r="I1507" i="3"/>
  <c r="A1508" i="3"/>
  <c r="E1508" i="3"/>
  <c r="I1508" i="3"/>
  <c r="A1509" i="3"/>
  <c r="E1509" i="3"/>
  <c r="I1509" i="3"/>
  <c r="A1510" i="3"/>
  <c r="E1510" i="3"/>
  <c r="I1510" i="3"/>
  <c r="A1511" i="3"/>
  <c r="E1511" i="3"/>
  <c r="I1511" i="3"/>
  <c r="E13" i="3"/>
  <c r="I13" i="3"/>
  <c r="A15" i="2"/>
  <c r="D24" i="2"/>
  <c r="E23" i="2"/>
  <c r="E24" i="2"/>
  <c r="I24" i="2"/>
  <c r="J24" i="2"/>
  <c r="N24" i="2"/>
  <c r="D25" i="2"/>
  <c r="I25" i="2"/>
  <c r="J25" i="2"/>
  <c r="N25" i="2"/>
  <c r="D26" i="2"/>
  <c r="I26" i="2"/>
  <c r="J26" i="2"/>
  <c r="N26" i="2"/>
  <c r="D27" i="2"/>
  <c r="I27" i="2"/>
  <c r="J27" i="2"/>
  <c r="N27" i="2"/>
  <c r="D28" i="2"/>
  <c r="I28" i="2"/>
  <c r="J28" i="2"/>
  <c r="N28" i="2"/>
  <c r="D29" i="2"/>
  <c r="I29" i="2"/>
  <c r="J29" i="2"/>
  <c r="N29" i="2"/>
  <c r="D30" i="2"/>
  <c r="I30" i="2"/>
  <c r="J30" i="2"/>
  <c r="N30" i="2"/>
  <c r="D31" i="2"/>
  <c r="I31" i="2"/>
  <c r="J31" i="2"/>
  <c r="N31" i="2"/>
  <c r="D32" i="2"/>
  <c r="I32" i="2"/>
  <c r="J32" i="2"/>
  <c r="N32" i="2"/>
  <c r="D33" i="2"/>
  <c r="I33" i="2"/>
  <c r="J33" i="2"/>
  <c r="N33" i="2"/>
  <c r="D34" i="2"/>
  <c r="I34" i="2"/>
  <c r="J34" i="2"/>
  <c r="N34" i="2"/>
  <c r="D35" i="2"/>
  <c r="I35" i="2"/>
  <c r="J35" i="2"/>
  <c r="N35" i="2"/>
  <c r="D36" i="2"/>
  <c r="I36" i="2"/>
  <c r="J36" i="2"/>
  <c r="N36" i="2"/>
  <c r="D37" i="2"/>
  <c r="I37" i="2"/>
  <c r="J37" i="2"/>
  <c r="N37" i="2"/>
  <c r="D38" i="2"/>
  <c r="I38" i="2"/>
  <c r="J38" i="2"/>
  <c r="N38" i="2"/>
  <c r="D39" i="2"/>
  <c r="I39" i="2"/>
  <c r="J39" i="2"/>
  <c r="N39" i="2"/>
  <c r="D40" i="2"/>
  <c r="I40" i="2"/>
  <c r="J40" i="2"/>
  <c r="N40" i="2"/>
  <c r="D41" i="2"/>
  <c r="I41" i="2"/>
  <c r="J41" i="2"/>
  <c r="N41" i="2"/>
  <c r="D42" i="2"/>
  <c r="I42" i="2"/>
  <c r="J42" i="2"/>
  <c r="N42" i="2"/>
  <c r="D43" i="2"/>
  <c r="I43" i="2"/>
  <c r="J43" i="2"/>
  <c r="N43" i="2"/>
  <c r="D44" i="2"/>
  <c r="I44" i="2"/>
  <c r="J44" i="2"/>
  <c r="N44" i="2"/>
  <c r="D45" i="2"/>
  <c r="I45" i="2"/>
  <c r="J45" i="2"/>
  <c r="N45" i="2"/>
  <c r="D46" i="2"/>
  <c r="I46" i="2"/>
  <c r="J46" i="2"/>
  <c r="N46" i="2"/>
  <c r="D47" i="2"/>
  <c r="I47" i="2"/>
  <c r="J47" i="2"/>
  <c r="N47" i="2"/>
  <c r="D48" i="2"/>
  <c r="I48" i="2"/>
  <c r="J48" i="2"/>
  <c r="N48" i="2"/>
  <c r="D49" i="2"/>
  <c r="I49" i="2"/>
  <c r="J49" i="2"/>
  <c r="N49" i="2"/>
  <c r="D50" i="2"/>
  <c r="I50" i="2"/>
  <c r="J50" i="2"/>
  <c r="N50" i="2"/>
  <c r="D51" i="2"/>
  <c r="I51" i="2"/>
  <c r="J51" i="2"/>
  <c r="N51" i="2"/>
  <c r="D52" i="2"/>
  <c r="I52" i="2"/>
  <c r="J52" i="2"/>
  <c r="N52" i="2"/>
  <c r="D53" i="2"/>
  <c r="I53" i="2"/>
  <c r="J53" i="2"/>
  <c r="N53" i="2"/>
  <c r="D54" i="2"/>
  <c r="I54" i="2"/>
  <c r="J54" i="2"/>
  <c r="N54" i="2"/>
  <c r="D55" i="2"/>
  <c r="I55" i="2"/>
  <c r="J55" i="2"/>
  <c r="N55" i="2"/>
  <c r="D56" i="2"/>
  <c r="I56" i="2"/>
  <c r="J56" i="2"/>
  <c r="N56" i="2"/>
  <c r="D57" i="2"/>
  <c r="I57" i="2"/>
  <c r="J57" i="2"/>
  <c r="N57" i="2"/>
  <c r="D58" i="2"/>
  <c r="I58" i="2"/>
  <c r="J58" i="2"/>
  <c r="N58" i="2"/>
  <c r="D59" i="2"/>
  <c r="I59" i="2"/>
  <c r="J59" i="2"/>
  <c r="N59" i="2"/>
  <c r="D60" i="2"/>
  <c r="I60" i="2"/>
  <c r="J60" i="2"/>
  <c r="N60" i="2"/>
  <c r="D61" i="2"/>
  <c r="I61" i="2"/>
  <c r="J61" i="2"/>
  <c r="N61" i="2"/>
  <c r="D62" i="2"/>
  <c r="I62" i="2"/>
  <c r="J62" i="2"/>
  <c r="N62" i="2"/>
  <c r="D63" i="2"/>
  <c r="I63" i="2"/>
  <c r="J63" i="2"/>
  <c r="N63" i="2"/>
  <c r="D64" i="2"/>
  <c r="I64" i="2"/>
  <c r="J64" i="2"/>
  <c r="N64" i="2"/>
  <c r="D65" i="2"/>
  <c r="I65" i="2"/>
  <c r="J65" i="2"/>
  <c r="N65" i="2"/>
  <c r="D66" i="2"/>
  <c r="I66" i="2"/>
  <c r="J66" i="2"/>
  <c r="N66" i="2"/>
  <c r="D67" i="2"/>
  <c r="I67" i="2"/>
  <c r="J67" i="2"/>
  <c r="N67" i="2"/>
  <c r="D68" i="2"/>
  <c r="I68" i="2"/>
  <c r="J68" i="2"/>
  <c r="N68" i="2"/>
  <c r="D69" i="2"/>
  <c r="I69" i="2"/>
  <c r="J69" i="2"/>
  <c r="N69" i="2"/>
  <c r="D70" i="2"/>
  <c r="I70" i="2"/>
  <c r="J70" i="2"/>
  <c r="N70" i="2"/>
  <c r="D71" i="2"/>
  <c r="I71" i="2"/>
  <c r="J71" i="2"/>
  <c r="N71" i="2"/>
  <c r="D72" i="2"/>
  <c r="I72" i="2"/>
  <c r="J72" i="2"/>
  <c r="N72" i="2"/>
  <c r="D73" i="2"/>
  <c r="I73" i="2"/>
  <c r="J73" i="2"/>
  <c r="N73" i="2"/>
  <c r="D74" i="2"/>
  <c r="I74" i="2"/>
  <c r="J74" i="2"/>
  <c r="N74" i="2"/>
  <c r="D75" i="2"/>
  <c r="I75" i="2"/>
  <c r="J75" i="2"/>
  <c r="N75" i="2"/>
  <c r="D76" i="2"/>
  <c r="I76" i="2"/>
  <c r="J76" i="2"/>
  <c r="N76" i="2"/>
  <c r="D77" i="2"/>
  <c r="I77" i="2"/>
  <c r="J77" i="2"/>
  <c r="N77" i="2"/>
  <c r="D78" i="2"/>
  <c r="I78" i="2"/>
  <c r="J78" i="2"/>
  <c r="N78" i="2"/>
  <c r="D79" i="2"/>
  <c r="I79" i="2"/>
  <c r="J79" i="2"/>
  <c r="N79" i="2"/>
  <c r="D80" i="2"/>
  <c r="I80" i="2"/>
  <c r="J80" i="2"/>
  <c r="N80" i="2"/>
  <c r="D81" i="2"/>
  <c r="I81" i="2"/>
  <c r="J81" i="2"/>
  <c r="N81" i="2"/>
  <c r="D82" i="2"/>
  <c r="I82" i="2"/>
  <c r="J82" i="2"/>
  <c r="N82" i="2"/>
  <c r="D83" i="2"/>
  <c r="I83" i="2"/>
  <c r="J83" i="2"/>
  <c r="N83" i="2"/>
  <c r="D84" i="2"/>
  <c r="I84" i="2"/>
  <c r="J84" i="2"/>
  <c r="N84" i="2"/>
  <c r="D85" i="2"/>
  <c r="I85" i="2"/>
  <c r="J85" i="2"/>
  <c r="N85" i="2"/>
  <c r="D86" i="2"/>
  <c r="I86" i="2"/>
  <c r="J86" i="2"/>
  <c r="N86" i="2"/>
  <c r="D87" i="2"/>
  <c r="I87" i="2"/>
  <c r="J87" i="2"/>
  <c r="N87" i="2"/>
  <c r="D88" i="2"/>
  <c r="I88" i="2"/>
  <c r="J88" i="2"/>
  <c r="N88" i="2"/>
  <c r="D89" i="2"/>
  <c r="I89" i="2"/>
  <c r="J89" i="2"/>
  <c r="N89" i="2"/>
  <c r="D90" i="2"/>
  <c r="I90" i="2"/>
  <c r="J90" i="2"/>
  <c r="N90" i="2"/>
  <c r="D91" i="2"/>
  <c r="I91" i="2"/>
  <c r="J91" i="2"/>
  <c r="N91" i="2"/>
  <c r="D92" i="2"/>
  <c r="I92" i="2"/>
  <c r="J92" i="2"/>
  <c r="N92" i="2"/>
  <c r="D93" i="2"/>
  <c r="I93" i="2"/>
  <c r="J93" i="2"/>
  <c r="N93" i="2"/>
  <c r="D94" i="2"/>
  <c r="I94" i="2"/>
  <c r="J94" i="2"/>
  <c r="N94" i="2"/>
  <c r="D95" i="2"/>
  <c r="I95" i="2"/>
  <c r="J95" i="2"/>
  <c r="N95" i="2"/>
  <c r="D96" i="2"/>
  <c r="I96" i="2"/>
  <c r="J96" i="2"/>
  <c r="N96" i="2"/>
  <c r="D97" i="2"/>
  <c r="I97" i="2"/>
  <c r="J97" i="2"/>
  <c r="N97" i="2"/>
  <c r="D98" i="2"/>
  <c r="I98" i="2"/>
  <c r="J98" i="2"/>
  <c r="N98" i="2"/>
  <c r="D99" i="2"/>
  <c r="I99" i="2"/>
  <c r="J99" i="2"/>
  <c r="N99" i="2"/>
  <c r="D100" i="2"/>
  <c r="I100" i="2"/>
  <c r="J100" i="2"/>
  <c r="N100" i="2"/>
  <c r="D101" i="2"/>
  <c r="I101" i="2"/>
  <c r="J101" i="2"/>
  <c r="N101" i="2"/>
  <c r="D102" i="2"/>
  <c r="I102" i="2"/>
  <c r="J102" i="2"/>
  <c r="N102" i="2"/>
  <c r="D103" i="2"/>
  <c r="I103" i="2"/>
  <c r="J103" i="2"/>
  <c r="N103" i="2"/>
  <c r="D104" i="2"/>
  <c r="I104" i="2"/>
  <c r="J104" i="2"/>
  <c r="N104" i="2"/>
  <c r="D105" i="2"/>
  <c r="I105" i="2"/>
  <c r="J105" i="2"/>
  <c r="N105" i="2"/>
  <c r="D106" i="2"/>
  <c r="I106" i="2"/>
  <c r="J106" i="2"/>
  <c r="N106" i="2"/>
  <c r="D107" i="2"/>
  <c r="I107" i="2"/>
  <c r="J107" i="2"/>
  <c r="N107" i="2"/>
  <c r="D108" i="2"/>
  <c r="I108" i="2"/>
  <c r="J108" i="2"/>
  <c r="N108" i="2"/>
  <c r="D109" i="2"/>
  <c r="I109" i="2"/>
  <c r="J109" i="2"/>
  <c r="N109" i="2"/>
  <c r="D110" i="2"/>
  <c r="I110" i="2"/>
  <c r="J110" i="2"/>
  <c r="N110" i="2"/>
  <c r="D111" i="2"/>
  <c r="I111" i="2"/>
  <c r="J111" i="2"/>
  <c r="N111" i="2"/>
  <c r="D112" i="2"/>
  <c r="I112" i="2"/>
  <c r="J112" i="2"/>
  <c r="N112" i="2"/>
  <c r="D113" i="2"/>
  <c r="I113" i="2"/>
  <c r="J113" i="2"/>
  <c r="N113" i="2"/>
  <c r="D114" i="2"/>
  <c r="I114" i="2"/>
  <c r="J114" i="2"/>
  <c r="N114" i="2"/>
  <c r="D115" i="2"/>
  <c r="I115" i="2"/>
  <c r="J115" i="2"/>
  <c r="N115" i="2"/>
  <c r="D116" i="2"/>
  <c r="I116" i="2"/>
  <c r="J116" i="2"/>
  <c r="N116" i="2"/>
  <c r="D117" i="2"/>
  <c r="I117" i="2"/>
  <c r="J117" i="2"/>
  <c r="N117" i="2"/>
  <c r="D118" i="2"/>
  <c r="I118" i="2"/>
  <c r="J118" i="2"/>
  <c r="N118" i="2"/>
  <c r="D119" i="2"/>
  <c r="I119" i="2"/>
  <c r="J119" i="2"/>
  <c r="N119" i="2"/>
  <c r="D120" i="2"/>
  <c r="I120" i="2"/>
  <c r="J120" i="2"/>
  <c r="N120" i="2"/>
  <c r="D121" i="2"/>
  <c r="I121" i="2"/>
  <c r="J121" i="2"/>
  <c r="N121" i="2"/>
  <c r="D122" i="2"/>
  <c r="I122" i="2"/>
  <c r="J122" i="2"/>
  <c r="N122" i="2"/>
  <c r="D123" i="2"/>
  <c r="I123" i="2"/>
  <c r="J123" i="2"/>
  <c r="N123" i="2"/>
  <c r="D124" i="2"/>
  <c r="I124" i="2"/>
  <c r="J124" i="2"/>
  <c r="N124" i="2"/>
  <c r="D125" i="2"/>
  <c r="I125" i="2"/>
  <c r="J125" i="2"/>
  <c r="N125" i="2"/>
  <c r="D126" i="2"/>
  <c r="I126" i="2"/>
  <c r="J126" i="2"/>
  <c r="N126" i="2"/>
  <c r="D127" i="2"/>
  <c r="I127" i="2"/>
  <c r="J127" i="2"/>
  <c r="N127" i="2"/>
  <c r="D128" i="2"/>
  <c r="I128" i="2"/>
  <c r="J128" i="2"/>
  <c r="N128" i="2"/>
  <c r="D129" i="2"/>
  <c r="I129" i="2"/>
  <c r="J129" i="2"/>
  <c r="N129" i="2"/>
  <c r="D130" i="2"/>
  <c r="I130" i="2"/>
  <c r="J130" i="2"/>
  <c r="N130" i="2"/>
  <c r="D131" i="2"/>
  <c r="I131" i="2"/>
  <c r="J131" i="2"/>
  <c r="N131" i="2"/>
  <c r="D132" i="2"/>
  <c r="I132" i="2"/>
  <c r="J132" i="2"/>
  <c r="N132" i="2"/>
  <c r="D133" i="2"/>
  <c r="I133" i="2"/>
  <c r="J133" i="2"/>
  <c r="N133" i="2"/>
  <c r="D134" i="2"/>
  <c r="I134" i="2"/>
  <c r="J134" i="2"/>
  <c r="N134" i="2"/>
  <c r="D135" i="2"/>
  <c r="I135" i="2"/>
  <c r="J135" i="2"/>
  <c r="N135" i="2"/>
  <c r="D136" i="2"/>
  <c r="I136" i="2"/>
  <c r="J136" i="2"/>
  <c r="N136" i="2"/>
  <c r="D137" i="2"/>
  <c r="I137" i="2"/>
  <c r="J137" i="2"/>
  <c r="N137" i="2"/>
  <c r="D138" i="2"/>
  <c r="I138" i="2"/>
  <c r="J138" i="2"/>
  <c r="N138" i="2"/>
  <c r="D139" i="2"/>
  <c r="I139" i="2"/>
  <c r="J139" i="2"/>
  <c r="N139" i="2"/>
  <c r="D140" i="2"/>
  <c r="I140" i="2"/>
  <c r="J140" i="2"/>
  <c r="N140" i="2"/>
  <c r="D141" i="2"/>
  <c r="I141" i="2"/>
  <c r="J141" i="2"/>
  <c r="N141" i="2"/>
  <c r="D142" i="2"/>
  <c r="I142" i="2"/>
  <c r="J142" i="2"/>
  <c r="N142" i="2"/>
  <c r="D143" i="2"/>
  <c r="I143" i="2"/>
  <c r="J143" i="2"/>
  <c r="N143" i="2"/>
  <c r="D144" i="2"/>
  <c r="I144" i="2"/>
  <c r="J144" i="2"/>
  <c r="N144" i="2"/>
  <c r="D145" i="2"/>
  <c r="I145" i="2"/>
  <c r="J145" i="2"/>
  <c r="N145" i="2"/>
  <c r="D146" i="2"/>
  <c r="I146" i="2"/>
  <c r="J146" i="2"/>
  <c r="N146" i="2"/>
  <c r="D147" i="2"/>
  <c r="I147" i="2"/>
  <c r="J147" i="2"/>
  <c r="N147" i="2"/>
  <c r="D148" i="2"/>
  <c r="I148" i="2"/>
  <c r="J148" i="2"/>
  <c r="N148" i="2"/>
  <c r="D149" i="2"/>
  <c r="I149" i="2"/>
  <c r="J149" i="2"/>
  <c r="N149" i="2"/>
  <c r="D150" i="2"/>
  <c r="I150" i="2"/>
  <c r="J150" i="2"/>
  <c r="N150" i="2"/>
  <c r="D151" i="2"/>
  <c r="I151" i="2"/>
  <c r="J151" i="2"/>
  <c r="N151" i="2"/>
  <c r="D152" i="2"/>
  <c r="I152" i="2"/>
  <c r="J152" i="2"/>
  <c r="N152" i="2"/>
  <c r="D153" i="2"/>
  <c r="I153" i="2"/>
  <c r="J153" i="2"/>
  <c r="N153" i="2"/>
  <c r="D154" i="2"/>
  <c r="I154" i="2"/>
  <c r="J154" i="2"/>
  <c r="N154" i="2"/>
  <c r="D155" i="2"/>
  <c r="I155" i="2"/>
  <c r="J155" i="2"/>
  <c r="N155" i="2"/>
  <c r="D156" i="2"/>
  <c r="I156" i="2"/>
  <c r="J156" i="2"/>
  <c r="N156" i="2"/>
  <c r="D157" i="2"/>
  <c r="I157" i="2"/>
  <c r="J157" i="2"/>
  <c r="N157" i="2"/>
  <c r="D158" i="2"/>
  <c r="I158" i="2"/>
  <c r="J158" i="2"/>
  <c r="N158" i="2"/>
  <c r="D159" i="2"/>
  <c r="I159" i="2"/>
  <c r="J159" i="2"/>
  <c r="N159" i="2"/>
  <c r="D160" i="2"/>
  <c r="I160" i="2"/>
  <c r="J160" i="2"/>
  <c r="N160" i="2"/>
  <c r="D161" i="2"/>
  <c r="I161" i="2"/>
  <c r="J161" i="2"/>
  <c r="N161" i="2"/>
  <c r="D162" i="2"/>
  <c r="I162" i="2"/>
  <c r="J162" i="2"/>
  <c r="N162" i="2"/>
  <c r="D163" i="2"/>
  <c r="I163" i="2"/>
  <c r="J163" i="2"/>
  <c r="N163" i="2"/>
  <c r="D164" i="2"/>
  <c r="I164" i="2"/>
  <c r="J164" i="2"/>
  <c r="N164" i="2"/>
  <c r="D165" i="2"/>
  <c r="I165" i="2"/>
  <c r="J165" i="2"/>
  <c r="N165" i="2"/>
  <c r="D166" i="2"/>
  <c r="I166" i="2"/>
  <c r="J166" i="2"/>
  <c r="N166" i="2"/>
  <c r="D167" i="2"/>
  <c r="I167" i="2"/>
  <c r="J167" i="2"/>
  <c r="N167" i="2"/>
  <c r="D168" i="2"/>
  <c r="I168" i="2"/>
  <c r="J168" i="2"/>
  <c r="N168" i="2"/>
  <c r="D169" i="2"/>
  <c r="I169" i="2"/>
  <c r="J169" i="2"/>
  <c r="N169" i="2"/>
  <c r="D170" i="2"/>
  <c r="I170" i="2"/>
  <c r="J170" i="2"/>
  <c r="N170" i="2"/>
  <c r="D171" i="2"/>
  <c r="I171" i="2"/>
  <c r="J171" i="2"/>
  <c r="N171" i="2"/>
  <c r="D172" i="2"/>
  <c r="I172" i="2"/>
  <c r="J172" i="2"/>
  <c r="N172" i="2"/>
  <c r="D173" i="2"/>
  <c r="I173" i="2"/>
  <c r="J173" i="2"/>
  <c r="N173" i="2"/>
  <c r="D174" i="2"/>
  <c r="I174" i="2"/>
  <c r="J174" i="2"/>
  <c r="N174" i="2"/>
  <c r="D175" i="2"/>
  <c r="I175" i="2"/>
  <c r="J175" i="2"/>
  <c r="N175" i="2"/>
  <c r="D176" i="2"/>
  <c r="I176" i="2"/>
  <c r="J176" i="2"/>
  <c r="N176" i="2"/>
  <c r="D177" i="2"/>
  <c r="I177" i="2"/>
  <c r="J177" i="2"/>
  <c r="N177" i="2"/>
  <c r="D178" i="2"/>
  <c r="I178" i="2"/>
  <c r="J178" i="2"/>
  <c r="N178" i="2"/>
  <c r="D179" i="2"/>
  <c r="I179" i="2"/>
  <c r="J179" i="2"/>
  <c r="N179" i="2"/>
  <c r="D180" i="2"/>
  <c r="I180" i="2"/>
  <c r="J180" i="2"/>
  <c r="N180" i="2"/>
  <c r="D181" i="2"/>
  <c r="I181" i="2"/>
  <c r="J181" i="2"/>
  <c r="N181" i="2"/>
  <c r="D182" i="2"/>
  <c r="I182" i="2"/>
  <c r="J182" i="2"/>
  <c r="N182" i="2"/>
  <c r="D183" i="2"/>
  <c r="I183" i="2"/>
  <c r="J183" i="2"/>
  <c r="N183" i="2"/>
  <c r="D184" i="2"/>
  <c r="I184" i="2"/>
  <c r="J184" i="2"/>
  <c r="N184" i="2"/>
  <c r="D185" i="2"/>
  <c r="I185" i="2"/>
  <c r="J185" i="2"/>
  <c r="N185" i="2"/>
  <c r="D186" i="2"/>
  <c r="I186" i="2"/>
  <c r="J186" i="2"/>
  <c r="N186" i="2"/>
  <c r="D187" i="2"/>
  <c r="I187" i="2"/>
  <c r="J187" i="2"/>
  <c r="N187" i="2"/>
  <c r="D188" i="2"/>
  <c r="I188" i="2"/>
  <c r="J188" i="2"/>
  <c r="N188" i="2"/>
  <c r="D189" i="2"/>
  <c r="I189" i="2"/>
  <c r="J189" i="2"/>
  <c r="N189" i="2"/>
  <c r="D190" i="2"/>
  <c r="I190" i="2"/>
  <c r="J190" i="2"/>
  <c r="N190" i="2"/>
  <c r="D191" i="2"/>
  <c r="I191" i="2"/>
  <c r="J191" i="2"/>
  <c r="N191" i="2"/>
  <c r="D192" i="2"/>
  <c r="I192" i="2"/>
  <c r="J192" i="2"/>
  <c r="N192" i="2"/>
  <c r="D193" i="2"/>
  <c r="I193" i="2"/>
  <c r="J193" i="2"/>
  <c r="N193" i="2"/>
  <c r="D194" i="2"/>
  <c r="I194" i="2"/>
  <c r="J194" i="2"/>
  <c r="N194" i="2"/>
  <c r="D195" i="2"/>
  <c r="I195" i="2"/>
  <c r="J195" i="2"/>
  <c r="N195" i="2"/>
  <c r="D196" i="2"/>
  <c r="I196" i="2"/>
  <c r="J196" i="2"/>
  <c r="N196" i="2"/>
  <c r="D197" i="2"/>
  <c r="I197" i="2"/>
  <c r="J197" i="2"/>
  <c r="N197" i="2"/>
  <c r="D198" i="2"/>
  <c r="I198" i="2"/>
  <c r="J198" i="2"/>
  <c r="N198" i="2"/>
  <c r="D199" i="2"/>
  <c r="I199" i="2"/>
  <c r="J199" i="2"/>
  <c r="N199" i="2"/>
  <c r="D200" i="2"/>
  <c r="I200" i="2"/>
  <c r="J200" i="2"/>
  <c r="N200" i="2"/>
  <c r="D201" i="2"/>
  <c r="I201" i="2"/>
  <c r="J201" i="2"/>
  <c r="N201" i="2"/>
  <c r="D202" i="2"/>
  <c r="I202" i="2"/>
  <c r="J202" i="2"/>
  <c r="N202" i="2"/>
  <c r="D203" i="2"/>
  <c r="I203" i="2"/>
  <c r="J203" i="2"/>
  <c r="N203" i="2"/>
  <c r="D204" i="2"/>
  <c r="I204" i="2"/>
  <c r="J204" i="2"/>
  <c r="N204" i="2"/>
  <c r="D205" i="2"/>
  <c r="I205" i="2"/>
  <c r="J205" i="2"/>
  <c r="N205" i="2"/>
  <c r="D206" i="2"/>
  <c r="I206" i="2"/>
  <c r="J206" i="2"/>
  <c r="N206" i="2"/>
  <c r="D207" i="2"/>
  <c r="I207" i="2"/>
  <c r="J207" i="2"/>
  <c r="N207" i="2"/>
  <c r="D208" i="2"/>
  <c r="I208" i="2"/>
  <c r="J208" i="2"/>
  <c r="N208" i="2"/>
  <c r="D209" i="2"/>
  <c r="I209" i="2"/>
  <c r="J209" i="2"/>
  <c r="N209" i="2"/>
  <c r="D210" i="2"/>
  <c r="I210" i="2"/>
  <c r="J210" i="2"/>
  <c r="N210" i="2"/>
  <c r="D211" i="2"/>
  <c r="I211" i="2"/>
  <c r="J211" i="2"/>
  <c r="N211" i="2"/>
  <c r="D212" i="2"/>
  <c r="I212" i="2"/>
  <c r="J212" i="2"/>
  <c r="N212" i="2"/>
  <c r="D213" i="2"/>
  <c r="I213" i="2"/>
  <c r="J213" i="2"/>
  <c r="N213" i="2"/>
  <c r="D214" i="2"/>
  <c r="I214" i="2"/>
  <c r="J214" i="2"/>
  <c r="N214" i="2"/>
  <c r="D215" i="2"/>
  <c r="I215" i="2"/>
  <c r="J215" i="2"/>
  <c r="N215" i="2"/>
  <c r="D216" i="2"/>
  <c r="I216" i="2"/>
  <c r="J216" i="2"/>
  <c r="N216" i="2"/>
  <c r="D217" i="2"/>
  <c r="I217" i="2"/>
  <c r="J217" i="2"/>
  <c r="N217" i="2"/>
  <c r="D218" i="2"/>
  <c r="I218" i="2"/>
  <c r="J218" i="2"/>
  <c r="N218" i="2"/>
  <c r="D219" i="2"/>
  <c r="I219" i="2"/>
  <c r="J219" i="2"/>
  <c r="N219" i="2"/>
  <c r="D220" i="2"/>
  <c r="I220" i="2"/>
  <c r="J220" i="2"/>
  <c r="N220" i="2"/>
  <c r="D221" i="2"/>
  <c r="I221" i="2"/>
  <c r="J221" i="2"/>
  <c r="N221" i="2"/>
  <c r="D222" i="2"/>
  <c r="I222" i="2"/>
  <c r="J222" i="2"/>
  <c r="N222" i="2"/>
  <c r="D223" i="2"/>
  <c r="I223" i="2"/>
  <c r="J223" i="2"/>
  <c r="N223" i="2"/>
  <c r="D224" i="2"/>
  <c r="I224" i="2"/>
  <c r="J224" i="2"/>
  <c r="N224" i="2"/>
  <c r="D225" i="2"/>
  <c r="I225" i="2"/>
  <c r="J225" i="2"/>
  <c r="N225" i="2"/>
  <c r="D226" i="2"/>
  <c r="I226" i="2"/>
  <c r="J226" i="2"/>
  <c r="N226" i="2"/>
  <c r="D227" i="2"/>
  <c r="I227" i="2"/>
  <c r="J227" i="2"/>
  <c r="N227" i="2"/>
  <c r="D228" i="2"/>
  <c r="I228" i="2"/>
  <c r="J228" i="2"/>
  <c r="N228" i="2"/>
  <c r="D229" i="2"/>
  <c r="I229" i="2"/>
  <c r="J229" i="2"/>
  <c r="N229" i="2"/>
  <c r="D230" i="2"/>
  <c r="I230" i="2"/>
  <c r="J230" i="2"/>
  <c r="N230" i="2"/>
  <c r="D231" i="2"/>
  <c r="I231" i="2"/>
  <c r="J231" i="2"/>
  <c r="N231" i="2"/>
  <c r="D232" i="2"/>
  <c r="I232" i="2"/>
  <c r="J232" i="2"/>
  <c r="N232" i="2"/>
  <c r="D233" i="2"/>
  <c r="I233" i="2"/>
  <c r="J233" i="2"/>
  <c r="N233" i="2"/>
  <c r="D234" i="2"/>
  <c r="I234" i="2"/>
  <c r="J234" i="2"/>
  <c r="N234" i="2"/>
  <c r="D235" i="2"/>
  <c r="I235" i="2"/>
  <c r="J235" i="2"/>
  <c r="N235" i="2"/>
  <c r="D236" i="2"/>
  <c r="I236" i="2"/>
  <c r="J236" i="2"/>
  <c r="N236" i="2"/>
  <c r="D237" i="2"/>
  <c r="I237" i="2"/>
  <c r="J237" i="2"/>
  <c r="N237" i="2"/>
  <c r="D238" i="2"/>
  <c r="I238" i="2"/>
  <c r="J238" i="2"/>
  <c r="N238" i="2"/>
  <c r="D239" i="2"/>
  <c r="I239" i="2"/>
  <c r="J239" i="2"/>
  <c r="N239" i="2"/>
  <c r="D240" i="2"/>
  <c r="I240" i="2"/>
  <c r="J240" i="2"/>
  <c r="N240" i="2"/>
  <c r="D241" i="2"/>
  <c r="I241" i="2"/>
  <c r="J241" i="2"/>
  <c r="N241" i="2"/>
  <c r="D242" i="2"/>
  <c r="I242" i="2"/>
  <c r="J242" i="2"/>
  <c r="N242" i="2"/>
  <c r="D243" i="2"/>
  <c r="I243" i="2"/>
  <c r="J243" i="2"/>
  <c r="N243" i="2"/>
  <c r="D244" i="2"/>
  <c r="I244" i="2"/>
  <c r="J244" i="2"/>
  <c r="N244" i="2"/>
  <c r="D245" i="2"/>
  <c r="I245" i="2"/>
  <c r="J245" i="2"/>
  <c r="N245" i="2"/>
  <c r="D246" i="2"/>
  <c r="I246" i="2"/>
  <c r="J246" i="2"/>
  <c r="N246" i="2"/>
  <c r="D247" i="2"/>
  <c r="I247" i="2"/>
  <c r="J247" i="2"/>
  <c r="N247" i="2"/>
  <c r="D248" i="2"/>
  <c r="I248" i="2"/>
  <c r="J248" i="2"/>
  <c r="N248" i="2"/>
  <c r="D249" i="2"/>
  <c r="I249" i="2"/>
  <c r="J249" i="2"/>
  <c r="N249" i="2"/>
  <c r="D250" i="2"/>
  <c r="I250" i="2"/>
  <c r="J250" i="2"/>
  <c r="N250" i="2"/>
  <c r="D251" i="2"/>
  <c r="I251" i="2"/>
  <c r="J251" i="2"/>
  <c r="N251" i="2"/>
  <c r="D252" i="2"/>
  <c r="I252" i="2"/>
  <c r="J252" i="2"/>
  <c r="N252" i="2"/>
  <c r="D253" i="2"/>
  <c r="I253" i="2"/>
  <c r="J253" i="2"/>
  <c r="N253" i="2"/>
  <c r="D254" i="2"/>
  <c r="I254" i="2"/>
  <c r="J254" i="2"/>
  <c r="N254" i="2"/>
  <c r="D255" i="2"/>
  <c r="I255" i="2"/>
  <c r="J255" i="2"/>
  <c r="N255" i="2"/>
  <c r="D256" i="2"/>
  <c r="I256" i="2"/>
  <c r="J256" i="2"/>
  <c r="N256" i="2"/>
  <c r="D257" i="2"/>
  <c r="I257" i="2"/>
  <c r="J257" i="2"/>
  <c r="N257" i="2"/>
  <c r="D258" i="2"/>
  <c r="I258" i="2"/>
  <c r="J258" i="2"/>
  <c r="N258" i="2"/>
  <c r="D259" i="2"/>
  <c r="I259" i="2"/>
  <c r="J259" i="2"/>
  <c r="N259" i="2"/>
  <c r="D260" i="2"/>
  <c r="I260" i="2"/>
  <c r="J260" i="2"/>
  <c r="N260" i="2"/>
  <c r="D261" i="2"/>
  <c r="I261" i="2"/>
  <c r="J261" i="2"/>
  <c r="N261" i="2"/>
  <c r="D262" i="2"/>
  <c r="I262" i="2"/>
  <c r="J262" i="2"/>
  <c r="N262" i="2"/>
  <c r="D263" i="2"/>
  <c r="I263" i="2"/>
  <c r="J263" i="2"/>
  <c r="N263" i="2"/>
  <c r="D264" i="2"/>
  <c r="I264" i="2"/>
  <c r="J264" i="2"/>
  <c r="N264" i="2"/>
  <c r="D265" i="2"/>
  <c r="I265" i="2"/>
  <c r="J265" i="2"/>
  <c r="N265" i="2"/>
  <c r="D266" i="2"/>
  <c r="I266" i="2"/>
  <c r="J266" i="2"/>
  <c r="N266" i="2"/>
  <c r="D267" i="2"/>
  <c r="I267" i="2"/>
  <c r="J267" i="2"/>
  <c r="N267" i="2"/>
  <c r="D268" i="2"/>
  <c r="I268" i="2"/>
  <c r="J268" i="2"/>
  <c r="N268" i="2"/>
  <c r="D269" i="2"/>
  <c r="I269" i="2"/>
  <c r="J269" i="2"/>
  <c r="N269" i="2"/>
  <c r="D270" i="2"/>
  <c r="I270" i="2"/>
  <c r="J270" i="2"/>
  <c r="N270" i="2"/>
  <c r="D271" i="2"/>
  <c r="I271" i="2"/>
  <c r="J271" i="2"/>
  <c r="N271" i="2"/>
  <c r="D272" i="2"/>
  <c r="I272" i="2"/>
  <c r="J272" i="2"/>
  <c r="N272" i="2"/>
  <c r="D273" i="2"/>
  <c r="I273" i="2"/>
  <c r="J273" i="2"/>
  <c r="N273" i="2"/>
  <c r="D274" i="2"/>
  <c r="I274" i="2"/>
  <c r="J274" i="2"/>
  <c r="N274" i="2"/>
  <c r="D275" i="2"/>
  <c r="I275" i="2"/>
  <c r="J275" i="2"/>
  <c r="N275" i="2"/>
  <c r="D276" i="2"/>
  <c r="I276" i="2"/>
  <c r="J276" i="2"/>
  <c r="N276" i="2"/>
  <c r="D277" i="2"/>
  <c r="I277" i="2"/>
  <c r="J277" i="2"/>
  <c r="N277" i="2"/>
  <c r="D278" i="2"/>
  <c r="I278" i="2"/>
  <c r="J278" i="2"/>
  <c r="N278" i="2"/>
  <c r="D279" i="2"/>
  <c r="I279" i="2"/>
  <c r="J279" i="2"/>
  <c r="N279" i="2"/>
  <c r="D280" i="2"/>
  <c r="I280" i="2"/>
  <c r="J280" i="2"/>
  <c r="N280" i="2"/>
  <c r="D281" i="2"/>
  <c r="I281" i="2"/>
  <c r="J281" i="2"/>
  <c r="N281" i="2"/>
  <c r="D282" i="2"/>
  <c r="I282" i="2"/>
  <c r="J282" i="2"/>
  <c r="N282" i="2"/>
  <c r="D283" i="2"/>
  <c r="I283" i="2"/>
  <c r="J283" i="2"/>
  <c r="N283" i="2"/>
  <c r="D284" i="2"/>
  <c r="I284" i="2"/>
  <c r="J284" i="2"/>
  <c r="N284" i="2"/>
  <c r="D285" i="2"/>
  <c r="I285" i="2"/>
  <c r="J285" i="2"/>
  <c r="N285" i="2"/>
  <c r="D286" i="2"/>
  <c r="I286" i="2"/>
  <c r="J286" i="2"/>
  <c r="N286" i="2"/>
  <c r="D287" i="2"/>
  <c r="I287" i="2"/>
  <c r="J287" i="2"/>
  <c r="N287" i="2"/>
  <c r="D288" i="2"/>
  <c r="I288" i="2"/>
  <c r="J288" i="2"/>
  <c r="N288" i="2"/>
  <c r="D289" i="2"/>
  <c r="I289" i="2"/>
  <c r="J289" i="2"/>
  <c r="N289" i="2"/>
  <c r="D290" i="2"/>
  <c r="I290" i="2"/>
  <c r="J290" i="2"/>
  <c r="N290" i="2"/>
  <c r="D291" i="2"/>
  <c r="I291" i="2"/>
  <c r="J291" i="2"/>
  <c r="N291" i="2"/>
  <c r="D292" i="2"/>
  <c r="I292" i="2"/>
  <c r="J292" i="2"/>
  <c r="N292" i="2"/>
  <c r="D293" i="2"/>
  <c r="I293" i="2"/>
  <c r="J293" i="2"/>
  <c r="N293" i="2"/>
  <c r="D294" i="2"/>
  <c r="I294" i="2"/>
  <c r="J294" i="2"/>
  <c r="N294" i="2"/>
  <c r="D295" i="2"/>
  <c r="I295" i="2"/>
  <c r="J295" i="2"/>
  <c r="N295" i="2"/>
  <c r="D296" i="2"/>
  <c r="I296" i="2"/>
  <c r="J296" i="2"/>
  <c r="N296" i="2"/>
  <c r="D297" i="2"/>
  <c r="I297" i="2"/>
  <c r="J297" i="2"/>
  <c r="N297" i="2"/>
  <c r="D298" i="2"/>
  <c r="I298" i="2"/>
  <c r="J298" i="2"/>
  <c r="N298" i="2"/>
  <c r="D299" i="2"/>
  <c r="I299" i="2"/>
  <c r="J299" i="2"/>
  <c r="N299" i="2"/>
  <c r="D300" i="2"/>
  <c r="I300" i="2"/>
  <c r="J300" i="2"/>
  <c r="N300" i="2"/>
  <c r="D301" i="2"/>
  <c r="I301" i="2"/>
  <c r="J301" i="2"/>
  <c r="N301" i="2"/>
  <c r="D302" i="2"/>
  <c r="I302" i="2"/>
  <c r="J302" i="2"/>
  <c r="N302" i="2"/>
  <c r="D303" i="2"/>
  <c r="I303" i="2"/>
  <c r="J303" i="2"/>
  <c r="N303" i="2"/>
  <c r="D304" i="2"/>
  <c r="I304" i="2"/>
  <c r="J304" i="2"/>
  <c r="N304" i="2"/>
  <c r="D305" i="2"/>
  <c r="I305" i="2"/>
  <c r="J305" i="2"/>
  <c r="N305" i="2"/>
  <c r="D306" i="2"/>
  <c r="I306" i="2"/>
  <c r="J306" i="2"/>
  <c r="N306" i="2"/>
  <c r="D307" i="2"/>
  <c r="I307" i="2"/>
  <c r="J307" i="2"/>
  <c r="N307" i="2"/>
  <c r="D308" i="2"/>
  <c r="I308" i="2"/>
  <c r="J308" i="2"/>
  <c r="N308" i="2"/>
  <c r="D309" i="2"/>
  <c r="I309" i="2"/>
  <c r="J309" i="2"/>
  <c r="N309" i="2"/>
  <c r="D310" i="2"/>
  <c r="I310" i="2"/>
  <c r="J310" i="2"/>
  <c r="N310" i="2"/>
  <c r="D311" i="2"/>
  <c r="I311" i="2"/>
  <c r="J311" i="2"/>
  <c r="N311" i="2"/>
  <c r="D312" i="2"/>
  <c r="I312" i="2"/>
  <c r="J312" i="2"/>
  <c r="N312" i="2"/>
  <c r="D313" i="2"/>
  <c r="I313" i="2"/>
  <c r="J313" i="2"/>
  <c r="N313" i="2"/>
  <c r="D314" i="2"/>
  <c r="I314" i="2"/>
  <c r="J314" i="2"/>
  <c r="N314" i="2"/>
  <c r="D315" i="2"/>
  <c r="I315" i="2"/>
  <c r="J315" i="2"/>
  <c r="N315" i="2"/>
  <c r="D316" i="2"/>
  <c r="I316" i="2"/>
  <c r="J316" i="2"/>
  <c r="N316" i="2"/>
  <c r="D317" i="2"/>
  <c r="I317" i="2"/>
  <c r="J317" i="2"/>
  <c r="N317" i="2"/>
  <c r="D318" i="2"/>
  <c r="I318" i="2"/>
  <c r="J318" i="2"/>
  <c r="N318" i="2"/>
  <c r="D319" i="2"/>
  <c r="I319" i="2"/>
  <c r="J319" i="2"/>
  <c r="N319" i="2"/>
  <c r="D320" i="2"/>
  <c r="I320" i="2"/>
  <c r="J320" i="2"/>
  <c r="N320" i="2"/>
  <c r="D321" i="2"/>
  <c r="I321" i="2"/>
  <c r="J321" i="2"/>
  <c r="N321" i="2"/>
  <c r="D322" i="2"/>
  <c r="I322" i="2"/>
  <c r="J322" i="2"/>
  <c r="N322" i="2"/>
  <c r="D323" i="2"/>
  <c r="I323" i="2"/>
  <c r="J323" i="2"/>
  <c r="N323" i="2"/>
  <c r="D324" i="2"/>
  <c r="I324" i="2"/>
  <c r="J324" i="2"/>
  <c r="N324" i="2"/>
  <c r="D325" i="2"/>
  <c r="I325" i="2"/>
  <c r="J325" i="2"/>
  <c r="N325" i="2"/>
  <c r="D326" i="2"/>
  <c r="I326" i="2"/>
  <c r="J326" i="2"/>
  <c r="N326" i="2"/>
  <c r="D327" i="2"/>
  <c r="I327" i="2"/>
  <c r="J327" i="2"/>
  <c r="N327" i="2"/>
  <c r="D328" i="2"/>
  <c r="I328" i="2"/>
  <c r="J328" i="2"/>
  <c r="N328" i="2"/>
  <c r="D329" i="2"/>
  <c r="I329" i="2"/>
  <c r="J329" i="2"/>
  <c r="N329" i="2"/>
  <c r="D330" i="2"/>
  <c r="I330" i="2"/>
  <c r="J330" i="2"/>
  <c r="N330" i="2"/>
  <c r="D331" i="2"/>
  <c r="I331" i="2"/>
  <c r="J331" i="2"/>
  <c r="N331" i="2"/>
  <c r="D332" i="2"/>
  <c r="I332" i="2"/>
  <c r="J332" i="2"/>
  <c r="N332" i="2"/>
  <c r="D333" i="2"/>
  <c r="I333" i="2"/>
  <c r="J333" i="2"/>
  <c r="N333" i="2"/>
  <c r="D334" i="2"/>
  <c r="I334" i="2"/>
  <c r="J334" i="2"/>
  <c r="N334" i="2"/>
  <c r="D335" i="2"/>
  <c r="I335" i="2"/>
  <c r="J335" i="2"/>
  <c r="N335" i="2"/>
  <c r="D336" i="2"/>
  <c r="I336" i="2"/>
  <c r="J336" i="2"/>
  <c r="N336" i="2"/>
  <c r="D337" i="2"/>
  <c r="I337" i="2"/>
  <c r="J337" i="2"/>
  <c r="N337" i="2"/>
  <c r="D338" i="2"/>
  <c r="I338" i="2"/>
  <c r="J338" i="2"/>
  <c r="N338" i="2"/>
  <c r="D339" i="2"/>
  <c r="I339" i="2"/>
  <c r="J339" i="2"/>
  <c r="N339" i="2"/>
  <c r="D340" i="2"/>
  <c r="I340" i="2"/>
  <c r="J340" i="2"/>
  <c r="N340" i="2"/>
  <c r="D341" i="2"/>
  <c r="I341" i="2"/>
  <c r="J341" i="2"/>
  <c r="N341" i="2"/>
  <c r="D342" i="2"/>
  <c r="I342" i="2"/>
  <c r="J342" i="2"/>
  <c r="N342" i="2"/>
  <c r="D343" i="2"/>
  <c r="I343" i="2"/>
  <c r="J343" i="2"/>
  <c r="N343" i="2"/>
  <c r="D344" i="2"/>
  <c r="I344" i="2"/>
  <c r="J344" i="2"/>
  <c r="N344" i="2"/>
  <c r="D345" i="2"/>
  <c r="I345" i="2"/>
  <c r="J345" i="2"/>
  <c r="N345" i="2"/>
  <c r="D346" i="2"/>
  <c r="I346" i="2"/>
  <c r="J346" i="2"/>
  <c r="N346" i="2"/>
  <c r="D347" i="2"/>
  <c r="I347" i="2"/>
  <c r="J347" i="2"/>
  <c r="N347" i="2"/>
  <c r="D348" i="2"/>
  <c r="I348" i="2"/>
  <c r="J348" i="2"/>
  <c r="N348" i="2"/>
  <c r="D349" i="2"/>
  <c r="I349" i="2"/>
  <c r="J349" i="2"/>
  <c r="N349" i="2"/>
  <c r="D350" i="2"/>
  <c r="I350" i="2"/>
  <c r="J350" i="2"/>
  <c r="N350" i="2"/>
  <c r="D351" i="2"/>
  <c r="I351" i="2"/>
  <c r="J351" i="2"/>
  <c r="N351" i="2"/>
  <c r="D352" i="2"/>
  <c r="I352" i="2"/>
  <c r="J352" i="2"/>
  <c r="N352" i="2"/>
  <c r="D353" i="2"/>
  <c r="I353" i="2"/>
  <c r="J353" i="2"/>
  <c r="N353" i="2"/>
  <c r="D354" i="2"/>
  <c r="I354" i="2"/>
  <c r="J354" i="2"/>
  <c r="N354" i="2"/>
  <c r="D355" i="2"/>
  <c r="I355" i="2"/>
  <c r="J355" i="2"/>
  <c r="N355" i="2"/>
  <c r="D356" i="2"/>
  <c r="I356" i="2"/>
  <c r="J356" i="2"/>
  <c r="N356" i="2"/>
  <c r="D357" i="2"/>
  <c r="I357" i="2"/>
  <c r="J357" i="2"/>
  <c r="N357" i="2"/>
  <c r="D358" i="2"/>
  <c r="I358" i="2"/>
  <c r="J358" i="2"/>
  <c r="N358" i="2"/>
  <c r="D359" i="2"/>
  <c r="I359" i="2"/>
  <c r="J359" i="2"/>
  <c r="N359" i="2"/>
  <c r="D360" i="2"/>
  <c r="I360" i="2"/>
  <c r="J360" i="2"/>
  <c r="N360" i="2"/>
  <c r="D361" i="2"/>
  <c r="I361" i="2"/>
  <c r="J361" i="2"/>
  <c r="N361" i="2"/>
  <c r="D362" i="2"/>
  <c r="I362" i="2"/>
  <c r="J362" i="2"/>
  <c r="N362" i="2"/>
  <c r="D363" i="2"/>
  <c r="I363" i="2"/>
  <c r="J363" i="2"/>
  <c r="N363" i="2"/>
  <c r="D364" i="2"/>
  <c r="I364" i="2"/>
  <c r="J364" i="2"/>
  <c r="N364" i="2"/>
  <c r="D365" i="2"/>
  <c r="I365" i="2"/>
  <c r="J365" i="2"/>
  <c r="N365" i="2"/>
  <c r="D366" i="2"/>
  <c r="I366" i="2"/>
  <c r="J366" i="2"/>
  <c r="N366" i="2"/>
  <c r="D367" i="2"/>
  <c r="I367" i="2"/>
  <c r="J367" i="2"/>
  <c r="N367" i="2"/>
  <c r="D368" i="2"/>
  <c r="I368" i="2"/>
  <c r="J368" i="2"/>
  <c r="N368" i="2"/>
  <c r="D369" i="2"/>
  <c r="I369" i="2"/>
  <c r="J369" i="2"/>
  <c r="N369" i="2"/>
  <c r="D370" i="2"/>
  <c r="I370" i="2"/>
  <c r="J370" i="2"/>
  <c r="N370" i="2"/>
  <c r="D371" i="2"/>
  <c r="I371" i="2"/>
  <c r="J371" i="2"/>
  <c r="N371" i="2"/>
  <c r="D372" i="2"/>
  <c r="I372" i="2"/>
  <c r="J372" i="2"/>
  <c r="N372" i="2"/>
  <c r="D373" i="2"/>
  <c r="I373" i="2"/>
  <c r="J373" i="2"/>
  <c r="N373" i="2"/>
  <c r="D374" i="2"/>
  <c r="I374" i="2"/>
  <c r="J374" i="2"/>
  <c r="N374" i="2"/>
  <c r="D375" i="2"/>
  <c r="I375" i="2"/>
  <c r="J375" i="2"/>
  <c r="N375" i="2"/>
  <c r="D376" i="2"/>
  <c r="I376" i="2"/>
  <c r="J376" i="2"/>
  <c r="N376" i="2"/>
  <c r="D377" i="2"/>
  <c r="I377" i="2"/>
  <c r="J377" i="2"/>
  <c r="N377" i="2"/>
  <c r="D378" i="2"/>
  <c r="I378" i="2"/>
  <c r="J378" i="2"/>
  <c r="N378" i="2"/>
  <c r="D379" i="2"/>
  <c r="I379" i="2"/>
  <c r="J379" i="2"/>
  <c r="N379" i="2"/>
  <c r="D380" i="2"/>
  <c r="I380" i="2"/>
  <c r="J380" i="2"/>
  <c r="N380" i="2"/>
  <c r="D381" i="2"/>
  <c r="I381" i="2"/>
  <c r="J381" i="2"/>
  <c r="N381" i="2"/>
  <c r="D382" i="2"/>
  <c r="I382" i="2"/>
  <c r="J382" i="2"/>
  <c r="N382" i="2"/>
  <c r="D383" i="2"/>
  <c r="I383" i="2"/>
  <c r="J383" i="2"/>
  <c r="N383" i="2"/>
  <c r="D384" i="2"/>
  <c r="I384" i="2"/>
  <c r="J384" i="2"/>
  <c r="N384" i="2"/>
  <c r="D385" i="2"/>
  <c r="I385" i="2"/>
  <c r="J385" i="2"/>
  <c r="N385" i="2"/>
  <c r="D386" i="2"/>
  <c r="I386" i="2"/>
  <c r="J386" i="2"/>
  <c r="N386" i="2"/>
  <c r="D387" i="2"/>
  <c r="I387" i="2"/>
  <c r="J387" i="2"/>
  <c r="N387" i="2"/>
  <c r="D388" i="2"/>
  <c r="I388" i="2"/>
  <c r="J388" i="2"/>
  <c r="N388" i="2"/>
  <c r="D389" i="2"/>
  <c r="I389" i="2"/>
  <c r="J389" i="2"/>
  <c r="N389" i="2"/>
  <c r="D390" i="2"/>
  <c r="I390" i="2"/>
  <c r="J390" i="2"/>
  <c r="N390" i="2"/>
  <c r="D391" i="2"/>
  <c r="I391" i="2"/>
  <c r="J391" i="2"/>
  <c r="N391" i="2"/>
  <c r="D392" i="2"/>
  <c r="I392" i="2"/>
  <c r="J392" i="2"/>
  <c r="N392" i="2"/>
  <c r="D393" i="2"/>
  <c r="I393" i="2"/>
  <c r="J393" i="2"/>
  <c r="N393" i="2"/>
  <c r="D394" i="2"/>
  <c r="I394" i="2"/>
  <c r="J394" i="2"/>
  <c r="N394" i="2"/>
  <c r="D395" i="2"/>
  <c r="I395" i="2"/>
  <c r="J395" i="2"/>
  <c r="N395" i="2"/>
  <c r="D396" i="2"/>
  <c r="I396" i="2"/>
  <c r="J396" i="2"/>
  <c r="N396" i="2"/>
  <c r="D397" i="2"/>
  <c r="I397" i="2"/>
  <c r="J397" i="2"/>
  <c r="N397" i="2"/>
  <c r="D398" i="2"/>
  <c r="I398" i="2"/>
  <c r="J398" i="2"/>
  <c r="N398" i="2"/>
  <c r="D399" i="2"/>
  <c r="I399" i="2"/>
  <c r="J399" i="2"/>
  <c r="N399" i="2"/>
  <c r="D400" i="2"/>
  <c r="I400" i="2"/>
  <c r="J400" i="2"/>
  <c r="N400" i="2"/>
  <c r="D401" i="2"/>
  <c r="I401" i="2"/>
  <c r="J401" i="2"/>
  <c r="N401" i="2"/>
  <c r="D402" i="2"/>
  <c r="I402" i="2"/>
  <c r="J402" i="2"/>
  <c r="N402" i="2"/>
  <c r="D403" i="2"/>
  <c r="I403" i="2"/>
  <c r="J403" i="2"/>
  <c r="N403" i="2"/>
  <c r="D404" i="2"/>
  <c r="I404" i="2"/>
  <c r="J404" i="2"/>
  <c r="N404" i="2"/>
  <c r="D405" i="2"/>
  <c r="I405" i="2"/>
  <c r="J405" i="2"/>
  <c r="N405" i="2"/>
  <c r="D406" i="2"/>
  <c r="I406" i="2"/>
  <c r="J406" i="2"/>
  <c r="N406" i="2"/>
  <c r="D407" i="2"/>
  <c r="I407" i="2"/>
  <c r="J407" i="2"/>
  <c r="N407" i="2"/>
  <c r="D408" i="2"/>
  <c r="I408" i="2"/>
  <c r="J408" i="2"/>
  <c r="N408" i="2"/>
  <c r="D409" i="2"/>
  <c r="I409" i="2"/>
  <c r="J409" i="2"/>
  <c r="N409" i="2"/>
  <c r="D410" i="2"/>
  <c r="I410" i="2"/>
  <c r="J410" i="2"/>
  <c r="N410" i="2"/>
  <c r="D411" i="2"/>
  <c r="I411" i="2"/>
  <c r="J411" i="2"/>
  <c r="N411" i="2"/>
  <c r="D412" i="2"/>
  <c r="I412" i="2"/>
  <c r="J412" i="2"/>
  <c r="N412" i="2"/>
  <c r="D413" i="2"/>
  <c r="I413" i="2"/>
  <c r="J413" i="2"/>
  <c r="N413" i="2"/>
  <c r="D414" i="2"/>
  <c r="I414" i="2"/>
  <c r="J414" i="2"/>
  <c r="N414" i="2"/>
  <c r="D415" i="2"/>
  <c r="I415" i="2"/>
  <c r="J415" i="2"/>
  <c r="N415" i="2"/>
  <c r="D416" i="2"/>
  <c r="I416" i="2"/>
  <c r="J416" i="2"/>
  <c r="N416" i="2"/>
  <c r="D417" i="2"/>
  <c r="I417" i="2"/>
  <c r="J417" i="2"/>
  <c r="N417" i="2"/>
  <c r="D418" i="2"/>
  <c r="I418" i="2"/>
  <c r="J418" i="2"/>
  <c r="N418" i="2"/>
  <c r="D419" i="2"/>
  <c r="I419" i="2"/>
  <c r="J419" i="2"/>
  <c r="N419" i="2"/>
  <c r="D420" i="2"/>
  <c r="I420" i="2"/>
  <c r="J420" i="2"/>
  <c r="N420" i="2"/>
  <c r="D421" i="2"/>
  <c r="I421" i="2"/>
  <c r="J421" i="2"/>
  <c r="N421" i="2"/>
  <c r="D422" i="2"/>
  <c r="I422" i="2"/>
  <c r="J422" i="2"/>
  <c r="N422" i="2"/>
  <c r="D423" i="2"/>
  <c r="I423" i="2"/>
  <c r="J423" i="2"/>
  <c r="N423" i="2"/>
  <c r="D424" i="2"/>
  <c r="I424" i="2"/>
  <c r="J424" i="2"/>
  <c r="N424" i="2"/>
  <c r="D425" i="2"/>
  <c r="I425" i="2"/>
  <c r="J425" i="2"/>
  <c r="N425" i="2"/>
  <c r="D426" i="2"/>
  <c r="I426" i="2"/>
  <c r="J426" i="2"/>
  <c r="N426" i="2"/>
  <c r="D427" i="2"/>
  <c r="I427" i="2"/>
  <c r="J427" i="2"/>
  <c r="N427" i="2"/>
  <c r="D428" i="2"/>
  <c r="I428" i="2"/>
  <c r="J428" i="2"/>
  <c r="N428" i="2"/>
  <c r="D429" i="2"/>
  <c r="I429" i="2"/>
  <c r="J429" i="2"/>
  <c r="N429" i="2"/>
  <c r="D430" i="2"/>
  <c r="I430" i="2"/>
  <c r="J430" i="2"/>
  <c r="N430" i="2"/>
  <c r="D431" i="2"/>
  <c r="I431" i="2"/>
  <c r="J431" i="2"/>
  <c r="N431" i="2"/>
  <c r="D432" i="2"/>
  <c r="I432" i="2"/>
  <c r="J432" i="2"/>
  <c r="N432" i="2"/>
  <c r="D433" i="2"/>
  <c r="I433" i="2"/>
  <c r="J433" i="2"/>
  <c r="N433" i="2"/>
  <c r="D434" i="2"/>
  <c r="I434" i="2"/>
  <c r="J434" i="2"/>
  <c r="N434" i="2"/>
  <c r="D435" i="2"/>
  <c r="I435" i="2"/>
  <c r="J435" i="2"/>
  <c r="N435" i="2"/>
  <c r="D436" i="2"/>
  <c r="I436" i="2"/>
  <c r="J436" i="2"/>
  <c r="N436" i="2"/>
  <c r="D437" i="2"/>
  <c r="I437" i="2"/>
  <c r="J437" i="2"/>
  <c r="N437" i="2"/>
  <c r="D438" i="2"/>
  <c r="I438" i="2"/>
  <c r="J438" i="2"/>
  <c r="N438" i="2"/>
  <c r="D439" i="2"/>
  <c r="I439" i="2"/>
  <c r="J439" i="2"/>
  <c r="N439" i="2"/>
  <c r="D440" i="2"/>
  <c r="I440" i="2"/>
  <c r="J440" i="2"/>
  <c r="N440" i="2"/>
  <c r="D441" i="2"/>
  <c r="I441" i="2"/>
  <c r="J441" i="2"/>
  <c r="N441" i="2"/>
  <c r="D442" i="2"/>
  <c r="I442" i="2"/>
  <c r="J442" i="2"/>
  <c r="N442" i="2"/>
  <c r="D443" i="2"/>
  <c r="I443" i="2"/>
  <c r="J443" i="2"/>
  <c r="N443" i="2"/>
  <c r="D444" i="2"/>
  <c r="I444" i="2"/>
  <c r="J444" i="2"/>
  <c r="N444" i="2"/>
  <c r="D445" i="2"/>
  <c r="I445" i="2"/>
  <c r="J445" i="2"/>
  <c r="N445" i="2"/>
  <c r="D446" i="2"/>
  <c r="I446" i="2"/>
  <c r="J446" i="2"/>
  <c r="N446" i="2"/>
  <c r="D447" i="2"/>
  <c r="I447" i="2"/>
  <c r="J447" i="2"/>
  <c r="N447" i="2"/>
  <c r="D448" i="2"/>
  <c r="I448" i="2"/>
  <c r="J448" i="2"/>
  <c r="N448" i="2"/>
  <c r="D449" i="2"/>
  <c r="I449" i="2"/>
  <c r="J449" i="2"/>
  <c r="N449" i="2"/>
  <c r="D450" i="2"/>
  <c r="I450" i="2"/>
  <c r="J450" i="2"/>
  <c r="N450" i="2"/>
  <c r="D451" i="2"/>
  <c r="I451" i="2"/>
  <c r="J451" i="2"/>
  <c r="N451" i="2"/>
  <c r="D452" i="2"/>
  <c r="I452" i="2"/>
  <c r="J452" i="2"/>
  <c r="N452" i="2"/>
  <c r="D453" i="2"/>
  <c r="I453" i="2"/>
  <c r="J453" i="2"/>
  <c r="N453" i="2"/>
  <c r="D454" i="2"/>
  <c r="I454" i="2"/>
  <c r="J454" i="2"/>
  <c r="N454" i="2"/>
  <c r="D455" i="2"/>
  <c r="I455" i="2"/>
  <c r="J455" i="2"/>
  <c r="N455" i="2"/>
  <c r="D456" i="2"/>
  <c r="I456" i="2"/>
  <c r="J456" i="2"/>
  <c r="N456" i="2"/>
  <c r="D457" i="2"/>
  <c r="I457" i="2"/>
  <c r="J457" i="2"/>
  <c r="N457" i="2"/>
  <c r="D458" i="2"/>
  <c r="I458" i="2"/>
  <c r="J458" i="2"/>
  <c r="N458" i="2"/>
  <c r="D459" i="2"/>
  <c r="I459" i="2"/>
  <c r="J459" i="2"/>
  <c r="N459" i="2"/>
  <c r="D460" i="2"/>
  <c r="I460" i="2"/>
  <c r="J460" i="2"/>
  <c r="N460" i="2"/>
  <c r="D461" i="2"/>
  <c r="I461" i="2"/>
  <c r="J461" i="2"/>
  <c r="N461" i="2"/>
  <c r="D462" i="2"/>
  <c r="I462" i="2"/>
  <c r="J462" i="2"/>
  <c r="N462" i="2"/>
  <c r="D463" i="2"/>
  <c r="I463" i="2"/>
  <c r="J463" i="2"/>
  <c r="N463" i="2"/>
  <c r="D464" i="2"/>
  <c r="I464" i="2"/>
  <c r="J464" i="2"/>
  <c r="N464" i="2"/>
  <c r="D465" i="2"/>
  <c r="I465" i="2"/>
  <c r="J465" i="2"/>
  <c r="N465" i="2"/>
  <c r="D466" i="2"/>
  <c r="I466" i="2"/>
  <c r="J466" i="2"/>
  <c r="N466" i="2"/>
  <c r="D467" i="2"/>
  <c r="I467" i="2"/>
  <c r="J467" i="2"/>
  <c r="N467" i="2"/>
  <c r="D468" i="2"/>
  <c r="I468" i="2"/>
  <c r="J468" i="2"/>
  <c r="N468" i="2"/>
  <c r="D469" i="2"/>
  <c r="I469" i="2"/>
  <c r="J469" i="2"/>
  <c r="N469" i="2"/>
  <c r="D470" i="2"/>
  <c r="I470" i="2"/>
  <c r="J470" i="2"/>
  <c r="N470" i="2"/>
  <c r="D471" i="2"/>
  <c r="I471" i="2"/>
  <c r="J471" i="2"/>
  <c r="N471" i="2"/>
  <c r="D472" i="2"/>
  <c r="I472" i="2"/>
  <c r="J472" i="2"/>
  <c r="N472" i="2"/>
  <c r="D473" i="2"/>
  <c r="I473" i="2"/>
  <c r="J473" i="2"/>
  <c r="N473" i="2"/>
  <c r="D474" i="2"/>
  <c r="I474" i="2"/>
  <c r="J474" i="2"/>
  <c r="N474" i="2"/>
  <c r="D475" i="2"/>
  <c r="I475" i="2"/>
  <c r="J475" i="2"/>
  <c r="N475" i="2"/>
  <c r="D476" i="2"/>
  <c r="I476" i="2"/>
  <c r="J476" i="2"/>
  <c r="N476" i="2"/>
  <c r="D477" i="2"/>
  <c r="I477" i="2"/>
  <c r="J477" i="2"/>
  <c r="N477" i="2"/>
  <c r="D478" i="2"/>
  <c r="I478" i="2"/>
  <c r="J478" i="2"/>
  <c r="N478" i="2"/>
  <c r="D479" i="2"/>
  <c r="I479" i="2"/>
  <c r="J479" i="2"/>
  <c r="N479" i="2"/>
  <c r="D480" i="2"/>
  <c r="I480" i="2"/>
  <c r="J480" i="2"/>
  <c r="N480" i="2"/>
  <c r="D481" i="2"/>
  <c r="I481" i="2"/>
  <c r="J481" i="2"/>
  <c r="N481" i="2"/>
  <c r="D482" i="2"/>
  <c r="I482" i="2"/>
  <c r="J482" i="2"/>
  <c r="N482" i="2"/>
  <c r="D483" i="2"/>
  <c r="I483" i="2"/>
  <c r="J483" i="2"/>
  <c r="N483" i="2"/>
  <c r="D484" i="2"/>
  <c r="I484" i="2"/>
  <c r="J484" i="2"/>
  <c r="N484" i="2"/>
  <c r="D485" i="2"/>
  <c r="I485" i="2"/>
  <c r="J485" i="2"/>
  <c r="N485" i="2"/>
  <c r="D486" i="2"/>
  <c r="I486" i="2"/>
  <c r="J486" i="2"/>
  <c r="N486" i="2"/>
  <c r="D487" i="2"/>
  <c r="I487" i="2"/>
  <c r="J487" i="2"/>
  <c r="N487" i="2"/>
  <c r="D488" i="2"/>
  <c r="I488" i="2"/>
  <c r="J488" i="2"/>
  <c r="N488" i="2"/>
  <c r="D489" i="2"/>
  <c r="I489" i="2"/>
  <c r="J489" i="2"/>
  <c r="N489" i="2"/>
  <c r="D490" i="2"/>
  <c r="I490" i="2"/>
  <c r="J490" i="2"/>
  <c r="N490" i="2"/>
  <c r="D491" i="2"/>
  <c r="I491" i="2"/>
  <c r="J491" i="2"/>
  <c r="N491" i="2"/>
  <c r="D492" i="2"/>
  <c r="I492" i="2"/>
  <c r="J492" i="2"/>
  <c r="N492" i="2"/>
  <c r="D493" i="2"/>
  <c r="I493" i="2"/>
  <c r="J493" i="2"/>
  <c r="N493" i="2"/>
  <c r="D494" i="2"/>
  <c r="I494" i="2"/>
  <c r="J494" i="2"/>
  <c r="N494" i="2"/>
  <c r="D495" i="2"/>
  <c r="I495" i="2"/>
  <c r="J495" i="2"/>
  <c r="N495" i="2"/>
  <c r="D496" i="2"/>
  <c r="I496" i="2"/>
  <c r="J496" i="2"/>
  <c r="N496" i="2"/>
  <c r="D497" i="2"/>
  <c r="I497" i="2"/>
  <c r="J497" i="2"/>
  <c r="N497" i="2"/>
  <c r="D498" i="2"/>
  <c r="I498" i="2"/>
  <c r="J498" i="2"/>
  <c r="N498" i="2"/>
  <c r="D499" i="2"/>
  <c r="I499" i="2"/>
  <c r="J499" i="2"/>
  <c r="N499" i="2"/>
  <c r="D500" i="2"/>
  <c r="I500" i="2"/>
  <c r="J500" i="2"/>
  <c r="N500" i="2"/>
  <c r="D501" i="2"/>
  <c r="I501" i="2"/>
  <c r="J501" i="2"/>
  <c r="N501" i="2"/>
  <c r="D502" i="2"/>
  <c r="I502" i="2"/>
  <c r="J502" i="2"/>
  <c r="N502" i="2"/>
  <c r="D503" i="2"/>
  <c r="I503" i="2"/>
  <c r="J503" i="2"/>
  <c r="N503" i="2"/>
  <c r="D504" i="2"/>
  <c r="I504" i="2"/>
  <c r="J504" i="2"/>
  <c r="N504" i="2"/>
  <c r="D505" i="2"/>
  <c r="I505" i="2"/>
  <c r="J505" i="2"/>
  <c r="N505" i="2"/>
  <c r="D506" i="2"/>
  <c r="I506" i="2"/>
  <c r="J506" i="2"/>
  <c r="N506" i="2"/>
  <c r="D507" i="2"/>
  <c r="I507" i="2"/>
  <c r="J507" i="2"/>
  <c r="N507" i="2"/>
  <c r="D508" i="2"/>
  <c r="I508" i="2"/>
  <c r="J508" i="2"/>
  <c r="N508" i="2"/>
  <c r="D509" i="2"/>
  <c r="I509" i="2"/>
  <c r="J509" i="2"/>
  <c r="N509" i="2"/>
  <c r="D510" i="2"/>
  <c r="I510" i="2"/>
  <c r="J510" i="2"/>
  <c r="N510" i="2"/>
  <c r="D511" i="2"/>
  <c r="I511" i="2"/>
  <c r="J511" i="2"/>
  <c r="N511" i="2"/>
  <c r="D512" i="2"/>
  <c r="I512" i="2"/>
  <c r="J512" i="2"/>
  <c r="N512" i="2"/>
  <c r="D513" i="2"/>
  <c r="I513" i="2"/>
  <c r="J513" i="2"/>
  <c r="N513" i="2"/>
  <c r="D514" i="2"/>
  <c r="I514" i="2"/>
  <c r="J514" i="2"/>
  <c r="N514" i="2"/>
  <c r="D515" i="2"/>
  <c r="I515" i="2"/>
  <c r="J515" i="2"/>
  <c r="N515" i="2"/>
  <c r="D516" i="2"/>
  <c r="I516" i="2"/>
  <c r="J516" i="2"/>
  <c r="N516" i="2"/>
  <c r="D517" i="2"/>
  <c r="I517" i="2"/>
  <c r="J517" i="2"/>
  <c r="N517" i="2"/>
  <c r="D518" i="2"/>
  <c r="I518" i="2"/>
  <c r="J518" i="2"/>
  <c r="N518" i="2"/>
  <c r="D519" i="2"/>
  <c r="I519" i="2"/>
  <c r="J519" i="2"/>
  <c r="N519" i="2"/>
  <c r="D520" i="2"/>
  <c r="I520" i="2"/>
  <c r="J520" i="2"/>
  <c r="N520" i="2"/>
  <c r="D521" i="2"/>
  <c r="I521" i="2"/>
  <c r="J521" i="2"/>
  <c r="N521" i="2"/>
  <c r="D522" i="2"/>
  <c r="I522" i="2"/>
  <c r="J522" i="2"/>
  <c r="N522" i="2"/>
  <c r="D523" i="2"/>
  <c r="I523" i="2"/>
  <c r="J523" i="2"/>
  <c r="N523" i="2"/>
  <c r="D524" i="2"/>
  <c r="I524" i="2"/>
  <c r="J524" i="2"/>
  <c r="N524" i="2"/>
  <c r="D525" i="2"/>
  <c r="I525" i="2"/>
  <c r="J525" i="2"/>
  <c r="N525" i="2"/>
  <c r="D526" i="2"/>
  <c r="I526" i="2"/>
  <c r="J526" i="2"/>
  <c r="N526" i="2"/>
  <c r="D527" i="2"/>
  <c r="I527" i="2"/>
  <c r="J527" i="2"/>
  <c r="N527" i="2"/>
  <c r="D528" i="2"/>
  <c r="I528" i="2"/>
  <c r="J528" i="2"/>
  <c r="N528" i="2"/>
  <c r="D529" i="2"/>
  <c r="I529" i="2"/>
  <c r="J529" i="2"/>
  <c r="N529" i="2"/>
  <c r="D530" i="2"/>
  <c r="I530" i="2"/>
  <c r="J530" i="2"/>
  <c r="N530" i="2"/>
  <c r="D531" i="2"/>
  <c r="I531" i="2"/>
  <c r="J531" i="2"/>
  <c r="N531" i="2"/>
  <c r="D532" i="2"/>
  <c r="I532" i="2"/>
  <c r="J532" i="2"/>
  <c r="N532" i="2"/>
  <c r="D533" i="2"/>
  <c r="I533" i="2"/>
  <c r="J533" i="2"/>
  <c r="N533" i="2"/>
  <c r="D534" i="2"/>
  <c r="I534" i="2"/>
  <c r="J534" i="2"/>
  <c r="N534" i="2"/>
  <c r="D535" i="2"/>
  <c r="I535" i="2"/>
  <c r="J535" i="2"/>
  <c r="N535" i="2"/>
  <c r="D536" i="2"/>
  <c r="I536" i="2"/>
  <c r="J536" i="2"/>
  <c r="N536" i="2"/>
  <c r="D537" i="2"/>
  <c r="I537" i="2"/>
  <c r="J537" i="2"/>
  <c r="N537" i="2"/>
  <c r="D538" i="2"/>
  <c r="I538" i="2"/>
  <c r="J538" i="2"/>
  <c r="N538" i="2"/>
  <c r="D539" i="2"/>
  <c r="I539" i="2"/>
  <c r="J539" i="2"/>
  <c r="N539" i="2"/>
  <c r="D540" i="2"/>
  <c r="I540" i="2"/>
  <c r="J540" i="2"/>
  <c r="N540" i="2"/>
  <c r="D541" i="2"/>
  <c r="I541" i="2"/>
  <c r="J541" i="2"/>
  <c r="N541" i="2"/>
  <c r="D542" i="2"/>
  <c r="I542" i="2"/>
  <c r="J542" i="2"/>
  <c r="N542" i="2"/>
  <c r="D543" i="2"/>
  <c r="I543" i="2"/>
  <c r="J543" i="2"/>
  <c r="N543" i="2"/>
  <c r="D544" i="2"/>
  <c r="I544" i="2"/>
  <c r="J544" i="2"/>
  <c r="N544" i="2"/>
  <c r="D545" i="2"/>
  <c r="I545" i="2"/>
  <c r="J545" i="2"/>
  <c r="N545" i="2"/>
  <c r="D546" i="2"/>
  <c r="I546" i="2"/>
  <c r="J546" i="2"/>
  <c r="N546" i="2"/>
  <c r="D547" i="2"/>
  <c r="I547" i="2"/>
  <c r="J547" i="2"/>
  <c r="N547" i="2"/>
  <c r="D548" i="2"/>
  <c r="I548" i="2"/>
  <c r="J548" i="2"/>
  <c r="N548" i="2"/>
  <c r="D549" i="2"/>
  <c r="I549" i="2"/>
  <c r="J549" i="2"/>
  <c r="N549" i="2"/>
  <c r="D550" i="2"/>
  <c r="I550" i="2"/>
  <c r="J550" i="2"/>
  <c r="N550" i="2"/>
  <c r="D551" i="2"/>
  <c r="I551" i="2"/>
  <c r="J551" i="2"/>
  <c r="N551" i="2"/>
  <c r="D552" i="2"/>
  <c r="I552" i="2"/>
  <c r="J552" i="2"/>
  <c r="N552" i="2"/>
  <c r="D553" i="2"/>
  <c r="I553" i="2"/>
  <c r="J553" i="2"/>
  <c r="N553" i="2"/>
  <c r="D554" i="2"/>
  <c r="I554" i="2"/>
  <c r="J554" i="2"/>
  <c r="N554" i="2"/>
  <c r="D555" i="2"/>
  <c r="I555" i="2"/>
  <c r="J555" i="2"/>
  <c r="N555" i="2"/>
  <c r="D556" i="2"/>
  <c r="I556" i="2"/>
  <c r="J556" i="2"/>
  <c r="N556" i="2"/>
  <c r="D557" i="2"/>
  <c r="I557" i="2"/>
  <c r="J557" i="2"/>
  <c r="N557" i="2"/>
  <c r="D558" i="2"/>
  <c r="I558" i="2"/>
  <c r="J558" i="2"/>
  <c r="N558" i="2"/>
  <c r="D559" i="2"/>
  <c r="I559" i="2"/>
  <c r="J559" i="2"/>
  <c r="N559" i="2"/>
  <c r="D560" i="2"/>
  <c r="I560" i="2"/>
  <c r="J560" i="2"/>
  <c r="N560" i="2"/>
  <c r="D561" i="2"/>
  <c r="I561" i="2"/>
  <c r="J561" i="2"/>
  <c r="N561" i="2"/>
  <c r="D562" i="2"/>
  <c r="I562" i="2"/>
  <c r="J562" i="2"/>
  <c r="N562" i="2"/>
  <c r="D563" i="2"/>
  <c r="I563" i="2"/>
  <c r="J563" i="2"/>
  <c r="N563" i="2"/>
  <c r="D564" i="2"/>
  <c r="I564" i="2"/>
  <c r="J564" i="2"/>
  <c r="N564" i="2"/>
  <c r="D565" i="2"/>
  <c r="I565" i="2"/>
  <c r="J565" i="2"/>
  <c r="N565" i="2"/>
  <c r="D566" i="2"/>
  <c r="I566" i="2"/>
  <c r="J566" i="2"/>
  <c r="N566" i="2"/>
  <c r="D567" i="2"/>
  <c r="I567" i="2"/>
  <c r="J567" i="2"/>
  <c r="N567" i="2"/>
  <c r="D568" i="2"/>
  <c r="I568" i="2"/>
  <c r="J568" i="2"/>
  <c r="N568" i="2"/>
  <c r="D569" i="2"/>
  <c r="I569" i="2"/>
  <c r="J569" i="2"/>
  <c r="N569" i="2"/>
  <c r="D570" i="2"/>
  <c r="I570" i="2"/>
  <c r="J570" i="2"/>
  <c r="N570" i="2"/>
  <c r="D571" i="2"/>
  <c r="I571" i="2"/>
  <c r="J571" i="2"/>
  <c r="N571" i="2"/>
  <c r="D572" i="2"/>
  <c r="I572" i="2"/>
  <c r="J572" i="2"/>
  <c r="N572" i="2"/>
  <c r="D573" i="2"/>
  <c r="I573" i="2"/>
  <c r="J573" i="2"/>
  <c r="N573" i="2"/>
  <c r="D574" i="2"/>
  <c r="I574" i="2"/>
  <c r="J574" i="2"/>
  <c r="N574" i="2"/>
  <c r="D575" i="2"/>
  <c r="I575" i="2"/>
  <c r="J575" i="2"/>
  <c r="N575" i="2"/>
  <c r="D576" i="2"/>
  <c r="I576" i="2"/>
  <c r="J576" i="2"/>
  <c r="N576" i="2"/>
  <c r="D577" i="2"/>
  <c r="I577" i="2"/>
  <c r="J577" i="2"/>
  <c r="N577" i="2"/>
  <c r="D578" i="2"/>
  <c r="I578" i="2"/>
  <c r="J578" i="2"/>
  <c r="N578" i="2"/>
  <c r="D579" i="2"/>
  <c r="I579" i="2"/>
  <c r="J579" i="2"/>
  <c r="N579" i="2"/>
  <c r="D580" i="2"/>
  <c r="I580" i="2"/>
  <c r="J580" i="2"/>
  <c r="N580" i="2"/>
  <c r="D581" i="2"/>
  <c r="I581" i="2"/>
  <c r="J581" i="2"/>
  <c r="N581" i="2"/>
  <c r="D582" i="2"/>
  <c r="I582" i="2"/>
  <c r="J582" i="2"/>
  <c r="N582" i="2"/>
  <c r="D583" i="2"/>
  <c r="I583" i="2"/>
  <c r="J583" i="2"/>
  <c r="N583" i="2"/>
  <c r="D584" i="2"/>
  <c r="I584" i="2"/>
  <c r="J584" i="2"/>
  <c r="N584" i="2"/>
  <c r="D585" i="2"/>
  <c r="I585" i="2"/>
  <c r="J585" i="2"/>
  <c r="N585" i="2"/>
  <c r="D586" i="2"/>
  <c r="I586" i="2"/>
  <c r="J586" i="2"/>
  <c r="N586" i="2"/>
  <c r="D587" i="2"/>
  <c r="I587" i="2"/>
  <c r="J587" i="2"/>
  <c r="N587" i="2"/>
  <c r="D588" i="2"/>
  <c r="I588" i="2"/>
  <c r="J588" i="2"/>
  <c r="N588" i="2"/>
  <c r="D589" i="2"/>
  <c r="I589" i="2"/>
  <c r="J589" i="2"/>
  <c r="N589" i="2"/>
  <c r="D590" i="2"/>
  <c r="I590" i="2"/>
  <c r="J590" i="2"/>
  <c r="N590" i="2"/>
  <c r="D591" i="2"/>
  <c r="I591" i="2"/>
  <c r="J591" i="2"/>
  <c r="N591" i="2"/>
  <c r="D592" i="2"/>
  <c r="I592" i="2"/>
  <c r="J592" i="2"/>
  <c r="N592" i="2"/>
  <c r="D593" i="2"/>
  <c r="I593" i="2"/>
  <c r="J593" i="2"/>
  <c r="N593" i="2"/>
  <c r="D594" i="2"/>
  <c r="I594" i="2"/>
  <c r="J594" i="2"/>
  <c r="N594" i="2"/>
  <c r="D595" i="2"/>
  <c r="I595" i="2"/>
  <c r="J595" i="2"/>
  <c r="N595" i="2"/>
  <c r="D596" i="2"/>
  <c r="I596" i="2"/>
  <c r="J596" i="2"/>
  <c r="N596" i="2"/>
  <c r="D597" i="2"/>
  <c r="I597" i="2"/>
  <c r="J597" i="2"/>
  <c r="N597" i="2"/>
  <c r="D598" i="2"/>
  <c r="I598" i="2"/>
  <c r="J598" i="2"/>
  <c r="N598" i="2"/>
  <c r="D599" i="2"/>
  <c r="I599" i="2"/>
  <c r="J599" i="2"/>
  <c r="N599" i="2"/>
  <c r="D600" i="2"/>
  <c r="I600" i="2"/>
  <c r="J600" i="2"/>
  <c r="N600" i="2"/>
  <c r="D601" i="2"/>
  <c r="I601" i="2"/>
  <c r="J601" i="2"/>
  <c r="N601" i="2"/>
  <c r="D602" i="2"/>
  <c r="I602" i="2"/>
  <c r="J602" i="2"/>
  <c r="N602" i="2"/>
  <c r="D603" i="2"/>
  <c r="I603" i="2"/>
  <c r="J603" i="2"/>
  <c r="N603" i="2"/>
  <c r="D604" i="2"/>
  <c r="I604" i="2"/>
  <c r="J604" i="2"/>
  <c r="N604" i="2"/>
  <c r="D605" i="2"/>
  <c r="I605" i="2"/>
  <c r="J605" i="2"/>
  <c r="N605" i="2"/>
  <c r="D606" i="2"/>
  <c r="I606" i="2"/>
  <c r="J606" i="2"/>
  <c r="N606" i="2"/>
  <c r="D607" i="2"/>
  <c r="I607" i="2"/>
  <c r="J607" i="2"/>
  <c r="N607" i="2"/>
  <c r="D608" i="2"/>
  <c r="I608" i="2"/>
  <c r="J608" i="2"/>
  <c r="N608" i="2"/>
  <c r="D609" i="2"/>
  <c r="I609" i="2"/>
  <c r="J609" i="2"/>
  <c r="N609" i="2"/>
  <c r="D610" i="2"/>
  <c r="I610" i="2"/>
  <c r="J610" i="2"/>
  <c r="N610" i="2"/>
  <c r="D611" i="2"/>
  <c r="I611" i="2"/>
  <c r="J611" i="2"/>
  <c r="N611" i="2"/>
  <c r="D612" i="2"/>
  <c r="I612" i="2"/>
  <c r="J612" i="2"/>
  <c r="N612" i="2"/>
  <c r="D613" i="2"/>
  <c r="I613" i="2"/>
  <c r="J613" i="2"/>
  <c r="N613" i="2"/>
  <c r="D614" i="2"/>
  <c r="I614" i="2"/>
  <c r="J614" i="2"/>
  <c r="N614" i="2"/>
  <c r="D615" i="2"/>
  <c r="I615" i="2"/>
  <c r="J615" i="2"/>
  <c r="N615" i="2"/>
  <c r="D616" i="2"/>
  <c r="I616" i="2"/>
  <c r="J616" i="2"/>
  <c r="N616" i="2"/>
  <c r="D617" i="2"/>
  <c r="I617" i="2"/>
  <c r="J617" i="2"/>
  <c r="N617" i="2"/>
  <c r="D618" i="2"/>
  <c r="I618" i="2"/>
  <c r="J618" i="2"/>
  <c r="N618" i="2"/>
  <c r="D619" i="2"/>
  <c r="I619" i="2"/>
  <c r="J619" i="2"/>
  <c r="N619" i="2"/>
  <c r="D620" i="2"/>
  <c r="I620" i="2"/>
  <c r="J620" i="2"/>
  <c r="N620" i="2"/>
  <c r="D621" i="2"/>
  <c r="I621" i="2"/>
  <c r="J621" i="2"/>
  <c r="N621" i="2"/>
  <c r="D622" i="2"/>
  <c r="I622" i="2"/>
  <c r="J622" i="2"/>
  <c r="N622" i="2"/>
  <c r="D623" i="2"/>
  <c r="I623" i="2"/>
  <c r="J623" i="2"/>
  <c r="N623" i="2"/>
  <c r="D624" i="2"/>
  <c r="I624" i="2"/>
  <c r="J624" i="2"/>
  <c r="N624" i="2"/>
  <c r="D625" i="2"/>
  <c r="I625" i="2"/>
  <c r="J625" i="2"/>
  <c r="N625" i="2"/>
  <c r="D626" i="2"/>
  <c r="I626" i="2"/>
  <c r="J626" i="2"/>
  <c r="N626" i="2"/>
  <c r="D627" i="2"/>
  <c r="I627" i="2"/>
  <c r="J627" i="2"/>
  <c r="N627" i="2"/>
  <c r="D628" i="2"/>
  <c r="I628" i="2"/>
  <c r="J628" i="2"/>
  <c r="N628" i="2"/>
  <c r="D629" i="2"/>
  <c r="I629" i="2"/>
  <c r="J629" i="2"/>
  <c r="N629" i="2"/>
  <c r="D630" i="2"/>
  <c r="I630" i="2"/>
  <c r="J630" i="2"/>
  <c r="N630" i="2"/>
  <c r="D631" i="2"/>
  <c r="I631" i="2"/>
  <c r="J631" i="2"/>
  <c r="N631" i="2"/>
  <c r="D632" i="2"/>
  <c r="I632" i="2"/>
  <c r="J632" i="2"/>
  <c r="N632" i="2"/>
  <c r="D633" i="2"/>
  <c r="I633" i="2"/>
  <c r="J633" i="2"/>
  <c r="N633" i="2"/>
  <c r="D634" i="2"/>
  <c r="I634" i="2"/>
  <c r="J634" i="2"/>
  <c r="N634" i="2"/>
  <c r="D635" i="2"/>
  <c r="I635" i="2"/>
  <c r="J635" i="2"/>
  <c r="N635" i="2"/>
  <c r="D636" i="2"/>
  <c r="I636" i="2"/>
  <c r="J636" i="2"/>
  <c r="N636" i="2"/>
  <c r="D637" i="2"/>
  <c r="I637" i="2"/>
  <c r="J637" i="2"/>
  <c r="N637" i="2"/>
  <c r="D638" i="2"/>
  <c r="I638" i="2"/>
  <c r="J638" i="2"/>
  <c r="N638" i="2"/>
  <c r="D639" i="2"/>
  <c r="I639" i="2"/>
  <c r="J639" i="2"/>
  <c r="N639" i="2"/>
  <c r="D640" i="2"/>
  <c r="I640" i="2"/>
  <c r="J640" i="2"/>
  <c r="N640" i="2"/>
  <c r="D641" i="2"/>
  <c r="I641" i="2"/>
  <c r="J641" i="2"/>
  <c r="N641" i="2"/>
  <c r="D642" i="2"/>
  <c r="I642" i="2"/>
  <c r="J642" i="2"/>
  <c r="N642" i="2"/>
  <c r="D643" i="2"/>
  <c r="I643" i="2"/>
  <c r="J643" i="2"/>
  <c r="N643" i="2"/>
  <c r="D644" i="2"/>
  <c r="I644" i="2"/>
  <c r="J644" i="2"/>
  <c r="N644" i="2"/>
  <c r="D645" i="2"/>
  <c r="I645" i="2"/>
  <c r="J645" i="2"/>
  <c r="N645" i="2"/>
  <c r="D646" i="2"/>
  <c r="I646" i="2"/>
  <c r="J646" i="2"/>
  <c r="N646" i="2"/>
  <c r="D647" i="2"/>
  <c r="I647" i="2"/>
  <c r="J647" i="2"/>
  <c r="N647" i="2"/>
  <c r="D648" i="2"/>
  <c r="I648" i="2"/>
  <c r="J648" i="2"/>
  <c r="N648" i="2"/>
  <c r="D649" i="2"/>
  <c r="I649" i="2"/>
  <c r="J649" i="2"/>
  <c r="N649" i="2"/>
  <c r="D650" i="2"/>
  <c r="I650" i="2"/>
  <c r="J650" i="2"/>
  <c r="N650" i="2"/>
  <c r="D651" i="2"/>
  <c r="I651" i="2"/>
  <c r="J651" i="2"/>
  <c r="N651" i="2"/>
  <c r="D652" i="2"/>
  <c r="I652" i="2"/>
  <c r="J652" i="2"/>
  <c r="N652" i="2"/>
  <c r="D653" i="2"/>
  <c r="I653" i="2"/>
  <c r="J653" i="2"/>
  <c r="N653" i="2"/>
  <c r="D654" i="2"/>
  <c r="I654" i="2"/>
  <c r="J654" i="2"/>
  <c r="N654" i="2"/>
  <c r="D655" i="2"/>
  <c r="I655" i="2"/>
  <c r="J655" i="2"/>
  <c r="N655" i="2"/>
  <c r="D656" i="2"/>
  <c r="I656" i="2"/>
  <c r="J656" i="2"/>
  <c r="N656" i="2"/>
  <c r="D657" i="2"/>
  <c r="I657" i="2"/>
  <c r="J657" i="2"/>
  <c r="N657" i="2"/>
  <c r="D658" i="2"/>
  <c r="I658" i="2"/>
  <c r="J658" i="2"/>
  <c r="N658" i="2"/>
  <c r="D659" i="2"/>
  <c r="I659" i="2"/>
  <c r="J659" i="2"/>
  <c r="N659" i="2"/>
  <c r="D660" i="2"/>
  <c r="I660" i="2"/>
  <c r="J660" i="2"/>
  <c r="N660" i="2"/>
  <c r="D661" i="2"/>
  <c r="I661" i="2"/>
  <c r="J661" i="2"/>
  <c r="N661" i="2"/>
  <c r="D662" i="2"/>
  <c r="I662" i="2"/>
  <c r="J662" i="2"/>
  <c r="N662" i="2"/>
  <c r="D663" i="2"/>
  <c r="I663" i="2"/>
  <c r="J663" i="2"/>
  <c r="N663" i="2"/>
  <c r="D664" i="2"/>
  <c r="I664" i="2"/>
  <c r="J664" i="2"/>
  <c r="N664" i="2"/>
  <c r="D665" i="2"/>
  <c r="I665" i="2"/>
  <c r="J665" i="2"/>
  <c r="N665" i="2"/>
  <c r="D666" i="2"/>
  <c r="I666" i="2"/>
  <c r="J666" i="2"/>
  <c r="N666" i="2"/>
  <c r="D667" i="2"/>
  <c r="I667" i="2"/>
  <c r="J667" i="2"/>
  <c r="N667" i="2"/>
  <c r="D668" i="2"/>
  <c r="I668" i="2"/>
  <c r="J668" i="2"/>
  <c r="N668" i="2"/>
  <c r="D669" i="2"/>
  <c r="I669" i="2"/>
  <c r="J669" i="2"/>
  <c r="N669" i="2"/>
  <c r="D670" i="2"/>
  <c r="I670" i="2"/>
  <c r="J670" i="2"/>
  <c r="N670" i="2"/>
  <c r="D671" i="2"/>
  <c r="I671" i="2"/>
  <c r="J671" i="2"/>
  <c r="N671" i="2"/>
  <c r="D672" i="2"/>
  <c r="I672" i="2"/>
  <c r="J672" i="2"/>
  <c r="N672" i="2"/>
  <c r="D673" i="2"/>
  <c r="I673" i="2"/>
  <c r="J673" i="2"/>
  <c r="N673" i="2"/>
  <c r="D674" i="2"/>
  <c r="I674" i="2"/>
  <c r="J674" i="2"/>
  <c r="N674" i="2"/>
  <c r="D675" i="2"/>
  <c r="I675" i="2"/>
  <c r="J675" i="2"/>
  <c r="N675" i="2"/>
  <c r="D676" i="2"/>
  <c r="I676" i="2"/>
  <c r="J676" i="2"/>
  <c r="N676" i="2"/>
  <c r="D677" i="2"/>
  <c r="I677" i="2"/>
  <c r="J677" i="2"/>
  <c r="N677" i="2"/>
  <c r="D678" i="2"/>
  <c r="I678" i="2"/>
  <c r="J678" i="2"/>
  <c r="N678" i="2"/>
  <c r="D679" i="2"/>
  <c r="I679" i="2"/>
  <c r="J679" i="2"/>
  <c r="N679" i="2"/>
  <c r="D680" i="2"/>
  <c r="I680" i="2"/>
  <c r="J680" i="2"/>
  <c r="N680" i="2"/>
  <c r="D681" i="2"/>
  <c r="I681" i="2"/>
  <c r="J681" i="2"/>
  <c r="N681" i="2"/>
  <c r="D682" i="2"/>
  <c r="I682" i="2"/>
  <c r="J682" i="2"/>
  <c r="N682" i="2"/>
  <c r="D683" i="2"/>
  <c r="I683" i="2"/>
  <c r="J683" i="2"/>
  <c r="N683" i="2"/>
  <c r="D684" i="2"/>
  <c r="I684" i="2"/>
  <c r="J684" i="2"/>
  <c r="N684" i="2"/>
  <c r="D685" i="2"/>
  <c r="I685" i="2"/>
  <c r="J685" i="2"/>
  <c r="N685" i="2"/>
  <c r="D686" i="2"/>
  <c r="I686" i="2"/>
  <c r="J686" i="2"/>
  <c r="N686" i="2"/>
  <c r="D687" i="2"/>
  <c r="I687" i="2"/>
  <c r="J687" i="2"/>
  <c r="N687" i="2"/>
  <c r="D688" i="2"/>
  <c r="I688" i="2"/>
  <c r="J688" i="2"/>
  <c r="N688" i="2"/>
  <c r="D689" i="2"/>
  <c r="I689" i="2"/>
  <c r="J689" i="2"/>
  <c r="N689" i="2"/>
  <c r="D690" i="2"/>
  <c r="I690" i="2"/>
  <c r="J690" i="2"/>
  <c r="N690" i="2"/>
  <c r="D691" i="2"/>
  <c r="I691" i="2"/>
  <c r="J691" i="2"/>
  <c r="N691" i="2"/>
  <c r="D692" i="2"/>
  <c r="I692" i="2"/>
  <c r="J692" i="2"/>
  <c r="N692" i="2"/>
  <c r="D693" i="2"/>
  <c r="I693" i="2"/>
  <c r="J693" i="2"/>
  <c r="N693" i="2"/>
  <c r="D694" i="2"/>
  <c r="I694" i="2"/>
  <c r="J694" i="2"/>
  <c r="N694" i="2"/>
  <c r="D695" i="2"/>
  <c r="I695" i="2"/>
  <c r="J695" i="2"/>
  <c r="N695" i="2"/>
  <c r="D696" i="2"/>
  <c r="I696" i="2"/>
  <c r="J696" i="2"/>
  <c r="N696" i="2"/>
  <c r="D697" i="2"/>
  <c r="I697" i="2"/>
  <c r="J697" i="2"/>
  <c r="N697" i="2"/>
  <c r="D698" i="2"/>
  <c r="I698" i="2"/>
  <c r="J698" i="2"/>
  <c r="N698" i="2"/>
  <c r="D699" i="2"/>
  <c r="I699" i="2"/>
  <c r="J699" i="2"/>
  <c r="N699" i="2"/>
  <c r="D700" i="2"/>
  <c r="I700" i="2"/>
  <c r="J700" i="2"/>
  <c r="N700" i="2"/>
  <c r="D701" i="2"/>
  <c r="I701" i="2"/>
  <c r="J701" i="2"/>
  <c r="N701" i="2"/>
  <c r="D702" i="2"/>
  <c r="I702" i="2"/>
  <c r="J702" i="2"/>
  <c r="N702" i="2"/>
  <c r="D703" i="2"/>
  <c r="I703" i="2"/>
  <c r="J703" i="2"/>
  <c r="N703" i="2"/>
  <c r="D704" i="2"/>
  <c r="I704" i="2"/>
  <c r="J704" i="2"/>
  <c r="N704" i="2"/>
  <c r="D705" i="2"/>
  <c r="I705" i="2"/>
  <c r="J705" i="2"/>
  <c r="N705" i="2"/>
  <c r="D706" i="2"/>
  <c r="I706" i="2"/>
  <c r="J706" i="2"/>
  <c r="N706" i="2"/>
  <c r="D707" i="2"/>
  <c r="I707" i="2"/>
  <c r="J707" i="2"/>
  <c r="N707" i="2"/>
  <c r="D708" i="2"/>
  <c r="I708" i="2"/>
  <c r="J708" i="2"/>
  <c r="N708" i="2"/>
  <c r="D709" i="2"/>
  <c r="I709" i="2"/>
  <c r="J709" i="2"/>
  <c r="N709" i="2"/>
  <c r="D710" i="2"/>
  <c r="I710" i="2"/>
  <c r="J710" i="2"/>
  <c r="N710" i="2"/>
  <c r="D711" i="2"/>
  <c r="I711" i="2"/>
  <c r="J711" i="2"/>
  <c r="N711" i="2"/>
  <c r="D712" i="2"/>
  <c r="I712" i="2"/>
  <c r="J712" i="2"/>
  <c r="N712" i="2"/>
  <c r="D713" i="2"/>
  <c r="I713" i="2"/>
  <c r="J713" i="2"/>
  <c r="N713" i="2"/>
  <c r="D714" i="2"/>
  <c r="I714" i="2"/>
  <c r="J714" i="2"/>
  <c r="N714" i="2"/>
  <c r="D715" i="2"/>
  <c r="I715" i="2"/>
  <c r="J715" i="2"/>
  <c r="N715" i="2"/>
  <c r="D716" i="2"/>
  <c r="I716" i="2"/>
  <c r="J716" i="2"/>
  <c r="N716" i="2"/>
  <c r="D717" i="2"/>
  <c r="I717" i="2"/>
  <c r="J717" i="2"/>
  <c r="N717" i="2"/>
  <c r="D718" i="2"/>
  <c r="I718" i="2"/>
  <c r="J718" i="2"/>
  <c r="N718" i="2"/>
  <c r="D719" i="2"/>
  <c r="I719" i="2"/>
  <c r="J719" i="2"/>
  <c r="N719" i="2"/>
  <c r="D720" i="2"/>
  <c r="I720" i="2"/>
  <c r="J720" i="2"/>
  <c r="N720" i="2"/>
  <c r="D721" i="2"/>
  <c r="I721" i="2"/>
  <c r="J721" i="2"/>
  <c r="N721" i="2"/>
  <c r="D722" i="2"/>
  <c r="I722" i="2"/>
  <c r="J722" i="2"/>
  <c r="N722" i="2"/>
  <c r="D723" i="2"/>
  <c r="I723" i="2"/>
  <c r="J723" i="2"/>
  <c r="N723" i="2"/>
  <c r="D724" i="2"/>
  <c r="I724" i="2"/>
  <c r="J724" i="2"/>
  <c r="N724" i="2"/>
  <c r="D725" i="2"/>
  <c r="I725" i="2"/>
  <c r="J725" i="2"/>
  <c r="N725" i="2"/>
  <c r="D726" i="2"/>
  <c r="I726" i="2"/>
  <c r="J726" i="2"/>
  <c r="N726" i="2"/>
  <c r="D727" i="2"/>
  <c r="I727" i="2"/>
  <c r="J727" i="2"/>
  <c r="N727" i="2"/>
  <c r="D728" i="2"/>
  <c r="I728" i="2"/>
  <c r="J728" i="2"/>
  <c r="N728" i="2"/>
  <c r="D729" i="2"/>
  <c r="I729" i="2"/>
  <c r="J729" i="2"/>
  <c r="N729" i="2"/>
  <c r="D730" i="2"/>
  <c r="I730" i="2"/>
  <c r="J730" i="2"/>
  <c r="N730" i="2"/>
  <c r="D731" i="2"/>
  <c r="I731" i="2"/>
  <c r="J731" i="2"/>
  <c r="N731" i="2"/>
  <c r="D732" i="2"/>
  <c r="I732" i="2"/>
  <c r="J732" i="2"/>
  <c r="N732" i="2"/>
  <c r="D733" i="2"/>
  <c r="I733" i="2"/>
  <c r="J733" i="2"/>
  <c r="N733" i="2"/>
  <c r="D734" i="2"/>
  <c r="I734" i="2"/>
  <c r="J734" i="2"/>
  <c r="N734" i="2"/>
  <c r="D735" i="2"/>
  <c r="I735" i="2"/>
  <c r="J735" i="2"/>
  <c r="N735" i="2"/>
  <c r="D736" i="2"/>
  <c r="I736" i="2"/>
  <c r="J736" i="2"/>
  <c r="N736" i="2"/>
  <c r="D737" i="2"/>
  <c r="I737" i="2"/>
  <c r="J737" i="2"/>
  <c r="N737" i="2"/>
  <c r="D738" i="2"/>
  <c r="I738" i="2"/>
  <c r="J738" i="2"/>
  <c r="N738" i="2"/>
  <c r="D739" i="2"/>
  <c r="I739" i="2"/>
  <c r="J739" i="2"/>
  <c r="N739" i="2"/>
  <c r="D740" i="2"/>
  <c r="I740" i="2"/>
  <c r="J740" i="2"/>
  <c r="N740" i="2"/>
  <c r="D741" i="2"/>
  <c r="I741" i="2"/>
  <c r="J741" i="2"/>
  <c r="N741" i="2"/>
  <c r="D742" i="2"/>
  <c r="I742" i="2"/>
  <c r="J742" i="2"/>
  <c r="N742" i="2"/>
  <c r="D743" i="2"/>
  <c r="I743" i="2"/>
  <c r="J743" i="2"/>
  <c r="N743" i="2"/>
  <c r="D744" i="2"/>
  <c r="I744" i="2"/>
  <c r="J744" i="2"/>
  <c r="N744" i="2"/>
  <c r="D745" i="2"/>
  <c r="I745" i="2"/>
  <c r="J745" i="2"/>
  <c r="N745" i="2"/>
  <c r="D746" i="2"/>
  <c r="I746" i="2"/>
  <c r="J746" i="2"/>
  <c r="N746" i="2"/>
  <c r="D747" i="2"/>
  <c r="I747" i="2"/>
  <c r="J747" i="2"/>
  <c r="N747" i="2"/>
  <c r="D748" i="2"/>
  <c r="I748" i="2"/>
  <c r="J748" i="2"/>
  <c r="N748" i="2"/>
  <c r="D749" i="2"/>
  <c r="I749" i="2"/>
  <c r="J749" i="2"/>
  <c r="N749" i="2"/>
  <c r="D750" i="2"/>
  <c r="I750" i="2"/>
  <c r="J750" i="2"/>
  <c r="N750" i="2"/>
  <c r="D751" i="2"/>
  <c r="I751" i="2"/>
  <c r="J751" i="2"/>
  <c r="N751" i="2"/>
  <c r="D752" i="2"/>
  <c r="I752" i="2"/>
  <c r="J752" i="2"/>
  <c r="N752" i="2"/>
  <c r="D753" i="2"/>
  <c r="I753" i="2"/>
  <c r="J753" i="2"/>
  <c r="N753" i="2"/>
  <c r="D754" i="2"/>
  <c r="I754" i="2"/>
  <c r="J754" i="2"/>
  <c r="N754" i="2"/>
  <c r="D755" i="2"/>
  <c r="I755" i="2"/>
  <c r="J755" i="2"/>
  <c r="N755" i="2"/>
  <c r="D756" i="2"/>
  <c r="I756" i="2"/>
  <c r="J756" i="2"/>
  <c r="N756" i="2"/>
  <c r="D757" i="2"/>
  <c r="I757" i="2"/>
  <c r="J757" i="2"/>
  <c r="N757" i="2"/>
  <c r="D758" i="2"/>
  <c r="I758" i="2"/>
  <c r="J758" i="2"/>
  <c r="N758" i="2"/>
  <c r="D759" i="2"/>
  <c r="I759" i="2"/>
  <c r="J759" i="2"/>
  <c r="N759" i="2"/>
  <c r="D760" i="2"/>
  <c r="I760" i="2"/>
  <c r="J760" i="2"/>
  <c r="N760" i="2"/>
  <c r="D761" i="2"/>
  <c r="I761" i="2"/>
  <c r="J761" i="2"/>
  <c r="N761" i="2"/>
  <c r="D762" i="2"/>
  <c r="I762" i="2"/>
  <c r="J762" i="2"/>
  <c r="N762" i="2"/>
  <c r="D763" i="2"/>
  <c r="I763" i="2"/>
  <c r="J763" i="2"/>
  <c r="N763" i="2"/>
  <c r="D764" i="2"/>
  <c r="I764" i="2"/>
  <c r="J764" i="2"/>
  <c r="N764" i="2"/>
  <c r="D765" i="2"/>
  <c r="I765" i="2"/>
  <c r="J765" i="2"/>
  <c r="N765" i="2"/>
  <c r="D766" i="2"/>
  <c r="I766" i="2"/>
  <c r="J766" i="2"/>
  <c r="N766" i="2"/>
  <c r="D767" i="2"/>
  <c r="I767" i="2"/>
  <c r="J767" i="2"/>
  <c r="N767" i="2"/>
  <c r="D768" i="2"/>
  <c r="I768" i="2"/>
  <c r="J768" i="2"/>
  <c r="N768" i="2"/>
  <c r="D769" i="2"/>
  <c r="I769" i="2"/>
  <c r="J769" i="2"/>
  <c r="N769" i="2"/>
  <c r="D770" i="2"/>
  <c r="I770" i="2"/>
  <c r="J770" i="2"/>
  <c r="N770" i="2"/>
  <c r="D771" i="2"/>
  <c r="I771" i="2"/>
  <c r="J771" i="2"/>
  <c r="N771" i="2"/>
  <c r="D772" i="2"/>
  <c r="I772" i="2"/>
  <c r="J772" i="2"/>
  <c r="N772" i="2"/>
  <c r="D773" i="2"/>
  <c r="I773" i="2"/>
  <c r="J773" i="2"/>
  <c r="N773" i="2"/>
  <c r="D774" i="2"/>
  <c r="I774" i="2"/>
  <c r="J774" i="2"/>
  <c r="N774" i="2"/>
  <c r="D775" i="2"/>
  <c r="I775" i="2"/>
  <c r="J775" i="2"/>
  <c r="N775" i="2"/>
  <c r="D776" i="2"/>
  <c r="I776" i="2"/>
  <c r="J776" i="2"/>
  <c r="N776" i="2"/>
  <c r="D777" i="2"/>
  <c r="I777" i="2"/>
  <c r="J777" i="2"/>
  <c r="N777" i="2"/>
  <c r="D778" i="2"/>
  <c r="I778" i="2"/>
  <c r="J778" i="2"/>
  <c r="N778" i="2"/>
  <c r="D779" i="2"/>
  <c r="I779" i="2"/>
  <c r="J779" i="2"/>
  <c r="N779" i="2"/>
  <c r="D780" i="2"/>
  <c r="I780" i="2"/>
  <c r="J780" i="2"/>
  <c r="N780" i="2"/>
  <c r="D781" i="2"/>
  <c r="I781" i="2"/>
  <c r="J781" i="2"/>
  <c r="N781" i="2"/>
  <c r="D782" i="2"/>
  <c r="I782" i="2"/>
  <c r="J782" i="2"/>
  <c r="N782" i="2"/>
  <c r="D783" i="2"/>
  <c r="I783" i="2"/>
  <c r="J783" i="2"/>
  <c r="N783" i="2"/>
  <c r="D784" i="2"/>
  <c r="I784" i="2"/>
  <c r="J784" i="2"/>
  <c r="N784" i="2"/>
  <c r="D785" i="2"/>
  <c r="I785" i="2"/>
  <c r="J785" i="2"/>
  <c r="N785" i="2"/>
  <c r="D786" i="2"/>
  <c r="I786" i="2"/>
  <c r="J786" i="2"/>
  <c r="N786" i="2"/>
  <c r="D787" i="2"/>
  <c r="I787" i="2"/>
  <c r="J787" i="2"/>
  <c r="N787" i="2"/>
  <c r="D788" i="2"/>
  <c r="I788" i="2"/>
  <c r="J788" i="2"/>
  <c r="N788" i="2"/>
  <c r="D789" i="2"/>
  <c r="I789" i="2"/>
  <c r="J789" i="2"/>
  <c r="N789" i="2"/>
  <c r="D790" i="2"/>
  <c r="I790" i="2"/>
  <c r="J790" i="2"/>
  <c r="N790" i="2"/>
  <c r="D791" i="2"/>
  <c r="I791" i="2"/>
  <c r="J791" i="2"/>
  <c r="N791" i="2"/>
  <c r="D792" i="2"/>
  <c r="I792" i="2"/>
  <c r="J792" i="2"/>
  <c r="N792" i="2"/>
  <c r="D793" i="2"/>
  <c r="I793" i="2"/>
  <c r="J793" i="2"/>
  <c r="N793" i="2"/>
  <c r="D794" i="2"/>
  <c r="I794" i="2"/>
  <c r="J794" i="2"/>
  <c r="N794" i="2"/>
  <c r="D795" i="2"/>
  <c r="I795" i="2"/>
  <c r="J795" i="2"/>
  <c r="N795" i="2"/>
  <c r="D796" i="2"/>
  <c r="I796" i="2"/>
  <c r="J796" i="2"/>
  <c r="N796" i="2"/>
  <c r="D797" i="2"/>
  <c r="I797" i="2"/>
  <c r="J797" i="2"/>
  <c r="N797" i="2"/>
  <c r="D798" i="2"/>
  <c r="I798" i="2"/>
  <c r="J798" i="2"/>
  <c r="N798" i="2"/>
  <c r="D799" i="2"/>
  <c r="I799" i="2"/>
  <c r="J799" i="2"/>
  <c r="N799" i="2"/>
  <c r="D800" i="2"/>
  <c r="I800" i="2"/>
  <c r="J800" i="2"/>
  <c r="N800" i="2"/>
  <c r="D801" i="2"/>
  <c r="I801" i="2"/>
  <c r="J801" i="2"/>
  <c r="N801" i="2"/>
  <c r="D802" i="2"/>
  <c r="I802" i="2"/>
  <c r="J802" i="2"/>
  <c r="N802" i="2"/>
  <c r="D803" i="2"/>
  <c r="I803" i="2"/>
  <c r="J803" i="2"/>
  <c r="N803" i="2"/>
  <c r="D804" i="2"/>
  <c r="I804" i="2"/>
  <c r="J804" i="2"/>
  <c r="N804" i="2"/>
  <c r="D805" i="2"/>
  <c r="I805" i="2"/>
  <c r="J805" i="2"/>
  <c r="N805" i="2"/>
  <c r="D806" i="2"/>
  <c r="I806" i="2"/>
  <c r="J806" i="2"/>
  <c r="N806" i="2"/>
  <c r="D807" i="2"/>
  <c r="I807" i="2"/>
  <c r="J807" i="2"/>
  <c r="N807" i="2"/>
  <c r="D808" i="2"/>
  <c r="I808" i="2"/>
  <c r="J808" i="2"/>
  <c r="N808" i="2"/>
  <c r="D809" i="2"/>
  <c r="I809" i="2"/>
  <c r="J809" i="2"/>
  <c r="N809" i="2"/>
  <c r="D810" i="2"/>
  <c r="I810" i="2"/>
  <c r="J810" i="2"/>
  <c r="N810" i="2"/>
  <c r="D811" i="2"/>
  <c r="I811" i="2"/>
  <c r="J811" i="2"/>
  <c r="N811" i="2"/>
  <c r="D812" i="2"/>
  <c r="I812" i="2"/>
  <c r="J812" i="2"/>
  <c r="N812" i="2"/>
  <c r="D813" i="2"/>
  <c r="I813" i="2"/>
  <c r="J813" i="2"/>
  <c r="N813" i="2"/>
  <c r="D814" i="2"/>
  <c r="I814" i="2"/>
  <c r="J814" i="2"/>
  <c r="N814" i="2"/>
  <c r="D815" i="2"/>
  <c r="I815" i="2"/>
  <c r="J815" i="2"/>
  <c r="N815" i="2"/>
  <c r="D816" i="2"/>
  <c r="I816" i="2"/>
  <c r="J816" i="2"/>
  <c r="N816" i="2"/>
  <c r="D817" i="2"/>
  <c r="I817" i="2"/>
  <c r="J817" i="2"/>
  <c r="N817" i="2"/>
  <c r="D818" i="2"/>
  <c r="I818" i="2"/>
  <c r="J818" i="2"/>
  <c r="N818" i="2"/>
  <c r="D819" i="2"/>
  <c r="I819" i="2"/>
  <c r="J819" i="2"/>
  <c r="N819" i="2"/>
  <c r="D820" i="2"/>
  <c r="I820" i="2"/>
  <c r="J820" i="2"/>
  <c r="N820" i="2"/>
  <c r="D821" i="2"/>
  <c r="I821" i="2"/>
  <c r="J821" i="2"/>
  <c r="N821" i="2"/>
  <c r="D822" i="2"/>
  <c r="I822" i="2"/>
  <c r="J822" i="2"/>
  <c r="N822" i="2"/>
  <c r="D823" i="2"/>
  <c r="I823" i="2"/>
  <c r="J823" i="2"/>
  <c r="N823" i="2"/>
  <c r="D824" i="2"/>
  <c r="I824" i="2"/>
  <c r="J824" i="2"/>
  <c r="N824" i="2"/>
  <c r="D825" i="2"/>
  <c r="I825" i="2"/>
  <c r="J825" i="2"/>
  <c r="N825" i="2"/>
  <c r="D826" i="2"/>
  <c r="I826" i="2"/>
  <c r="J826" i="2"/>
  <c r="N826" i="2"/>
  <c r="D827" i="2"/>
  <c r="I827" i="2"/>
  <c r="J827" i="2"/>
  <c r="N827" i="2"/>
  <c r="D828" i="2"/>
  <c r="I828" i="2"/>
  <c r="J828" i="2"/>
  <c r="N828" i="2"/>
  <c r="D829" i="2"/>
  <c r="I829" i="2"/>
  <c r="J829" i="2"/>
  <c r="N829" i="2"/>
  <c r="D830" i="2"/>
  <c r="I830" i="2"/>
  <c r="J830" i="2"/>
  <c r="N830" i="2"/>
  <c r="D831" i="2"/>
  <c r="I831" i="2"/>
  <c r="J831" i="2"/>
  <c r="N831" i="2"/>
  <c r="D832" i="2"/>
  <c r="I832" i="2"/>
  <c r="J832" i="2"/>
  <c r="N832" i="2"/>
  <c r="D833" i="2"/>
  <c r="I833" i="2"/>
  <c r="J833" i="2"/>
  <c r="N833" i="2"/>
  <c r="D834" i="2"/>
  <c r="I834" i="2"/>
  <c r="J834" i="2"/>
  <c r="N834" i="2"/>
  <c r="D835" i="2"/>
  <c r="I835" i="2"/>
  <c r="J835" i="2"/>
  <c r="N835" i="2"/>
  <c r="D836" i="2"/>
  <c r="I836" i="2"/>
  <c r="J836" i="2"/>
  <c r="N836" i="2"/>
  <c r="D837" i="2"/>
  <c r="I837" i="2"/>
  <c r="J837" i="2"/>
  <c r="N837" i="2"/>
  <c r="D838" i="2"/>
  <c r="I838" i="2"/>
  <c r="J838" i="2"/>
  <c r="N838" i="2"/>
  <c r="D839" i="2"/>
  <c r="I839" i="2"/>
  <c r="J839" i="2"/>
  <c r="N839" i="2"/>
  <c r="D840" i="2"/>
  <c r="I840" i="2"/>
  <c r="J840" i="2"/>
  <c r="N840" i="2"/>
  <c r="D841" i="2"/>
  <c r="I841" i="2"/>
  <c r="J841" i="2"/>
  <c r="N841" i="2"/>
  <c r="D842" i="2"/>
  <c r="I842" i="2"/>
  <c r="J842" i="2"/>
  <c r="N842" i="2"/>
  <c r="D843" i="2"/>
  <c r="I843" i="2"/>
  <c r="J843" i="2"/>
  <c r="N843" i="2"/>
  <c r="D844" i="2"/>
  <c r="I844" i="2"/>
  <c r="J844" i="2"/>
  <c r="N844" i="2"/>
  <c r="D845" i="2"/>
  <c r="I845" i="2"/>
  <c r="J845" i="2"/>
  <c r="N845" i="2"/>
  <c r="D846" i="2"/>
  <c r="I846" i="2"/>
  <c r="J846" i="2"/>
  <c r="N846" i="2"/>
  <c r="D847" i="2"/>
  <c r="I847" i="2"/>
  <c r="J847" i="2"/>
  <c r="N847" i="2"/>
  <c r="D848" i="2"/>
  <c r="I848" i="2"/>
  <c r="J848" i="2"/>
  <c r="N848" i="2"/>
  <c r="D849" i="2"/>
  <c r="I849" i="2"/>
  <c r="J849" i="2"/>
  <c r="N849" i="2"/>
  <c r="D850" i="2"/>
  <c r="I850" i="2"/>
  <c r="J850" i="2"/>
  <c r="N850" i="2"/>
  <c r="D851" i="2"/>
  <c r="I851" i="2"/>
  <c r="J851" i="2"/>
  <c r="N851" i="2"/>
  <c r="D852" i="2"/>
  <c r="I852" i="2"/>
  <c r="J852" i="2"/>
  <c r="N852" i="2"/>
  <c r="D853" i="2"/>
  <c r="I853" i="2"/>
  <c r="J853" i="2"/>
  <c r="N853" i="2"/>
  <c r="D854" i="2"/>
  <c r="I854" i="2"/>
  <c r="J854" i="2"/>
  <c r="N854" i="2"/>
  <c r="D855" i="2"/>
  <c r="I855" i="2"/>
  <c r="J855" i="2"/>
  <c r="N855" i="2"/>
  <c r="D856" i="2"/>
  <c r="I856" i="2"/>
  <c r="J856" i="2"/>
  <c r="N856" i="2"/>
  <c r="D857" i="2"/>
  <c r="I857" i="2"/>
  <c r="J857" i="2"/>
  <c r="N857" i="2"/>
  <c r="D858" i="2"/>
  <c r="I858" i="2"/>
  <c r="J858" i="2"/>
  <c r="N858" i="2"/>
  <c r="D859" i="2"/>
  <c r="I859" i="2"/>
  <c r="J859" i="2"/>
  <c r="N859" i="2"/>
  <c r="D860" i="2"/>
  <c r="I860" i="2"/>
  <c r="J860" i="2"/>
  <c r="N860" i="2"/>
  <c r="D861" i="2"/>
  <c r="I861" i="2"/>
  <c r="J861" i="2"/>
  <c r="N861" i="2"/>
  <c r="D862" i="2"/>
  <c r="I862" i="2"/>
  <c r="J862" i="2"/>
  <c r="N862" i="2"/>
  <c r="D863" i="2"/>
  <c r="I863" i="2"/>
  <c r="J863" i="2"/>
  <c r="N863" i="2"/>
  <c r="D864" i="2"/>
  <c r="I864" i="2"/>
  <c r="J864" i="2"/>
  <c r="N864" i="2"/>
  <c r="D865" i="2"/>
  <c r="I865" i="2"/>
  <c r="J865" i="2"/>
  <c r="N865" i="2"/>
  <c r="D866" i="2"/>
  <c r="I866" i="2"/>
  <c r="J866" i="2"/>
  <c r="N866" i="2"/>
  <c r="D867" i="2"/>
  <c r="I867" i="2"/>
  <c r="J867" i="2"/>
  <c r="N867" i="2"/>
  <c r="D868" i="2"/>
  <c r="I868" i="2"/>
  <c r="J868" i="2"/>
  <c r="N868" i="2"/>
  <c r="D869" i="2"/>
  <c r="I869" i="2"/>
  <c r="J869" i="2"/>
  <c r="N869" i="2"/>
  <c r="D870" i="2"/>
  <c r="I870" i="2"/>
  <c r="J870" i="2"/>
  <c r="N870" i="2"/>
  <c r="D871" i="2"/>
  <c r="I871" i="2"/>
  <c r="J871" i="2"/>
  <c r="N871" i="2"/>
  <c r="D872" i="2"/>
  <c r="I872" i="2"/>
  <c r="J872" i="2"/>
  <c r="N872" i="2"/>
  <c r="D873" i="2"/>
  <c r="I873" i="2"/>
  <c r="J873" i="2"/>
  <c r="N873" i="2"/>
  <c r="D874" i="2"/>
  <c r="I874" i="2"/>
  <c r="J874" i="2"/>
  <c r="N874" i="2"/>
  <c r="D875" i="2"/>
  <c r="I875" i="2"/>
  <c r="J875" i="2"/>
  <c r="N875" i="2"/>
  <c r="D876" i="2"/>
  <c r="I876" i="2"/>
  <c r="J876" i="2"/>
  <c r="N876" i="2"/>
  <c r="D877" i="2"/>
  <c r="I877" i="2"/>
  <c r="J877" i="2"/>
  <c r="N877" i="2"/>
  <c r="D878" i="2"/>
  <c r="I878" i="2"/>
  <c r="J878" i="2"/>
  <c r="N878" i="2"/>
  <c r="D879" i="2"/>
  <c r="I879" i="2"/>
  <c r="J879" i="2"/>
  <c r="N879" i="2"/>
  <c r="D880" i="2"/>
  <c r="I880" i="2"/>
  <c r="J880" i="2"/>
  <c r="N880" i="2"/>
  <c r="D881" i="2"/>
  <c r="I881" i="2"/>
  <c r="J881" i="2"/>
  <c r="N881" i="2"/>
  <c r="D882" i="2"/>
  <c r="I882" i="2"/>
  <c r="J882" i="2"/>
  <c r="N882" i="2"/>
  <c r="D883" i="2"/>
  <c r="I883" i="2"/>
  <c r="J883" i="2"/>
  <c r="N883" i="2"/>
  <c r="D884" i="2"/>
  <c r="I884" i="2"/>
  <c r="J884" i="2"/>
  <c r="N884" i="2"/>
  <c r="D885" i="2"/>
  <c r="I885" i="2"/>
  <c r="J885" i="2"/>
  <c r="N885" i="2"/>
  <c r="D886" i="2"/>
  <c r="I886" i="2"/>
  <c r="J886" i="2"/>
  <c r="N886" i="2"/>
  <c r="D887" i="2"/>
  <c r="I887" i="2"/>
  <c r="J887" i="2"/>
  <c r="N887" i="2"/>
  <c r="D888" i="2"/>
  <c r="I888" i="2"/>
  <c r="J888" i="2"/>
  <c r="N888" i="2"/>
  <c r="D889" i="2"/>
  <c r="I889" i="2"/>
  <c r="J889" i="2"/>
  <c r="N889" i="2"/>
  <c r="D890" i="2"/>
  <c r="I890" i="2"/>
  <c r="J890" i="2"/>
  <c r="N890" i="2"/>
  <c r="D891" i="2"/>
  <c r="I891" i="2"/>
  <c r="J891" i="2"/>
  <c r="N891" i="2"/>
  <c r="D892" i="2"/>
  <c r="I892" i="2"/>
  <c r="J892" i="2"/>
  <c r="N892" i="2"/>
  <c r="D893" i="2"/>
  <c r="I893" i="2"/>
  <c r="J893" i="2"/>
  <c r="N893" i="2"/>
  <c r="D894" i="2"/>
  <c r="I894" i="2"/>
  <c r="J894" i="2"/>
  <c r="N894" i="2"/>
  <c r="D895" i="2"/>
  <c r="I895" i="2"/>
  <c r="J895" i="2"/>
  <c r="N895" i="2"/>
  <c r="D896" i="2"/>
  <c r="I896" i="2"/>
  <c r="J896" i="2"/>
  <c r="N896" i="2"/>
  <c r="D897" i="2"/>
  <c r="I897" i="2"/>
  <c r="J897" i="2"/>
  <c r="N897" i="2"/>
  <c r="D898" i="2"/>
  <c r="I898" i="2"/>
  <c r="J898" i="2"/>
  <c r="N898" i="2"/>
  <c r="D899" i="2"/>
  <c r="I899" i="2"/>
  <c r="J899" i="2"/>
  <c r="N899" i="2"/>
  <c r="D900" i="2"/>
  <c r="I900" i="2"/>
  <c r="J900" i="2"/>
  <c r="N900" i="2"/>
  <c r="D901" i="2"/>
  <c r="I901" i="2"/>
  <c r="J901" i="2"/>
  <c r="N901" i="2"/>
  <c r="D902" i="2"/>
  <c r="I902" i="2"/>
  <c r="J902" i="2"/>
  <c r="N902" i="2"/>
  <c r="D903" i="2"/>
  <c r="I903" i="2"/>
  <c r="J903" i="2"/>
  <c r="N903" i="2"/>
  <c r="D904" i="2"/>
  <c r="I904" i="2"/>
  <c r="J904" i="2"/>
  <c r="N904" i="2"/>
  <c r="D905" i="2"/>
  <c r="I905" i="2"/>
  <c r="J905" i="2"/>
  <c r="N905" i="2"/>
  <c r="D906" i="2"/>
  <c r="I906" i="2"/>
  <c r="J906" i="2"/>
  <c r="N906" i="2"/>
  <c r="D907" i="2"/>
  <c r="I907" i="2"/>
  <c r="J907" i="2"/>
  <c r="N907" i="2"/>
  <c r="D908" i="2"/>
  <c r="I908" i="2"/>
  <c r="J908" i="2"/>
  <c r="N908" i="2"/>
  <c r="D909" i="2"/>
  <c r="I909" i="2"/>
  <c r="J909" i="2"/>
  <c r="N909" i="2"/>
  <c r="D910" i="2"/>
  <c r="I910" i="2"/>
  <c r="J910" i="2"/>
  <c r="N910" i="2"/>
  <c r="D911" i="2"/>
  <c r="I911" i="2"/>
  <c r="J911" i="2"/>
  <c r="N911" i="2"/>
  <c r="D912" i="2"/>
  <c r="I912" i="2"/>
  <c r="J912" i="2"/>
  <c r="N912" i="2"/>
  <c r="D913" i="2"/>
  <c r="I913" i="2"/>
  <c r="J913" i="2"/>
  <c r="N913" i="2"/>
  <c r="D914" i="2"/>
  <c r="I914" i="2"/>
  <c r="J914" i="2"/>
  <c r="N914" i="2"/>
  <c r="D915" i="2"/>
  <c r="I915" i="2"/>
  <c r="J915" i="2"/>
  <c r="N915" i="2"/>
  <c r="D916" i="2"/>
  <c r="I916" i="2"/>
  <c r="J916" i="2"/>
  <c r="N916" i="2"/>
  <c r="D917" i="2"/>
  <c r="I917" i="2"/>
  <c r="J917" i="2"/>
  <c r="N917" i="2"/>
  <c r="D918" i="2"/>
  <c r="I918" i="2"/>
  <c r="J918" i="2"/>
  <c r="N918" i="2"/>
  <c r="D919" i="2"/>
  <c r="I919" i="2"/>
  <c r="J919" i="2"/>
  <c r="N919" i="2"/>
  <c r="D920" i="2"/>
  <c r="I920" i="2"/>
  <c r="J920" i="2"/>
  <c r="N920" i="2"/>
  <c r="D921" i="2"/>
  <c r="I921" i="2"/>
  <c r="J921" i="2"/>
  <c r="N921" i="2"/>
  <c r="D922" i="2"/>
  <c r="I922" i="2"/>
  <c r="J922" i="2"/>
  <c r="N922" i="2"/>
  <c r="D923" i="2"/>
  <c r="I923" i="2"/>
  <c r="J923" i="2"/>
  <c r="N923" i="2"/>
  <c r="D924" i="2"/>
  <c r="I924" i="2"/>
  <c r="J924" i="2"/>
  <c r="N924" i="2"/>
  <c r="D925" i="2"/>
  <c r="I925" i="2"/>
  <c r="J925" i="2"/>
  <c r="N925" i="2"/>
  <c r="D926" i="2"/>
  <c r="I926" i="2"/>
  <c r="J926" i="2"/>
  <c r="N926" i="2"/>
  <c r="D927" i="2"/>
  <c r="I927" i="2"/>
  <c r="J927" i="2"/>
  <c r="N927" i="2"/>
  <c r="D928" i="2"/>
  <c r="I928" i="2"/>
  <c r="J928" i="2"/>
  <c r="N928" i="2"/>
  <c r="D929" i="2"/>
  <c r="I929" i="2"/>
  <c r="J929" i="2"/>
  <c r="N929" i="2"/>
  <c r="D930" i="2"/>
  <c r="I930" i="2"/>
  <c r="J930" i="2"/>
  <c r="N930" i="2"/>
  <c r="D931" i="2"/>
  <c r="I931" i="2"/>
  <c r="J931" i="2"/>
  <c r="N931" i="2"/>
  <c r="D932" i="2"/>
  <c r="I932" i="2"/>
  <c r="J932" i="2"/>
  <c r="N932" i="2"/>
  <c r="D933" i="2"/>
  <c r="I933" i="2"/>
  <c r="J933" i="2"/>
  <c r="N933" i="2"/>
  <c r="D934" i="2"/>
  <c r="I934" i="2"/>
  <c r="J934" i="2"/>
  <c r="N934" i="2"/>
  <c r="D935" i="2"/>
  <c r="I935" i="2"/>
  <c r="J935" i="2"/>
  <c r="N935" i="2"/>
  <c r="D936" i="2"/>
  <c r="I936" i="2"/>
  <c r="J936" i="2"/>
  <c r="N936" i="2"/>
  <c r="D937" i="2"/>
  <c r="I937" i="2"/>
  <c r="J937" i="2"/>
  <c r="N937" i="2"/>
  <c r="D938" i="2"/>
  <c r="I938" i="2"/>
  <c r="J938" i="2"/>
  <c r="N938" i="2"/>
  <c r="D939" i="2"/>
  <c r="I939" i="2"/>
  <c r="J939" i="2"/>
  <c r="N939" i="2"/>
  <c r="D940" i="2"/>
  <c r="I940" i="2"/>
  <c r="J940" i="2"/>
  <c r="N940" i="2"/>
  <c r="D941" i="2"/>
  <c r="I941" i="2"/>
  <c r="J941" i="2"/>
  <c r="N941" i="2"/>
  <c r="D942" i="2"/>
  <c r="I942" i="2"/>
  <c r="J942" i="2"/>
  <c r="N942" i="2"/>
  <c r="D943" i="2"/>
  <c r="I943" i="2"/>
  <c r="J943" i="2"/>
  <c r="N943" i="2"/>
  <c r="D944" i="2"/>
  <c r="I944" i="2"/>
  <c r="J944" i="2"/>
  <c r="N944" i="2"/>
  <c r="D945" i="2"/>
  <c r="I945" i="2"/>
  <c r="J945" i="2"/>
  <c r="N945" i="2"/>
  <c r="D946" i="2"/>
  <c r="I946" i="2"/>
  <c r="J946" i="2"/>
  <c r="N946" i="2"/>
  <c r="D947" i="2"/>
  <c r="I947" i="2"/>
  <c r="J947" i="2"/>
  <c r="N947" i="2"/>
  <c r="D948" i="2"/>
  <c r="I948" i="2"/>
  <c r="J948" i="2"/>
  <c r="N948" i="2"/>
  <c r="D949" i="2"/>
  <c r="I949" i="2"/>
  <c r="J949" i="2"/>
  <c r="N949" i="2"/>
  <c r="D950" i="2"/>
  <c r="I950" i="2"/>
  <c r="J950" i="2"/>
  <c r="N950" i="2"/>
  <c r="D951" i="2"/>
  <c r="I951" i="2"/>
  <c r="J951" i="2"/>
  <c r="N951" i="2"/>
  <c r="D952" i="2"/>
  <c r="I952" i="2"/>
  <c r="J952" i="2"/>
  <c r="N952" i="2"/>
  <c r="D953" i="2"/>
  <c r="I953" i="2"/>
  <c r="J953" i="2"/>
  <c r="N953" i="2"/>
  <c r="D954" i="2"/>
  <c r="I954" i="2"/>
  <c r="J954" i="2"/>
  <c r="N954" i="2"/>
  <c r="D955" i="2"/>
  <c r="I955" i="2"/>
  <c r="J955" i="2"/>
  <c r="N955" i="2"/>
  <c r="D956" i="2"/>
  <c r="I956" i="2"/>
  <c r="J956" i="2"/>
  <c r="N956" i="2"/>
  <c r="D957" i="2"/>
  <c r="I957" i="2"/>
  <c r="J957" i="2"/>
  <c r="N957" i="2"/>
  <c r="D958" i="2"/>
  <c r="I958" i="2"/>
  <c r="J958" i="2"/>
  <c r="N958" i="2"/>
  <c r="D959" i="2"/>
  <c r="I959" i="2"/>
  <c r="J959" i="2"/>
  <c r="N959" i="2"/>
  <c r="D960" i="2"/>
  <c r="I960" i="2"/>
  <c r="J960" i="2"/>
  <c r="N960" i="2"/>
  <c r="D961" i="2"/>
  <c r="I961" i="2"/>
  <c r="J961" i="2"/>
  <c r="N961" i="2"/>
  <c r="D962" i="2"/>
  <c r="I962" i="2"/>
  <c r="J962" i="2"/>
  <c r="N962" i="2"/>
  <c r="D963" i="2"/>
  <c r="I963" i="2"/>
  <c r="J963" i="2"/>
  <c r="N963" i="2"/>
  <c r="D964" i="2"/>
  <c r="I964" i="2"/>
  <c r="J964" i="2"/>
  <c r="N964" i="2"/>
  <c r="D965" i="2"/>
  <c r="I965" i="2"/>
  <c r="J965" i="2"/>
  <c r="N965" i="2"/>
  <c r="D966" i="2"/>
  <c r="I966" i="2"/>
  <c r="J966" i="2"/>
  <c r="N966" i="2"/>
  <c r="D967" i="2"/>
  <c r="I967" i="2"/>
  <c r="J967" i="2"/>
  <c r="N967" i="2"/>
  <c r="D968" i="2"/>
  <c r="I968" i="2"/>
  <c r="J968" i="2"/>
  <c r="N968" i="2"/>
  <c r="D969" i="2"/>
  <c r="I969" i="2"/>
  <c r="J969" i="2"/>
  <c r="N969" i="2"/>
  <c r="D970" i="2"/>
  <c r="I970" i="2"/>
  <c r="J970" i="2"/>
  <c r="N970" i="2"/>
  <c r="D971" i="2"/>
  <c r="I971" i="2"/>
  <c r="J971" i="2"/>
  <c r="N971" i="2"/>
  <c r="D972" i="2"/>
  <c r="I972" i="2"/>
  <c r="J972" i="2"/>
  <c r="N972" i="2"/>
  <c r="D973" i="2"/>
  <c r="I973" i="2"/>
  <c r="J973" i="2"/>
  <c r="N973" i="2"/>
  <c r="D974" i="2"/>
  <c r="I974" i="2"/>
  <c r="J974" i="2"/>
  <c r="N974" i="2"/>
  <c r="D975" i="2"/>
  <c r="I975" i="2"/>
  <c r="J975" i="2"/>
  <c r="N975" i="2"/>
  <c r="D976" i="2"/>
  <c r="I976" i="2"/>
  <c r="J976" i="2"/>
  <c r="N976" i="2"/>
  <c r="D977" i="2"/>
  <c r="I977" i="2"/>
  <c r="J977" i="2"/>
  <c r="N977" i="2"/>
  <c r="D978" i="2"/>
  <c r="I978" i="2"/>
  <c r="J978" i="2"/>
  <c r="N978" i="2"/>
  <c r="D979" i="2"/>
  <c r="I979" i="2"/>
  <c r="J979" i="2"/>
  <c r="N979" i="2"/>
  <c r="D980" i="2"/>
  <c r="I980" i="2"/>
  <c r="J980" i="2"/>
  <c r="N980" i="2"/>
  <c r="D981" i="2"/>
  <c r="I981" i="2"/>
  <c r="J981" i="2"/>
  <c r="N981" i="2"/>
  <c r="D982" i="2"/>
  <c r="I982" i="2"/>
  <c r="J982" i="2"/>
  <c r="N982" i="2"/>
  <c r="D983" i="2"/>
  <c r="I983" i="2"/>
  <c r="J983" i="2"/>
  <c r="N983" i="2"/>
  <c r="D984" i="2"/>
  <c r="I984" i="2"/>
  <c r="J984" i="2"/>
  <c r="N984" i="2"/>
  <c r="D985" i="2"/>
  <c r="I985" i="2"/>
  <c r="J985" i="2"/>
  <c r="N985" i="2"/>
  <c r="D986" i="2"/>
  <c r="I986" i="2"/>
  <c r="J986" i="2"/>
  <c r="N986" i="2"/>
  <c r="D987" i="2"/>
  <c r="I987" i="2"/>
  <c r="J987" i="2"/>
  <c r="N987" i="2"/>
  <c r="D988" i="2"/>
  <c r="I988" i="2"/>
  <c r="J988" i="2"/>
  <c r="N988" i="2"/>
  <c r="D989" i="2"/>
  <c r="I989" i="2"/>
  <c r="J989" i="2"/>
  <c r="N989" i="2"/>
  <c r="D990" i="2"/>
  <c r="I990" i="2"/>
  <c r="J990" i="2"/>
  <c r="N990" i="2"/>
  <c r="D991" i="2"/>
  <c r="I991" i="2"/>
  <c r="J991" i="2"/>
  <c r="N991" i="2"/>
  <c r="D992" i="2"/>
  <c r="I992" i="2"/>
  <c r="J992" i="2"/>
  <c r="N992" i="2"/>
  <c r="D993" i="2"/>
  <c r="I993" i="2"/>
  <c r="J993" i="2"/>
  <c r="N993" i="2"/>
  <c r="D994" i="2"/>
  <c r="I994" i="2"/>
  <c r="J994" i="2"/>
  <c r="N994" i="2"/>
  <c r="D995" i="2"/>
  <c r="I995" i="2"/>
  <c r="J995" i="2"/>
  <c r="N995" i="2"/>
  <c r="D996" i="2"/>
  <c r="I996" i="2"/>
  <c r="J996" i="2"/>
  <c r="N996" i="2"/>
  <c r="D997" i="2"/>
  <c r="I997" i="2"/>
  <c r="J997" i="2"/>
  <c r="N997" i="2"/>
  <c r="D998" i="2"/>
  <c r="I998" i="2"/>
  <c r="J998" i="2"/>
  <c r="N998" i="2"/>
  <c r="D999" i="2"/>
  <c r="I999" i="2"/>
  <c r="J999" i="2"/>
  <c r="N999" i="2"/>
  <c r="D1000" i="2"/>
  <c r="I1000" i="2"/>
  <c r="J1000" i="2"/>
  <c r="N1000" i="2"/>
  <c r="D1001" i="2"/>
  <c r="I1001" i="2"/>
  <c r="J1001" i="2"/>
  <c r="N1001" i="2"/>
  <c r="D1002" i="2"/>
  <c r="I1002" i="2"/>
  <c r="J1002" i="2"/>
  <c r="N1002" i="2"/>
  <c r="D1003" i="2"/>
  <c r="I1003" i="2"/>
  <c r="J1003" i="2"/>
  <c r="N1003" i="2"/>
  <c r="D1004" i="2"/>
  <c r="I1004" i="2"/>
  <c r="J1004" i="2"/>
  <c r="N1004" i="2"/>
  <c r="D1005" i="2"/>
  <c r="I1005" i="2"/>
  <c r="J1005" i="2"/>
  <c r="N1005" i="2"/>
  <c r="D1006" i="2"/>
  <c r="I1006" i="2"/>
  <c r="J1006" i="2"/>
  <c r="N1006" i="2"/>
  <c r="D1007" i="2"/>
  <c r="I1007" i="2"/>
  <c r="J1007" i="2"/>
  <c r="N1007" i="2"/>
  <c r="D1008" i="2"/>
  <c r="I1008" i="2"/>
  <c r="J1008" i="2"/>
  <c r="N1008" i="2"/>
  <c r="D1009" i="2"/>
  <c r="I1009" i="2"/>
  <c r="J1009" i="2"/>
  <c r="N1009" i="2"/>
  <c r="D1010" i="2"/>
  <c r="I1010" i="2"/>
  <c r="J1010" i="2"/>
  <c r="N1010" i="2"/>
  <c r="D1011" i="2"/>
  <c r="I1011" i="2"/>
  <c r="J1011" i="2"/>
  <c r="N1011" i="2"/>
  <c r="D1012" i="2"/>
  <c r="I1012" i="2"/>
  <c r="J1012" i="2"/>
  <c r="N1012" i="2"/>
  <c r="D1013" i="2"/>
  <c r="I1013" i="2"/>
  <c r="J1013" i="2"/>
  <c r="N1013" i="2"/>
  <c r="D1014" i="2"/>
  <c r="I1014" i="2"/>
  <c r="J1014" i="2"/>
  <c r="N1014" i="2"/>
  <c r="D1015" i="2"/>
  <c r="I1015" i="2"/>
  <c r="J1015" i="2"/>
  <c r="N1015" i="2"/>
  <c r="D1016" i="2"/>
  <c r="I1016" i="2"/>
  <c r="J1016" i="2"/>
  <c r="N1016" i="2"/>
  <c r="D1017" i="2"/>
  <c r="I1017" i="2"/>
  <c r="J1017" i="2"/>
  <c r="N1017" i="2"/>
  <c r="D1018" i="2"/>
  <c r="I1018" i="2"/>
  <c r="J1018" i="2"/>
  <c r="N1018" i="2"/>
  <c r="D1019" i="2"/>
  <c r="I1019" i="2"/>
  <c r="J1019" i="2"/>
  <c r="N1019" i="2"/>
  <c r="D1020" i="2"/>
  <c r="I1020" i="2"/>
  <c r="J1020" i="2"/>
  <c r="N1020" i="2"/>
  <c r="D1021" i="2"/>
  <c r="I1021" i="2"/>
  <c r="J1021" i="2"/>
  <c r="N1021" i="2"/>
  <c r="D1022" i="2"/>
  <c r="I1022" i="2"/>
  <c r="J1022" i="2"/>
  <c r="N1022" i="2"/>
  <c r="D1023" i="2"/>
  <c r="I1023" i="2"/>
  <c r="J1023" i="2"/>
  <c r="N1023" i="2"/>
  <c r="D1024" i="2"/>
  <c r="I1024" i="2"/>
  <c r="J1024" i="2"/>
  <c r="N1024" i="2"/>
  <c r="D1025" i="2"/>
  <c r="I1025" i="2"/>
  <c r="J1025" i="2"/>
  <c r="N1025" i="2"/>
  <c r="D1026" i="2"/>
  <c r="I1026" i="2"/>
  <c r="J1026" i="2"/>
  <c r="N1026" i="2"/>
  <c r="D1027" i="2"/>
  <c r="I1027" i="2"/>
  <c r="J1027" i="2"/>
  <c r="N1027" i="2"/>
  <c r="D1028" i="2"/>
  <c r="I1028" i="2"/>
  <c r="J1028" i="2"/>
  <c r="N1028" i="2"/>
  <c r="D1029" i="2"/>
  <c r="I1029" i="2"/>
  <c r="J1029" i="2"/>
  <c r="N1029" i="2"/>
  <c r="D1030" i="2"/>
  <c r="I1030" i="2"/>
  <c r="J1030" i="2"/>
  <c r="N1030" i="2"/>
  <c r="D1031" i="2"/>
  <c r="I1031" i="2"/>
  <c r="J1031" i="2"/>
  <c r="N1031" i="2"/>
  <c r="D1032" i="2"/>
  <c r="I1032" i="2"/>
  <c r="J1032" i="2"/>
  <c r="N1032" i="2"/>
  <c r="D1033" i="2"/>
  <c r="I1033" i="2"/>
  <c r="J1033" i="2"/>
  <c r="N1033" i="2"/>
  <c r="D1034" i="2"/>
  <c r="I1034" i="2"/>
  <c r="J1034" i="2"/>
  <c r="N1034" i="2"/>
  <c r="D1035" i="2"/>
  <c r="I1035" i="2"/>
  <c r="J1035" i="2"/>
  <c r="N1035" i="2"/>
  <c r="D1036" i="2"/>
  <c r="I1036" i="2"/>
  <c r="J1036" i="2"/>
  <c r="N1036" i="2"/>
  <c r="D1037" i="2"/>
  <c r="I1037" i="2"/>
  <c r="J1037" i="2"/>
  <c r="N1037" i="2"/>
  <c r="D1038" i="2"/>
  <c r="I1038" i="2"/>
  <c r="J1038" i="2"/>
  <c r="N1038" i="2"/>
  <c r="D1039" i="2"/>
  <c r="I1039" i="2"/>
  <c r="J1039" i="2"/>
  <c r="N1039" i="2"/>
  <c r="D1040" i="2"/>
  <c r="I1040" i="2"/>
  <c r="J1040" i="2"/>
  <c r="N1040" i="2"/>
  <c r="D1041" i="2"/>
  <c r="I1041" i="2"/>
  <c r="J1041" i="2"/>
  <c r="N1041" i="2"/>
  <c r="D1042" i="2"/>
  <c r="I1042" i="2"/>
  <c r="J1042" i="2"/>
  <c r="N1042" i="2"/>
  <c r="D1043" i="2"/>
  <c r="I1043" i="2"/>
  <c r="J1043" i="2"/>
  <c r="N1043" i="2"/>
  <c r="D1044" i="2"/>
  <c r="I1044" i="2"/>
  <c r="J1044" i="2"/>
  <c r="N1044" i="2"/>
  <c r="D1045" i="2"/>
  <c r="I1045" i="2"/>
  <c r="J1045" i="2"/>
  <c r="N1045" i="2"/>
  <c r="D1046" i="2"/>
  <c r="I1046" i="2"/>
  <c r="J1046" i="2"/>
  <c r="N1046" i="2"/>
  <c r="D1047" i="2"/>
  <c r="I1047" i="2"/>
  <c r="J1047" i="2"/>
  <c r="N1047" i="2"/>
  <c r="D1048" i="2"/>
  <c r="I1048" i="2"/>
  <c r="J1048" i="2"/>
  <c r="N1048" i="2"/>
  <c r="D1049" i="2"/>
  <c r="I1049" i="2"/>
  <c r="J1049" i="2"/>
  <c r="N1049" i="2"/>
  <c r="D1050" i="2"/>
  <c r="I1050" i="2"/>
  <c r="J1050" i="2"/>
  <c r="N1050" i="2"/>
  <c r="D1051" i="2"/>
  <c r="I1051" i="2"/>
  <c r="J1051" i="2"/>
  <c r="N1051" i="2"/>
  <c r="D1052" i="2"/>
  <c r="I1052" i="2"/>
  <c r="J1052" i="2"/>
  <c r="N1052" i="2"/>
  <c r="D1053" i="2"/>
  <c r="I1053" i="2"/>
  <c r="J1053" i="2"/>
  <c r="N1053" i="2"/>
  <c r="D1054" i="2"/>
  <c r="I1054" i="2"/>
  <c r="J1054" i="2"/>
  <c r="N1054" i="2"/>
  <c r="D1055" i="2"/>
  <c r="I1055" i="2"/>
  <c r="J1055" i="2"/>
  <c r="N1055" i="2"/>
  <c r="D1056" i="2"/>
  <c r="I1056" i="2"/>
  <c r="J1056" i="2"/>
  <c r="N1056" i="2"/>
  <c r="D1057" i="2"/>
  <c r="I1057" i="2"/>
  <c r="J1057" i="2"/>
  <c r="N1057" i="2"/>
  <c r="D1058" i="2"/>
  <c r="I1058" i="2"/>
  <c r="J1058" i="2"/>
  <c r="N1058" i="2"/>
  <c r="D1059" i="2"/>
  <c r="I1059" i="2"/>
  <c r="J1059" i="2"/>
  <c r="N1059" i="2"/>
  <c r="D1060" i="2"/>
  <c r="I1060" i="2"/>
  <c r="J1060" i="2"/>
  <c r="N1060" i="2"/>
  <c r="D1061" i="2"/>
  <c r="I1061" i="2"/>
  <c r="J1061" i="2"/>
  <c r="N1061" i="2"/>
  <c r="D1062" i="2"/>
  <c r="I1062" i="2"/>
  <c r="J1062" i="2"/>
  <c r="N1062" i="2"/>
  <c r="D1063" i="2"/>
  <c r="I1063" i="2"/>
  <c r="J1063" i="2"/>
  <c r="N1063" i="2"/>
  <c r="D1064" i="2"/>
  <c r="I1064" i="2"/>
  <c r="J1064" i="2"/>
  <c r="N1064" i="2"/>
  <c r="D1065" i="2"/>
  <c r="I1065" i="2"/>
  <c r="J1065" i="2"/>
  <c r="N1065" i="2"/>
  <c r="D1066" i="2"/>
  <c r="I1066" i="2"/>
  <c r="J1066" i="2"/>
  <c r="N1066" i="2"/>
  <c r="D1067" i="2"/>
  <c r="I1067" i="2"/>
  <c r="J1067" i="2"/>
  <c r="N1067" i="2"/>
  <c r="D1068" i="2"/>
  <c r="I1068" i="2"/>
  <c r="J1068" i="2"/>
  <c r="N1068" i="2"/>
  <c r="D1069" i="2"/>
  <c r="I1069" i="2"/>
  <c r="J1069" i="2"/>
  <c r="N1069" i="2"/>
  <c r="D1070" i="2"/>
  <c r="I1070" i="2"/>
  <c r="J1070" i="2"/>
  <c r="N1070" i="2"/>
  <c r="D1071" i="2"/>
  <c r="I1071" i="2"/>
  <c r="J1071" i="2"/>
  <c r="N1071" i="2"/>
  <c r="D1072" i="2"/>
  <c r="I1072" i="2"/>
  <c r="J1072" i="2"/>
  <c r="N1072" i="2"/>
  <c r="D1073" i="2"/>
  <c r="I1073" i="2"/>
  <c r="J1073" i="2"/>
  <c r="N1073" i="2"/>
  <c r="D1074" i="2"/>
  <c r="I1074" i="2"/>
  <c r="J1074" i="2"/>
  <c r="N1074" i="2"/>
  <c r="D1075" i="2"/>
  <c r="I1075" i="2"/>
  <c r="J1075" i="2"/>
  <c r="N1075" i="2"/>
  <c r="D1076" i="2"/>
  <c r="I1076" i="2"/>
  <c r="J1076" i="2"/>
  <c r="N1076" i="2"/>
  <c r="D1077" i="2"/>
  <c r="I1077" i="2"/>
  <c r="J1077" i="2"/>
  <c r="N1077" i="2"/>
  <c r="D1078" i="2"/>
  <c r="I1078" i="2"/>
  <c r="J1078" i="2"/>
  <c r="N1078" i="2"/>
  <c r="D1079" i="2"/>
  <c r="I1079" i="2"/>
  <c r="J1079" i="2"/>
  <c r="N1079" i="2"/>
  <c r="D1080" i="2"/>
  <c r="I1080" i="2"/>
  <c r="J1080" i="2"/>
  <c r="N1080" i="2"/>
  <c r="D1081" i="2"/>
  <c r="I1081" i="2"/>
  <c r="J1081" i="2"/>
  <c r="N1081" i="2"/>
  <c r="D1082" i="2"/>
  <c r="I1082" i="2"/>
  <c r="J1082" i="2"/>
  <c r="N1082" i="2"/>
  <c r="D1083" i="2"/>
  <c r="I1083" i="2"/>
  <c r="J1083" i="2"/>
  <c r="N1083" i="2"/>
  <c r="D1084" i="2"/>
  <c r="I1084" i="2"/>
  <c r="J1084" i="2"/>
  <c r="N1084" i="2"/>
  <c r="D1085" i="2"/>
  <c r="I1085" i="2"/>
  <c r="J1085" i="2"/>
  <c r="N1085" i="2"/>
  <c r="D1086" i="2"/>
  <c r="I1086" i="2"/>
  <c r="J1086" i="2"/>
  <c r="N1086" i="2"/>
  <c r="D1087" i="2"/>
  <c r="I1087" i="2"/>
  <c r="J1087" i="2"/>
  <c r="N1087" i="2"/>
  <c r="D1088" i="2"/>
  <c r="I1088" i="2"/>
  <c r="J1088" i="2"/>
  <c r="N1088" i="2"/>
  <c r="D1089" i="2"/>
  <c r="I1089" i="2"/>
  <c r="J1089" i="2"/>
  <c r="N1089" i="2"/>
  <c r="D1090" i="2"/>
  <c r="I1090" i="2"/>
  <c r="J1090" i="2"/>
  <c r="N1090" i="2"/>
  <c r="D1091" i="2"/>
  <c r="I1091" i="2"/>
  <c r="J1091" i="2"/>
  <c r="N1091" i="2"/>
  <c r="D1092" i="2"/>
  <c r="I1092" i="2"/>
  <c r="J1092" i="2"/>
  <c r="N1092" i="2"/>
  <c r="D1093" i="2"/>
  <c r="I1093" i="2"/>
  <c r="J1093" i="2"/>
  <c r="N1093" i="2"/>
  <c r="D1094" i="2"/>
  <c r="I1094" i="2"/>
  <c r="J1094" i="2"/>
  <c r="N1094" i="2"/>
  <c r="D1095" i="2"/>
  <c r="I1095" i="2"/>
  <c r="J1095" i="2"/>
  <c r="N1095" i="2"/>
  <c r="D1096" i="2"/>
  <c r="I1096" i="2"/>
  <c r="J1096" i="2"/>
  <c r="N1096" i="2"/>
  <c r="D1097" i="2"/>
  <c r="I1097" i="2"/>
  <c r="J1097" i="2"/>
  <c r="N1097" i="2"/>
  <c r="D1098" i="2"/>
  <c r="I1098" i="2"/>
  <c r="J1098" i="2"/>
  <c r="N1098" i="2"/>
  <c r="D1099" i="2"/>
  <c r="I1099" i="2"/>
  <c r="J1099" i="2"/>
  <c r="N1099" i="2"/>
  <c r="D1100" i="2"/>
  <c r="I1100" i="2"/>
  <c r="J1100" i="2"/>
  <c r="N1100" i="2"/>
  <c r="D1101" i="2"/>
  <c r="I1101" i="2"/>
  <c r="J1101" i="2"/>
  <c r="N1101" i="2"/>
  <c r="D1102" i="2"/>
  <c r="I1102" i="2"/>
  <c r="J1102" i="2"/>
  <c r="N1102" i="2"/>
  <c r="D1103" i="2"/>
  <c r="I1103" i="2"/>
  <c r="J1103" i="2"/>
  <c r="N1103" i="2"/>
  <c r="D1104" i="2"/>
  <c r="I1104" i="2"/>
  <c r="J1104" i="2"/>
  <c r="N1104" i="2"/>
  <c r="D1105" i="2"/>
  <c r="I1105" i="2"/>
  <c r="J1105" i="2"/>
  <c r="N1105" i="2"/>
  <c r="D1106" i="2"/>
  <c r="I1106" i="2"/>
  <c r="J1106" i="2"/>
  <c r="N1106" i="2"/>
  <c r="D1107" i="2"/>
  <c r="I1107" i="2"/>
  <c r="J1107" i="2"/>
  <c r="N1107" i="2"/>
  <c r="D1108" i="2"/>
  <c r="I1108" i="2"/>
  <c r="J1108" i="2"/>
  <c r="N1108" i="2"/>
  <c r="D1109" i="2"/>
  <c r="I1109" i="2"/>
  <c r="J1109" i="2"/>
  <c r="N1109" i="2"/>
  <c r="D1110" i="2"/>
  <c r="I1110" i="2"/>
  <c r="J1110" i="2"/>
  <c r="N1110" i="2"/>
  <c r="D1111" i="2"/>
  <c r="I1111" i="2"/>
  <c r="J1111" i="2"/>
  <c r="N1111" i="2"/>
  <c r="D1112" i="2"/>
  <c r="I1112" i="2"/>
  <c r="J1112" i="2"/>
  <c r="N1112" i="2"/>
  <c r="D1113" i="2"/>
  <c r="I1113" i="2"/>
  <c r="J1113" i="2"/>
  <c r="N1113" i="2"/>
  <c r="D1114" i="2"/>
  <c r="I1114" i="2"/>
  <c r="J1114" i="2"/>
  <c r="N1114" i="2"/>
  <c r="D1115" i="2"/>
  <c r="I1115" i="2"/>
  <c r="J1115" i="2"/>
  <c r="N1115" i="2"/>
  <c r="D1116" i="2"/>
  <c r="I1116" i="2"/>
  <c r="J1116" i="2"/>
  <c r="N1116" i="2"/>
  <c r="D1117" i="2"/>
  <c r="I1117" i="2"/>
  <c r="J1117" i="2"/>
  <c r="N1117" i="2"/>
  <c r="D1118" i="2"/>
  <c r="I1118" i="2"/>
  <c r="J1118" i="2"/>
  <c r="N1118" i="2"/>
  <c r="D1119" i="2"/>
  <c r="I1119" i="2"/>
  <c r="J1119" i="2"/>
  <c r="N1119" i="2"/>
  <c r="D1120" i="2"/>
  <c r="I1120" i="2"/>
  <c r="J1120" i="2"/>
  <c r="N1120" i="2"/>
  <c r="D1121" i="2"/>
  <c r="I1121" i="2"/>
  <c r="J1121" i="2"/>
  <c r="N1121" i="2"/>
  <c r="D1122" i="2"/>
  <c r="I1122" i="2"/>
  <c r="J1122" i="2"/>
  <c r="N1122" i="2"/>
  <c r="D1123" i="2"/>
  <c r="I1123" i="2"/>
  <c r="J1123" i="2"/>
  <c r="N1123" i="2"/>
  <c r="D1124" i="2"/>
  <c r="I1124" i="2"/>
  <c r="J1124" i="2"/>
  <c r="N1124" i="2"/>
  <c r="D1125" i="2"/>
  <c r="I1125" i="2"/>
  <c r="J1125" i="2"/>
  <c r="N1125" i="2"/>
  <c r="D1126" i="2"/>
  <c r="I1126" i="2"/>
  <c r="J1126" i="2"/>
  <c r="N1126" i="2"/>
  <c r="D1127" i="2"/>
  <c r="I1127" i="2"/>
  <c r="J1127" i="2"/>
  <c r="N1127" i="2"/>
  <c r="D1128" i="2"/>
  <c r="I1128" i="2"/>
  <c r="J1128" i="2"/>
  <c r="N1128" i="2"/>
  <c r="D1129" i="2"/>
  <c r="I1129" i="2"/>
  <c r="J1129" i="2"/>
  <c r="N1129" i="2"/>
  <c r="D1130" i="2"/>
  <c r="I1130" i="2"/>
  <c r="J1130" i="2"/>
  <c r="N1130" i="2"/>
  <c r="D1131" i="2"/>
  <c r="I1131" i="2"/>
  <c r="J1131" i="2"/>
  <c r="N1131" i="2"/>
  <c r="D1132" i="2"/>
  <c r="I1132" i="2"/>
  <c r="J1132" i="2"/>
  <c r="N1132" i="2"/>
  <c r="D1133" i="2"/>
  <c r="I1133" i="2"/>
  <c r="J1133" i="2"/>
  <c r="N1133" i="2"/>
  <c r="D1134" i="2"/>
  <c r="I1134" i="2"/>
  <c r="J1134" i="2"/>
  <c r="N1134" i="2"/>
  <c r="D1135" i="2"/>
  <c r="I1135" i="2"/>
  <c r="J1135" i="2"/>
  <c r="N1135" i="2"/>
  <c r="D1136" i="2"/>
  <c r="I1136" i="2"/>
  <c r="J1136" i="2"/>
  <c r="N1136" i="2"/>
  <c r="D1137" i="2"/>
  <c r="I1137" i="2"/>
  <c r="J1137" i="2"/>
  <c r="N1137" i="2"/>
  <c r="D1138" i="2"/>
  <c r="I1138" i="2"/>
  <c r="J1138" i="2"/>
  <c r="N1138" i="2"/>
  <c r="D1139" i="2"/>
  <c r="I1139" i="2"/>
  <c r="J1139" i="2"/>
  <c r="N1139" i="2"/>
  <c r="D1140" i="2"/>
  <c r="I1140" i="2"/>
  <c r="J1140" i="2"/>
  <c r="N1140" i="2"/>
  <c r="D1141" i="2"/>
  <c r="I1141" i="2"/>
  <c r="J1141" i="2"/>
  <c r="N1141" i="2"/>
  <c r="D1142" i="2"/>
  <c r="I1142" i="2"/>
  <c r="J1142" i="2"/>
  <c r="N1142" i="2"/>
  <c r="D1143" i="2"/>
  <c r="I1143" i="2"/>
  <c r="J1143" i="2"/>
  <c r="N1143" i="2"/>
  <c r="D1144" i="2"/>
  <c r="I1144" i="2"/>
  <c r="J1144" i="2"/>
  <c r="N1144" i="2"/>
  <c r="D1145" i="2"/>
  <c r="I1145" i="2"/>
  <c r="J1145" i="2"/>
  <c r="N1145" i="2"/>
  <c r="D1146" i="2"/>
  <c r="I1146" i="2"/>
  <c r="J1146" i="2"/>
  <c r="N1146" i="2"/>
  <c r="D1147" i="2"/>
  <c r="I1147" i="2"/>
  <c r="J1147" i="2"/>
  <c r="N1147" i="2"/>
  <c r="D1148" i="2"/>
  <c r="I1148" i="2"/>
  <c r="J1148" i="2"/>
  <c r="N1148" i="2"/>
  <c r="D1149" i="2"/>
  <c r="I1149" i="2"/>
  <c r="J1149" i="2"/>
  <c r="N1149" i="2"/>
  <c r="D1150" i="2"/>
  <c r="I1150" i="2"/>
  <c r="J1150" i="2"/>
  <c r="N1150" i="2"/>
  <c r="D1151" i="2"/>
  <c r="I1151" i="2"/>
  <c r="J1151" i="2"/>
  <c r="N1151" i="2"/>
  <c r="D1152" i="2"/>
  <c r="I1152" i="2"/>
  <c r="J1152" i="2"/>
  <c r="N1152" i="2"/>
  <c r="D1153" i="2"/>
  <c r="I1153" i="2"/>
  <c r="J1153" i="2"/>
  <c r="N1153" i="2"/>
  <c r="D1154" i="2"/>
  <c r="I1154" i="2"/>
  <c r="J1154" i="2"/>
  <c r="N1154" i="2"/>
  <c r="D1155" i="2"/>
  <c r="I1155" i="2"/>
  <c r="J1155" i="2"/>
  <c r="N1155" i="2"/>
  <c r="D1156" i="2"/>
  <c r="I1156" i="2"/>
  <c r="J1156" i="2"/>
  <c r="N1156" i="2"/>
  <c r="D1157" i="2"/>
  <c r="I1157" i="2"/>
  <c r="J1157" i="2"/>
  <c r="N1157" i="2"/>
  <c r="D1158" i="2"/>
  <c r="I1158" i="2"/>
  <c r="J1158" i="2"/>
  <c r="N1158" i="2"/>
  <c r="D1159" i="2"/>
  <c r="I1159" i="2"/>
  <c r="J1159" i="2"/>
  <c r="N1159" i="2"/>
  <c r="D1160" i="2"/>
  <c r="I1160" i="2"/>
  <c r="J1160" i="2"/>
  <c r="N1160" i="2"/>
  <c r="D1161" i="2"/>
  <c r="I1161" i="2"/>
  <c r="J1161" i="2"/>
  <c r="N1161" i="2"/>
  <c r="D1162" i="2"/>
  <c r="I1162" i="2"/>
  <c r="J1162" i="2"/>
  <c r="N1162" i="2"/>
  <c r="D1163" i="2"/>
  <c r="I1163" i="2"/>
  <c r="J1163" i="2"/>
  <c r="N1163" i="2"/>
  <c r="D1164" i="2"/>
  <c r="I1164" i="2"/>
  <c r="J1164" i="2"/>
  <c r="N1164" i="2"/>
  <c r="D1165" i="2"/>
  <c r="I1165" i="2"/>
  <c r="J1165" i="2"/>
  <c r="N1165" i="2"/>
  <c r="D1166" i="2"/>
  <c r="I1166" i="2"/>
  <c r="J1166" i="2"/>
  <c r="N1166" i="2"/>
  <c r="D1167" i="2"/>
  <c r="I1167" i="2"/>
  <c r="J1167" i="2"/>
  <c r="N1167" i="2"/>
  <c r="D1168" i="2"/>
  <c r="I1168" i="2"/>
  <c r="J1168" i="2"/>
  <c r="N1168" i="2"/>
  <c r="D1169" i="2"/>
  <c r="I1169" i="2"/>
  <c r="J1169" i="2"/>
  <c r="N1169" i="2"/>
  <c r="D1170" i="2"/>
  <c r="I1170" i="2"/>
  <c r="J1170" i="2"/>
  <c r="N1170" i="2"/>
  <c r="D1171" i="2"/>
  <c r="I1171" i="2"/>
  <c r="J1171" i="2"/>
  <c r="N1171" i="2"/>
  <c r="D1172" i="2"/>
  <c r="I1172" i="2"/>
  <c r="J1172" i="2"/>
  <c r="N1172" i="2"/>
  <c r="D1173" i="2"/>
  <c r="I1173" i="2"/>
  <c r="J1173" i="2"/>
  <c r="N1173" i="2"/>
  <c r="D1174" i="2"/>
  <c r="I1174" i="2"/>
  <c r="J1174" i="2"/>
  <c r="N1174" i="2"/>
  <c r="D1175" i="2"/>
  <c r="I1175" i="2"/>
  <c r="J1175" i="2"/>
  <c r="N1175" i="2"/>
  <c r="D1176" i="2"/>
  <c r="I1176" i="2"/>
  <c r="J1176" i="2"/>
  <c r="N1176" i="2"/>
  <c r="D1177" i="2"/>
  <c r="I1177" i="2"/>
  <c r="J1177" i="2"/>
  <c r="N1177" i="2"/>
  <c r="D1178" i="2"/>
  <c r="I1178" i="2"/>
  <c r="J1178" i="2"/>
  <c r="N1178" i="2"/>
  <c r="D1179" i="2"/>
  <c r="I1179" i="2"/>
  <c r="J1179" i="2"/>
  <c r="N1179" i="2"/>
  <c r="D1180" i="2"/>
  <c r="I1180" i="2"/>
  <c r="J1180" i="2"/>
  <c r="N1180" i="2"/>
  <c r="D1181" i="2"/>
  <c r="I1181" i="2"/>
  <c r="J1181" i="2"/>
  <c r="N1181" i="2"/>
  <c r="D1182" i="2"/>
  <c r="I1182" i="2"/>
  <c r="J1182" i="2"/>
  <c r="N1182" i="2"/>
  <c r="D1183" i="2"/>
  <c r="I1183" i="2"/>
  <c r="J1183" i="2"/>
  <c r="N1183" i="2"/>
  <c r="D1184" i="2"/>
  <c r="I1184" i="2"/>
  <c r="J1184" i="2"/>
  <c r="N1184" i="2"/>
  <c r="D1185" i="2"/>
  <c r="I1185" i="2"/>
  <c r="J1185" i="2"/>
  <c r="N1185" i="2"/>
  <c r="D1186" i="2"/>
  <c r="I1186" i="2"/>
  <c r="J1186" i="2"/>
  <c r="N1186" i="2"/>
  <c r="D1187" i="2"/>
  <c r="I1187" i="2"/>
  <c r="J1187" i="2"/>
  <c r="N1187" i="2"/>
  <c r="D1188" i="2"/>
  <c r="I1188" i="2"/>
  <c r="J1188" i="2"/>
  <c r="N1188" i="2"/>
  <c r="D1189" i="2"/>
  <c r="I1189" i="2"/>
  <c r="J1189" i="2"/>
  <c r="N1189" i="2"/>
  <c r="D1190" i="2"/>
  <c r="I1190" i="2"/>
  <c r="J1190" i="2"/>
  <c r="N1190" i="2"/>
  <c r="D1191" i="2"/>
  <c r="I1191" i="2"/>
  <c r="J1191" i="2"/>
  <c r="N1191" i="2"/>
  <c r="D1192" i="2"/>
  <c r="I1192" i="2"/>
  <c r="J1192" i="2"/>
  <c r="N1192" i="2"/>
  <c r="D1193" i="2"/>
  <c r="I1193" i="2"/>
  <c r="J1193" i="2"/>
  <c r="N1193" i="2"/>
  <c r="D1194" i="2"/>
  <c r="I1194" i="2"/>
  <c r="J1194" i="2"/>
  <c r="N1194" i="2"/>
  <c r="D1195" i="2"/>
  <c r="I1195" i="2"/>
  <c r="J1195" i="2"/>
  <c r="N1195" i="2"/>
  <c r="D1196" i="2"/>
  <c r="I1196" i="2"/>
  <c r="J1196" i="2"/>
  <c r="N1196" i="2"/>
  <c r="D1197" i="2"/>
  <c r="I1197" i="2"/>
  <c r="J1197" i="2"/>
  <c r="N1197" i="2"/>
  <c r="D1198" i="2"/>
  <c r="I1198" i="2"/>
  <c r="J1198" i="2"/>
  <c r="N1198" i="2"/>
  <c r="D1199" i="2"/>
  <c r="I1199" i="2"/>
  <c r="J1199" i="2"/>
  <c r="N1199" i="2"/>
  <c r="D1200" i="2"/>
  <c r="I1200" i="2"/>
  <c r="J1200" i="2"/>
  <c r="N1200" i="2"/>
  <c r="D1201" i="2"/>
  <c r="I1201" i="2"/>
  <c r="J1201" i="2"/>
  <c r="N1201" i="2"/>
  <c r="D1202" i="2"/>
  <c r="I1202" i="2"/>
  <c r="J1202" i="2"/>
  <c r="N1202" i="2"/>
  <c r="D1203" i="2"/>
  <c r="I1203" i="2"/>
  <c r="J1203" i="2"/>
  <c r="N1203" i="2"/>
  <c r="D1204" i="2"/>
  <c r="I1204" i="2"/>
  <c r="J1204" i="2"/>
  <c r="N1204" i="2"/>
  <c r="D1205" i="2"/>
  <c r="I1205" i="2"/>
  <c r="J1205" i="2"/>
  <c r="N1205" i="2"/>
  <c r="D1206" i="2"/>
  <c r="I1206" i="2"/>
  <c r="J1206" i="2"/>
  <c r="N1206" i="2"/>
  <c r="D1207" i="2"/>
  <c r="I1207" i="2"/>
  <c r="J1207" i="2"/>
  <c r="N1207" i="2"/>
  <c r="D1208" i="2"/>
  <c r="I1208" i="2"/>
  <c r="J1208" i="2"/>
  <c r="N1208" i="2"/>
  <c r="D1209" i="2"/>
  <c r="I1209" i="2"/>
  <c r="J1209" i="2"/>
  <c r="N1209" i="2"/>
  <c r="D1210" i="2"/>
  <c r="I1210" i="2"/>
  <c r="J1210" i="2"/>
  <c r="N1210" i="2"/>
  <c r="D1211" i="2"/>
  <c r="I1211" i="2"/>
  <c r="J1211" i="2"/>
  <c r="N1211" i="2"/>
  <c r="D1212" i="2"/>
  <c r="I1212" i="2"/>
  <c r="J1212" i="2"/>
  <c r="N1212" i="2"/>
  <c r="D1213" i="2"/>
  <c r="I1213" i="2"/>
  <c r="J1213" i="2"/>
  <c r="N1213" i="2"/>
  <c r="D1214" i="2"/>
  <c r="I1214" i="2"/>
  <c r="J1214" i="2"/>
  <c r="N1214" i="2"/>
  <c r="D1215" i="2"/>
  <c r="I1215" i="2"/>
  <c r="J1215" i="2"/>
  <c r="N1215" i="2"/>
  <c r="D1216" i="2"/>
  <c r="I1216" i="2"/>
  <c r="J1216" i="2"/>
  <c r="N1216" i="2"/>
  <c r="D1217" i="2"/>
  <c r="I1217" i="2"/>
  <c r="J1217" i="2"/>
  <c r="N1217" i="2"/>
  <c r="D1218" i="2"/>
  <c r="I1218" i="2"/>
  <c r="J1218" i="2"/>
  <c r="N1218" i="2"/>
  <c r="D1219" i="2"/>
  <c r="I1219" i="2"/>
  <c r="J1219" i="2"/>
  <c r="N1219" i="2"/>
  <c r="D1220" i="2"/>
  <c r="I1220" i="2"/>
  <c r="J1220" i="2"/>
  <c r="N1220" i="2"/>
  <c r="D1221" i="2"/>
  <c r="I1221" i="2"/>
  <c r="J1221" i="2"/>
  <c r="N1221" i="2"/>
  <c r="D1222" i="2"/>
  <c r="I1222" i="2"/>
  <c r="J1222" i="2"/>
  <c r="N1222" i="2"/>
  <c r="D1223" i="2"/>
  <c r="I1223" i="2"/>
  <c r="J1223" i="2"/>
  <c r="N1223" i="2"/>
  <c r="D1224" i="2"/>
  <c r="I1224" i="2"/>
  <c r="J1224" i="2"/>
  <c r="N1224" i="2"/>
  <c r="D1225" i="2"/>
  <c r="I1225" i="2"/>
  <c r="J1225" i="2"/>
  <c r="N1225" i="2"/>
  <c r="D1226" i="2"/>
  <c r="I1226" i="2"/>
  <c r="J1226" i="2"/>
  <c r="N1226" i="2"/>
  <c r="D1227" i="2"/>
  <c r="I1227" i="2"/>
  <c r="J1227" i="2"/>
  <c r="N1227" i="2"/>
  <c r="D1228" i="2"/>
  <c r="I1228" i="2"/>
  <c r="J1228" i="2"/>
  <c r="N1228" i="2"/>
  <c r="D1229" i="2"/>
  <c r="I1229" i="2"/>
  <c r="J1229" i="2"/>
  <c r="N1229" i="2"/>
  <c r="D1230" i="2"/>
  <c r="I1230" i="2"/>
  <c r="J1230" i="2"/>
  <c r="N1230" i="2"/>
  <c r="D1231" i="2"/>
  <c r="I1231" i="2"/>
  <c r="J1231" i="2"/>
  <c r="N1231" i="2"/>
  <c r="D1232" i="2"/>
  <c r="I1232" i="2"/>
  <c r="J1232" i="2"/>
  <c r="N1232" i="2"/>
  <c r="D1233" i="2"/>
  <c r="I1233" i="2"/>
  <c r="J1233" i="2"/>
  <c r="N1233" i="2"/>
  <c r="D1234" i="2"/>
  <c r="I1234" i="2"/>
  <c r="J1234" i="2"/>
  <c r="N1234" i="2"/>
  <c r="D1235" i="2"/>
  <c r="I1235" i="2"/>
  <c r="J1235" i="2"/>
  <c r="N1235" i="2"/>
  <c r="D1236" i="2"/>
  <c r="I1236" i="2"/>
  <c r="J1236" i="2"/>
  <c r="N1236" i="2"/>
  <c r="D1237" i="2"/>
  <c r="I1237" i="2"/>
  <c r="J1237" i="2"/>
  <c r="N1237" i="2"/>
  <c r="D1238" i="2"/>
  <c r="I1238" i="2"/>
  <c r="J1238" i="2"/>
  <c r="N1238" i="2"/>
  <c r="D1239" i="2"/>
  <c r="I1239" i="2"/>
  <c r="J1239" i="2"/>
  <c r="N1239" i="2"/>
  <c r="D1240" i="2"/>
  <c r="I1240" i="2"/>
  <c r="J1240" i="2"/>
  <c r="N1240" i="2"/>
  <c r="D1241" i="2"/>
  <c r="I1241" i="2"/>
  <c r="J1241" i="2"/>
  <c r="N1241" i="2"/>
  <c r="D1242" i="2"/>
  <c r="I1242" i="2"/>
  <c r="J1242" i="2"/>
  <c r="N1242" i="2"/>
  <c r="D1243" i="2"/>
  <c r="I1243" i="2"/>
  <c r="J1243" i="2"/>
  <c r="N1243" i="2"/>
  <c r="D1244" i="2"/>
  <c r="I1244" i="2"/>
  <c r="J1244" i="2"/>
  <c r="N1244" i="2"/>
  <c r="D1245" i="2"/>
  <c r="I1245" i="2"/>
  <c r="J1245" i="2"/>
  <c r="N1245" i="2"/>
  <c r="D1246" i="2"/>
  <c r="I1246" i="2"/>
  <c r="J1246" i="2"/>
  <c r="N1246" i="2"/>
  <c r="D1247" i="2"/>
  <c r="I1247" i="2"/>
  <c r="J1247" i="2"/>
  <c r="N1247" i="2"/>
  <c r="D1248" i="2"/>
  <c r="I1248" i="2"/>
  <c r="J1248" i="2"/>
  <c r="N1248" i="2"/>
  <c r="D1249" i="2"/>
  <c r="I1249" i="2"/>
  <c r="J1249" i="2"/>
  <c r="N1249" i="2"/>
  <c r="D1250" i="2"/>
  <c r="I1250" i="2"/>
  <c r="J1250" i="2"/>
  <c r="N1250" i="2"/>
  <c r="D1251" i="2"/>
  <c r="I1251" i="2"/>
  <c r="J1251" i="2"/>
  <c r="N1251" i="2"/>
  <c r="D1252" i="2"/>
  <c r="I1252" i="2"/>
  <c r="J1252" i="2"/>
  <c r="N1252" i="2"/>
  <c r="D1253" i="2"/>
  <c r="I1253" i="2"/>
  <c r="J1253" i="2"/>
  <c r="N1253" i="2"/>
  <c r="D1254" i="2"/>
  <c r="I1254" i="2"/>
  <c r="J1254" i="2"/>
  <c r="N1254" i="2"/>
  <c r="D1255" i="2"/>
  <c r="I1255" i="2"/>
  <c r="J1255" i="2"/>
  <c r="N1255" i="2"/>
  <c r="D1256" i="2"/>
  <c r="I1256" i="2"/>
  <c r="J1256" i="2"/>
  <c r="N1256" i="2"/>
  <c r="D1257" i="2"/>
  <c r="I1257" i="2"/>
  <c r="J1257" i="2"/>
  <c r="N1257" i="2"/>
  <c r="D1258" i="2"/>
  <c r="I1258" i="2"/>
  <c r="J1258" i="2"/>
  <c r="N1258" i="2"/>
  <c r="D1259" i="2"/>
  <c r="I1259" i="2"/>
  <c r="J1259" i="2"/>
  <c r="N1259" i="2"/>
  <c r="D1260" i="2"/>
  <c r="I1260" i="2"/>
  <c r="J1260" i="2"/>
  <c r="N1260" i="2"/>
  <c r="D1261" i="2"/>
  <c r="I1261" i="2"/>
  <c r="J1261" i="2"/>
  <c r="N1261" i="2"/>
  <c r="D1262" i="2"/>
  <c r="I1262" i="2"/>
  <c r="J1262" i="2"/>
  <c r="N1262" i="2"/>
  <c r="D1263" i="2"/>
  <c r="I1263" i="2"/>
  <c r="J1263" i="2"/>
  <c r="N1263" i="2"/>
  <c r="D1264" i="2"/>
  <c r="I1264" i="2"/>
  <c r="J1264" i="2"/>
  <c r="N1264" i="2"/>
  <c r="D1265" i="2"/>
  <c r="I1265" i="2"/>
  <c r="J1265" i="2"/>
  <c r="N1265" i="2"/>
  <c r="D1266" i="2"/>
  <c r="I1266" i="2"/>
  <c r="J1266" i="2"/>
  <c r="N1266" i="2"/>
  <c r="D1267" i="2"/>
  <c r="I1267" i="2"/>
  <c r="J1267" i="2"/>
  <c r="N1267" i="2"/>
  <c r="D1268" i="2"/>
  <c r="I1268" i="2"/>
  <c r="J1268" i="2"/>
  <c r="N1268" i="2"/>
  <c r="D1269" i="2"/>
  <c r="I1269" i="2"/>
  <c r="J1269" i="2"/>
  <c r="N1269" i="2"/>
  <c r="D1270" i="2"/>
  <c r="I1270" i="2"/>
  <c r="J1270" i="2"/>
  <c r="N1270" i="2"/>
  <c r="D1271" i="2"/>
  <c r="I1271" i="2"/>
  <c r="J1271" i="2"/>
  <c r="N1271" i="2"/>
  <c r="D1272" i="2"/>
  <c r="I1272" i="2"/>
  <c r="J1272" i="2"/>
  <c r="N1272" i="2"/>
  <c r="D1273" i="2"/>
  <c r="I1273" i="2"/>
  <c r="J1273" i="2"/>
  <c r="N1273" i="2"/>
  <c r="D1274" i="2"/>
  <c r="I1274" i="2"/>
  <c r="J1274" i="2"/>
  <c r="N1274" i="2"/>
  <c r="D1275" i="2"/>
  <c r="I1275" i="2"/>
  <c r="J1275" i="2"/>
  <c r="N1275" i="2"/>
  <c r="D1276" i="2"/>
  <c r="I1276" i="2"/>
  <c r="J1276" i="2"/>
  <c r="N1276" i="2"/>
  <c r="D1277" i="2"/>
  <c r="I1277" i="2"/>
  <c r="J1277" i="2"/>
  <c r="N1277" i="2"/>
  <c r="D1278" i="2"/>
  <c r="I1278" i="2"/>
  <c r="J1278" i="2"/>
  <c r="N1278" i="2"/>
  <c r="D1279" i="2"/>
  <c r="I1279" i="2"/>
  <c r="J1279" i="2"/>
  <c r="N1279" i="2"/>
  <c r="D1280" i="2"/>
  <c r="I1280" i="2"/>
  <c r="J1280" i="2"/>
  <c r="N1280" i="2"/>
  <c r="D1281" i="2"/>
  <c r="I1281" i="2"/>
  <c r="J1281" i="2"/>
  <c r="N1281" i="2"/>
  <c r="D1282" i="2"/>
  <c r="I1282" i="2"/>
  <c r="J1282" i="2"/>
  <c r="N1282" i="2"/>
  <c r="D1283" i="2"/>
  <c r="I1283" i="2"/>
  <c r="J1283" i="2"/>
  <c r="N1283" i="2"/>
  <c r="D1284" i="2"/>
  <c r="I1284" i="2"/>
  <c r="J1284" i="2"/>
  <c r="N1284" i="2"/>
  <c r="D1285" i="2"/>
  <c r="I1285" i="2"/>
  <c r="J1285" i="2"/>
  <c r="N1285" i="2"/>
  <c r="D1286" i="2"/>
  <c r="I1286" i="2"/>
  <c r="J1286" i="2"/>
  <c r="N1286" i="2"/>
  <c r="D1287" i="2"/>
  <c r="I1287" i="2"/>
  <c r="J1287" i="2"/>
  <c r="N1287" i="2"/>
  <c r="D1288" i="2"/>
  <c r="I1288" i="2"/>
  <c r="J1288" i="2"/>
  <c r="N1288" i="2"/>
  <c r="D1289" i="2"/>
  <c r="I1289" i="2"/>
  <c r="J1289" i="2"/>
  <c r="N1289" i="2"/>
  <c r="D1290" i="2"/>
  <c r="I1290" i="2"/>
  <c r="J1290" i="2"/>
  <c r="N1290" i="2"/>
  <c r="D1291" i="2"/>
  <c r="I1291" i="2"/>
  <c r="J1291" i="2"/>
  <c r="N1291" i="2"/>
  <c r="D1292" i="2"/>
  <c r="I1292" i="2"/>
  <c r="J1292" i="2"/>
  <c r="N1292" i="2"/>
  <c r="D1293" i="2"/>
  <c r="I1293" i="2"/>
  <c r="J1293" i="2"/>
  <c r="N1293" i="2"/>
  <c r="D1294" i="2"/>
  <c r="I1294" i="2"/>
  <c r="J1294" i="2"/>
  <c r="N1294" i="2"/>
  <c r="D1295" i="2"/>
  <c r="I1295" i="2"/>
  <c r="J1295" i="2"/>
  <c r="N1295" i="2"/>
  <c r="D1296" i="2"/>
  <c r="I1296" i="2"/>
  <c r="J1296" i="2"/>
  <c r="N1296" i="2"/>
  <c r="D1297" i="2"/>
  <c r="I1297" i="2"/>
  <c r="J1297" i="2"/>
  <c r="N1297" i="2"/>
  <c r="D1298" i="2"/>
  <c r="I1298" i="2"/>
  <c r="J1298" i="2"/>
  <c r="N1298" i="2"/>
  <c r="D1299" i="2"/>
  <c r="I1299" i="2"/>
  <c r="J1299" i="2"/>
  <c r="N1299" i="2"/>
  <c r="D1300" i="2"/>
  <c r="I1300" i="2"/>
  <c r="J1300" i="2"/>
  <c r="N1300" i="2"/>
  <c r="D1301" i="2"/>
  <c r="I1301" i="2"/>
  <c r="J1301" i="2"/>
  <c r="N1301" i="2"/>
  <c r="D1302" i="2"/>
  <c r="I1302" i="2"/>
  <c r="J1302" i="2"/>
  <c r="N1302" i="2"/>
  <c r="D1303" i="2"/>
  <c r="I1303" i="2"/>
  <c r="J1303" i="2"/>
  <c r="N1303" i="2"/>
  <c r="D1304" i="2"/>
  <c r="I1304" i="2"/>
  <c r="J1304" i="2"/>
  <c r="N1304" i="2"/>
  <c r="D1305" i="2"/>
  <c r="I1305" i="2"/>
  <c r="J1305" i="2"/>
  <c r="N1305" i="2"/>
  <c r="D1306" i="2"/>
  <c r="I1306" i="2"/>
  <c r="J1306" i="2"/>
  <c r="N1306" i="2"/>
  <c r="D1307" i="2"/>
  <c r="I1307" i="2"/>
  <c r="J1307" i="2"/>
  <c r="N1307" i="2"/>
  <c r="D1308" i="2"/>
  <c r="I1308" i="2"/>
  <c r="J1308" i="2"/>
  <c r="N1308" i="2"/>
  <c r="D1309" i="2"/>
  <c r="I1309" i="2"/>
  <c r="J1309" i="2"/>
  <c r="N1309" i="2"/>
  <c r="D1310" i="2"/>
  <c r="I1310" i="2"/>
  <c r="J1310" i="2"/>
  <c r="N1310" i="2"/>
  <c r="D1311" i="2"/>
  <c r="I1311" i="2"/>
  <c r="J1311" i="2"/>
  <c r="N1311" i="2"/>
  <c r="D1312" i="2"/>
  <c r="I1312" i="2"/>
  <c r="J1312" i="2"/>
  <c r="N1312" i="2"/>
  <c r="D1313" i="2"/>
  <c r="I1313" i="2"/>
  <c r="J1313" i="2"/>
  <c r="N1313" i="2"/>
  <c r="D1314" i="2"/>
  <c r="I1314" i="2"/>
  <c r="J1314" i="2"/>
  <c r="N1314" i="2"/>
  <c r="D1315" i="2"/>
  <c r="I1315" i="2"/>
  <c r="J1315" i="2"/>
  <c r="N1315" i="2"/>
  <c r="D1316" i="2"/>
  <c r="I1316" i="2"/>
  <c r="J1316" i="2"/>
  <c r="N1316" i="2"/>
  <c r="D1317" i="2"/>
  <c r="I1317" i="2"/>
  <c r="J1317" i="2"/>
  <c r="N1317" i="2"/>
  <c r="D1318" i="2"/>
  <c r="I1318" i="2"/>
  <c r="J1318" i="2"/>
  <c r="N1318" i="2"/>
  <c r="D1319" i="2"/>
  <c r="I1319" i="2"/>
  <c r="J1319" i="2"/>
  <c r="N1319" i="2"/>
  <c r="D1320" i="2"/>
  <c r="I1320" i="2"/>
  <c r="J1320" i="2"/>
  <c r="N1320" i="2"/>
  <c r="D1321" i="2"/>
  <c r="I1321" i="2"/>
  <c r="J1321" i="2"/>
  <c r="N1321" i="2"/>
  <c r="D1322" i="2"/>
  <c r="I1322" i="2"/>
  <c r="J1322" i="2"/>
  <c r="N1322" i="2"/>
  <c r="D1323" i="2"/>
  <c r="I1323" i="2"/>
  <c r="J1323" i="2"/>
  <c r="N1323" i="2"/>
  <c r="D1324" i="2"/>
  <c r="I1324" i="2"/>
  <c r="J1324" i="2"/>
  <c r="N1324" i="2"/>
  <c r="D1325" i="2"/>
  <c r="I1325" i="2"/>
  <c r="J1325" i="2"/>
  <c r="N1325" i="2"/>
  <c r="D1326" i="2"/>
  <c r="I1326" i="2"/>
  <c r="J1326" i="2"/>
  <c r="N1326" i="2"/>
  <c r="D1327" i="2"/>
  <c r="I1327" i="2"/>
  <c r="J1327" i="2"/>
  <c r="N1327" i="2"/>
  <c r="D1328" i="2"/>
  <c r="I1328" i="2"/>
  <c r="J1328" i="2"/>
  <c r="N1328" i="2"/>
  <c r="D1329" i="2"/>
  <c r="I1329" i="2"/>
  <c r="J1329" i="2"/>
  <c r="N1329" i="2"/>
  <c r="D1330" i="2"/>
  <c r="I1330" i="2"/>
  <c r="J1330" i="2"/>
  <c r="N1330" i="2"/>
  <c r="D1331" i="2"/>
  <c r="I1331" i="2"/>
  <c r="J1331" i="2"/>
  <c r="N1331" i="2"/>
  <c r="D1332" i="2"/>
  <c r="I1332" i="2"/>
  <c r="J1332" i="2"/>
  <c r="N1332" i="2"/>
  <c r="D1333" i="2"/>
  <c r="I1333" i="2"/>
  <c r="J1333" i="2"/>
  <c r="N1333" i="2"/>
  <c r="D1334" i="2"/>
  <c r="I1334" i="2"/>
  <c r="J1334" i="2"/>
  <c r="N1334" i="2"/>
  <c r="D1335" i="2"/>
  <c r="I1335" i="2"/>
  <c r="J1335" i="2"/>
  <c r="N1335" i="2"/>
  <c r="D1336" i="2"/>
  <c r="I1336" i="2"/>
  <c r="J1336" i="2"/>
  <c r="N1336" i="2"/>
  <c r="D1337" i="2"/>
  <c r="I1337" i="2"/>
  <c r="J1337" i="2"/>
  <c r="N1337" i="2"/>
  <c r="D1338" i="2"/>
  <c r="I1338" i="2"/>
  <c r="J1338" i="2"/>
  <c r="N1338" i="2"/>
  <c r="D1339" i="2"/>
  <c r="I1339" i="2"/>
  <c r="J1339" i="2"/>
  <c r="N1339" i="2"/>
  <c r="D1340" i="2"/>
  <c r="I1340" i="2"/>
  <c r="J1340" i="2"/>
  <c r="N1340" i="2"/>
  <c r="D1341" i="2"/>
  <c r="I1341" i="2"/>
  <c r="J1341" i="2"/>
  <c r="N1341" i="2"/>
  <c r="D1342" i="2"/>
  <c r="I1342" i="2"/>
  <c r="J1342" i="2"/>
  <c r="N1342" i="2"/>
  <c r="D1343" i="2"/>
  <c r="I1343" i="2"/>
  <c r="J1343" i="2"/>
  <c r="N1343" i="2"/>
  <c r="D1344" i="2"/>
  <c r="I1344" i="2"/>
  <c r="J1344" i="2"/>
  <c r="N1344" i="2"/>
  <c r="D1345" i="2"/>
  <c r="I1345" i="2"/>
  <c r="J1345" i="2"/>
  <c r="N1345" i="2"/>
  <c r="D1346" i="2"/>
  <c r="I1346" i="2"/>
  <c r="J1346" i="2"/>
  <c r="N1346" i="2"/>
  <c r="D1347" i="2"/>
  <c r="I1347" i="2"/>
  <c r="J1347" i="2"/>
  <c r="N1347" i="2"/>
  <c r="D1348" i="2"/>
  <c r="I1348" i="2"/>
  <c r="J1348" i="2"/>
  <c r="N1348" i="2"/>
  <c r="D1349" i="2"/>
  <c r="I1349" i="2"/>
  <c r="J1349" i="2"/>
  <c r="N1349" i="2"/>
  <c r="D1350" i="2"/>
  <c r="I1350" i="2"/>
  <c r="J1350" i="2"/>
  <c r="N1350" i="2"/>
  <c r="D1351" i="2"/>
  <c r="I1351" i="2"/>
  <c r="J1351" i="2"/>
  <c r="N1351" i="2"/>
  <c r="D1352" i="2"/>
  <c r="I1352" i="2"/>
  <c r="J1352" i="2"/>
  <c r="N1352" i="2"/>
  <c r="D1353" i="2"/>
  <c r="I1353" i="2"/>
  <c r="J1353" i="2"/>
  <c r="N1353" i="2"/>
  <c r="D1354" i="2"/>
  <c r="I1354" i="2"/>
  <c r="J1354" i="2"/>
  <c r="N1354" i="2"/>
  <c r="D1355" i="2"/>
  <c r="I1355" i="2"/>
  <c r="J1355" i="2"/>
  <c r="N1355" i="2"/>
  <c r="D1356" i="2"/>
  <c r="I1356" i="2"/>
  <c r="J1356" i="2"/>
  <c r="N1356" i="2"/>
  <c r="D1357" i="2"/>
  <c r="I1357" i="2"/>
  <c r="J1357" i="2"/>
  <c r="N1357" i="2"/>
  <c r="D1358" i="2"/>
  <c r="I1358" i="2"/>
  <c r="J1358" i="2"/>
  <c r="N1358" i="2"/>
  <c r="D1359" i="2"/>
  <c r="I1359" i="2"/>
  <c r="J1359" i="2"/>
  <c r="N1359" i="2"/>
  <c r="D1360" i="2"/>
  <c r="I1360" i="2"/>
  <c r="J1360" i="2"/>
  <c r="N1360" i="2"/>
  <c r="D1361" i="2"/>
  <c r="I1361" i="2"/>
  <c r="J1361" i="2"/>
  <c r="N1361" i="2"/>
  <c r="D1362" i="2"/>
  <c r="I1362" i="2"/>
  <c r="J1362" i="2"/>
  <c r="N1362" i="2"/>
  <c r="D1363" i="2"/>
  <c r="I1363" i="2"/>
  <c r="J1363" i="2"/>
  <c r="N1363" i="2"/>
  <c r="D1364" i="2"/>
  <c r="I1364" i="2"/>
  <c r="J1364" i="2"/>
  <c r="N1364" i="2"/>
  <c r="D1365" i="2"/>
  <c r="I1365" i="2"/>
  <c r="J1365" i="2"/>
  <c r="N1365" i="2"/>
  <c r="D1366" i="2"/>
  <c r="I1366" i="2"/>
  <c r="J1366" i="2"/>
  <c r="N1366" i="2"/>
  <c r="D1367" i="2"/>
  <c r="I1367" i="2"/>
  <c r="J1367" i="2"/>
  <c r="N1367" i="2"/>
  <c r="D1368" i="2"/>
  <c r="I1368" i="2"/>
  <c r="J1368" i="2"/>
  <c r="N1368" i="2"/>
  <c r="D1369" i="2"/>
  <c r="I1369" i="2"/>
  <c r="J1369" i="2"/>
  <c r="N1369" i="2"/>
  <c r="D1370" i="2"/>
  <c r="I1370" i="2"/>
  <c r="J1370" i="2"/>
  <c r="N1370" i="2"/>
  <c r="D1371" i="2"/>
  <c r="I1371" i="2"/>
  <c r="J1371" i="2"/>
  <c r="N1371" i="2"/>
  <c r="D1372" i="2"/>
  <c r="I1372" i="2"/>
  <c r="J1372" i="2"/>
  <c r="N1372" i="2"/>
  <c r="D1373" i="2"/>
  <c r="I1373" i="2"/>
  <c r="J1373" i="2"/>
  <c r="N1373" i="2"/>
  <c r="D1374" i="2"/>
  <c r="I1374" i="2"/>
  <c r="J1374" i="2"/>
  <c r="N1374" i="2"/>
  <c r="D1375" i="2"/>
  <c r="I1375" i="2"/>
  <c r="J1375" i="2"/>
  <c r="N1375" i="2"/>
  <c r="D1376" i="2"/>
  <c r="I1376" i="2"/>
  <c r="J1376" i="2"/>
  <c r="N1376" i="2"/>
  <c r="D1377" i="2"/>
  <c r="I1377" i="2"/>
  <c r="J1377" i="2"/>
  <c r="N1377" i="2"/>
  <c r="D1378" i="2"/>
  <c r="I1378" i="2"/>
  <c r="J1378" i="2"/>
  <c r="N1378" i="2"/>
  <c r="D1379" i="2"/>
  <c r="I1379" i="2"/>
  <c r="J1379" i="2"/>
  <c r="N1379" i="2"/>
  <c r="D1380" i="2"/>
  <c r="I1380" i="2"/>
  <c r="J1380" i="2"/>
  <c r="N1380" i="2"/>
  <c r="D1381" i="2"/>
  <c r="I1381" i="2"/>
  <c r="J1381" i="2"/>
  <c r="N1381" i="2"/>
  <c r="D1382" i="2"/>
  <c r="I1382" i="2"/>
  <c r="J1382" i="2"/>
  <c r="N1382" i="2"/>
  <c r="D1383" i="2"/>
  <c r="I1383" i="2"/>
  <c r="J1383" i="2"/>
  <c r="N1383" i="2"/>
  <c r="D1384" i="2"/>
  <c r="I1384" i="2"/>
  <c r="J1384" i="2"/>
  <c r="N1384" i="2"/>
  <c r="D1385" i="2"/>
  <c r="I1385" i="2"/>
  <c r="J1385" i="2"/>
  <c r="N1385" i="2"/>
  <c r="D1386" i="2"/>
  <c r="I1386" i="2"/>
  <c r="J1386" i="2"/>
  <c r="N1386" i="2"/>
  <c r="D1387" i="2"/>
  <c r="I1387" i="2"/>
  <c r="J1387" i="2"/>
  <c r="N1387" i="2"/>
  <c r="D1388" i="2"/>
  <c r="I1388" i="2"/>
  <c r="J1388" i="2"/>
  <c r="N1388" i="2"/>
  <c r="D1389" i="2"/>
  <c r="I1389" i="2"/>
  <c r="J1389" i="2"/>
  <c r="N1389" i="2"/>
  <c r="D1390" i="2"/>
  <c r="I1390" i="2"/>
  <c r="J1390" i="2"/>
  <c r="N1390" i="2"/>
  <c r="D1391" i="2"/>
  <c r="I1391" i="2"/>
  <c r="J1391" i="2"/>
  <c r="N1391" i="2"/>
  <c r="D1392" i="2"/>
  <c r="I1392" i="2"/>
  <c r="J1392" i="2"/>
  <c r="N1392" i="2"/>
  <c r="D1393" i="2"/>
  <c r="I1393" i="2"/>
  <c r="J1393" i="2"/>
  <c r="N1393" i="2"/>
  <c r="D1394" i="2"/>
  <c r="I1394" i="2"/>
  <c r="J1394" i="2"/>
  <c r="N1394" i="2"/>
  <c r="D1395" i="2"/>
  <c r="I1395" i="2"/>
  <c r="J1395" i="2"/>
  <c r="N1395" i="2"/>
  <c r="D1396" i="2"/>
  <c r="I1396" i="2"/>
  <c r="J1396" i="2"/>
  <c r="N1396" i="2"/>
  <c r="D1397" i="2"/>
  <c r="I1397" i="2"/>
  <c r="J1397" i="2"/>
  <c r="N1397" i="2"/>
  <c r="D1398" i="2"/>
  <c r="I1398" i="2"/>
  <c r="J1398" i="2"/>
  <c r="N1398" i="2"/>
  <c r="D1399" i="2"/>
  <c r="I1399" i="2"/>
  <c r="J1399" i="2"/>
  <c r="N1399" i="2"/>
  <c r="D1400" i="2"/>
  <c r="I1400" i="2"/>
  <c r="J1400" i="2"/>
  <c r="N1400" i="2"/>
  <c r="D1401" i="2"/>
  <c r="I1401" i="2"/>
  <c r="J1401" i="2"/>
  <c r="N1401" i="2"/>
  <c r="D1402" i="2"/>
  <c r="I1402" i="2"/>
  <c r="J1402" i="2"/>
  <c r="N1402" i="2"/>
  <c r="D1403" i="2"/>
  <c r="I1403" i="2"/>
  <c r="J1403" i="2"/>
  <c r="N1403" i="2"/>
  <c r="D1404" i="2"/>
  <c r="I1404" i="2"/>
  <c r="J1404" i="2"/>
  <c r="N1404" i="2"/>
  <c r="D1405" i="2"/>
  <c r="I1405" i="2"/>
  <c r="J1405" i="2"/>
  <c r="N1405" i="2"/>
  <c r="D1406" i="2"/>
  <c r="I1406" i="2"/>
  <c r="J1406" i="2"/>
  <c r="N1406" i="2"/>
  <c r="D1407" i="2"/>
  <c r="I1407" i="2"/>
  <c r="J1407" i="2"/>
  <c r="N1407" i="2"/>
  <c r="D1408" i="2"/>
  <c r="I1408" i="2"/>
  <c r="J1408" i="2"/>
  <c r="N1408" i="2"/>
  <c r="D1409" i="2"/>
  <c r="I1409" i="2"/>
  <c r="J1409" i="2"/>
  <c r="N1409" i="2"/>
  <c r="D1410" i="2"/>
  <c r="I1410" i="2"/>
  <c r="J1410" i="2"/>
  <c r="N1410" i="2"/>
  <c r="D1411" i="2"/>
  <c r="I1411" i="2"/>
  <c r="J1411" i="2"/>
  <c r="N1411" i="2"/>
  <c r="D1412" i="2"/>
  <c r="I1412" i="2"/>
  <c r="J1412" i="2"/>
  <c r="N1412" i="2"/>
  <c r="D1413" i="2"/>
  <c r="I1413" i="2"/>
  <c r="J1413" i="2"/>
  <c r="N1413" i="2"/>
  <c r="D1414" i="2"/>
  <c r="I1414" i="2"/>
  <c r="J1414" i="2"/>
  <c r="N1414" i="2"/>
  <c r="D1415" i="2"/>
  <c r="I1415" i="2"/>
  <c r="J1415" i="2"/>
  <c r="N1415" i="2"/>
  <c r="D1416" i="2"/>
  <c r="I1416" i="2"/>
  <c r="J1416" i="2"/>
  <c r="N1416" i="2"/>
  <c r="D1417" i="2"/>
  <c r="I1417" i="2"/>
  <c r="J1417" i="2"/>
  <c r="N1417" i="2"/>
  <c r="D1418" i="2"/>
  <c r="I1418" i="2"/>
  <c r="J1418" i="2"/>
  <c r="N1418" i="2"/>
  <c r="D1419" i="2"/>
  <c r="I1419" i="2"/>
  <c r="J1419" i="2"/>
  <c r="N1419" i="2"/>
  <c r="D1420" i="2"/>
  <c r="I1420" i="2"/>
  <c r="J1420" i="2"/>
  <c r="N1420" i="2"/>
  <c r="D1421" i="2"/>
  <c r="I1421" i="2"/>
  <c r="J1421" i="2"/>
  <c r="N1421" i="2"/>
  <c r="D1422" i="2"/>
  <c r="I1422" i="2"/>
  <c r="J1422" i="2"/>
  <c r="N1422" i="2"/>
  <c r="D1423" i="2"/>
  <c r="I1423" i="2"/>
  <c r="J1423" i="2"/>
  <c r="N1423" i="2"/>
  <c r="D1424" i="2"/>
  <c r="I1424" i="2"/>
  <c r="J1424" i="2"/>
  <c r="N1424" i="2"/>
  <c r="D1425" i="2"/>
  <c r="I1425" i="2"/>
  <c r="J1425" i="2"/>
  <c r="N1425" i="2"/>
  <c r="D1426" i="2"/>
  <c r="I1426" i="2"/>
  <c r="J1426" i="2"/>
  <c r="N1426" i="2"/>
  <c r="D1427" i="2"/>
  <c r="I1427" i="2"/>
  <c r="J1427" i="2"/>
  <c r="N1427" i="2"/>
  <c r="D1428" i="2"/>
  <c r="I1428" i="2"/>
  <c r="J1428" i="2"/>
  <c r="N1428" i="2"/>
  <c r="D1429" i="2"/>
  <c r="I1429" i="2"/>
  <c r="J1429" i="2"/>
  <c r="N1429" i="2"/>
  <c r="D1430" i="2"/>
  <c r="I1430" i="2"/>
  <c r="J1430" i="2"/>
  <c r="N1430" i="2"/>
  <c r="D1431" i="2"/>
  <c r="I1431" i="2"/>
  <c r="J1431" i="2"/>
  <c r="N1431" i="2"/>
  <c r="D1432" i="2"/>
  <c r="I1432" i="2"/>
  <c r="J1432" i="2"/>
  <c r="N1432" i="2"/>
  <c r="D1433" i="2"/>
  <c r="I1433" i="2"/>
  <c r="J1433" i="2"/>
  <c r="N1433" i="2"/>
  <c r="D1434" i="2"/>
  <c r="I1434" i="2"/>
  <c r="J1434" i="2"/>
  <c r="N1434" i="2"/>
  <c r="D1435" i="2"/>
  <c r="I1435" i="2"/>
  <c r="J1435" i="2"/>
  <c r="N1435" i="2"/>
  <c r="D1436" i="2"/>
  <c r="I1436" i="2"/>
  <c r="J1436" i="2"/>
  <c r="N1436" i="2"/>
  <c r="D1437" i="2"/>
  <c r="I1437" i="2"/>
  <c r="J1437" i="2"/>
  <c r="N1437" i="2"/>
  <c r="D1438" i="2"/>
  <c r="I1438" i="2"/>
  <c r="J1438" i="2"/>
  <c r="N1438" i="2"/>
  <c r="D1439" i="2"/>
  <c r="I1439" i="2"/>
  <c r="J1439" i="2"/>
  <c r="N1439" i="2"/>
  <c r="D1440" i="2"/>
  <c r="I1440" i="2"/>
  <c r="J1440" i="2"/>
  <c r="N1440" i="2"/>
  <c r="D1441" i="2"/>
  <c r="I1441" i="2"/>
  <c r="J1441" i="2"/>
  <c r="N1441" i="2"/>
  <c r="D1442" i="2"/>
  <c r="I1442" i="2"/>
  <c r="J1442" i="2"/>
  <c r="N1442" i="2"/>
  <c r="D1443" i="2"/>
  <c r="I1443" i="2"/>
  <c r="J1443" i="2"/>
  <c r="N1443" i="2"/>
  <c r="D1444" i="2"/>
  <c r="I1444" i="2"/>
  <c r="J1444" i="2"/>
  <c r="N1444" i="2"/>
  <c r="D1445" i="2"/>
  <c r="I1445" i="2"/>
  <c r="J1445" i="2"/>
  <c r="N1445" i="2"/>
  <c r="D1446" i="2"/>
  <c r="I1446" i="2"/>
  <c r="J1446" i="2"/>
  <c r="N1446" i="2"/>
  <c r="D1447" i="2"/>
  <c r="I1447" i="2"/>
  <c r="J1447" i="2"/>
  <c r="N1447" i="2"/>
  <c r="D1448" i="2"/>
  <c r="I1448" i="2"/>
  <c r="J1448" i="2"/>
  <c r="N1448" i="2"/>
  <c r="D1449" i="2"/>
  <c r="I1449" i="2"/>
  <c r="J1449" i="2"/>
  <c r="N1449" i="2"/>
  <c r="D1450" i="2"/>
  <c r="I1450" i="2"/>
  <c r="J1450" i="2"/>
  <c r="N1450" i="2"/>
  <c r="D1451" i="2"/>
  <c r="I1451" i="2"/>
  <c r="J1451" i="2"/>
  <c r="N1451" i="2"/>
  <c r="D1452" i="2"/>
  <c r="I1452" i="2"/>
  <c r="J1452" i="2"/>
  <c r="N1452" i="2"/>
  <c r="D1453" i="2"/>
  <c r="I1453" i="2"/>
  <c r="J1453" i="2"/>
  <c r="N1453" i="2"/>
  <c r="D1454" i="2"/>
  <c r="I1454" i="2"/>
  <c r="J1454" i="2"/>
  <c r="N1454" i="2"/>
  <c r="D1455" i="2"/>
  <c r="I1455" i="2"/>
  <c r="J1455" i="2"/>
  <c r="N1455" i="2"/>
  <c r="D1456" i="2"/>
  <c r="I1456" i="2"/>
  <c r="J1456" i="2"/>
  <c r="N1456" i="2"/>
  <c r="D1457" i="2"/>
  <c r="I1457" i="2"/>
  <c r="J1457" i="2"/>
  <c r="N1457" i="2"/>
  <c r="D1458" i="2"/>
  <c r="I1458" i="2"/>
  <c r="J1458" i="2"/>
  <c r="N1458" i="2"/>
  <c r="D1459" i="2"/>
  <c r="I1459" i="2"/>
  <c r="J1459" i="2"/>
  <c r="N1459" i="2"/>
  <c r="D1460" i="2"/>
  <c r="I1460" i="2"/>
  <c r="J1460" i="2"/>
  <c r="N1460" i="2"/>
  <c r="D1461" i="2"/>
  <c r="I1461" i="2"/>
  <c r="J1461" i="2"/>
  <c r="N1461" i="2"/>
  <c r="D1462" i="2"/>
  <c r="I1462" i="2"/>
  <c r="J1462" i="2"/>
  <c r="N1462" i="2"/>
  <c r="D1463" i="2"/>
  <c r="I1463" i="2"/>
  <c r="J1463" i="2"/>
  <c r="N1463" i="2"/>
  <c r="D1464" i="2"/>
  <c r="I1464" i="2"/>
  <c r="J1464" i="2"/>
  <c r="N1464" i="2"/>
  <c r="D1465" i="2"/>
  <c r="I1465" i="2"/>
  <c r="J1465" i="2"/>
  <c r="N1465" i="2"/>
  <c r="D1466" i="2"/>
  <c r="I1466" i="2"/>
  <c r="J1466" i="2"/>
  <c r="N1466" i="2"/>
  <c r="D1467" i="2"/>
  <c r="I1467" i="2"/>
  <c r="J1467" i="2"/>
  <c r="N1467" i="2"/>
  <c r="D1468" i="2"/>
  <c r="I1468" i="2"/>
  <c r="J1468" i="2"/>
  <c r="N1468" i="2"/>
  <c r="D1469" i="2"/>
  <c r="I1469" i="2"/>
  <c r="J1469" i="2"/>
  <c r="N1469" i="2"/>
  <c r="D1470" i="2"/>
  <c r="I1470" i="2"/>
  <c r="J1470" i="2"/>
  <c r="N1470" i="2"/>
  <c r="D1471" i="2"/>
  <c r="I1471" i="2"/>
  <c r="J1471" i="2"/>
  <c r="N1471" i="2"/>
  <c r="D1472" i="2"/>
  <c r="I1472" i="2"/>
  <c r="J1472" i="2"/>
  <c r="N1472" i="2"/>
  <c r="D1473" i="2"/>
  <c r="I1473" i="2"/>
  <c r="J1473" i="2"/>
  <c r="N1473" i="2"/>
  <c r="D1474" i="2"/>
  <c r="I1474" i="2"/>
  <c r="J1474" i="2"/>
  <c r="N1474" i="2"/>
  <c r="D1475" i="2"/>
  <c r="I1475" i="2"/>
  <c r="J1475" i="2"/>
  <c r="N1475" i="2"/>
  <c r="D1476" i="2"/>
  <c r="I1476" i="2"/>
  <c r="J1476" i="2"/>
  <c r="N1476" i="2"/>
  <c r="D1477" i="2"/>
  <c r="I1477" i="2"/>
  <c r="J1477" i="2"/>
  <c r="N1477" i="2"/>
  <c r="D1478" i="2"/>
  <c r="I1478" i="2"/>
  <c r="J1478" i="2"/>
  <c r="N1478" i="2"/>
  <c r="D1479" i="2"/>
  <c r="I1479" i="2"/>
  <c r="J1479" i="2"/>
  <c r="N1479" i="2"/>
  <c r="D1480" i="2"/>
  <c r="I1480" i="2"/>
  <c r="J1480" i="2"/>
  <c r="N1480" i="2"/>
  <c r="D1481" i="2"/>
  <c r="I1481" i="2"/>
  <c r="J1481" i="2"/>
  <c r="N1481" i="2"/>
  <c r="D1482" i="2"/>
  <c r="I1482" i="2"/>
  <c r="J1482" i="2"/>
  <c r="N1482" i="2"/>
  <c r="D1483" i="2"/>
  <c r="I1483" i="2"/>
  <c r="J1483" i="2"/>
  <c r="N1483" i="2"/>
  <c r="D1484" i="2"/>
  <c r="I1484" i="2"/>
  <c r="J1484" i="2"/>
  <c r="N1484" i="2"/>
  <c r="D1485" i="2"/>
  <c r="I1485" i="2"/>
  <c r="J1485" i="2"/>
  <c r="N1485" i="2"/>
  <c r="D1486" i="2"/>
  <c r="I1486" i="2"/>
  <c r="J1486" i="2"/>
  <c r="N1486" i="2"/>
  <c r="D1487" i="2"/>
  <c r="I1487" i="2"/>
  <c r="J1487" i="2"/>
  <c r="N1487" i="2"/>
  <c r="D1488" i="2"/>
  <c r="I1488" i="2"/>
  <c r="J1488" i="2"/>
  <c r="N1488" i="2"/>
  <c r="D1489" i="2"/>
  <c r="I1489" i="2"/>
  <c r="J1489" i="2"/>
  <c r="N1489" i="2"/>
  <c r="D1490" i="2"/>
  <c r="I1490" i="2"/>
  <c r="J1490" i="2"/>
  <c r="N1490" i="2"/>
  <c r="D1491" i="2"/>
  <c r="I1491" i="2"/>
  <c r="J1491" i="2"/>
  <c r="N1491" i="2"/>
  <c r="D1492" i="2"/>
  <c r="I1492" i="2"/>
  <c r="J1492" i="2"/>
  <c r="N1492" i="2"/>
  <c r="D1493" i="2"/>
  <c r="I1493" i="2"/>
  <c r="J1493" i="2"/>
  <c r="N1493" i="2"/>
  <c r="D1494" i="2"/>
  <c r="I1494" i="2"/>
  <c r="J1494" i="2"/>
  <c r="N1494" i="2"/>
  <c r="D1495" i="2"/>
  <c r="I1495" i="2"/>
  <c r="J1495" i="2"/>
  <c r="N1495" i="2"/>
  <c r="D1496" i="2"/>
  <c r="I1496" i="2"/>
  <c r="J1496" i="2"/>
  <c r="N1496" i="2"/>
  <c r="D1497" i="2"/>
  <c r="I1497" i="2"/>
  <c r="J1497" i="2"/>
  <c r="N1497" i="2"/>
  <c r="D1498" i="2"/>
  <c r="I1498" i="2"/>
  <c r="J1498" i="2"/>
  <c r="N1498" i="2"/>
  <c r="D1499" i="2"/>
  <c r="I1499" i="2"/>
  <c r="J1499" i="2"/>
  <c r="N1499" i="2"/>
  <c r="D1500" i="2"/>
  <c r="I1500" i="2"/>
  <c r="J1500" i="2"/>
  <c r="N1500" i="2"/>
  <c r="D1501" i="2"/>
  <c r="I1501" i="2"/>
  <c r="J1501" i="2"/>
  <c r="N1501" i="2"/>
  <c r="D1502" i="2"/>
  <c r="I1502" i="2"/>
  <c r="J1502" i="2"/>
  <c r="N1502" i="2"/>
  <c r="D1503" i="2"/>
  <c r="I1503" i="2"/>
  <c r="J1503" i="2"/>
  <c r="N1503" i="2"/>
  <c r="D1504" i="2"/>
  <c r="I1504" i="2"/>
  <c r="J1504" i="2"/>
  <c r="N1504" i="2"/>
  <c r="D1505" i="2"/>
  <c r="I1505" i="2"/>
  <c r="J1505" i="2"/>
  <c r="N1505" i="2"/>
  <c r="D1506" i="2"/>
  <c r="I1506" i="2"/>
  <c r="J1506" i="2"/>
  <c r="N1506" i="2"/>
  <c r="D1507" i="2"/>
  <c r="I1507" i="2"/>
  <c r="J1507" i="2"/>
  <c r="N1507" i="2"/>
  <c r="D1508" i="2"/>
  <c r="I1508" i="2"/>
  <c r="J1508" i="2"/>
  <c r="N1508" i="2"/>
  <c r="D1509" i="2"/>
  <c r="I1509" i="2"/>
  <c r="J1509" i="2"/>
  <c r="N1509" i="2"/>
  <c r="D1510" i="2"/>
  <c r="I1510" i="2"/>
  <c r="J1510" i="2"/>
  <c r="N1510" i="2"/>
  <c r="D1511" i="2"/>
  <c r="I1511" i="2"/>
  <c r="J1511" i="2"/>
  <c r="N1511" i="2"/>
  <c r="D1512" i="2"/>
  <c r="I1512" i="2"/>
  <c r="J1512" i="2"/>
  <c r="N1512" i="2"/>
  <c r="D1513" i="2"/>
  <c r="I1513" i="2"/>
  <c r="J1513" i="2"/>
  <c r="N1513" i="2"/>
  <c r="D1514" i="2"/>
  <c r="I1514" i="2"/>
  <c r="J1514" i="2"/>
  <c r="N1514" i="2"/>
  <c r="D1515" i="2"/>
  <c r="I1515" i="2"/>
  <c r="J1515" i="2"/>
  <c r="N1515" i="2"/>
  <c r="D1516" i="2"/>
  <c r="I1516" i="2"/>
  <c r="J1516" i="2"/>
  <c r="N1516" i="2"/>
  <c r="D1517" i="2"/>
  <c r="I1517" i="2"/>
  <c r="J1517" i="2"/>
  <c r="N1517" i="2"/>
  <c r="D1518" i="2"/>
  <c r="I1518" i="2"/>
  <c r="J1518" i="2"/>
  <c r="N1518" i="2"/>
  <c r="D1519" i="2"/>
  <c r="I1519" i="2"/>
  <c r="J1519" i="2"/>
  <c r="N1519" i="2"/>
  <c r="D1520" i="2"/>
  <c r="I1520" i="2"/>
  <c r="J1520" i="2"/>
  <c r="N1520" i="2"/>
  <c r="D1521" i="2"/>
  <c r="I1521" i="2"/>
  <c r="J1521" i="2"/>
  <c r="N1521" i="2"/>
  <c r="D1522" i="2"/>
  <c r="I1522" i="2"/>
  <c r="J1522" i="2"/>
  <c r="N1522" i="2"/>
  <c r="D1523" i="2"/>
  <c r="I1523" i="2"/>
  <c r="J1523" i="2"/>
  <c r="N1523" i="2"/>
  <c r="D1524" i="2"/>
  <c r="I1524" i="2"/>
  <c r="J1524" i="2"/>
  <c r="N1524" i="2"/>
  <c r="D1525" i="2"/>
  <c r="I1525" i="2"/>
  <c r="J1525" i="2"/>
  <c r="N1525" i="2"/>
  <c r="D1526" i="2"/>
  <c r="I1526" i="2"/>
  <c r="J1526" i="2"/>
  <c r="N1526" i="2"/>
  <c r="D1527" i="2"/>
  <c r="I1527" i="2"/>
  <c r="J1527" i="2"/>
  <c r="N1527" i="2"/>
  <c r="D1528" i="2"/>
  <c r="I1528" i="2"/>
  <c r="J1528" i="2"/>
  <c r="N1528" i="2"/>
  <c r="D1529" i="2"/>
  <c r="I1529" i="2"/>
  <c r="J1529" i="2"/>
  <c r="N1529" i="2"/>
  <c r="D1530" i="2"/>
  <c r="I1530" i="2"/>
  <c r="J1530" i="2"/>
  <c r="N1530" i="2"/>
  <c r="D1531" i="2"/>
  <c r="I1531" i="2"/>
  <c r="J1531" i="2"/>
  <c r="N1531" i="2"/>
  <c r="D1532" i="2"/>
  <c r="I1532" i="2"/>
  <c r="J1532" i="2"/>
  <c r="N1532" i="2"/>
  <c r="D1533" i="2"/>
  <c r="I1533" i="2"/>
  <c r="J1533" i="2"/>
  <c r="N1533" i="2"/>
  <c r="D1534" i="2"/>
  <c r="I1534" i="2"/>
  <c r="J1534" i="2"/>
  <c r="N1534" i="2"/>
  <c r="D1535" i="2"/>
  <c r="I1535" i="2"/>
  <c r="J1535" i="2"/>
  <c r="N1535" i="2"/>
  <c r="D1536" i="2"/>
  <c r="I1536" i="2"/>
  <c r="J1536" i="2"/>
  <c r="N1536" i="2"/>
  <c r="D1537" i="2"/>
  <c r="I1537" i="2"/>
  <c r="J1537" i="2"/>
  <c r="N1537" i="2"/>
  <c r="D1538" i="2"/>
  <c r="I1538" i="2"/>
  <c r="J1538" i="2"/>
  <c r="N1538" i="2"/>
  <c r="D1539" i="2"/>
  <c r="I1539" i="2"/>
  <c r="J1539" i="2"/>
  <c r="N1539" i="2"/>
  <c r="D1540" i="2"/>
  <c r="I1540" i="2"/>
  <c r="J1540" i="2"/>
  <c r="N1540" i="2"/>
  <c r="D1541" i="2"/>
  <c r="I1541" i="2"/>
  <c r="J1541" i="2"/>
  <c r="N1541" i="2"/>
  <c r="D1542" i="2"/>
  <c r="I1542" i="2"/>
  <c r="J1542" i="2"/>
  <c r="N1542" i="2"/>
  <c r="D1543" i="2"/>
  <c r="I1543" i="2"/>
  <c r="J1543" i="2"/>
  <c r="N1543" i="2"/>
  <c r="D1544" i="2"/>
  <c r="I1544" i="2"/>
  <c r="J1544" i="2"/>
  <c r="N1544" i="2"/>
  <c r="D1545" i="2"/>
  <c r="I1545" i="2"/>
  <c r="J1545" i="2"/>
  <c r="N1545" i="2"/>
  <c r="D1546" i="2"/>
  <c r="I1546" i="2"/>
  <c r="J1546" i="2"/>
  <c r="N1546" i="2"/>
  <c r="D1547" i="2"/>
  <c r="I1547" i="2"/>
  <c r="J1547" i="2"/>
  <c r="N1547" i="2"/>
  <c r="D1548" i="2"/>
  <c r="I1548" i="2"/>
  <c r="J1548" i="2"/>
  <c r="N1548" i="2"/>
  <c r="D1549" i="2"/>
  <c r="I1549" i="2"/>
  <c r="J1549" i="2"/>
  <c r="N1549" i="2"/>
  <c r="D1550" i="2"/>
  <c r="I1550" i="2"/>
  <c r="J1550" i="2"/>
  <c r="N1550" i="2"/>
  <c r="D1551" i="2"/>
  <c r="I1551" i="2"/>
  <c r="J1551" i="2"/>
  <c r="N1551" i="2"/>
  <c r="D1552" i="2"/>
  <c r="I1552" i="2"/>
  <c r="J1552" i="2"/>
  <c r="N1552" i="2"/>
  <c r="D1553" i="2"/>
  <c r="I1553" i="2"/>
  <c r="J1553" i="2"/>
  <c r="N1553" i="2"/>
  <c r="D1554" i="2"/>
  <c r="I1554" i="2"/>
  <c r="J1554" i="2"/>
  <c r="N1554" i="2"/>
  <c r="D1555" i="2"/>
  <c r="I1555" i="2"/>
  <c r="J1555" i="2"/>
  <c r="N1555" i="2"/>
  <c r="D1556" i="2"/>
  <c r="I1556" i="2"/>
  <c r="J1556" i="2"/>
  <c r="N1556" i="2"/>
  <c r="D1557" i="2"/>
  <c r="I1557" i="2"/>
  <c r="J1557" i="2"/>
  <c r="N1557" i="2"/>
  <c r="D1558" i="2"/>
  <c r="I1558" i="2"/>
  <c r="J1558" i="2"/>
  <c r="N1558" i="2"/>
  <c r="D1559" i="2"/>
  <c r="I1559" i="2"/>
  <c r="J1559" i="2"/>
  <c r="N1559" i="2"/>
  <c r="D1560" i="2"/>
  <c r="I1560" i="2"/>
  <c r="J1560" i="2"/>
  <c r="N1560" i="2"/>
  <c r="D1561" i="2"/>
  <c r="I1561" i="2"/>
  <c r="J1561" i="2"/>
  <c r="N1561" i="2"/>
  <c r="D1562" i="2"/>
  <c r="I1562" i="2"/>
  <c r="J1562" i="2"/>
  <c r="N1562" i="2"/>
  <c r="D1563" i="2"/>
  <c r="I1563" i="2"/>
  <c r="J1563" i="2"/>
  <c r="N1563" i="2"/>
  <c r="D1564" i="2"/>
  <c r="I1564" i="2"/>
  <c r="J1564" i="2"/>
  <c r="N1564" i="2"/>
  <c r="D1565" i="2"/>
  <c r="I1565" i="2"/>
  <c r="J1565" i="2"/>
  <c r="N1565" i="2"/>
  <c r="D1566" i="2"/>
  <c r="I1566" i="2"/>
  <c r="J1566" i="2"/>
  <c r="N1566" i="2"/>
  <c r="D1567" i="2"/>
  <c r="I1567" i="2"/>
  <c r="J1567" i="2"/>
  <c r="N1567" i="2"/>
  <c r="D1568" i="2"/>
  <c r="I1568" i="2"/>
  <c r="J1568" i="2"/>
  <c r="N1568" i="2"/>
  <c r="D1569" i="2"/>
  <c r="I1569" i="2"/>
  <c r="J1569" i="2"/>
  <c r="N1569" i="2"/>
  <c r="D1570" i="2"/>
  <c r="I1570" i="2"/>
  <c r="J1570" i="2"/>
  <c r="N1570" i="2"/>
  <c r="D1571" i="2"/>
  <c r="I1571" i="2"/>
  <c r="J1571" i="2"/>
  <c r="N1571" i="2"/>
  <c r="D1572" i="2"/>
  <c r="I1572" i="2"/>
  <c r="J1572" i="2"/>
  <c r="N1572" i="2"/>
  <c r="D1573" i="2"/>
  <c r="I1573" i="2"/>
  <c r="J1573" i="2"/>
  <c r="N1573" i="2"/>
  <c r="D1574" i="2"/>
  <c r="I1574" i="2"/>
  <c r="J1574" i="2"/>
  <c r="N1574" i="2"/>
  <c r="D1575" i="2"/>
  <c r="I1575" i="2"/>
  <c r="J1575" i="2"/>
  <c r="N1575" i="2"/>
  <c r="D1576" i="2"/>
  <c r="I1576" i="2"/>
  <c r="J1576" i="2"/>
  <c r="N1576" i="2"/>
  <c r="D1577" i="2"/>
  <c r="I1577" i="2"/>
  <c r="J1577" i="2"/>
  <c r="N1577" i="2"/>
  <c r="D1578" i="2"/>
  <c r="I1578" i="2"/>
  <c r="J1578" i="2"/>
  <c r="N1578" i="2"/>
  <c r="D1579" i="2"/>
  <c r="I1579" i="2"/>
  <c r="J1579" i="2"/>
  <c r="N1579" i="2"/>
  <c r="D1580" i="2"/>
  <c r="I1580" i="2"/>
  <c r="J1580" i="2"/>
  <c r="N1580" i="2"/>
  <c r="D1581" i="2"/>
  <c r="I1581" i="2"/>
  <c r="J1581" i="2"/>
  <c r="N1581" i="2"/>
  <c r="D1582" i="2"/>
  <c r="I1582" i="2"/>
  <c r="J1582" i="2"/>
  <c r="N1582" i="2"/>
  <c r="D1583" i="2"/>
  <c r="I1583" i="2"/>
  <c r="J1583" i="2"/>
  <c r="N1583" i="2"/>
  <c r="D1584" i="2"/>
  <c r="I1584" i="2"/>
  <c r="J1584" i="2"/>
  <c r="N1584" i="2"/>
  <c r="D1585" i="2"/>
  <c r="I1585" i="2"/>
  <c r="J1585" i="2"/>
  <c r="N1585" i="2"/>
  <c r="D1586" i="2"/>
  <c r="I1586" i="2"/>
  <c r="J1586" i="2"/>
  <c r="N1586" i="2"/>
  <c r="D1587" i="2"/>
  <c r="I1587" i="2"/>
  <c r="J1587" i="2"/>
  <c r="N1587" i="2"/>
  <c r="D1588" i="2"/>
  <c r="I1588" i="2"/>
  <c r="J1588" i="2"/>
  <c r="N1588" i="2"/>
  <c r="D1589" i="2"/>
  <c r="I1589" i="2"/>
  <c r="J1589" i="2"/>
  <c r="N1589" i="2"/>
  <c r="D1590" i="2"/>
  <c r="I1590" i="2"/>
  <c r="J1590" i="2"/>
  <c r="N1590" i="2"/>
  <c r="D1591" i="2"/>
  <c r="I1591" i="2"/>
  <c r="J1591" i="2"/>
  <c r="N1591" i="2"/>
  <c r="D1592" i="2"/>
  <c r="I1592" i="2"/>
  <c r="J1592" i="2"/>
  <c r="N1592" i="2"/>
  <c r="D1593" i="2"/>
  <c r="I1593" i="2"/>
  <c r="J1593" i="2"/>
  <c r="N1593" i="2"/>
  <c r="D1594" i="2"/>
  <c r="I1594" i="2"/>
  <c r="J1594" i="2"/>
  <c r="N1594" i="2"/>
  <c r="D1595" i="2"/>
  <c r="I1595" i="2"/>
  <c r="J1595" i="2"/>
  <c r="N1595" i="2"/>
  <c r="D1596" i="2"/>
  <c r="I1596" i="2"/>
  <c r="J1596" i="2"/>
  <c r="N1596" i="2"/>
  <c r="D1597" i="2"/>
  <c r="I1597" i="2"/>
  <c r="J1597" i="2"/>
  <c r="N1597" i="2"/>
  <c r="D1598" i="2"/>
  <c r="I1598" i="2"/>
  <c r="J1598" i="2"/>
  <c r="N1598" i="2"/>
  <c r="D1599" i="2"/>
  <c r="I1599" i="2"/>
  <c r="J1599" i="2"/>
  <c r="N1599" i="2"/>
  <c r="D1600" i="2"/>
  <c r="I1600" i="2"/>
  <c r="J1600" i="2"/>
  <c r="N1600" i="2"/>
  <c r="D1601" i="2"/>
  <c r="I1601" i="2"/>
  <c r="J1601" i="2"/>
  <c r="N1601" i="2"/>
  <c r="D1602" i="2"/>
  <c r="I1602" i="2"/>
  <c r="J1602" i="2"/>
  <c r="N1602" i="2"/>
  <c r="D1603" i="2"/>
  <c r="I1603" i="2"/>
  <c r="J1603" i="2"/>
  <c r="N1603" i="2"/>
  <c r="D1604" i="2"/>
  <c r="I1604" i="2"/>
  <c r="J1604" i="2"/>
  <c r="N1604" i="2"/>
  <c r="D1605" i="2"/>
  <c r="I1605" i="2"/>
  <c r="J1605" i="2"/>
  <c r="N1605" i="2"/>
  <c r="D1606" i="2"/>
  <c r="I1606" i="2"/>
  <c r="J1606" i="2"/>
  <c r="N1606" i="2"/>
  <c r="D1607" i="2"/>
  <c r="I1607" i="2"/>
  <c r="J1607" i="2"/>
  <c r="N1607" i="2"/>
  <c r="D1608" i="2"/>
  <c r="I1608" i="2"/>
  <c r="J1608" i="2"/>
  <c r="N1608" i="2"/>
  <c r="D1609" i="2"/>
  <c r="I1609" i="2"/>
  <c r="J1609" i="2"/>
  <c r="N1609" i="2"/>
  <c r="D1610" i="2"/>
  <c r="I1610" i="2"/>
  <c r="J1610" i="2"/>
  <c r="N1610" i="2"/>
  <c r="D1611" i="2"/>
  <c r="I1611" i="2"/>
  <c r="J1611" i="2"/>
  <c r="N1611" i="2"/>
  <c r="D1612" i="2"/>
  <c r="I1612" i="2"/>
  <c r="J1612" i="2"/>
  <c r="N1612" i="2"/>
  <c r="D1613" i="2"/>
  <c r="I1613" i="2"/>
  <c r="J1613" i="2"/>
  <c r="N1613" i="2"/>
  <c r="D1614" i="2"/>
  <c r="I1614" i="2"/>
  <c r="J1614" i="2"/>
  <c r="N1614" i="2"/>
  <c r="D1615" i="2"/>
  <c r="I1615" i="2"/>
  <c r="J1615" i="2"/>
  <c r="N1615" i="2"/>
  <c r="D1616" i="2"/>
  <c r="I1616" i="2"/>
  <c r="J1616" i="2"/>
  <c r="N1616" i="2"/>
  <c r="D1617" i="2"/>
  <c r="I1617" i="2"/>
  <c r="J1617" i="2"/>
  <c r="N1617" i="2"/>
  <c r="D1618" i="2"/>
  <c r="I1618" i="2"/>
  <c r="J1618" i="2"/>
  <c r="N1618" i="2"/>
  <c r="D1619" i="2"/>
  <c r="I1619" i="2"/>
  <c r="J1619" i="2"/>
  <c r="N1619" i="2"/>
  <c r="D1620" i="2"/>
  <c r="I1620" i="2"/>
  <c r="J1620" i="2"/>
  <c r="N1620" i="2"/>
  <c r="D1621" i="2"/>
  <c r="I1621" i="2"/>
  <c r="J1621" i="2"/>
  <c r="N1621" i="2"/>
  <c r="D1622" i="2"/>
  <c r="I1622" i="2"/>
  <c r="J1622" i="2"/>
  <c r="N1622" i="2"/>
  <c r="D1623" i="2"/>
  <c r="I1623" i="2"/>
  <c r="J1623" i="2"/>
  <c r="N1623" i="2"/>
  <c r="D1624" i="2"/>
  <c r="I1624" i="2"/>
  <c r="J1624" i="2"/>
  <c r="N1624" i="2"/>
  <c r="D1625" i="2"/>
  <c r="I1625" i="2"/>
  <c r="J1625" i="2"/>
  <c r="N1625" i="2"/>
  <c r="D1626" i="2"/>
  <c r="I1626" i="2"/>
  <c r="J1626" i="2"/>
  <c r="N1626" i="2"/>
  <c r="D1627" i="2"/>
  <c r="I1627" i="2"/>
  <c r="J1627" i="2"/>
  <c r="N1627" i="2"/>
  <c r="D1628" i="2"/>
  <c r="I1628" i="2"/>
  <c r="J1628" i="2"/>
  <c r="N1628" i="2"/>
  <c r="D1629" i="2"/>
  <c r="I1629" i="2"/>
  <c r="J1629" i="2"/>
  <c r="N1629" i="2"/>
  <c r="D1630" i="2"/>
  <c r="I1630" i="2"/>
  <c r="J1630" i="2"/>
  <c r="N1630" i="2"/>
  <c r="D1631" i="2"/>
  <c r="I1631" i="2"/>
  <c r="J1631" i="2"/>
  <c r="N1631" i="2"/>
  <c r="D1632" i="2"/>
  <c r="I1632" i="2"/>
  <c r="J1632" i="2"/>
  <c r="N1632" i="2"/>
  <c r="D1633" i="2"/>
  <c r="I1633" i="2"/>
  <c r="J1633" i="2"/>
  <c r="N1633" i="2"/>
  <c r="D1634" i="2"/>
  <c r="I1634" i="2"/>
  <c r="J1634" i="2"/>
  <c r="N1634" i="2"/>
  <c r="D1635" i="2"/>
  <c r="I1635" i="2"/>
  <c r="J1635" i="2"/>
  <c r="N1635" i="2"/>
  <c r="D1636" i="2"/>
  <c r="I1636" i="2"/>
  <c r="J1636" i="2"/>
  <c r="N1636" i="2"/>
  <c r="D1637" i="2"/>
  <c r="I1637" i="2"/>
  <c r="J1637" i="2"/>
  <c r="N1637" i="2"/>
  <c r="D1638" i="2"/>
  <c r="I1638" i="2"/>
  <c r="J1638" i="2"/>
  <c r="N1638" i="2"/>
  <c r="D1639" i="2"/>
  <c r="I1639" i="2"/>
  <c r="J1639" i="2"/>
  <c r="N1639" i="2"/>
  <c r="D1640" i="2"/>
  <c r="I1640" i="2"/>
  <c r="J1640" i="2"/>
  <c r="N1640" i="2"/>
  <c r="D1641" i="2"/>
  <c r="I1641" i="2"/>
  <c r="J1641" i="2"/>
  <c r="N1641" i="2"/>
  <c r="D1642" i="2"/>
  <c r="I1642" i="2"/>
  <c r="J1642" i="2"/>
  <c r="N1642" i="2"/>
  <c r="D1643" i="2"/>
  <c r="I1643" i="2"/>
  <c r="J1643" i="2"/>
  <c r="N1643" i="2"/>
  <c r="D1644" i="2"/>
  <c r="I1644" i="2"/>
  <c r="J1644" i="2"/>
  <c r="N1644" i="2"/>
  <c r="D1645" i="2"/>
  <c r="I1645" i="2"/>
  <c r="J1645" i="2"/>
  <c r="N1645" i="2"/>
  <c r="D1646" i="2"/>
  <c r="I1646" i="2"/>
  <c r="J1646" i="2"/>
  <c r="N1646" i="2"/>
  <c r="D1647" i="2"/>
  <c r="I1647" i="2"/>
  <c r="J1647" i="2"/>
  <c r="N1647" i="2"/>
  <c r="D1648" i="2"/>
  <c r="I1648" i="2"/>
  <c r="J1648" i="2"/>
  <c r="N1648" i="2"/>
  <c r="D1649" i="2"/>
  <c r="I1649" i="2"/>
  <c r="J1649" i="2"/>
  <c r="N1649" i="2"/>
  <c r="D1650" i="2"/>
  <c r="I1650" i="2"/>
  <c r="J1650" i="2"/>
  <c r="N1650" i="2"/>
  <c r="D1651" i="2"/>
  <c r="I1651" i="2"/>
  <c r="J1651" i="2"/>
  <c r="N1651" i="2"/>
  <c r="D1652" i="2"/>
  <c r="I1652" i="2"/>
  <c r="J1652" i="2"/>
  <c r="N1652" i="2"/>
  <c r="D1653" i="2"/>
  <c r="I1653" i="2"/>
  <c r="J1653" i="2"/>
  <c r="N1653" i="2"/>
  <c r="D1654" i="2"/>
  <c r="I1654" i="2"/>
  <c r="J1654" i="2"/>
  <c r="N1654" i="2"/>
  <c r="D1655" i="2"/>
  <c r="I1655" i="2"/>
  <c r="J1655" i="2"/>
  <c r="N1655" i="2"/>
  <c r="D1656" i="2"/>
  <c r="I1656" i="2"/>
  <c r="J1656" i="2"/>
  <c r="N1656" i="2"/>
  <c r="D1657" i="2"/>
  <c r="I1657" i="2"/>
  <c r="J1657" i="2"/>
  <c r="N1657" i="2"/>
  <c r="D1658" i="2"/>
  <c r="I1658" i="2"/>
  <c r="J1658" i="2"/>
  <c r="N1658" i="2"/>
  <c r="D1659" i="2"/>
  <c r="I1659" i="2"/>
  <c r="J1659" i="2"/>
  <c r="N1659" i="2"/>
  <c r="D1660" i="2"/>
  <c r="I1660" i="2"/>
  <c r="J1660" i="2"/>
  <c r="N1660" i="2"/>
  <c r="D1661" i="2"/>
  <c r="I1661" i="2"/>
  <c r="J1661" i="2"/>
  <c r="N1661" i="2"/>
  <c r="D1662" i="2"/>
  <c r="I1662" i="2"/>
  <c r="J1662" i="2"/>
  <c r="N1662" i="2"/>
  <c r="D1663" i="2"/>
  <c r="I1663" i="2"/>
  <c r="J1663" i="2"/>
  <c r="N1663" i="2"/>
  <c r="D1664" i="2"/>
  <c r="I1664" i="2"/>
  <c r="J1664" i="2"/>
  <c r="N1664" i="2"/>
  <c r="D1665" i="2"/>
  <c r="I1665" i="2"/>
  <c r="J1665" i="2"/>
  <c r="N1665" i="2"/>
  <c r="D1666" i="2"/>
  <c r="I1666" i="2"/>
  <c r="J1666" i="2"/>
  <c r="N1666" i="2"/>
  <c r="D1667" i="2"/>
  <c r="I1667" i="2"/>
  <c r="J1667" i="2"/>
  <c r="N1667" i="2"/>
  <c r="D1668" i="2"/>
  <c r="I1668" i="2"/>
  <c r="J1668" i="2"/>
  <c r="N1668" i="2"/>
  <c r="D1669" i="2"/>
  <c r="I1669" i="2"/>
  <c r="J1669" i="2"/>
  <c r="N1669" i="2"/>
  <c r="D1670" i="2"/>
  <c r="I1670" i="2"/>
  <c r="J1670" i="2"/>
  <c r="N1670" i="2"/>
  <c r="D1671" i="2"/>
  <c r="I1671" i="2"/>
  <c r="J1671" i="2"/>
  <c r="N1671" i="2"/>
  <c r="D1672" i="2"/>
  <c r="I1672" i="2"/>
  <c r="J1672" i="2"/>
  <c r="N1672" i="2"/>
  <c r="D1673" i="2"/>
  <c r="I1673" i="2"/>
  <c r="J1673" i="2"/>
  <c r="N1673" i="2"/>
  <c r="D1674" i="2"/>
  <c r="I1674" i="2"/>
  <c r="J1674" i="2"/>
  <c r="N1674" i="2"/>
  <c r="D1675" i="2"/>
  <c r="I1675" i="2"/>
  <c r="J1675" i="2"/>
  <c r="N1675" i="2"/>
  <c r="D1676" i="2"/>
  <c r="I1676" i="2"/>
  <c r="J1676" i="2"/>
  <c r="N1676" i="2"/>
  <c r="D1677" i="2"/>
  <c r="I1677" i="2"/>
  <c r="J1677" i="2"/>
  <c r="N1677" i="2"/>
  <c r="D1678" i="2"/>
  <c r="I1678" i="2"/>
  <c r="J1678" i="2"/>
  <c r="N1678" i="2"/>
  <c r="D1679" i="2"/>
  <c r="I1679" i="2"/>
  <c r="J1679" i="2"/>
  <c r="N1679" i="2"/>
  <c r="D1680" i="2"/>
  <c r="I1680" i="2"/>
  <c r="J1680" i="2"/>
  <c r="N1680" i="2"/>
  <c r="D1681" i="2"/>
  <c r="I1681" i="2"/>
  <c r="J1681" i="2"/>
  <c r="N1681" i="2"/>
  <c r="D1682" i="2"/>
  <c r="I1682" i="2"/>
  <c r="J1682" i="2"/>
  <c r="N1682" i="2"/>
  <c r="D1683" i="2"/>
  <c r="I1683" i="2"/>
  <c r="J1683" i="2"/>
  <c r="N1683" i="2"/>
  <c r="D1684" i="2"/>
  <c r="I1684" i="2"/>
  <c r="J1684" i="2"/>
  <c r="N1684" i="2"/>
  <c r="D1685" i="2"/>
  <c r="I1685" i="2"/>
  <c r="J1685" i="2"/>
  <c r="N1685" i="2"/>
  <c r="D1686" i="2"/>
  <c r="I1686" i="2"/>
  <c r="J1686" i="2"/>
  <c r="N1686" i="2"/>
  <c r="D1687" i="2"/>
  <c r="I1687" i="2"/>
  <c r="J1687" i="2"/>
  <c r="N1687" i="2"/>
  <c r="D1688" i="2"/>
  <c r="I1688" i="2"/>
  <c r="J1688" i="2"/>
  <c r="N1688" i="2"/>
  <c r="D1689" i="2"/>
  <c r="I1689" i="2"/>
  <c r="J1689" i="2"/>
  <c r="N1689" i="2"/>
  <c r="D1690" i="2"/>
  <c r="I1690" i="2"/>
  <c r="J1690" i="2"/>
  <c r="N1690" i="2"/>
  <c r="D1691" i="2"/>
  <c r="I1691" i="2"/>
  <c r="J1691" i="2"/>
  <c r="N1691" i="2"/>
  <c r="D1692" i="2"/>
  <c r="I1692" i="2"/>
  <c r="J1692" i="2"/>
  <c r="N1692" i="2"/>
  <c r="D1693" i="2"/>
  <c r="I1693" i="2"/>
  <c r="J1693" i="2"/>
  <c r="N1693" i="2"/>
  <c r="D1694" i="2"/>
  <c r="I1694" i="2"/>
  <c r="J1694" i="2"/>
  <c r="N1694" i="2"/>
  <c r="D1695" i="2"/>
  <c r="I1695" i="2"/>
  <c r="J1695" i="2"/>
  <c r="N1695" i="2"/>
  <c r="D1696" i="2"/>
  <c r="I1696" i="2"/>
  <c r="J1696" i="2"/>
  <c r="N1696" i="2"/>
  <c r="D1697" i="2"/>
  <c r="I1697" i="2"/>
  <c r="J1697" i="2"/>
  <c r="N1697" i="2"/>
  <c r="D1698" i="2"/>
  <c r="I1698" i="2"/>
  <c r="J1698" i="2"/>
  <c r="N1698" i="2"/>
  <c r="D1699" i="2"/>
  <c r="I1699" i="2"/>
  <c r="J1699" i="2"/>
  <c r="N1699" i="2"/>
  <c r="D1700" i="2"/>
  <c r="I1700" i="2"/>
  <c r="J1700" i="2"/>
  <c r="N1700" i="2"/>
  <c r="D1701" i="2"/>
  <c r="I1701" i="2"/>
  <c r="J1701" i="2"/>
  <c r="N1701" i="2"/>
  <c r="D1702" i="2"/>
  <c r="I1702" i="2"/>
  <c r="J1702" i="2"/>
  <c r="N1702" i="2"/>
  <c r="D1703" i="2"/>
  <c r="I1703" i="2"/>
  <c r="J1703" i="2"/>
  <c r="N1703" i="2"/>
  <c r="D1704" i="2"/>
  <c r="I1704" i="2"/>
  <c r="J1704" i="2"/>
  <c r="N1704" i="2"/>
  <c r="D1705" i="2"/>
  <c r="I1705" i="2"/>
  <c r="J1705" i="2"/>
  <c r="N1705" i="2"/>
  <c r="D1706" i="2"/>
  <c r="I1706" i="2"/>
  <c r="J1706" i="2"/>
  <c r="N1706" i="2"/>
  <c r="D1707" i="2"/>
  <c r="I1707" i="2"/>
  <c r="J1707" i="2"/>
  <c r="N1707" i="2"/>
  <c r="D1708" i="2"/>
  <c r="I1708" i="2"/>
  <c r="J1708" i="2"/>
  <c r="N1708" i="2"/>
  <c r="D1709" i="2"/>
  <c r="I1709" i="2"/>
  <c r="J1709" i="2"/>
  <c r="N1709" i="2"/>
  <c r="D1710" i="2"/>
  <c r="I1710" i="2"/>
  <c r="J1710" i="2"/>
  <c r="N1710" i="2"/>
  <c r="D1711" i="2"/>
  <c r="I1711" i="2"/>
  <c r="J1711" i="2"/>
  <c r="N1711" i="2"/>
  <c r="D1712" i="2"/>
  <c r="I1712" i="2"/>
  <c r="J1712" i="2"/>
  <c r="N1712" i="2"/>
  <c r="D1713" i="2"/>
  <c r="I1713" i="2"/>
  <c r="J1713" i="2"/>
  <c r="N1713" i="2"/>
  <c r="D1714" i="2"/>
  <c r="I1714" i="2"/>
  <c r="J1714" i="2"/>
  <c r="N1714" i="2"/>
  <c r="D1715" i="2"/>
  <c r="I1715" i="2"/>
  <c r="J1715" i="2"/>
  <c r="N1715" i="2"/>
  <c r="D1716" i="2"/>
  <c r="I1716" i="2"/>
  <c r="J1716" i="2"/>
  <c r="N1716" i="2"/>
  <c r="D1717" i="2"/>
  <c r="I1717" i="2"/>
  <c r="J1717" i="2"/>
  <c r="N1717" i="2"/>
  <c r="D1718" i="2"/>
  <c r="I1718" i="2"/>
  <c r="J1718" i="2"/>
  <c r="N1718" i="2"/>
  <c r="D1719" i="2"/>
  <c r="I1719" i="2"/>
  <c r="J1719" i="2"/>
  <c r="N1719" i="2"/>
  <c r="D1720" i="2"/>
  <c r="I1720" i="2"/>
  <c r="J1720" i="2"/>
  <c r="N1720" i="2"/>
  <c r="D1721" i="2"/>
  <c r="I1721" i="2"/>
  <c r="J1721" i="2"/>
  <c r="N1721" i="2"/>
  <c r="D1722" i="2"/>
  <c r="I1722" i="2"/>
  <c r="J1722" i="2"/>
  <c r="N1722" i="2"/>
  <c r="D1723" i="2"/>
  <c r="I1723" i="2"/>
  <c r="J1723" i="2"/>
  <c r="N1723" i="2"/>
  <c r="D1724" i="2"/>
  <c r="I1724" i="2"/>
  <c r="J1724" i="2"/>
  <c r="N1724" i="2"/>
  <c r="D1725" i="2"/>
  <c r="I1725" i="2"/>
  <c r="J1725" i="2"/>
  <c r="N1725" i="2"/>
  <c r="D1726" i="2"/>
  <c r="I1726" i="2"/>
  <c r="J1726" i="2"/>
  <c r="N1726" i="2"/>
  <c r="D1727" i="2"/>
  <c r="I1727" i="2"/>
  <c r="J1727" i="2"/>
  <c r="N1727" i="2"/>
  <c r="D1728" i="2"/>
  <c r="I1728" i="2"/>
  <c r="J1728" i="2"/>
  <c r="N1728" i="2"/>
  <c r="D1729" i="2"/>
  <c r="I1729" i="2"/>
  <c r="J1729" i="2"/>
  <c r="N1729" i="2"/>
  <c r="D1730" i="2"/>
  <c r="I1730" i="2"/>
  <c r="J1730" i="2"/>
  <c r="N1730" i="2"/>
  <c r="D1731" i="2"/>
  <c r="I1731" i="2"/>
  <c r="J1731" i="2"/>
  <c r="N1731" i="2"/>
  <c r="D1732" i="2"/>
  <c r="I1732" i="2"/>
  <c r="J1732" i="2"/>
  <c r="N1732" i="2"/>
  <c r="D1733" i="2"/>
  <c r="I1733" i="2"/>
  <c r="J1733" i="2"/>
  <c r="N1733" i="2"/>
  <c r="D1734" i="2"/>
  <c r="I1734" i="2"/>
  <c r="J1734" i="2"/>
  <c r="N1734" i="2"/>
  <c r="D1735" i="2"/>
  <c r="I1735" i="2"/>
  <c r="J1735" i="2"/>
  <c r="N1735" i="2"/>
  <c r="D1736" i="2"/>
  <c r="I1736" i="2"/>
  <c r="J1736" i="2"/>
  <c r="N1736" i="2"/>
  <c r="D1737" i="2"/>
  <c r="I1737" i="2"/>
  <c r="J1737" i="2"/>
  <c r="N1737" i="2"/>
  <c r="D1738" i="2"/>
  <c r="I1738" i="2"/>
  <c r="J1738" i="2"/>
  <c r="N1738" i="2"/>
  <c r="D1739" i="2"/>
  <c r="I1739" i="2"/>
  <c r="J1739" i="2"/>
  <c r="N1739" i="2"/>
  <c r="D1740" i="2"/>
  <c r="I1740" i="2"/>
  <c r="J1740" i="2"/>
  <c r="N1740" i="2"/>
  <c r="D1741" i="2"/>
  <c r="I1741" i="2"/>
  <c r="J1741" i="2"/>
  <c r="N1741" i="2"/>
  <c r="D1742" i="2"/>
  <c r="I1742" i="2"/>
  <c r="J1742" i="2"/>
  <c r="N1742" i="2"/>
  <c r="D1743" i="2"/>
  <c r="I1743" i="2"/>
  <c r="J1743" i="2"/>
  <c r="N1743" i="2"/>
  <c r="D1744" i="2"/>
  <c r="I1744" i="2"/>
  <c r="J1744" i="2"/>
  <c r="N1744" i="2"/>
  <c r="D1745" i="2"/>
  <c r="I1745" i="2"/>
  <c r="J1745" i="2"/>
  <c r="N1745" i="2"/>
  <c r="D1746" i="2"/>
  <c r="I1746" i="2"/>
  <c r="J1746" i="2"/>
  <c r="N1746" i="2"/>
  <c r="D1747" i="2"/>
  <c r="I1747" i="2"/>
  <c r="J1747" i="2"/>
  <c r="N1747" i="2"/>
  <c r="D1748" i="2"/>
  <c r="I1748" i="2"/>
  <c r="J1748" i="2"/>
  <c r="N1748" i="2"/>
  <c r="D1749" i="2"/>
  <c r="I1749" i="2"/>
  <c r="J1749" i="2"/>
  <c r="N1749" i="2"/>
  <c r="D1750" i="2"/>
  <c r="I1750" i="2"/>
  <c r="J1750" i="2"/>
  <c r="N1750" i="2"/>
  <c r="D1751" i="2"/>
  <c r="I1751" i="2"/>
  <c r="J1751" i="2"/>
  <c r="N1751" i="2"/>
  <c r="D1752" i="2"/>
  <c r="I1752" i="2"/>
  <c r="J1752" i="2"/>
  <c r="N1752" i="2"/>
  <c r="D1753" i="2"/>
  <c r="I1753" i="2"/>
  <c r="J1753" i="2"/>
  <c r="N1753" i="2"/>
  <c r="D1754" i="2"/>
  <c r="I1754" i="2"/>
  <c r="J1754" i="2"/>
  <c r="N1754" i="2"/>
  <c r="D1755" i="2"/>
  <c r="I1755" i="2"/>
  <c r="J1755" i="2"/>
  <c r="N1755" i="2"/>
  <c r="D1756" i="2"/>
  <c r="I1756" i="2"/>
  <c r="J1756" i="2"/>
  <c r="N1756" i="2"/>
  <c r="D1757" i="2"/>
  <c r="I1757" i="2"/>
  <c r="J1757" i="2"/>
  <c r="N1757" i="2"/>
  <c r="D1758" i="2"/>
  <c r="I1758" i="2"/>
  <c r="J1758" i="2"/>
  <c r="N1758" i="2"/>
  <c r="D1759" i="2"/>
  <c r="I1759" i="2"/>
  <c r="J1759" i="2"/>
  <c r="N1759" i="2"/>
  <c r="D1760" i="2"/>
  <c r="I1760" i="2"/>
  <c r="J1760" i="2"/>
  <c r="N1760" i="2"/>
  <c r="D1761" i="2"/>
  <c r="I1761" i="2"/>
  <c r="J1761" i="2"/>
  <c r="N1761" i="2"/>
  <c r="D1762" i="2"/>
  <c r="I1762" i="2"/>
  <c r="J1762" i="2"/>
  <c r="N1762" i="2"/>
  <c r="D1763" i="2"/>
  <c r="I1763" i="2"/>
  <c r="J1763" i="2"/>
  <c r="N1763" i="2"/>
  <c r="D1764" i="2"/>
  <c r="I1764" i="2"/>
  <c r="J1764" i="2"/>
  <c r="N1764" i="2"/>
  <c r="D1765" i="2"/>
  <c r="I1765" i="2"/>
  <c r="J1765" i="2"/>
  <c r="N1765" i="2"/>
  <c r="D1766" i="2"/>
  <c r="I1766" i="2"/>
  <c r="J1766" i="2"/>
  <c r="N1766" i="2"/>
  <c r="D1767" i="2"/>
  <c r="I1767" i="2"/>
  <c r="J1767" i="2"/>
  <c r="N1767" i="2"/>
  <c r="D1768" i="2"/>
  <c r="I1768" i="2"/>
  <c r="J1768" i="2"/>
  <c r="N1768" i="2"/>
  <c r="D1769" i="2"/>
  <c r="I1769" i="2"/>
  <c r="J1769" i="2"/>
  <c r="N1769" i="2"/>
  <c r="D1770" i="2"/>
  <c r="I1770" i="2"/>
  <c r="J1770" i="2"/>
  <c r="N1770" i="2"/>
  <c r="D1771" i="2"/>
  <c r="I1771" i="2"/>
  <c r="J1771" i="2"/>
  <c r="N1771" i="2"/>
  <c r="D1772" i="2"/>
  <c r="I1772" i="2"/>
  <c r="J1772" i="2"/>
  <c r="N1772" i="2"/>
  <c r="D1773" i="2"/>
  <c r="I1773" i="2"/>
  <c r="J1773" i="2"/>
  <c r="N1773" i="2"/>
  <c r="D1774" i="2"/>
  <c r="I1774" i="2"/>
  <c r="J1774" i="2"/>
  <c r="N1774" i="2"/>
  <c r="D1775" i="2"/>
  <c r="I1775" i="2"/>
  <c r="J1775" i="2"/>
  <c r="N1775" i="2"/>
  <c r="D1776" i="2"/>
  <c r="I1776" i="2"/>
  <c r="J1776" i="2"/>
  <c r="N1776" i="2"/>
  <c r="D1777" i="2"/>
  <c r="I1777" i="2"/>
  <c r="J1777" i="2"/>
  <c r="N1777" i="2"/>
  <c r="D1778" i="2"/>
  <c r="I1778" i="2"/>
  <c r="J1778" i="2"/>
  <c r="N1778" i="2"/>
  <c r="D1779" i="2"/>
  <c r="I1779" i="2"/>
  <c r="J1779" i="2"/>
  <c r="N1779" i="2"/>
  <c r="D1780" i="2"/>
  <c r="I1780" i="2"/>
  <c r="J1780" i="2"/>
  <c r="N1780" i="2"/>
  <c r="D1781" i="2"/>
  <c r="I1781" i="2"/>
  <c r="J1781" i="2"/>
  <c r="N1781" i="2"/>
  <c r="D1782" i="2"/>
  <c r="I1782" i="2"/>
  <c r="J1782" i="2"/>
  <c r="N1782" i="2"/>
  <c r="D1783" i="2"/>
  <c r="I1783" i="2"/>
  <c r="J1783" i="2"/>
  <c r="N1783" i="2"/>
  <c r="D1784" i="2"/>
  <c r="I1784" i="2"/>
  <c r="J1784" i="2"/>
  <c r="N1784" i="2"/>
  <c r="D1785" i="2"/>
  <c r="I1785" i="2"/>
  <c r="J1785" i="2"/>
  <c r="N1785" i="2"/>
  <c r="D1786" i="2"/>
  <c r="I1786" i="2"/>
  <c r="J1786" i="2"/>
  <c r="N1786" i="2"/>
  <c r="D1787" i="2"/>
  <c r="I1787" i="2"/>
  <c r="J1787" i="2"/>
  <c r="N1787" i="2"/>
  <c r="D1788" i="2"/>
  <c r="I1788" i="2"/>
  <c r="J1788" i="2"/>
  <c r="N1788" i="2"/>
  <c r="D1789" i="2"/>
  <c r="I1789" i="2"/>
  <c r="J1789" i="2"/>
  <c r="N1789" i="2"/>
  <c r="D1790" i="2"/>
  <c r="I1790" i="2"/>
  <c r="J1790" i="2"/>
  <c r="N1790" i="2"/>
  <c r="D1791" i="2"/>
  <c r="I1791" i="2"/>
  <c r="J1791" i="2"/>
  <c r="N1791" i="2"/>
  <c r="D1792" i="2"/>
  <c r="I1792" i="2"/>
  <c r="J1792" i="2"/>
  <c r="N1792" i="2"/>
  <c r="D1793" i="2"/>
  <c r="I1793" i="2"/>
  <c r="J1793" i="2"/>
  <c r="N1793" i="2"/>
  <c r="D1794" i="2"/>
  <c r="I1794" i="2"/>
  <c r="J1794" i="2"/>
  <c r="N1794" i="2"/>
  <c r="D1795" i="2"/>
  <c r="I1795" i="2"/>
  <c r="J1795" i="2"/>
  <c r="N1795" i="2"/>
  <c r="D1796" i="2"/>
  <c r="I1796" i="2"/>
  <c r="J1796" i="2"/>
  <c r="N1796" i="2"/>
  <c r="D1797" i="2"/>
  <c r="I1797" i="2"/>
  <c r="J1797" i="2"/>
  <c r="N1797" i="2"/>
  <c r="D1798" i="2"/>
  <c r="I1798" i="2"/>
  <c r="J1798" i="2"/>
  <c r="N1798" i="2"/>
  <c r="D1799" i="2"/>
  <c r="I1799" i="2"/>
  <c r="J1799" i="2"/>
  <c r="N1799" i="2"/>
  <c r="D1800" i="2"/>
  <c r="I1800" i="2"/>
  <c r="J1800" i="2"/>
  <c r="N1800" i="2"/>
  <c r="D1801" i="2"/>
  <c r="I1801" i="2"/>
  <c r="J1801" i="2"/>
  <c r="N1801" i="2"/>
  <c r="D1802" i="2"/>
  <c r="I1802" i="2"/>
  <c r="J1802" i="2"/>
  <c r="N1802" i="2"/>
  <c r="D1803" i="2"/>
  <c r="I1803" i="2"/>
  <c r="J1803" i="2"/>
  <c r="N1803" i="2"/>
  <c r="D1804" i="2"/>
  <c r="I1804" i="2"/>
  <c r="J1804" i="2"/>
  <c r="N1804" i="2"/>
  <c r="D1805" i="2"/>
  <c r="I1805" i="2"/>
  <c r="J1805" i="2"/>
  <c r="N1805" i="2"/>
  <c r="D1806" i="2"/>
  <c r="I1806" i="2"/>
  <c r="J1806" i="2"/>
  <c r="N1806" i="2"/>
  <c r="D1807" i="2"/>
  <c r="I1807" i="2"/>
  <c r="J1807" i="2"/>
  <c r="N1807" i="2"/>
  <c r="D1808" i="2"/>
  <c r="I1808" i="2"/>
  <c r="J1808" i="2"/>
  <c r="N1808" i="2"/>
  <c r="D1809" i="2"/>
  <c r="I1809" i="2"/>
  <c r="J1809" i="2"/>
  <c r="N1809" i="2"/>
  <c r="D1810" i="2"/>
  <c r="I1810" i="2"/>
  <c r="J1810" i="2"/>
  <c r="N1810" i="2"/>
  <c r="D1811" i="2"/>
  <c r="I1811" i="2"/>
  <c r="J1811" i="2"/>
  <c r="N1811" i="2"/>
  <c r="D1812" i="2"/>
  <c r="I1812" i="2"/>
  <c r="J1812" i="2"/>
  <c r="N1812" i="2"/>
  <c r="D1813" i="2"/>
  <c r="I1813" i="2"/>
  <c r="J1813" i="2"/>
  <c r="N1813" i="2"/>
  <c r="D1814" i="2"/>
  <c r="I1814" i="2"/>
  <c r="J1814" i="2"/>
  <c r="N1814" i="2"/>
  <c r="D1815" i="2"/>
  <c r="I1815" i="2"/>
  <c r="J1815" i="2"/>
  <c r="N1815" i="2"/>
  <c r="D1816" i="2"/>
  <c r="I1816" i="2"/>
  <c r="J1816" i="2"/>
  <c r="N1816" i="2"/>
  <c r="D1817" i="2"/>
  <c r="I1817" i="2"/>
  <c r="J1817" i="2"/>
  <c r="N1817" i="2"/>
  <c r="D1818" i="2"/>
  <c r="I1818" i="2"/>
  <c r="J1818" i="2"/>
  <c r="N1818" i="2"/>
  <c r="D1819" i="2"/>
  <c r="I1819" i="2"/>
  <c r="J1819" i="2"/>
  <c r="N1819" i="2"/>
  <c r="D1820" i="2"/>
  <c r="I1820" i="2"/>
  <c r="J1820" i="2"/>
  <c r="N1820" i="2"/>
  <c r="D1821" i="2"/>
  <c r="I1821" i="2"/>
  <c r="J1821" i="2"/>
  <c r="N1821" i="2"/>
  <c r="D1822" i="2"/>
  <c r="I1822" i="2"/>
  <c r="J1822" i="2"/>
  <c r="N1822" i="2"/>
  <c r="D1823" i="2"/>
  <c r="I1823" i="2"/>
  <c r="J1823" i="2"/>
  <c r="N1823" i="2"/>
  <c r="D1824" i="2"/>
  <c r="I1824" i="2"/>
  <c r="J1824" i="2"/>
  <c r="N1824" i="2"/>
  <c r="D1825" i="2"/>
  <c r="I1825" i="2"/>
  <c r="J1825" i="2"/>
  <c r="N1825" i="2"/>
  <c r="D1826" i="2"/>
  <c r="I1826" i="2"/>
  <c r="J1826" i="2"/>
  <c r="N1826" i="2"/>
  <c r="D1827" i="2"/>
  <c r="I1827" i="2"/>
  <c r="J1827" i="2"/>
  <c r="N1827" i="2"/>
  <c r="D1828" i="2"/>
  <c r="I1828" i="2"/>
  <c r="J1828" i="2"/>
  <c r="N1828" i="2"/>
  <c r="D1829" i="2"/>
  <c r="I1829" i="2"/>
  <c r="J1829" i="2"/>
  <c r="N1829" i="2"/>
  <c r="D1830" i="2"/>
  <c r="I1830" i="2"/>
  <c r="J1830" i="2"/>
  <c r="N1830" i="2"/>
  <c r="D1831" i="2"/>
  <c r="I1831" i="2"/>
  <c r="J1831" i="2"/>
  <c r="N1831" i="2"/>
  <c r="D1832" i="2"/>
  <c r="I1832" i="2"/>
  <c r="J1832" i="2"/>
  <c r="N1832" i="2"/>
  <c r="D1833" i="2"/>
  <c r="I1833" i="2"/>
  <c r="J1833" i="2"/>
  <c r="N1833" i="2"/>
  <c r="D1834" i="2"/>
  <c r="I1834" i="2"/>
  <c r="J1834" i="2"/>
  <c r="N1834" i="2"/>
  <c r="D1835" i="2"/>
  <c r="I1835" i="2"/>
  <c r="J1835" i="2"/>
  <c r="N1835" i="2"/>
  <c r="D1836" i="2"/>
  <c r="I1836" i="2"/>
  <c r="J1836" i="2"/>
  <c r="N1836" i="2"/>
  <c r="D1837" i="2"/>
  <c r="I1837" i="2"/>
  <c r="J1837" i="2"/>
  <c r="N1837" i="2"/>
  <c r="D1838" i="2"/>
  <c r="I1838" i="2"/>
  <c r="J1838" i="2"/>
  <c r="N1838" i="2"/>
  <c r="D1839" i="2"/>
  <c r="I1839" i="2"/>
  <c r="J1839" i="2"/>
  <c r="N1839" i="2"/>
  <c r="D1840" i="2"/>
  <c r="I1840" i="2"/>
  <c r="J1840" i="2"/>
  <c r="N1840" i="2"/>
  <c r="D1841" i="2"/>
  <c r="I1841" i="2"/>
  <c r="J1841" i="2"/>
  <c r="N1841" i="2"/>
  <c r="D1842" i="2"/>
  <c r="I1842" i="2"/>
  <c r="J1842" i="2"/>
  <c r="N1842" i="2"/>
  <c r="D1843" i="2"/>
  <c r="I1843" i="2"/>
  <c r="J1843" i="2"/>
  <c r="N1843" i="2"/>
  <c r="D1844" i="2"/>
  <c r="I1844" i="2"/>
  <c r="J1844" i="2"/>
  <c r="N1844" i="2"/>
  <c r="D1845" i="2"/>
  <c r="I1845" i="2"/>
  <c r="J1845" i="2"/>
  <c r="N1845" i="2"/>
  <c r="D1846" i="2"/>
  <c r="I1846" i="2"/>
  <c r="J1846" i="2"/>
  <c r="N1846" i="2"/>
  <c r="D1847" i="2"/>
  <c r="I1847" i="2"/>
  <c r="J1847" i="2"/>
  <c r="N1847" i="2"/>
  <c r="D1848" i="2"/>
  <c r="I1848" i="2"/>
  <c r="J1848" i="2"/>
  <c r="N1848" i="2"/>
  <c r="D1849" i="2"/>
  <c r="I1849" i="2"/>
  <c r="J1849" i="2"/>
  <c r="N1849" i="2"/>
  <c r="D1850" i="2"/>
  <c r="I1850" i="2"/>
  <c r="J1850" i="2"/>
  <c r="N1850" i="2"/>
  <c r="D1851" i="2"/>
  <c r="I1851" i="2"/>
  <c r="J1851" i="2"/>
  <c r="N1851" i="2"/>
  <c r="D1852" i="2"/>
  <c r="I1852" i="2"/>
  <c r="J1852" i="2"/>
  <c r="N1852" i="2"/>
  <c r="D1853" i="2"/>
  <c r="I1853" i="2"/>
  <c r="J1853" i="2"/>
  <c r="N1853" i="2"/>
  <c r="D1854" i="2"/>
  <c r="I1854" i="2"/>
  <c r="J1854" i="2"/>
  <c r="N1854" i="2"/>
  <c r="D1855" i="2"/>
  <c r="I1855" i="2"/>
  <c r="J1855" i="2"/>
  <c r="N1855" i="2"/>
  <c r="D1856" i="2"/>
  <c r="I1856" i="2"/>
  <c r="J1856" i="2"/>
  <c r="N1856" i="2"/>
  <c r="D1857" i="2"/>
  <c r="I1857" i="2"/>
  <c r="J1857" i="2"/>
  <c r="N1857" i="2"/>
  <c r="D1858" i="2"/>
  <c r="I1858" i="2"/>
  <c r="J1858" i="2"/>
  <c r="N1858" i="2"/>
  <c r="D1859" i="2"/>
  <c r="I1859" i="2"/>
  <c r="J1859" i="2"/>
  <c r="N1859" i="2"/>
  <c r="D1860" i="2"/>
  <c r="I1860" i="2"/>
  <c r="J1860" i="2"/>
  <c r="N1860" i="2"/>
  <c r="D1861" i="2"/>
  <c r="I1861" i="2"/>
  <c r="J1861" i="2"/>
  <c r="N1861" i="2"/>
  <c r="D1862" i="2"/>
  <c r="I1862" i="2"/>
  <c r="J1862" i="2"/>
  <c r="N1862" i="2"/>
  <c r="D1863" i="2"/>
  <c r="I1863" i="2"/>
  <c r="J1863" i="2"/>
  <c r="N1863" i="2"/>
  <c r="D1864" i="2"/>
  <c r="I1864" i="2"/>
  <c r="J1864" i="2"/>
  <c r="N1864" i="2"/>
  <c r="D1865" i="2"/>
  <c r="I1865" i="2"/>
  <c r="J1865" i="2"/>
  <c r="N1865" i="2"/>
  <c r="D1866" i="2"/>
  <c r="I1866" i="2"/>
  <c r="J1866" i="2"/>
  <c r="N1866" i="2"/>
  <c r="D1867" i="2"/>
  <c r="I1867" i="2"/>
  <c r="J1867" i="2"/>
  <c r="N1867" i="2"/>
  <c r="D1868" i="2"/>
  <c r="I1868" i="2"/>
  <c r="J1868" i="2"/>
  <c r="N1868" i="2"/>
  <c r="D1869" i="2"/>
  <c r="I1869" i="2"/>
  <c r="J1869" i="2"/>
  <c r="N1869" i="2"/>
  <c r="D1870" i="2"/>
  <c r="I1870" i="2"/>
  <c r="J1870" i="2"/>
  <c r="N1870" i="2"/>
  <c r="D1871" i="2"/>
  <c r="I1871" i="2"/>
  <c r="J1871" i="2"/>
  <c r="N1871" i="2"/>
  <c r="D1872" i="2"/>
  <c r="I1872" i="2"/>
  <c r="J1872" i="2"/>
  <c r="N1872" i="2"/>
  <c r="D1873" i="2"/>
  <c r="I1873" i="2"/>
  <c r="J1873" i="2"/>
  <c r="N1873" i="2"/>
  <c r="D1874" i="2"/>
  <c r="I1874" i="2"/>
  <c r="J1874" i="2"/>
  <c r="N1874" i="2"/>
  <c r="D1875" i="2"/>
  <c r="I1875" i="2"/>
  <c r="J1875" i="2"/>
  <c r="N1875" i="2"/>
  <c r="D1876" i="2"/>
  <c r="I1876" i="2"/>
  <c r="J1876" i="2"/>
  <c r="N1876" i="2"/>
  <c r="D1877" i="2"/>
  <c r="I1877" i="2"/>
  <c r="J1877" i="2"/>
  <c r="N1877" i="2"/>
  <c r="D1878" i="2"/>
  <c r="I1878" i="2"/>
  <c r="J1878" i="2"/>
  <c r="N1878" i="2"/>
  <c r="D1879" i="2"/>
  <c r="I1879" i="2"/>
  <c r="J1879" i="2"/>
  <c r="N1879" i="2"/>
  <c r="D1880" i="2"/>
  <c r="I1880" i="2"/>
  <c r="J1880" i="2"/>
  <c r="N1880" i="2"/>
  <c r="D1881" i="2"/>
  <c r="I1881" i="2"/>
  <c r="J1881" i="2"/>
  <c r="N1881" i="2"/>
  <c r="D1882" i="2"/>
  <c r="I1882" i="2"/>
  <c r="J1882" i="2"/>
  <c r="N1882" i="2"/>
  <c r="D1883" i="2"/>
  <c r="I1883" i="2"/>
  <c r="J1883" i="2"/>
  <c r="N1883" i="2"/>
  <c r="D1884" i="2"/>
  <c r="I1884" i="2"/>
  <c r="J1884" i="2"/>
  <c r="N1884" i="2"/>
  <c r="D1885" i="2"/>
  <c r="I1885" i="2"/>
  <c r="J1885" i="2"/>
  <c r="N1885" i="2"/>
  <c r="D1886" i="2"/>
  <c r="I1886" i="2"/>
  <c r="J1886" i="2"/>
  <c r="N1886" i="2"/>
  <c r="D1887" i="2"/>
  <c r="I1887" i="2"/>
  <c r="J1887" i="2"/>
  <c r="N1887" i="2"/>
  <c r="D1888" i="2"/>
  <c r="I1888" i="2"/>
  <c r="J1888" i="2"/>
  <c r="N1888" i="2"/>
  <c r="D1889" i="2"/>
  <c r="I1889" i="2"/>
  <c r="J1889" i="2"/>
  <c r="N1889" i="2"/>
  <c r="D1890" i="2"/>
  <c r="I1890" i="2"/>
  <c r="J1890" i="2"/>
  <c r="N1890" i="2"/>
  <c r="D1891" i="2"/>
  <c r="I1891" i="2"/>
  <c r="J1891" i="2"/>
  <c r="N1891" i="2"/>
  <c r="D1892" i="2"/>
  <c r="I1892" i="2"/>
  <c r="J1892" i="2"/>
  <c r="N1892" i="2"/>
  <c r="D1893" i="2"/>
  <c r="I1893" i="2"/>
  <c r="J1893" i="2"/>
  <c r="N1893" i="2"/>
  <c r="D1894" i="2"/>
  <c r="I1894" i="2"/>
  <c r="J1894" i="2"/>
  <c r="N1894" i="2"/>
  <c r="D1895" i="2"/>
  <c r="I1895" i="2"/>
  <c r="J1895" i="2"/>
  <c r="N1895" i="2"/>
  <c r="D1896" i="2"/>
  <c r="I1896" i="2"/>
  <c r="J1896" i="2"/>
  <c r="N1896" i="2"/>
  <c r="D1897" i="2"/>
  <c r="I1897" i="2"/>
  <c r="J1897" i="2"/>
  <c r="N1897" i="2"/>
  <c r="D1898" i="2"/>
  <c r="I1898" i="2"/>
  <c r="J1898" i="2"/>
  <c r="N1898" i="2"/>
  <c r="D1899" i="2"/>
  <c r="I1899" i="2"/>
  <c r="J1899" i="2"/>
  <c r="N1899" i="2"/>
  <c r="D1900" i="2"/>
  <c r="I1900" i="2"/>
  <c r="J1900" i="2"/>
  <c r="N1900" i="2"/>
  <c r="D1901" i="2"/>
  <c r="I1901" i="2"/>
  <c r="J1901" i="2"/>
  <c r="N1901" i="2"/>
  <c r="D1902" i="2"/>
  <c r="I1902" i="2"/>
  <c r="J1902" i="2"/>
  <c r="N1902" i="2"/>
  <c r="D1903" i="2"/>
  <c r="I1903" i="2"/>
  <c r="J1903" i="2"/>
  <c r="N1903" i="2"/>
  <c r="D1904" i="2"/>
  <c r="I1904" i="2"/>
  <c r="J1904" i="2"/>
  <c r="N1904" i="2"/>
  <c r="D1905" i="2"/>
  <c r="I1905" i="2"/>
  <c r="J1905" i="2"/>
  <c r="N1905" i="2"/>
  <c r="D1906" i="2"/>
  <c r="I1906" i="2"/>
  <c r="J1906" i="2"/>
  <c r="N1906" i="2"/>
  <c r="D1907" i="2"/>
  <c r="I1907" i="2"/>
  <c r="J1907" i="2"/>
  <c r="N1907" i="2"/>
  <c r="D1908" i="2"/>
  <c r="I1908" i="2"/>
  <c r="J1908" i="2"/>
  <c r="N1908" i="2"/>
  <c r="D1909" i="2"/>
  <c r="I1909" i="2"/>
  <c r="J1909" i="2"/>
  <c r="N1909" i="2"/>
  <c r="D1910" i="2"/>
  <c r="I1910" i="2"/>
  <c r="J1910" i="2"/>
  <c r="N1910" i="2"/>
  <c r="D1911" i="2"/>
  <c r="I1911" i="2"/>
  <c r="J1911" i="2"/>
  <c r="N1911" i="2"/>
  <c r="D1912" i="2"/>
  <c r="I1912" i="2"/>
  <c r="J1912" i="2"/>
  <c r="N1912" i="2"/>
  <c r="D1913" i="2"/>
  <c r="I1913" i="2"/>
  <c r="J1913" i="2"/>
  <c r="N1913" i="2"/>
  <c r="D1914" i="2"/>
  <c r="I1914" i="2"/>
  <c r="J1914" i="2"/>
  <c r="N1914" i="2"/>
  <c r="D1915" i="2"/>
  <c r="I1915" i="2"/>
  <c r="J1915" i="2"/>
  <c r="N1915" i="2"/>
  <c r="D1916" i="2"/>
  <c r="I1916" i="2"/>
  <c r="J1916" i="2"/>
  <c r="N1916" i="2"/>
  <c r="D1917" i="2"/>
  <c r="I1917" i="2"/>
  <c r="J1917" i="2"/>
  <c r="N1917" i="2"/>
  <c r="D1918" i="2"/>
  <c r="I1918" i="2"/>
  <c r="J1918" i="2"/>
  <c r="N1918" i="2"/>
  <c r="D1919" i="2"/>
  <c r="I1919" i="2"/>
  <c r="J1919" i="2"/>
  <c r="N1919" i="2"/>
  <c r="D1920" i="2"/>
  <c r="I1920" i="2"/>
  <c r="J1920" i="2"/>
  <c r="N1920" i="2"/>
  <c r="D1921" i="2"/>
  <c r="I1921" i="2"/>
  <c r="J1921" i="2"/>
  <c r="N1921" i="2"/>
  <c r="D1922" i="2"/>
  <c r="I1922" i="2"/>
  <c r="J1922" i="2"/>
  <c r="N1922" i="2"/>
  <c r="D1923" i="2"/>
  <c r="I1923" i="2"/>
  <c r="J1923" i="2"/>
  <c r="N1923" i="2"/>
  <c r="D1924" i="2"/>
  <c r="I1924" i="2"/>
  <c r="J1924" i="2"/>
  <c r="N1924" i="2"/>
  <c r="D1925" i="2"/>
  <c r="I1925" i="2"/>
  <c r="J1925" i="2"/>
  <c r="N1925" i="2"/>
  <c r="D1926" i="2"/>
  <c r="I1926" i="2"/>
  <c r="J1926" i="2"/>
  <c r="N1926" i="2"/>
  <c r="D1927" i="2"/>
  <c r="I1927" i="2"/>
  <c r="J1927" i="2"/>
  <c r="N1927" i="2"/>
  <c r="D1928" i="2"/>
  <c r="I1928" i="2"/>
  <c r="J1928" i="2"/>
  <c r="N1928" i="2"/>
  <c r="D1929" i="2"/>
  <c r="I1929" i="2"/>
  <c r="J1929" i="2"/>
  <c r="N1929" i="2"/>
  <c r="D1930" i="2"/>
  <c r="I1930" i="2"/>
  <c r="J1930" i="2"/>
  <c r="N1930" i="2"/>
  <c r="D1931" i="2"/>
  <c r="I1931" i="2"/>
  <c r="J1931" i="2"/>
  <c r="N1931" i="2"/>
  <c r="D1932" i="2"/>
  <c r="I1932" i="2"/>
  <c r="J1932" i="2"/>
  <c r="N1932" i="2"/>
  <c r="D1933" i="2"/>
  <c r="I1933" i="2"/>
  <c r="J1933" i="2"/>
  <c r="N1933" i="2"/>
  <c r="D1934" i="2"/>
  <c r="I1934" i="2"/>
  <c r="J1934" i="2"/>
  <c r="N1934" i="2"/>
  <c r="D1935" i="2"/>
  <c r="I1935" i="2"/>
  <c r="J1935" i="2"/>
  <c r="N1935" i="2"/>
  <c r="D1936" i="2"/>
  <c r="I1936" i="2"/>
  <c r="J1936" i="2"/>
  <c r="N1936" i="2"/>
  <c r="D1937" i="2"/>
  <c r="I1937" i="2"/>
  <c r="J1937" i="2"/>
  <c r="N1937" i="2"/>
  <c r="D1938" i="2"/>
  <c r="I1938" i="2"/>
  <c r="J1938" i="2"/>
  <c r="N1938" i="2"/>
  <c r="D1939" i="2"/>
  <c r="I1939" i="2"/>
  <c r="J1939" i="2"/>
  <c r="N1939" i="2"/>
  <c r="D1940" i="2"/>
  <c r="I1940" i="2"/>
  <c r="J1940" i="2"/>
  <c r="N1940" i="2"/>
  <c r="D1941" i="2"/>
  <c r="I1941" i="2"/>
  <c r="J1941" i="2"/>
  <c r="N1941" i="2"/>
  <c r="D1942" i="2"/>
  <c r="I1942" i="2"/>
  <c r="J1942" i="2"/>
  <c r="N1942" i="2"/>
  <c r="D1943" i="2"/>
  <c r="I1943" i="2"/>
  <c r="J1943" i="2"/>
  <c r="N1943" i="2"/>
  <c r="D1944" i="2"/>
  <c r="I1944" i="2"/>
  <c r="J1944" i="2"/>
  <c r="N1944" i="2"/>
  <c r="D1945" i="2"/>
  <c r="I1945" i="2"/>
  <c r="J1945" i="2"/>
  <c r="N1945" i="2"/>
  <c r="D1946" i="2"/>
  <c r="I1946" i="2"/>
  <c r="J1946" i="2"/>
  <c r="N1946" i="2"/>
  <c r="D1947" i="2"/>
  <c r="I1947" i="2"/>
  <c r="J1947" i="2"/>
  <c r="N1947" i="2"/>
  <c r="D1948" i="2"/>
  <c r="I1948" i="2"/>
  <c r="J1948" i="2"/>
  <c r="N1948" i="2"/>
  <c r="D1949" i="2"/>
  <c r="I1949" i="2"/>
  <c r="J1949" i="2"/>
  <c r="N1949" i="2"/>
  <c r="D1950" i="2"/>
  <c r="I1950" i="2"/>
  <c r="J1950" i="2"/>
  <c r="N1950" i="2"/>
  <c r="D1951" i="2"/>
  <c r="I1951" i="2"/>
  <c r="J1951" i="2"/>
  <c r="N1951" i="2"/>
  <c r="D1952" i="2"/>
  <c r="I1952" i="2"/>
  <c r="J1952" i="2"/>
  <c r="N1952" i="2"/>
  <c r="D1953" i="2"/>
  <c r="I1953" i="2"/>
  <c r="J1953" i="2"/>
  <c r="N1953" i="2"/>
  <c r="D1954" i="2"/>
  <c r="I1954" i="2"/>
  <c r="J1954" i="2"/>
  <c r="N1954" i="2"/>
  <c r="D1955" i="2"/>
  <c r="I1955" i="2"/>
  <c r="J1955" i="2"/>
  <c r="N1955" i="2"/>
  <c r="D1956" i="2"/>
  <c r="I1956" i="2"/>
  <c r="J1956" i="2"/>
  <c r="N1956" i="2"/>
  <c r="D1957" i="2"/>
  <c r="I1957" i="2"/>
  <c r="J1957" i="2"/>
  <c r="N1957" i="2"/>
  <c r="D1958" i="2"/>
  <c r="I1958" i="2"/>
  <c r="J1958" i="2"/>
  <c r="N1958" i="2"/>
  <c r="D1959" i="2"/>
  <c r="I1959" i="2"/>
  <c r="J1959" i="2"/>
  <c r="N1959" i="2"/>
  <c r="D1960" i="2"/>
  <c r="I1960" i="2"/>
  <c r="J1960" i="2"/>
  <c r="N1960" i="2"/>
  <c r="D1961" i="2"/>
  <c r="I1961" i="2"/>
  <c r="J1961" i="2"/>
  <c r="N1961" i="2"/>
  <c r="D1962" i="2"/>
  <c r="I1962" i="2"/>
  <c r="J1962" i="2"/>
  <c r="N1962" i="2"/>
  <c r="D1963" i="2"/>
  <c r="I1963" i="2"/>
  <c r="J1963" i="2"/>
  <c r="N1963" i="2"/>
  <c r="D1964" i="2"/>
  <c r="I1964" i="2"/>
  <c r="J1964" i="2"/>
  <c r="N1964" i="2"/>
  <c r="D1965" i="2"/>
  <c r="I1965" i="2"/>
  <c r="J1965" i="2"/>
  <c r="N1965" i="2"/>
  <c r="D1966" i="2"/>
  <c r="I1966" i="2"/>
  <c r="J1966" i="2"/>
  <c r="N1966" i="2"/>
  <c r="D1967" i="2"/>
  <c r="I1967" i="2"/>
  <c r="J1967" i="2"/>
  <c r="N1967" i="2"/>
  <c r="D1968" i="2"/>
  <c r="I1968" i="2"/>
  <c r="J1968" i="2"/>
  <c r="N1968" i="2"/>
  <c r="D1969" i="2"/>
  <c r="I1969" i="2"/>
  <c r="J1969" i="2"/>
  <c r="N1969" i="2"/>
  <c r="D1970" i="2"/>
  <c r="I1970" i="2"/>
  <c r="J1970" i="2"/>
  <c r="N1970" i="2"/>
  <c r="D1971" i="2"/>
  <c r="I1971" i="2"/>
  <c r="J1971" i="2"/>
  <c r="N1971" i="2"/>
  <c r="D1972" i="2"/>
  <c r="I1972" i="2"/>
  <c r="J1972" i="2"/>
  <c r="N1972" i="2"/>
  <c r="D1973" i="2"/>
  <c r="I1973" i="2"/>
  <c r="J1973" i="2"/>
  <c r="N1973" i="2"/>
  <c r="D1974" i="2"/>
  <c r="I1974" i="2"/>
  <c r="J1974" i="2"/>
  <c r="N1974" i="2"/>
  <c r="D1975" i="2"/>
  <c r="I1975" i="2"/>
  <c r="J1975" i="2"/>
  <c r="N1975" i="2"/>
  <c r="D1976" i="2"/>
  <c r="I1976" i="2"/>
  <c r="J1976" i="2"/>
  <c r="N1976" i="2"/>
  <c r="D1977" i="2"/>
  <c r="I1977" i="2"/>
  <c r="J1977" i="2"/>
  <c r="N1977" i="2"/>
  <c r="D1978" i="2"/>
  <c r="I1978" i="2"/>
  <c r="J1978" i="2"/>
  <c r="N1978" i="2"/>
  <c r="D1979" i="2"/>
  <c r="I1979" i="2"/>
  <c r="J1979" i="2"/>
  <c r="N1979" i="2"/>
  <c r="D1980" i="2"/>
  <c r="I1980" i="2"/>
  <c r="J1980" i="2"/>
  <c r="N1980" i="2"/>
  <c r="D1981" i="2"/>
  <c r="I1981" i="2"/>
  <c r="J1981" i="2"/>
  <c r="N1981" i="2"/>
  <c r="D1982" i="2"/>
  <c r="I1982" i="2"/>
  <c r="J1982" i="2"/>
  <c r="N1982" i="2"/>
  <c r="D1983" i="2"/>
  <c r="I1983" i="2"/>
  <c r="J1983" i="2"/>
  <c r="N1983" i="2"/>
  <c r="D1984" i="2"/>
  <c r="I1984" i="2"/>
  <c r="J1984" i="2"/>
  <c r="N1984" i="2"/>
  <c r="D1985" i="2"/>
  <c r="I1985" i="2"/>
  <c r="J1985" i="2"/>
  <c r="N1985" i="2"/>
  <c r="D1986" i="2"/>
  <c r="I1986" i="2"/>
  <c r="J1986" i="2"/>
  <c r="N1986" i="2"/>
  <c r="D1987" i="2"/>
  <c r="I1987" i="2"/>
  <c r="J1987" i="2"/>
  <c r="N1987" i="2"/>
  <c r="D1988" i="2"/>
  <c r="I1988" i="2"/>
  <c r="J1988" i="2"/>
  <c r="N1988" i="2"/>
  <c r="D1989" i="2"/>
  <c r="I1989" i="2"/>
  <c r="J1989" i="2"/>
  <c r="N1989" i="2"/>
  <c r="D1990" i="2"/>
  <c r="I1990" i="2"/>
  <c r="J1990" i="2"/>
  <c r="N1990" i="2"/>
  <c r="D1991" i="2"/>
  <c r="I1991" i="2"/>
  <c r="J1991" i="2"/>
  <c r="N1991" i="2"/>
  <c r="D1992" i="2"/>
  <c r="I1992" i="2"/>
  <c r="J1992" i="2"/>
  <c r="N1992" i="2"/>
  <c r="D1993" i="2"/>
  <c r="I1993" i="2"/>
  <c r="J1993" i="2"/>
  <c r="N1993" i="2"/>
  <c r="D1994" i="2"/>
  <c r="I1994" i="2"/>
  <c r="J1994" i="2"/>
  <c r="N1994" i="2"/>
  <c r="D1995" i="2"/>
  <c r="I1995" i="2"/>
  <c r="J1995" i="2"/>
  <c r="N1995" i="2"/>
  <c r="D1996" i="2"/>
  <c r="I1996" i="2"/>
  <c r="J1996" i="2"/>
  <c r="N1996" i="2"/>
  <c r="D1997" i="2"/>
  <c r="I1997" i="2"/>
  <c r="J1997" i="2"/>
  <c r="N1997" i="2"/>
  <c r="D1998" i="2"/>
  <c r="I1998" i="2"/>
  <c r="J1998" i="2"/>
  <c r="N1998" i="2"/>
  <c r="D1999" i="2"/>
  <c r="I1999" i="2"/>
  <c r="J1999" i="2"/>
  <c r="N1999" i="2"/>
  <c r="D2000" i="2"/>
  <c r="I2000" i="2"/>
  <c r="J2000" i="2"/>
  <c r="N2000" i="2"/>
  <c r="D2001" i="2"/>
  <c r="I2001" i="2"/>
  <c r="J2001" i="2"/>
  <c r="N2001" i="2"/>
  <c r="D2002" i="2"/>
  <c r="I2002" i="2"/>
  <c r="J2002" i="2"/>
  <c r="N2002" i="2"/>
  <c r="D2003" i="2"/>
  <c r="I2003" i="2"/>
  <c r="J2003" i="2"/>
  <c r="N2003" i="2"/>
  <c r="D2004" i="2"/>
  <c r="I2004" i="2"/>
  <c r="J2004" i="2"/>
  <c r="N2004" i="2"/>
  <c r="D2005" i="2"/>
  <c r="I2005" i="2"/>
  <c r="J2005" i="2"/>
  <c r="N2005" i="2"/>
  <c r="D2006" i="2"/>
  <c r="I2006" i="2"/>
  <c r="J2006" i="2"/>
  <c r="N2006" i="2"/>
  <c r="D2007" i="2"/>
  <c r="I2007" i="2"/>
  <c r="J2007" i="2"/>
  <c r="N2007" i="2"/>
  <c r="D2008" i="2"/>
  <c r="I2008" i="2"/>
  <c r="J2008" i="2"/>
  <c r="N2008" i="2"/>
  <c r="D2009" i="2"/>
  <c r="I2009" i="2"/>
  <c r="J2009" i="2"/>
  <c r="N2009" i="2"/>
  <c r="D2010" i="2"/>
  <c r="I2010" i="2"/>
  <c r="J2010" i="2"/>
  <c r="N2010" i="2"/>
  <c r="D2011" i="2"/>
  <c r="I2011" i="2"/>
  <c r="J2011" i="2"/>
  <c r="N2011" i="2"/>
  <c r="D2012" i="2"/>
  <c r="I2012" i="2"/>
  <c r="J2012" i="2"/>
  <c r="N2012" i="2"/>
  <c r="D2013" i="2"/>
  <c r="I2013" i="2"/>
  <c r="J2013" i="2"/>
  <c r="N2013" i="2"/>
  <c r="D2014" i="2"/>
  <c r="I2014" i="2"/>
  <c r="J2014" i="2"/>
  <c r="N2014" i="2"/>
  <c r="D2015" i="2"/>
  <c r="I2015" i="2"/>
  <c r="J2015" i="2"/>
  <c r="N2015" i="2"/>
  <c r="D2016" i="2"/>
  <c r="I2016" i="2"/>
  <c r="J2016" i="2"/>
  <c r="N2016" i="2"/>
  <c r="D2017" i="2"/>
  <c r="I2017" i="2"/>
  <c r="J2017" i="2"/>
  <c r="N2017" i="2"/>
  <c r="D2018" i="2"/>
  <c r="I2018" i="2"/>
  <c r="J2018" i="2"/>
  <c r="N2018" i="2"/>
  <c r="D2019" i="2"/>
  <c r="I2019" i="2"/>
  <c r="J2019" i="2"/>
  <c r="N2019" i="2"/>
  <c r="D2020" i="2"/>
  <c r="I2020" i="2"/>
  <c r="J2020" i="2"/>
  <c r="N2020" i="2"/>
  <c r="D2021" i="2"/>
  <c r="I2021" i="2"/>
  <c r="J2021" i="2"/>
  <c r="N2021" i="2"/>
  <c r="D2022" i="2"/>
  <c r="I2022" i="2"/>
  <c r="J2022" i="2"/>
  <c r="N2022" i="2"/>
  <c r="D2023" i="2"/>
  <c r="I2023" i="2"/>
  <c r="J2023" i="2"/>
  <c r="N2023" i="2"/>
  <c r="I23" i="2"/>
  <c r="J23" i="2"/>
  <c r="N23" i="2"/>
  <c r="W11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H32" i="2"/>
  <c r="K32" i="2"/>
  <c r="H33" i="2"/>
  <c r="K33" i="2"/>
  <c r="H34" i="2"/>
  <c r="K34" i="2"/>
  <c r="H35" i="2"/>
  <c r="K35" i="2"/>
  <c r="H36" i="2"/>
  <c r="K36" i="2"/>
  <c r="H37" i="2"/>
  <c r="K37" i="2"/>
  <c r="H38" i="2"/>
  <c r="K38" i="2"/>
  <c r="H39" i="2"/>
  <c r="K39" i="2"/>
  <c r="H40" i="2"/>
  <c r="K40" i="2"/>
  <c r="H41" i="2"/>
  <c r="K41" i="2"/>
  <c r="H42" i="2"/>
  <c r="K42" i="2"/>
  <c r="H43" i="2"/>
  <c r="K43" i="2"/>
  <c r="H44" i="2"/>
  <c r="K44" i="2"/>
  <c r="H45" i="2"/>
  <c r="K45" i="2"/>
  <c r="H46" i="2"/>
  <c r="K46" i="2"/>
  <c r="H47" i="2"/>
  <c r="K47" i="2"/>
  <c r="H48" i="2"/>
  <c r="K48" i="2"/>
  <c r="H49" i="2"/>
  <c r="K49" i="2"/>
  <c r="H50" i="2"/>
  <c r="K50" i="2"/>
  <c r="H51" i="2"/>
  <c r="K51" i="2"/>
  <c r="H52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V11" i="2"/>
  <c r="H21" i="2"/>
  <c r="L1820" i="2"/>
  <c r="M1820" i="2"/>
  <c r="L1821" i="2"/>
  <c r="M1821" i="2"/>
  <c r="L1822" i="2"/>
  <c r="M1822" i="2"/>
  <c r="L1823" i="2"/>
  <c r="M1823" i="2"/>
  <c r="L1824" i="2"/>
  <c r="M1824" i="2"/>
  <c r="L1825" i="2"/>
  <c r="M1825" i="2"/>
  <c r="L1826" i="2"/>
  <c r="M1826" i="2"/>
  <c r="L1827" i="2"/>
  <c r="M1827" i="2"/>
  <c r="L1828" i="2"/>
  <c r="M1828" i="2"/>
  <c r="L1829" i="2"/>
  <c r="M1829" i="2"/>
  <c r="L1830" i="2"/>
  <c r="M1830" i="2"/>
  <c r="L1831" i="2"/>
  <c r="M1831" i="2"/>
  <c r="L1832" i="2"/>
  <c r="M1832" i="2"/>
  <c r="L1833" i="2"/>
  <c r="M1833" i="2"/>
  <c r="L1834" i="2"/>
  <c r="M1834" i="2"/>
  <c r="L1835" i="2"/>
  <c r="M1835" i="2"/>
  <c r="L1836" i="2"/>
  <c r="M1836" i="2"/>
  <c r="L1837" i="2"/>
  <c r="M1837" i="2"/>
  <c r="L1838" i="2"/>
  <c r="M1838" i="2"/>
  <c r="L1839" i="2"/>
  <c r="M1839" i="2"/>
  <c r="L1840" i="2"/>
  <c r="M1840" i="2"/>
  <c r="L1841" i="2"/>
  <c r="M1841" i="2"/>
  <c r="L1842" i="2"/>
  <c r="M1842" i="2"/>
  <c r="L1843" i="2"/>
  <c r="M1843" i="2"/>
  <c r="L1844" i="2"/>
  <c r="M1844" i="2"/>
  <c r="L1845" i="2"/>
  <c r="M1845" i="2"/>
  <c r="L1846" i="2"/>
  <c r="M1846" i="2"/>
  <c r="L1847" i="2"/>
  <c r="M1847" i="2"/>
  <c r="L1848" i="2"/>
  <c r="M1848" i="2"/>
  <c r="L1849" i="2"/>
  <c r="M1849" i="2"/>
  <c r="L1850" i="2"/>
  <c r="M1850" i="2"/>
  <c r="L1851" i="2"/>
  <c r="M1851" i="2"/>
  <c r="L1852" i="2"/>
  <c r="M1852" i="2"/>
  <c r="L1853" i="2"/>
  <c r="M1853" i="2"/>
  <c r="L1854" i="2"/>
  <c r="M1854" i="2"/>
  <c r="L1855" i="2"/>
  <c r="M1855" i="2"/>
  <c r="L1856" i="2"/>
  <c r="M1856" i="2"/>
  <c r="L1857" i="2"/>
  <c r="M1857" i="2"/>
  <c r="L1858" i="2"/>
  <c r="M1858" i="2"/>
  <c r="L1859" i="2"/>
  <c r="M1859" i="2"/>
  <c r="L1860" i="2"/>
  <c r="M1860" i="2"/>
  <c r="L1861" i="2"/>
  <c r="M1861" i="2"/>
  <c r="L1862" i="2"/>
  <c r="M1862" i="2"/>
  <c r="L1863" i="2"/>
  <c r="M1863" i="2"/>
  <c r="L1864" i="2"/>
  <c r="M1864" i="2"/>
  <c r="L1865" i="2"/>
  <c r="M1865" i="2"/>
  <c r="L1866" i="2"/>
  <c r="M1866" i="2"/>
  <c r="L1867" i="2"/>
  <c r="M1867" i="2"/>
  <c r="L1868" i="2"/>
  <c r="M1868" i="2"/>
  <c r="L1869" i="2"/>
  <c r="M1869" i="2"/>
  <c r="L1870" i="2"/>
  <c r="M1870" i="2"/>
  <c r="L1871" i="2"/>
  <c r="M1871" i="2"/>
  <c r="L1872" i="2"/>
  <c r="M1872" i="2"/>
  <c r="L1873" i="2"/>
  <c r="M1873" i="2"/>
  <c r="L1874" i="2"/>
  <c r="M1874" i="2"/>
  <c r="L1875" i="2"/>
  <c r="M1875" i="2"/>
  <c r="L1876" i="2"/>
  <c r="M1876" i="2"/>
  <c r="L1877" i="2"/>
  <c r="M1877" i="2"/>
  <c r="L1878" i="2"/>
  <c r="M1878" i="2"/>
  <c r="L1879" i="2"/>
  <c r="M1879" i="2"/>
  <c r="L1880" i="2"/>
  <c r="M1880" i="2"/>
  <c r="L1881" i="2"/>
  <c r="M1881" i="2"/>
  <c r="L1882" i="2"/>
  <c r="M1882" i="2"/>
  <c r="L1883" i="2"/>
  <c r="M1883" i="2"/>
  <c r="L1884" i="2"/>
  <c r="M1884" i="2"/>
  <c r="L1885" i="2"/>
  <c r="M1885" i="2"/>
  <c r="L1886" i="2"/>
  <c r="M1886" i="2"/>
  <c r="L1887" i="2"/>
  <c r="M1887" i="2"/>
  <c r="L1888" i="2"/>
  <c r="M1888" i="2"/>
  <c r="L1889" i="2"/>
  <c r="M1889" i="2"/>
  <c r="L1890" i="2"/>
  <c r="M1890" i="2"/>
  <c r="L1891" i="2"/>
  <c r="M1891" i="2"/>
  <c r="L1892" i="2"/>
  <c r="M1892" i="2"/>
  <c r="L1893" i="2"/>
  <c r="M1893" i="2"/>
  <c r="L1894" i="2"/>
  <c r="M1894" i="2"/>
  <c r="L1895" i="2"/>
  <c r="M1895" i="2"/>
  <c r="L1896" i="2"/>
  <c r="M1896" i="2"/>
  <c r="L1897" i="2"/>
  <c r="M1897" i="2"/>
  <c r="L1898" i="2"/>
  <c r="M1898" i="2"/>
  <c r="L1899" i="2"/>
  <c r="M1899" i="2"/>
  <c r="L1900" i="2"/>
  <c r="M1900" i="2"/>
  <c r="L1901" i="2"/>
  <c r="M1901" i="2"/>
  <c r="L1902" i="2"/>
  <c r="M1902" i="2"/>
  <c r="L1903" i="2"/>
  <c r="M1903" i="2"/>
  <c r="L1904" i="2"/>
  <c r="M1904" i="2"/>
  <c r="L1905" i="2"/>
  <c r="M1905" i="2"/>
  <c r="L1906" i="2"/>
  <c r="M1906" i="2"/>
  <c r="L1907" i="2"/>
  <c r="M1907" i="2"/>
  <c r="L1908" i="2"/>
  <c r="M1908" i="2"/>
  <c r="L1909" i="2"/>
  <c r="M1909" i="2"/>
  <c r="L1910" i="2"/>
  <c r="M1910" i="2"/>
  <c r="L1911" i="2"/>
  <c r="M1911" i="2"/>
  <c r="L1912" i="2"/>
  <c r="M1912" i="2"/>
  <c r="L1913" i="2"/>
  <c r="M1913" i="2"/>
  <c r="L1914" i="2"/>
  <c r="M1914" i="2"/>
  <c r="L1915" i="2"/>
  <c r="M1915" i="2"/>
  <c r="L1916" i="2"/>
  <c r="M1916" i="2"/>
  <c r="L1917" i="2"/>
  <c r="M1917" i="2"/>
  <c r="L1918" i="2"/>
  <c r="M1918" i="2"/>
  <c r="L1919" i="2"/>
  <c r="M1919" i="2"/>
  <c r="L1920" i="2"/>
  <c r="M1920" i="2"/>
  <c r="L1921" i="2"/>
  <c r="M1921" i="2"/>
  <c r="L1922" i="2"/>
  <c r="M1922" i="2"/>
  <c r="L1923" i="2"/>
  <c r="M1923" i="2"/>
  <c r="L1924" i="2"/>
  <c r="M1924" i="2"/>
  <c r="L1925" i="2"/>
  <c r="M1925" i="2"/>
  <c r="L1926" i="2"/>
  <c r="M1926" i="2"/>
  <c r="L1927" i="2"/>
  <c r="M1927" i="2"/>
  <c r="L1928" i="2"/>
  <c r="M1928" i="2"/>
  <c r="L1929" i="2"/>
  <c r="M1929" i="2"/>
  <c r="L1930" i="2"/>
  <c r="M1930" i="2"/>
  <c r="L1931" i="2"/>
  <c r="M1931" i="2"/>
  <c r="L1932" i="2"/>
  <c r="M1932" i="2"/>
  <c r="L1933" i="2"/>
  <c r="M1933" i="2"/>
  <c r="L1934" i="2"/>
  <c r="M1934" i="2"/>
  <c r="L1935" i="2"/>
  <c r="M1935" i="2"/>
  <c r="L1936" i="2"/>
  <c r="M1936" i="2"/>
  <c r="L1937" i="2"/>
  <c r="M1937" i="2"/>
  <c r="L1938" i="2"/>
  <c r="M1938" i="2"/>
  <c r="L1939" i="2"/>
  <c r="M1939" i="2"/>
  <c r="L1940" i="2"/>
  <c r="M1940" i="2"/>
  <c r="L1941" i="2"/>
  <c r="M1941" i="2"/>
  <c r="L1942" i="2"/>
  <c r="M1942" i="2"/>
  <c r="L1943" i="2"/>
  <c r="M1943" i="2"/>
  <c r="L1944" i="2"/>
  <c r="M1944" i="2"/>
  <c r="L1945" i="2"/>
  <c r="M1945" i="2"/>
  <c r="L1946" i="2"/>
  <c r="M1946" i="2"/>
  <c r="L1947" i="2"/>
  <c r="M1947" i="2"/>
  <c r="L1948" i="2"/>
  <c r="M1948" i="2"/>
  <c r="L1949" i="2"/>
  <c r="M1949" i="2"/>
  <c r="L1950" i="2"/>
  <c r="M1950" i="2"/>
  <c r="L1951" i="2"/>
  <c r="M1951" i="2"/>
  <c r="L1952" i="2"/>
  <c r="M1952" i="2"/>
  <c r="L1953" i="2"/>
  <c r="M1953" i="2"/>
  <c r="L1954" i="2"/>
  <c r="M1954" i="2"/>
  <c r="L1955" i="2"/>
  <c r="M1955" i="2"/>
  <c r="L1956" i="2"/>
  <c r="M1956" i="2"/>
  <c r="L1957" i="2"/>
  <c r="M1957" i="2"/>
  <c r="L1958" i="2"/>
  <c r="M1958" i="2"/>
  <c r="L1959" i="2"/>
  <c r="M1959" i="2"/>
  <c r="L1960" i="2"/>
  <c r="M1960" i="2"/>
  <c r="L1961" i="2"/>
  <c r="M1961" i="2"/>
  <c r="L1962" i="2"/>
  <c r="M1962" i="2"/>
  <c r="L1963" i="2"/>
  <c r="M1963" i="2"/>
  <c r="L1964" i="2"/>
  <c r="M1964" i="2"/>
  <c r="L1965" i="2"/>
  <c r="M1965" i="2"/>
  <c r="L1966" i="2"/>
  <c r="M1966" i="2"/>
  <c r="L1967" i="2"/>
  <c r="M1967" i="2"/>
  <c r="L1968" i="2"/>
  <c r="M1968" i="2"/>
  <c r="L1969" i="2"/>
  <c r="M1969" i="2"/>
  <c r="L1970" i="2"/>
  <c r="M1970" i="2"/>
  <c r="L1971" i="2"/>
  <c r="M1971" i="2"/>
  <c r="L1972" i="2"/>
  <c r="M1972" i="2"/>
  <c r="L1973" i="2"/>
  <c r="M1973" i="2"/>
  <c r="L1974" i="2"/>
  <c r="M1974" i="2"/>
  <c r="L1975" i="2"/>
  <c r="M1975" i="2"/>
  <c r="L1976" i="2"/>
  <c r="M1976" i="2"/>
  <c r="L1977" i="2"/>
  <c r="M1977" i="2"/>
  <c r="L1978" i="2"/>
  <c r="M1978" i="2"/>
  <c r="L1979" i="2"/>
  <c r="M1979" i="2"/>
  <c r="L1980" i="2"/>
  <c r="M1980" i="2"/>
  <c r="L1981" i="2"/>
  <c r="M1981" i="2"/>
  <c r="L1982" i="2"/>
  <c r="M1982" i="2"/>
  <c r="L1983" i="2"/>
  <c r="M1983" i="2"/>
  <c r="L1984" i="2"/>
  <c r="M1984" i="2"/>
  <c r="L1985" i="2"/>
  <c r="M1985" i="2"/>
  <c r="L1986" i="2"/>
  <c r="M1986" i="2"/>
  <c r="L1987" i="2"/>
  <c r="M1987" i="2"/>
  <c r="L1988" i="2"/>
  <c r="M1988" i="2"/>
  <c r="L1989" i="2"/>
  <c r="M1989" i="2"/>
  <c r="L1990" i="2"/>
  <c r="M1990" i="2"/>
  <c r="L1991" i="2"/>
  <c r="M1991" i="2"/>
  <c r="L1992" i="2"/>
  <c r="M1992" i="2"/>
  <c r="L1993" i="2"/>
  <c r="M1993" i="2"/>
  <c r="L1994" i="2"/>
  <c r="M1994" i="2"/>
  <c r="L1995" i="2"/>
  <c r="M1995" i="2"/>
  <c r="L1996" i="2"/>
  <c r="M1996" i="2"/>
  <c r="L1997" i="2"/>
  <c r="M1997" i="2"/>
  <c r="L1998" i="2"/>
  <c r="M1998" i="2"/>
  <c r="L1999" i="2"/>
  <c r="M1999" i="2"/>
  <c r="L2000" i="2"/>
  <c r="M2000" i="2"/>
  <c r="L2001" i="2"/>
  <c r="M2001" i="2"/>
  <c r="L2002" i="2"/>
  <c r="M2002" i="2"/>
  <c r="L2003" i="2"/>
  <c r="M2003" i="2"/>
  <c r="L2004" i="2"/>
  <c r="M2004" i="2"/>
  <c r="L2005" i="2"/>
  <c r="M2005" i="2"/>
  <c r="L2006" i="2"/>
  <c r="M2006" i="2"/>
  <c r="L2007" i="2"/>
  <c r="M2007" i="2"/>
  <c r="L2008" i="2"/>
  <c r="M2008" i="2"/>
  <c r="L2009" i="2"/>
  <c r="M2009" i="2"/>
  <c r="L2010" i="2"/>
  <c r="M2010" i="2"/>
  <c r="L2011" i="2"/>
  <c r="M2011" i="2"/>
  <c r="L2012" i="2"/>
  <c r="M2012" i="2"/>
  <c r="L2013" i="2"/>
  <c r="M2013" i="2"/>
  <c r="L2014" i="2"/>
  <c r="M2014" i="2"/>
  <c r="L2015" i="2"/>
  <c r="M2015" i="2"/>
  <c r="L2016" i="2"/>
  <c r="M2016" i="2"/>
  <c r="L2017" i="2"/>
  <c r="M2017" i="2"/>
  <c r="L2018" i="2"/>
  <c r="M2018" i="2"/>
  <c r="L2019" i="2"/>
  <c r="M2019" i="2"/>
  <c r="L2020" i="2"/>
  <c r="M2020" i="2"/>
  <c r="L2021" i="2"/>
  <c r="M2021" i="2"/>
  <c r="L2022" i="2"/>
  <c r="M2022" i="2"/>
  <c r="L2023" i="2"/>
  <c r="M2023" i="2"/>
  <c r="L324" i="2"/>
  <c r="M324" i="2"/>
  <c r="L325" i="2"/>
  <c r="M325" i="2"/>
  <c r="L326" i="2"/>
  <c r="M326" i="2"/>
  <c r="L327" i="2"/>
  <c r="M327" i="2"/>
  <c r="L328" i="2"/>
  <c r="M328" i="2"/>
  <c r="L329" i="2"/>
  <c r="M329" i="2"/>
  <c r="L330" i="2"/>
  <c r="M330" i="2"/>
  <c r="L331" i="2"/>
  <c r="M331" i="2"/>
  <c r="L332" i="2"/>
  <c r="M332" i="2"/>
  <c r="L333" i="2"/>
  <c r="M333" i="2"/>
  <c r="L334" i="2"/>
  <c r="M334" i="2"/>
  <c r="L335" i="2"/>
  <c r="M335" i="2"/>
  <c r="L336" i="2"/>
  <c r="M336" i="2"/>
  <c r="L337" i="2"/>
  <c r="M337" i="2"/>
  <c r="L338" i="2"/>
  <c r="M338" i="2"/>
  <c r="L339" i="2"/>
  <c r="M339" i="2"/>
  <c r="L340" i="2"/>
  <c r="M340" i="2"/>
  <c r="L341" i="2"/>
  <c r="M341" i="2"/>
  <c r="L342" i="2"/>
  <c r="M342" i="2"/>
  <c r="L343" i="2"/>
  <c r="M343" i="2"/>
  <c r="L344" i="2"/>
  <c r="M344" i="2"/>
  <c r="L345" i="2"/>
  <c r="M345" i="2"/>
  <c r="L346" i="2"/>
  <c r="M346" i="2"/>
  <c r="L347" i="2"/>
  <c r="M347" i="2"/>
  <c r="L348" i="2"/>
  <c r="M348" i="2"/>
  <c r="L349" i="2"/>
  <c r="M349" i="2"/>
  <c r="L350" i="2"/>
  <c r="M350" i="2"/>
  <c r="L351" i="2"/>
  <c r="M351" i="2"/>
  <c r="L352" i="2"/>
  <c r="M352" i="2"/>
  <c r="L353" i="2"/>
  <c r="M353" i="2"/>
  <c r="L354" i="2"/>
  <c r="M354" i="2"/>
  <c r="L355" i="2"/>
  <c r="M355" i="2"/>
  <c r="L356" i="2"/>
  <c r="M356" i="2"/>
  <c r="L357" i="2"/>
  <c r="M357" i="2"/>
  <c r="L358" i="2"/>
  <c r="M358" i="2"/>
  <c r="L359" i="2"/>
  <c r="M359" i="2"/>
  <c r="L360" i="2"/>
  <c r="M360" i="2"/>
  <c r="L361" i="2"/>
  <c r="M361" i="2"/>
  <c r="L362" i="2"/>
  <c r="M362" i="2"/>
  <c r="L363" i="2"/>
  <c r="M363" i="2"/>
  <c r="L364" i="2"/>
  <c r="M364" i="2"/>
  <c r="L365" i="2"/>
  <c r="M365" i="2"/>
  <c r="L366" i="2"/>
  <c r="M366" i="2"/>
  <c r="L367" i="2"/>
  <c r="M367" i="2"/>
  <c r="L368" i="2"/>
  <c r="M368" i="2"/>
  <c r="L369" i="2"/>
  <c r="M369" i="2"/>
  <c r="L370" i="2"/>
  <c r="M370" i="2"/>
  <c r="L371" i="2"/>
  <c r="M371" i="2"/>
  <c r="L372" i="2"/>
  <c r="M372" i="2"/>
  <c r="L373" i="2"/>
  <c r="M373" i="2"/>
  <c r="L374" i="2"/>
  <c r="M374" i="2"/>
  <c r="L375" i="2"/>
  <c r="M375" i="2"/>
  <c r="L376" i="2"/>
  <c r="M376" i="2"/>
  <c r="L377" i="2"/>
  <c r="M377" i="2"/>
  <c r="L378" i="2"/>
  <c r="M378" i="2"/>
  <c r="L379" i="2"/>
  <c r="M379" i="2"/>
  <c r="L380" i="2"/>
  <c r="M380" i="2"/>
  <c r="L381" i="2"/>
  <c r="M381" i="2"/>
  <c r="L382" i="2"/>
  <c r="M382" i="2"/>
  <c r="L383" i="2"/>
  <c r="M383" i="2"/>
  <c r="L384" i="2"/>
  <c r="M384" i="2"/>
  <c r="L385" i="2"/>
  <c r="M385" i="2"/>
  <c r="L386" i="2"/>
  <c r="M386" i="2"/>
  <c r="L387" i="2"/>
  <c r="M387" i="2"/>
  <c r="L388" i="2"/>
  <c r="M388" i="2"/>
  <c r="L389" i="2"/>
  <c r="M389" i="2"/>
  <c r="L390" i="2"/>
  <c r="M390" i="2"/>
  <c r="L391" i="2"/>
  <c r="M391" i="2"/>
  <c r="L392" i="2"/>
  <c r="M392" i="2"/>
  <c r="L393" i="2"/>
  <c r="M393" i="2"/>
  <c r="L394" i="2"/>
  <c r="M394" i="2"/>
  <c r="L395" i="2"/>
  <c r="M395" i="2"/>
  <c r="L396" i="2"/>
  <c r="M396" i="2"/>
  <c r="L397" i="2"/>
  <c r="M397" i="2"/>
  <c r="L398" i="2"/>
  <c r="M398" i="2"/>
  <c r="L399" i="2"/>
  <c r="M399" i="2"/>
  <c r="L400" i="2"/>
  <c r="M400" i="2"/>
  <c r="L401" i="2"/>
  <c r="M401" i="2"/>
  <c r="L402" i="2"/>
  <c r="M402" i="2"/>
  <c r="L403" i="2"/>
  <c r="M403" i="2"/>
  <c r="L404" i="2"/>
  <c r="M404" i="2"/>
  <c r="L405" i="2"/>
  <c r="M405" i="2"/>
  <c r="L406" i="2"/>
  <c r="M406" i="2"/>
  <c r="L407" i="2"/>
  <c r="M407" i="2"/>
  <c r="L408" i="2"/>
  <c r="M408" i="2"/>
  <c r="L409" i="2"/>
  <c r="M409" i="2"/>
  <c r="L410" i="2"/>
  <c r="M410" i="2"/>
  <c r="L411" i="2"/>
  <c r="M411" i="2"/>
  <c r="L412" i="2"/>
  <c r="M412" i="2"/>
  <c r="L413" i="2"/>
  <c r="M413" i="2"/>
  <c r="L414" i="2"/>
  <c r="M414" i="2"/>
  <c r="L415" i="2"/>
  <c r="M415" i="2"/>
  <c r="L416" i="2"/>
  <c r="M416" i="2"/>
  <c r="L417" i="2"/>
  <c r="M417" i="2"/>
  <c r="L418" i="2"/>
  <c r="M418" i="2"/>
  <c r="L419" i="2"/>
  <c r="M419" i="2"/>
  <c r="L420" i="2"/>
  <c r="M420" i="2"/>
  <c r="L421" i="2"/>
  <c r="M421" i="2"/>
  <c r="L422" i="2"/>
  <c r="M422" i="2"/>
  <c r="L423" i="2"/>
  <c r="M423" i="2"/>
  <c r="L424" i="2"/>
  <c r="M424" i="2"/>
  <c r="L425" i="2"/>
  <c r="M425" i="2"/>
  <c r="L426" i="2"/>
  <c r="M426" i="2"/>
  <c r="L427" i="2"/>
  <c r="M427" i="2"/>
  <c r="L428" i="2"/>
  <c r="M428" i="2"/>
  <c r="L429" i="2"/>
  <c r="M429" i="2"/>
  <c r="L430" i="2"/>
  <c r="M430" i="2"/>
  <c r="L431" i="2"/>
  <c r="M431" i="2"/>
  <c r="L432" i="2"/>
  <c r="M432" i="2"/>
  <c r="L433" i="2"/>
  <c r="M433" i="2"/>
  <c r="L434" i="2"/>
  <c r="M434" i="2"/>
  <c r="L435" i="2"/>
  <c r="M435" i="2"/>
  <c r="L436" i="2"/>
  <c r="M436" i="2"/>
  <c r="L437" i="2"/>
  <c r="M437" i="2"/>
  <c r="L438" i="2"/>
  <c r="M438" i="2"/>
  <c r="L439" i="2"/>
  <c r="M439" i="2"/>
  <c r="L440" i="2"/>
  <c r="M440" i="2"/>
  <c r="L441" i="2"/>
  <c r="M441" i="2"/>
  <c r="L442" i="2"/>
  <c r="M442" i="2"/>
  <c r="L443" i="2"/>
  <c r="M443" i="2"/>
  <c r="L444" i="2"/>
  <c r="M444" i="2"/>
  <c r="L445" i="2"/>
  <c r="M445" i="2"/>
  <c r="L446" i="2"/>
  <c r="M446" i="2"/>
  <c r="L447" i="2"/>
  <c r="M447" i="2"/>
  <c r="L448" i="2"/>
  <c r="M448" i="2"/>
  <c r="L449" i="2"/>
  <c r="M449" i="2"/>
  <c r="L450" i="2"/>
  <c r="M450" i="2"/>
  <c r="L451" i="2"/>
  <c r="M451" i="2"/>
  <c r="L452" i="2"/>
  <c r="M452" i="2"/>
  <c r="L453" i="2"/>
  <c r="M453" i="2"/>
  <c r="L454" i="2"/>
  <c r="M454" i="2"/>
  <c r="L455" i="2"/>
  <c r="M455" i="2"/>
  <c r="L456" i="2"/>
  <c r="M456" i="2"/>
  <c r="L457" i="2"/>
  <c r="M457" i="2"/>
  <c r="L458" i="2"/>
  <c r="M458" i="2"/>
  <c r="L459" i="2"/>
  <c r="M459" i="2"/>
  <c r="L460" i="2"/>
  <c r="M460" i="2"/>
  <c r="L461" i="2"/>
  <c r="M461" i="2"/>
  <c r="L462" i="2"/>
  <c r="M462" i="2"/>
  <c r="L463" i="2"/>
  <c r="M463" i="2"/>
  <c r="L464" i="2"/>
  <c r="M464" i="2"/>
  <c r="L465" i="2"/>
  <c r="M465" i="2"/>
  <c r="L466" i="2"/>
  <c r="M466" i="2"/>
  <c r="L467" i="2"/>
  <c r="M467" i="2"/>
  <c r="L468" i="2"/>
  <c r="M468" i="2"/>
  <c r="L469" i="2"/>
  <c r="M469" i="2"/>
  <c r="L470" i="2"/>
  <c r="M470" i="2"/>
  <c r="L471" i="2"/>
  <c r="M471" i="2"/>
  <c r="L472" i="2"/>
  <c r="M472" i="2"/>
  <c r="L473" i="2"/>
  <c r="M473" i="2"/>
  <c r="L474" i="2"/>
  <c r="M474" i="2"/>
  <c r="L475" i="2"/>
  <c r="M475" i="2"/>
  <c r="L476" i="2"/>
  <c r="M476" i="2"/>
  <c r="L477" i="2"/>
  <c r="M477" i="2"/>
  <c r="L478" i="2"/>
  <c r="M478" i="2"/>
  <c r="L479" i="2"/>
  <c r="M479" i="2"/>
  <c r="L480" i="2"/>
  <c r="M480" i="2"/>
  <c r="L481" i="2"/>
  <c r="M481" i="2"/>
  <c r="L482" i="2"/>
  <c r="M482" i="2"/>
  <c r="L483" i="2"/>
  <c r="M483" i="2"/>
  <c r="L484" i="2"/>
  <c r="M484" i="2"/>
  <c r="L485" i="2"/>
  <c r="M485" i="2"/>
  <c r="L486" i="2"/>
  <c r="M486" i="2"/>
  <c r="L487" i="2"/>
  <c r="M487" i="2"/>
  <c r="L488" i="2"/>
  <c r="M488" i="2"/>
  <c r="L489" i="2"/>
  <c r="M489" i="2"/>
  <c r="L490" i="2"/>
  <c r="M490" i="2"/>
  <c r="L491" i="2"/>
  <c r="M491" i="2"/>
  <c r="L492" i="2"/>
  <c r="M492" i="2"/>
  <c r="L493" i="2"/>
  <c r="M493" i="2"/>
  <c r="L494" i="2"/>
  <c r="M494" i="2"/>
  <c r="L495" i="2"/>
  <c r="M495" i="2"/>
  <c r="L496" i="2"/>
  <c r="M496" i="2"/>
  <c r="L497" i="2"/>
  <c r="M497" i="2"/>
  <c r="L498" i="2"/>
  <c r="M498" i="2"/>
  <c r="L499" i="2"/>
  <c r="M499" i="2"/>
  <c r="L500" i="2"/>
  <c r="M500" i="2"/>
  <c r="L501" i="2"/>
  <c r="M501" i="2"/>
  <c r="L502" i="2"/>
  <c r="M502" i="2"/>
  <c r="L503" i="2"/>
  <c r="M503" i="2"/>
  <c r="L504" i="2"/>
  <c r="M504" i="2"/>
  <c r="L505" i="2"/>
  <c r="M505" i="2"/>
  <c r="L506" i="2"/>
  <c r="M506" i="2"/>
  <c r="L507" i="2"/>
  <c r="M507" i="2"/>
  <c r="L508" i="2"/>
  <c r="M508" i="2"/>
  <c r="L509" i="2"/>
  <c r="M509" i="2"/>
  <c r="L510" i="2"/>
  <c r="M510" i="2"/>
  <c r="L511" i="2"/>
  <c r="M511" i="2"/>
  <c r="L512" i="2"/>
  <c r="M512" i="2"/>
  <c r="L513" i="2"/>
  <c r="M513" i="2"/>
  <c r="L514" i="2"/>
  <c r="M514" i="2"/>
  <c r="L515" i="2"/>
  <c r="M515" i="2"/>
  <c r="L516" i="2"/>
  <c r="M516" i="2"/>
  <c r="L517" i="2"/>
  <c r="M517" i="2"/>
  <c r="L518" i="2"/>
  <c r="M518" i="2"/>
  <c r="L519" i="2"/>
  <c r="M519" i="2"/>
  <c r="L520" i="2"/>
  <c r="M520" i="2"/>
  <c r="L521" i="2"/>
  <c r="M521" i="2"/>
  <c r="L522" i="2"/>
  <c r="M522" i="2"/>
  <c r="L523" i="2"/>
  <c r="M523" i="2"/>
  <c r="L524" i="2"/>
  <c r="M524" i="2"/>
  <c r="L525" i="2"/>
  <c r="M525" i="2"/>
  <c r="L526" i="2"/>
  <c r="M526" i="2"/>
  <c r="L527" i="2"/>
  <c r="M527" i="2"/>
  <c r="L528" i="2"/>
  <c r="M528" i="2"/>
  <c r="L529" i="2"/>
  <c r="M529" i="2"/>
  <c r="L530" i="2"/>
  <c r="M530" i="2"/>
  <c r="L531" i="2"/>
  <c r="M531" i="2"/>
  <c r="L532" i="2"/>
  <c r="M532" i="2"/>
  <c r="L533" i="2"/>
  <c r="M533" i="2"/>
  <c r="L534" i="2"/>
  <c r="M534" i="2"/>
  <c r="L535" i="2"/>
  <c r="M535" i="2"/>
  <c r="L536" i="2"/>
  <c r="M536" i="2"/>
  <c r="L537" i="2"/>
  <c r="M537" i="2"/>
  <c r="L538" i="2"/>
  <c r="M538" i="2"/>
  <c r="L539" i="2"/>
  <c r="M539" i="2"/>
  <c r="L540" i="2"/>
  <c r="M540" i="2"/>
  <c r="L541" i="2"/>
  <c r="M541" i="2"/>
  <c r="L542" i="2"/>
  <c r="M542" i="2"/>
  <c r="L543" i="2"/>
  <c r="M543" i="2"/>
  <c r="L544" i="2"/>
  <c r="M544" i="2"/>
  <c r="L545" i="2"/>
  <c r="M545" i="2"/>
  <c r="L546" i="2"/>
  <c r="M546" i="2"/>
  <c r="L547" i="2"/>
  <c r="M547" i="2"/>
  <c r="L548" i="2"/>
  <c r="M548" i="2"/>
  <c r="L549" i="2"/>
  <c r="M549" i="2"/>
  <c r="L550" i="2"/>
  <c r="M550" i="2"/>
  <c r="L551" i="2"/>
  <c r="M551" i="2"/>
  <c r="L552" i="2"/>
  <c r="M552" i="2"/>
  <c r="L553" i="2"/>
  <c r="M553" i="2"/>
  <c r="L554" i="2"/>
  <c r="M554" i="2"/>
  <c r="L555" i="2"/>
  <c r="M555" i="2"/>
  <c r="L556" i="2"/>
  <c r="M556" i="2"/>
  <c r="L557" i="2"/>
  <c r="M557" i="2"/>
  <c r="L558" i="2"/>
  <c r="M558" i="2"/>
  <c r="L559" i="2"/>
  <c r="M559" i="2"/>
  <c r="L560" i="2"/>
  <c r="M560" i="2"/>
  <c r="L561" i="2"/>
  <c r="M561" i="2"/>
  <c r="L562" i="2"/>
  <c r="M562" i="2"/>
  <c r="L563" i="2"/>
  <c r="M563" i="2"/>
  <c r="L564" i="2"/>
  <c r="M564" i="2"/>
  <c r="L565" i="2"/>
  <c r="M565" i="2"/>
  <c r="L566" i="2"/>
  <c r="M566" i="2"/>
  <c r="L567" i="2"/>
  <c r="M567" i="2"/>
  <c r="L568" i="2"/>
  <c r="M568" i="2"/>
  <c r="L569" i="2"/>
  <c r="M569" i="2"/>
  <c r="L570" i="2"/>
  <c r="M570" i="2"/>
  <c r="L571" i="2"/>
  <c r="M571" i="2"/>
  <c r="L572" i="2"/>
  <c r="M572" i="2"/>
  <c r="L573" i="2"/>
  <c r="M573" i="2"/>
  <c r="L574" i="2"/>
  <c r="M574" i="2"/>
  <c r="L575" i="2"/>
  <c r="M575" i="2"/>
  <c r="L576" i="2"/>
  <c r="M576" i="2"/>
  <c r="L577" i="2"/>
  <c r="M577" i="2"/>
  <c r="L578" i="2"/>
  <c r="M578" i="2"/>
  <c r="L579" i="2"/>
  <c r="M579" i="2"/>
  <c r="L580" i="2"/>
  <c r="M580" i="2"/>
  <c r="L581" i="2"/>
  <c r="M581" i="2"/>
  <c r="L582" i="2"/>
  <c r="M582" i="2"/>
  <c r="L583" i="2"/>
  <c r="M583" i="2"/>
  <c r="L584" i="2"/>
  <c r="M584" i="2"/>
  <c r="L585" i="2"/>
  <c r="M585" i="2"/>
  <c r="L586" i="2"/>
  <c r="M586" i="2"/>
  <c r="L587" i="2"/>
  <c r="M587" i="2"/>
  <c r="L588" i="2"/>
  <c r="M588" i="2"/>
  <c r="L589" i="2"/>
  <c r="M589" i="2"/>
  <c r="L590" i="2"/>
  <c r="M590" i="2"/>
  <c r="L591" i="2"/>
  <c r="M591" i="2"/>
  <c r="L592" i="2"/>
  <c r="M592" i="2"/>
  <c r="L593" i="2"/>
  <c r="M593" i="2"/>
  <c r="L594" i="2"/>
  <c r="M594" i="2"/>
  <c r="L595" i="2"/>
  <c r="M595" i="2"/>
  <c r="L596" i="2"/>
  <c r="M596" i="2"/>
  <c r="L597" i="2"/>
  <c r="M597" i="2"/>
  <c r="L598" i="2"/>
  <c r="M598" i="2"/>
  <c r="L599" i="2"/>
  <c r="M599" i="2"/>
  <c r="L600" i="2"/>
  <c r="M600" i="2"/>
  <c r="L601" i="2"/>
  <c r="M601" i="2"/>
  <c r="L602" i="2"/>
  <c r="M602" i="2"/>
  <c r="L603" i="2"/>
  <c r="M603" i="2"/>
  <c r="L604" i="2"/>
  <c r="M604" i="2"/>
  <c r="L605" i="2"/>
  <c r="M605" i="2"/>
  <c r="L606" i="2"/>
  <c r="M606" i="2"/>
  <c r="L607" i="2"/>
  <c r="M607" i="2"/>
  <c r="L608" i="2"/>
  <c r="M608" i="2"/>
  <c r="L609" i="2"/>
  <c r="M609" i="2"/>
  <c r="L610" i="2"/>
  <c r="M610" i="2"/>
  <c r="L611" i="2"/>
  <c r="M611" i="2"/>
  <c r="L612" i="2"/>
  <c r="M612" i="2"/>
  <c r="L613" i="2"/>
  <c r="M613" i="2"/>
  <c r="L614" i="2"/>
  <c r="M614" i="2"/>
  <c r="L615" i="2"/>
  <c r="M615" i="2"/>
  <c r="L616" i="2"/>
  <c r="M616" i="2"/>
  <c r="L617" i="2"/>
  <c r="M617" i="2"/>
  <c r="L618" i="2"/>
  <c r="M618" i="2"/>
  <c r="L619" i="2"/>
  <c r="M619" i="2"/>
  <c r="L620" i="2"/>
  <c r="M620" i="2"/>
  <c r="L621" i="2"/>
  <c r="M621" i="2"/>
  <c r="L622" i="2"/>
  <c r="M622" i="2"/>
  <c r="L623" i="2"/>
  <c r="M623" i="2"/>
  <c r="L624" i="2"/>
  <c r="M624" i="2"/>
  <c r="L625" i="2"/>
  <c r="M625" i="2"/>
  <c r="L626" i="2"/>
  <c r="M626" i="2"/>
  <c r="L627" i="2"/>
  <c r="M627" i="2"/>
  <c r="L628" i="2"/>
  <c r="M628" i="2"/>
  <c r="L629" i="2"/>
  <c r="M629" i="2"/>
  <c r="L630" i="2"/>
  <c r="M630" i="2"/>
  <c r="L631" i="2"/>
  <c r="M631" i="2"/>
  <c r="L632" i="2"/>
  <c r="M632" i="2"/>
  <c r="L633" i="2"/>
  <c r="M633" i="2"/>
  <c r="L634" i="2"/>
  <c r="M634" i="2"/>
  <c r="L635" i="2"/>
  <c r="M635" i="2"/>
  <c r="L636" i="2"/>
  <c r="M636" i="2"/>
  <c r="L637" i="2"/>
  <c r="M637" i="2"/>
  <c r="L638" i="2"/>
  <c r="M638" i="2"/>
  <c r="L639" i="2"/>
  <c r="M639" i="2"/>
  <c r="L640" i="2"/>
  <c r="M640" i="2"/>
  <c r="L641" i="2"/>
  <c r="M641" i="2"/>
  <c r="L642" i="2"/>
  <c r="M642" i="2"/>
  <c r="L643" i="2"/>
  <c r="M643" i="2"/>
  <c r="L644" i="2"/>
  <c r="M644" i="2"/>
  <c r="L645" i="2"/>
  <c r="M645" i="2"/>
  <c r="L646" i="2"/>
  <c r="M646" i="2"/>
  <c r="L647" i="2"/>
  <c r="M647" i="2"/>
  <c r="L648" i="2"/>
  <c r="M648" i="2"/>
  <c r="L649" i="2"/>
  <c r="M649" i="2"/>
  <c r="L650" i="2"/>
  <c r="M650" i="2"/>
  <c r="L651" i="2"/>
  <c r="M651" i="2"/>
  <c r="L652" i="2"/>
  <c r="M652" i="2"/>
  <c r="L653" i="2"/>
  <c r="M653" i="2"/>
  <c r="L654" i="2"/>
  <c r="M654" i="2"/>
  <c r="L655" i="2"/>
  <c r="M655" i="2"/>
  <c r="L656" i="2"/>
  <c r="M656" i="2"/>
  <c r="L657" i="2"/>
  <c r="M657" i="2"/>
  <c r="L658" i="2"/>
  <c r="M658" i="2"/>
  <c r="L659" i="2"/>
  <c r="M659" i="2"/>
  <c r="L660" i="2"/>
  <c r="M660" i="2"/>
  <c r="L661" i="2"/>
  <c r="M661" i="2"/>
  <c r="L662" i="2"/>
  <c r="M662" i="2"/>
  <c r="L663" i="2"/>
  <c r="M663" i="2"/>
  <c r="L664" i="2"/>
  <c r="M664" i="2"/>
  <c r="L665" i="2"/>
  <c r="M665" i="2"/>
  <c r="L666" i="2"/>
  <c r="M666" i="2"/>
  <c r="L667" i="2"/>
  <c r="M667" i="2"/>
  <c r="L668" i="2"/>
  <c r="M668" i="2"/>
  <c r="L669" i="2"/>
  <c r="M669" i="2"/>
  <c r="L670" i="2"/>
  <c r="M670" i="2"/>
  <c r="L671" i="2"/>
  <c r="M671" i="2"/>
  <c r="L672" i="2"/>
  <c r="M672" i="2"/>
  <c r="L673" i="2"/>
  <c r="M673" i="2"/>
  <c r="L674" i="2"/>
  <c r="M674" i="2"/>
  <c r="L675" i="2"/>
  <c r="M675" i="2"/>
  <c r="L676" i="2"/>
  <c r="M676" i="2"/>
  <c r="L677" i="2"/>
  <c r="M677" i="2"/>
  <c r="L678" i="2"/>
  <c r="M678" i="2"/>
  <c r="L679" i="2"/>
  <c r="M679" i="2"/>
  <c r="L680" i="2"/>
  <c r="M680" i="2"/>
  <c r="L681" i="2"/>
  <c r="M681" i="2"/>
  <c r="L682" i="2"/>
  <c r="M682" i="2"/>
  <c r="L683" i="2"/>
  <c r="M683" i="2"/>
  <c r="L684" i="2"/>
  <c r="M684" i="2"/>
  <c r="L685" i="2"/>
  <c r="M685" i="2"/>
  <c r="L686" i="2"/>
  <c r="M686" i="2"/>
  <c r="L687" i="2"/>
  <c r="M687" i="2"/>
  <c r="L688" i="2"/>
  <c r="M688" i="2"/>
  <c r="L689" i="2"/>
  <c r="M689" i="2"/>
  <c r="L690" i="2"/>
  <c r="M690" i="2"/>
  <c r="L691" i="2"/>
  <c r="M691" i="2"/>
  <c r="L692" i="2"/>
  <c r="M692" i="2"/>
  <c r="L693" i="2"/>
  <c r="M693" i="2"/>
  <c r="L694" i="2"/>
  <c r="M694" i="2"/>
  <c r="L695" i="2"/>
  <c r="M695" i="2"/>
  <c r="L696" i="2"/>
  <c r="M696" i="2"/>
  <c r="L697" i="2"/>
  <c r="M697" i="2"/>
  <c r="L698" i="2"/>
  <c r="M698" i="2"/>
  <c r="L699" i="2"/>
  <c r="M699" i="2"/>
  <c r="L700" i="2"/>
  <c r="M700" i="2"/>
  <c r="L701" i="2"/>
  <c r="M701" i="2"/>
  <c r="L702" i="2"/>
  <c r="M702" i="2"/>
  <c r="L703" i="2"/>
  <c r="M703" i="2"/>
  <c r="L704" i="2"/>
  <c r="M704" i="2"/>
  <c r="L705" i="2"/>
  <c r="M705" i="2"/>
  <c r="L706" i="2"/>
  <c r="M706" i="2"/>
  <c r="L707" i="2"/>
  <c r="M707" i="2"/>
  <c r="L708" i="2"/>
  <c r="M708" i="2"/>
  <c r="L709" i="2"/>
  <c r="M709" i="2"/>
  <c r="L710" i="2"/>
  <c r="M710" i="2"/>
  <c r="L711" i="2"/>
  <c r="M711" i="2"/>
  <c r="L712" i="2"/>
  <c r="M712" i="2"/>
  <c r="L713" i="2"/>
  <c r="M713" i="2"/>
  <c r="L714" i="2"/>
  <c r="M714" i="2"/>
  <c r="L715" i="2"/>
  <c r="M715" i="2"/>
  <c r="L716" i="2"/>
  <c r="M716" i="2"/>
  <c r="L717" i="2"/>
  <c r="M717" i="2"/>
  <c r="L718" i="2"/>
  <c r="M718" i="2"/>
  <c r="L719" i="2"/>
  <c r="M719" i="2"/>
  <c r="L720" i="2"/>
  <c r="M720" i="2"/>
  <c r="L721" i="2"/>
  <c r="M721" i="2"/>
  <c r="L722" i="2"/>
  <c r="M722" i="2"/>
  <c r="L723" i="2"/>
  <c r="M723" i="2"/>
  <c r="L724" i="2"/>
  <c r="M724" i="2"/>
  <c r="L725" i="2"/>
  <c r="M725" i="2"/>
  <c r="L726" i="2"/>
  <c r="M726" i="2"/>
  <c r="L727" i="2"/>
  <c r="M727" i="2"/>
  <c r="L728" i="2"/>
  <c r="M728" i="2"/>
  <c r="L729" i="2"/>
  <c r="M729" i="2"/>
  <c r="L730" i="2"/>
  <c r="M730" i="2"/>
  <c r="L731" i="2"/>
  <c r="M731" i="2"/>
  <c r="L732" i="2"/>
  <c r="M732" i="2"/>
  <c r="L733" i="2"/>
  <c r="M733" i="2"/>
  <c r="L734" i="2"/>
  <c r="M734" i="2"/>
  <c r="L735" i="2"/>
  <c r="M735" i="2"/>
  <c r="L736" i="2"/>
  <c r="M736" i="2"/>
  <c r="L737" i="2"/>
  <c r="M737" i="2"/>
  <c r="L738" i="2"/>
  <c r="M738" i="2"/>
  <c r="L739" i="2"/>
  <c r="M739" i="2"/>
  <c r="L740" i="2"/>
  <c r="M740" i="2"/>
  <c r="L741" i="2"/>
  <c r="M741" i="2"/>
  <c r="L742" i="2"/>
  <c r="M742" i="2"/>
  <c r="L743" i="2"/>
  <c r="M743" i="2"/>
  <c r="L744" i="2"/>
  <c r="M744" i="2"/>
  <c r="L745" i="2"/>
  <c r="M745" i="2"/>
  <c r="L746" i="2"/>
  <c r="M746" i="2"/>
  <c r="L747" i="2"/>
  <c r="M747" i="2"/>
  <c r="L748" i="2"/>
  <c r="M748" i="2"/>
  <c r="L749" i="2"/>
  <c r="M749" i="2"/>
  <c r="L750" i="2"/>
  <c r="M750" i="2"/>
  <c r="L751" i="2"/>
  <c r="M751" i="2"/>
  <c r="L752" i="2"/>
  <c r="M752" i="2"/>
  <c r="L753" i="2"/>
  <c r="M753" i="2"/>
  <c r="L754" i="2"/>
  <c r="M754" i="2"/>
  <c r="L755" i="2"/>
  <c r="M755" i="2"/>
  <c r="L756" i="2"/>
  <c r="M756" i="2"/>
  <c r="L757" i="2"/>
  <c r="M757" i="2"/>
  <c r="L758" i="2"/>
  <c r="M758" i="2"/>
  <c r="L759" i="2"/>
  <c r="M759" i="2"/>
  <c r="L760" i="2"/>
  <c r="M760" i="2"/>
  <c r="L761" i="2"/>
  <c r="M761" i="2"/>
  <c r="L762" i="2"/>
  <c r="M762" i="2"/>
  <c r="L763" i="2"/>
  <c r="M763" i="2"/>
  <c r="L764" i="2"/>
  <c r="M764" i="2"/>
  <c r="L765" i="2"/>
  <c r="M765" i="2"/>
  <c r="L766" i="2"/>
  <c r="M766" i="2"/>
  <c r="L767" i="2"/>
  <c r="M767" i="2"/>
  <c r="L768" i="2"/>
  <c r="M768" i="2"/>
  <c r="L769" i="2"/>
  <c r="M769" i="2"/>
  <c r="L770" i="2"/>
  <c r="M770" i="2"/>
  <c r="L771" i="2"/>
  <c r="M771" i="2"/>
  <c r="L772" i="2"/>
  <c r="M772" i="2"/>
  <c r="L773" i="2"/>
  <c r="M773" i="2"/>
  <c r="L774" i="2"/>
  <c r="M774" i="2"/>
  <c r="L775" i="2"/>
  <c r="M775" i="2"/>
  <c r="L776" i="2"/>
  <c r="M776" i="2"/>
  <c r="L777" i="2"/>
  <c r="M777" i="2"/>
  <c r="L778" i="2"/>
  <c r="M778" i="2"/>
  <c r="L779" i="2"/>
  <c r="M779" i="2"/>
  <c r="L780" i="2"/>
  <c r="M780" i="2"/>
  <c r="L781" i="2"/>
  <c r="M781" i="2"/>
  <c r="L782" i="2"/>
  <c r="M782" i="2"/>
  <c r="L783" i="2"/>
  <c r="M783" i="2"/>
  <c r="L784" i="2"/>
  <c r="M784" i="2"/>
  <c r="L785" i="2"/>
  <c r="M785" i="2"/>
  <c r="L786" i="2"/>
  <c r="M786" i="2"/>
  <c r="L787" i="2"/>
  <c r="M787" i="2"/>
  <c r="L788" i="2"/>
  <c r="M788" i="2"/>
  <c r="L789" i="2"/>
  <c r="M789" i="2"/>
  <c r="L790" i="2"/>
  <c r="M790" i="2"/>
  <c r="L791" i="2"/>
  <c r="M791" i="2"/>
  <c r="L792" i="2"/>
  <c r="M792" i="2"/>
  <c r="L793" i="2"/>
  <c r="M793" i="2"/>
  <c r="L794" i="2"/>
  <c r="M794" i="2"/>
  <c r="L795" i="2"/>
  <c r="M795" i="2"/>
  <c r="L796" i="2"/>
  <c r="M796" i="2"/>
  <c r="L797" i="2"/>
  <c r="M797" i="2"/>
  <c r="L798" i="2"/>
  <c r="M798" i="2"/>
  <c r="L799" i="2"/>
  <c r="M799" i="2"/>
  <c r="L800" i="2"/>
  <c r="M800" i="2"/>
  <c r="L801" i="2"/>
  <c r="M801" i="2"/>
  <c r="L802" i="2"/>
  <c r="M802" i="2"/>
  <c r="L803" i="2"/>
  <c r="M803" i="2"/>
  <c r="L804" i="2"/>
  <c r="M804" i="2"/>
  <c r="L805" i="2"/>
  <c r="M805" i="2"/>
  <c r="L806" i="2"/>
  <c r="M806" i="2"/>
  <c r="L807" i="2"/>
  <c r="M807" i="2"/>
  <c r="L808" i="2"/>
  <c r="M808" i="2"/>
  <c r="L809" i="2"/>
  <c r="M809" i="2"/>
  <c r="L810" i="2"/>
  <c r="M810" i="2"/>
  <c r="L811" i="2"/>
  <c r="M811" i="2"/>
  <c r="L812" i="2"/>
  <c r="M812" i="2"/>
  <c r="L813" i="2"/>
  <c r="M813" i="2"/>
  <c r="L814" i="2"/>
  <c r="M814" i="2"/>
  <c r="L815" i="2"/>
  <c r="M815" i="2"/>
  <c r="L816" i="2"/>
  <c r="M816" i="2"/>
  <c r="L817" i="2"/>
  <c r="M817" i="2"/>
  <c r="L818" i="2"/>
  <c r="M818" i="2"/>
  <c r="L819" i="2"/>
  <c r="M819" i="2"/>
  <c r="L820" i="2"/>
  <c r="M820" i="2"/>
  <c r="L821" i="2"/>
  <c r="M821" i="2"/>
  <c r="L822" i="2"/>
  <c r="M822" i="2"/>
  <c r="L823" i="2"/>
  <c r="M823" i="2"/>
  <c r="L824" i="2"/>
  <c r="M824" i="2"/>
  <c r="L825" i="2"/>
  <c r="M825" i="2"/>
  <c r="L826" i="2"/>
  <c r="M826" i="2"/>
  <c r="L827" i="2"/>
  <c r="M827" i="2"/>
  <c r="L828" i="2"/>
  <c r="M828" i="2"/>
  <c r="L829" i="2"/>
  <c r="M829" i="2"/>
  <c r="L830" i="2"/>
  <c r="M830" i="2"/>
  <c r="L831" i="2"/>
  <c r="M831" i="2"/>
  <c r="L832" i="2"/>
  <c r="M832" i="2"/>
  <c r="L833" i="2"/>
  <c r="M833" i="2"/>
  <c r="L834" i="2"/>
  <c r="M834" i="2"/>
  <c r="L835" i="2"/>
  <c r="M835" i="2"/>
  <c r="L836" i="2"/>
  <c r="M836" i="2"/>
  <c r="L837" i="2"/>
  <c r="M837" i="2"/>
  <c r="L838" i="2"/>
  <c r="M838" i="2"/>
  <c r="L839" i="2"/>
  <c r="M839" i="2"/>
  <c r="L840" i="2"/>
  <c r="M840" i="2"/>
  <c r="L841" i="2"/>
  <c r="M841" i="2"/>
  <c r="L842" i="2"/>
  <c r="M842" i="2"/>
  <c r="L843" i="2"/>
  <c r="M843" i="2"/>
  <c r="L844" i="2"/>
  <c r="M844" i="2"/>
  <c r="L845" i="2"/>
  <c r="M845" i="2"/>
  <c r="L846" i="2"/>
  <c r="M846" i="2"/>
  <c r="L847" i="2"/>
  <c r="M847" i="2"/>
  <c r="L848" i="2"/>
  <c r="M848" i="2"/>
  <c r="L849" i="2"/>
  <c r="M849" i="2"/>
  <c r="L850" i="2"/>
  <c r="M850" i="2"/>
  <c r="L851" i="2"/>
  <c r="M851" i="2"/>
  <c r="L852" i="2"/>
  <c r="M852" i="2"/>
  <c r="L853" i="2"/>
  <c r="M853" i="2"/>
  <c r="L854" i="2"/>
  <c r="M854" i="2"/>
  <c r="L855" i="2"/>
  <c r="M855" i="2"/>
  <c r="L856" i="2"/>
  <c r="M856" i="2"/>
  <c r="L857" i="2"/>
  <c r="M857" i="2"/>
  <c r="L858" i="2"/>
  <c r="M858" i="2"/>
  <c r="L859" i="2"/>
  <c r="M859" i="2"/>
  <c r="L860" i="2"/>
  <c r="M860" i="2"/>
  <c r="L861" i="2"/>
  <c r="M861" i="2"/>
  <c r="L862" i="2"/>
  <c r="M862" i="2"/>
  <c r="L863" i="2"/>
  <c r="M863" i="2"/>
  <c r="L864" i="2"/>
  <c r="M864" i="2"/>
  <c r="L865" i="2"/>
  <c r="M865" i="2"/>
  <c r="L866" i="2"/>
  <c r="M866" i="2"/>
  <c r="L867" i="2"/>
  <c r="M867" i="2"/>
  <c r="L868" i="2"/>
  <c r="M868" i="2"/>
  <c r="L869" i="2"/>
  <c r="M869" i="2"/>
  <c r="L870" i="2"/>
  <c r="M870" i="2"/>
  <c r="L871" i="2"/>
  <c r="M871" i="2"/>
  <c r="L872" i="2"/>
  <c r="M872" i="2"/>
  <c r="L873" i="2"/>
  <c r="M873" i="2"/>
  <c r="L874" i="2"/>
  <c r="M874" i="2"/>
  <c r="L875" i="2"/>
  <c r="M875" i="2"/>
  <c r="L876" i="2"/>
  <c r="M876" i="2"/>
  <c r="L877" i="2"/>
  <c r="M877" i="2"/>
  <c r="L878" i="2"/>
  <c r="M878" i="2"/>
  <c r="L879" i="2"/>
  <c r="M879" i="2"/>
  <c r="L880" i="2"/>
  <c r="M880" i="2"/>
  <c r="L881" i="2"/>
  <c r="M881" i="2"/>
  <c r="L882" i="2"/>
  <c r="M882" i="2"/>
  <c r="L883" i="2"/>
  <c r="M883" i="2"/>
  <c r="L884" i="2"/>
  <c r="M884" i="2"/>
  <c r="L885" i="2"/>
  <c r="M885" i="2"/>
  <c r="L886" i="2"/>
  <c r="M886" i="2"/>
  <c r="L887" i="2"/>
  <c r="M887" i="2"/>
  <c r="L888" i="2"/>
  <c r="M888" i="2"/>
  <c r="L889" i="2"/>
  <c r="M889" i="2"/>
  <c r="L890" i="2"/>
  <c r="M890" i="2"/>
  <c r="L891" i="2"/>
  <c r="M891" i="2"/>
  <c r="L892" i="2"/>
  <c r="M892" i="2"/>
  <c r="L893" i="2"/>
  <c r="M893" i="2"/>
  <c r="L894" i="2"/>
  <c r="M894" i="2"/>
  <c r="L895" i="2"/>
  <c r="M895" i="2"/>
  <c r="L896" i="2"/>
  <c r="M896" i="2"/>
  <c r="L897" i="2"/>
  <c r="M897" i="2"/>
  <c r="L898" i="2"/>
  <c r="M898" i="2"/>
  <c r="L899" i="2"/>
  <c r="M899" i="2"/>
  <c r="L900" i="2"/>
  <c r="M900" i="2"/>
  <c r="L901" i="2"/>
  <c r="M901" i="2"/>
  <c r="L902" i="2"/>
  <c r="M902" i="2"/>
  <c r="L903" i="2"/>
  <c r="M903" i="2"/>
  <c r="L904" i="2"/>
  <c r="M904" i="2"/>
  <c r="L905" i="2"/>
  <c r="M905" i="2"/>
  <c r="L906" i="2"/>
  <c r="M906" i="2"/>
  <c r="L907" i="2"/>
  <c r="M907" i="2"/>
  <c r="L908" i="2"/>
  <c r="M908" i="2"/>
  <c r="L909" i="2"/>
  <c r="M909" i="2"/>
  <c r="L910" i="2"/>
  <c r="M910" i="2"/>
  <c r="L911" i="2"/>
  <c r="M911" i="2"/>
  <c r="L912" i="2"/>
  <c r="M912" i="2"/>
  <c r="L913" i="2"/>
  <c r="M913" i="2"/>
  <c r="L914" i="2"/>
  <c r="M914" i="2"/>
  <c r="L915" i="2"/>
  <c r="M915" i="2"/>
  <c r="L916" i="2"/>
  <c r="M916" i="2"/>
  <c r="L917" i="2"/>
  <c r="M917" i="2"/>
  <c r="L918" i="2"/>
  <c r="M918" i="2"/>
  <c r="L919" i="2"/>
  <c r="M919" i="2"/>
  <c r="L920" i="2"/>
  <c r="M920" i="2"/>
  <c r="L921" i="2"/>
  <c r="M921" i="2"/>
  <c r="L922" i="2"/>
  <c r="M922" i="2"/>
  <c r="L923" i="2"/>
  <c r="M923" i="2"/>
  <c r="L924" i="2"/>
  <c r="M924" i="2"/>
  <c r="L925" i="2"/>
  <c r="M925" i="2"/>
  <c r="L926" i="2"/>
  <c r="M926" i="2"/>
  <c r="L927" i="2"/>
  <c r="M927" i="2"/>
  <c r="L928" i="2"/>
  <c r="M928" i="2"/>
  <c r="L929" i="2"/>
  <c r="M929" i="2"/>
  <c r="L930" i="2"/>
  <c r="M930" i="2"/>
  <c r="L931" i="2"/>
  <c r="M931" i="2"/>
  <c r="L932" i="2"/>
  <c r="M932" i="2"/>
  <c r="L933" i="2"/>
  <c r="M933" i="2"/>
  <c r="L934" i="2"/>
  <c r="M934" i="2"/>
  <c r="L935" i="2"/>
  <c r="M935" i="2"/>
  <c r="L936" i="2"/>
  <c r="M936" i="2"/>
  <c r="L937" i="2"/>
  <c r="M937" i="2"/>
  <c r="L938" i="2"/>
  <c r="M938" i="2"/>
  <c r="L939" i="2"/>
  <c r="M939" i="2"/>
  <c r="L940" i="2"/>
  <c r="M940" i="2"/>
  <c r="L941" i="2"/>
  <c r="M941" i="2"/>
  <c r="L942" i="2"/>
  <c r="M942" i="2"/>
  <c r="L943" i="2"/>
  <c r="M943" i="2"/>
  <c r="L944" i="2"/>
  <c r="M944" i="2"/>
  <c r="L945" i="2"/>
  <c r="M945" i="2"/>
  <c r="L946" i="2"/>
  <c r="M946" i="2"/>
  <c r="L947" i="2"/>
  <c r="M947" i="2"/>
  <c r="L948" i="2"/>
  <c r="M948" i="2"/>
  <c r="L949" i="2"/>
  <c r="M949" i="2"/>
  <c r="L950" i="2"/>
  <c r="M950" i="2"/>
  <c r="L951" i="2"/>
  <c r="M951" i="2"/>
  <c r="L952" i="2"/>
  <c r="M952" i="2"/>
  <c r="L953" i="2"/>
  <c r="M953" i="2"/>
  <c r="L954" i="2"/>
  <c r="M954" i="2"/>
  <c r="L955" i="2"/>
  <c r="M955" i="2"/>
  <c r="L956" i="2"/>
  <c r="M956" i="2"/>
  <c r="L957" i="2"/>
  <c r="M957" i="2"/>
  <c r="L958" i="2"/>
  <c r="M958" i="2"/>
  <c r="L959" i="2"/>
  <c r="M959" i="2"/>
  <c r="L960" i="2"/>
  <c r="M960" i="2"/>
  <c r="L961" i="2"/>
  <c r="M961" i="2"/>
  <c r="L962" i="2"/>
  <c r="M962" i="2"/>
  <c r="L963" i="2"/>
  <c r="M963" i="2"/>
  <c r="L964" i="2"/>
  <c r="M964" i="2"/>
  <c r="L965" i="2"/>
  <c r="M965" i="2"/>
  <c r="L966" i="2"/>
  <c r="M966" i="2"/>
  <c r="L967" i="2"/>
  <c r="M967" i="2"/>
  <c r="L968" i="2"/>
  <c r="M968" i="2"/>
  <c r="L969" i="2"/>
  <c r="M969" i="2"/>
  <c r="L970" i="2"/>
  <c r="M970" i="2"/>
  <c r="L971" i="2"/>
  <c r="M971" i="2"/>
  <c r="L972" i="2"/>
  <c r="M972" i="2"/>
  <c r="L973" i="2"/>
  <c r="M973" i="2"/>
  <c r="L974" i="2"/>
  <c r="M974" i="2"/>
  <c r="L975" i="2"/>
  <c r="M975" i="2"/>
  <c r="L976" i="2"/>
  <c r="M976" i="2"/>
  <c r="L977" i="2"/>
  <c r="M977" i="2"/>
  <c r="L978" i="2"/>
  <c r="M978" i="2"/>
  <c r="L979" i="2"/>
  <c r="M979" i="2"/>
  <c r="L980" i="2"/>
  <c r="M980" i="2"/>
  <c r="L981" i="2"/>
  <c r="M981" i="2"/>
  <c r="L982" i="2"/>
  <c r="M982" i="2"/>
  <c r="L983" i="2"/>
  <c r="M983" i="2"/>
  <c r="L984" i="2"/>
  <c r="M984" i="2"/>
  <c r="L985" i="2"/>
  <c r="M985" i="2"/>
  <c r="L986" i="2"/>
  <c r="M986" i="2"/>
  <c r="L987" i="2"/>
  <c r="M987" i="2"/>
  <c r="L988" i="2"/>
  <c r="M988" i="2"/>
  <c r="L989" i="2"/>
  <c r="M989" i="2"/>
  <c r="L990" i="2"/>
  <c r="M990" i="2"/>
  <c r="L991" i="2"/>
  <c r="M991" i="2"/>
  <c r="L992" i="2"/>
  <c r="M992" i="2"/>
  <c r="L993" i="2"/>
  <c r="M993" i="2"/>
  <c r="L994" i="2"/>
  <c r="M994" i="2"/>
  <c r="L995" i="2"/>
  <c r="M995" i="2"/>
  <c r="L996" i="2"/>
  <c r="M996" i="2"/>
  <c r="L997" i="2"/>
  <c r="M997" i="2"/>
  <c r="L998" i="2"/>
  <c r="M998" i="2"/>
  <c r="L999" i="2"/>
  <c r="M999" i="2"/>
  <c r="L1000" i="2"/>
  <c r="M1000" i="2"/>
  <c r="L1001" i="2"/>
  <c r="M1001" i="2"/>
  <c r="L1002" i="2"/>
  <c r="M1002" i="2"/>
  <c r="L1003" i="2"/>
  <c r="M1003" i="2"/>
  <c r="L1004" i="2"/>
  <c r="M1004" i="2"/>
  <c r="L1005" i="2"/>
  <c r="M1005" i="2"/>
  <c r="L1006" i="2"/>
  <c r="M1006" i="2"/>
  <c r="L1007" i="2"/>
  <c r="M1007" i="2"/>
  <c r="L1008" i="2"/>
  <c r="M1008" i="2"/>
  <c r="L1009" i="2"/>
  <c r="M1009" i="2"/>
  <c r="L1010" i="2"/>
  <c r="M1010" i="2"/>
  <c r="L1011" i="2"/>
  <c r="M1011" i="2"/>
  <c r="L1012" i="2"/>
  <c r="M1012" i="2"/>
  <c r="L1013" i="2"/>
  <c r="M1013" i="2"/>
  <c r="L1014" i="2"/>
  <c r="M1014" i="2"/>
  <c r="L1015" i="2"/>
  <c r="M1015" i="2"/>
  <c r="L1016" i="2"/>
  <c r="M1016" i="2"/>
  <c r="L1017" i="2"/>
  <c r="M1017" i="2"/>
  <c r="L1018" i="2"/>
  <c r="M1018" i="2"/>
  <c r="L1019" i="2"/>
  <c r="M1019" i="2"/>
  <c r="L1020" i="2"/>
  <c r="M1020" i="2"/>
  <c r="L1021" i="2"/>
  <c r="M1021" i="2"/>
  <c r="L1022" i="2"/>
  <c r="M1022" i="2"/>
  <c r="L1023" i="2"/>
  <c r="M1023" i="2"/>
  <c r="L1024" i="2"/>
  <c r="M1024" i="2"/>
  <c r="L1025" i="2"/>
  <c r="M1025" i="2"/>
  <c r="L1026" i="2"/>
  <c r="M1026" i="2"/>
  <c r="L1027" i="2"/>
  <c r="M1027" i="2"/>
  <c r="L1028" i="2"/>
  <c r="M1028" i="2"/>
  <c r="L1029" i="2"/>
  <c r="M1029" i="2"/>
  <c r="L1030" i="2"/>
  <c r="M1030" i="2"/>
  <c r="L1031" i="2"/>
  <c r="M1031" i="2"/>
  <c r="L1032" i="2"/>
  <c r="M1032" i="2"/>
  <c r="L1033" i="2"/>
  <c r="M1033" i="2"/>
  <c r="L1034" i="2"/>
  <c r="M1034" i="2"/>
  <c r="L1035" i="2"/>
  <c r="M1035" i="2"/>
  <c r="L1036" i="2"/>
  <c r="M1036" i="2"/>
  <c r="L1037" i="2"/>
  <c r="M1037" i="2"/>
  <c r="L1038" i="2"/>
  <c r="M1038" i="2"/>
  <c r="L1039" i="2"/>
  <c r="M1039" i="2"/>
  <c r="L1040" i="2"/>
  <c r="M1040" i="2"/>
  <c r="L1041" i="2"/>
  <c r="M1041" i="2"/>
  <c r="L1042" i="2"/>
  <c r="M1042" i="2"/>
  <c r="L1043" i="2"/>
  <c r="M1043" i="2"/>
  <c r="L1044" i="2"/>
  <c r="M1044" i="2"/>
  <c r="L1045" i="2"/>
  <c r="M1045" i="2"/>
  <c r="L1046" i="2"/>
  <c r="M1046" i="2"/>
  <c r="L1047" i="2"/>
  <c r="M1047" i="2"/>
  <c r="L1048" i="2"/>
  <c r="M1048" i="2"/>
  <c r="L1049" i="2"/>
  <c r="M1049" i="2"/>
  <c r="L1050" i="2"/>
  <c r="M1050" i="2"/>
  <c r="L1051" i="2"/>
  <c r="M1051" i="2"/>
  <c r="L1052" i="2"/>
  <c r="M1052" i="2"/>
  <c r="L1053" i="2"/>
  <c r="M1053" i="2"/>
  <c r="L1054" i="2"/>
  <c r="M1054" i="2"/>
  <c r="L1055" i="2"/>
  <c r="M1055" i="2"/>
  <c r="L1056" i="2"/>
  <c r="M1056" i="2"/>
  <c r="L1057" i="2"/>
  <c r="M1057" i="2"/>
  <c r="L1058" i="2"/>
  <c r="M1058" i="2"/>
  <c r="L1059" i="2"/>
  <c r="M1059" i="2"/>
  <c r="L1060" i="2"/>
  <c r="M1060" i="2"/>
  <c r="L1061" i="2"/>
  <c r="M1061" i="2"/>
  <c r="L1062" i="2"/>
  <c r="M1062" i="2"/>
  <c r="L1063" i="2"/>
  <c r="M1063" i="2"/>
  <c r="L1064" i="2"/>
  <c r="M1064" i="2"/>
  <c r="L1065" i="2"/>
  <c r="M1065" i="2"/>
  <c r="L1066" i="2"/>
  <c r="M1066" i="2"/>
  <c r="L1067" i="2"/>
  <c r="M1067" i="2"/>
  <c r="L1068" i="2"/>
  <c r="M1068" i="2"/>
  <c r="L1069" i="2"/>
  <c r="M1069" i="2"/>
  <c r="L1070" i="2"/>
  <c r="M1070" i="2"/>
  <c r="L1071" i="2"/>
  <c r="M1071" i="2"/>
  <c r="L1072" i="2"/>
  <c r="M1072" i="2"/>
  <c r="L1073" i="2"/>
  <c r="M1073" i="2"/>
  <c r="L1074" i="2"/>
  <c r="M1074" i="2"/>
  <c r="L1075" i="2"/>
  <c r="M1075" i="2"/>
  <c r="L1076" i="2"/>
  <c r="M1076" i="2"/>
  <c r="L1077" i="2"/>
  <c r="M1077" i="2"/>
  <c r="L1078" i="2"/>
  <c r="M1078" i="2"/>
  <c r="L1079" i="2"/>
  <c r="M1079" i="2"/>
  <c r="L1080" i="2"/>
  <c r="M1080" i="2"/>
  <c r="L1081" i="2"/>
  <c r="M1081" i="2"/>
  <c r="L1082" i="2"/>
  <c r="M1082" i="2"/>
  <c r="L1083" i="2"/>
  <c r="M1083" i="2"/>
  <c r="L1084" i="2"/>
  <c r="M1084" i="2"/>
  <c r="L1085" i="2"/>
  <c r="M1085" i="2"/>
  <c r="L1086" i="2"/>
  <c r="M1086" i="2"/>
  <c r="L1087" i="2"/>
  <c r="M1087" i="2"/>
  <c r="L1088" i="2"/>
  <c r="M1088" i="2"/>
  <c r="L1089" i="2"/>
  <c r="M1089" i="2"/>
  <c r="L1090" i="2"/>
  <c r="M1090" i="2"/>
  <c r="L1091" i="2"/>
  <c r="M1091" i="2"/>
  <c r="L1092" i="2"/>
  <c r="M1092" i="2"/>
  <c r="L1093" i="2"/>
  <c r="M1093" i="2"/>
  <c r="L1094" i="2"/>
  <c r="M1094" i="2"/>
  <c r="L1095" i="2"/>
  <c r="M1095" i="2"/>
  <c r="L1096" i="2"/>
  <c r="M1096" i="2"/>
  <c r="L1097" i="2"/>
  <c r="M1097" i="2"/>
  <c r="L1098" i="2"/>
  <c r="M1098" i="2"/>
  <c r="L1099" i="2"/>
  <c r="M1099" i="2"/>
  <c r="L1100" i="2"/>
  <c r="M1100" i="2"/>
  <c r="L1101" i="2"/>
  <c r="M1101" i="2"/>
  <c r="L1102" i="2"/>
  <c r="M1102" i="2"/>
  <c r="L1103" i="2"/>
  <c r="M1103" i="2"/>
  <c r="L1104" i="2"/>
  <c r="M1104" i="2"/>
  <c r="L1105" i="2"/>
  <c r="M1105" i="2"/>
  <c r="L1106" i="2"/>
  <c r="M1106" i="2"/>
  <c r="L1107" i="2"/>
  <c r="M1107" i="2"/>
  <c r="L1108" i="2"/>
  <c r="M1108" i="2"/>
  <c r="L1109" i="2"/>
  <c r="M1109" i="2"/>
  <c r="L1110" i="2"/>
  <c r="M1110" i="2"/>
  <c r="L1111" i="2"/>
  <c r="M1111" i="2"/>
  <c r="L1112" i="2"/>
  <c r="M1112" i="2"/>
  <c r="L1113" i="2"/>
  <c r="M1113" i="2"/>
  <c r="L1114" i="2"/>
  <c r="M1114" i="2"/>
  <c r="L1115" i="2"/>
  <c r="M1115" i="2"/>
  <c r="L1116" i="2"/>
  <c r="M1116" i="2"/>
  <c r="L1117" i="2"/>
  <c r="M1117" i="2"/>
  <c r="L1118" i="2"/>
  <c r="M1118" i="2"/>
  <c r="L1119" i="2"/>
  <c r="M1119" i="2"/>
  <c r="L1120" i="2"/>
  <c r="M1120" i="2"/>
  <c r="L1121" i="2"/>
  <c r="M1121" i="2"/>
  <c r="L1122" i="2"/>
  <c r="M1122" i="2"/>
  <c r="L1123" i="2"/>
  <c r="M1123" i="2"/>
  <c r="L1124" i="2"/>
  <c r="M1124" i="2"/>
  <c r="L1125" i="2"/>
  <c r="M1125" i="2"/>
  <c r="L1126" i="2"/>
  <c r="M1126" i="2"/>
  <c r="L1127" i="2"/>
  <c r="M1127" i="2"/>
  <c r="L1128" i="2"/>
  <c r="M1128" i="2"/>
  <c r="L1129" i="2"/>
  <c r="M1129" i="2"/>
  <c r="L1130" i="2"/>
  <c r="M1130" i="2"/>
  <c r="L1131" i="2"/>
  <c r="M1131" i="2"/>
  <c r="L1132" i="2"/>
  <c r="M1132" i="2"/>
  <c r="L1133" i="2"/>
  <c r="M1133" i="2"/>
  <c r="L1134" i="2"/>
  <c r="M1134" i="2"/>
  <c r="L1135" i="2"/>
  <c r="M1135" i="2"/>
  <c r="L1136" i="2"/>
  <c r="M1136" i="2"/>
  <c r="L1137" i="2"/>
  <c r="M1137" i="2"/>
  <c r="L1138" i="2"/>
  <c r="M1138" i="2"/>
  <c r="L1139" i="2"/>
  <c r="M1139" i="2"/>
  <c r="L1140" i="2"/>
  <c r="M1140" i="2"/>
  <c r="L1141" i="2"/>
  <c r="M1141" i="2"/>
  <c r="L1142" i="2"/>
  <c r="M1142" i="2"/>
  <c r="L1143" i="2"/>
  <c r="M1143" i="2"/>
  <c r="L1144" i="2"/>
  <c r="M1144" i="2"/>
  <c r="L1145" i="2"/>
  <c r="M1145" i="2"/>
  <c r="L1146" i="2"/>
  <c r="M1146" i="2"/>
  <c r="L1147" i="2"/>
  <c r="M1147" i="2"/>
  <c r="L1148" i="2"/>
  <c r="M1148" i="2"/>
  <c r="L1149" i="2"/>
  <c r="M1149" i="2"/>
  <c r="L1150" i="2"/>
  <c r="M1150" i="2"/>
  <c r="L1151" i="2"/>
  <c r="M1151" i="2"/>
  <c r="L1152" i="2"/>
  <c r="M1152" i="2"/>
  <c r="L1153" i="2"/>
  <c r="M1153" i="2"/>
  <c r="L1154" i="2"/>
  <c r="M1154" i="2"/>
  <c r="L1155" i="2"/>
  <c r="M1155" i="2"/>
  <c r="L1156" i="2"/>
  <c r="M1156" i="2"/>
  <c r="L1157" i="2"/>
  <c r="M1157" i="2"/>
  <c r="L1158" i="2"/>
  <c r="M1158" i="2"/>
  <c r="L1159" i="2"/>
  <c r="M1159" i="2"/>
  <c r="L1160" i="2"/>
  <c r="M1160" i="2"/>
  <c r="L1161" i="2"/>
  <c r="M1161" i="2"/>
  <c r="L1162" i="2"/>
  <c r="M1162" i="2"/>
  <c r="L1163" i="2"/>
  <c r="M1163" i="2"/>
  <c r="L1164" i="2"/>
  <c r="M1164" i="2"/>
  <c r="L1165" i="2"/>
  <c r="M1165" i="2"/>
  <c r="L1166" i="2"/>
  <c r="M1166" i="2"/>
  <c r="L1167" i="2"/>
  <c r="M1167" i="2"/>
  <c r="L1168" i="2"/>
  <c r="M1168" i="2"/>
  <c r="L1169" i="2"/>
  <c r="M1169" i="2"/>
  <c r="L1170" i="2"/>
  <c r="M1170" i="2"/>
  <c r="L1171" i="2"/>
  <c r="M1171" i="2"/>
  <c r="L1172" i="2"/>
  <c r="M1172" i="2"/>
  <c r="L1173" i="2"/>
  <c r="M1173" i="2"/>
  <c r="L1174" i="2"/>
  <c r="M1174" i="2"/>
  <c r="L1175" i="2"/>
  <c r="M1175" i="2"/>
  <c r="L1176" i="2"/>
  <c r="M1176" i="2"/>
  <c r="L1177" i="2"/>
  <c r="M1177" i="2"/>
  <c r="L1178" i="2"/>
  <c r="M1178" i="2"/>
  <c r="L1179" i="2"/>
  <c r="M1179" i="2"/>
  <c r="L1180" i="2"/>
  <c r="M1180" i="2"/>
  <c r="L1181" i="2"/>
  <c r="M1181" i="2"/>
  <c r="L1182" i="2"/>
  <c r="M1182" i="2"/>
  <c r="L1183" i="2"/>
  <c r="M1183" i="2"/>
  <c r="L1184" i="2"/>
  <c r="M1184" i="2"/>
  <c r="L1185" i="2"/>
  <c r="M1185" i="2"/>
  <c r="L1186" i="2"/>
  <c r="M1186" i="2"/>
  <c r="L1187" i="2"/>
  <c r="M1187" i="2"/>
  <c r="L1188" i="2"/>
  <c r="M1188" i="2"/>
  <c r="L1189" i="2"/>
  <c r="M1189" i="2"/>
  <c r="L1190" i="2"/>
  <c r="M1190" i="2"/>
  <c r="L1191" i="2"/>
  <c r="M1191" i="2"/>
  <c r="L1192" i="2"/>
  <c r="M1192" i="2"/>
  <c r="L1193" i="2"/>
  <c r="M1193" i="2"/>
  <c r="L1194" i="2"/>
  <c r="M1194" i="2"/>
  <c r="L1195" i="2"/>
  <c r="M1195" i="2"/>
  <c r="L1196" i="2"/>
  <c r="M1196" i="2"/>
  <c r="L1197" i="2"/>
  <c r="M1197" i="2"/>
  <c r="L1198" i="2"/>
  <c r="M1198" i="2"/>
  <c r="L1199" i="2"/>
  <c r="M1199" i="2"/>
  <c r="L1200" i="2"/>
  <c r="M1200" i="2"/>
  <c r="L1201" i="2"/>
  <c r="M1201" i="2"/>
  <c r="L1202" i="2"/>
  <c r="M1202" i="2"/>
  <c r="L1203" i="2"/>
  <c r="M1203" i="2"/>
  <c r="L1204" i="2"/>
  <c r="M1204" i="2"/>
  <c r="L1205" i="2"/>
  <c r="M1205" i="2"/>
  <c r="L1206" i="2"/>
  <c r="M1206" i="2"/>
  <c r="L1207" i="2"/>
  <c r="M1207" i="2"/>
  <c r="L1208" i="2"/>
  <c r="M1208" i="2"/>
  <c r="L1209" i="2"/>
  <c r="M1209" i="2"/>
  <c r="L1210" i="2"/>
  <c r="M1210" i="2"/>
  <c r="L1211" i="2"/>
  <c r="M1211" i="2"/>
  <c r="L1212" i="2"/>
  <c r="M1212" i="2"/>
  <c r="L1213" i="2"/>
  <c r="M1213" i="2"/>
  <c r="L1214" i="2"/>
  <c r="M1214" i="2"/>
  <c r="L1215" i="2"/>
  <c r="M1215" i="2"/>
  <c r="L1216" i="2"/>
  <c r="M1216" i="2"/>
  <c r="L1217" i="2"/>
  <c r="M1217" i="2"/>
  <c r="L1218" i="2"/>
  <c r="M1218" i="2"/>
  <c r="L1219" i="2"/>
  <c r="M1219" i="2"/>
  <c r="L1220" i="2"/>
  <c r="M1220" i="2"/>
  <c r="L1221" i="2"/>
  <c r="M1221" i="2"/>
  <c r="L1222" i="2"/>
  <c r="M1222" i="2"/>
  <c r="L1223" i="2"/>
  <c r="M1223" i="2"/>
  <c r="L1224" i="2"/>
  <c r="M1224" i="2"/>
  <c r="L1225" i="2"/>
  <c r="M1225" i="2"/>
  <c r="L1226" i="2"/>
  <c r="M1226" i="2"/>
  <c r="L1227" i="2"/>
  <c r="M1227" i="2"/>
  <c r="L1228" i="2"/>
  <c r="M1228" i="2"/>
  <c r="L1229" i="2"/>
  <c r="M1229" i="2"/>
  <c r="L1230" i="2"/>
  <c r="M1230" i="2"/>
  <c r="L1231" i="2"/>
  <c r="M1231" i="2"/>
  <c r="L1232" i="2"/>
  <c r="M1232" i="2"/>
  <c r="L1233" i="2"/>
  <c r="M1233" i="2"/>
  <c r="L1234" i="2"/>
  <c r="M1234" i="2"/>
  <c r="L1235" i="2"/>
  <c r="M1235" i="2"/>
  <c r="L1236" i="2"/>
  <c r="M1236" i="2"/>
  <c r="L1237" i="2"/>
  <c r="M1237" i="2"/>
  <c r="L1238" i="2"/>
  <c r="M1238" i="2"/>
  <c r="L1239" i="2"/>
  <c r="M1239" i="2"/>
  <c r="L1240" i="2"/>
  <c r="M1240" i="2"/>
  <c r="L1241" i="2"/>
  <c r="M1241" i="2"/>
  <c r="L1242" i="2"/>
  <c r="M1242" i="2"/>
  <c r="L1243" i="2"/>
  <c r="M1243" i="2"/>
  <c r="L1244" i="2"/>
  <c r="M1244" i="2"/>
  <c r="L1245" i="2"/>
  <c r="M1245" i="2"/>
  <c r="L1246" i="2"/>
  <c r="M1246" i="2"/>
  <c r="L1247" i="2"/>
  <c r="M1247" i="2"/>
  <c r="L1248" i="2"/>
  <c r="M1248" i="2"/>
  <c r="L1249" i="2"/>
  <c r="M1249" i="2"/>
  <c r="L1250" i="2"/>
  <c r="M1250" i="2"/>
  <c r="L1251" i="2"/>
  <c r="M1251" i="2"/>
  <c r="L1252" i="2"/>
  <c r="M1252" i="2"/>
  <c r="L1253" i="2"/>
  <c r="M1253" i="2"/>
  <c r="L1254" i="2"/>
  <c r="M1254" i="2"/>
  <c r="L1255" i="2"/>
  <c r="M1255" i="2"/>
  <c r="L1256" i="2"/>
  <c r="M1256" i="2"/>
  <c r="L1257" i="2"/>
  <c r="M1257" i="2"/>
  <c r="L1258" i="2"/>
  <c r="M1258" i="2"/>
  <c r="L1259" i="2"/>
  <c r="M1259" i="2"/>
  <c r="L1260" i="2"/>
  <c r="M1260" i="2"/>
  <c r="L1261" i="2"/>
  <c r="M1261" i="2"/>
  <c r="L1262" i="2"/>
  <c r="M1262" i="2"/>
  <c r="L1263" i="2"/>
  <c r="M1263" i="2"/>
  <c r="L1264" i="2"/>
  <c r="M1264" i="2"/>
  <c r="L1265" i="2"/>
  <c r="M1265" i="2"/>
  <c r="L1266" i="2"/>
  <c r="M1266" i="2"/>
  <c r="L1267" i="2"/>
  <c r="M1267" i="2"/>
  <c r="L1268" i="2"/>
  <c r="M1268" i="2"/>
  <c r="L1269" i="2"/>
  <c r="M1269" i="2"/>
  <c r="L1270" i="2"/>
  <c r="M1270" i="2"/>
  <c r="L1271" i="2"/>
  <c r="M1271" i="2"/>
  <c r="L1272" i="2"/>
  <c r="M1272" i="2"/>
  <c r="L1273" i="2"/>
  <c r="M1273" i="2"/>
  <c r="L1274" i="2"/>
  <c r="M1274" i="2"/>
  <c r="L1275" i="2"/>
  <c r="M1275" i="2"/>
  <c r="L1276" i="2"/>
  <c r="M1276" i="2"/>
  <c r="L1277" i="2"/>
  <c r="M1277" i="2"/>
  <c r="L1278" i="2"/>
  <c r="M1278" i="2"/>
  <c r="L1279" i="2"/>
  <c r="M1279" i="2"/>
  <c r="L1280" i="2"/>
  <c r="M1280" i="2"/>
  <c r="L1281" i="2"/>
  <c r="M1281" i="2"/>
  <c r="L1282" i="2"/>
  <c r="M1282" i="2"/>
  <c r="L1283" i="2"/>
  <c r="M1283" i="2"/>
  <c r="L1284" i="2"/>
  <c r="M1284" i="2"/>
  <c r="L1285" i="2"/>
  <c r="M1285" i="2"/>
  <c r="L1286" i="2"/>
  <c r="M1286" i="2"/>
  <c r="L1287" i="2"/>
  <c r="M1287" i="2"/>
  <c r="L1288" i="2"/>
  <c r="M1288" i="2"/>
  <c r="L1289" i="2"/>
  <c r="M1289" i="2"/>
  <c r="L1290" i="2"/>
  <c r="M1290" i="2"/>
  <c r="L1291" i="2"/>
  <c r="M1291" i="2"/>
  <c r="L1292" i="2"/>
  <c r="M1292" i="2"/>
  <c r="L1293" i="2"/>
  <c r="M1293" i="2"/>
  <c r="L1294" i="2"/>
  <c r="M1294" i="2"/>
  <c r="L1295" i="2"/>
  <c r="M1295" i="2"/>
  <c r="L1296" i="2"/>
  <c r="M1296" i="2"/>
  <c r="L1297" i="2"/>
  <c r="M1297" i="2"/>
  <c r="L1298" i="2"/>
  <c r="M1298" i="2"/>
  <c r="L1299" i="2"/>
  <c r="M1299" i="2"/>
  <c r="L1300" i="2"/>
  <c r="M1300" i="2"/>
  <c r="L1301" i="2"/>
  <c r="M1301" i="2"/>
  <c r="L1302" i="2"/>
  <c r="M1302" i="2"/>
  <c r="L1303" i="2"/>
  <c r="M1303" i="2"/>
  <c r="L1304" i="2"/>
  <c r="M1304" i="2"/>
  <c r="L1305" i="2"/>
  <c r="M1305" i="2"/>
  <c r="L1306" i="2"/>
  <c r="M1306" i="2"/>
  <c r="L1307" i="2"/>
  <c r="M1307" i="2"/>
  <c r="L1308" i="2"/>
  <c r="M1308" i="2"/>
  <c r="L1309" i="2"/>
  <c r="M1309" i="2"/>
  <c r="L1310" i="2"/>
  <c r="M1310" i="2"/>
  <c r="L1311" i="2"/>
  <c r="M1311" i="2"/>
  <c r="L1312" i="2"/>
  <c r="M1312" i="2"/>
  <c r="L1313" i="2"/>
  <c r="M1313" i="2"/>
  <c r="L1314" i="2"/>
  <c r="M1314" i="2"/>
  <c r="L1315" i="2"/>
  <c r="M1315" i="2"/>
  <c r="L1316" i="2"/>
  <c r="M1316" i="2"/>
  <c r="L1317" i="2"/>
  <c r="M1317" i="2"/>
  <c r="L1318" i="2"/>
  <c r="M1318" i="2"/>
  <c r="L1319" i="2"/>
  <c r="M1319" i="2"/>
  <c r="L1320" i="2"/>
  <c r="M1320" i="2"/>
  <c r="L1321" i="2"/>
  <c r="M1321" i="2"/>
  <c r="L1322" i="2"/>
  <c r="M1322" i="2"/>
  <c r="L1323" i="2"/>
  <c r="M1323" i="2"/>
  <c r="L1324" i="2"/>
  <c r="M1324" i="2"/>
  <c r="L1325" i="2"/>
  <c r="M1325" i="2"/>
  <c r="L1326" i="2"/>
  <c r="M1326" i="2"/>
  <c r="L1327" i="2"/>
  <c r="M1327" i="2"/>
  <c r="L1328" i="2"/>
  <c r="M1328" i="2"/>
  <c r="L1329" i="2"/>
  <c r="M1329" i="2"/>
  <c r="L1330" i="2"/>
  <c r="M1330" i="2"/>
  <c r="L1331" i="2"/>
  <c r="M1331" i="2"/>
  <c r="L1332" i="2"/>
  <c r="M1332" i="2"/>
  <c r="L1333" i="2"/>
  <c r="M1333" i="2"/>
  <c r="L1334" i="2"/>
  <c r="M1334" i="2"/>
  <c r="L1335" i="2"/>
  <c r="M1335" i="2"/>
  <c r="L1336" i="2"/>
  <c r="M1336" i="2"/>
  <c r="L1337" i="2"/>
  <c r="M1337" i="2"/>
  <c r="L1338" i="2"/>
  <c r="M1338" i="2"/>
  <c r="L1339" i="2"/>
  <c r="M1339" i="2"/>
  <c r="L1340" i="2"/>
  <c r="M1340" i="2"/>
  <c r="L1341" i="2"/>
  <c r="M1341" i="2"/>
  <c r="L1342" i="2"/>
  <c r="M1342" i="2"/>
  <c r="L1343" i="2"/>
  <c r="M1343" i="2"/>
  <c r="L1344" i="2"/>
  <c r="M1344" i="2"/>
  <c r="L1345" i="2"/>
  <c r="M1345" i="2"/>
  <c r="L1346" i="2"/>
  <c r="M1346" i="2"/>
  <c r="L1347" i="2"/>
  <c r="M1347" i="2"/>
  <c r="L1348" i="2"/>
  <c r="M1348" i="2"/>
  <c r="L1349" i="2"/>
  <c r="M1349" i="2"/>
  <c r="L1350" i="2"/>
  <c r="M1350" i="2"/>
  <c r="L1351" i="2"/>
  <c r="M1351" i="2"/>
  <c r="L1352" i="2"/>
  <c r="M1352" i="2"/>
  <c r="L1353" i="2"/>
  <c r="M1353" i="2"/>
  <c r="L1354" i="2"/>
  <c r="M1354" i="2"/>
  <c r="L1355" i="2"/>
  <c r="M1355" i="2"/>
  <c r="L1356" i="2"/>
  <c r="M1356" i="2"/>
  <c r="L1357" i="2"/>
  <c r="M1357" i="2"/>
  <c r="L1358" i="2"/>
  <c r="M1358" i="2"/>
  <c r="L1359" i="2"/>
  <c r="M1359" i="2"/>
  <c r="L1360" i="2"/>
  <c r="M1360" i="2"/>
  <c r="L1361" i="2"/>
  <c r="M1361" i="2"/>
  <c r="L1362" i="2"/>
  <c r="M1362" i="2"/>
  <c r="L1363" i="2"/>
  <c r="M1363" i="2"/>
  <c r="L1364" i="2"/>
  <c r="M1364" i="2"/>
  <c r="L1365" i="2"/>
  <c r="M1365" i="2"/>
  <c r="L1366" i="2"/>
  <c r="M1366" i="2"/>
  <c r="L1367" i="2"/>
  <c r="M1367" i="2"/>
  <c r="L1368" i="2"/>
  <c r="M1368" i="2"/>
  <c r="L1369" i="2"/>
  <c r="M1369" i="2"/>
  <c r="L1370" i="2"/>
  <c r="M1370" i="2"/>
  <c r="L1371" i="2"/>
  <c r="M1371" i="2"/>
  <c r="L1372" i="2"/>
  <c r="M1372" i="2"/>
  <c r="L1373" i="2"/>
  <c r="M1373" i="2"/>
  <c r="L1374" i="2"/>
  <c r="M1374" i="2"/>
  <c r="L1375" i="2"/>
  <c r="M1375" i="2"/>
  <c r="L1376" i="2"/>
  <c r="M1376" i="2"/>
  <c r="L1377" i="2"/>
  <c r="M1377" i="2"/>
  <c r="L1378" i="2"/>
  <c r="M1378" i="2"/>
  <c r="L1379" i="2"/>
  <c r="M1379" i="2"/>
  <c r="L1380" i="2"/>
  <c r="M1380" i="2"/>
  <c r="L1381" i="2"/>
  <c r="M1381" i="2"/>
  <c r="L1382" i="2"/>
  <c r="M1382" i="2"/>
  <c r="L1383" i="2"/>
  <c r="M1383" i="2"/>
  <c r="L1384" i="2"/>
  <c r="M1384" i="2"/>
  <c r="L1385" i="2"/>
  <c r="M1385" i="2"/>
  <c r="L1386" i="2"/>
  <c r="M1386" i="2"/>
  <c r="L1387" i="2"/>
  <c r="M1387" i="2"/>
  <c r="L1388" i="2"/>
  <c r="M1388" i="2"/>
  <c r="L1389" i="2"/>
  <c r="M1389" i="2"/>
  <c r="L1390" i="2"/>
  <c r="M1390" i="2"/>
  <c r="L1391" i="2"/>
  <c r="M1391" i="2"/>
  <c r="L1392" i="2"/>
  <c r="M1392" i="2"/>
  <c r="L1393" i="2"/>
  <c r="M1393" i="2"/>
  <c r="L1394" i="2"/>
  <c r="M1394" i="2"/>
  <c r="L1395" i="2"/>
  <c r="M1395" i="2"/>
  <c r="L1396" i="2"/>
  <c r="M1396" i="2"/>
  <c r="L1397" i="2"/>
  <c r="M1397" i="2"/>
  <c r="L1398" i="2"/>
  <c r="M1398" i="2"/>
  <c r="L1399" i="2"/>
  <c r="M1399" i="2"/>
  <c r="L1400" i="2"/>
  <c r="M1400" i="2"/>
  <c r="L1401" i="2"/>
  <c r="M1401" i="2"/>
  <c r="L1402" i="2"/>
  <c r="M1402" i="2"/>
  <c r="L1403" i="2"/>
  <c r="M1403" i="2"/>
  <c r="L1404" i="2"/>
  <c r="M1404" i="2"/>
  <c r="L1405" i="2"/>
  <c r="M1405" i="2"/>
  <c r="L1406" i="2"/>
  <c r="M1406" i="2"/>
  <c r="L1407" i="2"/>
  <c r="M1407" i="2"/>
  <c r="L1408" i="2"/>
  <c r="M1408" i="2"/>
  <c r="L1409" i="2"/>
  <c r="M1409" i="2"/>
  <c r="L1410" i="2"/>
  <c r="M1410" i="2"/>
  <c r="L1411" i="2"/>
  <c r="M1411" i="2"/>
  <c r="L1412" i="2"/>
  <c r="M1412" i="2"/>
  <c r="L1413" i="2"/>
  <c r="M1413" i="2"/>
  <c r="L1414" i="2"/>
  <c r="M1414" i="2"/>
  <c r="L1415" i="2"/>
  <c r="M1415" i="2"/>
  <c r="L1416" i="2"/>
  <c r="M1416" i="2"/>
  <c r="L1417" i="2"/>
  <c r="M1417" i="2"/>
  <c r="L1418" i="2"/>
  <c r="M1418" i="2"/>
  <c r="L1419" i="2"/>
  <c r="M1419" i="2"/>
  <c r="L1420" i="2"/>
  <c r="M1420" i="2"/>
  <c r="L1421" i="2"/>
  <c r="M1421" i="2"/>
  <c r="L1422" i="2"/>
  <c r="M1422" i="2"/>
  <c r="L1423" i="2"/>
  <c r="M1423" i="2"/>
  <c r="L1424" i="2"/>
  <c r="M1424" i="2"/>
  <c r="L1425" i="2"/>
  <c r="M1425" i="2"/>
  <c r="L1426" i="2"/>
  <c r="M1426" i="2"/>
  <c r="L1427" i="2"/>
  <c r="M1427" i="2"/>
  <c r="L1428" i="2"/>
  <c r="M1428" i="2"/>
  <c r="L1429" i="2"/>
  <c r="M1429" i="2"/>
  <c r="L1430" i="2"/>
  <c r="M1430" i="2"/>
  <c r="L1431" i="2"/>
  <c r="M1431" i="2"/>
  <c r="L1432" i="2"/>
  <c r="M1432" i="2"/>
  <c r="L1433" i="2"/>
  <c r="M1433" i="2"/>
  <c r="L1434" i="2"/>
  <c r="M1434" i="2"/>
  <c r="L1435" i="2"/>
  <c r="M1435" i="2"/>
  <c r="L1436" i="2"/>
  <c r="M1436" i="2"/>
  <c r="L1437" i="2"/>
  <c r="M1437" i="2"/>
  <c r="L1438" i="2"/>
  <c r="M1438" i="2"/>
  <c r="L1439" i="2"/>
  <c r="M1439" i="2"/>
  <c r="L1440" i="2"/>
  <c r="M1440" i="2"/>
  <c r="L1441" i="2"/>
  <c r="M1441" i="2"/>
  <c r="L1442" i="2"/>
  <c r="M1442" i="2"/>
  <c r="L1443" i="2"/>
  <c r="M1443" i="2"/>
  <c r="L1444" i="2"/>
  <c r="M1444" i="2"/>
  <c r="L1445" i="2"/>
  <c r="M1445" i="2"/>
  <c r="L1446" i="2"/>
  <c r="M1446" i="2"/>
  <c r="L1447" i="2"/>
  <c r="M1447" i="2"/>
  <c r="L1448" i="2"/>
  <c r="M1448" i="2"/>
  <c r="L1449" i="2"/>
  <c r="M1449" i="2"/>
  <c r="L1450" i="2"/>
  <c r="M1450" i="2"/>
  <c r="L1451" i="2"/>
  <c r="M1451" i="2"/>
  <c r="L1452" i="2"/>
  <c r="M1452" i="2"/>
  <c r="L1453" i="2"/>
  <c r="M1453" i="2"/>
  <c r="L1454" i="2"/>
  <c r="M1454" i="2"/>
  <c r="L1455" i="2"/>
  <c r="M1455" i="2"/>
  <c r="L1456" i="2"/>
  <c r="M1456" i="2"/>
  <c r="L1457" i="2"/>
  <c r="M1457" i="2"/>
  <c r="L1458" i="2"/>
  <c r="M1458" i="2"/>
  <c r="L1459" i="2"/>
  <c r="M1459" i="2"/>
  <c r="L1460" i="2"/>
  <c r="M1460" i="2"/>
  <c r="L1461" i="2"/>
  <c r="M1461" i="2"/>
  <c r="L1462" i="2"/>
  <c r="M1462" i="2"/>
  <c r="L1463" i="2"/>
  <c r="M1463" i="2"/>
  <c r="L1464" i="2"/>
  <c r="M1464" i="2"/>
  <c r="L1465" i="2"/>
  <c r="M1465" i="2"/>
  <c r="L1466" i="2"/>
  <c r="M1466" i="2"/>
  <c r="L1467" i="2"/>
  <c r="M1467" i="2"/>
  <c r="L1468" i="2"/>
  <c r="M1468" i="2"/>
  <c r="L1469" i="2"/>
  <c r="M1469" i="2"/>
  <c r="L1470" i="2"/>
  <c r="M1470" i="2"/>
  <c r="L1471" i="2"/>
  <c r="M1471" i="2"/>
  <c r="L1472" i="2"/>
  <c r="M1472" i="2"/>
  <c r="L1473" i="2"/>
  <c r="M1473" i="2"/>
  <c r="L1474" i="2"/>
  <c r="M1474" i="2"/>
  <c r="L1475" i="2"/>
  <c r="M1475" i="2"/>
  <c r="L1476" i="2"/>
  <c r="M1476" i="2"/>
  <c r="L1477" i="2"/>
  <c r="M1477" i="2"/>
  <c r="L1478" i="2"/>
  <c r="M1478" i="2"/>
  <c r="L1479" i="2"/>
  <c r="M1479" i="2"/>
  <c r="L1480" i="2"/>
  <c r="M1480" i="2"/>
  <c r="L1481" i="2"/>
  <c r="M1481" i="2"/>
  <c r="L1482" i="2"/>
  <c r="M1482" i="2"/>
  <c r="L1483" i="2"/>
  <c r="M1483" i="2"/>
  <c r="L1484" i="2"/>
  <c r="M1484" i="2"/>
  <c r="L1485" i="2"/>
  <c r="M1485" i="2"/>
  <c r="L1486" i="2"/>
  <c r="M1486" i="2"/>
  <c r="L1487" i="2"/>
  <c r="M1487" i="2"/>
  <c r="L1488" i="2"/>
  <c r="M1488" i="2"/>
  <c r="L1489" i="2"/>
  <c r="M1489" i="2"/>
  <c r="L1490" i="2"/>
  <c r="M1490" i="2"/>
  <c r="L1491" i="2"/>
  <c r="M1491" i="2"/>
  <c r="L1492" i="2"/>
  <c r="M1492" i="2"/>
  <c r="L1493" i="2"/>
  <c r="M1493" i="2"/>
  <c r="L1494" i="2"/>
  <c r="M1494" i="2"/>
  <c r="L1495" i="2"/>
  <c r="M1495" i="2"/>
  <c r="L1496" i="2"/>
  <c r="M1496" i="2"/>
  <c r="L1497" i="2"/>
  <c r="M1497" i="2"/>
  <c r="L1498" i="2"/>
  <c r="M1498" i="2"/>
  <c r="L1499" i="2"/>
  <c r="M1499" i="2"/>
  <c r="L1500" i="2"/>
  <c r="M1500" i="2"/>
  <c r="L1501" i="2"/>
  <c r="M1501" i="2"/>
  <c r="L1502" i="2"/>
  <c r="M1502" i="2"/>
  <c r="L1503" i="2"/>
  <c r="M1503" i="2"/>
  <c r="L1504" i="2"/>
  <c r="M1504" i="2"/>
  <c r="L1505" i="2"/>
  <c r="M1505" i="2"/>
  <c r="L1506" i="2"/>
  <c r="M1506" i="2"/>
  <c r="L1507" i="2"/>
  <c r="M1507" i="2"/>
  <c r="L1508" i="2"/>
  <c r="M1508" i="2"/>
  <c r="L1509" i="2"/>
  <c r="M1509" i="2"/>
  <c r="L1510" i="2"/>
  <c r="M1510" i="2"/>
  <c r="L1511" i="2"/>
  <c r="M1511" i="2"/>
  <c r="L1512" i="2"/>
  <c r="M1512" i="2"/>
  <c r="L1513" i="2"/>
  <c r="M1513" i="2"/>
  <c r="L1514" i="2"/>
  <c r="M1514" i="2"/>
  <c r="L1515" i="2"/>
  <c r="M1515" i="2"/>
  <c r="L1516" i="2"/>
  <c r="M1516" i="2"/>
  <c r="L1517" i="2"/>
  <c r="M1517" i="2"/>
  <c r="L1518" i="2"/>
  <c r="M1518" i="2"/>
  <c r="L1519" i="2"/>
  <c r="M1519" i="2"/>
  <c r="L1520" i="2"/>
  <c r="M1520" i="2"/>
  <c r="L1521" i="2"/>
  <c r="M1521" i="2"/>
  <c r="L1522" i="2"/>
  <c r="M1522" i="2"/>
  <c r="L1523" i="2"/>
  <c r="M1523" i="2"/>
  <c r="L1524" i="2"/>
  <c r="M1524" i="2"/>
  <c r="L1525" i="2"/>
  <c r="M1525" i="2"/>
  <c r="L1526" i="2"/>
  <c r="M1526" i="2"/>
  <c r="L1527" i="2"/>
  <c r="M1527" i="2"/>
  <c r="L1528" i="2"/>
  <c r="M1528" i="2"/>
  <c r="L1529" i="2"/>
  <c r="M1529" i="2"/>
  <c r="L1530" i="2"/>
  <c r="M1530" i="2"/>
  <c r="L1531" i="2"/>
  <c r="M1531" i="2"/>
  <c r="L1532" i="2"/>
  <c r="M1532" i="2"/>
  <c r="L1533" i="2"/>
  <c r="M1533" i="2"/>
  <c r="L1534" i="2"/>
  <c r="M1534" i="2"/>
  <c r="L1535" i="2"/>
  <c r="M1535" i="2"/>
  <c r="L1536" i="2"/>
  <c r="M1536" i="2"/>
  <c r="L1537" i="2"/>
  <c r="M1537" i="2"/>
  <c r="L1538" i="2"/>
  <c r="M1538" i="2"/>
  <c r="L1539" i="2"/>
  <c r="M1539" i="2"/>
  <c r="L1540" i="2"/>
  <c r="M1540" i="2"/>
  <c r="L1541" i="2"/>
  <c r="M1541" i="2"/>
  <c r="L1542" i="2"/>
  <c r="M1542" i="2"/>
  <c r="L1543" i="2"/>
  <c r="M1543" i="2"/>
  <c r="L1544" i="2"/>
  <c r="M1544" i="2"/>
  <c r="L1545" i="2"/>
  <c r="M1545" i="2"/>
  <c r="L1546" i="2"/>
  <c r="M1546" i="2"/>
  <c r="L1547" i="2"/>
  <c r="M1547" i="2"/>
  <c r="L1548" i="2"/>
  <c r="M1548" i="2"/>
  <c r="L1549" i="2"/>
  <c r="M1549" i="2"/>
  <c r="L1550" i="2"/>
  <c r="M1550" i="2"/>
  <c r="L1551" i="2"/>
  <c r="M1551" i="2"/>
  <c r="L1552" i="2"/>
  <c r="M1552" i="2"/>
  <c r="L1553" i="2"/>
  <c r="M1553" i="2"/>
  <c r="L1554" i="2"/>
  <c r="M1554" i="2"/>
  <c r="L1555" i="2"/>
  <c r="M1555" i="2"/>
  <c r="L1556" i="2"/>
  <c r="M1556" i="2"/>
  <c r="L1557" i="2"/>
  <c r="M1557" i="2"/>
  <c r="L1558" i="2"/>
  <c r="M1558" i="2"/>
  <c r="L1559" i="2"/>
  <c r="M1559" i="2"/>
  <c r="L1560" i="2"/>
  <c r="M1560" i="2"/>
  <c r="L1561" i="2"/>
  <c r="M1561" i="2"/>
  <c r="L1562" i="2"/>
  <c r="M1562" i="2"/>
  <c r="L1563" i="2"/>
  <c r="M1563" i="2"/>
  <c r="L1564" i="2"/>
  <c r="M1564" i="2"/>
  <c r="L1565" i="2"/>
  <c r="M1565" i="2"/>
  <c r="L1566" i="2"/>
  <c r="M1566" i="2"/>
  <c r="L1567" i="2"/>
  <c r="M1567" i="2"/>
  <c r="L1568" i="2"/>
  <c r="M1568" i="2"/>
  <c r="L1569" i="2"/>
  <c r="M1569" i="2"/>
  <c r="L1570" i="2"/>
  <c r="M1570" i="2"/>
  <c r="L1571" i="2"/>
  <c r="M1571" i="2"/>
  <c r="L1572" i="2"/>
  <c r="M1572" i="2"/>
  <c r="L1573" i="2"/>
  <c r="M1573" i="2"/>
  <c r="L1574" i="2"/>
  <c r="M1574" i="2"/>
  <c r="L1575" i="2"/>
  <c r="M1575" i="2"/>
  <c r="L1576" i="2"/>
  <c r="M1576" i="2"/>
  <c r="L1577" i="2"/>
  <c r="M1577" i="2"/>
  <c r="L1578" i="2"/>
  <c r="M1578" i="2"/>
  <c r="L1579" i="2"/>
  <c r="M1579" i="2"/>
  <c r="L1580" i="2"/>
  <c r="M1580" i="2"/>
  <c r="L1581" i="2"/>
  <c r="M1581" i="2"/>
  <c r="L1582" i="2"/>
  <c r="M1582" i="2"/>
  <c r="L1583" i="2"/>
  <c r="M1583" i="2"/>
  <c r="L1584" i="2"/>
  <c r="M1584" i="2"/>
  <c r="L1585" i="2"/>
  <c r="M1585" i="2"/>
  <c r="L1586" i="2"/>
  <c r="M1586" i="2"/>
  <c r="L1587" i="2"/>
  <c r="M1587" i="2"/>
  <c r="L1588" i="2"/>
  <c r="M1588" i="2"/>
  <c r="L1589" i="2"/>
  <c r="M1589" i="2"/>
  <c r="L1590" i="2"/>
  <c r="M1590" i="2"/>
  <c r="L1591" i="2"/>
  <c r="M1591" i="2"/>
  <c r="L1592" i="2"/>
  <c r="M1592" i="2"/>
  <c r="L1593" i="2"/>
  <c r="M1593" i="2"/>
  <c r="L1594" i="2"/>
  <c r="M1594" i="2"/>
  <c r="L1595" i="2"/>
  <c r="M1595" i="2"/>
  <c r="L1596" i="2"/>
  <c r="M1596" i="2"/>
  <c r="L1597" i="2"/>
  <c r="M1597" i="2"/>
  <c r="L1598" i="2"/>
  <c r="M1598" i="2"/>
  <c r="L1599" i="2"/>
  <c r="M1599" i="2"/>
  <c r="L1600" i="2"/>
  <c r="M1600" i="2"/>
  <c r="L1601" i="2"/>
  <c r="M1601" i="2"/>
  <c r="L1602" i="2"/>
  <c r="M1602" i="2"/>
  <c r="L1603" i="2"/>
  <c r="M1603" i="2"/>
  <c r="L1604" i="2"/>
  <c r="M1604" i="2"/>
  <c r="L1605" i="2"/>
  <c r="M1605" i="2"/>
  <c r="L1606" i="2"/>
  <c r="M1606" i="2"/>
  <c r="L1607" i="2"/>
  <c r="M1607" i="2"/>
  <c r="L1608" i="2"/>
  <c r="M1608" i="2"/>
  <c r="L1609" i="2"/>
  <c r="M1609" i="2"/>
  <c r="L1610" i="2"/>
  <c r="M1610" i="2"/>
  <c r="L1611" i="2"/>
  <c r="M1611" i="2"/>
  <c r="L1612" i="2"/>
  <c r="M1612" i="2"/>
  <c r="L1613" i="2"/>
  <c r="M1613" i="2"/>
  <c r="L1614" i="2"/>
  <c r="M1614" i="2"/>
  <c r="L1615" i="2"/>
  <c r="M1615" i="2"/>
  <c r="L1616" i="2"/>
  <c r="M1616" i="2"/>
  <c r="L1617" i="2"/>
  <c r="M1617" i="2"/>
  <c r="L1618" i="2"/>
  <c r="M1618" i="2"/>
  <c r="L1619" i="2"/>
  <c r="M1619" i="2"/>
  <c r="L1620" i="2"/>
  <c r="M1620" i="2"/>
  <c r="L1621" i="2"/>
  <c r="M1621" i="2"/>
  <c r="L1622" i="2"/>
  <c r="M1622" i="2"/>
  <c r="L1623" i="2"/>
  <c r="M1623" i="2"/>
  <c r="L1624" i="2"/>
  <c r="M1624" i="2"/>
  <c r="L1625" i="2"/>
  <c r="M1625" i="2"/>
  <c r="L1626" i="2"/>
  <c r="M1626" i="2"/>
  <c r="L1627" i="2"/>
  <c r="M1627" i="2"/>
  <c r="L1628" i="2"/>
  <c r="M1628" i="2"/>
  <c r="L1629" i="2"/>
  <c r="M1629" i="2"/>
  <c r="L1630" i="2"/>
  <c r="M1630" i="2"/>
  <c r="L1631" i="2"/>
  <c r="M1631" i="2"/>
  <c r="L1632" i="2"/>
  <c r="M1632" i="2"/>
  <c r="L1633" i="2"/>
  <c r="M1633" i="2"/>
  <c r="L1634" i="2"/>
  <c r="M1634" i="2"/>
  <c r="L1635" i="2"/>
  <c r="M1635" i="2"/>
  <c r="L1636" i="2"/>
  <c r="M1636" i="2"/>
  <c r="L1637" i="2"/>
  <c r="M1637" i="2"/>
  <c r="L1638" i="2"/>
  <c r="M1638" i="2"/>
  <c r="L1639" i="2"/>
  <c r="M1639" i="2"/>
  <c r="L1640" i="2"/>
  <c r="M1640" i="2"/>
  <c r="L1641" i="2"/>
  <c r="M1641" i="2"/>
  <c r="L1642" i="2"/>
  <c r="M1642" i="2"/>
  <c r="L1643" i="2"/>
  <c r="M1643" i="2"/>
  <c r="L1644" i="2"/>
  <c r="M1644" i="2"/>
  <c r="L1645" i="2"/>
  <c r="M1645" i="2"/>
  <c r="L1646" i="2"/>
  <c r="M1646" i="2"/>
  <c r="L1647" i="2"/>
  <c r="M1647" i="2"/>
  <c r="L1648" i="2"/>
  <c r="M1648" i="2"/>
  <c r="L1649" i="2"/>
  <c r="M1649" i="2"/>
  <c r="L1650" i="2"/>
  <c r="M1650" i="2"/>
  <c r="L1651" i="2"/>
  <c r="M1651" i="2"/>
  <c r="L1652" i="2"/>
  <c r="M1652" i="2"/>
  <c r="L1653" i="2"/>
  <c r="M1653" i="2"/>
  <c r="L1654" i="2"/>
  <c r="M1654" i="2"/>
  <c r="L1655" i="2"/>
  <c r="M1655" i="2"/>
  <c r="L1656" i="2"/>
  <c r="M1656" i="2"/>
  <c r="L1657" i="2"/>
  <c r="M1657" i="2"/>
  <c r="L1658" i="2"/>
  <c r="M1658" i="2"/>
  <c r="L1659" i="2"/>
  <c r="M1659" i="2"/>
  <c r="L1660" i="2"/>
  <c r="M1660" i="2"/>
  <c r="L1661" i="2"/>
  <c r="M1661" i="2"/>
  <c r="L1662" i="2"/>
  <c r="M1662" i="2"/>
  <c r="L1663" i="2"/>
  <c r="M1663" i="2"/>
  <c r="L1664" i="2"/>
  <c r="M1664" i="2"/>
  <c r="L1665" i="2"/>
  <c r="M1665" i="2"/>
  <c r="L1666" i="2"/>
  <c r="M1666" i="2"/>
  <c r="L1667" i="2"/>
  <c r="M1667" i="2"/>
  <c r="L1668" i="2"/>
  <c r="M1668" i="2"/>
  <c r="L1669" i="2"/>
  <c r="M1669" i="2"/>
  <c r="L1670" i="2"/>
  <c r="M1670" i="2"/>
  <c r="L1671" i="2"/>
  <c r="M1671" i="2"/>
  <c r="L1672" i="2"/>
  <c r="M1672" i="2"/>
  <c r="L1673" i="2"/>
  <c r="M1673" i="2"/>
  <c r="L1674" i="2"/>
  <c r="M1674" i="2"/>
  <c r="L1675" i="2"/>
  <c r="M1675" i="2"/>
  <c r="L1676" i="2"/>
  <c r="M1676" i="2"/>
  <c r="L1677" i="2"/>
  <c r="M1677" i="2"/>
  <c r="L1678" i="2"/>
  <c r="M1678" i="2"/>
  <c r="L1679" i="2"/>
  <c r="M1679" i="2"/>
  <c r="L1680" i="2"/>
  <c r="M1680" i="2"/>
  <c r="L1681" i="2"/>
  <c r="M1681" i="2"/>
  <c r="L1682" i="2"/>
  <c r="M1682" i="2"/>
  <c r="L1683" i="2"/>
  <c r="M1683" i="2"/>
  <c r="L1684" i="2"/>
  <c r="M1684" i="2"/>
  <c r="L1685" i="2"/>
  <c r="M1685" i="2"/>
  <c r="L1686" i="2"/>
  <c r="M1686" i="2"/>
  <c r="L1687" i="2"/>
  <c r="M1687" i="2"/>
  <c r="L1688" i="2"/>
  <c r="M1688" i="2"/>
  <c r="L1689" i="2"/>
  <c r="M1689" i="2"/>
  <c r="L1690" i="2"/>
  <c r="M1690" i="2"/>
  <c r="L1691" i="2"/>
  <c r="M1691" i="2"/>
  <c r="L1692" i="2"/>
  <c r="M1692" i="2"/>
  <c r="L1693" i="2"/>
  <c r="M1693" i="2"/>
  <c r="L1694" i="2"/>
  <c r="M1694" i="2"/>
  <c r="L1695" i="2"/>
  <c r="M1695" i="2"/>
  <c r="L1696" i="2"/>
  <c r="M1696" i="2"/>
  <c r="L1697" i="2"/>
  <c r="M1697" i="2"/>
  <c r="L1698" i="2"/>
  <c r="M1698" i="2"/>
  <c r="L1699" i="2"/>
  <c r="M1699" i="2"/>
  <c r="L1700" i="2"/>
  <c r="M1700" i="2"/>
  <c r="L1701" i="2"/>
  <c r="M1701" i="2"/>
  <c r="L1702" i="2"/>
  <c r="M1702" i="2"/>
  <c r="L1703" i="2"/>
  <c r="M1703" i="2"/>
  <c r="L1704" i="2"/>
  <c r="M1704" i="2"/>
  <c r="L1705" i="2"/>
  <c r="M1705" i="2"/>
  <c r="L1706" i="2"/>
  <c r="M1706" i="2"/>
  <c r="L1707" i="2"/>
  <c r="M1707" i="2"/>
  <c r="L1708" i="2"/>
  <c r="M1708" i="2"/>
  <c r="L1709" i="2"/>
  <c r="M1709" i="2"/>
  <c r="L1710" i="2"/>
  <c r="M1710" i="2"/>
  <c r="L1711" i="2"/>
  <c r="M1711" i="2"/>
  <c r="L1712" i="2"/>
  <c r="M1712" i="2"/>
  <c r="L1713" i="2"/>
  <c r="M1713" i="2"/>
  <c r="L1714" i="2"/>
  <c r="M1714" i="2"/>
  <c r="L1715" i="2"/>
  <c r="M1715" i="2"/>
  <c r="L1716" i="2"/>
  <c r="M1716" i="2"/>
  <c r="L1717" i="2"/>
  <c r="M1717" i="2"/>
  <c r="L1718" i="2"/>
  <c r="M1718" i="2"/>
  <c r="L1719" i="2"/>
  <c r="M1719" i="2"/>
  <c r="L1720" i="2"/>
  <c r="M1720" i="2"/>
  <c r="L1721" i="2"/>
  <c r="M1721" i="2"/>
  <c r="L1722" i="2"/>
  <c r="M1722" i="2"/>
  <c r="L1723" i="2"/>
  <c r="M1723" i="2"/>
  <c r="L1724" i="2"/>
  <c r="M1724" i="2"/>
  <c r="L1725" i="2"/>
  <c r="M1725" i="2"/>
  <c r="L1726" i="2"/>
  <c r="M1726" i="2"/>
  <c r="L1727" i="2"/>
  <c r="M1727" i="2"/>
  <c r="L1728" i="2"/>
  <c r="M1728" i="2"/>
  <c r="L1729" i="2"/>
  <c r="M1729" i="2"/>
  <c r="L1730" i="2"/>
  <c r="M1730" i="2"/>
  <c r="L1731" i="2"/>
  <c r="M1731" i="2"/>
  <c r="L1732" i="2"/>
  <c r="M1732" i="2"/>
  <c r="L1733" i="2"/>
  <c r="M1733" i="2"/>
  <c r="L1734" i="2"/>
  <c r="M1734" i="2"/>
  <c r="L1735" i="2"/>
  <c r="M1735" i="2"/>
  <c r="L1736" i="2"/>
  <c r="M1736" i="2"/>
  <c r="L1737" i="2"/>
  <c r="M1737" i="2"/>
  <c r="L1738" i="2"/>
  <c r="M1738" i="2"/>
  <c r="L1739" i="2"/>
  <c r="M1739" i="2"/>
  <c r="L1740" i="2"/>
  <c r="M1740" i="2"/>
  <c r="L1741" i="2"/>
  <c r="M1741" i="2"/>
  <c r="L1742" i="2"/>
  <c r="M1742" i="2"/>
  <c r="L1743" i="2"/>
  <c r="M1743" i="2"/>
  <c r="L1744" i="2"/>
  <c r="M1744" i="2"/>
  <c r="L1745" i="2"/>
  <c r="M1745" i="2"/>
  <c r="L1746" i="2"/>
  <c r="M1746" i="2"/>
  <c r="L1747" i="2"/>
  <c r="M1747" i="2"/>
  <c r="L1748" i="2"/>
  <c r="M1748" i="2"/>
  <c r="L1749" i="2"/>
  <c r="M1749" i="2"/>
  <c r="L1750" i="2"/>
  <c r="M1750" i="2"/>
  <c r="L1751" i="2"/>
  <c r="M1751" i="2"/>
  <c r="L1752" i="2"/>
  <c r="M1752" i="2"/>
  <c r="L1753" i="2"/>
  <c r="M1753" i="2"/>
  <c r="L1754" i="2"/>
  <c r="M1754" i="2"/>
  <c r="L1755" i="2"/>
  <c r="M1755" i="2"/>
  <c r="L1756" i="2"/>
  <c r="M1756" i="2"/>
  <c r="L1757" i="2"/>
  <c r="M1757" i="2"/>
  <c r="L1758" i="2"/>
  <c r="M1758" i="2"/>
  <c r="L1759" i="2"/>
  <c r="M1759" i="2"/>
  <c r="L1760" i="2"/>
  <c r="M1760" i="2"/>
  <c r="L1761" i="2"/>
  <c r="M1761" i="2"/>
  <c r="L1762" i="2"/>
  <c r="M1762" i="2"/>
  <c r="L1763" i="2"/>
  <c r="M1763" i="2"/>
  <c r="L1764" i="2"/>
  <c r="M1764" i="2"/>
  <c r="L1765" i="2"/>
  <c r="M1765" i="2"/>
  <c r="L1766" i="2"/>
  <c r="M1766" i="2"/>
  <c r="L1767" i="2"/>
  <c r="M1767" i="2"/>
  <c r="L1768" i="2"/>
  <c r="M1768" i="2"/>
  <c r="L1769" i="2"/>
  <c r="M1769" i="2"/>
  <c r="L1770" i="2"/>
  <c r="M1770" i="2"/>
  <c r="L1771" i="2"/>
  <c r="M1771" i="2"/>
  <c r="L1772" i="2"/>
  <c r="M1772" i="2"/>
  <c r="L1773" i="2"/>
  <c r="M1773" i="2"/>
  <c r="L1774" i="2"/>
  <c r="M1774" i="2"/>
  <c r="L1775" i="2"/>
  <c r="M1775" i="2"/>
  <c r="L1776" i="2"/>
  <c r="M1776" i="2"/>
  <c r="L1777" i="2"/>
  <c r="M1777" i="2"/>
  <c r="L1778" i="2"/>
  <c r="M1778" i="2"/>
  <c r="L1779" i="2"/>
  <c r="M1779" i="2"/>
  <c r="L1780" i="2"/>
  <c r="M1780" i="2"/>
  <c r="L1781" i="2"/>
  <c r="M1781" i="2"/>
  <c r="L1782" i="2"/>
  <c r="M1782" i="2"/>
  <c r="L1783" i="2"/>
  <c r="M1783" i="2"/>
  <c r="L1784" i="2"/>
  <c r="M1784" i="2"/>
  <c r="L1785" i="2"/>
  <c r="M1785" i="2"/>
  <c r="L1786" i="2"/>
  <c r="M1786" i="2"/>
  <c r="L1787" i="2"/>
  <c r="M1787" i="2"/>
  <c r="L1788" i="2"/>
  <c r="M1788" i="2"/>
  <c r="L1789" i="2"/>
  <c r="M1789" i="2"/>
  <c r="L1790" i="2"/>
  <c r="M1790" i="2"/>
  <c r="L1791" i="2"/>
  <c r="M1791" i="2"/>
  <c r="L1792" i="2"/>
  <c r="M1792" i="2"/>
  <c r="L1793" i="2"/>
  <c r="M1793" i="2"/>
  <c r="L1794" i="2"/>
  <c r="M1794" i="2"/>
  <c r="L1795" i="2"/>
  <c r="M1795" i="2"/>
  <c r="L1796" i="2"/>
  <c r="M1796" i="2"/>
  <c r="L1797" i="2"/>
  <c r="M1797" i="2"/>
  <c r="L1798" i="2"/>
  <c r="M1798" i="2"/>
  <c r="L1799" i="2"/>
  <c r="M1799" i="2"/>
  <c r="L1800" i="2"/>
  <c r="M1800" i="2"/>
  <c r="L1801" i="2"/>
  <c r="M1801" i="2"/>
  <c r="L1802" i="2"/>
  <c r="M1802" i="2"/>
  <c r="L1803" i="2"/>
  <c r="M1803" i="2"/>
  <c r="L1804" i="2"/>
  <c r="M1804" i="2"/>
  <c r="L1805" i="2"/>
  <c r="M1805" i="2"/>
  <c r="L1806" i="2"/>
  <c r="M1806" i="2"/>
  <c r="L1807" i="2"/>
  <c r="M1807" i="2"/>
  <c r="L1808" i="2"/>
  <c r="M1808" i="2"/>
  <c r="L1809" i="2"/>
  <c r="M1809" i="2"/>
  <c r="L1810" i="2"/>
  <c r="M1810" i="2"/>
  <c r="L1811" i="2"/>
  <c r="M1811" i="2"/>
  <c r="L1812" i="2"/>
  <c r="M1812" i="2"/>
  <c r="L1813" i="2"/>
  <c r="M1813" i="2"/>
  <c r="L1814" i="2"/>
  <c r="M1814" i="2"/>
  <c r="L1815" i="2"/>
  <c r="M1815" i="2"/>
  <c r="L1816" i="2"/>
  <c r="M1816" i="2"/>
  <c r="L1817" i="2"/>
  <c r="M1817" i="2"/>
  <c r="L1818" i="2"/>
  <c r="M1818" i="2"/>
  <c r="L1819" i="2"/>
  <c r="M1819" i="2"/>
  <c r="A1512" i="3"/>
  <c r="M23" i="2"/>
  <c r="L23" i="2"/>
  <c r="M24" i="2"/>
  <c r="L24" i="2"/>
  <c r="M25" i="2"/>
  <c r="L25" i="2"/>
  <c r="M26" i="2"/>
  <c r="L26" i="2"/>
  <c r="M27" i="2"/>
  <c r="L27" i="2"/>
  <c r="M28" i="2"/>
  <c r="L28" i="2"/>
  <c r="L29" i="2"/>
  <c r="M29" i="2"/>
  <c r="M30" i="2"/>
  <c r="L30" i="2"/>
  <c r="M31" i="2"/>
  <c r="L31" i="2"/>
  <c r="M32" i="2"/>
  <c r="L32" i="2"/>
  <c r="M33" i="2"/>
  <c r="L33" i="2"/>
  <c r="M34" i="2"/>
  <c r="L34" i="2"/>
  <c r="M35" i="2"/>
  <c r="L35" i="2"/>
  <c r="M36" i="2"/>
  <c r="L36" i="2"/>
  <c r="L37" i="2"/>
  <c r="M37" i="2"/>
  <c r="M38" i="2"/>
  <c r="L38" i="2"/>
  <c r="M39" i="2"/>
  <c r="L39" i="2"/>
  <c r="M40" i="2"/>
  <c r="L40" i="2"/>
  <c r="M41" i="2"/>
  <c r="L41" i="2"/>
  <c r="M42" i="2"/>
  <c r="L42" i="2"/>
  <c r="M43" i="2"/>
  <c r="L43" i="2"/>
  <c r="M44" i="2"/>
  <c r="L44" i="2"/>
  <c r="L45" i="2"/>
  <c r="M45" i="2"/>
  <c r="M46" i="2"/>
  <c r="L46" i="2"/>
  <c r="M47" i="2"/>
  <c r="L47" i="2"/>
  <c r="M48" i="2"/>
  <c r="L48" i="2"/>
  <c r="M49" i="2"/>
  <c r="L49" i="2"/>
  <c r="M50" i="2"/>
  <c r="L50" i="2"/>
  <c r="M51" i="2"/>
  <c r="L51" i="2"/>
  <c r="L52" i="2"/>
  <c r="M52" i="2"/>
  <c r="L53" i="2"/>
  <c r="M53" i="2"/>
  <c r="M54" i="2"/>
  <c r="L54" i="2"/>
  <c r="M55" i="2"/>
  <c r="L55" i="2"/>
  <c r="M56" i="2"/>
  <c r="L56" i="2"/>
  <c r="M57" i="2"/>
  <c r="L57" i="2"/>
  <c r="M58" i="2"/>
  <c r="L58" i="2"/>
  <c r="M59" i="2"/>
  <c r="L59" i="2"/>
  <c r="M60" i="2"/>
  <c r="L60" i="2"/>
  <c r="L61" i="2"/>
  <c r="M61" i="2"/>
  <c r="M62" i="2"/>
  <c r="L62" i="2"/>
  <c r="M63" i="2"/>
  <c r="L63" i="2"/>
  <c r="M64" i="2"/>
  <c r="L64" i="2"/>
  <c r="M65" i="2"/>
  <c r="L65" i="2"/>
  <c r="M66" i="2"/>
  <c r="L66" i="2"/>
  <c r="M67" i="2"/>
  <c r="L67" i="2"/>
  <c r="M68" i="2"/>
  <c r="L68" i="2"/>
  <c r="L69" i="2"/>
  <c r="M69" i="2"/>
  <c r="M70" i="2"/>
  <c r="L70" i="2"/>
  <c r="M71" i="2"/>
  <c r="L71" i="2"/>
  <c r="M72" i="2"/>
  <c r="L72" i="2"/>
  <c r="M73" i="2"/>
  <c r="L73" i="2"/>
  <c r="M74" i="2"/>
  <c r="L74" i="2"/>
  <c r="M75" i="2"/>
  <c r="L75" i="2"/>
  <c r="M76" i="2"/>
  <c r="L76" i="2"/>
  <c r="L77" i="2"/>
  <c r="M77" i="2"/>
  <c r="M78" i="2"/>
  <c r="L78" i="2"/>
  <c r="M79" i="2"/>
  <c r="L79" i="2"/>
  <c r="M80" i="2"/>
  <c r="L80" i="2"/>
  <c r="M81" i="2"/>
  <c r="L81" i="2"/>
  <c r="M82" i="2"/>
  <c r="L82" i="2"/>
  <c r="M83" i="2"/>
  <c r="L83" i="2"/>
  <c r="L84" i="2"/>
  <c r="M84" i="2"/>
  <c r="L85" i="2"/>
  <c r="M85" i="2"/>
  <c r="M86" i="2"/>
  <c r="L86" i="2"/>
  <c r="M87" i="2"/>
  <c r="L87" i="2"/>
  <c r="M88" i="2"/>
  <c r="L88" i="2"/>
  <c r="M89" i="2"/>
  <c r="L89" i="2"/>
  <c r="M90" i="2"/>
  <c r="L90" i="2"/>
  <c r="M91" i="2"/>
  <c r="L91" i="2"/>
  <c r="M92" i="2"/>
  <c r="L92" i="2"/>
  <c r="L93" i="2"/>
  <c r="M93" i="2"/>
  <c r="M94" i="2"/>
  <c r="L94" i="2"/>
  <c r="M95" i="2"/>
  <c r="L95" i="2"/>
  <c r="M96" i="2"/>
  <c r="L96" i="2"/>
  <c r="M97" i="2"/>
  <c r="L97" i="2"/>
  <c r="M98" i="2"/>
  <c r="L98" i="2"/>
  <c r="M99" i="2"/>
  <c r="L99" i="2"/>
  <c r="M100" i="2"/>
  <c r="L100" i="2"/>
  <c r="L101" i="2"/>
  <c r="M101" i="2"/>
  <c r="M102" i="2"/>
  <c r="L102" i="2"/>
  <c r="M103" i="2"/>
  <c r="L103" i="2"/>
  <c r="M104" i="2"/>
  <c r="L104" i="2"/>
  <c r="M105" i="2"/>
  <c r="L105" i="2"/>
  <c r="M106" i="2"/>
  <c r="L106" i="2"/>
  <c r="M107" i="2"/>
  <c r="L107" i="2"/>
  <c r="M108" i="2"/>
  <c r="L108" i="2"/>
  <c r="L109" i="2"/>
  <c r="M109" i="2"/>
  <c r="M110" i="2"/>
  <c r="L110" i="2"/>
  <c r="M111" i="2"/>
  <c r="L111" i="2"/>
  <c r="M112" i="2"/>
  <c r="L112" i="2"/>
  <c r="M113" i="2"/>
  <c r="L113" i="2"/>
  <c r="M114" i="2"/>
  <c r="L114" i="2"/>
  <c r="M115" i="2"/>
  <c r="L115" i="2"/>
  <c r="M116" i="2"/>
  <c r="L116" i="2"/>
  <c r="L117" i="2"/>
  <c r="M117" i="2"/>
  <c r="M118" i="2"/>
  <c r="L118" i="2"/>
  <c r="M119" i="2"/>
  <c r="L119" i="2"/>
  <c r="M120" i="2"/>
  <c r="L120" i="2"/>
  <c r="M121" i="2"/>
  <c r="L121" i="2"/>
  <c r="M122" i="2"/>
  <c r="L122" i="2"/>
  <c r="M123" i="2"/>
  <c r="L123" i="2"/>
  <c r="M124" i="2"/>
  <c r="L124" i="2"/>
  <c r="L125" i="2"/>
  <c r="M125" i="2"/>
  <c r="M126" i="2"/>
  <c r="L126" i="2"/>
  <c r="M127" i="2"/>
  <c r="L127" i="2"/>
  <c r="M128" i="2"/>
  <c r="L128" i="2"/>
  <c r="M129" i="2"/>
  <c r="L129" i="2"/>
  <c r="M130" i="2"/>
  <c r="L130" i="2"/>
  <c r="M131" i="2"/>
  <c r="L131" i="2"/>
  <c r="M132" i="2"/>
  <c r="L132" i="2"/>
  <c r="L133" i="2"/>
  <c r="M133" i="2"/>
  <c r="M134" i="2"/>
  <c r="L134" i="2"/>
  <c r="M135" i="2"/>
  <c r="L135" i="2"/>
  <c r="M136" i="2"/>
  <c r="L136" i="2"/>
  <c r="M137" i="2"/>
  <c r="L137" i="2"/>
  <c r="M138" i="2"/>
  <c r="L138" i="2"/>
  <c r="M139" i="2"/>
  <c r="L139" i="2"/>
  <c r="M140" i="2"/>
  <c r="L140" i="2"/>
  <c r="L141" i="2"/>
  <c r="M141" i="2"/>
  <c r="M142" i="2"/>
  <c r="L142" i="2"/>
  <c r="M143" i="2"/>
  <c r="L143" i="2"/>
  <c r="M144" i="2"/>
  <c r="L144" i="2"/>
  <c r="M145" i="2"/>
  <c r="L145" i="2"/>
  <c r="M146" i="2"/>
  <c r="L146" i="2"/>
  <c r="M147" i="2"/>
  <c r="L147" i="2"/>
  <c r="L148" i="2"/>
  <c r="M148" i="2"/>
  <c r="L149" i="2"/>
  <c r="M149" i="2"/>
  <c r="M150" i="2"/>
  <c r="L150" i="2"/>
  <c r="M151" i="2"/>
  <c r="L151" i="2"/>
  <c r="M152" i="2"/>
  <c r="L152" i="2"/>
  <c r="M153" i="2"/>
  <c r="L153" i="2"/>
  <c r="M154" i="2"/>
  <c r="L154" i="2"/>
  <c r="M155" i="2"/>
  <c r="L155" i="2"/>
  <c r="M156" i="2"/>
  <c r="L156" i="2"/>
  <c r="L157" i="2"/>
  <c r="M157" i="2"/>
  <c r="M158" i="2"/>
  <c r="L158" i="2"/>
  <c r="M159" i="2"/>
  <c r="L159" i="2"/>
  <c r="M160" i="2"/>
  <c r="L160" i="2"/>
  <c r="M161" i="2"/>
  <c r="L161" i="2"/>
  <c r="M162" i="2"/>
  <c r="L162" i="2"/>
  <c r="M163" i="2"/>
  <c r="L163" i="2"/>
  <c r="M164" i="2"/>
  <c r="L164" i="2"/>
  <c r="L165" i="2"/>
  <c r="M165" i="2"/>
  <c r="M166" i="2"/>
  <c r="L166" i="2"/>
  <c r="M167" i="2"/>
  <c r="L167" i="2"/>
  <c r="M168" i="2"/>
  <c r="L168" i="2"/>
  <c r="M169" i="2"/>
  <c r="L169" i="2"/>
  <c r="M170" i="2"/>
  <c r="L170" i="2"/>
  <c r="M171" i="2"/>
  <c r="L171" i="2"/>
  <c r="M172" i="2"/>
  <c r="L172" i="2"/>
  <c r="L173" i="2"/>
  <c r="M173" i="2"/>
  <c r="M174" i="2"/>
  <c r="L174" i="2"/>
  <c r="M175" i="2"/>
  <c r="L175" i="2"/>
  <c r="M176" i="2"/>
  <c r="L176" i="2"/>
  <c r="M177" i="2"/>
  <c r="L177" i="2"/>
  <c r="M178" i="2"/>
  <c r="L178" i="2"/>
  <c r="M179" i="2"/>
  <c r="L179" i="2"/>
  <c r="L180" i="2"/>
  <c r="M180" i="2"/>
  <c r="L181" i="2"/>
  <c r="M181" i="2"/>
  <c r="M182" i="2"/>
  <c r="L182" i="2"/>
  <c r="M183" i="2"/>
  <c r="L183" i="2"/>
  <c r="M184" i="2"/>
  <c r="L184" i="2"/>
  <c r="M185" i="2"/>
  <c r="L185" i="2"/>
  <c r="M186" i="2"/>
  <c r="L186" i="2"/>
  <c r="M187" i="2"/>
  <c r="L187" i="2"/>
  <c r="M188" i="2"/>
  <c r="L188" i="2"/>
  <c r="L189" i="2"/>
  <c r="M189" i="2"/>
  <c r="M190" i="2"/>
  <c r="L190" i="2"/>
  <c r="M191" i="2"/>
  <c r="L191" i="2"/>
  <c r="M192" i="2"/>
  <c r="L192" i="2"/>
  <c r="M193" i="2"/>
  <c r="L193" i="2"/>
  <c r="M194" i="2"/>
  <c r="L194" i="2"/>
  <c r="M195" i="2"/>
  <c r="L195" i="2"/>
  <c r="M196" i="2"/>
  <c r="L196" i="2"/>
  <c r="L197" i="2"/>
  <c r="M197" i="2"/>
  <c r="M198" i="2"/>
  <c r="L198" i="2"/>
  <c r="M199" i="2"/>
  <c r="L199" i="2"/>
  <c r="M200" i="2"/>
  <c r="L200" i="2"/>
  <c r="M201" i="2"/>
  <c r="L201" i="2"/>
  <c r="M202" i="2"/>
  <c r="L202" i="2"/>
  <c r="M203" i="2"/>
  <c r="L203" i="2"/>
  <c r="M204" i="2"/>
  <c r="L204" i="2"/>
  <c r="L205" i="2"/>
  <c r="M205" i="2"/>
  <c r="M206" i="2"/>
  <c r="L206" i="2"/>
  <c r="M207" i="2"/>
  <c r="L207" i="2"/>
  <c r="M208" i="2"/>
  <c r="L208" i="2"/>
  <c r="M209" i="2"/>
  <c r="L209" i="2"/>
  <c r="M210" i="2"/>
  <c r="L210" i="2"/>
  <c r="M211" i="2"/>
  <c r="L211" i="2"/>
  <c r="L212" i="2"/>
  <c r="M212" i="2"/>
  <c r="L213" i="2"/>
  <c r="M213" i="2"/>
  <c r="M214" i="2"/>
  <c r="L214" i="2"/>
  <c r="M215" i="2"/>
  <c r="L215" i="2"/>
  <c r="M216" i="2"/>
  <c r="L216" i="2"/>
  <c r="M217" i="2"/>
  <c r="L217" i="2"/>
  <c r="M218" i="2"/>
  <c r="L218" i="2"/>
  <c r="M219" i="2"/>
  <c r="L219" i="2"/>
  <c r="M220" i="2"/>
  <c r="L220" i="2"/>
  <c r="L221" i="2"/>
  <c r="M221" i="2"/>
  <c r="M222" i="2"/>
  <c r="L222" i="2"/>
  <c r="M223" i="2"/>
  <c r="L223" i="2"/>
  <c r="M224" i="2"/>
  <c r="L224" i="2"/>
  <c r="M225" i="2"/>
  <c r="L225" i="2"/>
  <c r="M226" i="2"/>
  <c r="L226" i="2"/>
  <c r="M227" i="2"/>
  <c r="L227" i="2"/>
  <c r="M228" i="2"/>
  <c r="L228" i="2"/>
  <c r="L229" i="2"/>
  <c r="M229" i="2"/>
  <c r="M230" i="2"/>
  <c r="L230" i="2"/>
  <c r="M231" i="2"/>
  <c r="L231" i="2"/>
  <c r="M232" i="2"/>
  <c r="L232" i="2"/>
  <c r="M233" i="2"/>
  <c r="L233" i="2"/>
  <c r="M234" i="2"/>
  <c r="L234" i="2"/>
  <c r="M235" i="2"/>
  <c r="L235" i="2"/>
  <c r="M236" i="2"/>
  <c r="L236" i="2"/>
  <c r="L237" i="2"/>
  <c r="M237" i="2"/>
  <c r="M238" i="2"/>
  <c r="L238" i="2"/>
  <c r="M239" i="2"/>
  <c r="L239" i="2"/>
  <c r="M240" i="2"/>
  <c r="L240" i="2"/>
  <c r="M241" i="2"/>
  <c r="L241" i="2"/>
  <c r="M242" i="2"/>
  <c r="L242" i="2"/>
  <c r="M243" i="2"/>
  <c r="L243" i="2"/>
  <c r="L244" i="2"/>
  <c r="M244" i="2"/>
  <c r="L245" i="2"/>
  <c r="M245" i="2"/>
  <c r="M246" i="2"/>
  <c r="L246" i="2"/>
  <c r="M247" i="2"/>
  <c r="L247" i="2"/>
  <c r="M248" i="2"/>
  <c r="L248" i="2"/>
  <c r="M249" i="2"/>
  <c r="L249" i="2"/>
  <c r="M250" i="2"/>
  <c r="L250" i="2"/>
  <c r="M251" i="2"/>
  <c r="L251" i="2"/>
  <c r="M252" i="2"/>
  <c r="L252" i="2"/>
  <c r="L253" i="2"/>
  <c r="M253" i="2"/>
  <c r="M254" i="2"/>
  <c r="L254" i="2"/>
  <c r="M255" i="2"/>
  <c r="L255" i="2"/>
  <c r="M256" i="2"/>
  <c r="L256" i="2"/>
  <c r="M257" i="2"/>
  <c r="L257" i="2"/>
  <c r="M258" i="2"/>
  <c r="L258" i="2"/>
  <c r="M259" i="2"/>
  <c r="L259" i="2"/>
  <c r="M260" i="2"/>
  <c r="L260" i="2"/>
  <c r="L261" i="2"/>
  <c r="M261" i="2"/>
  <c r="M262" i="2"/>
  <c r="L262" i="2"/>
  <c r="M263" i="2"/>
  <c r="L263" i="2"/>
  <c r="M264" i="2"/>
  <c r="L264" i="2"/>
  <c r="M265" i="2"/>
  <c r="L265" i="2"/>
  <c r="M266" i="2"/>
  <c r="L266" i="2"/>
  <c r="M267" i="2"/>
  <c r="L267" i="2"/>
  <c r="M268" i="2"/>
  <c r="L268" i="2"/>
  <c r="L269" i="2"/>
  <c r="M269" i="2"/>
  <c r="M270" i="2"/>
  <c r="L270" i="2"/>
  <c r="M271" i="2"/>
  <c r="L271" i="2"/>
  <c r="M272" i="2"/>
  <c r="L272" i="2"/>
  <c r="M273" i="2"/>
  <c r="L273" i="2"/>
  <c r="M274" i="2"/>
  <c r="L274" i="2"/>
  <c r="M275" i="2"/>
  <c r="L275" i="2"/>
  <c r="L276" i="2"/>
  <c r="M276" i="2"/>
  <c r="L277" i="2"/>
  <c r="M277" i="2"/>
  <c r="M278" i="2"/>
  <c r="L278" i="2"/>
  <c r="M279" i="2"/>
  <c r="L279" i="2"/>
  <c r="M280" i="2"/>
  <c r="L280" i="2"/>
  <c r="M281" i="2"/>
  <c r="L281" i="2"/>
  <c r="M282" i="2"/>
  <c r="L282" i="2"/>
  <c r="M283" i="2"/>
  <c r="L283" i="2"/>
  <c r="M284" i="2"/>
  <c r="L284" i="2"/>
  <c r="L285" i="2"/>
  <c r="M285" i="2"/>
  <c r="M286" i="2"/>
  <c r="L286" i="2"/>
  <c r="M287" i="2"/>
  <c r="L287" i="2"/>
  <c r="M288" i="2"/>
  <c r="L288" i="2"/>
  <c r="M289" i="2"/>
  <c r="L289" i="2"/>
  <c r="M290" i="2"/>
  <c r="L290" i="2"/>
  <c r="M291" i="2"/>
  <c r="L291" i="2"/>
  <c r="M292" i="2"/>
  <c r="L292" i="2"/>
  <c r="L293" i="2"/>
  <c r="M293" i="2"/>
  <c r="M294" i="2"/>
  <c r="L294" i="2"/>
  <c r="M295" i="2"/>
  <c r="L295" i="2"/>
  <c r="M296" i="2"/>
  <c r="L296" i="2"/>
  <c r="M297" i="2"/>
  <c r="L297" i="2"/>
  <c r="M298" i="2"/>
  <c r="L298" i="2"/>
  <c r="M299" i="2"/>
  <c r="L299" i="2"/>
  <c r="M300" i="2"/>
  <c r="L300" i="2"/>
  <c r="L301" i="2"/>
  <c r="M301" i="2"/>
  <c r="M302" i="2"/>
  <c r="L302" i="2"/>
  <c r="M303" i="2"/>
  <c r="L303" i="2"/>
  <c r="M304" i="2"/>
  <c r="L304" i="2"/>
  <c r="M305" i="2"/>
  <c r="L305" i="2"/>
  <c r="M306" i="2"/>
  <c r="L306" i="2"/>
  <c r="M307" i="2"/>
  <c r="L307" i="2"/>
  <c r="L308" i="2"/>
  <c r="M308" i="2"/>
  <c r="L309" i="2"/>
  <c r="M309" i="2"/>
  <c r="M310" i="2"/>
  <c r="L310" i="2"/>
  <c r="M311" i="2"/>
  <c r="L311" i="2"/>
  <c r="M312" i="2"/>
  <c r="L312" i="2"/>
  <c r="M313" i="2"/>
  <c r="L313" i="2"/>
  <c r="M314" i="2"/>
  <c r="L314" i="2"/>
  <c r="M315" i="2"/>
  <c r="L315" i="2"/>
  <c r="M316" i="2"/>
  <c r="L316" i="2"/>
  <c r="L317" i="2"/>
  <c r="M317" i="2"/>
  <c r="M318" i="2"/>
  <c r="L318" i="2"/>
  <c r="M319" i="2"/>
  <c r="L319" i="2"/>
  <c r="M320" i="2"/>
  <c r="L320" i="2"/>
  <c r="M321" i="2"/>
  <c r="L321" i="2"/>
  <c r="M322" i="2"/>
  <c r="L322" i="2"/>
  <c r="M323" i="2"/>
  <c r="L323" i="2"/>
  <c r="R11" i="2"/>
  <c r="T11" i="2"/>
  <c r="L11" i="2"/>
  <c r="K11" i="2"/>
  <c r="J11" i="2"/>
  <c r="M11" i="2"/>
  <c r="Q11" i="2"/>
  <c r="S11" i="2"/>
  <c r="N11" i="2"/>
  <c r="O11" i="2"/>
  <c r="P11" i="2"/>
</calcChain>
</file>

<file path=xl/sharedStrings.xml><?xml version="1.0" encoding="utf-8"?>
<sst xmlns="http://schemas.openxmlformats.org/spreadsheetml/2006/main" count="102" uniqueCount="58">
  <si>
    <t>Arrival Rate</t>
  </si>
  <si>
    <t>Voters Per Hour</t>
  </si>
  <si>
    <t>Maximum Line Length</t>
  </si>
  <si>
    <t>Balking Rate</t>
  </si>
  <si>
    <t>Minutes per Voter</t>
  </si>
  <si>
    <t>Number</t>
  </si>
  <si>
    <t>Average Wait Time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</si>
  <si>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</si>
  <si>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</si>
  <si>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</si>
  <si>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</si>
  <si>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</si>
  <si>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</si>
  <si>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</si>
  <si>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</si>
  <si>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</si>
  <si>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</si>
  <si>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Overall Alert</t>
  </si>
  <si>
    <t>System is Stable</t>
  </si>
  <si>
    <t>None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</si>
  <si>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</si>
  <si>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</si>
  <si>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</si>
  <si>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</si>
  <si>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</si>
  <si>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</si>
  <si>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</si>
  <si>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</si>
  <si>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</si>
  <si>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</si>
  <si>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</si>
  <si>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</si>
  <si>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</si>
  <si>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</si>
  <si>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</si>
  <si>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</si>
  <si>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</si>
  <si>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</si>
  <si>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</si>
  <si>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</si>
  <si>
    <t>Less Than Target Wait Flag</t>
  </si>
  <si>
    <t>Target Wait Time</t>
  </si>
  <si>
    <t>Room Capacity</t>
  </si>
  <si>
    <t>Voter Processing Points</t>
  </si>
  <si>
    <t>Number of Voters</t>
  </si>
  <si>
    <t>Expected Total Queue Length</t>
  </si>
  <si>
    <t>Chance Voter Waits Longer than Target Time</t>
  </si>
  <si>
    <t>Scaled Exponent Buildup Calculation</t>
  </si>
  <si>
    <t>Calculate Outputs</t>
  </si>
  <si>
    <t>Percent of Time Room is Full</t>
  </si>
  <si>
    <t>Non-Voters In Room</t>
  </si>
  <si>
    <t>Expected Outside Line Length Given Full Waiting Room</t>
  </si>
  <si>
    <t>Outside Line Length At Target Wait Time</t>
  </si>
  <si>
    <t>Number of Voters Served Simultaneously</t>
  </si>
  <si>
    <t>Enter Number of Polling Places</t>
  </si>
  <si>
    <t>Polling Place</t>
  </si>
  <si>
    <t>Number of check in stations</t>
  </si>
  <si>
    <t>Average time to check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</si>
</sst>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4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5" fontId="0" fillId="0" borderId="0" xfId="0" applyNumberForma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7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6" fillId="2" borderId="0" xfId="0" applyFont="1" applyFill="1" applyAlignment="1">
      <alignment horizontal="centerContinuous"/>
    </xf>
    <xf numFmtId="0" fontId="6" fillId="5" borderId="0" xfId="0" applyFont="1" applyFill="1" applyAlignment="1">
      <alignment horizontal="centerContinuous"/>
    </xf>
    <xf numFmtId="0" fontId="0" fillId="0" borderId="0" xfId="0" applyBorder="1"/>
    <xf numFmtId="2" fontId="6" fillId="2" borderId="0" xfId="0" applyNumberFormat="1" applyFont="1" applyFill="1" applyBorder="1" applyAlignment="1">
      <alignment horizontal="centerContinuous"/>
    </xf>
    <xf numFmtId="0" fontId="6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6" fillId="3" borderId="0" xfId="0" applyFont="1" applyFill="1" applyBorder="1" applyAlignment="1">
      <alignment horizontal="centerContinuous"/>
    </xf>
    <xf numFmtId="0" fontId="8" fillId="0" borderId="0" xfId="0" applyFont="1" applyFill="1" applyBorder="1" applyAlignment="1">
      <alignment horizontal="centerContinuous"/>
    </xf>
    <xf numFmtId="0" fontId="8" fillId="0" borderId="0" xfId="0" applyFont="1" applyBorder="1" applyAlignment="1">
      <alignment horizontal="centerContinuous"/>
    </xf>
    <xf numFmtId="164" fontId="8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7" fillId="0" borderId="0" xfId="0" applyFont="1" applyFill="1" applyAlignment="1">
      <alignment horizontal="centerContinuous"/>
    </xf>
    <xf numFmtId="2" fontId="7" fillId="0" borderId="0" xfId="0" applyNumberFormat="1" applyFont="1" applyFill="1" applyAlignment="1">
      <alignment horizontal="centerContinuous"/>
    </xf>
    <xf numFmtId="164" fontId="7" fillId="0" borderId="0" xfId="0" applyNumberFormat="1" applyFont="1" applyAlignment="1">
      <alignment horizontal="centerContinuous"/>
    </xf>
    <xf numFmtId="2" fontId="9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  <xf numFmtId="0" fontId="10" fillId="0" borderId="0" xfId="0" applyFont="1"/>
    <xf numFmtId="0" fontId="6" fillId="4" borderId="0" xfId="0" applyFont="1" applyFill="1"/>
  </cellXfs>
  <cellStyles count="1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25400</xdr:rowOff>
        </xdr:from>
        <xdr:to>
          <xdr:col>3</xdr:col>
          <xdr:colOff>762000</xdr:colOff>
          <xdr:row>10</xdr:row>
          <xdr:rowOff>0</xdr:rowOff>
        </xdr:to>
        <xdr:sp macro="" textlink="">
          <xdr:nvSpPr>
            <xdr:cNvPr id="2051" name="Calculate Outputs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Outputs</a:t>
              </a:r>
            </a:p>
          </xdr:txBody>
        </xdr:sp>
        <xdr:clientData/>
      </xdr:twoCellAnchor>
    </mc:Choice>
    <mc:Fallback/>
  </mc:AlternateContent>
  <xdr:twoCellAnchor>
    <xdr:from>
      <xdr:col>28</xdr:col>
      <xdr:colOff>203200</xdr:colOff>
      <xdr:row>12</xdr:row>
      <xdr:rowOff>101600</xdr:rowOff>
    </xdr:from>
    <xdr:to>
      <xdr:col>31</xdr:col>
      <xdr:colOff>546100</xdr:colOff>
      <xdr:row>25</xdr:row>
      <xdr:rowOff>88900</xdr:rowOff>
    </xdr:to>
    <xdr:sp macro="" textlink="">
      <xdr:nvSpPr>
        <xdr:cNvPr id="2" name="Rectangle 1"/>
        <xdr:cNvSpPr/>
      </xdr:nvSpPr>
      <xdr:spPr>
        <a:xfrm>
          <a:off x="17183100" y="2540000"/>
          <a:ext cx="3898900" cy="24638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chemeClr val="tx1"/>
              </a:solidFill>
            </a:rPr>
            <a:t>Error: </a:t>
          </a:r>
          <a:r>
            <a:rPr lang="en-US" sz="1600">
              <a:solidFill>
                <a:srgbClr val="FF0000"/>
              </a:solidFill>
            </a:rPr>
            <a:t>System</a:t>
          </a:r>
          <a:r>
            <a:rPr lang="en-US" sz="1600" baseline="0">
              <a:solidFill>
                <a:srgbClr val="FF0000"/>
              </a:solidFill>
            </a:rPr>
            <a:t> is Unstable </a:t>
          </a:r>
          <a:r>
            <a:rPr lang="en-US" sz="1600" baseline="0">
              <a:solidFill>
                <a:schemeClr val="tx1"/>
              </a:solidFill>
            </a:rPr>
            <a:t>means that the number of voters that arrive exceeds the number of voters that the system can handle. In other words the line never reaches steady state.</a:t>
          </a:r>
        </a:p>
        <a:p>
          <a:pPr algn="l"/>
          <a:endParaRPr lang="en-US" sz="1600" baseline="0">
            <a:solidFill>
              <a:schemeClr val="tx1"/>
            </a:solidFill>
          </a:endParaRPr>
        </a:p>
        <a:p>
          <a:pPr algn="l"/>
          <a:r>
            <a:rPr lang="en-US" sz="1600" baseline="0">
              <a:solidFill>
                <a:schemeClr val="tx1"/>
              </a:solidFill>
            </a:rPr>
            <a:t>To make the system stable, decrease the arrival rate or time to check in, or increase the number of check in stations.   </a:t>
          </a:r>
          <a:endParaRPr lang="en-US" sz="16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029"/>
  <sheetViews>
    <sheetView zoomScale="80" zoomScaleNormal="80" workbookViewId="0">
      <selection activeCell="J11" sqref="J11:T11"/>
    </sheetView>
  </sheetViews>
  <sheetFormatPr baseColWidth="10" defaultColWidth="8.83203125" defaultRowHeight="15" outlineLevelCol="1" x14ac:dyDescent="0.2"/>
  <cols>
    <col min="1" max="1" width="27.5" style="12" customWidth="1" outlineLevel="1"/>
    <col min="2" max="2" width="2.5" style="12" customWidth="1" outlineLevel="1"/>
    <col min="3" max="3" width="14.6640625" customWidth="1"/>
    <col min="4" max="4" width="14.5" style="1" customWidth="1"/>
    <col min="5" max="5" width="13.83203125" customWidth="1"/>
    <col min="6" max="6" width="20" customWidth="1"/>
    <col min="7" max="7" width="20.1640625" customWidth="1"/>
    <col min="8" max="8" width="12.83203125" customWidth="1"/>
    <col min="9" max="9" width="8.83203125" style="5"/>
    <col min="11" max="11" width="11.1640625" customWidth="1"/>
    <col min="12" max="13" width="11.5" customWidth="1"/>
    <col min="14" max="16" width="15.6640625" customWidth="1"/>
    <col min="17" max="17" width="11.5" customWidth="1"/>
    <col min="18" max="18" width="19.33203125" bestFit="1" customWidth="1"/>
    <col min="19" max="19" width="19.33203125" customWidth="1"/>
    <col min="20" max="21" width="11.5" customWidth="1"/>
    <col min="22" max="22" width="9.83203125" customWidth="1"/>
    <col min="25" max="25" width="8.83203125" customWidth="1"/>
  </cols>
  <sheetData>
    <row r="1" spans="1:23" x14ac:dyDescent="0.2">
      <c r="J1" s="7"/>
      <c r="K1" s="7"/>
      <c r="L1" s="7"/>
      <c r="M1" s="7"/>
      <c r="N1" s="7"/>
      <c r="O1" s="7"/>
      <c r="P1" s="7"/>
      <c r="Q1" s="7"/>
      <c r="R1" s="7"/>
      <c r="S1" s="7"/>
    </row>
    <row r="2" spans="1:23" ht="24" x14ac:dyDescent="0.3">
      <c r="C2" s="49" t="s">
        <v>25</v>
      </c>
      <c r="D2" s="26"/>
      <c r="E2" s="26"/>
      <c r="F2" s="27"/>
      <c r="G2" s="27"/>
      <c r="H2" s="28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</row>
    <row r="3" spans="1:23" ht="6" customHeight="1" thickBot="1" x14ac:dyDescent="0.25">
      <c r="C3" s="29"/>
      <c r="D3" s="30"/>
      <c r="E3" s="30"/>
      <c r="F3" s="13"/>
      <c r="G3" s="13"/>
      <c r="H3" s="13"/>
      <c r="I3" s="19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9"/>
    </row>
    <row r="4" spans="1:23" ht="6" customHeight="1" thickTop="1" x14ac:dyDescent="0.2">
      <c r="C4" s="4"/>
      <c r="D4" s="3"/>
      <c r="E4" s="3"/>
      <c r="I4"/>
    </row>
    <row r="5" spans="1:23" ht="19" x14ac:dyDescent="0.25">
      <c r="C5" s="20" t="s">
        <v>23</v>
      </c>
      <c r="D5" s="21"/>
      <c r="E5" s="21"/>
      <c r="F5" s="21"/>
      <c r="G5" s="21"/>
      <c r="H5" s="21"/>
      <c r="I5"/>
      <c r="J5" s="25" t="s">
        <v>24</v>
      </c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3" ht="6" customHeight="1" x14ac:dyDescent="0.2">
      <c r="C6" s="22"/>
      <c r="D6" s="23"/>
      <c r="E6" s="24"/>
      <c r="F6" s="11"/>
      <c r="G6" s="11"/>
      <c r="H6" s="11"/>
      <c r="I6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9"/>
    </row>
    <row r="7" spans="1:23" ht="6" customHeight="1" x14ac:dyDescent="0.2">
      <c r="C7" s="4"/>
      <c r="D7" s="3"/>
      <c r="E7" s="2"/>
      <c r="I7"/>
    </row>
    <row r="8" spans="1:23" ht="51" customHeight="1" x14ac:dyDescent="0.2">
      <c r="A8" s="37"/>
      <c r="B8" s="37"/>
      <c r="C8" s="7" t="s">
        <v>2</v>
      </c>
      <c r="D8" s="7" t="s">
        <v>0</v>
      </c>
      <c r="E8" s="7" t="s">
        <v>57</v>
      </c>
      <c r="F8" s="7" t="s">
        <v>56</v>
      </c>
      <c r="G8" s="7" t="s">
        <v>41</v>
      </c>
      <c r="H8" s="7" t="s">
        <v>3</v>
      </c>
      <c r="I8"/>
      <c r="J8" s="7" t="s">
        <v>6</v>
      </c>
      <c r="K8" s="7" t="s">
        <v>45</v>
      </c>
      <c r="L8" s="7" t="s">
        <v>8</v>
      </c>
      <c r="M8" s="7" t="s">
        <v>10</v>
      </c>
      <c r="N8" s="7" t="s">
        <v>46</v>
      </c>
      <c r="O8" s="7" t="s">
        <v>51</v>
      </c>
      <c r="P8" s="7" t="s">
        <v>52</v>
      </c>
      <c r="Q8" s="7" t="s">
        <v>7</v>
      </c>
      <c r="R8" s="7" t="s">
        <v>11</v>
      </c>
      <c r="S8" s="7" t="s">
        <v>9</v>
      </c>
      <c r="T8" s="7" t="s">
        <v>12</v>
      </c>
      <c r="U8" s="7"/>
    </row>
    <row r="9" spans="1:23" ht="30" x14ac:dyDescent="0.2">
      <c r="C9" s="6" t="s">
        <v>44</v>
      </c>
      <c r="D9" s="6" t="s">
        <v>1</v>
      </c>
      <c r="E9" s="6" t="s">
        <v>4</v>
      </c>
      <c r="F9" s="6" t="s">
        <v>53</v>
      </c>
      <c r="G9" s="6" t="s">
        <v>13</v>
      </c>
      <c r="H9" s="6" t="s">
        <v>15</v>
      </c>
      <c r="I9"/>
      <c r="J9" s="6" t="s">
        <v>13</v>
      </c>
      <c r="K9" s="6" t="s">
        <v>14</v>
      </c>
      <c r="L9" s="6" t="s">
        <v>14</v>
      </c>
      <c r="M9" s="6" t="s">
        <v>15</v>
      </c>
      <c r="N9" s="6" t="s">
        <v>15</v>
      </c>
      <c r="O9" s="6" t="s">
        <v>14</v>
      </c>
      <c r="P9" s="6" t="s">
        <v>14</v>
      </c>
      <c r="Q9" s="6" t="s">
        <v>14</v>
      </c>
      <c r="R9" s="6" t="s">
        <v>16</v>
      </c>
      <c r="S9" s="6" t="s">
        <v>15</v>
      </c>
    </row>
    <row r="10" spans="1:23" x14ac:dyDescent="0.2">
      <c r="C10" s="4"/>
      <c r="D10" s="3"/>
      <c r="E10" s="2"/>
      <c r="I10"/>
      <c r="V10" t="s">
        <v>38</v>
      </c>
      <c r="W10" t="s">
        <v>39</v>
      </c>
    </row>
    <row r="11" spans="1:23" ht="19" x14ac:dyDescent="0.25">
      <c r="C11" s="32">
        <v>8</v>
      </c>
      <c r="D11" s="32">
        <v>53.4</v>
      </c>
      <c r="E11" s="32">
        <v>2</v>
      </c>
      <c r="F11" s="32">
        <v>2</v>
      </c>
      <c r="G11" s="32">
        <v>30</v>
      </c>
      <c r="H11" s="32">
        <v>0</v>
      </c>
      <c r="I11"/>
      <c r="J11" s="34">
        <f>IF(T11="System is Unstable","",60*K11/$R$11)</f>
        <v>7.620009620009605</v>
      </c>
      <c r="K11" s="34">
        <f>IF(T11="System is Unstable","",SUMPRODUCT(J23:J2023,H23:H2023)+SUMPRODUCT($I$23:$I$2023,$H$23:$H$2023))</f>
        <v>6.7818085618085409</v>
      </c>
      <c r="L11" s="34">
        <f>IF(T11="System is Unstable","",SUMPRODUCT(J23:J2023,H23:H2023))</f>
        <v>2.6697191666830036</v>
      </c>
      <c r="M11" s="34">
        <f>IF(T11="System is Unstable","",SUMPRODUCT(H23:H2023,M23:M2023))</f>
        <v>0.32996529026419147</v>
      </c>
      <c r="N11" s="34">
        <f>IF(T11="System is Unstable","",1-SUMPRODUCT($N$23:$N$2023,$H$23:$H$2023))</f>
        <v>2.2617177727945137E-2</v>
      </c>
      <c r="O11" s="34">
        <f>IF(T11="System is Unstable","",L11/M11)</f>
        <v>8.0909090909090899</v>
      </c>
      <c r="P11" s="34">
        <f>IF(T11="System is Unstable","",F11/E11*G11)</f>
        <v>30</v>
      </c>
      <c r="Q11" s="34">
        <f>IF(T11="System is Unstable","",SUMPRODUCT(I23:I2023,H23:H2023))</f>
        <v>4.1120893951255377</v>
      </c>
      <c r="R11" s="34">
        <f>SUMPRODUCT(H23:H2023,L23:L2023)</f>
        <v>53.399999999999935</v>
      </c>
      <c r="S11" s="34">
        <f>IF(T11="System is Unstable","",SUM(K23:K2023))</f>
        <v>0.16179894179894175</v>
      </c>
      <c r="T11" s="35" t="str">
        <f>IFERROR(IF(R11&gt;=F11*60/E11, "System is Unstable", "System is Stable"),"System is Unstable")</f>
        <v>System is Stable</v>
      </c>
      <c r="U11" s="35"/>
      <c r="V11">
        <f>60/E11*F11</f>
        <v>60</v>
      </c>
      <c r="W11">
        <f>CalcInput*(1-H11)</f>
        <v>8</v>
      </c>
    </row>
    <row r="12" spans="1:23" ht="6" customHeight="1" thickBot="1" x14ac:dyDescent="0.25">
      <c r="C12" s="30"/>
      <c r="D12" s="29"/>
      <c r="E12" s="30"/>
      <c r="F12" s="33"/>
      <c r="G12" s="33"/>
      <c r="H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9"/>
    </row>
    <row r="13" spans="1:23" ht="6" customHeight="1" thickTop="1" x14ac:dyDescent="0.2">
      <c r="C13" s="3"/>
      <c r="D13" s="4"/>
      <c r="E13" s="3"/>
      <c r="F13" s="2"/>
      <c r="G13" s="2"/>
    </row>
    <row r="14" spans="1:23" x14ac:dyDescent="0.2">
      <c r="A14" s="12" t="s">
        <v>26</v>
      </c>
      <c r="D14" s="4"/>
      <c r="E14" s="3"/>
      <c r="F14" s="2"/>
    </row>
    <row r="15" spans="1:23" ht="21" x14ac:dyDescent="0.25">
      <c r="A15" s="38">
        <f>F11+C11</f>
        <v>10</v>
      </c>
      <c r="C15" s="46" t="s">
        <v>36</v>
      </c>
      <c r="D15" s="50"/>
      <c r="E15" s="47"/>
      <c r="F15" s="46"/>
      <c r="G15" s="46"/>
      <c r="H15" s="14"/>
      <c r="I15" s="14"/>
      <c r="J15" s="48"/>
      <c r="K15" s="14"/>
      <c r="L15" s="14"/>
    </row>
    <row r="16" spans="1:23" ht="6" customHeight="1" thickBot="1" x14ac:dyDescent="0.25">
      <c r="C16" s="13"/>
      <c r="D16" s="30"/>
      <c r="E16" s="29"/>
      <c r="F16" s="29"/>
      <c r="G16" s="13"/>
      <c r="H16" s="13"/>
      <c r="I16" s="13"/>
      <c r="J16" s="13"/>
      <c r="K16" s="31"/>
      <c r="L16" s="13"/>
      <c r="M16" s="13"/>
      <c r="N16" s="13"/>
      <c r="O16" s="19"/>
      <c r="P16" s="19"/>
    </row>
    <row r="17" spans="1:16" ht="6" customHeight="1" thickTop="1" x14ac:dyDescent="0.2">
      <c r="D17" s="39"/>
      <c r="E17" s="40"/>
      <c r="F17" s="40"/>
      <c r="G17" s="19"/>
      <c r="H17" s="19"/>
      <c r="I17" s="19"/>
      <c r="J17" s="19"/>
      <c r="K17" s="36"/>
      <c r="L17" s="19"/>
      <c r="M17" s="19"/>
      <c r="N17" s="19"/>
      <c r="O17" s="19"/>
      <c r="P17" s="19"/>
    </row>
    <row r="18" spans="1:16" ht="75" x14ac:dyDescent="0.2">
      <c r="D18" s="41" t="s">
        <v>27</v>
      </c>
      <c r="E18" s="42" t="s">
        <v>29</v>
      </c>
      <c r="F18" s="42" t="s">
        <v>47</v>
      </c>
      <c r="G18" s="41" t="s">
        <v>30</v>
      </c>
      <c r="H18" s="41" t="s">
        <v>28</v>
      </c>
      <c r="I18" s="41" t="s">
        <v>31</v>
      </c>
      <c r="J18" s="41" t="s">
        <v>32</v>
      </c>
      <c r="K18" s="43" t="s">
        <v>33</v>
      </c>
      <c r="L18" s="41" t="s">
        <v>34</v>
      </c>
      <c r="M18" s="41" t="s">
        <v>35</v>
      </c>
      <c r="N18" s="41" t="s">
        <v>40</v>
      </c>
      <c r="O18" s="41"/>
      <c r="P18" s="41"/>
    </row>
    <row r="19" spans="1:16" ht="6" customHeight="1" x14ac:dyDescent="0.2">
      <c r="C19" s="11"/>
      <c r="D19" s="11"/>
      <c r="E19" s="44"/>
      <c r="F19" s="44"/>
      <c r="G19" s="11"/>
      <c r="H19" s="11"/>
      <c r="I19" s="11"/>
      <c r="J19" s="11"/>
      <c r="K19" s="45"/>
      <c r="L19" s="11"/>
      <c r="M19" s="11"/>
      <c r="N19" s="11"/>
      <c r="O19" s="19"/>
      <c r="P19" s="19"/>
    </row>
    <row r="20" spans="1:16" ht="6" customHeight="1" x14ac:dyDescent="0.2">
      <c r="D20"/>
      <c r="E20" s="1"/>
      <c r="F20" s="1"/>
      <c r="I20"/>
      <c r="K20" s="5"/>
    </row>
    <row r="21" spans="1:16" s="10" customFormat="1" x14ac:dyDescent="0.2">
      <c r="A21" s="38"/>
      <c r="B21" s="38"/>
      <c r="C21" s="10" t="s">
        <v>37</v>
      </c>
      <c r="E21" s="51">
        <f>MAX(E23:E2023)</f>
        <v>0.57661336430399368</v>
      </c>
      <c r="F21" s="51"/>
      <c r="G21" s="52">
        <f>SUM(G23:G2023)</f>
        <v>9.6527068437180823</v>
      </c>
      <c r="H21" s="52">
        <f>SUM(H23:H2023)</f>
        <v>0.99999999999999811</v>
      </c>
      <c r="I21" s="51"/>
      <c r="J21" s="51"/>
      <c r="K21" s="51"/>
      <c r="L21" s="51"/>
      <c r="M21" s="51"/>
      <c r="N21" s="51"/>
      <c r="O21" s="51"/>
      <c r="P21" s="51"/>
    </row>
    <row r="22" spans="1:16" ht="6" customHeight="1" x14ac:dyDescent="0.2">
      <c r="D22"/>
      <c r="E22" s="1"/>
      <c r="F22" s="1"/>
      <c r="I22"/>
      <c r="K22" s="5"/>
    </row>
    <row r="23" spans="1:16" x14ac:dyDescent="0.2">
      <c r="D23">
        <v>0</v>
      </c>
      <c r="E23" s="1">
        <f>0</f>
        <v>0</v>
      </c>
      <c r="F23" s="1">
        <f>E23-$E$21</f>
        <v>-0.57661336430399368</v>
      </c>
      <c r="G23" s="1">
        <f>EXP(F23)</f>
        <v>0.5617977528089888</v>
      </c>
      <c r="H23" s="1">
        <f t="shared" ref="H23:H86" si="0">G23/$G$21</f>
        <v>5.8201058201058191E-2</v>
      </c>
      <c r="I23">
        <f t="shared" ref="I23:I86" si="1">IF($F$11&lt;=D23, IF(D23&lt;=$A$15,D23-$F$11,$C$11),0)</f>
        <v>0</v>
      </c>
      <c r="J23">
        <f t="shared" ref="J23:J86" si="2">IF(D23&lt;=$A$15,0,D23-$A$15)</f>
        <v>0</v>
      </c>
      <c r="K23" s="5">
        <f t="shared" ref="K23:K86" si="3">IF(D23&lt;$F$11,H23,0)</f>
        <v>5.8201058201058191E-2</v>
      </c>
      <c r="L23">
        <f t="shared" ref="L23:L86" si="4">IF(D23&lt;$A$15,$D$11,$D$11*(1-$H$11))</f>
        <v>53.4</v>
      </c>
      <c r="M23">
        <f t="shared" ref="M23:M86" si="5">IF(D23&lt;$A$15,0,1)</f>
        <v>0</v>
      </c>
      <c r="N23">
        <f t="shared" ref="N23:N86" si="6">IF(SUM(I23:J23)&lt;=($G$11/60*$F$11/($E$11/60)),1,0)</f>
        <v>1</v>
      </c>
    </row>
    <row r="24" spans="1:16" x14ac:dyDescent="0.2">
      <c r="D24">
        <f>1+D23</f>
        <v>1</v>
      </c>
      <c r="E24" s="1">
        <f>IF($H$11=1,
IF(D24&lt;=$A$15,
E23+LN($D$11)-LN(60/$E$11)-LN(MIN(D24,$F$11)),
E23-LN(60/$E$11)-LN(MIN(D24,$F$11))),
 IF(D24&lt;=$A$15,
E23+LN($D$11)-LN(60/$E$11)-LN(MIN(D24,$F$11)),
E23+LN($D$11)+LN(1-$H$11)-LN(60/$E$11)-LN(MIN(D24,$F$11))))</f>
        <v>0.57661336430399368</v>
      </c>
      <c r="F24" s="1">
        <f>E24-$E$21</f>
        <v>0</v>
      </c>
      <c r="G24" s="1">
        <f t="shared" ref="G24:G87" si="7">EXP(F24)</f>
        <v>1</v>
      </c>
      <c r="H24" s="1">
        <f t="shared" si="0"/>
        <v>0.10359788359788356</v>
      </c>
      <c r="I24">
        <f t="shared" si="1"/>
        <v>0</v>
      </c>
      <c r="J24">
        <f t="shared" si="2"/>
        <v>0</v>
      </c>
      <c r="K24" s="5">
        <f t="shared" si="3"/>
        <v>0.10359788359788356</v>
      </c>
      <c r="L24">
        <f t="shared" si="4"/>
        <v>53.4</v>
      </c>
      <c r="M24">
        <f t="shared" si="5"/>
        <v>0</v>
      </c>
      <c r="N24">
        <f t="shared" si="6"/>
        <v>1</v>
      </c>
    </row>
    <row r="25" spans="1:16" x14ac:dyDescent="0.2">
      <c r="D25">
        <f t="shared" ref="D25:D88" si="8">1+D24</f>
        <v>2</v>
      </c>
      <c r="E25" s="1">
        <f t="shared" ref="E25:E88" si="9">IF($H$11=1,IF(D25&lt;=$A$15, E24+LN($D$11)-LN(60/$E$11)-LN(MIN(D25,$F$11)), E24-LN(60/$E$11)-LN(MIN(D25,$F$11))), IF(D25&lt;=$A$15, E24+LN($D$11)-LN(60/$E$11)-LN(MIN(D25,$F$11)), E24+LN($D$11)+LN(1-$H$11)-LN(60/$E$11)-LN(MIN(D25,$F$11))))</f>
        <v>0.46007954804804163</v>
      </c>
      <c r="F25" s="1">
        <f t="shared" ref="F25:F88" si="10">E25-$E$21</f>
        <v>-0.11653381625595205</v>
      </c>
      <c r="G25" s="1">
        <f t="shared" si="7"/>
        <v>0.88999999999999957</v>
      </c>
      <c r="H25" s="1">
        <f t="shared" si="0"/>
        <v>9.2202116402116327E-2</v>
      </c>
      <c r="I25">
        <f t="shared" si="1"/>
        <v>0</v>
      </c>
      <c r="J25">
        <f t="shared" si="2"/>
        <v>0</v>
      </c>
      <c r="K25" s="5">
        <f t="shared" si="3"/>
        <v>0</v>
      </c>
      <c r="L25">
        <f t="shared" si="4"/>
        <v>53.4</v>
      </c>
      <c r="M25">
        <f t="shared" si="5"/>
        <v>0</v>
      </c>
      <c r="N25">
        <f t="shared" si="6"/>
        <v>1</v>
      </c>
    </row>
    <row r="26" spans="1:16" x14ac:dyDescent="0.2">
      <c r="D26">
        <f t="shared" si="8"/>
        <v>3</v>
      </c>
      <c r="E26" s="1">
        <f t="shared" si="9"/>
        <v>0.34354573179209036</v>
      </c>
      <c r="F26" s="1">
        <f t="shared" si="10"/>
        <v>-0.23306763251190332</v>
      </c>
      <c r="G26" s="1">
        <f t="shared" si="7"/>
        <v>0.7920999999999998</v>
      </c>
      <c r="H26" s="1">
        <f t="shared" si="0"/>
        <v>8.2059883597883562E-2</v>
      </c>
      <c r="I26">
        <f t="shared" si="1"/>
        <v>1</v>
      </c>
      <c r="J26">
        <f t="shared" si="2"/>
        <v>0</v>
      </c>
      <c r="K26" s="5">
        <f t="shared" si="3"/>
        <v>0</v>
      </c>
      <c r="L26">
        <f t="shared" si="4"/>
        <v>53.4</v>
      </c>
      <c r="M26">
        <f t="shared" si="5"/>
        <v>0</v>
      </c>
      <c r="N26">
        <f t="shared" si="6"/>
        <v>1</v>
      </c>
    </row>
    <row r="27" spans="1:16" x14ac:dyDescent="0.2">
      <c r="D27">
        <f t="shared" si="8"/>
        <v>4</v>
      </c>
      <c r="E27" s="1">
        <f t="shared" si="9"/>
        <v>0.22701191553613909</v>
      </c>
      <c r="F27" s="1">
        <f t="shared" si="10"/>
        <v>-0.34960144876785459</v>
      </c>
      <c r="G27" s="1">
        <f t="shared" si="7"/>
        <v>0.70496899999999996</v>
      </c>
      <c r="H27" s="1">
        <f t="shared" si="0"/>
        <v>7.3033296402116379E-2</v>
      </c>
      <c r="I27">
        <f t="shared" si="1"/>
        <v>2</v>
      </c>
      <c r="J27">
        <f t="shared" si="2"/>
        <v>0</v>
      </c>
      <c r="K27" s="5">
        <f t="shared" si="3"/>
        <v>0</v>
      </c>
      <c r="L27">
        <f t="shared" si="4"/>
        <v>53.4</v>
      </c>
      <c r="M27">
        <f t="shared" si="5"/>
        <v>0</v>
      </c>
      <c r="N27">
        <f t="shared" si="6"/>
        <v>1</v>
      </c>
    </row>
    <row r="28" spans="1:16" x14ac:dyDescent="0.2">
      <c r="D28">
        <f t="shared" si="8"/>
        <v>5</v>
      </c>
      <c r="E28" s="1">
        <f t="shared" si="9"/>
        <v>0.11047809928018781</v>
      </c>
      <c r="F28" s="1">
        <f t="shared" si="10"/>
        <v>-0.46613526502380587</v>
      </c>
      <c r="G28" s="1">
        <f t="shared" si="7"/>
        <v>0.62742241000000021</v>
      </c>
      <c r="H28" s="1">
        <f t="shared" si="0"/>
        <v>6.4999633797883608E-2</v>
      </c>
      <c r="I28">
        <f t="shared" si="1"/>
        <v>3</v>
      </c>
      <c r="J28">
        <f t="shared" si="2"/>
        <v>0</v>
      </c>
      <c r="K28" s="5">
        <f t="shared" si="3"/>
        <v>0</v>
      </c>
      <c r="L28">
        <f t="shared" si="4"/>
        <v>53.4</v>
      </c>
      <c r="M28">
        <f t="shared" si="5"/>
        <v>0</v>
      </c>
      <c r="N28">
        <f t="shared" si="6"/>
        <v>1</v>
      </c>
    </row>
    <row r="29" spans="1:16" x14ac:dyDescent="0.2">
      <c r="D29">
        <f t="shared" si="8"/>
        <v>6</v>
      </c>
      <c r="E29" s="1">
        <f t="shared" si="9"/>
        <v>-6.0557169757634588E-3</v>
      </c>
      <c r="F29" s="1">
        <f t="shared" si="10"/>
        <v>-0.58266908127975714</v>
      </c>
      <c r="G29" s="1">
        <f t="shared" si="7"/>
        <v>0.55840594490000028</v>
      </c>
      <c r="H29" s="1">
        <f t="shared" si="0"/>
        <v>5.7849674080116417E-2</v>
      </c>
      <c r="I29">
        <f t="shared" si="1"/>
        <v>4</v>
      </c>
      <c r="J29">
        <f t="shared" si="2"/>
        <v>0</v>
      </c>
      <c r="K29" s="5">
        <f t="shared" si="3"/>
        <v>0</v>
      </c>
      <c r="L29">
        <f t="shared" si="4"/>
        <v>53.4</v>
      </c>
      <c r="M29">
        <f t="shared" si="5"/>
        <v>0</v>
      </c>
      <c r="N29">
        <f t="shared" si="6"/>
        <v>1</v>
      </c>
    </row>
    <row r="30" spans="1:16" x14ac:dyDescent="0.2">
      <c r="D30">
        <f t="shared" si="8"/>
        <v>7</v>
      </c>
      <c r="E30" s="1">
        <f t="shared" si="9"/>
        <v>-0.12258953323171518</v>
      </c>
      <c r="F30" s="1">
        <f t="shared" si="10"/>
        <v>-0.69920289753570886</v>
      </c>
      <c r="G30" s="1">
        <f t="shared" si="7"/>
        <v>0.49698129096100013</v>
      </c>
      <c r="H30" s="1">
        <f t="shared" si="0"/>
        <v>5.1486209931303595E-2</v>
      </c>
      <c r="I30">
        <f t="shared" si="1"/>
        <v>5</v>
      </c>
      <c r="J30">
        <f t="shared" si="2"/>
        <v>0</v>
      </c>
      <c r="K30" s="5">
        <f t="shared" si="3"/>
        <v>0</v>
      </c>
      <c r="L30">
        <f t="shared" si="4"/>
        <v>53.4</v>
      </c>
      <c r="M30">
        <f t="shared" si="5"/>
        <v>0</v>
      </c>
      <c r="N30">
        <f t="shared" si="6"/>
        <v>1</v>
      </c>
    </row>
    <row r="31" spans="1:16" x14ac:dyDescent="0.2">
      <c r="D31">
        <f t="shared" si="8"/>
        <v>8</v>
      </c>
      <c r="E31" s="1">
        <f t="shared" si="9"/>
        <v>-0.23912334948766689</v>
      </c>
      <c r="F31" s="1">
        <f t="shared" si="10"/>
        <v>-0.81573671379166057</v>
      </c>
      <c r="G31" s="1">
        <f t="shared" si="7"/>
        <v>0.44231334895529006</v>
      </c>
      <c r="H31" s="1">
        <f t="shared" si="0"/>
        <v>4.5822726838860198E-2</v>
      </c>
      <c r="I31">
        <f t="shared" si="1"/>
        <v>6</v>
      </c>
      <c r="J31">
        <f t="shared" si="2"/>
        <v>0</v>
      </c>
      <c r="K31" s="5">
        <f t="shared" si="3"/>
        <v>0</v>
      </c>
      <c r="L31">
        <f t="shared" si="4"/>
        <v>53.4</v>
      </c>
      <c r="M31">
        <f t="shared" si="5"/>
        <v>0</v>
      </c>
      <c r="N31">
        <f t="shared" si="6"/>
        <v>1</v>
      </c>
    </row>
    <row r="32" spans="1:16" x14ac:dyDescent="0.2">
      <c r="D32">
        <f t="shared" si="8"/>
        <v>9</v>
      </c>
      <c r="E32" s="1">
        <f t="shared" si="9"/>
        <v>-0.35565716574361861</v>
      </c>
      <c r="F32" s="1">
        <f t="shared" si="10"/>
        <v>-0.93227053004761229</v>
      </c>
      <c r="G32" s="1">
        <f t="shared" si="7"/>
        <v>0.39365888057020809</v>
      </c>
      <c r="H32" s="1">
        <f t="shared" si="0"/>
        <v>4.0782226886585567E-2</v>
      </c>
      <c r="I32">
        <f t="shared" si="1"/>
        <v>7</v>
      </c>
      <c r="J32">
        <f t="shared" si="2"/>
        <v>0</v>
      </c>
      <c r="K32" s="5">
        <f t="shared" si="3"/>
        <v>0</v>
      </c>
      <c r="L32">
        <f t="shared" si="4"/>
        <v>53.4</v>
      </c>
      <c r="M32">
        <f t="shared" si="5"/>
        <v>0</v>
      </c>
      <c r="N32">
        <f t="shared" si="6"/>
        <v>1</v>
      </c>
    </row>
    <row r="33" spans="4:14" x14ac:dyDescent="0.2">
      <c r="D33">
        <f t="shared" si="8"/>
        <v>10</v>
      </c>
      <c r="E33" s="1">
        <f t="shared" si="9"/>
        <v>-0.47219098199957033</v>
      </c>
      <c r="F33" s="1">
        <f t="shared" si="10"/>
        <v>-1.0488043463035641</v>
      </c>
      <c r="G33" s="1">
        <f t="shared" si="7"/>
        <v>0.35035640370748511</v>
      </c>
      <c r="H33" s="1">
        <f t="shared" si="0"/>
        <v>3.6296181929061144E-2</v>
      </c>
      <c r="I33">
        <f t="shared" si="1"/>
        <v>8</v>
      </c>
      <c r="J33">
        <f t="shared" si="2"/>
        <v>0</v>
      </c>
      <c r="K33" s="5">
        <f t="shared" si="3"/>
        <v>0</v>
      </c>
      <c r="L33">
        <f t="shared" si="4"/>
        <v>53.4</v>
      </c>
      <c r="M33">
        <f t="shared" si="5"/>
        <v>1</v>
      </c>
      <c r="N33">
        <f t="shared" si="6"/>
        <v>1</v>
      </c>
    </row>
    <row r="34" spans="4:14" x14ac:dyDescent="0.2">
      <c r="D34">
        <f t="shared" si="8"/>
        <v>11</v>
      </c>
      <c r="E34" s="1">
        <f t="shared" si="9"/>
        <v>-0.58872479825552204</v>
      </c>
      <c r="F34" s="1">
        <f t="shared" si="10"/>
        <v>-1.1653381625595158</v>
      </c>
      <c r="G34" s="1">
        <f t="shared" si="7"/>
        <v>0.31181719929966167</v>
      </c>
      <c r="H34" s="1">
        <f t="shared" si="0"/>
        <v>3.2303601916864412E-2</v>
      </c>
      <c r="I34">
        <f t="shared" si="1"/>
        <v>8</v>
      </c>
      <c r="J34">
        <f t="shared" si="2"/>
        <v>1</v>
      </c>
      <c r="K34" s="5">
        <f t="shared" si="3"/>
        <v>0</v>
      </c>
      <c r="L34">
        <f t="shared" si="4"/>
        <v>53.4</v>
      </c>
      <c r="M34">
        <f t="shared" si="5"/>
        <v>1</v>
      </c>
      <c r="N34">
        <f t="shared" si="6"/>
        <v>1</v>
      </c>
    </row>
    <row r="35" spans="4:14" x14ac:dyDescent="0.2">
      <c r="D35">
        <f t="shared" si="8"/>
        <v>12</v>
      </c>
      <c r="E35" s="1">
        <f t="shared" si="9"/>
        <v>-0.70525861451147376</v>
      </c>
      <c r="F35" s="1">
        <f t="shared" si="10"/>
        <v>-1.2818719788154675</v>
      </c>
      <c r="G35" s="1">
        <f t="shared" si="7"/>
        <v>0.27751730737669883</v>
      </c>
      <c r="H35" s="1">
        <f t="shared" si="0"/>
        <v>2.8750205706009321E-2</v>
      </c>
      <c r="I35">
        <f t="shared" si="1"/>
        <v>8</v>
      </c>
      <c r="J35">
        <f t="shared" si="2"/>
        <v>2</v>
      </c>
      <c r="K35" s="5">
        <f t="shared" si="3"/>
        <v>0</v>
      </c>
      <c r="L35">
        <f t="shared" si="4"/>
        <v>53.4</v>
      </c>
      <c r="M35">
        <f t="shared" si="5"/>
        <v>1</v>
      </c>
      <c r="N35">
        <f t="shared" si="6"/>
        <v>1</v>
      </c>
    </row>
    <row r="36" spans="4:14" x14ac:dyDescent="0.2">
      <c r="D36">
        <f t="shared" si="8"/>
        <v>13</v>
      </c>
      <c r="E36" s="1">
        <f t="shared" si="9"/>
        <v>-0.82179243076742547</v>
      </c>
      <c r="F36" s="1">
        <f t="shared" si="10"/>
        <v>-1.3984057950714193</v>
      </c>
      <c r="G36" s="1">
        <f t="shared" si="7"/>
        <v>0.24699040356526192</v>
      </c>
      <c r="H36" s="1">
        <f t="shared" si="0"/>
        <v>2.558768307834829E-2</v>
      </c>
      <c r="I36">
        <f t="shared" si="1"/>
        <v>8</v>
      </c>
      <c r="J36">
        <f t="shared" si="2"/>
        <v>3</v>
      </c>
      <c r="K36" s="5">
        <f t="shared" si="3"/>
        <v>0</v>
      </c>
      <c r="L36">
        <f t="shared" si="4"/>
        <v>53.4</v>
      </c>
      <c r="M36">
        <f t="shared" si="5"/>
        <v>1</v>
      </c>
      <c r="N36">
        <f t="shared" si="6"/>
        <v>1</v>
      </c>
    </row>
    <row r="37" spans="4:14" x14ac:dyDescent="0.2">
      <c r="D37">
        <f t="shared" si="8"/>
        <v>14</v>
      </c>
      <c r="E37" s="1">
        <f t="shared" si="9"/>
        <v>-0.93832624702337719</v>
      </c>
      <c r="F37" s="1">
        <f t="shared" si="10"/>
        <v>-1.514939611327371</v>
      </c>
      <c r="G37" s="1">
        <f t="shared" si="7"/>
        <v>0.21982145917308307</v>
      </c>
      <c r="H37" s="1">
        <f t="shared" si="0"/>
        <v>2.2773037939729977E-2</v>
      </c>
      <c r="I37">
        <f t="shared" si="1"/>
        <v>8</v>
      </c>
      <c r="J37">
        <f t="shared" si="2"/>
        <v>4</v>
      </c>
      <c r="K37" s="5">
        <f t="shared" si="3"/>
        <v>0</v>
      </c>
      <c r="L37">
        <f t="shared" si="4"/>
        <v>53.4</v>
      </c>
      <c r="M37">
        <f t="shared" si="5"/>
        <v>1</v>
      </c>
      <c r="N37">
        <f t="shared" si="6"/>
        <v>1</v>
      </c>
    </row>
    <row r="38" spans="4:14" x14ac:dyDescent="0.2">
      <c r="D38">
        <f t="shared" si="8"/>
        <v>15</v>
      </c>
      <c r="E38" s="1">
        <f t="shared" si="9"/>
        <v>-1.054860063279329</v>
      </c>
      <c r="F38" s="1">
        <f t="shared" si="10"/>
        <v>-1.6314734275833227</v>
      </c>
      <c r="G38" s="1">
        <f t="shared" si="7"/>
        <v>0.19564109866404389</v>
      </c>
      <c r="H38" s="1">
        <f t="shared" si="0"/>
        <v>2.0268003766359673E-2</v>
      </c>
      <c r="I38">
        <f t="shared" si="1"/>
        <v>8</v>
      </c>
      <c r="J38">
        <f t="shared" si="2"/>
        <v>5</v>
      </c>
      <c r="K38" s="5">
        <f t="shared" si="3"/>
        <v>0</v>
      </c>
      <c r="L38">
        <f t="shared" si="4"/>
        <v>53.4</v>
      </c>
      <c r="M38">
        <f t="shared" si="5"/>
        <v>1</v>
      </c>
      <c r="N38">
        <f t="shared" si="6"/>
        <v>1</v>
      </c>
    </row>
    <row r="39" spans="4:14" x14ac:dyDescent="0.2">
      <c r="D39">
        <f t="shared" si="8"/>
        <v>16</v>
      </c>
      <c r="E39" s="1">
        <f t="shared" si="9"/>
        <v>-1.1713938795352807</v>
      </c>
      <c r="F39" s="1">
        <f t="shared" si="10"/>
        <v>-1.7480072438392744</v>
      </c>
      <c r="G39" s="1">
        <f t="shared" si="7"/>
        <v>0.17412057781099902</v>
      </c>
      <c r="H39" s="1">
        <f t="shared" si="0"/>
        <v>1.8038523352060104E-2</v>
      </c>
      <c r="I39">
        <f t="shared" si="1"/>
        <v>8</v>
      </c>
      <c r="J39">
        <f t="shared" si="2"/>
        <v>6</v>
      </c>
      <c r="K39" s="5">
        <f t="shared" si="3"/>
        <v>0</v>
      </c>
      <c r="L39">
        <f t="shared" si="4"/>
        <v>53.4</v>
      </c>
      <c r="M39">
        <f t="shared" si="5"/>
        <v>1</v>
      </c>
      <c r="N39">
        <f t="shared" si="6"/>
        <v>1</v>
      </c>
    </row>
    <row r="40" spans="4:14" x14ac:dyDescent="0.2">
      <c r="D40">
        <f t="shared" si="8"/>
        <v>17</v>
      </c>
      <c r="E40" s="1">
        <f t="shared" si="9"/>
        <v>-1.2879276957912325</v>
      </c>
      <c r="F40" s="1">
        <f t="shared" si="10"/>
        <v>-1.8645410600952261</v>
      </c>
      <c r="G40" s="1">
        <f t="shared" si="7"/>
        <v>0.15496731425178911</v>
      </c>
      <c r="H40" s="1">
        <f t="shared" si="0"/>
        <v>1.6054285783333493E-2</v>
      </c>
      <c r="I40">
        <f t="shared" si="1"/>
        <v>8</v>
      </c>
      <c r="J40">
        <f t="shared" si="2"/>
        <v>7</v>
      </c>
      <c r="K40" s="5">
        <f t="shared" si="3"/>
        <v>0</v>
      </c>
      <c r="L40">
        <f t="shared" si="4"/>
        <v>53.4</v>
      </c>
      <c r="M40">
        <f t="shared" si="5"/>
        <v>1</v>
      </c>
      <c r="N40">
        <f t="shared" si="6"/>
        <v>1</v>
      </c>
    </row>
    <row r="41" spans="4:14" x14ac:dyDescent="0.2">
      <c r="D41">
        <f t="shared" si="8"/>
        <v>18</v>
      </c>
      <c r="E41" s="1">
        <f t="shared" si="9"/>
        <v>-1.4044615120471842</v>
      </c>
      <c r="F41" s="1">
        <f t="shared" si="10"/>
        <v>-1.9810748763511778</v>
      </c>
      <c r="G41" s="1">
        <f t="shared" si="7"/>
        <v>0.13792090968409229</v>
      </c>
      <c r="H41" s="1">
        <f t="shared" si="0"/>
        <v>1.4288314347166806E-2</v>
      </c>
      <c r="I41">
        <f t="shared" si="1"/>
        <v>8</v>
      </c>
      <c r="J41">
        <f t="shared" si="2"/>
        <v>8</v>
      </c>
      <c r="K41" s="5">
        <f t="shared" si="3"/>
        <v>0</v>
      </c>
      <c r="L41">
        <f t="shared" si="4"/>
        <v>53.4</v>
      </c>
      <c r="M41">
        <f t="shared" si="5"/>
        <v>1</v>
      </c>
      <c r="N41">
        <f t="shared" si="6"/>
        <v>1</v>
      </c>
    </row>
    <row r="42" spans="4:14" x14ac:dyDescent="0.2">
      <c r="D42">
        <f t="shared" si="8"/>
        <v>19</v>
      </c>
      <c r="E42" s="1">
        <f t="shared" si="9"/>
        <v>-1.5209953283031359</v>
      </c>
      <c r="F42" s="1">
        <f t="shared" si="10"/>
        <v>-2.0976086926071296</v>
      </c>
      <c r="G42" s="1">
        <f t="shared" si="7"/>
        <v>0.12274960961884211</v>
      </c>
      <c r="H42" s="1">
        <f t="shared" si="0"/>
        <v>1.2716599768978454E-2</v>
      </c>
      <c r="I42">
        <f t="shared" si="1"/>
        <v>8</v>
      </c>
      <c r="J42">
        <f t="shared" si="2"/>
        <v>9</v>
      </c>
      <c r="K42" s="5">
        <f t="shared" si="3"/>
        <v>0</v>
      </c>
      <c r="L42">
        <f t="shared" si="4"/>
        <v>53.4</v>
      </c>
      <c r="M42">
        <f t="shared" si="5"/>
        <v>1</v>
      </c>
      <c r="N42">
        <f t="shared" si="6"/>
        <v>1</v>
      </c>
    </row>
    <row r="43" spans="4:14" x14ac:dyDescent="0.2">
      <c r="D43">
        <f t="shared" si="8"/>
        <v>20</v>
      </c>
      <c r="E43" s="1">
        <f t="shared" si="9"/>
        <v>-1.6375291445590876</v>
      </c>
      <c r="F43" s="1">
        <f t="shared" si="10"/>
        <v>-2.2141425088630813</v>
      </c>
      <c r="G43" s="1">
        <f t="shared" si="7"/>
        <v>0.10924715256076946</v>
      </c>
      <c r="H43" s="1">
        <f t="shared" si="0"/>
        <v>1.1317773794390822E-2</v>
      </c>
      <c r="I43">
        <f t="shared" si="1"/>
        <v>8</v>
      </c>
      <c r="J43">
        <f t="shared" si="2"/>
        <v>10</v>
      </c>
      <c r="K43" s="5">
        <f t="shared" si="3"/>
        <v>0</v>
      </c>
      <c r="L43">
        <f t="shared" si="4"/>
        <v>53.4</v>
      </c>
      <c r="M43">
        <f t="shared" si="5"/>
        <v>1</v>
      </c>
      <c r="N43">
        <f t="shared" si="6"/>
        <v>1</v>
      </c>
    </row>
    <row r="44" spans="4:14" x14ac:dyDescent="0.2">
      <c r="D44">
        <f t="shared" si="8"/>
        <v>21</v>
      </c>
      <c r="E44" s="1">
        <f t="shared" si="9"/>
        <v>-1.7540629608150393</v>
      </c>
      <c r="F44" s="1">
        <f t="shared" si="10"/>
        <v>-2.330676325119033</v>
      </c>
      <c r="G44" s="1">
        <f t="shared" si="7"/>
        <v>9.7229965779084798E-2</v>
      </c>
      <c r="H44" s="1">
        <f t="shared" si="0"/>
        <v>1.0072818677007829E-2</v>
      </c>
      <c r="I44">
        <f t="shared" si="1"/>
        <v>8</v>
      </c>
      <c r="J44">
        <f t="shared" si="2"/>
        <v>11</v>
      </c>
      <c r="K44" s="5">
        <f t="shared" si="3"/>
        <v>0</v>
      </c>
      <c r="L44">
        <f t="shared" si="4"/>
        <v>53.4</v>
      </c>
      <c r="M44">
        <f t="shared" si="5"/>
        <v>1</v>
      </c>
      <c r="N44">
        <f t="shared" si="6"/>
        <v>1</v>
      </c>
    </row>
    <row r="45" spans="4:14" x14ac:dyDescent="0.2">
      <c r="D45">
        <f t="shared" si="8"/>
        <v>22</v>
      </c>
      <c r="E45" s="1">
        <f t="shared" si="9"/>
        <v>-1.870596777070991</v>
      </c>
      <c r="F45" s="1">
        <f t="shared" si="10"/>
        <v>-2.4472101413749847</v>
      </c>
      <c r="G45" s="1">
        <f t="shared" si="7"/>
        <v>8.6534669543385456E-2</v>
      </c>
      <c r="H45" s="1">
        <f t="shared" si="0"/>
        <v>8.9648086225369676E-3</v>
      </c>
      <c r="I45">
        <f t="shared" si="1"/>
        <v>8</v>
      </c>
      <c r="J45">
        <f t="shared" si="2"/>
        <v>12</v>
      </c>
      <c r="K45" s="5">
        <f t="shared" si="3"/>
        <v>0</v>
      </c>
      <c r="L45">
        <f t="shared" si="4"/>
        <v>53.4</v>
      </c>
      <c r="M45">
        <f t="shared" si="5"/>
        <v>1</v>
      </c>
      <c r="N45">
        <f t="shared" si="6"/>
        <v>1</v>
      </c>
    </row>
    <row r="46" spans="4:14" x14ac:dyDescent="0.2">
      <c r="D46">
        <f t="shared" si="8"/>
        <v>23</v>
      </c>
      <c r="E46" s="1">
        <f t="shared" si="9"/>
        <v>-1.9871305933269428</v>
      </c>
      <c r="F46" s="1">
        <f t="shared" si="10"/>
        <v>-2.5637439576309364</v>
      </c>
      <c r="G46" s="1">
        <f t="shared" si="7"/>
        <v>7.7015855893613039E-2</v>
      </c>
      <c r="H46" s="1">
        <f t="shared" si="0"/>
        <v>7.9786796740578987E-3</v>
      </c>
      <c r="I46">
        <f t="shared" si="1"/>
        <v>8</v>
      </c>
      <c r="J46">
        <f t="shared" si="2"/>
        <v>13</v>
      </c>
      <c r="K46" s="5">
        <f t="shared" si="3"/>
        <v>0</v>
      </c>
      <c r="L46">
        <f t="shared" si="4"/>
        <v>53.4</v>
      </c>
      <c r="M46">
        <f t="shared" si="5"/>
        <v>1</v>
      </c>
      <c r="N46">
        <f t="shared" si="6"/>
        <v>1</v>
      </c>
    </row>
    <row r="47" spans="4:14" x14ac:dyDescent="0.2">
      <c r="D47">
        <f t="shared" si="8"/>
        <v>24</v>
      </c>
      <c r="E47" s="1">
        <f t="shared" si="9"/>
        <v>-2.1036644095828945</v>
      </c>
      <c r="F47" s="1">
        <f t="shared" si="10"/>
        <v>-2.6802777738868881</v>
      </c>
      <c r="G47" s="1">
        <f t="shared" si="7"/>
        <v>6.8544111745315592E-2</v>
      </c>
      <c r="H47" s="1">
        <f t="shared" si="0"/>
        <v>7.101024909911529E-3</v>
      </c>
      <c r="I47">
        <f t="shared" si="1"/>
        <v>8</v>
      </c>
      <c r="J47">
        <f t="shared" si="2"/>
        <v>14</v>
      </c>
      <c r="K47" s="5">
        <f t="shared" si="3"/>
        <v>0</v>
      </c>
      <c r="L47">
        <f t="shared" si="4"/>
        <v>53.4</v>
      </c>
      <c r="M47">
        <f t="shared" si="5"/>
        <v>1</v>
      </c>
      <c r="N47">
        <f t="shared" si="6"/>
        <v>1</v>
      </c>
    </row>
    <row r="48" spans="4:14" x14ac:dyDescent="0.2">
      <c r="D48">
        <f t="shared" si="8"/>
        <v>25</v>
      </c>
      <c r="E48" s="1">
        <f t="shared" si="9"/>
        <v>-2.2201982258388462</v>
      </c>
      <c r="F48" s="1">
        <f t="shared" si="10"/>
        <v>-2.7968115901428399</v>
      </c>
      <c r="G48" s="1">
        <f t="shared" si="7"/>
        <v>6.1004259453330864E-2</v>
      </c>
      <c r="H48" s="1">
        <f t="shared" si="0"/>
        <v>6.3199121698212591E-3</v>
      </c>
      <c r="I48">
        <f t="shared" si="1"/>
        <v>8</v>
      </c>
      <c r="J48">
        <f t="shared" si="2"/>
        <v>15</v>
      </c>
      <c r="K48" s="5">
        <f t="shared" si="3"/>
        <v>0</v>
      </c>
      <c r="L48">
        <f t="shared" si="4"/>
        <v>53.4</v>
      </c>
      <c r="M48">
        <f t="shared" si="5"/>
        <v>1</v>
      </c>
      <c r="N48">
        <f t="shared" si="6"/>
        <v>1</v>
      </c>
    </row>
    <row r="49" spans="4:14" x14ac:dyDescent="0.2">
      <c r="D49">
        <f t="shared" si="8"/>
        <v>26</v>
      </c>
      <c r="E49" s="1">
        <f t="shared" si="9"/>
        <v>-2.3367320420947979</v>
      </c>
      <c r="F49" s="1">
        <f t="shared" si="10"/>
        <v>-2.9133454063987916</v>
      </c>
      <c r="G49" s="1">
        <f t="shared" si="7"/>
        <v>5.4293790913464458E-2</v>
      </c>
      <c r="H49" s="1">
        <f t="shared" si="0"/>
        <v>5.62472183114092E-3</v>
      </c>
      <c r="I49">
        <f t="shared" si="1"/>
        <v>8</v>
      </c>
      <c r="J49">
        <f t="shared" si="2"/>
        <v>16</v>
      </c>
      <c r="K49" s="5">
        <f t="shared" si="3"/>
        <v>0</v>
      </c>
      <c r="L49">
        <f t="shared" si="4"/>
        <v>53.4</v>
      </c>
      <c r="M49">
        <f t="shared" si="5"/>
        <v>1</v>
      </c>
      <c r="N49">
        <f t="shared" si="6"/>
        <v>1</v>
      </c>
    </row>
    <row r="50" spans="4:14" x14ac:dyDescent="0.2">
      <c r="D50">
        <f t="shared" si="8"/>
        <v>27</v>
      </c>
      <c r="E50" s="1">
        <f t="shared" si="9"/>
        <v>-2.4532658583507496</v>
      </c>
      <c r="F50" s="1">
        <f t="shared" si="10"/>
        <v>-3.0298792226547433</v>
      </c>
      <c r="G50" s="1">
        <f t="shared" si="7"/>
        <v>4.8321473912983359E-2</v>
      </c>
      <c r="H50" s="1">
        <f t="shared" si="0"/>
        <v>5.0060024297154176E-3</v>
      </c>
      <c r="I50">
        <f t="shared" si="1"/>
        <v>8</v>
      </c>
      <c r="J50">
        <f t="shared" si="2"/>
        <v>17</v>
      </c>
      <c r="K50" s="5">
        <f t="shared" si="3"/>
        <v>0</v>
      </c>
      <c r="L50">
        <f t="shared" si="4"/>
        <v>53.4</v>
      </c>
      <c r="M50">
        <f t="shared" si="5"/>
        <v>1</v>
      </c>
      <c r="N50">
        <f t="shared" si="6"/>
        <v>1</v>
      </c>
    </row>
    <row r="51" spans="4:14" x14ac:dyDescent="0.2">
      <c r="D51">
        <f t="shared" si="8"/>
        <v>28</v>
      </c>
      <c r="E51" s="1">
        <f t="shared" si="9"/>
        <v>-2.5697996746067013</v>
      </c>
      <c r="F51" s="1">
        <f t="shared" si="10"/>
        <v>-3.146413038910695</v>
      </c>
      <c r="G51" s="1">
        <f t="shared" si="7"/>
        <v>4.300611178255518E-2</v>
      </c>
      <c r="H51" s="1">
        <f t="shared" si="0"/>
        <v>4.4553421624467203E-3</v>
      </c>
      <c r="I51">
        <f t="shared" si="1"/>
        <v>8</v>
      </c>
      <c r="J51">
        <f t="shared" si="2"/>
        <v>18</v>
      </c>
      <c r="K51" s="5">
        <f t="shared" si="3"/>
        <v>0</v>
      </c>
      <c r="L51">
        <f t="shared" si="4"/>
        <v>53.4</v>
      </c>
      <c r="M51">
        <f t="shared" si="5"/>
        <v>1</v>
      </c>
      <c r="N51">
        <f t="shared" si="6"/>
        <v>1</v>
      </c>
    </row>
    <row r="52" spans="4:14" x14ac:dyDescent="0.2">
      <c r="D52">
        <f t="shared" si="8"/>
        <v>29</v>
      </c>
      <c r="E52" s="1">
        <f t="shared" si="9"/>
        <v>-2.6863334908626531</v>
      </c>
      <c r="F52" s="1">
        <f t="shared" si="10"/>
        <v>-3.2629468551666467</v>
      </c>
      <c r="G52" s="1">
        <f t="shared" si="7"/>
        <v>3.8275439486474105E-2</v>
      </c>
      <c r="H52" s="1">
        <f t="shared" si="0"/>
        <v>3.9652545245775807E-3</v>
      </c>
      <c r="I52">
        <f t="shared" si="1"/>
        <v>8</v>
      </c>
      <c r="J52">
        <f t="shared" si="2"/>
        <v>19</v>
      </c>
      <c r="K52" s="5">
        <f t="shared" si="3"/>
        <v>0</v>
      </c>
      <c r="L52">
        <f t="shared" si="4"/>
        <v>53.4</v>
      </c>
      <c r="M52">
        <f t="shared" si="5"/>
        <v>1</v>
      </c>
      <c r="N52">
        <f t="shared" si="6"/>
        <v>1</v>
      </c>
    </row>
    <row r="53" spans="4:14" x14ac:dyDescent="0.2">
      <c r="D53">
        <f t="shared" si="8"/>
        <v>30</v>
      </c>
      <c r="E53" s="1">
        <f t="shared" si="9"/>
        <v>-2.8028673071186048</v>
      </c>
      <c r="F53" s="1">
        <f t="shared" si="10"/>
        <v>-3.3794806714225984</v>
      </c>
      <c r="G53" s="1">
        <f t="shared" si="7"/>
        <v>3.4065141142961948E-2</v>
      </c>
      <c r="H53" s="1">
        <f t="shared" si="0"/>
        <v>3.5290765268740465E-3</v>
      </c>
      <c r="I53">
        <f t="shared" si="1"/>
        <v>8</v>
      </c>
      <c r="J53">
        <f t="shared" si="2"/>
        <v>20</v>
      </c>
      <c r="K53" s="5">
        <f t="shared" si="3"/>
        <v>0</v>
      </c>
      <c r="L53">
        <f t="shared" si="4"/>
        <v>53.4</v>
      </c>
      <c r="M53">
        <f t="shared" si="5"/>
        <v>1</v>
      </c>
      <c r="N53">
        <f t="shared" si="6"/>
        <v>1</v>
      </c>
    </row>
    <row r="54" spans="4:14" x14ac:dyDescent="0.2">
      <c r="D54">
        <f t="shared" si="8"/>
        <v>31</v>
      </c>
      <c r="E54" s="1">
        <f t="shared" si="9"/>
        <v>-2.9194011233745565</v>
      </c>
      <c r="F54" s="1">
        <f t="shared" si="10"/>
        <v>-3.4960144876785502</v>
      </c>
      <c r="G54" s="1">
        <f t="shared" si="7"/>
        <v>3.0317975617236127E-2</v>
      </c>
      <c r="H54" s="1">
        <f t="shared" si="0"/>
        <v>3.1408781089179005E-3</v>
      </c>
      <c r="I54">
        <f t="shared" si="1"/>
        <v>8</v>
      </c>
      <c r="J54">
        <f t="shared" si="2"/>
        <v>21</v>
      </c>
      <c r="K54" s="5">
        <f t="shared" si="3"/>
        <v>0</v>
      </c>
      <c r="L54">
        <f t="shared" si="4"/>
        <v>53.4</v>
      </c>
      <c r="M54">
        <f t="shared" si="5"/>
        <v>1</v>
      </c>
      <c r="N54">
        <f t="shared" si="6"/>
        <v>1</v>
      </c>
    </row>
    <row r="55" spans="4:14" x14ac:dyDescent="0.2">
      <c r="D55">
        <f t="shared" si="8"/>
        <v>32</v>
      </c>
      <c r="E55" s="1">
        <f t="shared" si="9"/>
        <v>-3.0359349396305082</v>
      </c>
      <c r="F55" s="1">
        <f t="shared" si="10"/>
        <v>-3.6125483039345019</v>
      </c>
      <c r="G55" s="1">
        <f t="shared" si="7"/>
        <v>2.6982998299340148E-2</v>
      </c>
      <c r="H55" s="1">
        <f t="shared" si="0"/>
        <v>2.7953815169369308E-3</v>
      </c>
      <c r="I55">
        <f t="shared" si="1"/>
        <v>8</v>
      </c>
      <c r="J55">
        <f t="shared" si="2"/>
        <v>22</v>
      </c>
      <c r="K55" s="5">
        <f t="shared" si="3"/>
        <v>0</v>
      </c>
      <c r="L55">
        <f t="shared" si="4"/>
        <v>53.4</v>
      </c>
      <c r="M55">
        <f t="shared" si="5"/>
        <v>1</v>
      </c>
      <c r="N55">
        <f t="shared" si="6"/>
        <v>1</v>
      </c>
    </row>
    <row r="56" spans="4:14" x14ac:dyDescent="0.2">
      <c r="D56">
        <f t="shared" si="8"/>
        <v>33</v>
      </c>
      <c r="E56" s="1">
        <f t="shared" si="9"/>
        <v>-3.1524687558864599</v>
      </c>
      <c r="F56" s="1">
        <f t="shared" si="10"/>
        <v>-3.7290821201904536</v>
      </c>
      <c r="G56" s="1">
        <f t="shared" si="7"/>
        <v>2.4014868486412728E-2</v>
      </c>
      <c r="H56" s="1">
        <f t="shared" si="0"/>
        <v>2.487889550073868E-3</v>
      </c>
      <c r="I56">
        <f t="shared" si="1"/>
        <v>8</v>
      </c>
      <c r="J56">
        <f t="shared" si="2"/>
        <v>23</v>
      </c>
      <c r="K56" s="5">
        <f t="shared" si="3"/>
        <v>0</v>
      </c>
      <c r="L56">
        <f t="shared" si="4"/>
        <v>53.4</v>
      </c>
      <c r="M56">
        <f t="shared" si="5"/>
        <v>1</v>
      </c>
      <c r="N56">
        <f t="shared" si="6"/>
        <v>0</v>
      </c>
    </row>
    <row r="57" spans="4:14" x14ac:dyDescent="0.2">
      <c r="D57">
        <f t="shared" si="8"/>
        <v>34</v>
      </c>
      <c r="E57" s="1">
        <f t="shared" si="9"/>
        <v>-3.2690025721424116</v>
      </c>
      <c r="F57" s="1">
        <f t="shared" si="10"/>
        <v>-3.8456159364464053</v>
      </c>
      <c r="G57" s="1">
        <f t="shared" si="7"/>
        <v>2.1373232952907325E-2</v>
      </c>
      <c r="H57" s="1">
        <f t="shared" si="0"/>
        <v>2.2142216995657423E-3</v>
      </c>
      <c r="I57">
        <f t="shared" si="1"/>
        <v>8</v>
      </c>
      <c r="J57">
        <f t="shared" si="2"/>
        <v>24</v>
      </c>
      <c r="K57" s="5">
        <f t="shared" si="3"/>
        <v>0</v>
      </c>
      <c r="L57">
        <f t="shared" si="4"/>
        <v>53.4</v>
      </c>
      <c r="M57">
        <f t="shared" si="5"/>
        <v>1</v>
      </c>
      <c r="N57">
        <f t="shared" si="6"/>
        <v>0</v>
      </c>
    </row>
    <row r="58" spans="4:14" x14ac:dyDescent="0.2">
      <c r="D58">
        <f t="shared" si="8"/>
        <v>35</v>
      </c>
      <c r="E58" s="1">
        <f t="shared" si="9"/>
        <v>-3.3855363883983633</v>
      </c>
      <c r="F58" s="1">
        <f t="shared" si="10"/>
        <v>-3.962149752702357</v>
      </c>
      <c r="G58" s="1">
        <f t="shared" si="7"/>
        <v>1.9022177328087513E-2</v>
      </c>
      <c r="H58" s="1">
        <f t="shared" si="0"/>
        <v>1.97065731261351E-3</v>
      </c>
      <c r="I58">
        <f t="shared" si="1"/>
        <v>8</v>
      </c>
      <c r="J58">
        <f t="shared" si="2"/>
        <v>25</v>
      </c>
      <c r="K58" s="5">
        <f t="shared" si="3"/>
        <v>0</v>
      </c>
      <c r="L58">
        <f t="shared" si="4"/>
        <v>53.4</v>
      </c>
      <c r="M58">
        <f t="shared" si="5"/>
        <v>1</v>
      </c>
      <c r="N58">
        <f t="shared" si="6"/>
        <v>0</v>
      </c>
    </row>
    <row r="59" spans="4:14" x14ac:dyDescent="0.2">
      <c r="D59">
        <f t="shared" si="8"/>
        <v>36</v>
      </c>
      <c r="E59" s="1">
        <f t="shared" si="9"/>
        <v>-3.5020702046543151</v>
      </c>
      <c r="F59" s="1">
        <f t="shared" si="10"/>
        <v>-4.0786835689583087</v>
      </c>
      <c r="G59" s="1">
        <f t="shared" si="7"/>
        <v>1.6929737821997883E-2</v>
      </c>
      <c r="H59" s="1">
        <f t="shared" si="0"/>
        <v>1.7538850082260235E-3</v>
      </c>
      <c r="I59">
        <f t="shared" si="1"/>
        <v>8</v>
      </c>
      <c r="J59">
        <f t="shared" si="2"/>
        <v>26</v>
      </c>
      <c r="K59" s="5">
        <f t="shared" si="3"/>
        <v>0</v>
      </c>
      <c r="L59">
        <f t="shared" si="4"/>
        <v>53.4</v>
      </c>
      <c r="M59">
        <f t="shared" si="5"/>
        <v>1</v>
      </c>
      <c r="N59">
        <f t="shared" si="6"/>
        <v>0</v>
      </c>
    </row>
    <row r="60" spans="4:14" x14ac:dyDescent="0.2">
      <c r="D60">
        <f t="shared" si="8"/>
        <v>37</v>
      </c>
      <c r="E60" s="1">
        <f t="shared" si="9"/>
        <v>-3.6186040209102668</v>
      </c>
      <c r="F60" s="1">
        <f t="shared" si="10"/>
        <v>-4.19521738521426</v>
      </c>
      <c r="G60" s="1">
        <f t="shared" si="7"/>
        <v>1.5067466661578122E-2</v>
      </c>
      <c r="H60" s="1">
        <f t="shared" si="0"/>
        <v>1.5609576573211617E-3</v>
      </c>
      <c r="I60">
        <f t="shared" si="1"/>
        <v>8</v>
      </c>
      <c r="J60">
        <f t="shared" si="2"/>
        <v>27</v>
      </c>
      <c r="K60" s="5">
        <f t="shared" si="3"/>
        <v>0</v>
      </c>
      <c r="L60">
        <f t="shared" si="4"/>
        <v>53.4</v>
      </c>
      <c r="M60">
        <f t="shared" si="5"/>
        <v>1</v>
      </c>
      <c r="N60">
        <f t="shared" si="6"/>
        <v>0</v>
      </c>
    </row>
    <row r="61" spans="4:14" x14ac:dyDescent="0.2">
      <c r="D61">
        <f t="shared" si="8"/>
        <v>38</v>
      </c>
      <c r="E61" s="1">
        <f t="shared" si="9"/>
        <v>-3.7351378371662185</v>
      </c>
      <c r="F61" s="1">
        <f t="shared" si="10"/>
        <v>-4.3117512014702122</v>
      </c>
      <c r="G61" s="1">
        <f t="shared" si="7"/>
        <v>1.3410045328804519E-2</v>
      </c>
      <c r="H61" s="1">
        <f t="shared" si="0"/>
        <v>1.3892523150158328E-3</v>
      </c>
      <c r="I61">
        <f t="shared" si="1"/>
        <v>8</v>
      </c>
      <c r="J61">
        <f t="shared" si="2"/>
        <v>28</v>
      </c>
      <c r="K61" s="5">
        <f t="shared" si="3"/>
        <v>0</v>
      </c>
      <c r="L61">
        <f t="shared" si="4"/>
        <v>53.4</v>
      </c>
      <c r="M61">
        <f t="shared" si="5"/>
        <v>1</v>
      </c>
      <c r="N61">
        <f t="shared" si="6"/>
        <v>0</v>
      </c>
    </row>
    <row r="62" spans="4:14" x14ac:dyDescent="0.2">
      <c r="D62">
        <f t="shared" si="8"/>
        <v>39</v>
      </c>
      <c r="E62" s="1">
        <f t="shared" si="9"/>
        <v>-3.8516716534221702</v>
      </c>
      <c r="F62" s="1">
        <f t="shared" si="10"/>
        <v>-4.4282850177261643</v>
      </c>
      <c r="G62" s="1">
        <f t="shared" si="7"/>
        <v>1.1934940342636015E-2</v>
      </c>
      <c r="H62" s="1">
        <f t="shared" si="0"/>
        <v>1.2364345603640904E-3</v>
      </c>
      <c r="I62">
        <f t="shared" si="1"/>
        <v>8</v>
      </c>
      <c r="J62">
        <f t="shared" si="2"/>
        <v>29</v>
      </c>
      <c r="K62" s="5">
        <f t="shared" si="3"/>
        <v>0</v>
      </c>
      <c r="L62">
        <f t="shared" si="4"/>
        <v>53.4</v>
      </c>
      <c r="M62">
        <f t="shared" si="5"/>
        <v>1</v>
      </c>
      <c r="N62">
        <f t="shared" si="6"/>
        <v>0</v>
      </c>
    </row>
    <row r="63" spans="4:14" x14ac:dyDescent="0.2">
      <c r="D63">
        <f t="shared" si="8"/>
        <v>40</v>
      </c>
      <c r="E63" s="1">
        <f t="shared" si="9"/>
        <v>-3.9682054696781219</v>
      </c>
      <c r="F63" s="1">
        <f t="shared" si="10"/>
        <v>-4.5448188339821156</v>
      </c>
      <c r="G63" s="1">
        <f t="shared" si="7"/>
        <v>1.0622096904946057E-2</v>
      </c>
      <c r="H63" s="1">
        <f t="shared" si="0"/>
        <v>1.1004267587240409E-3</v>
      </c>
      <c r="I63">
        <f t="shared" si="1"/>
        <v>8</v>
      </c>
      <c r="J63">
        <f t="shared" si="2"/>
        <v>30</v>
      </c>
      <c r="K63" s="5">
        <f t="shared" si="3"/>
        <v>0</v>
      </c>
      <c r="L63">
        <f t="shared" si="4"/>
        <v>53.4</v>
      </c>
      <c r="M63">
        <f t="shared" si="5"/>
        <v>1</v>
      </c>
      <c r="N63">
        <f t="shared" si="6"/>
        <v>0</v>
      </c>
    </row>
    <row r="64" spans="4:14" x14ac:dyDescent="0.2">
      <c r="D64">
        <f t="shared" si="8"/>
        <v>41</v>
      </c>
      <c r="E64" s="1">
        <f t="shared" si="9"/>
        <v>-4.0847392859340736</v>
      </c>
      <c r="F64" s="1">
        <f t="shared" si="10"/>
        <v>-4.6613526502380669</v>
      </c>
      <c r="G64" s="1">
        <f t="shared" si="7"/>
        <v>9.4536662454019916E-3</v>
      </c>
      <c r="H64" s="1">
        <f t="shared" si="0"/>
        <v>9.7937981526439663E-4</v>
      </c>
      <c r="I64">
        <f t="shared" si="1"/>
        <v>8</v>
      </c>
      <c r="J64">
        <f t="shared" si="2"/>
        <v>31</v>
      </c>
      <c r="K64" s="5">
        <f t="shared" si="3"/>
        <v>0</v>
      </c>
      <c r="L64">
        <f t="shared" si="4"/>
        <v>53.4</v>
      </c>
      <c r="M64">
        <f t="shared" si="5"/>
        <v>1</v>
      </c>
      <c r="N64">
        <f t="shared" si="6"/>
        <v>0</v>
      </c>
    </row>
    <row r="65" spans="4:14" x14ac:dyDescent="0.2">
      <c r="D65">
        <f t="shared" si="8"/>
        <v>42</v>
      </c>
      <c r="E65" s="1">
        <f t="shared" si="9"/>
        <v>-4.2012731021900249</v>
      </c>
      <c r="F65" s="1">
        <f t="shared" si="10"/>
        <v>-4.777886466494019</v>
      </c>
      <c r="G65" s="1">
        <f t="shared" si="7"/>
        <v>8.4137629584077681E-3</v>
      </c>
      <c r="H65" s="1">
        <f t="shared" si="0"/>
        <v>8.7164803558531241E-4</v>
      </c>
      <c r="I65">
        <f t="shared" si="1"/>
        <v>8</v>
      </c>
      <c r="J65">
        <f t="shared" si="2"/>
        <v>32</v>
      </c>
      <c r="K65" s="5">
        <f t="shared" si="3"/>
        <v>0</v>
      </c>
      <c r="L65">
        <f t="shared" si="4"/>
        <v>53.4</v>
      </c>
      <c r="M65">
        <f t="shared" si="5"/>
        <v>1</v>
      </c>
      <c r="N65">
        <f t="shared" si="6"/>
        <v>0</v>
      </c>
    </row>
    <row r="66" spans="4:14" x14ac:dyDescent="0.2">
      <c r="D66">
        <f t="shared" si="8"/>
        <v>43</v>
      </c>
      <c r="E66" s="1">
        <f t="shared" si="9"/>
        <v>-4.3178069184459762</v>
      </c>
      <c r="F66" s="1">
        <f t="shared" si="10"/>
        <v>-4.8944202827499694</v>
      </c>
      <c r="G66" s="1">
        <f t="shared" si="7"/>
        <v>7.4882490329829217E-3</v>
      </c>
      <c r="H66" s="1">
        <f t="shared" si="0"/>
        <v>7.7576675167092895E-4</v>
      </c>
      <c r="I66">
        <f t="shared" si="1"/>
        <v>8</v>
      </c>
      <c r="J66">
        <f t="shared" si="2"/>
        <v>33</v>
      </c>
      <c r="K66" s="5">
        <f t="shared" si="3"/>
        <v>0</v>
      </c>
      <c r="L66">
        <f t="shared" si="4"/>
        <v>53.4</v>
      </c>
      <c r="M66">
        <f t="shared" si="5"/>
        <v>1</v>
      </c>
      <c r="N66">
        <f t="shared" si="6"/>
        <v>0</v>
      </c>
    </row>
    <row r="67" spans="4:14" x14ac:dyDescent="0.2">
      <c r="D67">
        <f t="shared" si="8"/>
        <v>44</v>
      </c>
      <c r="E67" s="1">
        <f t="shared" si="9"/>
        <v>-4.4343407347019275</v>
      </c>
      <c r="F67" s="1">
        <f t="shared" si="10"/>
        <v>-5.0109540990059216</v>
      </c>
      <c r="G67" s="1">
        <f t="shared" si="7"/>
        <v>6.6645416393547961E-3</v>
      </c>
      <c r="H67" s="1">
        <f t="shared" si="0"/>
        <v>6.9043240898712633E-4</v>
      </c>
      <c r="I67">
        <f t="shared" si="1"/>
        <v>8</v>
      </c>
      <c r="J67">
        <f t="shared" si="2"/>
        <v>34</v>
      </c>
      <c r="K67" s="5">
        <f t="shared" si="3"/>
        <v>0</v>
      </c>
      <c r="L67">
        <f t="shared" si="4"/>
        <v>53.4</v>
      </c>
      <c r="M67">
        <f t="shared" si="5"/>
        <v>1</v>
      </c>
      <c r="N67">
        <f t="shared" si="6"/>
        <v>0</v>
      </c>
    </row>
    <row r="68" spans="4:14" x14ac:dyDescent="0.2">
      <c r="D68">
        <f t="shared" si="8"/>
        <v>45</v>
      </c>
      <c r="E68" s="1">
        <f t="shared" si="9"/>
        <v>-4.5508745509578787</v>
      </c>
      <c r="F68" s="1">
        <f t="shared" si="10"/>
        <v>-5.127487915261872</v>
      </c>
      <c r="G68" s="1">
        <f t="shared" si="7"/>
        <v>5.931442059025775E-3</v>
      </c>
      <c r="H68" s="1">
        <f t="shared" si="0"/>
        <v>6.1448484399854314E-4</v>
      </c>
      <c r="I68">
        <f t="shared" si="1"/>
        <v>8</v>
      </c>
      <c r="J68">
        <f t="shared" si="2"/>
        <v>35</v>
      </c>
      <c r="K68" s="5">
        <f t="shared" si="3"/>
        <v>0</v>
      </c>
      <c r="L68">
        <f t="shared" si="4"/>
        <v>53.4</v>
      </c>
      <c r="M68">
        <f t="shared" si="5"/>
        <v>1</v>
      </c>
      <c r="N68">
        <f t="shared" si="6"/>
        <v>0</v>
      </c>
    </row>
    <row r="69" spans="4:14" x14ac:dyDescent="0.2">
      <c r="D69">
        <f t="shared" si="8"/>
        <v>46</v>
      </c>
      <c r="E69" s="1">
        <f t="shared" si="9"/>
        <v>-4.66740836721383</v>
      </c>
      <c r="F69" s="1">
        <f t="shared" si="10"/>
        <v>-5.2440217315178241</v>
      </c>
      <c r="G69" s="1">
        <f t="shared" si="7"/>
        <v>5.2789834325329367E-3</v>
      </c>
      <c r="H69" s="1">
        <f t="shared" si="0"/>
        <v>5.4689151115870302E-4</v>
      </c>
      <c r="I69">
        <f t="shared" si="1"/>
        <v>8</v>
      </c>
      <c r="J69">
        <f t="shared" si="2"/>
        <v>36</v>
      </c>
      <c r="K69" s="5">
        <f t="shared" si="3"/>
        <v>0</v>
      </c>
      <c r="L69">
        <f t="shared" si="4"/>
        <v>53.4</v>
      </c>
      <c r="M69">
        <f t="shared" si="5"/>
        <v>1</v>
      </c>
      <c r="N69">
        <f t="shared" si="6"/>
        <v>0</v>
      </c>
    </row>
    <row r="70" spans="4:14" x14ac:dyDescent="0.2">
      <c r="D70">
        <f t="shared" si="8"/>
        <v>47</v>
      </c>
      <c r="E70" s="1">
        <f t="shared" si="9"/>
        <v>-4.7839421834697813</v>
      </c>
      <c r="F70" s="1">
        <f t="shared" si="10"/>
        <v>-5.3605555477737745</v>
      </c>
      <c r="G70" s="1">
        <f t="shared" si="7"/>
        <v>4.6982952549543188E-3</v>
      </c>
      <c r="H70" s="1">
        <f t="shared" si="0"/>
        <v>4.8673344493124624E-4</v>
      </c>
      <c r="I70">
        <f t="shared" si="1"/>
        <v>8</v>
      </c>
      <c r="J70">
        <f t="shared" si="2"/>
        <v>37</v>
      </c>
      <c r="K70" s="5">
        <f t="shared" si="3"/>
        <v>0</v>
      </c>
      <c r="L70">
        <f t="shared" si="4"/>
        <v>53.4</v>
      </c>
      <c r="M70">
        <f t="shared" si="5"/>
        <v>1</v>
      </c>
      <c r="N70">
        <f t="shared" si="6"/>
        <v>0</v>
      </c>
    </row>
    <row r="71" spans="4:14" x14ac:dyDescent="0.2">
      <c r="D71">
        <f t="shared" si="8"/>
        <v>48</v>
      </c>
      <c r="E71" s="1">
        <f t="shared" si="9"/>
        <v>-4.9004759997257334</v>
      </c>
      <c r="F71" s="1">
        <f t="shared" si="10"/>
        <v>-5.4770893640297267</v>
      </c>
      <c r="G71" s="1">
        <f t="shared" si="7"/>
        <v>4.1814827769093418E-3</v>
      </c>
      <c r="H71" s="1">
        <f t="shared" si="0"/>
        <v>4.3319276598880894E-4</v>
      </c>
      <c r="I71">
        <f t="shared" si="1"/>
        <v>8</v>
      </c>
      <c r="J71">
        <f t="shared" si="2"/>
        <v>38</v>
      </c>
      <c r="K71" s="5">
        <f t="shared" si="3"/>
        <v>0</v>
      </c>
      <c r="L71">
        <f t="shared" si="4"/>
        <v>53.4</v>
      </c>
      <c r="M71">
        <f t="shared" si="5"/>
        <v>1</v>
      </c>
      <c r="N71">
        <f t="shared" si="6"/>
        <v>0</v>
      </c>
    </row>
    <row r="72" spans="4:14" x14ac:dyDescent="0.2">
      <c r="D72">
        <f t="shared" si="8"/>
        <v>49</v>
      </c>
      <c r="E72" s="1">
        <f t="shared" si="9"/>
        <v>-5.0170098159816856</v>
      </c>
      <c r="F72" s="1">
        <f t="shared" si="10"/>
        <v>-5.5936231802856788</v>
      </c>
      <c r="G72" s="1">
        <f t="shared" si="7"/>
        <v>3.7215196714493115E-3</v>
      </c>
      <c r="H72" s="1">
        <f t="shared" si="0"/>
        <v>3.8554156173003969E-4</v>
      </c>
      <c r="I72">
        <f t="shared" si="1"/>
        <v>8</v>
      </c>
      <c r="J72">
        <f t="shared" si="2"/>
        <v>39</v>
      </c>
      <c r="K72" s="5">
        <f t="shared" si="3"/>
        <v>0</v>
      </c>
      <c r="L72">
        <f t="shared" si="4"/>
        <v>53.4</v>
      </c>
      <c r="M72">
        <f t="shared" si="5"/>
        <v>1</v>
      </c>
      <c r="N72">
        <f t="shared" si="6"/>
        <v>0</v>
      </c>
    </row>
    <row r="73" spans="4:14" x14ac:dyDescent="0.2">
      <c r="D73">
        <f t="shared" si="8"/>
        <v>50</v>
      </c>
      <c r="E73" s="1">
        <f t="shared" si="9"/>
        <v>-5.1335436322376378</v>
      </c>
      <c r="F73" s="1">
        <f t="shared" si="10"/>
        <v>-5.710156996541631</v>
      </c>
      <c r="G73" s="1">
        <f t="shared" si="7"/>
        <v>3.3121525075898851E-3</v>
      </c>
      <c r="H73" s="1">
        <f t="shared" si="0"/>
        <v>3.431319899397351E-4</v>
      </c>
      <c r="I73">
        <f t="shared" si="1"/>
        <v>8</v>
      </c>
      <c r="J73">
        <f t="shared" si="2"/>
        <v>40</v>
      </c>
      <c r="K73" s="5">
        <f t="shared" si="3"/>
        <v>0</v>
      </c>
      <c r="L73">
        <f t="shared" si="4"/>
        <v>53.4</v>
      </c>
      <c r="M73">
        <f t="shared" si="5"/>
        <v>1</v>
      </c>
      <c r="N73">
        <f t="shared" si="6"/>
        <v>0</v>
      </c>
    </row>
    <row r="74" spans="4:14" x14ac:dyDescent="0.2">
      <c r="D74">
        <f t="shared" si="8"/>
        <v>51</v>
      </c>
      <c r="E74" s="1">
        <f t="shared" si="9"/>
        <v>-5.2500774484935899</v>
      </c>
      <c r="F74" s="1">
        <f t="shared" si="10"/>
        <v>-5.8266908127975832</v>
      </c>
      <c r="G74" s="1">
        <f t="shared" si="7"/>
        <v>2.9478157317549959E-3</v>
      </c>
      <c r="H74" s="1">
        <f t="shared" si="0"/>
        <v>3.0538747104636403E-4</v>
      </c>
      <c r="I74">
        <f t="shared" si="1"/>
        <v>8</v>
      </c>
      <c r="J74">
        <f t="shared" si="2"/>
        <v>41</v>
      </c>
      <c r="K74" s="5">
        <f t="shared" si="3"/>
        <v>0</v>
      </c>
      <c r="L74">
        <f t="shared" si="4"/>
        <v>53.4</v>
      </c>
      <c r="M74">
        <f t="shared" si="5"/>
        <v>1</v>
      </c>
      <c r="N74">
        <f t="shared" si="6"/>
        <v>0</v>
      </c>
    </row>
    <row r="75" spans="4:14" x14ac:dyDescent="0.2">
      <c r="D75">
        <f t="shared" si="8"/>
        <v>52</v>
      </c>
      <c r="E75" s="1">
        <f t="shared" si="9"/>
        <v>-5.3666112647495421</v>
      </c>
      <c r="F75" s="1">
        <f t="shared" si="10"/>
        <v>-5.9432246290535353</v>
      </c>
      <c r="G75" s="1">
        <f t="shared" si="7"/>
        <v>2.6235560012619445E-3</v>
      </c>
      <c r="H75" s="1">
        <f t="shared" si="0"/>
        <v>2.7179484923126382E-4</v>
      </c>
      <c r="I75">
        <f t="shared" si="1"/>
        <v>8</v>
      </c>
      <c r="J75">
        <f t="shared" si="2"/>
        <v>42</v>
      </c>
      <c r="K75" s="5">
        <f t="shared" si="3"/>
        <v>0</v>
      </c>
      <c r="L75">
        <f t="shared" si="4"/>
        <v>53.4</v>
      </c>
      <c r="M75">
        <f t="shared" si="5"/>
        <v>1</v>
      </c>
      <c r="N75">
        <f t="shared" si="6"/>
        <v>0</v>
      </c>
    </row>
    <row r="76" spans="4:14" x14ac:dyDescent="0.2">
      <c r="D76">
        <f t="shared" si="8"/>
        <v>53</v>
      </c>
      <c r="E76" s="1">
        <f t="shared" si="9"/>
        <v>-5.4831450810054942</v>
      </c>
      <c r="F76" s="1">
        <f t="shared" si="10"/>
        <v>-6.0597584453094875</v>
      </c>
      <c r="G76" s="1">
        <f t="shared" si="7"/>
        <v>2.3349648411231292E-3</v>
      </c>
      <c r="H76" s="1">
        <f t="shared" si="0"/>
        <v>2.4189741581582465E-4</v>
      </c>
      <c r="I76">
        <f t="shared" si="1"/>
        <v>8</v>
      </c>
      <c r="J76">
        <f t="shared" si="2"/>
        <v>43</v>
      </c>
      <c r="K76" s="5">
        <f t="shared" si="3"/>
        <v>0</v>
      </c>
      <c r="L76">
        <f t="shared" si="4"/>
        <v>53.4</v>
      </c>
      <c r="M76">
        <f t="shared" si="5"/>
        <v>1</v>
      </c>
      <c r="N76">
        <f t="shared" si="6"/>
        <v>0</v>
      </c>
    </row>
    <row r="77" spans="4:14" x14ac:dyDescent="0.2">
      <c r="D77">
        <f t="shared" si="8"/>
        <v>54</v>
      </c>
      <c r="E77" s="1">
        <f t="shared" si="9"/>
        <v>-5.5996788972614464</v>
      </c>
      <c r="F77" s="1">
        <f t="shared" si="10"/>
        <v>-6.1762922615654396</v>
      </c>
      <c r="G77" s="1">
        <f t="shared" si="7"/>
        <v>2.0781187085995838E-3</v>
      </c>
      <c r="H77" s="1">
        <f t="shared" si="0"/>
        <v>2.152887000760838E-4</v>
      </c>
      <c r="I77">
        <f t="shared" si="1"/>
        <v>8</v>
      </c>
      <c r="J77">
        <f t="shared" si="2"/>
        <v>44</v>
      </c>
      <c r="K77" s="5">
        <f t="shared" si="3"/>
        <v>0</v>
      </c>
      <c r="L77">
        <f t="shared" si="4"/>
        <v>53.4</v>
      </c>
      <c r="M77">
        <f t="shared" si="5"/>
        <v>1</v>
      </c>
      <c r="N77">
        <f t="shared" si="6"/>
        <v>0</v>
      </c>
    </row>
    <row r="78" spans="4:14" x14ac:dyDescent="0.2">
      <c r="D78">
        <f t="shared" si="8"/>
        <v>55</v>
      </c>
      <c r="E78" s="1">
        <f t="shared" si="9"/>
        <v>-5.7162127135173986</v>
      </c>
      <c r="F78" s="1">
        <f t="shared" si="10"/>
        <v>-6.2928260778213918</v>
      </c>
      <c r="G78" s="1">
        <f t="shared" si="7"/>
        <v>1.8495256506536285E-3</v>
      </c>
      <c r="H78" s="1">
        <f t="shared" si="0"/>
        <v>1.9160694306771448E-4</v>
      </c>
      <c r="I78">
        <f t="shared" si="1"/>
        <v>8</v>
      </c>
      <c r="J78">
        <f t="shared" si="2"/>
        <v>45</v>
      </c>
      <c r="K78" s="5">
        <f t="shared" si="3"/>
        <v>0</v>
      </c>
      <c r="L78">
        <f t="shared" si="4"/>
        <v>53.4</v>
      </c>
      <c r="M78">
        <f t="shared" si="5"/>
        <v>1</v>
      </c>
      <c r="N78">
        <f t="shared" si="6"/>
        <v>0</v>
      </c>
    </row>
    <row r="79" spans="4:14" x14ac:dyDescent="0.2">
      <c r="D79">
        <f t="shared" si="8"/>
        <v>56</v>
      </c>
      <c r="E79" s="1">
        <f t="shared" si="9"/>
        <v>-5.8327465297733507</v>
      </c>
      <c r="F79" s="1">
        <f t="shared" si="10"/>
        <v>-6.409359894077344</v>
      </c>
      <c r="G79" s="1">
        <f t="shared" si="7"/>
        <v>1.6460778290817283E-3</v>
      </c>
      <c r="H79" s="1">
        <f t="shared" si="0"/>
        <v>1.7053017933026579E-4</v>
      </c>
      <c r="I79">
        <f t="shared" si="1"/>
        <v>8</v>
      </c>
      <c r="J79">
        <f t="shared" si="2"/>
        <v>46</v>
      </c>
      <c r="K79" s="5">
        <f t="shared" si="3"/>
        <v>0</v>
      </c>
      <c r="L79">
        <f t="shared" si="4"/>
        <v>53.4</v>
      </c>
      <c r="M79">
        <f t="shared" si="5"/>
        <v>1</v>
      </c>
      <c r="N79">
        <f t="shared" si="6"/>
        <v>0</v>
      </c>
    </row>
    <row r="80" spans="4:14" x14ac:dyDescent="0.2">
      <c r="D80">
        <f t="shared" si="8"/>
        <v>57</v>
      </c>
      <c r="E80" s="1">
        <f t="shared" si="9"/>
        <v>-5.9492803460293029</v>
      </c>
      <c r="F80" s="1">
        <f t="shared" si="10"/>
        <v>-6.5258937103332961</v>
      </c>
      <c r="G80" s="1">
        <f t="shared" si="7"/>
        <v>1.4650092678827372E-3</v>
      </c>
      <c r="H80" s="1">
        <f t="shared" si="0"/>
        <v>1.5177185960393643E-4</v>
      </c>
      <c r="I80">
        <f t="shared" si="1"/>
        <v>8</v>
      </c>
      <c r="J80">
        <f t="shared" si="2"/>
        <v>47</v>
      </c>
      <c r="K80" s="5">
        <f t="shared" si="3"/>
        <v>0</v>
      </c>
      <c r="L80">
        <f t="shared" si="4"/>
        <v>53.4</v>
      </c>
      <c r="M80">
        <f t="shared" si="5"/>
        <v>1</v>
      </c>
      <c r="N80">
        <f t="shared" si="6"/>
        <v>0</v>
      </c>
    </row>
    <row r="81" spans="4:14" x14ac:dyDescent="0.2">
      <c r="D81">
        <f t="shared" si="8"/>
        <v>58</v>
      </c>
      <c r="E81" s="1">
        <f t="shared" si="9"/>
        <v>-6.0658141622852551</v>
      </c>
      <c r="F81" s="1">
        <f t="shared" si="10"/>
        <v>-6.6424275265892483</v>
      </c>
      <c r="G81" s="1">
        <f t="shared" si="7"/>
        <v>1.3038582484156353E-3</v>
      </c>
      <c r="H81" s="1">
        <f t="shared" si="0"/>
        <v>1.3507695504750335E-4</v>
      </c>
      <c r="I81">
        <f t="shared" si="1"/>
        <v>8</v>
      </c>
      <c r="J81">
        <f t="shared" si="2"/>
        <v>48</v>
      </c>
      <c r="K81" s="5">
        <f t="shared" si="3"/>
        <v>0</v>
      </c>
      <c r="L81">
        <f t="shared" si="4"/>
        <v>53.4</v>
      </c>
      <c r="M81">
        <f t="shared" si="5"/>
        <v>1</v>
      </c>
      <c r="N81">
        <f t="shared" si="6"/>
        <v>0</v>
      </c>
    </row>
    <row r="82" spans="4:14" x14ac:dyDescent="0.2">
      <c r="D82">
        <f t="shared" si="8"/>
        <v>59</v>
      </c>
      <c r="E82" s="1">
        <f t="shared" si="9"/>
        <v>-6.1823479785412072</v>
      </c>
      <c r="F82" s="1">
        <f t="shared" si="10"/>
        <v>-6.7589613428452004</v>
      </c>
      <c r="G82" s="1">
        <f t="shared" si="7"/>
        <v>1.1604338410899147E-3</v>
      </c>
      <c r="H82" s="1">
        <f t="shared" si="0"/>
        <v>1.2021848999227791E-4</v>
      </c>
      <c r="I82">
        <f t="shared" si="1"/>
        <v>8</v>
      </c>
      <c r="J82">
        <f t="shared" si="2"/>
        <v>49</v>
      </c>
      <c r="K82" s="5">
        <f t="shared" si="3"/>
        <v>0</v>
      </c>
      <c r="L82">
        <f t="shared" si="4"/>
        <v>53.4</v>
      </c>
      <c r="M82">
        <f t="shared" si="5"/>
        <v>1</v>
      </c>
      <c r="N82">
        <f t="shared" si="6"/>
        <v>0</v>
      </c>
    </row>
    <row r="83" spans="4:14" x14ac:dyDescent="0.2">
      <c r="D83">
        <f t="shared" si="8"/>
        <v>60</v>
      </c>
      <c r="E83" s="1">
        <f t="shared" si="9"/>
        <v>-6.2988817947971594</v>
      </c>
      <c r="F83" s="1">
        <f t="shared" si="10"/>
        <v>-6.8754951591011526</v>
      </c>
      <c r="G83" s="1">
        <f t="shared" si="7"/>
        <v>1.0327861185700233E-3</v>
      </c>
      <c r="H83" s="1">
        <f t="shared" si="0"/>
        <v>1.0699445609312725E-4</v>
      </c>
      <c r="I83">
        <f t="shared" si="1"/>
        <v>8</v>
      </c>
      <c r="J83">
        <f t="shared" si="2"/>
        <v>50</v>
      </c>
      <c r="K83" s="5">
        <f t="shared" si="3"/>
        <v>0</v>
      </c>
      <c r="L83">
        <f t="shared" si="4"/>
        <v>53.4</v>
      </c>
      <c r="M83">
        <f t="shared" si="5"/>
        <v>1</v>
      </c>
      <c r="N83">
        <f t="shared" si="6"/>
        <v>0</v>
      </c>
    </row>
    <row r="84" spans="4:14" x14ac:dyDescent="0.2">
      <c r="D84">
        <f t="shared" si="8"/>
        <v>61</v>
      </c>
      <c r="E84" s="1">
        <f t="shared" si="9"/>
        <v>-6.4154156110531115</v>
      </c>
      <c r="F84" s="1">
        <f t="shared" si="10"/>
        <v>-6.9920289753571048</v>
      </c>
      <c r="G84" s="1">
        <f t="shared" si="7"/>
        <v>9.1917964552732029E-4</v>
      </c>
      <c r="H84" s="1">
        <f t="shared" si="0"/>
        <v>9.5225065922883211E-5</v>
      </c>
      <c r="I84">
        <f t="shared" si="1"/>
        <v>8</v>
      </c>
      <c r="J84">
        <f t="shared" si="2"/>
        <v>51</v>
      </c>
      <c r="K84" s="5">
        <f t="shared" si="3"/>
        <v>0</v>
      </c>
      <c r="L84">
        <f t="shared" si="4"/>
        <v>53.4</v>
      </c>
      <c r="M84">
        <f t="shared" si="5"/>
        <v>1</v>
      </c>
      <c r="N84">
        <f t="shared" si="6"/>
        <v>0</v>
      </c>
    </row>
    <row r="85" spans="4:14" x14ac:dyDescent="0.2">
      <c r="D85">
        <f t="shared" si="8"/>
        <v>62</v>
      </c>
      <c r="E85" s="1">
        <f t="shared" si="9"/>
        <v>-6.5319494273090637</v>
      </c>
      <c r="F85" s="1">
        <f t="shared" si="10"/>
        <v>-7.1085627916130569</v>
      </c>
      <c r="G85" s="1">
        <f t="shared" si="7"/>
        <v>8.180698845193145E-4</v>
      </c>
      <c r="H85" s="1">
        <f t="shared" si="0"/>
        <v>8.4750308671366001E-5</v>
      </c>
      <c r="I85">
        <f t="shared" si="1"/>
        <v>8</v>
      </c>
      <c r="J85">
        <f t="shared" si="2"/>
        <v>52</v>
      </c>
      <c r="K85" s="5">
        <f t="shared" si="3"/>
        <v>0</v>
      </c>
      <c r="L85">
        <f t="shared" si="4"/>
        <v>53.4</v>
      </c>
      <c r="M85">
        <f t="shared" si="5"/>
        <v>1</v>
      </c>
      <c r="N85">
        <f t="shared" si="6"/>
        <v>0</v>
      </c>
    </row>
    <row r="86" spans="4:14" x14ac:dyDescent="0.2">
      <c r="D86">
        <f t="shared" si="8"/>
        <v>63</v>
      </c>
      <c r="E86" s="1">
        <f t="shared" si="9"/>
        <v>-6.6484832435650159</v>
      </c>
      <c r="F86" s="1">
        <f t="shared" si="10"/>
        <v>-7.2250966078690091</v>
      </c>
      <c r="G86" s="1">
        <f t="shared" si="7"/>
        <v>7.2808219722218944E-4</v>
      </c>
      <c r="H86" s="1">
        <f t="shared" si="0"/>
        <v>7.5427774717515693E-5</v>
      </c>
      <c r="I86">
        <f t="shared" si="1"/>
        <v>8</v>
      </c>
      <c r="J86">
        <f t="shared" si="2"/>
        <v>53</v>
      </c>
      <c r="K86" s="5">
        <f t="shared" si="3"/>
        <v>0</v>
      </c>
      <c r="L86">
        <f t="shared" si="4"/>
        <v>53.4</v>
      </c>
      <c r="M86">
        <f t="shared" si="5"/>
        <v>1</v>
      </c>
      <c r="N86">
        <f t="shared" si="6"/>
        <v>0</v>
      </c>
    </row>
    <row r="87" spans="4:14" x14ac:dyDescent="0.2">
      <c r="D87">
        <f t="shared" si="8"/>
        <v>64</v>
      </c>
      <c r="E87" s="1">
        <f t="shared" si="9"/>
        <v>-6.765017059820968</v>
      </c>
      <c r="F87" s="1">
        <f t="shared" si="10"/>
        <v>-7.3416304241249613</v>
      </c>
      <c r="G87" s="1">
        <f t="shared" si="7"/>
        <v>6.4799315552774815E-4</v>
      </c>
      <c r="H87" s="1">
        <f t="shared" ref="H87:H150" si="11">G87/$G$21</f>
        <v>6.7130719498588912E-5</v>
      </c>
      <c r="I87">
        <f t="shared" ref="I87:I150" si="12">IF($F$11&lt;=D87, IF(D87&lt;=$A$15,D87-$F$11,$C$11),0)</f>
        <v>8</v>
      </c>
      <c r="J87">
        <f t="shared" ref="J87:J150" si="13">IF(D87&lt;=$A$15,0,D87-$A$15)</f>
        <v>54</v>
      </c>
      <c r="K87" s="5">
        <f t="shared" ref="K87:K150" si="14">IF(D87&lt;$F$11,H87,0)</f>
        <v>0</v>
      </c>
      <c r="L87">
        <f t="shared" ref="L87:L150" si="15">IF(D87&lt;$A$15,$D$11,$D$11*(1-$H$11))</f>
        <v>53.4</v>
      </c>
      <c r="M87">
        <f t="shared" ref="M87:M150" si="16">IF(D87&lt;$A$15,0,1)</f>
        <v>1</v>
      </c>
      <c r="N87">
        <f t="shared" ref="N87:N150" si="17">IF(SUM(I87:J87)&lt;=($G$11/60*$F$11/($E$11/60)),1,0)</f>
        <v>0</v>
      </c>
    </row>
    <row r="88" spans="4:14" x14ac:dyDescent="0.2">
      <c r="D88">
        <f t="shared" si="8"/>
        <v>65</v>
      </c>
      <c r="E88" s="1">
        <f t="shared" si="9"/>
        <v>-6.8815508760769202</v>
      </c>
      <c r="F88" s="1">
        <f t="shared" si="10"/>
        <v>-7.4581642403809134</v>
      </c>
      <c r="G88" s="1">
        <f t="shared" ref="G88:G151" si="18">EXP(F88)</f>
        <v>5.7671390841969555E-4</v>
      </c>
      <c r="H88" s="1">
        <f t="shared" si="11"/>
        <v>5.9746340353744103E-5</v>
      </c>
      <c r="I88">
        <f t="shared" si="12"/>
        <v>8</v>
      </c>
      <c r="J88">
        <f t="shared" si="13"/>
        <v>55</v>
      </c>
      <c r="K88" s="5">
        <f t="shared" si="14"/>
        <v>0</v>
      </c>
      <c r="L88">
        <f t="shared" si="15"/>
        <v>53.4</v>
      </c>
      <c r="M88">
        <f t="shared" si="16"/>
        <v>1</v>
      </c>
      <c r="N88">
        <f t="shared" si="17"/>
        <v>0</v>
      </c>
    </row>
    <row r="89" spans="4:14" x14ac:dyDescent="0.2">
      <c r="D89">
        <f t="shared" ref="D89:D152" si="19">1+D88</f>
        <v>66</v>
      </c>
      <c r="E89" s="1">
        <f t="shared" ref="E89:E152" si="20">IF($H$11=1,IF(D89&lt;=$A$15, E88+LN($D$11)-LN(60/$E$11)-LN(MIN(D89,$F$11)), E88-LN(60/$E$11)-LN(MIN(D89,$F$11))), IF(D89&lt;=$A$15, E88+LN($D$11)-LN(60/$E$11)-LN(MIN(D89,$F$11)), E88+LN($D$11)+LN(1-$H$11)-LN(60/$E$11)-LN(MIN(D89,$F$11))))</f>
        <v>-6.9980846923328723</v>
      </c>
      <c r="F89" s="1">
        <f t="shared" ref="F89:F152" si="21">E89-$E$21</f>
        <v>-7.5746980566368656</v>
      </c>
      <c r="G89" s="1">
        <f t="shared" si="18"/>
        <v>5.1327537849352872E-4</v>
      </c>
      <c r="H89" s="1">
        <f t="shared" si="11"/>
        <v>5.317424291483222E-5</v>
      </c>
      <c r="I89">
        <f t="shared" si="12"/>
        <v>8</v>
      </c>
      <c r="J89">
        <f t="shared" si="13"/>
        <v>56</v>
      </c>
      <c r="K89" s="5">
        <f t="shared" si="14"/>
        <v>0</v>
      </c>
      <c r="L89">
        <f t="shared" si="15"/>
        <v>53.4</v>
      </c>
      <c r="M89">
        <f t="shared" si="16"/>
        <v>1</v>
      </c>
      <c r="N89">
        <f t="shared" si="17"/>
        <v>0</v>
      </c>
    </row>
    <row r="90" spans="4:14" x14ac:dyDescent="0.2">
      <c r="D90">
        <f t="shared" si="19"/>
        <v>67</v>
      </c>
      <c r="E90" s="1">
        <f t="shared" si="20"/>
        <v>-7.1146185085888245</v>
      </c>
      <c r="F90" s="1">
        <f t="shared" si="21"/>
        <v>-7.6912318728928177</v>
      </c>
      <c r="G90" s="1">
        <f t="shared" si="18"/>
        <v>4.5681508685924024E-4</v>
      </c>
      <c r="H90" s="1">
        <f t="shared" si="11"/>
        <v>4.7325076194200646E-5</v>
      </c>
      <c r="I90">
        <f t="shared" si="12"/>
        <v>8</v>
      </c>
      <c r="J90">
        <f t="shared" si="13"/>
        <v>57</v>
      </c>
      <c r="K90" s="5">
        <f t="shared" si="14"/>
        <v>0</v>
      </c>
      <c r="L90">
        <f t="shared" si="15"/>
        <v>53.4</v>
      </c>
      <c r="M90">
        <f t="shared" si="16"/>
        <v>1</v>
      </c>
      <c r="N90">
        <f t="shared" si="17"/>
        <v>0</v>
      </c>
    </row>
    <row r="91" spans="4:14" x14ac:dyDescent="0.2">
      <c r="D91">
        <f t="shared" si="19"/>
        <v>68</v>
      </c>
      <c r="E91" s="1">
        <f t="shared" si="20"/>
        <v>-7.2311523248447767</v>
      </c>
      <c r="F91" s="1">
        <f t="shared" si="21"/>
        <v>-7.8077656891487699</v>
      </c>
      <c r="G91" s="1">
        <f t="shared" si="18"/>
        <v>4.0656542730472357E-4</v>
      </c>
      <c r="H91" s="1">
        <f t="shared" si="11"/>
        <v>4.2119317812838547E-5</v>
      </c>
      <c r="I91">
        <f t="shared" si="12"/>
        <v>8</v>
      </c>
      <c r="J91">
        <f t="shared" si="13"/>
        <v>58</v>
      </c>
      <c r="K91" s="5">
        <f t="shared" si="14"/>
        <v>0</v>
      </c>
      <c r="L91">
        <f t="shared" si="15"/>
        <v>53.4</v>
      </c>
      <c r="M91">
        <f t="shared" si="16"/>
        <v>1</v>
      </c>
      <c r="N91">
        <f t="shared" si="17"/>
        <v>0</v>
      </c>
    </row>
    <row r="92" spans="4:14" x14ac:dyDescent="0.2">
      <c r="D92">
        <f t="shared" si="19"/>
        <v>69</v>
      </c>
      <c r="E92" s="1">
        <f t="shared" si="20"/>
        <v>-7.3476861411007288</v>
      </c>
      <c r="F92" s="1">
        <f t="shared" si="21"/>
        <v>-7.9242995054047221</v>
      </c>
      <c r="G92" s="1">
        <f t="shared" si="18"/>
        <v>3.6184323030120376E-4</v>
      </c>
      <c r="H92" s="1">
        <f t="shared" si="11"/>
        <v>3.7486192853426283E-5</v>
      </c>
      <c r="I92">
        <f t="shared" si="12"/>
        <v>8</v>
      </c>
      <c r="J92">
        <f t="shared" si="13"/>
        <v>59</v>
      </c>
      <c r="K92" s="5">
        <f t="shared" si="14"/>
        <v>0</v>
      </c>
      <c r="L92">
        <f t="shared" si="15"/>
        <v>53.4</v>
      </c>
      <c r="M92">
        <f t="shared" si="16"/>
        <v>1</v>
      </c>
      <c r="N92">
        <f t="shared" si="17"/>
        <v>0</v>
      </c>
    </row>
    <row r="93" spans="4:14" x14ac:dyDescent="0.2">
      <c r="D93">
        <f t="shared" si="19"/>
        <v>70</v>
      </c>
      <c r="E93" s="1">
        <f t="shared" si="20"/>
        <v>-7.464219957356681</v>
      </c>
      <c r="F93" s="1">
        <f t="shared" si="21"/>
        <v>-8.0408333216606742</v>
      </c>
      <c r="G93" s="1">
        <f t="shared" si="18"/>
        <v>3.2204047496807111E-4</v>
      </c>
      <c r="H93" s="1">
        <f t="shared" si="11"/>
        <v>3.3362711639549369E-5</v>
      </c>
      <c r="I93">
        <f t="shared" si="12"/>
        <v>8</v>
      </c>
      <c r="J93">
        <f t="shared" si="13"/>
        <v>60</v>
      </c>
      <c r="K93" s="5">
        <f t="shared" si="14"/>
        <v>0</v>
      </c>
      <c r="L93">
        <f t="shared" si="15"/>
        <v>53.4</v>
      </c>
      <c r="M93">
        <f t="shared" si="16"/>
        <v>1</v>
      </c>
      <c r="N93">
        <f t="shared" si="17"/>
        <v>0</v>
      </c>
    </row>
    <row r="94" spans="4:14" x14ac:dyDescent="0.2">
      <c r="D94">
        <f t="shared" si="19"/>
        <v>71</v>
      </c>
      <c r="E94" s="1">
        <f t="shared" si="20"/>
        <v>-7.5807537736126331</v>
      </c>
      <c r="F94" s="1">
        <f t="shared" si="21"/>
        <v>-8.1573671379166264</v>
      </c>
      <c r="G94" s="1">
        <f t="shared" si="18"/>
        <v>2.8661602272158314E-4</v>
      </c>
      <c r="H94" s="1">
        <f t="shared" si="11"/>
        <v>2.9692813359198921E-5</v>
      </c>
      <c r="I94">
        <f t="shared" si="12"/>
        <v>8</v>
      </c>
      <c r="J94">
        <f t="shared" si="13"/>
        <v>61</v>
      </c>
      <c r="K94" s="5">
        <f t="shared" si="14"/>
        <v>0</v>
      </c>
      <c r="L94">
        <f t="shared" si="15"/>
        <v>53.4</v>
      </c>
      <c r="M94">
        <f t="shared" si="16"/>
        <v>1</v>
      </c>
      <c r="N94">
        <f t="shared" si="17"/>
        <v>0</v>
      </c>
    </row>
    <row r="95" spans="4:14" x14ac:dyDescent="0.2">
      <c r="D95">
        <f t="shared" si="19"/>
        <v>72</v>
      </c>
      <c r="E95" s="1">
        <f t="shared" si="20"/>
        <v>-7.6972875898685853</v>
      </c>
      <c r="F95" s="1">
        <f t="shared" si="21"/>
        <v>-8.2739009541725785</v>
      </c>
      <c r="G95" s="1">
        <f t="shared" si="18"/>
        <v>2.5508826022220885E-4</v>
      </c>
      <c r="H95" s="1">
        <f t="shared" si="11"/>
        <v>2.6426603889687026E-5</v>
      </c>
      <c r="I95">
        <f t="shared" si="12"/>
        <v>8</v>
      </c>
      <c r="J95">
        <f t="shared" si="13"/>
        <v>62</v>
      </c>
      <c r="K95" s="5">
        <f t="shared" si="14"/>
        <v>0</v>
      </c>
      <c r="L95">
        <f t="shared" si="15"/>
        <v>53.4</v>
      </c>
      <c r="M95">
        <f t="shared" si="16"/>
        <v>1</v>
      </c>
      <c r="N95">
        <f t="shared" si="17"/>
        <v>0</v>
      </c>
    </row>
    <row r="96" spans="4:14" x14ac:dyDescent="0.2">
      <c r="D96">
        <f t="shared" si="19"/>
        <v>73</v>
      </c>
      <c r="E96" s="1">
        <f t="shared" si="20"/>
        <v>-7.8138214061245375</v>
      </c>
      <c r="F96" s="1">
        <f t="shared" si="21"/>
        <v>-8.3904347704285307</v>
      </c>
      <c r="G96" s="1">
        <f t="shared" si="18"/>
        <v>2.2702855159776572E-4</v>
      </c>
      <c r="H96" s="1">
        <f t="shared" si="11"/>
        <v>2.3519677461821436E-5</v>
      </c>
      <c r="I96">
        <f t="shared" si="12"/>
        <v>8</v>
      </c>
      <c r="J96">
        <f t="shared" si="13"/>
        <v>63</v>
      </c>
      <c r="K96" s="5">
        <f t="shared" si="14"/>
        <v>0</v>
      </c>
      <c r="L96">
        <f t="shared" si="15"/>
        <v>53.4</v>
      </c>
      <c r="M96">
        <f t="shared" si="16"/>
        <v>1</v>
      </c>
      <c r="N96">
        <f t="shared" si="17"/>
        <v>0</v>
      </c>
    </row>
    <row r="97" spans="4:14" x14ac:dyDescent="0.2">
      <c r="D97">
        <f t="shared" si="19"/>
        <v>74</v>
      </c>
      <c r="E97" s="1">
        <f t="shared" si="20"/>
        <v>-7.9303552223804896</v>
      </c>
      <c r="F97" s="1">
        <f t="shared" si="21"/>
        <v>-8.5069685866844829</v>
      </c>
      <c r="G97" s="1">
        <f t="shared" si="18"/>
        <v>2.0205541092201135E-4</v>
      </c>
      <c r="H97" s="1">
        <f t="shared" si="11"/>
        <v>2.0932512941021064E-5</v>
      </c>
      <c r="I97">
        <f t="shared" si="12"/>
        <v>8</v>
      </c>
      <c r="J97">
        <f t="shared" si="13"/>
        <v>64</v>
      </c>
      <c r="K97" s="5">
        <f t="shared" si="14"/>
        <v>0</v>
      </c>
      <c r="L97">
        <f t="shared" si="15"/>
        <v>53.4</v>
      </c>
      <c r="M97">
        <f t="shared" si="16"/>
        <v>1</v>
      </c>
      <c r="N97">
        <f t="shared" si="17"/>
        <v>0</v>
      </c>
    </row>
    <row r="98" spans="4:14" x14ac:dyDescent="0.2">
      <c r="D98">
        <f t="shared" si="19"/>
        <v>75</v>
      </c>
      <c r="E98" s="1">
        <f t="shared" si="20"/>
        <v>-8.0468890386364418</v>
      </c>
      <c r="F98" s="1">
        <f t="shared" si="21"/>
        <v>-8.623502402940435</v>
      </c>
      <c r="G98" s="1">
        <f t="shared" si="18"/>
        <v>1.7982931572059E-4</v>
      </c>
      <c r="H98" s="1">
        <f t="shared" si="11"/>
        <v>1.8629936517508736E-5</v>
      </c>
      <c r="I98">
        <f t="shared" si="12"/>
        <v>8</v>
      </c>
      <c r="J98">
        <f t="shared" si="13"/>
        <v>65</v>
      </c>
      <c r="K98" s="5">
        <f t="shared" si="14"/>
        <v>0</v>
      </c>
      <c r="L98">
        <f t="shared" si="15"/>
        <v>53.4</v>
      </c>
      <c r="M98">
        <f t="shared" si="16"/>
        <v>1</v>
      </c>
      <c r="N98">
        <f t="shared" si="17"/>
        <v>0</v>
      </c>
    </row>
    <row r="99" spans="4:14" x14ac:dyDescent="0.2">
      <c r="D99">
        <f t="shared" si="19"/>
        <v>76</v>
      </c>
      <c r="E99" s="1">
        <f t="shared" si="20"/>
        <v>-8.1634228548923939</v>
      </c>
      <c r="F99" s="1">
        <f t="shared" si="21"/>
        <v>-8.7400362191963872</v>
      </c>
      <c r="G99" s="1">
        <f t="shared" si="18"/>
        <v>1.60048090991325E-4</v>
      </c>
      <c r="H99" s="1">
        <f t="shared" si="11"/>
        <v>1.6580643500582766E-5</v>
      </c>
      <c r="I99">
        <f t="shared" si="12"/>
        <v>8</v>
      </c>
      <c r="J99">
        <f t="shared" si="13"/>
        <v>66</v>
      </c>
      <c r="K99" s="5">
        <f t="shared" si="14"/>
        <v>0</v>
      </c>
      <c r="L99">
        <f t="shared" si="15"/>
        <v>53.4</v>
      </c>
      <c r="M99">
        <f t="shared" si="16"/>
        <v>1</v>
      </c>
      <c r="N99">
        <f t="shared" si="17"/>
        <v>0</v>
      </c>
    </row>
    <row r="100" spans="4:14" x14ac:dyDescent="0.2">
      <c r="D100">
        <f t="shared" si="19"/>
        <v>77</v>
      </c>
      <c r="E100" s="1">
        <f t="shared" si="20"/>
        <v>-8.2799566711483461</v>
      </c>
      <c r="F100" s="1">
        <f t="shared" si="21"/>
        <v>-8.8565700354523393</v>
      </c>
      <c r="G100" s="1">
        <f t="shared" si="18"/>
        <v>1.4244280098227915E-4</v>
      </c>
      <c r="H100" s="1">
        <f t="shared" si="11"/>
        <v>1.475677271551865E-5</v>
      </c>
      <c r="I100">
        <f t="shared" si="12"/>
        <v>8</v>
      </c>
      <c r="J100">
        <f t="shared" si="13"/>
        <v>67</v>
      </c>
      <c r="K100" s="5">
        <f t="shared" si="14"/>
        <v>0</v>
      </c>
      <c r="L100">
        <f t="shared" si="15"/>
        <v>53.4</v>
      </c>
      <c r="M100">
        <f t="shared" si="16"/>
        <v>1</v>
      </c>
      <c r="N100">
        <f t="shared" si="17"/>
        <v>0</v>
      </c>
    </row>
    <row r="101" spans="4:14" x14ac:dyDescent="0.2">
      <c r="D101">
        <f t="shared" si="19"/>
        <v>78</v>
      </c>
      <c r="E101" s="1">
        <f t="shared" si="20"/>
        <v>-8.3964904874042983</v>
      </c>
      <c r="F101" s="1">
        <f t="shared" si="21"/>
        <v>-8.9731038517082915</v>
      </c>
      <c r="G101" s="1">
        <f t="shared" si="18"/>
        <v>1.2677409287422837E-4</v>
      </c>
      <c r="H101" s="1">
        <f t="shared" si="11"/>
        <v>1.3133527716811592E-5</v>
      </c>
      <c r="I101">
        <f t="shared" si="12"/>
        <v>8</v>
      </c>
      <c r="J101">
        <f t="shared" si="13"/>
        <v>68</v>
      </c>
      <c r="K101" s="5">
        <f t="shared" si="14"/>
        <v>0</v>
      </c>
      <c r="L101">
        <f t="shared" si="15"/>
        <v>53.4</v>
      </c>
      <c r="M101">
        <f t="shared" si="16"/>
        <v>1</v>
      </c>
      <c r="N101">
        <f t="shared" si="17"/>
        <v>0</v>
      </c>
    </row>
    <row r="102" spans="4:14" x14ac:dyDescent="0.2">
      <c r="D102">
        <f t="shared" si="19"/>
        <v>79</v>
      </c>
      <c r="E102" s="1">
        <f t="shared" si="20"/>
        <v>-8.5130243036602504</v>
      </c>
      <c r="F102" s="1">
        <f t="shared" si="21"/>
        <v>-9.0896376679642437</v>
      </c>
      <c r="G102" s="1">
        <f t="shared" si="18"/>
        <v>1.1282894265806318E-4</v>
      </c>
      <c r="H102" s="1">
        <f t="shared" si="11"/>
        <v>1.1688839667962309E-5</v>
      </c>
      <c r="I102">
        <f t="shared" si="12"/>
        <v>8</v>
      </c>
      <c r="J102">
        <f t="shared" si="13"/>
        <v>69</v>
      </c>
      <c r="K102" s="5">
        <f t="shared" si="14"/>
        <v>0</v>
      </c>
      <c r="L102">
        <f t="shared" si="15"/>
        <v>53.4</v>
      </c>
      <c r="M102">
        <f t="shared" si="16"/>
        <v>1</v>
      </c>
      <c r="N102">
        <f t="shared" si="17"/>
        <v>0</v>
      </c>
    </row>
    <row r="103" spans="4:14" x14ac:dyDescent="0.2">
      <c r="D103">
        <f t="shared" si="19"/>
        <v>80</v>
      </c>
      <c r="E103" s="1">
        <f t="shared" si="20"/>
        <v>-8.6295581199162026</v>
      </c>
      <c r="F103" s="1">
        <f t="shared" si="21"/>
        <v>-9.2061714842201958</v>
      </c>
      <c r="G103" s="1">
        <f t="shared" si="18"/>
        <v>1.0041775896567617E-4</v>
      </c>
      <c r="H103" s="1">
        <f t="shared" si="11"/>
        <v>1.0403067304486449E-5</v>
      </c>
      <c r="I103">
        <f t="shared" si="12"/>
        <v>8</v>
      </c>
      <c r="J103">
        <f t="shared" si="13"/>
        <v>70</v>
      </c>
      <c r="K103" s="5">
        <f t="shared" si="14"/>
        <v>0</v>
      </c>
      <c r="L103">
        <f t="shared" si="15"/>
        <v>53.4</v>
      </c>
      <c r="M103">
        <f t="shared" si="16"/>
        <v>1</v>
      </c>
      <c r="N103">
        <f t="shared" si="17"/>
        <v>0</v>
      </c>
    </row>
    <row r="104" spans="4:14" x14ac:dyDescent="0.2">
      <c r="D104">
        <f t="shared" si="19"/>
        <v>81</v>
      </c>
      <c r="E104" s="1">
        <f t="shared" si="20"/>
        <v>-8.7460919361721547</v>
      </c>
      <c r="F104" s="1">
        <f t="shared" si="21"/>
        <v>-9.322705300476148</v>
      </c>
      <c r="G104" s="1">
        <f t="shared" si="18"/>
        <v>8.9371805479451728E-5</v>
      </c>
      <c r="H104" s="1">
        <f t="shared" si="11"/>
        <v>9.2587299009929331E-6</v>
      </c>
      <c r="I104">
        <f t="shared" si="12"/>
        <v>8</v>
      </c>
      <c r="J104">
        <f t="shared" si="13"/>
        <v>71</v>
      </c>
      <c r="K104" s="5">
        <f t="shared" si="14"/>
        <v>0</v>
      </c>
      <c r="L104">
        <f t="shared" si="15"/>
        <v>53.4</v>
      </c>
      <c r="M104">
        <f t="shared" si="16"/>
        <v>1</v>
      </c>
      <c r="N104">
        <f t="shared" si="17"/>
        <v>0</v>
      </c>
    </row>
    <row r="105" spans="4:14" x14ac:dyDescent="0.2">
      <c r="D105">
        <f t="shared" si="19"/>
        <v>82</v>
      </c>
      <c r="E105" s="1">
        <f t="shared" si="20"/>
        <v>-8.8626257524281069</v>
      </c>
      <c r="F105" s="1">
        <f t="shared" si="21"/>
        <v>-9.4392391167321001</v>
      </c>
      <c r="G105" s="1">
        <f t="shared" si="18"/>
        <v>7.9540906876711992E-5</v>
      </c>
      <c r="H105" s="1">
        <f t="shared" si="11"/>
        <v>8.2402696118837058E-6</v>
      </c>
      <c r="I105">
        <f t="shared" si="12"/>
        <v>8</v>
      </c>
      <c r="J105">
        <f t="shared" si="13"/>
        <v>72</v>
      </c>
      <c r="K105" s="5">
        <f t="shared" si="14"/>
        <v>0</v>
      </c>
      <c r="L105">
        <f t="shared" si="15"/>
        <v>53.4</v>
      </c>
      <c r="M105">
        <f t="shared" si="16"/>
        <v>1</v>
      </c>
      <c r="N105">
        <f t="shared" si="17"/>
        <v>0</v>
      </c>
    </row>
    <row r="106" spans="4:14" x14ac:dyDescent="0.2">
      <c r="D106">
        <f t="shared" si="19"/>
        <v>83</v>
      </c>
      <c r="E106" s="1">
        <f t="shared" si="20"/>
        <v>-8.9791595686840591</v>
      </c>
      <c r="F106" s="1">
        <f t="shared" si="21"/>
        <v>-9.5557729329880523</v>
      </c>
      <c r="G106" s="1">
        <f t="shared" si="18"/>
        <v>7.0791407120273631E-5</v>
      </c>
      <c r="H106" s="1">
        <f t="shared" si="11"/>
        <v>7.3338399545764939E-6</v>
      </c>
      <c r="I106">
        <f t="shared" si="12"/>
        <v>8</v>
      </c>
      <c r="J106">
        <f t="shared" si="13"/>
        <v>73</v>
      </c>
      <c r="K106" s="5">
        <f t="shared" si="14"/>
        <v>0</v>
      </c>
      <c r="L106">
        <f t="shared" si="15"/>
        <v>53.4</v>
      </c>
      <c r="M106">
        <f t="shared" si="16"/>
        <v>1</v>
      </c>
      <c r="N106">
        <f t="shared" si="17"/>
        <v>0</v>
      </c>
    </row>
    <row r="107" spans="4:14" x14ac:dyDescent="0.2">
      <c r="D107">
        <f t="shared" si="19"/>
        <v>84</v>
      </c>
      <c r="E107" s="1">
        <f t="shared" si="20"/>
        <v>-9.0956933849400112</v>
      </c>
      <c r="F107" s="1">
        <f t="shared" si="21"/>
        <v>-9.6723067492440045</v>
      </c>
      <c r="G107" s="1">
        <f t="shared" si="18"/>
        <v>6.3004352337043488E-5</v>
      </c>
      <c r="H107" s="1">
        <f t="shared" si="11"/>
        <v>6.527117559573075E-6</v>
      </c>
      <c r="I107">
        <f t="shared" si="12"/>
        <v>8</v>
      </c>
      <c r="J107">
        <f t="shared" si="13"/>
        <v>74</v>
      </c>
      <c r="K107" s="5">
        <f t="shared" si="14"/>
        <v>0</v>
      </c>
      <c r="L107">
        <f t="shared" si="15"/>
        <v>53.4</v>
      </c>
      <c r="M107">
        <f t="shared" si="16"/>
        <v>1</v>
      </c>
      <c r="N107">
        <f t="shared" si="17"/>
        <v>0</v>
      </c>
    </row>
    <row r="108" spans="4:14" x14ac:dyDescent="0.2">
      <c r="D108">
        <f t="shared" si="19"/>
        <v>85</v>
      </c>
      <c r="E108" s="1">
        <f t="shared" si="20"/>
        <v>-9.2122272011959634</v>
      </c>
      <c r="F108" s="1">
        <f t="shared" si="21"/>
        <v>-9.7888405654999566</v>
      </c>
      <c r="G108" s="1">
        <f t="shared" si="18"/>
        <v>5.6073873579968668E-5</v>
      </c>
      <c r="H108" s="1">
        <f t="shared" si="11"/>
        <v>5.809134628020033E-6</v>
      </c>
      <c r="I108">
        <f t="shared" si="12"/>
        <v>8</v>
      </c>
      <c r="J108">
        <f t="shared" si="13"/>
        <v>75</v>
      </c>
      <c r="K108" s="5">
        <f t="shared" si="14"/>
        <v>0</v>
      </c>
      <c r="L108">
        <f t="shared" si="15"/>
        <v>53.4</v>
      </c>
      <c r="M108">
        <f t="shared" si="16"/>
        <v>1</v>
      </c>
      <c r="N108">
        <f t="shared" si="17"/>
        <v>0</v>
      </c>
    </row>
    <row r="109" spans="4:14" x14ac:dyDescent="0.2">
      <c r="D109">
        <f t="shared" si="19"/>
        <v>86</v>
      </c>
      <c r="E109" s="1">
        <f t="shared" si="20"/>
        <v>-9.3287610174519155</v>
      </c>
      <c r="F109" s="1">
        <f t="shared" si="21"/>
        <v>-9.9053743817559088</v>
      </c>
      <c r="G109" s="1">
        <f t="shared" si="18"/>
        <v>4.9905747486172084E-5</v>
      </c>
      <c r="H109" s="1">
        <f t="shared" si="11"/>
        <v>5.1701298189378258E-6</v>
      </c>
      <c r="I109">
        <f t="shared" si="12"/>
        <v>8</v>
      </c>
      <c r="J109">
        <f t="shared" si="13"/>
        <v>76</v>
      </c>
      <c r="K109" s="5">
        <f t="shared" si="14"/>
        <v>0</v>
      </c>
      <c r="L109">
        <f t="shared" si="15"/>
        <v>53.4</v>
      </c>
      <c r="M109">
        <f t="shared" si="16"/>
        <v>1</v>
      </c>
      <c r="N109">
        <f t="shared" si="17"/>
        <v>0</v>
      </c>
    </row>
    <row r="110" spans="4:14" x14ac:dyDescent="0.2">
      <c r="D110">
        <f t="shared" si="19"/>
        <v>87</v>
      </c>
      <c r="E110" s="1">
        <f t="shared" si="20"/>
        <v>-9.4452948337078677</v>
      </c>
      <c r="F110" s="1">
        <f t="shared" si="21"/>
        <v>-10.021908198011861</v>
      </c>
      <c r="G110" s="1">
        <f t="shared" si="18"/>
        <v>4.4416115262693124E-5</v>
      </c>
      <c r="H110" s="1">
        <f t="shared" si="11"/>
        <v>4.6014155388546621E-6</v>
      </c>
      <c r="I110">
        <f t="shared" si="12"/>
        <v>8</v>
      </c>
      <c r="J110">
        <f t="shared" si="13"/>
        <v>77</v>
      </c>
      <c r="K110" s="5">
        <f t="shared" si="14"/>
        <v>0</v>
      </c>
      <c r="L110">
        <f t="shared" si="15"/>
        <v>53.4</v>
      </c>
      <c r="M110">
        <f t="shared" si="16"/>
        <v>1</v>
      </c>
      <c r="N110">
        <f t="shared" si="17"/>
        <v>0</v>
      </c>
    </row>
    <row r="111" spans="4:14" x14ac:dyDescent="0.2">
      <c r="D111">
        <f t="shared" si="19"/>
        <v>88</v>
      </c>
      <c r="E111" s="1">
        <f t="shared" si="20"/>
        <v>-9.5618286499638199</v>
      </c>
      <c r="F111" s="1">
        <f t="shared" si="21"/>
        <v>-10.138442014267813</v>
      </c>
      <c r="G111" s="1">
        <f t="shared" si="18"/>
        <v>3.9530342583796857E-5</v>
      </c>
      <c r="H111" s="1">
        <f t="shared" si="11"/>
        <v>4.0952598295806464E-6</v>
      </c>
      <c r="I111">
        <f t="shared" si="12"/>
        <v>8</v>
      </c>
      <c r="J111">
        <f t="shared" si="13"/>
        <v>78</v>
      </c>
      <c r="K111" s="5">
        <f t="shared" si="14"/>
        <v>0</v>
      </c>
      <c r="L111">
        <f t="shared" si="15"/>
        <v>53.4</v>
      </c>
      <c r="M111">
        <f t="shared" si="16"/>
        <v>1</v>
      </c>
      <c r="N111">
        <f t="shared" si="17"/>
        <v>0</v>
      </c>
    </row>
    <row r="112" spans="4:14" x14ac:dyDescent="0.2">
      <c r="D112">
        <f t="shared" si="19"/>
        <v>89</v>
      </c>
      <c r="E112" s="1">
        <f t="shared" si="20"/>
        <v>-9.678362466219772</v>
      </c>
      <c r="F112" s="1">
        <f t="shared" si="21"/>
        <v>-10.254975830523765</v>
      </c>
      <c r="G112" s="1">
        <f t="shared" si="18"/>
        <v>3.5182004899579179E-5</v>
      </c>
      <c r="H112" s="1">
        <f t="shared" si="11"/>
        <v>3.644781248326773E-6</v>
      </c>
      <c r="I112">
        <f t="shared" si="12"/>
        <v>8</v>
      </c>
      <c r="J112">
        <f t="shared" si="13"/>
        <v>79</v>
      </c>
      <c r="K112" s="5">
        <f t="shared" si="14"/>
        <v>0</v>
      </c>
      <c r="L112">
        <f t="shared" si="15"/>
        <v>53.4</v>
      </c>
      <c r="M112">
        <f t="shared" si="16"/>
        <v>1</v>
      </c>
      <c r="N112">
        <f t="shared" si="17"/>
        <v>0</v>
      </c>
    </row>
    <row r="113" spans="4:14" x14ac:dyDescent="0.2">
      <c r="D113">
        <f t="shared" si="19"/>
        <v>90</v>
      </c>
      <c r="E113" s="1">
        <f t="shared" si="20"/>
        <v>-9.7948962824757242</v>
      </c>
      <c r="F113" s="1">
        <f t="shared" si="21"/>
        <v>-10.371509646779717</v>
      </c>
      <c r="G113" s="1">
        <f t="shared" si="18"/>
        <v>3.1311984360625454E-5</v>
      </c>
      <c r="H113" s="1">
        <f t="shared" si="11"/>
        <v>3.2438553110108265E-6</v>
      </c>
      <c r="I113">
        <f t="shared" si="12"/>
        <v>8</v>
      </c>
      <c r="J113">
        <f t="shared" si="13"/>
        <v>80</v>
      </c>
      <c r="K113" s="5">
        <f t="shared" si="14"/>
        <v>0</v>
      </c>
      <c r="L113">
        <f t="shared" si="15"/>
        <v>53.4</v>
      </c>
      <c r="M113">
        <f t="shared" si="16"/>
        <v>1</v>
      </c>
      <c r="N113">
        <f t="shared" si="17"/>
        <v>0</v>
      </c>
    </row>
    <row r="114" spans="4:14" x14ac:dyDescent="0.2">
      <c r="D114">
        <f t="shared" si="19"/>
        <v>91</v>
      </c>
      <c r="E114" s="1">
        <f t="shared" si="20"/>
        <v>-9.9114300987316764</v>
      </c>
      <c r="F114" s="1">
        <f t="shared" si="21"/>
        <v>-10.48804346303567</v>
      </c>
      <c r="G114" s="1">
        <f t="shared" si="18"/>
        <v>2.7867666080956632E-5</v>
      </c>
      <c r="H114" s="1">
        <f t="shared" si="11"/>
        <v>2.8870312267996334E-6</v>
      </c>
      <c r="I114">
        <f t="shared" si="12"/>
        <v>8</v>
      </c>
      <c r="J114">
        <f t="shared" si="13"/>
        <v>81</v>
      </c>
      <c r="K114" s="5">
        <f t="shared" si="14"/>
        <v>0</v>
      </c>
      <c r="L114">
        <f t="shared" si="15"/>
        <v>53.4</v>
      </c>
      <c r="M114">
        <f t="shared" si="16"/>
        <v>1</v>
      </c>
      <c r="N114">
        <f t="shared" si="17"/>
        <v>0</v>
      </c>
    </row>
    <row r="115" spans="4:14" x14ac:dyDescent="0.2">
      <c r="D115">
        <f t="shared" si="19"/>
        <v>92</v>
      </c>
      <c r="E115" s="1">
        <f t="shared" si="20"/>
        <v>-10.027963914987629</v>
      </c>
      <c r="F115" s="1">
        <f t="shared" si="21"/>
        <v>-10.604577279291622</v>
      </c>
      <c r="G115" s="1">
        <f t="shared" si="18"/>
        <v>2.4802222812051389E-5</v>
      </c>
      <c r="H115" s="1">
        <f t="shared" si="11"/>
        <v>2.5694577918516722E-6</v>
      </c>
      <c r="I115">
        <f t="shared" si="12"/>
        <v>8</v>
      </c>
      <c r="J115">
        <f t="shared" si="13"/>
        <v>82</v>
      </c>
      <c r="K115" s="5">
        <f t="shared" si="14"/>
        <v>0</v>
      </c>
      <c r="L115">
        <f t="shared" si="15"/>
        <v>53.4</v>
      </c>
      <c r="M115">
        <f t="shared" si="16"/>
        <v>1</v>
      </c>
      <c r="N115">
        <f t="shared" si="17"/>
        <v>0</v>
      </c>
    </row>
    <row r="116" spans="4:14" x14ac:dyDescent="0.2">
      <c r="D116">
        <f t="shared" si="19"/>
        <v>93</v>
      </c>
      <c r="E116" s="1">
        <f t="shared" si="20"/>
        <v>-10.144497731243581</v>
      </c>
      <c r="F116" s="1">
        <f t="shared" si="21"/>
        <v>-10.721111095547574</v>
      </c>
      <c r="G116" s="1">
        <f t="shared" si="18"/>
        <v>2.2073978302725722E-5</v>
      </c>
      <c r="H116" s="1">
        <f t="shared" si="11"/>
        <v>2.2868174347479871E-6</v>
      </c>
      <c r="I116">
        <f t="shared" si="12"/>
        <v>8</v>
      </c>
      <c r="J116">
        <f t="shared" si="13"/>
        <v>83</v>
      </c>
      <c r="K116" s="5">
        <f t="shared" si="14"/>
        <v>0</v>
      </c>
      <c r="L116">
        <f t="shared" si="15"/>
        <v>53.4</v>
      </c>
      <c r="M116">
        <f t="shared" si="16"/>
        <v>1</v>
      </c>
      <c r="N116">
        <f t="shared" si="17"/>
        <v>0</v>
      </c>
    </row>
    <row r="117" spans="4:14" x14ac:dyDescent="0.2">
      <c r="D117">
        <f t="shared" si="19"/>
        <v>94</v>
      </c>
      <c r="E117" s="1">
        <f t="shared" si="20"/>
        <v>-10.261031547499533</v>
      </c>
      <c r="F117" s="1">
        <f t="shared" si="21"/>
        <v>-10.837644911803526</v>
      </c>
      <c r="G117" s="1">
        <f t="shared" si="18"/>
        <v>1.9645840689425879E-5</v>
      </c>
      <c r="H117" s="1">
        <f t="shared" si="11"/>
        <v>2.0352675169257068E-6</v>
      </c>
      <c r="I117">
        <f t="shared" si="12"/>
        <v>8</v>
      </c>
      <c r="J117">
        <f t="shared" si="13"/>
        <v>84</v>
      </c>
      <c r="K117" s="5">
        <f t="shared" si="14"/>
        <v>0</v>
      </c>
      <c r="L117">
        <f t="shared" si="15"/>
        <v>53.4</v>
      </c>
      <c r="M117">
        <f t="shared" si="16"/>
        <v>1</v>
      </c>
      <c r="N117">
        <f t="shared" si="17"/>
        <v>0</v>
      </c>
    </row>
    <row r="118" spans="4:14" x14ac:dyDescent="0.2">
      <c r="D118">
        <f t="shared" si="19"/>
        <v>95</v>
      </c>
      <c r="E118" s="1">
        <f t="shared" si="20"/>
        <v>-10.377565363755485</v>
      </c>
      <c r="F118" s="1">
        <f t="shared" si="21"/>
        <v>-10.954178728059478</v>
      </c>
      <c r="G118" s="1">
        <f t="shared" si="18"/>
        <v>1.7484798213589021E-5</v>
      </c>
      <c r="H118" s="1">
        <f t="shared" si="11"/>
        <v>1.8113880900638781E-6</v>
      </c>
      <c r="I118">
        <f t="shared" si="12"/>
        <v>8</v>
      </c>
      <c r="J118">
        <f t="shared" si="13"/>
        <v>85</v>
      </c>
      <c r="K118" s="5">
        <f t="shared" si="14"/>
        <v>0</v>
      </c>
      <c r="L118">
        <f t="shared" si="15"/>
        <v>53.4</v>
      </c>
      <c r="M118">
        <f t="shared" si="16"/>
        <v>1</v>
      </c>
      <c r="N118">
        <f t="shared" si="17"/>
        <v>0</v>
      </c>
    </row>
    <row r="119" spans="4:14" x14ac:dyDescent="0.2">
      <c r="D119">
        <f t="shared" si="19"/>
        <v>96</v>
      </c>
      <c r="E119" s="1">
        <f t="shared" si="20"/>
        <v>-10.494099180011437</v>
      </c>
      <c r="F119" s="1">
        <f t="shared" si="21"/>
        <v>-11.07071254431543</v>
      </c>
      <c r="G119" s="1">
        <f t="shared" si="18"/>
        <v>1.5561470410094218E-5</v>
      </c>
      <c r="H119" s="1">
        <f t="shared" si="11"/>
        <v>1.6121354001568503E-6</v>
      </c>
      <c r="I119">
        <f t="shared" si="12"/>
        <v>8</v>
      </c>
      <c r="J119">
        <f t="shared" si="13"/>
        <v>86</v>
      </c>
      <c r="K119" s="5">
        <f t="shared" si="14"/>
        <v>0</v>
      </c>
      <c r="L119">
        <f t="shared" si="15"/>
        <v>53.4</v>
      </c>
      <c r="M119">
        <f t="shared" si="16"/>
        <v>1</v>
      </c>
      <c r="N119">
        <f t="shared" si="17"/>
        <v>0</v>
      </c>
    </row>
    <row r="120" spans="4:14" x14ac:dyDescent="0.2">
      <c r="D120">
        <f t="shared" si="19"/>
        <v>97</v>
      </c>
      <c r="E120" s="1">
        <f t="shared" si="20"/>
        <v>-10.610632996267389</v>
      </c>
      <c r="F120" s="1">
        <f t="shared" si="21"/>
        <v>-11.187246360571383</v>
      </c>
      <c r="G120" s="1">
        <f t="shared" si="18"/>
        <v>1.3849708664983846E-5</v>
      </c>
      <c r="H120" s="1">
        <f t="shared" si="11"/>
        <v>1.4348005061395961E-6</v>
      </c>
      <c r="I120">
        <f t="shared" si="12"/>
        <v>8</v>
      </c>
      <c r="J120">
        <f t="shared" si="13"/>
        <v>87</v>
      </c>
      <c r="K120" s="5">
        <f t="shared" si="14"/>
        <v>0</v>
      </c>
      <c r="L120">
        <f t="shared" si="15"/>
        <v>53.4</v>
      </c>
      <c r="M120">
        <f t="shared" si="16"/>
        <v>1</v>
      </c>
      <c r="N120">
        <f t="shared" si="17"/>
        <v>0</v>
      </c>
    </row>
    <row r="121" spans="4:14" x14ac:dyDescent="0.2">
      <c r="D121">
        <f t="shared" si="19"/>
        <v>98</v>
      </c>
      <c r="E121" s="1">
        <f t="shared" si="20"/>
        <v>-10.727166812523341</v>
      </c>
      <c r="F121" s="1">
        <f t="shared" si="21"/>
        <v>-11.303780176827335</v>
      </c>
      <c r="G121" s="1">
        <f t="shared" si="18"/>
        <v>1.2326240711835616E-5</v>
      </c>
      <c r="H121" s="1">
        <f t="shared" si="11"/>
        <v>1.2769724504642397E-6</v>
      </c>
      <c r="I121">
        <f t="shared" si="12"/>
        <v>8</v>
      </c>
      <c r="J121">
        <f t="shared" si="13"/>
        <v>88</v>
      </c>
      <c r="K121" s="5">
        <f t="shared" si="14"/>
        <v>0</v>
      </c>
      <c r="L121">
        <f t="shared" si="15"/>
        <v>53.4</v>
      </c>
      <c r="M121">
        <f t="shared" si="16"/>
        <v>1</v>
      </c>
      <c r="N121">
        <f t="shared" si="17"/>
        <v>0</v>
      </c>
    </row>
    <row r="122" spans="4:14" x14ac:dyDescent="0.2">
      <c r="D122">
        <f t="shared" si="19"/>
        <v>99</v>
      </c>
      <c r="E122" s="1">
        <f t="shared" si="20"/>
        <v>-10.843700628779294</v>
      </c>
      <c r="F122" s="1">
        <f t="shared" si="21"/>
        <v>-11.420313993083287</v>
      </c>
      <c r="G122" s="1">
        <f t="shared" si="18"/>
        <v>1.097035423353369E-5</v>
      </c>
      <c r="H122" s="1">
        <f t="shared" si="11"/>
        <v>1.1365054809131725E-6</v>
      </c>
      <c r="I122">
        <f t="shared" si="12"/>
        <v>8</v>
      </c>
      <c r="J122">
        <f t="shared" si="13"/>
        <v>89</v>
      </c>
      <c r="K122" s="5">
        <f t="shared" si="14"/>
        <v>0</v>
      </c>
      <c r="L122">
        <f t="shared" si="15"/>
        <v>53.4</v>
      </c>
      <c r="M122">
        <f t="shared" si="16"/>
        <v>1</v>
      </c>
      <c r="N122">
        <f t="shared" si="17"/>
        <v>0</v>
      </c>
    </row>
    <row r="123" spans="4:14" x14ac:dyDescent="0.2">
      <c r="D123">
        <f t="shared" si="19"/>
        <v>100</v>
      </c>
      <c r="E123" s="1">
        <f t="shared" si="20"/>
        <v>-10.960234445035246</v>
      </c>
      <c r="F123" s="1">
        <f t="shared" si="21"/>
        <v>-11.536847809339239</v>
      </c>
      <c r="G123" s="1">
        <f t="shared" si="18"/>
        <v>9.7636152678449793E-6</v>
      </c>
      <c r="H123" s="1">
        <f t="shared" si="11"/>
        <v>1.011489878012723E-6</v>
      </c>
      <c r="I123">
        <f t="shared" si="12"/>
        <v>8</v>
      </c>
      <c r="J123">
        <f t="shared" si="13"/>
        <v>90</v>
      </c>
      <c r="K123" s="5">
        <f t="shared" si="14"/>
        <v>0</v>
      </c>
      <c r="L123">
        <f t="shared" si="15"/>
        <v>53.4</v>
      </c>
      <c r="M123">
        <f t="shared" si="16"/>
        <v>1</v>
      </c>
      <c r="N123">
        <f t="shared" si="17"/>
        <v>0</v>
      </c>
    </row>
    <row r="124" spans="4:14" x14ac:dyDescent="0.2">
      <c r="D124">
        <f t="shared" si="19"/>
        <v>101</v>
      </c>
      <c r="E124" s="1">
        <f t="shared" si="20"/>
        <v>-11.076768261291198</v>
      </c>
      <c r="F124" s="1">
        <f t="shared" si="21"/>
        <v>-11.653381625595191</v>
      </c>
      <c r="G124" s="1">
        <f t="shared" si="18"/>
        <v>8.689617588382025E-6</v>
      </c>
      <c r="H124" s="1">
        <f t="shared" si="11"/>
        <v>9.0022599143132275E-7</v>
      </c>
      <c r="I124">
        <f t="shared" si="12"/>
        <v>8</v>
      </c>
      <c r="J124">
        <f t="shared" si="13"/>
        <v>91</v>
      </c>
      <c r="K124" s="5">
        <f t="shared" si="14"/>
        <v>0</v>
      </c>
      <c r="L124">
        <f t="shared" si="15"/>
        <v>53.4</v>
      </c>
      <c r="M124">
        <f t="shared" si="16"/>
        <v>1</v>
      </c>
      <c r="N124">
        <f t="shared" si="17"/>
        <v>0</v>
      </c>
    </row>
    <row r="125" spans="4:14" x14ac:dyDescent="0.2">
      <c r="D125">
        <f t="shared" si="19"/>
        <v>102</v>
      </c>
      <c r="E125" s="1">
        <f t="shared" si="20"/>
        <v>-11.19330207754715</v>
      </c>
      <c r="F125" s="1">
        <f t="shared" si="21"/>
        <v>-11.769915441851143</v>
      </c>
      <c r="G125" s="1">
        <f t="shared" si="18"/>
        <v>7.7337596536599975E-6</v>
      </c>
      <c r="H125" s="1">
        <f t="shared" si="11"/>
        <v>8.0120113237387677E-7</v>
      </c>
      <c r="I125">
        <f t="shared" si="12"/>
        <v>8</v>
      </c>
      <c r="J125">
        <f t="shared" si="13"/>
        <v>92</v>
      </c>
      <c r="K125" s="5">
        <f t="shared" si="14"/>
        <v>0</v>
      </c>
      <c r="L125">
        <f t="shared" si="15"/>
        <v>53.4</v>
      </c>
      <c r="M125">
        <f t="shared" si="16"/>
        <v>1</v>
      </c>
      <c r="N125">
        <f t="shared" si="17"/>
        <v>0</v>
      </c>
    </row>
    <row r="126" spans="4:14" x14ac:dyDescent="0.2">
      <c r="D126">
        <f t="shared" si="19"/>
        <v>103</v>
      </c>
      <c r="E126" s="1">
        <f t="shared" si="20"/>
        <v>-11.309835893803102</v>
      </c>
      <c r="F126" s="1">
        <f t="shared" si="21"/>
        <v>-11.886449258107096</v>
      </c>
      <c r="G126" s="1">
        <f t="shared" si="18"/>
        <v>6.8830460917573936E-6</v>
      </c>
      <c r="H126" s="1">
        <f t="shared" si="11"/>
        <v>7.1306900781274994E-7</v>
      </c>
      <c r="I126">
        <f t="shared" si="12"/>
        <v>8</v>
      </c>
      <c r="J126">
        <f t="shared" si="13"/>
        <v>93</v>
      </c>
      <c r="K126" s="5">
        <f t="shared" si="14"/>
        <v>0</v>
      </c>
      <c r="L126">
        <f t="shared" si="15"/>
        <v>53.4</v>
      </c>
      <c r="M126">
        <f t="shared" si="16"/>
        <v>1</v>
      </c>
      <c r="N126">
        <f t="shared" si="17"/>
        <v>0</v>
      </c>
    </row>
    <row r="127" spans="4:14" x14ac:dyDescent="0.2">
      <c r="D127">
        <f t="shared" si="19"/>
        <v>104</v>
      </c>
      <c r="E127" s="1">
        <f t="shared" si="20"/>
        <v>-11.426369710059054</v>
      </c>
      <c r="F127" s="1">
        <f t="shared" si="21"/>
        <v>-12.002983074363048</v>
      </c>
      <c r="G127" s="1">
        <f t="shared" si="18"/>
        <v>6.1259110216640765E-6</v>
      </c>
      <c r="H127" s="1">
        <f t="shared" si="11"/>
        <v>6.3463141695334698E-7</v>
      </c>
      <c r="I127">
        <f t="shared" si="12"/>
        <v>8</v>
      </c>
      <c r="J127">
        <f t="shared" si="13"/>
        <v>94</v>
      </c>
      <c r="K127" s="5">
        <f t="shared" si="14"/>
        <v>0</v>
      </c>
      <c r="L127">
        <f t="shared" si="15"/>
        <v>53.4</v>
      </c>
      <c r="M127">
        <f t="shared" si="16"/>
        <v>1</v>
      </c>
      <c r="N127">
        <f t="shared" si="17"/>
        <v>0</v>
      </c>
    </row>
    <row r="128" spans="4:14" x14ac:dyDescent="0.2">
      <c r="D128">
        <f t="shared" si="19"/>
        <v>105</v>
      </c>
      <c r="E128" s="1">
        <f t="shared" si="20"/>
        <v>-11.542903526315007</v>
      </c>
      <c r="F128" s="1">
        <f t="shared" si="21"/>
        <v>-12.119516890619</v>
      </c>
      <c r="G128" s="1">
        <f t="shared" si="18"/>
        <v>5.4520608092810247E-6</v>
      </c>
      <c r="H128" s="1">
        <f t="shared" si="11"/>
        <v>5.6482196108847854E-7</v>
      </c>
      <c r="I128">
        <f t="shared" si="12"/>
        <v>8</v>
      </c>
      <c r="J128">
        <f t="shared" si="13"/>
        <v>95</v>
      </c>
      <c r="K128" s="5">
        <f t="shared" si="14"/>
        <v>0</v>
      </c>
      <c r="L128">
        <f t="shared" si="15"/>
        <v>53.4</v>
      </c>
      <c r="M128">
        <f t="shared" si="16"/>
        <v>1</v>
      </c>
      <c r="N128">
        <f t="shared" si="17"/>
        <v>0</v>
      </c>
    </row>
    <row r="129" spans="4:14" x14ac:dyDescent="0.2">
      <c r="D129">
        <f t="shared" si="19"/>
        <v>106</v>
      </c>
      <c r="E129" s="1">
        <f t="shared" si="20"/>
        <v>-11.659437342570959</v>
      </c>
      <c r="F129" s="1">
        <f t="shared" si="21"/>
        <v>-12.236050706874952</v>
      </c>
      <c r="G129" s="1">
        <f t="shared" si="18"/>
        <v>4.8523341202601088E-6</v>
      </c>
      <c r="H129" s="1">
        <f t="shared" si="11"/>
        <v>5.0269154536874553E-7</v>
      </c>
      <c r="I129">
        <f t="shared" si="12"/>
        <v>8</v>
      </c>
      <c r="J129">
        <f t="shared" si="13"/>
        <v>96</v>
      </c>
      <c r="K129" s="5">
        <f t="shared" si="14"/>
        <v>0</v>
      </c>
      <c r="L129">
        <f t="shared" si="15"/>
        <v>53.4</v>
      </c>
      <c r="M129">
        <f t="shared" si="16"/>
        <v>1</v>
      </c>
      <c r="N129">
        <f t="shared" si="17"/>
        <v>0</v>
      </c>
    </row>
    <row r="130" spans="4:14" x14ac:dyDescent="0.2">
      <c r="D130">
        <f t="shared" si="19"/>
        <v>107</v>
      </c>
      <c r="E130" s="1">
        <f t="shared" si="20"/>
        <v>-11.775971158826911</v>
      </c>
      <c r="F130" s="1">
        <f t="shared" si="21"/>
        <v>-12.352584523130904</v>
      </c>
      <c r="G130" s="1">
        <f t="shared" si="18"/>
        <v>4.3185773670314946E-6</v>
      </c>
      <c r="H130" s="1">
        <f t="shared" si="11"/>
        <v>4.4739547537818326E-7</v>
      </c>
      <c r="I130">
        <f t="shared" si="12"/>
        <v>8</v>
      </c>
      <c r="J130">
        <f t="shared" si="13"/>
        <v>97</v>
      </c>
      <c r="K130" s="5">
        <f t="shared" si="14"/>
        <v>0</v>
      </c>
      <c r="L130">
        <f t="shared" si="15"/>
        <v>53.4</v>
      </c>
      <c r="M130">
        <f t="shared" si="16"/>
        <v>1</v>
      </c>
      <c r="N130">
        <f t="shared" si="17"/>
        <v>0</v>
      </c>
    </row>
    <row r="131" spans="4:14" x14ac:dyDescent="0.2">
      <c r="D131">
        <f t="shared" si="19"/>
        <v>108</v>
      </c>
      <c r="E131" s="1">
        <f t="shared" si="20"/>
        <v>-11.892504975082863</v>
      </c>
      <c r="F131" s="1">
        <f t="shared" si="21"/>
        <v>-12.469118339386856</v>
      </c>
      <c r="G131" s="1">
        <f t="shared" si="18"/>
        <v>3.8435338566580274E-6</v>
      </c>
      <c r="H131" s="1">
        <f t="shared" si="11"/>
        <v>3.9818197308658285E-7</v>
      </c>
      <c r="I131">
        <f t="shared" si="12"/>
        <v>8</v>
      </c>
      <c r="J131">
        <f t="shared" si="13"/>
        <v>98</v>
      </c>
      <c r="K131" s="5">
        <f t="shared" si="14"/>
        <v>0</v>
      </c>
      <c r="L131">
        <f t="shared" si="15"/>
        <v>53.4</v>
      </c>
      <c r="M131">
        <f t="shared" si="16"/>
        <v>1</v>
      </c>
      <c r="N131">
        <f t="shared" si="17"/>
        <v>0</v>
      </c>
    </row>
    <row r="132" spans="4:14" x14ac:dyDescent="0.2">
      <c r="D132">
        <f t="shared" si="19"/>
        <v>109</v>
      </c>
      <c r="E132" s="1">
        <f t="shared" si="20"/>
        <v>-12.009038791338815</v>
      </c>
      <c r="F132" s="1">
        <f t="shared" si="21"/>
        <v>-12.585652155642808</v>
      </c>
      <c r="G132" s="1">
        <f t="shared" si="18"/>
        <v>3.4207451324256425E-6</v>
      </c>
      <c r="H132" s="1">
        <f t="shared" si="11"/>
        <v>3.5438195604705853E-7</v>
      </c>
      <c r="I132">
        <f t="shared" si="12"/>
        <v>8</v>
      </c>
      <c r="J132">
        <f t="shared" si="13"/>
        <v>99</v>
      </c>
      <c r="K132" s="5">
        <f t="shared" si="14"/>
        <v>0</v>
      </c>
      <c r="L132">
        <f t="shared" si="15"/>
        <v>53.4</v>
      </c>
      <c r="M132">
        <f t="shared" si="16"/>
        <v>1</v>
      </c>
      <c r="N132">
        <f t="shared" si="17"/>
        <v>0</v>
      </c>
    </row>
    <row r="133" spans="4:14" x14ac:dyDescent="0.2">
      <c r="D133">
        <f t="shared" si="19"/>
        <v>110</v>
      </c>
      <c r="E133" s="1">
        <f t="shared" si="20"/>
        <v>-12.125572607594767</v>
      </c>
      <c r="F133" s="1">
        <f t="shared" si="21"/>
        <v>-12.702185971898761</v>
      </c>
      <c r="G133" s="1">
        <f t="shared" si="18"/>
        <v>3.04446316785882E-6</v>
      </c>
      <c r="H133" s="1">
        <f t="shared" si="11"/>
        <v>3.1539994088188192E-7</v>
      </c>
      <c r="I133">
        <f t="shared" si="12"/>
        <v>8</v>
      </c>
      <c r="J133">
        <f t="shared" si="13"/>
        <v>100</v>
      </c>
      <c r="K133" s="5">
        <f t="shared" si="14"/>
        <v>0</v>
      </c>
      <c r="L133">
        <f t="shared" si="15"/>
        <v>53.4</v>
      </c>
      <c r="M133">
        <f t="shared" si="16"/>
        <v>1</v>
      </c>
      <c r="N133">
        <f t="shared" si="17"/>
        <v>0</v>
      </c>
    </row>
    <row r="134" spans="4:14" x14ac:dyDescent="0.2">
      <c r="D134">
        <f t="shared" si="19"/>
        <v>111</v>
      </c>
      <c r="E134" s="1">
        <f t="shared" si="20"/>
        <v>-12.24210642385072</v>
      </c>
      <c r="F134" s="1">
        <f t="shared" si="21"/>
        <v>-12.818719788154713</v>
      </c>
      <c r="G134" s="1">
        <f t="shared" si="18"/>
        <v>2.709572219394348E-6</v>
      </c>
      <c r="H134" s="1">
        <f t="shared" si="11"/>
        <v>2.8070594738487472E-7</v>
      </c>
      <c r="I134">
        <f t="shared" si="12"/>
        <v>8</v>
      </c>
      <c r="J134">
        <f t="shared" si="13"/>
        <v>101</v>
      </c>
      <c r="K134" s="5">
        <f t="shared" si="14"/>
        <v>0</v>
      </c>
      <c r="L134">
        <f t="shared" si="15"/>
        <v>53.4</v>
      </c>
      <c r="M134">
        <f t="shared" si="16"/>
        <v>1</v>
      </c>
      <c r="N134">
        <f t="shared" si="17"/>
        <v>0</v>
      </c>
    </row>
    <row r="135" spans="4:14" x14ac:dyDescent="0.2">
      <c r="D135">
        <f t="shared" si="19"/>
        <v>112</v>
      </c>
      <c r="E135" s="1">
        <f t="shared" si="20"/>
        <v>-12.358640240106672</v>
      </c>
      <c r="F135" s="1">
        <f t="shared" si="21"/>
        <v>-12.935253604410665</v>
      </c>
      <c r="G135" s="1">
        <f t="shared" si="18"/>
        <v>2.4115192752609682E-6</v>
      </c>
      <c r="H135" s="1">
        <f t="shared" si="11"/>
        <v>2.4982829317253834E-7</v>
      </c>
      <c r="I135">
        <f t="shared" si="12"/>
        <v>8</v>
      </c>
      <c r="J135">
        <f t="shared" si="13"/>
        <v>102</v>
      </c>
      <c r="K135" s="5">
        <f t="shared" si="14"/>
        <v>0</v>
      </c>
      <c r="L135">
        <f t="shared" si="15"/>
        <v>53.4</v>
      </c>
      <c r="M135">
        <f t="shared" si="16"/>
        <v>1</v>
      </c>
      <c r="N135">
        <f t="shared" si="17"/>
        <v>0</v>
      </c>
    </row>
    <row r="136" spans="4:14" x14ac:dyDescent="0.2">
      <c r="D136">
        <f t="shared" si="19"/>
        <v>113</v>
      </c>
      <c r="E136" s="1">
        <f t="shared" si="20"/>
        <v>-12.475174056362624</v>
      </c>
      <c r="F136" s="1">
        <f t="shared" si="21"/>
        <v>-13.051787420666617</v>
      </c>
      <c r="G136" s="1">
        <f t="shared" si="18"/>
        <v>2.1462521549822605E-6</v>
      </c>
      <c r="H136" s="1">
        <f t="shared" si="11"/>
        <v>2.2234718092355898E-7</v>
      </c>
      <c r="I136">
        <f t="shared" si="12"/>
        <v>8</v>
      </c>
      <c r="J136">
        <f t="shared" si="13"/>
        <v>103</v>
      </c>
      <c r="K136" s="5">
        <f t="shared" si="14"/>
        <v>0</v>
      </c>
      <c r="L136">
        <f t="shared" si="15"/>
        <v>53.4</v>
      </c>
      <c r="M136">
        <f t="shared" si="16"/>
        <v>1</v>
      </c>
      <c r="N136">
        <f t="shared" si="17"/>
        <v>0</v>
      </c>
    </row>
    <row r="137" spans="4:14" x14ac:dyDescent="0.2">
      <c r="D137">
        <f t="shared" si="19"/>
        <v>114</v>
      </c>
      <c r="E137" s="1">
        <f t="shared" si="20"/>
        <v>-12.591707872618576</v>
      </c>
      <c r="F137" s="1">
        <f t="shared" si="21"/>
        <v>-13.168321236922569</v>
      </c>
      <c r="G137" s="1">
        <f t="shared" si="18"/>
        <v>1.9101644179342104E-6</v>
      </c>
      <c r="H137" s="1">
        <f t="shared" si="11"/>
        <v>1.9788899102196735E-7</v>
      </c>
      <c r="I137">
        <f t="shared" si="12"/>
        <v>8</v>
      </c>
      <c r="J137">
        <f t="shared" si="13"/>
        <v>104</v>
      </c>
      <c r="K137" s="5">
        <f t="shared" si="14"/>
        <v>0</v>
      </c>
      <c r="L137">
        <f t="shared" si="15"/>
        <v>53.4</v>
      </c>
      <c r="M137">
        <f t="shared" si="16"/>
        <v>1</v>
      </c>
      <c r="N137">
        <f t="shared" si="17"/>
        <v>0</v>
      </c>
    </row>
    <row r="138" spans="4:14" x14ac:dyDescent="0.2">
      <c r="D138">
        <f t="shared" si="19"/>
        <v>115</v>
      </c>
      <c r="E138" s="1">
        <f t="shared" si="20"/>
        <v>-12.708241688874528</v>
      </c>
      <c r="F138" s="1">
        <f t="shared" si="21"/>
        <v>-13.284855053178521</v>
      </c>
      <c r="G138" s="1">
        <f t="shared" si="18"/>
        <v>1.7000463319614462E-6</v>
      </c>
      <c r="H138" s="1">
        <f t="shared" si="11"/>
        <v>1.7612120200955084E-7</v>
      </c>
      <c r="I138">
        <f t="shared" si="12"/>
        <v>8</v>
      </c>
      <c r="J138">
        <f t="shared" si="13"/>
        <v>105</v>
      </c>
      <c r="K138" s="5">
        <f t="shared" si="14"/>
        <v>0</v>
      </c>
      <c r="L138">
        <f t="shared" si="15"/>
        <v>53.4</v>
      </c>
      <c r="M138">
        <f t="shared" si="16"/>
        <v>1</v>
      </c>
      <c r="N138">
        <f t="shared" si="17"/>
        <v>0</v>
      </c>
    </row>
    <row r="139" spans="4:14" x14ac:dyDescent="0.2">
      <c r="D139">
        <f t="shared" si="19"/>
        <v>116</v>
      </c>
      <c r="E139" s="1">
        <f t="shared" si="20"/>
        <v>-12.82477550513048</v>
      </c>
      <c r="F139" s="1">
        <f t="shared" si="21"/>
        <v>-13.401388869434474</v>
      </c>
      <c r="G139" s="1">
        <f t="shared" si="18"/>
        <v>1.5130412354456862E-6</v>
      </c>
      <c r="H139" s="1">
        <f t="shared" si="11"/>
        <v>1.5674786978850016E-7</v>
      </c>
      <c r="I139">
        <f t="shared" si="12"/>
        <v>8</v>
      </c>
      <c r="J139">
        <f t="shared" si="13"/>
        <v>106</v>
      </c>
      <c r="K139" s="5">
        <f t="shared" si="14"/>
        <v>0</v>
      </c>
      <c r="L139">
        <f t="shared" si="15"/>
        <v>53.4</v>
      </c>
      <c r="M139">
        <f t="shared" si="16"/>
        <v>1</v>
      </c>
      <c r="N139">
        <f t="shared" si="17"/>
        <v>0</v>
      </c>
    </row>
    <row r="140" spans="4:14" x14ac:dyDescent="0.2">
      <c r="D140">
        <f t="shared" si="19"/>
        <v>117</v>
      </c>
      <c r="E140" s="1">
        <f t="shared" si="20"/>
        <v>-12.941309321386433</v>
      </c>
      <c r="F140" s="1">
        <f t="shared" si="21"/>
        <v>-13.517922685690426</v>
      </c>
      <c r="G140" s="1">
        <f t="shared" si="18"/>
        <v>1.3466066995466598E-6</v>
      </c>
      <c r="H140" s="1">
        <f t="shared" si="11"/>
        <v>1.3950560411176504E-7</v>
      </c>
      <c r="I140">
        <f t="shared" si="12"/>
        <v>8</v>
      </c>
      <c r="J140">
        <f t="shared" si="13"/>
        <v>107</v>
      </c>
      <c r="K140" s="5">
        <f t="shared" si="14"/>
        <v>0</v>
      </c>
      <c r="L140">
        <f t="shared" si="15"/>
        <v>53.4</v>
      </c>
      <c r="M140">
        <f t="shared" si="16"/>
        <v>1</v>
      </c>
      <c r="N140">
        <f t="shared" si="17"/>
        <v>0</v>
      </c>
    </row>
    <row r="141" spans="4:14" x14ac:dyDescent="0.2">
      <c r="D141">
        <f t="shared" si="19"/>
        <v>118</v>
      </c>
      <c r="E141" s="1">
        <f t="shared" si="20"/>
        <v>-13.057843137642385</v>
      </c>
      <c r="F141" s="1">
        <f t="shared" si="21"/>
        <v>-13.634456501946378</v>
      </c>
      <c r="G141" s="1">
        <f t="shared" si="18"/>
        <v>1.1984799625965265E-6</v>
      </c>
      <c r="H141" s="1">
        <f t="shared" si="11"/>
        <v>1.2415998765947082E-7</v>
      </c>
      <c r="I141">
        <f t="shared" si="12"/>
        <v>8</v>
      </c>
      <c r="J141">
        <f t="shared" si="13"/>
        <v>108</v>
      </c>
      <c r="K141" s="5">
        <f t="shared" si="14"/>
        <v>0</v>
      </c>
      <c r="L141">
        <f t="shared" si="15"/>
        <v>53.4</v>
      </c>
      <c r="M141">
        <f t="shared" si="16"/>
        <v>1</v>
      </c>
      <c r="N141">
        <f t="shared" si="17"/>
        <v>0</v>
      </c>
    </row>
    <row r="142" spans="4:14" x14ac:dyDescent="0.2">
      <c r="D142">
        <f t="shared" si="19"/>
        <v>119</v>
      </c>
      <c r="E142" s="1">
        <f t="shared" si="20"/>
        <v>-13.174376953898337</v>
      </c>
      <c r="F142" s="1">
        <f t="shared" si="21"/>
        <v>-13.75099031820233</v>
      </c>
      <c r="G142" s="1">
        <f t="shared" si="18"/>
        <v>1.0666471667109078E-6</v>
      </c>
      <c r="H142" s="1">
        <f t="shared" si="11"/>
        <v>1.1050238901692895E-7</v>
      </c>
      <c r="I142">
        <f t="shared" si="12"/>
        <v>8</v>
      </c>
      <c r="J142">
        <f t="shared" si="13"/>
        <v>109</v>
      </c>
      <c r="K142" s="5">
        <f t="shared" si="14"/>
        <v>0</v>
      </c>
      <c r="L142">
        <f t="shared" si="15"/>
        <v>53.4</v>
      </c>
      <c r="M142">
        <f t="shared" si="16"/>
        <v>1</v>
      </c>
      <c r="N142">
        <f t="shared" si="17"/>
        <v>0</v>
      </c>
    </row>
    <row r="143" spans="4:14" x14ac:dyDescent="0.2">
      <c r="D143">
        <f t="shared" si="19"/>
        <v>120</v>
      </c>
      <c r="E143" s="1">
        <f t="shared" si="20"/>
        <v>-13.290910770154289</v>
      </c>
      <c r="F143" s="1">
        <f t="shared" si="21"/>
        <v>-13.867524134458282</v>
      </c>
      <c r="G143" s="1">
        <f t="shared" si="18"/>
        <v>9.4931597837270742E-7</v>
      </c>
      <c r="H143" s="1">
        <f t="shared" si="11"/>
        <v>9.8347126225066694E-8</v>
      </c>
      <c r="I143">
        <f t="shared" si="12"/>
        <v>8</v>
      </c>
      <c r="J143">
        <f t="shared" si="13"/>
        <v>110</v>
      </c>
      <c r="K143" s="5">
        <f t="shared" si="14"/>
        <v>0</v>
      </c>
      <c r="L143">
        <f t="shared" si="15"/>
        <v>53.4</v>
      </c>
      <c r="M143">
        <f t="shared" si="16"/>
        <v>1</v>
      </c>
      <c r="N143">
        <f t="shared" si="17"/>
        <v>0</v>
      </c>
    </row>
    <row r="144" spans="4:14" x14ac:dyDescent="0.2">
      <c r="D144">
        <f t="shared" si="19"/>
        <v>121</v>
      </c>
      <c r="E144" s="1">
        <f t="shared" si="20"/>
        <v>-13.407444586410241</v>
      </c>
      <c r="F144" s="1">
        <f t="shared" si="21"/>
        <v>-13.984057950714234</v>
      </c>
      <c r="G144" s="1">
        <f t="shared" si="18"/>
        <v>8.448912207517091E-7</v>
      </c>
      <c r="H144" s="1">
        <f t="shared" si="11"/>
        <v>8.7528942340309308E-8</v>
      </c>
      <c r="I144">
        <f t="shared" si="12"/>
        <v>8</v>
      </c>
      <c r="J144">
        <f t="shared" si="13"/>
        <v>111</v>
      </c>
      <c r="K144" s="5">
        <f t="shared" si="14"/>
        <v>0</v>
      </c>
      <c r="L144">
        <f t="shared" si="15"/>
        <v>53.4</v>
      </c>
      <c r="M144">
        <f t="shared" si="16"/>
        <v>1</v>
      </c>
      <c r="N144">
        <f t="shared" si="17"/>
        <v>0</v>
      </c>
    </row>
    <row r="145" spans="4:14" x14ac:dyDescent="0.2">
      <c r="D145">
        <f t="shared" si="19"/>
        <v>122</v>
      </c>
      <c r="E145" s="1">
        <f t="shared" si="20"/>
        <v>-13.523978402666193</v>
      </c>
      <c r="F145" s="1">
        <f t="shared" si="21"/>
        <v>-14.100591766970187</v>
      </c>
      <c r="G145" s="1">
        <f t="shared" si="18"/>
        <v>7.5195318646902064E-7</v>
      </c>
      <c r="H145" s="1">
        <f t="shared" si="11"/>
        <v>7.7900758682875235E-8</v>
      </c>
      <c r="I145">
        <f t="shared" si="12"/>
        <v>8</v>
      </c>
      <c r="J145">
        <f t="shared" si="13"/>
        <v>112</v>
      </c>
      <c r="K145" s="5">
        <f t="shared" si="14"/>
        <v>0</v>
      </c>
      <c r="L145">
        <f t="shared" si="15"/>
        <v>53.4</v>
      </c>
      <c r="M145">
        <f t="shared" si="16"/>
        <v>1</v>
      </c>
      <c r="N145">
        <f t="shared" si="17"/>
        <v>0</v>
      </c>
    </row>
    <row r="146" spans="4:14" x14ac:dyDescent="0.2">
      <c r="D146">
        <f t="shared" si="19"/>
        <v>123</v>
      </c>
      <c r="E146" s="1">
        <f t="shared" si="20"/>
        <v>-13.640512218922145</v>
      </c>
      <c r="F146" s="1">
        <f t="shared" si="21"/>
        <v>-14.217125583226139</v>
      </c>
      <c r="G146" s="1">
        <f t="shared" si="18"/>
        <v>6.6923833595742794E-7</v>
      </c>
      <c r="H146" s="1">
        <f t="shared" si="11"/>
        <v>6.9331675227758915E-8</v>
      </c>
      <c r="I146">
        <f t="shared" si="12"/>
        <v>8</v>
      </c>
      <c r="J146">
        <f t="shared" si="13"/>
        <v>113</v>
      </c>
      <c r="K146" s="5">
        <f t="shared" si="14"/>
        <v>0</v>
      </c>
      <c r="L146">
        <f t="shared" si="15"/>
        <v>53.4</v>
      </c>
      <c r="M146">
        <f t="shared" si="16"/>
        <v>1</v>
      </c>
      <c r="N146">
        <f t="shared" si="17"/>
        <v>0</v>
      </c>
    </row>
    <row r="147" spans="4:14" x14ac:dyDescent="0.2">
      <c r="D147">
        <f t="shared" si="19"/>
        <v>124</v>
      </c>
      <c r="E147" s="1">
        <f t="shared" si="20"/>
        <v>-13.757046035178098</v>
      </c>
      <c r="F147" s="1">
        <f t="shared" si="21"/>
        <v>-14.333659399482091</v>
      </c>
      <c r="G147" s="1">
        <f t="shared" si="18"/>
        <v>5.9562211900211053E-7</v>
      </c>
      <c r="H147" s="1">
        <f t="shared" si="11"/>
        <v>6.17051909527054E-8</v>
      </c>
      <c r="I147">
        <f t="shared" si="12"/>
        <v>8</v>
      </c>
      <c r="J147">
        <f t="shared" si="13"/>
        <v>114</v>
      </c>
      <c r="K147" s="5">
        <f t="shared" si="14"/>
        <v>0</v>
      </c>
      <c r="L147">
        <f t="shared" si="15"/>
        <v>53.4</v>
      </c>
      <c r="M147">
        <f t="shared" si="16"/>
        <v>1</v>
      </c>
      <c r="N147">
        <f t="shared" si="17"/>
        <v>0</v>
      </c>
    </row>
    <row r="148" spans="4:14" x14ac:dyDescent="0.2">
      <c r="D148">
        <f t="shared" si="19"/>
        <v>125</v>
      </c>
      <c r="E148" s="1">
        <f t="shared" si="20"/>
        <v>-13.87357985143405</v>
      </c>
      <c r="F148" s="1">
        <f t="shared" si="21"/>
        <v>-14.450193215738043</v>
      </c>
      <c r="G148" s="1">
        <f t="shared" si="18"/>
        <v>5.3010368591187802E-7</v>
      </c>
      <c r="H148" s="1">
        <f t="shared" si="11"/>
        <v>5.4917619947907772E-8</v>
      </c>
      <c r="I148">
        <f t="shared" si="12"/>
        <v>8</v>
      </c>
      <c r="J148">
        <f t="shared" si="13"/>
        <v>115</v>
      </c>
      <c r="K148" s="5">
        <f t="shared" si="14"/>
        <v>0</v>
      </c>
      <c r="L148">
        <f t="shared" si="15"/>
        <v>53.4</v>
      </c>
      <c r="M148">
        <f t="shared" si="16"/>
        <v>1</v>
      </c>
      <c r="N148">
        <f t="shared" si="17"/>
        <v>0</v>
      </c>
    </row>
    <row r="149" spans="4:14" x14ac:dyDescent="0.2">
      <c r="D149">
        <f t="shared" si="19"/>
        <v>126</v>
      </c>
      <c r="E149" s="1">
        <f t="shared" si="20"/>
        <v>-13.990113667690002</v>
      </c>
      <c r="F149" s="1">
        <f t="shared" si="21"/>
        <v>-14.566727031993995</v>
      </c>
      <c r="G149" s="1">
        <f t="shared" si="18"/>
        <v>4.717922804615711E-7</v>
      </c>
      <c r="H149" s="1">
        <f t="shared" si="11"/>
        <v>4.8876681753637879E-8</v>
      </c>
      <c r="I149">
        <f t="shared" si="12"/>
        <v>8</v>
      </c>
      <c r="J149">
        <f t="shared" si="13"/>
        <v>116</v>
      </c>
      <c r="K149" s="5">
        <f t="shared" si="14"/>
        <v>0</v>
      </c>
      <c r="L149">
        <f t="shared" si="15"/>
        <v>53.4</v>
      </c>
      <c r="M149">
        <f t="shared" si="16"/>
        <v>1</v>
      </c>
      <c r="N149">
        <f t="shared" si="17"/>
        <v>0</v>
      </c>
    </row>
    <row r="150" spans="4:14" x14ac:dyDescent="0.2">
      <c r="D150">
        <f t="shared" si="19"/>
        <v>127</v>
      </c>
      <c r="E150" s="1">
        <f t="shared" si="20"/>
        <v>-14.106647483945954</v>
      </c>
      <c r="F150" s="1">
        <f t="shared" si="21"/>
        <v>-14.683260848249947</v>
      </c>
      <c r="G150" s="1">
        <f t="shared" si="18"/>
        <v>4.1989512961079801E-7</v>
      </c>
      <c r="H150" s="1">
        <f t="shared" si="11"/>
        <v>4.3500246760737685E-8</v>
      </c>
      <c r="I150">
        <f t="shared" si="12"/>
        <v>8</v>
      </c>
      <c r="J150">
        <f t="shared" si="13"/>
        <v>117</v>
      </c>
      <c r="K150" s="5">
        <f t="shared" si="14"/>
        <v>0</v>
      </c>
      <c r="L150">
        <f t="shared" si="15"/>
        <v>53.4</v>
      </c>
      <c r="M150">
        <f t="shared" si="16"/>
        <v>1</v>
      </c>
      <c r="N150">
        <f t="shared" si="17"/>
        <v>0</v>
      </c>
    </row>
    <row r="151" spans="4:14" x14ac:dyDescent="0.2">
      <c r="D151">
        <f t="shared" si="19"/>
        <v>128</v>
      </c>
      <c r="E151" s="1">
        <f t="shared" si="20"/>
        <v>-14.223181300201906</v>
      </c>
      <c r="F151" s="1">
        <f t="shared" si="21"/>
        <v>-14.7997946645059</v>
      </c>
      <c r="G151" s="1">
        <f t="shared" si="18"/>
        <v>3.7370666535361E-7</v>
      </c>
      <c r="H151" s="1">
        <f t="shared" ref="H151:H214" si="22">G151/$G$21</f>
        <v>3.8715219617056521E-8</v>
      </c>
      <c r="I151">
        <f t="shared" ref="I151:I214" si="23">IF($F$11&lt;=D151, IF(D151&lt;=$A$15,D151-$F$11,$C$11),0)</f>
        <v>8</v>
      </c>
      <c r="J151">
        <f t="shared" ref="J151:J214" si="24">IF(D151&lt;=$A$15,0,D151-$A$15)</f>
        <v>118</v>
      </c>
      <c r="K151" s="5">
        <f t="shared" ref="K151:K214" si="25">IF(D151&lt;$F$11,H151,0)</f>
        <v>0</v>
      </c>
      <c r="L151">
        <f t="shared" ref="L151:L214" si="26">IF(D151&lt;$A$15,$D$11,$D$11*(1-$H$11))</f>
        <v>53.4</v>
      </c>
      <c r="M151">
        <f t="shared" ref="M151:M214" si="27">IF(D151&lt;$A$15,0,1)</f>
        <v>1</v>
      </c>
      <c r="N151">
        <f t="shared" ref="N151:N214" si="28">IF(SUM(I151:J151)&lt;=($G$11/60*$F$11/($E$11/60)),1,0)</f>
        <v>0</v>
      </c>
    </row>
    <row r="152" spans="4:14" x14ac:dyDescent="0.2">
      <c r="D152">
        <f t="shared" si="19"/>
        <v>129</v>
      </c>
      <c r="E152" s="1">
        <f t="shared" si="20"/>
        <v>-14.339715116457858</v>
      </c>
      <c r="F152" s="1">
        <f t="shared" si="21"/>
        <v>-14.916328480761852</v>
      </c>
      <c r="G152" s="1">
        <f t="shared" ref="G152:G215" si="29">EXP(F152)</f>
        <v>3.3259893216471269E-7</v>
      </c>
      <c r="H152" s="1">
        <f t="shared" si="22"/>
        <v>3.4456545459180279E-8</v>
      </c>
      <c r="I152">
        <f t="shared" si="23"/>
        <v>8</v>
      </c>
      <c r="J152">
        <f t="shared" si="24"/>
        <v>119</v>
      </c>
      <c r="K152" s="5">
        <f t="shared" si="25"/>
        <v>0</v>
      </c>
      <c r="L152">
        <f t="shared" si="26"/>
        <v>53.4</v>
      </c>
      <c r="M152">
        <f t="shared" si="27"/>
        <v>1</v>
      </c>
      <c r="N152">
        <f t="shared" si="28"/>
        <v>0</v>
      </c>
    </row>
    <row r="153" spans="4:14" x14ac:dyDescent="0.2">
      <c r="D153">
        <f t="shared" ref="D153:D216" si="30">1+D152</f>
        <v>130</v>
      </c>
      <c r="E153" s="1">
        <f t="shared" ref="E153:E216" si="31">IF($H$11=1,IF(D153&lt;=$A$15, E152+LN($D$11)-LN(60/$E$11)-LN(MIN(D153,$F$11)), E152-LN(60/$E$11)-LN(MIN(D153,$F$11))), IF(D153&lt;=$A$15, E152+LN($D$11)-LN(60/$E$11)-LN(MIN(D153,$F$11)), E152+LN($D$11)+LN(1-$H$11)-LN(60/$E$11)-LN(MIN(D153,$F$11))))</f>
        <v>-14.456248932713811</v>
      </c>
      <c r="F153" s="1">
        <f t="shared" ref="F153:F216" si="32">E153-$E$21</f>
        <v>-15.032862297017804</v>
      </c>
      <c r="G153" s="1">
        <f t="shared" si="29"/>
        <v>2.9601304962659412E-7</v>
      </c>
      <c r="H153" s="1">
        <f t="shared" si="22"/>
        <v>3.0666325458670431E-8</v>
      </c>
      <c r="I153">
        <f t="shared" si="23"/>
        <v>8</v>
      </c>
      <c r="J153">
        <f t="shared" si="24"/>
        <v>120</v>
      </c>
      <c r="K153" s="5">
        <f t="shared" si="25"/>
        <v>0</v>
      </c>
      <c r="L153">
        <f t="shared" si="26"/>
        <v>53.4</v>
      </c>
      <c r="M153">
        <f t="shared" si="27"/>
        <v>1</v>
      </c>
      <c r="N153">
        <f t="shared" si="28"/>
        <v>0</v>
      </c>
    </row>
    <row r="154" spans="4:14" x14ac:dyDescent="0.2">
      <c r="D154">
        <f t="shared" si="30"/>
        <v>131</v>
      </c>
      <c r="E154" s="1">
        <f t="shared" si="31"/>
        <v>-14.572782748969763</v>
      </c>
      <c r="F154" s="1">
        <f t="shared" si="32"/>
        <v>-15.149396113273756</v>
      </c>
      <c r="G154" s="1">
        <f t="shared" si="29"/>
        <v>2.6345161416766861E-7</v>
      </c>
      <c r="H154" s="1">
        <f t="shared" si="22"/>
        <v>2.7293029658216665E-8</v>
      </c>
      <c r="I154">
        <f t="shared" si="23"/>
        <v>8</v>
      </c>
      <c r="J154">
        <f t="shared" si="24"/>
        <v>121</v>
      </c>
      <c r="K154" s="5">
        <f t="shared" si="25"/>
        <v>0</v>
      </c>
      <c r="L154">
        <f t="shared" si="26"/>
        <v>53.4</v>
      </c>
      <c r="M154">
        <f t="shared" si="27"/>
        <v>1</v>
      </c>
      <c r="N154">
        <f t="shared" si="28"/>
        <v>0</v>
      </c>
    </row>
    <row r="155" spans="4:14" x14ac:dyDescent="0.2">
      <c r="D155">
        <f t="shared" si="30"/>
        <v>132</v>
      </c>
      <c r="E155" s="1">
        <f t="shared" si="31"/>
        <v>-14.689316565225715</v>
      </c>
      <c r="F155" s="1">
        <f t="shared" si="32"/>
        <v>-15.265929929529708</v>
      </c>
      <c r="G155" s="1">
        <f t="shared" si="29"/>
        <v>2.3447193660922492E-7</v>
      </c>
      <c r="H155" s="1">
        <f t="shared" si="22"/>
        <v>2.4290796395812819E-8</v>
      </c>
      <c r="I155">
        <f t="shared" si="23"/>
        <v>8</v>
      </c>
      <c r="J155">
        <f t="shared" si="24"/>
        <v>122</v>
      </c>
      <c r="K155" s="5">
        <f t="shared" si="25"/>
        <v>0</v>
      </c>
      <c r="L155">
        <f t="shared" si="26"/>
        <v>53.4</v>
      </c>
      <c r="M155">
        <f t="shared" si="27"/>
        <v>1</v>
      </c>
      <c r="N155">
        <f t="shared" si="28"/>
        <v>0</v>
      </c>
    </row>
    <row r="156" spans="4:14" x14ac:dyDescent="0.2">
      <c r="D156">
        <f t="shared" si="30"/>
        <v>133</v>
      </c>
      <c r="E156" s="1">
        <f t="shared" si="31"/>
        <v>-14.805850381481667</v>
      </c>
      <c r="F156" s="1">
        <f t="shared" si="32"/>
        <v>-15.38246374578566</v>
      </c>
      <c r="G156" s="1">
        <f t="shared" si="29"/>
        <v>2.0868002358221005E-7</v>
      </c>
      <c r="H156" s="1">
        <f t="shared" si="22"/>
        <v>2.1618808792273394E-8</v>
      </c>
      <c r="I156">
        <f t="shared" si="23"/>
        <v>8</v>
      </c>
      <c r="J156">
        <f t="shared" si="24"/>
        <v>123</v>
      </c>
      <c r="K156" s="5">
        <f t="shared" si="25"/>
        <v>0</v>
      </c>
      <c r="L156">
        <f t="shared" si="26"/>
        <v>53.4</v>
      </c>
      <c r="M156">
        <f t="shared" si="27"/>
        <v>1</v>
      </c>
      <c r="N156">
        <f t="shared" si="28"/>
        <v>0</v>
      </c>
    </row>
    <row r="157" spans="4:14" x14ac:dyDescent="0.2">
      <c r="D157">
        <f t="shared" si="30"/>
        <v>134</v>
      </c>
      <c r="E157" s="1">
        <f t="shared" si="31"/>
        <v>-14.922384197737619</v>
      </c>
      <c r="F157" s="1">
        <f t="shared" si="32"/>
        <v>-15.498997562041612</v>
      </c>
      <c r="G157" s="1">
        <f t="shared" si="29"/>
        <v>1.857252209881668E-7</v>
      </c>
      <c r="H157" s="1">
        <f t="shared" si="22"/>
        <v>1.9240739825123308E-8</v>
      </c>
      <c r="I157">
        <f t="shared" si="23"/>
        <v>8</v>
      </c>
      <c r="J157">
        <f t="shared" si="24"/>
        <v>124</v>
      </c>
      <c r="K157" s="5">
        <f t="shared" si="25"/>
        <v>0</v>
      </c>
      <c r="L157">
        <f t="shared" si="26"/>
        <v>53.4</v>
      </c>
      <c r="M157">
        <f t="shared" si="27"/>
        <v>1</v>
      </c>
      <c r="N157">
        <f t="shared" si="28"/>
        <v>0</v>
      </c>
    </row>
    <row r="158" spans="4:14" x14ac:dyDescent="0.2">
      <c r="D158">
        <f t="shared" si="30"/>
        <v>135</v>
      </c>
      <c r="E158" s="1">
        <f t="shared" si="31"/>
        <v>-15.038918013993571</v>
      </c>
      <c r="F158" s="1">
        <f t="shared" si="32"/>
        <v>-15.615531378297565</v>
      </c>
      <c r="G158" s="1">
        <f t="shared" si="29"/>
        <v>1.6529544667946837E-7</v>
      </c>
      <c r="H158" s="1">
        <f t="shared" si="22"/>
        <v>1.7124258444359735E-8</v>
      </c>
      <c r="I158">
        <f t="shared" si="23"/>
        <v>8</v>
      </c>
      <c r="J158">
        <f t="shared" si="24"/>
        <v>125</v>
      </c>
      <c r="K158" s="5">
        <f t="shared" si="25"/>
        <v>0</v>
      </c>
      <c r="L158">
        <f t="shared" si="26"/>
        <v>53.4</v>
      </c>
      <c r="M158">
        <f t="shared" si="27"/>
        <v>1</v>
      </c>
      <c r="N158">
        <f t="shared" si="28"/>
        <v>0</v>
      </c>
    </row>
    <row r="159" spans="4:14" x14ac:dyDescent="0.2">
      <c r="D159">
        <f t="shared" si="30"/>
        <v>136</v>
      </c>
      <c r="E159" s="1">
        <f t="shared" si="31"/>
        <v>-15.155451830249524</v>
      </c>
      <c r="F159" s="1">
        <f t="shared" si="32"/>
        <v>-15.732065194553517</v>
      </c>
      <c r="G159" s="1">
        <f t="shared" si="29"/>
        <v>1.4711294754472675E-7</v>
      </c>
      <c r="H159" s="1">
        <f t="shared" si="22"/>
        <v>1.5240590015480155E-8</v>
      </c>
      <c r="I159">
        <f t="shared" si="23"/>
        <v>8</v>
      </c>
      <c r="J159">
        <f t="shared" si="24"/>
        <v>126</v>
      </c>
      <c r="K159" s="5">
        <f t="shared" si="25"/>
        <v>0</v>
      </c>
      <c r="L159">
        <f t="shared" si="26"/>
        <v>53.4</v>
      </c>
      <c r="M159">
        <f t="shared" si="27"/>
        <v>1</v>
      </c>
      <c r="N159">
        <f t="shared" si="28"/>
        <v>0</v>
      </c>
    </row>
    <row r="160" spans="4:14" x14ac:dyDescent="0.2">
      <c r="D160">
        <f t="shared" si="30"/>
        <v>137</v>
      </c>
      <c r="E160" s="1">
        <f t="shared" si="31"/>
        <v>-15.271985646505476</v>
      </c>
      <c r="F160" s="1">
        <f t="shared" si="32"/>
        <v>-15.848599010809469</v>
      </c>
      <c r="G160" s="1">
        <f t="shared" si="29"/>
        <v>1.3093052331480672E-7</v>
      </c>
      <c r="H160" s="1">
        <f t="shared" si="22"/>
        <v>1.3564125113777327E-8</v>
      </c>
      <c r="I160">
        <f t="shared" si="23"/>
        <v>8</v>
      </c>
      <c r="J160">
        <f t="shared" si="24"/>
        <v>127</v>
      </c>
      <c r="K160" s="5">
        <f t="shared" si="25"/>
        <v>0</v>
      </c>
      <c r="L160">
        <f t="shared" si="26"/>
        <v>53.4</v>
      </c>
      <c r="M160">
        <f t="shared" si="27"/>
        <v>1</v>
      </c>
      <c r="N160">
        <f t="shared" si="28"/>
        <v>0</v>
      </c>
    </row>
    <row r="161" spans="4:14" x14ac:dyDescent="0.2">
      <c r="D161">
        <f t="shared" si="30"/>
        <v>138</v>
      </c>
      <c r="E161" s="1">
        <f t="shared" si="31"/>
        <v>-15.388519462761428</v>
      </c>
      <c r="F161" s="1">
        <f t="shared" si="32"/>
        <v>-15.965132827065421</v>
      </c>
      <c r="G161" s="1">
        <f t="shared" si="29"/>
        <v>1.1652816575017791E-7</v>
      </c>
      <c r="H161" s="1">
        <f t="shared" si="22"/>
        <v>1.2072071351261814E-8</v>
      </c>
      <c r="I161">
        <f t="shared" si="23"/>
        <v>8</v>
      </c>
      <c r="J161">
        <f t="shared" si="24"/>
        <v>128</v>
      </c>
      <c r="K161" s="5">
        <f t="shared" si="25"/>
        <v>0</v>
      </c>
      <c r="L161">
        <f t="shared" si="26"/>
        <v>53.4</v>
      </c>
      <c r="M161">
        <f t="shared" si="27"/>
        <v>1</v>
      </c>
      <c r="N161">
        <f t="shared" si="28"/>
        <v>0</v>
      </c>
    </row>
    <row r="162" spans="4:14" x14ac:dyDescent="0.2">
      <c r="D162">
        <f t="shared" si="30"/>
        <v>139</v>
      </c>
      <c r="E162" s="1">
        <f t="shared" si="31"/>
        <v>-15.50505327901738</v>
      </c>
      <c r="F162" s="1">
        <f t="shared" si="32"/>
        <v>-16.081666643321373</v>
      </c>
      <c r="G162" s="1">
        <f t="shared" si="29"/>
        <v>1.0371006751765827E-7</v>
      </c>
      <c r="H162" s="1">
        <f t="shared" si="22"/>
        <v>1.0744143502623007E-8</v>
      </c>
      <c r="I162">
        <f t="shared" si="23"/>
        <v>8</v>
      </c>
      <c r="J162">
        <f t="shared" si="24"/>
        <v>129</v>
      </c>
      <c r="K162" s="5">
        <f t="shared" si="25"/>
        <v>0</v>
      </c>
      <c r="L162">
        <f t="shared" si="26"/>
        <v>53.4</v>
      </c>
      <c r="M162">
        <f t="shared" si="27"/>
        <v>1</v>
      </c>
      <c r="N162">
        <f t="shared" si="28"/>
        <v>0</v>
      </c>
    </row>
    <row r="163" spans="4:14" x14ac:dyDescent="0.2">
      <c r="D163">
        <f t="shared" si="30"/>
        <v>140</v>
      </c>
      <c r="E163" s="1">
        <f t="shared" si="31"/>
        <v>-15.621587095273332</v>
      </c>
      <c r="F163" s="1">
        <f t="shared" si="32"/>
        <v>-16.198200459577325</v>
      </c>
      <c r="G163" s="1">
        <f t="shared" si="29"/>
        <v>9.2301960090715801E-8</v>
      </c>
      <c r="H163" s="1">
        <f t="shared" si="22"/>
        <v>9.5622877173344703E-9</v>
      </c>
      <c r="I163">
        <f t="shared" si="23"/>
        <v>8</v>
      </c>
      <c r="J163">
        <f t="shared" si="24"/>
        <v>130</v>
      </c>
      <c r="K163" s="5">
        <f t="shared" si="25"/>
        <v>0</v>
      </c>
      <c r="L163">
        <f t="shared" si="26"/>
        <v>53.4</v>
      </c>
      <c r="M163">
        <f t="shared" si="27"/>
        <v>1</v>
      </c>
      <c r="N163">
        <f t="shared" si="28"/>
        <v>0</v>
      </c>
    </row>
    <row r="164" spans="4:14" x14ac:dyDescent="0.2">
      <c r="D164">
        <f t="shared" si="30"/>
        <v>141</v>
      </c>
      <c r="E164" s="1">
        <f t="shared" si="31"/>
        <v>-15.738120911529284</v>
      </c>
      <c r="F164" s="1">
        <f t="shared" si="32"/>
        <v>-16.314734275833278</v>
      </c>
      <c r="G164" s="1">
        <f t="shared" si="29"/>
        <v>8.2148744480737018E-8</v>
      </c>
      <c r="H164" s="1">
        <f t="shared" si="22"/>
        <v>8.5104360684276739E-9</v>
      </c>
      <c r="I164">
        <f t="shared" si="23"/>
        <v>8</v>
      </c>
      <c r="J164">
        <f t="shared" si="24"/>
        <v>131</v>
      </c>
      <c r="K164" s="5">
        <f t="shared" si="25"/>
        <v>0</v>
      </c>
      <c r="L164">
        <f t="shared" si="26"/>
        <v>53.4</v>
      </c>
      <c r="M164">
        <f t="shared" si="27"/>
        <v>1</v>
      </c>
      <c r="N164">
        <f t="shared" si="28"/>
        <v>0</v>
      </c>
    </row>
    <row r="165" spans="4:14" x14ac:dyDescent="0.2">
      <c r="D165">
        <f t="shared" si="30"/>
        <v>142</v>
      </c>
      <c r="E165" s="1">
        <f t="shared" si="31"/>
        <v>-15.854654727785237</v>
      </c>
      <c r="F165" s="1">
        <f t="shared" si="32"/>
        <v>-16.43126809208923</v>
      </c>
      <c r="G165" s="1">
        <f t="shared" si="29"/>
        <v>7.3112382587855896E-8</v>
      </c>
      <c r="H165" s="1">
        <f t="shared" si="22"/>
        <v>7.574288100900624E-9</v>
      </c>
      <c r="I165">
        <f t="shared" si="23"/>
        <v>8</v>
      </c>
      <c r="J165">
        <f t="shared" si="24"/>
        <v>132</v>
      </c>
      <c r="K165" s="5">
        <f t="shared" si="25"/>
        <v>0</v>
      </c>
      <c r="L165">
        <f t="shared" si="26"/>
        <v>53.4</v>
      </c>
      <c r="M165">
        <f t="shared" si="27"/>
        <v>1</v>
      </c>
      <c r="N165">
        <f t="shared" si="28"/>
        <v>0</v>
      </c>
    </row>
    <row r="166" spans="4:14" x14ac:dyDescent="0.2">
      <c r="D166">
        <f t="shared" si="30"/>
        <v>143</v>
      </c>
      <c r="E166" s="1">
        <f t="shared" si="31"/>
        <v>-15.971188544041189</v>
      </c>
      <c r="F166" s="1">
        <f t="shared" si="32"/>
        <v>-16.547801908345182</v>
      </c>
      <c r="G166" s="1">
        <f t="shared" si="29"/>
        <v>6.5070020503191707E-8</v>
      </c>
      <c r="H166" s="1">
        <f t="shared" si="22"/>
        <v>6.7411164098015514E-9</v>
      </c>
      <c r="I166">
        <f t="shared" si="23"/>
        <v>8</v>
      </c>
      <c r="J166">
        <f t="shared" si="24"/>
        <v>133</v>
      </c>
      <c r="K166" s="5">
        <f t="shared" si="25"/>
        <v>0</v>
      </c>
      <c r="L166">
        <f t="shared" si="26"/>
        <v>53.4</v>
      </c>
      <c r="M166">
        <f t="shared" si="27"/>
        <v>1</v>
      </c>
      <c r="N166">
        <f t="shared" si="28"/>
        <v>0</v>
      </c>
    </row>
    <row r="167" spans="4:14" x14ac:dyDescent="0.2">
      <c r="D167">
        <f t="shared" si="30"/>
        <v>144</v>
      </c>
      <c r="E167" s="1">
        <f t="shared" si="31"/>
        <v>-16.087722360297139</v>
      </c>
      <c r="F167" s="1">
        <f t="shared" si="32"/>
        <v>-16.664335724601134</v>
      </c>
      <c r="G167" s="1">
        <f t="shared" si="29"/>
        <v>5.7912318247840581E-8</v>
      </c>
      <c r="H167" s="1">
        <f t="shared" si="22"/>
        <v>5.9995936047233769E-9</v>
      </c>
      <c r="I167">
        <f t="shared" si="23"/>
        <v>8</v>
      </c>
      <c r="J167">
        <f t="shared" si="24"/>
        <v>134</v>
      </c>
      <c r="K167" s="5">
        <f t="shared" si="25"/>
        <v>0</v>
      </c>
      <c r="L167">
        <f t="shared" si="26"/>
        <v>53.4</v>
      </c>
      <c r="M167">
        <f t="shared" si="27"/>
        <v>1</v>
      </c>
      <c r="N167">
        <f t="shared" si="28"/>
        <v>0</v>
      </c>
    </row>
    <row r="168" spans="4:14" x14ac:dyDescent="0.2">
      <c r="D168">
        <f t="shared" si="30"/>
        <v>145</v>
      </c>
      <c r="E168" s="1">
        <f t="shared" si="31"/>
        <v>-16.204256176553091</v>
      </c>
      <c r="F168" s="1">
        <f t="shared" si="32"/>
        <v>-16.780869540857086</v>
      </c>
      <c r="G168" s="1">
        <f t="shared" si="29"/>
        <v>5.1541963240578087E-8</v>
      </c>
      <c r="H168" s="1">
        <f t="shared" si="22"/>
        <v>5.3396383082038026E-9</v>
      </c>
      <c r="I168">
        <f t="shared" si="23"/>
        <v>8</v>
      </c>
      <c r="J168">
        <f t="shared" si="24"/>
        <v>135</v>
      </c>
      <c r="K168" s="5">
        <f t="shared" si="25"/>
        <v>0</v>
      </c>
      <c r="L168">
        <f t="shared" si="26"/>
        <v>53.4</v>
      </c>
      <c r="M168">
        <f t="shared" si="27"/>
        <v>1</v>
      </c>
      <c r="N168">
        <f t="shared" si="28"/>
        <v>0</v>
      </c>
    </row>
    <row r="169" spans="4:14" x14ac:dyDescent="0.2">
      <c r="D169">
        <f t="shared" si="30"/>
        <v>146</v>
      </c>
      <c r="E169" s="1">
        <f t="shared" si="31"/>
        <v>-16.320789992809043</v>
      </c>
      <c r="F169" s="1">
        <f t="shared" si="32"/>
        <v>-16.897403357113038</v>
      </c>
      <c r="G169" s="1">
        <f t="shared" si="29"/>
        <v>4.5872347284114468E-8</v>
      </c>
      <c r="H169" s="1">
        <f t="shared" si="22"/>
        <v>4.752278094301381E-9</v>
      </c>
      <c r="I169">
        <f t="shared" si="23"/>
        <v>8</v>
      </c>
      <c r="J169">
        <f t="shared" si="24"/>
        <v>136</v>
      </c>
      <c r="K169" s="5">
        <f t="shared" si="25"/>
        <v>0</v>
      </c>
      <c r="L169">
        <f t="shared" si="26"/>
        <v>53.4</v>
      </c>
      <c r="M169">
        <f t="shared" si="27"/>
        <v>1</v>
      </c>
      <c r="N169">
        <f t="shared" si="28"/>
        <v>0</v>
      </c>
    </row>
    <row r="170" spans="4:14" x14ac:dyDescent="0.2">
      <c r="D170">
        <f t="shared" si="30"/>
        <v>147</v>
      </c>
      <c r="E170" s="1">
        <f t="shared" si="31"/>
        <v>-16.437323809064996</v>
      </c>
      <c r="F170" s="1">
        <f t="shared" si="32"/>
        <v>-17.013937173368991</v>
      </c>
      <c r="G170" s="1">
        <f t="shared" si="29"/>
        <v>4.0826389082861851E-8</v>
      </c>
      <c r="H170" s="1">
        <f t="shared" si="22"/>
        <v>4.2295275039282266E-9</v>
      </c>
      <c r="I170">
        <f t="shared" si="23"/>
        <v>8</v>
      </c>
      <c r="J170">
        <f t="shared" si="24"/>
        <v>137</v>
      </c>
      <c r="K170" s="5">
        <f t="shared" si="25"/>
        <v>0</v>
      </c>
      <c r="L170">
        <f t="shared" si="26"/>
        <v>53.4</v>
      </c>
      <c r="M170">
        <f t="shared" si="27"/>
        <v>1</v>
      </c>
      <c r="N170">
        <f t="shared" si="28"/>
        <v>0</v>
      </c>
    </row>
    <row r="171" spans="4:14" x14ac:dyDescent="0.2">
      <c r="D171">
        <f t="shared" si="30"/>
        <v>148</v>
      </c>
      <c r="E171" s="1">
        <f t="shared" si="31"/>
        <v>-16.553857625320948</v>
      </c>
      <c r="F171" s="1">
        <f t="shared" si="32"/>
        <v>-17.130470989624943</v>
      </c>
      <c r="G171" s="1">
        <f t="shared" si="29"/>
        <v>3.6335486283747021E-8</v>
      </c>
      <c r="H171" s="1">
        <f t="shared" si="22"/>
        <v>3.7642794784961186E-9</v>
      </c>
      <c r="I171">
        <f t="shared" si="23"/>
        <v>8</v>
      </c>
      <c r="J171">
        <f t="shared" si="24"/>
        <v>138</v>
      </c>
      <c r="K171" s="5">
        <f t="shared" si="25"/>
        <v>0</v>
      </c>
      <c r="L171">
        <f t="shared" si="26"/>
        <v>53.4</v>
      </c>
      <c r="M171">
        <f t="shared" si="27"/>
        <v>1</v>
      </c>
      <c r="N171">
        <f t="shared" si="28"/>
        <v>0</v>
      </c>
    </row>
    <row r="172" spans="4:14" x14ac:dyDescent="0.2">
      <c r="D172">
        <f t="shared" si="30"/>
        <v>149</v>
      </c>
      <c r="E172" s="1">
        <f t="shared" si="31"/>
        <v>-16.6703914415769</v>
      </c>
      <c r="F172" s="1">
        <f t="shared" si="32"/>
        <v>-17.247004805880895</v>
      </c>
      <c r="G172" s="1">
        <f t="shared" si="29"/>
        <v>3.2338582792534829E-8</v>
      </c>
      <c r="H172" s="1">
        <f t="shared" si="22"/>
        <v>3.3502087358615438E-9</v>
      </c>
      <c r="I172">
        <f t="shared" si="23"/>
        <v>8</v>
      </c>
      <c r="J172">
        <f t="shared" si="24"/>
        <v>139</v>
      </c>
      <c r="K172" s="5">
        <f t="shared" si="25"/>
        <v>0</v>
      </c>
      <c r="L172">
        <f t="shared" si="26"/>
        <v>53.4</v>
      </c>
      <c r="M172">
        <f t="shared" si="27"/>
        <v>1</v>
      </c>
      <c r="N172">
        <f t="shared" si="28"/>
        <v>0</v>
      </c>
    </row>
    <row r="173" spans="4:14" x14ac:dyDescent="0.2">
      <c r="D173">
        <f t="shared" si="30"/>
        <v>150</v>
      </c>
      <c r="E173" s="1">
        <f t="shared" si="31"/>
        <v>-16.786925257832849</v>
      </c>
      <c r="F173" s="1">
        <f t="shared" si="32"/>
        <v>-17.363538622136844</v>
      </c>
      <c r="G173" s="1">
        <f t="shared" si="29"/>
        <v>2.8781338685356083E-8</v>
      </c>
      <c r="H173" s="1">
        <f t="shared" si="22"/>
        <v>2.9816857749167829E-9</v>
      </c>
      <c r="I173">
        <f t="shared" si="23"/>
        <v>8</v>
      </c>
      <c r="J173">
        <f t="shared" si="24"/>
        <v>140</v>
      </c>
      <c r="K173" s="5">
        <f t="shared" si="25"/>
        <v>0</v>
      </c>
      <c r="L173">
        <f t="shared" si="26"/>
        <v>53.4</v>
      </c>
      <c r="M173">
        <f t="shared" si="27"/>
        <v>1</v>
      </c>
      <c r="N173">
        <f t="shared" si="28"/>
        <v>0</v>
      </c>
    </row>
    <row r="174" spans="4:14" x14ac:dyDescent="0.2">
      <c r="D174">
        <f t="shared" si="30"/>
        <v>151</v>
      </c>
      <c r="E174" s="1">
        <f t="shared" si="31"/>
        <v>-16.903459074088797</v>
      </c>
      <c r="F174" s="1">
        <f t="shared" si="32"/>
        <v>-17.480072438392792</v>
      </c>
      <c r="G174" s="1">
        <f t="shared" si="29"/>
        <v>2.561539142996699E-8</v>
      </c>
      <c r="H174" s="1">
        <f t="shared" si="22"/>
        <v>2.6537003396759445E-9</v>
      </c>
      <c r="I174">
        <f t="shared" si="23"/>
        <v>8</v>
      </c>
      <c r="J174">
        <f t="shared" si="24"/>
        <v>141</v>
      </c>
      <c r="K174" s="5">
        <f t="shared" si="25"/>
        <v>0</v>
      </c>
      <c r="L174">
        <f t="shared" si="26"/>
        <v>53.4</v>
      </c>
      <c r="M174">
        <f t="shared" si="27"/>
        <v>1</v>
      </c>
      <c r="N174">
        <f t="shared" si="28"/>
        <v>0</v>
      </c>
    </row>
    <row r="175" spans="4:14" x14ac:dyDescent="0.2">
      <c r="D175">
        <f t="shared" si="30"/>
        <v>152</v>
      </c>
      <c r="E175" s="1">
        <f t="shared" si="31"/>
        <v>-17.019992890344746</v>
      </c>
      <c r="F175" s="1">
        <f t="shared" si="32"/>
        <v>-17.596606254648741</v>
      </c>
      <c r="G175" s="1">
        <f t="shared" si="29"/>
        <v>2.2797698372670687E-8</v>
      </c>
      <c r="H175" s="1">
        <f t="shared" si="22"/>
        <v>2.3617933023115974E-9</v>
      </c>
      <c r="I175">
        <f t="shared" si="23"/>
        <v>8</v>
      </c>
      <c r="J175">
        <f t="shared" si="24"/>
        <v>142</v>
      </c>
      <c r="K175" s="5">
        <f t="shared" si="25"/>
        <v>0</v>
      </c>
      <c r="L175">
        <f t="shared" si="26"/>
        <v>53.4</v>
      </c>
      <c r="M175">
        <f t="shared" si="27"/>
        <v>1</v>
      </c>
      <c r="N175">
        <f t="shared" si="28"/>
        <v>0</v>
      </c>
    </row>
    <row r="176" spans="4:14" x14ac:dyDescent="0.2">
      <c r="D176">
        <f t="shared" si="30"/>
        <v>153</v>
      </c>
      <c r="E176" s="1">
        <f t="shared" si="31"/>
        <v>-17.136526706600694</v>
      </c>
      <c r="F176" s="1">
        <f t="shared" si="32"/>
        <v>-17.713140070904689</v>
      </c>
      <c r="G176" s="1">
        <f t="shared" si="29"/>
        <v>2.0289951551676972E-8</v>
      </c>
      <c r="H176" s="1">
        <f t="shared" si="22"/>
        <v>2.1019960390573281E-9</v>
      </c>
      <c r="I176">
        <f t="shared" si="23"/>
        <v>8</v>
      </c>
      <c r="J176">
        <f t="shared" si="24"/>
        <v>143</v>
      </c>
      <c r="K176" s="5">
        <f t="shared" si="25"/>
        <v>0</v>
      </c>
      <c r="L176">
        <f t="shared" si="26"/>
        <v>53.4</v>
      </c>
      <c r="M176">
        <f t="shared" si="27"/>
        <v>1</v>
      </c>
      <c r="N176">
        <f t="shared" si="28"/>
        <v>0</v>
      </c>
    </row>
    <row r="177" spans="4:14" x14ac:dyDescent="0.2">
      <c r="D177">
        <f t="shared" si="30"/>
        <v>154</v>
      </c>
      <c r="E177" s="1">
        <f t="shared" si="31"/>
        <v>-17.253060522856643</v>
      </c>
      <c r="F177" s="1">
        <f t="shared" si="32"/>
        <v>-17.829673887160638</v>
      </c>
      <c r="G177" s="1">
        <f t="shared" si="29"/>
        <v>1.8058056880992556E-8</v>
      </c>
      <c r="H177" s="1">
        <f t="shared" si="22"/>
        <v>1.8707764747610273E-9</v>
      </c>
      <c r="I177">
        <f t="shared" si="23"/>
        <v>8</v>
      </c>
      <c r="J177">
        <f t="shared" si="24"/>
        <v>144</v>
      </c>
      <c r="K177" s="5">
        <f t="shared" si="25"/>
        <v>0</v>
      </c>
      <c r="L177">
        <f t="shared" si="26"/>
        <v>53.4</v>
      </c>
      <c r="M177">
        <f t="shared" si="27"/>
        <v>1</v>
      </c>
      <c r="N177">
        <f t="shared" si="28"/>
        <v>0</v>
      </c>
    </row>
    <row r="178" spans="4:14" x14ac:dyDescent="0.2">
      <c r="D178">
        <f t="shared" si="30"/>
        <v>155</v>
      </c>
      <c r="E178" s="1">
        <f t="shared" si="31"/>
        <v>-17.369594339112592</v>
      </c>
      <c r="F178" s="1">
        <f t="shared" si="32"/>
        <v>-17.946207703416587</v>
      </c>
      <c r="G178" s="1">
        <f t="shared" si="29"/>
        <v>1.6071670624083424E-8</v>
      </c>
      <c r="H178" s="1">
        <f t="shared" si="22"/>
        <v>1.6649910625373193E-9</v>
      </c>
      <c r="I178">
        <f t="shared" si="23"/>
        <v>8</v>
      </c>
      <c r="J178">
        <f t="shared" si="24"/>
        <v>145</v>
      </c>
      <c r="K178" s="5">
        <f t="shared" si="25"/>
        <v>0</v>
      </c>
      <c r="L178">
        <f t="shared" si="26"/>
        <v>53.4</v>
      </c>
      <c r="M178">
        <f t="shared" si="27"/>
        <v>1</v>
      </c>
      <c r="N178">
        <f t="shared" si="28"/>
        <v>0</v>
      </c>
    </row>
    <row r="179" spans="4:14" x14ac:dyDescent="0.2">
      <c r="D179">
        <f t="shared" si="30"/>
        <v>156</v>
      </c>
      <c r="E179" s="1">
        <f t="shared" si="31"/>
        <v>-17.48612815536854</v>
      </c>
      <c r="F179" s="1">
        <f t="shared" si="32"/>
        <v>-18.062741519672535</v>
      </c>
      <c r="G179" s="1">
        <f t="shared" si="29"/>
        <v>1.4303786855434288E-8</v>
      </c>
      <c r="H179" s="1">
        <f t="shared" si="22"/>
        <v>1.4818420456582185E-9</v>
      </c>
      <c r="I179">
        <f t="shared" si="23"/>
        <v>8</v>
      </c>
      <c r="J179">
        <f t="shared" si="24"/>
        <v>146</v>
      </c>
      <c r="K179" s="5">
        <f t="shared" si="25"/>
        <v>0</v>
      </c>
      <c r="L179">
        <f t="shared" si="26"/>
        <v>53.4</v>
      </c>
      <c r="M179">
        <f t="shared" si="27"/>
        <v>1</v>
      </c>
      <c r="N179">
        <f t="shared" si="28"/>
        <v>0</v>
      </c>
    </row>
    <row r="180" spans="4:14" x14ac:dyDescent="0.2">
      <c r="D180">
        <f t="shared" si="30"/>
        <v>157</v>
      </c>
      <c r="E180" s="1">
        <f t="shared" si="31"/>
        <v>-17.602661971624489</v>
      </c>
      <c r="F180" s="1">
        <f t="shared" si="32"/>
        <v>-18.179275335928484</v>
      </c>
      <c r="G180" s="1">
        <f t="shared" si="29"/>
        <v>1.2730370301336553E-8</v>
      </c>
      <c r="H180" s="1">
        <f t="shared" si="22"/>
        <v>1.3188394206358182E-9</v>
      </c>
      <c r="I180">
        <f t="shared" si="23"/>
        <v>8</v>
      </c>
      <c r="J180">
        <f t="shared" si="24"/>
        <v>147</v>
      </c>
      <c r="K180" s="5">
        <f t="shared" si="25"/>
        <v>0</v>
      </c>
      <c r="L180">
        <f t="shared" si="26"/>
        <v>53.4</v>
      </c>
      <c r="M180">
        <f t="shared" si="27"/>
        <v>1</v>
      </c>
      <c r="N180">
        <f t="shared" si="28"/>
        <v>0</v>
      </c>
    </row>
    <row r="181" spans="4:14" x14ac:dyDescent="0.2">
      <c r="D181">
        <f t="shared" si="30"/>
        <v>158</v>
      </c>
      <c r="E181" s="1">
        <f t="shared" si="31"/>
        <v>-17.719195787880437</v>
      </c>
      <c r="F181" s="1">
        <f t="shared" si="32"/>
        <v>-18.295809152184432</v>
      </c>
      <c r="G181" s="1">
        <f t="shared" si="29"/>
        <v>1.1330029568189566E-8</v>
      </c>
      <c r="H181" s="1">
        <f t="shared" si="22"/>
        <v>1.1737670843658816E-9</v>
      </c>
      <c r="I181">
        <f t="shared" si="23"/>
        <v>8</v>
      </c>
      <c r="J181">
        <f t="shared" si="24"/>
        <v>148</v>
      </c>
      <c r="K181" s="5">
        <f t="shared" si="25"/>
        <v>0</v>
      </c>
      <c r="L181">
        <f t="shared" si="26"/>
        <v>53.4</v>
      </c>
      <c r="M181">
        <f t="shared" si="27"/>
        <v>1</v>
      </c>
      <c r="N181">
        <f t="shared" si="28"/>
        <v>0</v>
      </c>
    </row>
    <row r="182" spans="4:14" x14ac:dyDescent="0.2">
      <c r="D182">
        <f t="shared" si="30"/>
        <v>159</v>
      </c>
      <c r="E182" s="1">
        <f t="shared" si="31"/>
        <v>-17.835729604136386</v>
      </c>
      <c r="F182" s="1">
        <f t="shared" si="32"/>
        <v>-18.412342968440381</v>
      </c>
      <c r="G182" s="1">
        <f t="shared" si="29"/>
        <v>1.0083726315688743E-8</v>
      </c>
      <c r="H182" s="1">
        <f t="shared" si="22"/>
        <v>1.0446527050856377E-9</v>
      </c>
      <c r="I182">
        <f t="shared" si="23"/>
        <v>8</v>
      </c>
      <c r="J182">
        <f t="shared" si="24"/>
        <v>149</v>
      </c>
      <c r="K182" s="5">
        <f t="shared" si="25"/>
        <v>0</v>
      </c>
      <c r="L182">
        <f t="shared" si="26"/>
        <v>53.4</v>
      </c>
      <c r="M182">
        <f t="shared" si="27"/>
        <v>1</v>
      </c>
      <c r="N182">
        <f t="shared" si="28"/>
        <v>0</v>
      </c>
    </row>
    <row r="183" spans="4:14" x14ac:dyDescent="0.2">
      <c r="D183">
        <f t="shared" si="30"/>
        <v>160</v>
      </c>
      <c r="E183" s="1">
        <f t="shared" si="31"/>
        <v>-17.952263420392335</v>
      </c>
      <c r="F183" s="1">
        <f t="shared" si="32"/>
        <v>-18.52887678469633</v>
      </c>
      <c r="G183" s="1">
        <f t="shared" si="29"/>
        <v>8.9745164209630073E-9</v>
      </c>
      <c r="H183" s="1">
        <f t="shared" si="22"/>
        <v>9.2974090752622028E-10</v>
      </c>
      <c r="I183">
        <f t="shared" si="23"/>
        <v>8</v>
      </c>
      <c r="J183">
        <f t="shared" si="24"/>
        <v>150</v>
      </c>
      <c r="K183" s="5">
        <f t="shared" si="25"/>
        <v>0</v>
      </c>
      <c r="L183">
        <f t="shared" si="26"/>
        <v>53.4</v>
      </c>
      <c r="M183">
        <f t="shared" si="27"/>
        <v>1</v>
      </c>
      <c r="N183">
        <f t="shared" si="28"/>
        <v>0</v>
      </c>
    </row>
    <row r="184" spans="4:14" x14ac:dyDescent="0.2">
      <c r="D184">
        <f t="shared" si="30"/>
        <v>161</v>
      </c>
      <c r="E184" s="1">
        <f t="shared" si="31"/>
        <v>-18.068797236648283</v>
      </c>
      <c r="F184" s="1">
        <f t="shared" si="32"/>
        <v>-18.645410600952278</v>
      </c>
      <c r="G184" s="1">
        <f t="shared" si="29"/>
        <v>7.9873196146570994E-9</v>
      </c>
      <c r="H184" s="1">
        <f t="shared" si="22"/>
        <v>8.274694076983384E-10</v>
      </c>
      <c r="I184">
        <f t="shared" si="23"/>
        <v>8</v>
      </c>
      <c r="J184">
        <f t="shared" si="24"/>
        <v>151</v>
      </c>
      <c r="K184" s="5">
        <f t="shared" si="25"/>
        <v>0</v>
      </c>
      <c r="L184">
        <f t="shared" si="26"/>
        <v>53.4</v>
      </c>
      <c r="M184">
        <f t="shared" si="27"/>
        <v>1</v>
      </c>
      <c r="N184">
        <f t="shared" si="28"/>
        <v>0</v>
      </c>
    </row>
    <row r="185" spans="4:14" x14ac:dyDescent="0.2">
      <c r="D185">
        <f t="shared" si="30"/>
        <v>162</v>
      </c>
      <c r="E185" s="1">
        <f t="shared" si="31"/>
        <v>-18.185331052904232</v>
      </c>
      <c r="F185" s="1">
        <f t="shared" si="32"/>
        <v>-18.761944417208227</v>
      </c>
      <c r="G185" s="1">
        <f t="shared" si="29"/>
        <v>7.1087144570448393E-9</v>
      </c>
      <c r="H185" s="1">
        <f t="shared" si="22"/>
        <v>7.3644777285152336E-10</v>
      </c>
      <c r="I185">
        <f t="shared" si="23"/>
        <v>8</v>
      </c>
      <c r="J185">
        <f t="shared" si="24"/>
        <v>152</v>
      </c>
      <c r="K185" s="5">
        <f t="shared" si="25"/>
        <v>0</v>
      </c>
      <c r="L185">
        <f t="shared" si="26"/>
        <v>53.4</v>
      </c>
      <c r="M185">
        <f t="shared" si="27"/>
        <v>1</v>
      </c>
      <c r="N185">
        <f t="shared" si="28"/>
        <v>0</v>
      </c>
    </row>
    <row r="186" spans="4:14" x14ac:dyDescent="0.2">
      <c r="D186">
        <f t="shared" si="30"/>
        <v>163</v>
      </c>
      <c r="E186" s="1">
        <f t="shared" si="31"/>
        <v>-18.30186486916018</v>
      </c>
      <c r="F186" s="1">
        <f t="shared" si="32"/>
        <v>-18.878478233464175</v>
      </c>
      <c r="G186" s="1">
        <f t="shared" si="29"/>
        <v>6.3267558667699257E-9</v>
      </c>
      <c r="H186" s="1">
        <f t="shared" si="22"/>
        <v>6.5543851783785771E-10</v>
      </c>
      <c r="I186">
        <f t="shared" si="23"/>
        <v>8</v>
      </c>
      <c r="J186">
        <f t="shared" si="24"/>
        <v>153</v>
      </c>
      <c r="K186" s="5">
        <f t="shared" si="25"/>
        <v>0</v>
      </c>
      <c r="L186">
        <f t="shared" si="26"/>
        <v>53.4</v>
      </c>
      <c r="M186">
        <f t="shared" si="27"/>
        <v>1</v>
      </c>
      <c r="N186">
        <f t="shared" si="28"/>
        <v>0</v>
      </c>
    </row>
    <row r="187" spans="4:14" x14ac:dyDescent="0.2">
      <c r="D187">
        <f t="shared" si="30"/>
        <v>164</v>
      </c>
      <c r="E187" s="1">
        <f t="shared" si="31"/>
        <v>-18.418398685416129</v>
      </c>
      <c r="F187" s="1">
        <f t="shared" si="32"/>
        <v>-18.995012049720124</v>
      </c>
      <c r="G187" s="1">
        <f t="shared" si="29"/>
        <v>5.63081272142525E-9</v>
      </c>
      <c r="H187" s="1">
        <f t="shared" si="22"/>
        <v>5.8334028087569505E-10</v>
      </c>
      <c r="I187">
        <f t="shared" si="23"/>
        <v>8</v>
      </c>
      <c r="J187">
        <f t="shared" si="24"/>
        <v>154</v>
      </c>
      <c r="K187" s="5">
        <f t="shared" si="25"/>
        <v>0</v>
      </c>
      <c r="L187">
        <f t="shared" si="26"/>
        <v>53.4</v>
      </c>
      <c r="M187">
        <f t="shared" si="27"/>
        <v>1</v>
      </c>
      <c r="N187">
        <f t="shared" si="28"/>
        <v>0</v>
      </c>
    </row>
    <row r="188" spans="4:14" x14ac:dyDescent="0.2">
      <c r="D188">
        <f t="shared" si="30"/>
        <v>165</v>
      </c>
      <c r="E188" s="1">
        <f t="shared" si="31"/>
        <v>-18.534932501672078</v>
      </c>
      <c r="F188" s="1">
        <f t="shared" si="32"/>
        <v>-19.111545865976073</v>
      </c>
      <c r="G188" s="1">
        <f t="shared" si="29"/>
        <v>5.0114233220684875E-9</v>
      </c>
      <c r="H188" s="1">
        <f t="shared" si="22"/>
        <v>5.1917284997937017E-10</v>
      </c>
      <c r="I188">
        <f t="shared" si="23"/>
        <v>8</v>
      </c>
      <c r="J188">
        <f t="shared" si="24"/>
        <v>155</v>
      </c>
      <c r="K188" s="5">
        <f t="shared" si="25"/>
        <v>0</v>
      </c>
      <c r="L188">
        <f t="shared" si="26"/>
        <v>53.4</v>
      </c>
      <c r="M188">
        <f t="shared" si="27"/>
        <v>1</v>
      </c>
      <c r="N188">
        <f t="shared" si="28"/>
        <v>0</v>
      </c>
    </row>
    <row r="189" spans="4:14" x14ac:dyDescent="0.2">
      <c r="D189">
        <f t="shared" si="30"/>
        <v>166</v>
      </c>
      <c r="E189" s="1">
        <f t="shared" si="31"/>
        <v>-18.651466317928026</v>
      </c>
      <c r="F189" s="1">
        <f t="shared" si="32"/>
        <v>-19.228079682232021</v>
      </c>
      <c r="G189" s="1">
        <f t="shared" si="29"/>
        <v>4.4601667566409667E-9</v>
      </c>
      <c r="H189" s="1">
        <f t="shared" si="22"/>
        <v>4.6206383648164077E-10</v>
      </c>
      <c r="I189">
        <f t="shared" si="23"/>
        <v>8</v>
      </c>
      <c r="J189">
        <f t="shared" si="24"/>
        <v>156</v>
      </c>
      <c r="K189" s="5">
        <f t="shared" si="25"/>
        <v>0</v>
      </c>
      <c r="L189">
        <f t="shared" si="26"/>
        <v>53.4</v>
      </c>
      <c r="M189">
        <f t="shared" si="27"/>
        <v>1</v>
      </c>
      <c r="N189">
        <f t="shared" si="28"/>
        <v>0</v>
      </c>
    </row>
    <row r="190" spans="4:14" x14ac:dyDescent="0.2">
      <c r="D190">
        <f t="shared" si="30"/>
        <v>167</v>
      </c>
      <c r="E190" s="1">
        <f t="shared" si="31"/>
        <v>-18.768000134183975</v>
      </c>
      <c r="F190" s="1">
        <f t="shared" si="32"/>
        <v>-19.34461349848797</v>
      </c>
      <c r="G190" s="1">
        <f t="shared" si="29"/>
        <v>3.9695484134104722E-9</v>
      </c>
      <c r="H190" s="1">
        <f t="shared" si="22"/>
        <v>4.1123681446866151E-10</v>
      </c>
      <c r="I190">
        <f t="shared" si="23"/>
        <v>8</v>
      </c>
      <c r="J190">
        <f t="shared" si="24"/>
        <v>157</v>
      </c>
      <c r="K190" s="5">
        <f t="shared" si="25"/>
        <v>0</v>
      </c>
      <c r="L190">
        <f t="shared" si="26"/>
        <v>53.4</v>
      </c>
      <c r="M190">
        <f t="shared" si="27"/>
        <v>1</v>
      </c>
      <c r="N190">
        <f t="shared" si="28"/>
        <v>0</v>
      </c>
    </row>
    <row r="191" spans="4:14" x14ac:dyDescent="0.2">
      <c r="D191">
        <f t="shared" si="30"/>
        <v>168</v>
      </c>
      <c r="E191" s="1">
        <f t="shared" si="31"/>
        <v>-18.884533950439923</v>
      </c>
      <c r="F191" s="1">
        <f t="shared" si="32"/>
        <v>-19.461147314743918</v>
      </c>
      <c r="G191" s="1">
        <f t="shared" si="29"/>
        <v>3.5328980879353304E-9</v>
      </c>
      <c r="H191" s="1">
        <f t="shared" si="22"/>
        <v>3.6600076487710978E-10</v>
      </c>
      <c r="I191">
        <f t="shared" si="23"/>
        <v>8</v>
      </c>
      <c r="J191">
        <f t="shared" si="24"/>
        <v>158</v>
      </c>
      <c r="K191" s="5">
        <f t="shared" si="25"/>
        <v>0</v>
      </c>
      <c r="L191">
        <f t="shared" si="26"/>
        <v>53.4</v>
      </c>
      <c r="M191">
        <f t="shared" si="27"/>
        <v>1</v>
      </c>
      <c r="N191">
        <f t="shared" si="28"/>
        <v>0</v>
      </c>
    </row>
    <row r="192" spans="4:14" x14ac:dyDescent="0.2">
      <c r="D192">
        <f t="shared" si="30"/>
        <v>169</v>
      </c>
      <c r="E192" s="1">
        <f t="shared" si="31"/>
        <v>-19.001067766695872</v>
      </c>
      <c r="F192" s="1">
        <f t="shared" si="32"/>
        <v>-19.577681130999867</v>
      </c>
      <c r="G192" s="1">
        <f t="shared" si="29"/>
        <v>3.1442792982624534E-9</v>
      </c>
      <c r="H192" s="1">
        <f t="shared" si="22"/>
        <v>3.2574068074062866E-10</v>
      </c>
      <c r="I192">
        <f t="shared" si="23"/>
        <v>8</v>
      </c>
      <c r="J192">
        <f t="shared" si="24"/>
        <v>159</v>
      </c>
      <c r="K192" s="5">
        <f t="shared" si="25"/>
        <v>0</v>
      </c>
      <c r="L192">
        <f t="shared" si="26"/>
        <v>53.4</v>
      </c>
      <c r="M192">
        <f t="shared" si="27"/>
        <v>1</v>
      </c>
      <c r="N192">
        <f t="shared" si="28"/>
        <v>0</v>
      </c>
    </row>
    <row r="193" spans="4:14" x14ac:dyDescent="0.2">
      <c r="D193">
        <f t="shared" si="30"/>
        <v>170</v>
      </c>
      <c r="E193" s="1">
        <f t="shared" si="31"/>
        <v>-19.117601582951821</v>
      </c>
      <c r="F193" s="1">
        <f t="shared" si="32"/>
        <v>-19.694214947255816</v>
      </c>
      <c r="G193" s="1">
        <f t="shared" si="29"/>
        <v>2.7984085754535915E-9</v>
      </c>
      <c r="H193" s="1">
        <f t="shared" si="22"/>
        <v>2.8990920585916036E-10</v>
      </c>
      <c r="I193">
        <f t="shared" si="23"/>
        <v>8</v>
      </c>
      <c r="J193">
        <f t="shared" si="24"/>
        <v>160</v>
      </c>
      <c r="K193" s="5">
        <f t="shared" si="25"/>
        <v>0</v>
      </c>
      <c r="L193">
        <f t="shared" si="26"/>
        <v>53.4</v>
      </c>
      <c r="M193">
        <f t="shared" si="27"/>
        <v>1</v>
      </c>
      <c r="N193">
        <f t="shared" si="28"/>
        <v>0</v>
      </c>
    </row>
    <row r="194" spans="4:14" x14ac:dyDescent="0.2">
      <c r="D194">
        <f t="shared" si="30"/>
        <v>171</v>
      </c>
      <c r="E194" s="1">
        <f t="shared" si="31"/>
        <v>-19.234135399207769</v>
      </c>
      <c r="F194" s="1">
        <f t="shared" si="32"/>
        <v>-19.810748763511764</v>
      </c>
      <c r="G194" s="1">
        <f t="shared" si="29"/>
        <v>2.4905836321537038E-9</v>
      </c>
      <c r="H194" s="1">
        <f t="shared" si="22"/>
        <v>2.5801919321465347E-10</v>
      </c>
      <c r="I194">
        <f t="shared" si="23"/>
        <v>8</v>
      </c>
      <c r="J194">
        <f t="shared" si="24"/>
        <v>161</v>
      </c>
      <c r="K194" s="5">
        <f t="shared" si="25"/>
        <v>0</v>
      </c>
      <c r="L194">
        <f t="shared" si="26"/>
        <v>53.4</v>
      </c>
      <c r="M194">
        <f t="shared" si="27"/>
        <v>1</v>
      </c>
      <c r="N194">
        <f t="shared" si="28"/>
        <v>0</v>
      </c>
    </row>
    <row r="195" spans="4:14" x14ac:dyDescent="0.2">
      <c r="D195">
        <f t="shared" si="30"/>
        <v>172</v>
      </c>
      <c r="E195" s="1">
        <f t="shared" si="31"/>
        <v>-19.350669215463718</v>
      </c>
      <c r="F195" s="1">
        <f t="shared" si="32"/>
        <v>-19.927282579767713</v>
      </c>
      <c r="G195" s="1">
        <f t="shared" si="29"/>
        <v>2.2166194326168027E-9</v>
      </c>
      <c r="H195" s="1">
        <f t="shared" si="22"/>
        <v>2.2963708196104225E-10</v>
      </c>
      <c r="I195">
        <f t="shared" si="23"/>
        <v>8</v>
      </c>
      <c r="J195">
        <f t="shared" si="24"/>
        <v>162</v>
      </c>
      <c r="K195" s="5">
        <f t="shared" si="25"/>
        <v>0</v>
      </c>
      <c r="L195">
        <f t="shared" si="26"/>
        <v>53.4</v>
      </c>
      <c r="M195">
        <f t="shared" si="27"/>
        <v>1</v>
      </c>
      <c r="N195">
        <f t="shared" si="28"/>
        <v>0</v>
      </c>
    </row>
    <row r="196" spans="4:14" x14ac:dyDescent="0.2">
      <c r="D196">
        <f t="shared" si="30"/>
        <v>173</v>
      </c>
      <c r="E196" s="1">
        <f t="shared" si="31"/>
        <v>-19.467203031719666</v>
      </c>
      <c r="F196" s="1">
        <f t="shared" si="32"/>
        <v>-20.043816396023661</v>
      </c>
      <c r="G196" s="1">
        <f t="shared" si="29"/>
        <v>1.9727912950289603E-9</v>
      </c>
      <c r="H196" s="1">
        <f t="shared" si="22"/>
        <v>2.043770029453282E-10</v>
      </c>
      <c r="I196">
        <f t="shared" si="23"/>
        <v>8</v>
      </c>
      <c r="J196">
        <f t="shared" si="24"/>
        <v>163</v>
      </c>
      <c r="K196" s="5">
        <f t="shared" si="25"/>
        <v>0</v>
      </c>
      <c r="L196">
        <f t="shared" si="26"/>
        <v>53.4</v>
      </c>
      <c r="M196">
        <f t="shared" si="27"/>
        <v>1</v>
      </c>
      <c r="N196">
        <f t="shared" si="28"/>
        <v>0</v>
      </c>
    </row>
    <row r="197" spans="4:14" x14ac:dyDescent="0.2">
      <c r="D197">
        <f t="shared" si="30"/>
        <v>174</v>
      </c>
      <c r="E197" s="1">
        <f t="shared" si="31"/>
        <v>-19.583736847975615</v>
      </c>
      <c r="F197" s="1">
        <f t="shared" si="32"/>
        <v>-20.16035021227961</v>
      </c>
      <c r="G197" s="1">
        <f t="shared" si="29"/>
        <v>1.7557842525757799E-9</v>
      </c>
      <c r="H197" s="1">
        <f t="shared" si="22"/>
        <v>1.8189553262134266E-10</v>
      </c>
      <c r="I197">
        <f t="shared" si="23"/>
        <v>8</v>
      </c>
      <c r="J197">
        <f t="shared" si="24"/>
        <v>164</v>
      </c>
      <c r="K197" s="5">
        <f t="shared" si="25"/>
        <v>0</v>
      </c>
      <c r="L197">
        <f t="shared" si="26"/>
        <v>53.4</v>
      </c>
      <c r="M197">
        <f t="shared" si="27"/>
        <v>1</v>
      </c>
      <c r="N197">
        <f t="shared" si="28"/>
        <v>0</v>
      </c>
    </row>
    <row r="198" spans="4:14" x14ac:dyDescent="0.2">
      <c r="D198">
        <f t="shared" si="30"/>
        <v>175</v>
      </c>
      <c r="E198" s="1">
        <f t="shared" si="31"/>
        <v>-19.700270664231564</v>
      </c>
      <c r="F198" s="1">
        <f t="shared" si="32"/>
        <v>-20.276884028535559</v>
      </c>
      <c r="G198" s="1">
        <f t="shared" si="29"/>
        <v>1.5626479847924486E-9</v>
      </c>
      <c r="H198" s="1">
        <f t="shared" si="22"/>
        <v>1.6188702403299542E-10</v>
      </c>
      <c r="I198">
        <f t="shared" si="23"/>
        <v>8</v>
      </c>
      <c r="J198">
        <f t="shared" si="24"/>
        <v>165</v>
      </c>
      <c r="K198" s="5">
        <f t="shared" si="25"/>
        <v>0</v>
      </c>
      <c r="L198">
        <f t="shared" si="26"/>
        <v>53.4</v>
      </c>
      <c r="M198">
        <f t="shared" si="27"/>
        <v>1</v>
      </c>
      <c r="N198">
        <f t="shared" si="28"/>
        <v>0</v>
      </c>
    </row>
    <row r="199" spans="4:14" x14ac:dyDescent="0.2">
      <c r="D199">
        <f t="shared" si="30"/>
        <v>176</v>
      </c>
      <c r="E199" s="1">
        <f t="shared" si="31"/>
        <v>-19.816804480487512</v>
      </c>
      <c r="F199" s="1">
        <f t="shared" si="32"/>
        <v>-20.393417844791507</v>
      </c>
      <c r="G199" s="1">
        <f t="shared" si="29"/>
        <v>1.3907567064652834E-9</v>
      </c>
      <c r="H199" s="1">
        <f t="shared" si="22"/>
        <v>1.4407945138936636E-10</v>
      </c>
      <c r="I199">
        <f t="shared" si="23"/>
        <v>8</v>
      </c>
      <c r="J199">
        <f t="shared" si="24"/>
        <v>166</v>
      </c>
      <c r="K199" s="5">
        <f t="shared" si="25"/>
        <v>0</v>
      </c>
      <c r="L199">
        <f t="shared" si="26"/>
        <v>53.4</v>
      </c>
      <c r="M199">
        <f t="shared" si="27"/>
        <v>1</v>
      </c>
      <c r="N199">
        <f t="shared" si="28"/>
        <v>0</v>
      </c>
    </row>
    <row r="200" spans="4:14" x14ac:dyDescent="0.2">
      <c r="D200">
        <f t="shared" si="30"/>
        <v>177</v>
      </c>
      <c r="E200" s="1">
        <f t="shared" si="31"/>
        <v>-19.933338296743461</v>
      </c>
      <c r="F200" s="1">
        <f t="shared" si="32"/>
        <v>-20.509951661047456</v>
      </c>
      <c r="G200" s="1">
        <f t="shared" si="29"/>
        <v>1.2377734687541058E-9</v>
      </c>
      <c r="H200" s="1">
        <f t="shared" si="22"/>
        <v>1.2823071173653644E-10</v>
      </c>
      <c r="I200">
        <f t="shared" si="23"/>
        <v>8</v>
      </c>
      <c r="J200">
        <f t="shared" si="24"/>
        <v>167</v>
      </c>
      <c r="K200" s="5">
        <f t="shared" si="25"/>
        <v>0</v>
      </c>
      <c r="L200">
        <f t="shared" si="26"/>
        <v>53.4</v>
      </c>
      <c r="M200">
        <f t="shared" si="27"/>
        <v>1</v>
      </c>
      <c r="N200">
        <f t="shared" si="28"/>
        <v>0</v>
      </c>
    </row>
    <row r="201" spans="4:14" x14ac:dyDescent="0.2">
      <c r="D201">
        <f t="shared" si="30"/>
        <v>178</v>
      </c>
      <c r="E201" s="1">
        <f t="shared" si="31"/>
        <v>-20.04987211299941</v>
      </c>
      <c r="F201" s="1">
        <f t="shared" si="32"/>
        <v>-20.626485477303405</v>
      </c>
      <c r="G201" s="1">
        <f t="shared" si="29"/>
        <v>1.1016183871911573E-9</v>
      </c>
      <c r="H201" s="1">
        <f t="shared" si="22"/>
        <v>1.1412533344551774E-10</v>
      </c>
      <c r="I201">
        <f t="shared" si="23"/>
        <v>8</v>
      </c>
      <c r="J201">
        <f t="shared" si="24"/>
        <v>168</v>
      </c>
      <c r="K201" s="5">
        <f t="shared" si="25"/>
        <v>0</v>
      </c>
      <c r="L201">
        <f t="shared" si="26"/>
        <v>53.4</v>
      </c>
      <c r="M201">
        <f t="shared" si="27"/>
        <v>1</v>
      </c>
      <c r="N201">
        <f t="shared" si="28"/>
        <v>0</v>
      </c>
    </row>
    <row r="202" spans="4:14" x14ac:dyDescent="0.2">
      <c r="D202">
        <f t="shared" si="30"/>
        <v>179</v>
      </c>
      <c r="E202" s="1">
        <f t="shared" si="31"/>
        <v>-20.166405929255358</v>
      </c>
      <c r="F202" s="1">
        <f t="shared" si="32"/>
        <v>-20.743019293559353</v>
      </c>
      <c r="G202" s="1">
        <f t="shared" si="29"/>
        <v>9.8044036460013288E-10</v>
      </c>
      <c r="H202" s="1">
        <f t="shared" si="22"/>
        <v>1.0157154676651109E-10</v>
      </c>
      <c r="I202">
        <f t="shared" si="23"/>
        <v>8</v>
      </c>
      <c r="J202">
        <f t="shared" si="24"/>
        <v>169</v>
      </c>
      <c r="K202" s="5">
        <f t="shared" si="25"/>
        <v>0</v>
      </c>
      <c r="L202">
        <f t="shared" si="26"/>
        <v>53.4</v>
      </c>
      <c r="M202">
        <f t="shared" si="27"/>
        <v>1</v>
      </c>
      <c r="N202">
        <f t="shared" si="28"/>
        <v>0</v>
      </c>
    </row>
    <row r="203" spans="4:14" x14ac:dyDescent="0.2">
      <c r="D203">
        <f t="shared" si="30"/>
        <v>180</v>
      </c>
      <c r="E203" s="1">
        <f t="shared" si="31"/>
        <v>-20.282939745511307</v>
      </c>
      <c r="F203" s="1">
        <f t="shared" si="32"/>
        <v>-20.859553109815302</v>
      </c>
      <c r="G203" s="1">
        <f t="shared" si="29"/>
        <v>8.7259192449412082E-10</v>
      </c>
      <c r="H203" s="1">
        <f t="shared" si="22"/>
        <v>9.0398676622195141E-11</v>
      </c>
      <c r="I203">
        <f t="shared" si="23"/>
        <v>8</v>
      </c>
      <c r="J203">
        <f t="shared" si="24"/>
        <v>170</v>
      </c>
      <c r="K203" s="5">
        <f t="shared" si="25"/>
        <v>0</v>
      </c>
      <c r="L203">
        <f t="shared" si="26"/>
        <v>53.4</v>
      </c>
      <c r="M203">
        <f t="shared" si="27"/>
        <v>1</v>
      </c>
      <c r="N203">
        <f t="shared" si="28"/>
        <v>0</v>
      </c>
    </row>
    <row r="204" spans="4:14" x14ac:dyDescent="0.2">
      <c r="D204">
        <f t="shared" si="30"/>
        <v>181</v>
      </c>
      <c r="E204" s="1">
        <f t="shared" si="31"/>
        <v>-20.399473561767255</v>
      </c>
      <c r="F204" s="1">
        <f t="shared" si="32"/>
        <v>-20.97608692607125</v>
      </c>
      <c r="G204" s="1">
        <f t="shared" si="29"/>
        <v>7.7660681279976983E-10</v>
      </c>
      <c r="H204" s="1">
        <f t="shared" si="22"/>
        <v>8.045482219375391E-11</v>
      </c>
      <c r="I204">
        <f t="shared" si="23"/>
        <v>8</v>
      </c>
      <c r="J204">
        <f t="shared" si="24"/>
        <v>171</v>
      </c>
      <c r="K204" s="5">
        <f t="shared" si="25"/>
        <v>0</v>
      </c>
      <c r="L204">
        <f t="shared" si="26"/>
        <v>53.4</v>
      </c>
      <c r="M204">
        <f t="shared" si="27"/>
        <v>1</v>
      </c>
      <c r="N204">
        <f t="shared" si="28"/>
        <v>0</v>
      </c>
    </row>
    <row r="205" spans="4:14" x14ac:dyDescent="0.2">
      <c r="D205">
        <f t="shared" si="30"/>
        <v>182</v>
      </c>
      <c r="E205" s="1">
        <f t="shared" si="31"/>
        <v>-20.516007378023204</v>
      </c>
      <c r="F205" s="1">
        <f t="shared" si="32"/>
        <v>-21.092620742327199</v>
      </c>
      <c r="G205" s="1">
        <f t="shared" si="29"/>
        <v>6.9118006339179718E-10</v>
      </c>
      <c r="H205" s="1">
        <f t="shared" si="22"/>
        <v>7.1604791752441196E-11</v>
      </c>
      <c r="I205">
        <f t="shared" si="23"/>
        <v>8</v>
      </c>
      <c r="J205">
        <f t="shared" si="24"/>
        <v>172</v>
      </c>
      <c r="K205" s="5">
        <f t="shared" si="25"/>
        <v>0</v>
      </c>
      <c r="L205">
        <f t="shared" si="26"/>
        <v>53.4</v>
      </c>
      <c r="M205">
        <f t="shared" si="27"/>
        <v>1</v>
      </c>
      <c r="N205">
        <f t="shared" si="28"/>
        <v>0</v>
      </c>
    </row>
    <row r="206" spans="4:14" x14ac:dyDescent="0.2">
      <c r="D206">
        <f t="shared" si="30"/>
        <v>183</v>
      </c>
      <c r="E206" s="1">
        <f t="shared" si="31"/>
        <v>-20.632541194279153</v>
      </c>
      <c r="F206" s="1">
        <f t="shared" si="32"/>
        <v>-21.209154558583148</v>
      </c>
      <c r="G206" s="1">
        <f t="shared" si="29"/>
        <v>6.1515025641870128E-10</v>
      </c>
      <c r="H206" s="1">
        <f t="shared" si="22"/>
        <v>6.3728264659672844E-11</v>
      </c>
      <c r="I206">
        <f t="shared" si="23"/>
        <v>8</v>
      </c>
      <c r="J206">
        <f t="shared" si="24"/>
        <v>173</v>
      </c>
      <c r="K206" s="5">
        <f t="shared" si="25"/>
        <v>0</v>
      </c>
      <c r="L206">
        <f t="shared" si="26"/>
        <v>53.4</v>
      </c>
      <c r="M206">
        <f t="shared" si="27"/>
        <v>1</v>
      </c>
      <c r="N206">
        <f t="shared" si="28"/>
        <v>0</v>
      </c>
    </row>
    <row r="207" spans="4:14" x14ac:dyDescent="0.2">
      <c r="D207">
        <f t="shared" si="30"/>
        <v>184</v>
      </c>
      <c r="E207" s="1">
        <f t="shared" si="31"/>
        <v>-20.749075010535101</v>
      </c>
      <c r="F207" s="1">
        <f t="shared" si="32"/>
        <v>-21.325688374839096</v>
      </c>
      <c r="G207" s="1">
        <f t="shared" si="29"/>
        <v>5.4748372821264574E-10</v>
      </c>
      <c r="H207" s="1">
        <f t="shared" si="22"/>
        <v>5.6718155547108999E-11</v>
      </c>
      <c r="I207">
        <f t="shared" si="23"/>
        <v>8</v>
      </c>
      <c r="J207">
        <f t="shared" si="24"/>
        <v>174</v>
      </c>
      <c r="K207" s="5">
        <f t="shared" si="25"/>
        <v>0</v>
      </c>
      <c r="L207">
        <f t="shared" si="26"/>
        <v>53.4</v>
      </c>
      <c r="M207">
        <f t="shared" si="27"/>
        <v>1</v>
      </c>
      <c r="N207">
        <f t="shared" si="28"/>
        <v>0</v>
      </c>
    </row>
    <row r="208" spans="4:14" x14ac:dyDescent="0.2">
      <c r="D208">
        <f t="shared" si="30"/>
        <v>185</v>
      </c>
      <c r="E208" s="1">
        <f t="shared" si="31"/>
        <v>-20.86560882679105</v>
      </c>
      <c r="F208" s="1">
        <f t="shared" si="32"/>
        <v>-21.442222191095045</v>
      </c>
      <c r="G208" s="1">
        <f t="shared" si="29"/>
        <v>4.8726051810925617E-10</v>
      </c>
      <c r="H208" s="1">
        <f t="shared" si="22"/>
        <v>5.047915843692716E-11</v>
      </c>
      <c r="I208">
        <f t="shared" si="23"/>
        <v>8</v>
      </c>
      <c r="J208">
        <f t="shared" si="24"/>
        <v>175</v>
      </c>
      <c r="K208" s="5">
        <f t="shared" si="25"/>
        <v>0</v>
      </c>
      <c r="L208">
        <f t="shared" si="26"/>
        <v>53.4</v>
      </c>
      <c r="M208">
        <f t="shared" si="27"/>
        <v>1</v>
      </c>
      <c r="N208">
        <f t="shared" si="28"/>
        <v>0</v>
      </c>
    </row>
    <row r="209" spans="4:14" x14ac:dyDescent="0.2">
      <c r="D209">
        <f t="shared" si="30"/>
        <v>186</v>
      </c>
      <c r="E209" s="1">
        <f t="shared" si="31"/>
        <v>-20.982142643046998</v>
      </c>
      <c r="F209" s="1">
        <f t="shared" si="32"/>
        <v>-21.558756007350993</v>
      </c>
      <c r="G209" s="1">
        <f t="shared" si="29"/>
        <v>4.3366186111723924E-10</v>
      </c>
      <c r="H209" s="1">
        <f t="shared" si="22"/>
        <v>4.4926451008865302E-11</v>
      </c>
      <c r="I209">
        <f t="shared" si="23"/>
        <v>8</v>
      </c>
      <c r="J209">
        <f t="shared" si="24"/>
        <v>176</v>
      </c>
      <c r="K209" s="5">
        <f t="shared" si="25"/>
        <v>0</v>
      </c>
      <c r="L209">
        <f t="shared" si="26"/>
        <v>53.4</v>
      </c>
      <c r="M209">
        <f t="shared" si="27"/>
        <v>1</v>
      </c>
      <c r="N209">
        <f t="shared" si="28"/>
        <v>0</v>
      </c>
    </row>
    <row r="210" spans="4:14" x14ac:dyDescent="0.2">
      <c r="D210">
        <f t="shared" si="30"/>
        <v>187</v>
      </c>
      <c r="E210" s="1">
        <f t="shared" si="31"/>
        <v>-21.098676459302947</v>
      </c>
      <c r="F210" s="1">
        <f t="shared" si="32"/>
        <v>-21.675289823606942</v>
      </c>
      <c r="G210" s="1">
        <f t="shared" si="29"/>
        <v>3.8595905639434404E-10</v>
      </c>
      <c r="H210" s="1">
        <f t="shared" si="22"/>
        <v>3.9984541397890235E-11</v>
      </c>
      <c r="I210">
        <f t="shared" si="23"/>
        <v>8</v>
      </c>
      <c r="J210">
        <f t="shared" si="24"/>
        <v>177</v>
      </c>
      <c r="K210" s="5">
        <f t="shared" si="25"/>
        <v>0</v>
      </c>
      <c r="L210">
        <f t="shared" si="26"/>
        <v>53.4</v>
      </c>
      <c r="M210">
        <f t="shared" si="27"/>
        <v>1</v>
      </c>
      <c r="N210">
        <f t="shared" si="28"/>
        <v>0</v>
      </c>
    </row>
    <row r="211" spans="4:14" x14ac:dyDescent="0.2">
      <c r="D211">
        <f t="shared" si="30"/>
        <v>188</v>
      </c>
      <c r="E211" s="1">
        <f t="shared" si="31"/>
        <v>-21.215210275558896</v>
      </c>
      <c r="F211" s="1">
        <f t="shared" si="32"/>
        <v>-21.791823639862891</v>
      </c>
      <c r="G211" s="1">
        <f t="shared" si="29"/>
        <v>3.435035601909672E-10</v>
      </c>
      <c r="H211" s="1">
        <f t="shared" si="22"/>
        <v>3.5586241844122414E-11</v>
      </c>
      <c r="I211">
        <f t="shared" si="23"/>
        <v>8</v>
      </c>
      <c r="J211">
        <f t="shared" si="24"/>
        <v>178</v>
      </c>
      <c r="K211" s="5">
        <f t="shared" si="25"/>
        <v>0</v>
      </c>
      <c r="L211">
        <f t="shared" si="26"/>
        <v>53.4</v>
      </c>
      <c r="M211">
        <f t="shared" si="27"/>
        <v>1</v>
      </c>
      <c r="N211">
        <f t="shared" si="28"/>
        <v>0</v>
      </c>
    </row>
    <row r="212" spans="4:14" x14ac:dyDescent="0.2">
      <c r="D212">
        <f t="shared" si="30"/>
        <v>189</v>
      </c>
      <c r="E212" s="1">
        <f t="shared" si="31"/>
        <v>-21.331744091814844</v>
      </c>
      <c r="F212" s="1">
        <f t="shared" si="32"/>
        <v>-21.908357456118839</v>
      </c>
      <c r="G212" s="1">
        <f t="shared" si="29"/>
        <v>3.057181685699617E-10</v>
      </c>
      <c r="H212" s="1">
        <f t="shared" si="22"/>
        <v>3.167175524126904E-11</v>
      </c>
      <c r="I212">
        <f t="shared" si="23"/>
        <v>8</v>
      </c>
      <c r="J212">
        <f t="shared" si="24"/>
        <v>179</v>
      </c>
      <c r="K212" s="5">
        <f t="shared" si="25"/>
        <v>0</v>
      </c>
      <c r="L212">
        <f t="shared" si="26"/>
        <v>53.4</v>
      </c>
      <c r="M212">
        <f t="shared" si="27"/>
        <v>1</v>
      </c>
      <c r="N212">
        <f t="shared" si="28"/>
        <v>0</v>
      </c>
    </row>
    <row r="213" spans="4:14" x14ac:dyDescent="0.2">
      <c r="D213">
        <f t="shared" si="30"/>
        <v>190</v>
      </c>
      <c r="E213" s="1">
        <f t="shared" si="31"/>
        <v>-21.448277908070793</v>
      </c>
      <c r="F213" s="1">
        <f t="shared" si="32"/>
        <v>-22.024891272374788</v>
      </c>
      <c r="G213" s="1">
        <f t="shared" si="29"/>
        <v>2.7208917002726673E-10</v>
      </c>
      <c r="H213" s="1">
        <f t="shared" si="22"/>
        <v>2.8187862164729531E-11</v>
      </c>
      <c r="I213">
        <f t="shared" si="23"/>
        <v>8</v>
      </c>
      <c r="J213">
        <f t="shared" si="24"/>
        <v>180</v>
      </c>
      <c r="K213" s="5">
        <f t="shared" si="25"/>
        <v>0</v>
      </c>
      <c r="L213">
        <f t="shared" si="26"/>
        <v>53.4</v>
      </c>
      <c r="M213">
        <f t="shared" si="27"/>
        <v>1</v>
      </c>
      <c r="N213">
        <f t="shared" si="28"/>
        <v>0</v>
      </c>
    </row>
    <row r="214" spans="4:14" x14ac:dyDescent="0.2">
      <c r="D214">
        <f t="shared" si="30"/>
        <v>191</v>
      </c>
      <c r="E214" s="1">
        <f t="shared" si="31"/>
        <v>-21.564811724326741</v>
      </c>
      <c r="F214" s="1">
        <f t="shared" si="32"/>
        <v>-22.141425088630736</v>
      </c>
      <c r="G214" s="1">
        <f t="shared" si="29"/>
        <v>2.4215936132426809E-10</v>
      </c>
      <c r="H214" s="1">
        <f t="shared" si="22"/>
        <v>2.5087197326609355E-11</v>
      </c>
      <c r="I214">
        <f t="shared" si="23"/>
        <v>8</v>
      </c>
      <c r="J214">
        <f t="shared" si="24"/>
        <v>181</v>
      </c>
      <c r="K214" s="5">
        <f t="shared" si="25"/>
        <v>0</v>
      </c>
      <c r="L214">
        <f t="shared" si="26"/>
        <v>53.4</v>
      </c>
      <c r="M214">
        <f t="shared" si="27"/>
        <v>1</v>
      </c>
      <c r="N214">
        <f t="shared" si="28"/>
        <v>0</v>
      </c>
    </row>
    <row r="215" spans="4:14" x14ac:dyDescent="0.2">
      <c r="D215">
        <f t="shared" si="30"/>
        <v>192</v>
      </c>
      <c r="E215" s="1">
        <f t="shared" si="31"/>
        <v>-21.68134554058269</v>
      </c>
      <c r="F215" s="1">
        <f t="shared" si="32"/>
        <v>-22.257958904886685</v>
      </c>
      <c r="G215" s="1">
        <f t="shared" si="29"/>
        <v>2.1552183157859922E-10</v>
      </c>
      <c r="H215" s="1">
        <f t="shared" ref="H215:H278" si="33">G215/$G$21</f>
        <v>2.2327605620682387E-11</v>
      </c>
      <c r="I215">
        <f t="shared" ref="I215:I278" si="34">IF($F$11&lt;=D215, IF(D215&lt;=$A$15,D215-$F$11,$C$11),0)</f>
        <v>8</v>
      </c>
      <c r="J215">
        <f t="shared" ref="J215:J278" si="35">IF(D215&lt;=$A$15,0,D215-$A$15)</f>
        <v>182</v>
      </c>
      <c r="K215" s="5">
        <f t="shared" ref="K215:K278" si="36">IF(D215&lt;$F$11,H215,0)</f>
        <v>0</v>
      </c>
      <c r="L215">
        <f t="shared" ref="L215:L278" si="37">IF(D215&lt;$A$15,$D$11,$D$11*(1-$H$11))</f>
        <v>53.4</v>
      </c>
      <c r="M215">
        <f t="shared" ref="M215:M278" si="38">IF(D215&lt;$A$15,0,1)</f>
        <v>1</v>
      </c>
      <c r="N215">
        <f t="shared" ref="N215:N278" si="39">IF(SUM(I215:J215)&lt;=($G$11/60*$F$11/($E$11/60)),1,0)</f>
        <v>0</v>
      </c>
    </row>
    <row r="216" spans="4:14" x14ac:dyDescent="0.2">
      <c r="D216">
        <f t="shared" si="30"/>
        <v>193</v>
      </c>
      <c r="E216" s="1">
        <f t="shared" si="31"/>
        <v>-21.797879356838639</v>
      </c>
      <c r="F216" s="1">
        <f t="shared" si="32"/>
        <v>-22.374492721142634</v>
      </c>
      <c r="G216" s="1">
        <f t="shared" ref="G216:G279" si="40">EXP(F216)</f>
        <v>1.9181443010495386E-10</v>
      </c>
      <c r="H216" s="1">
        <f t="shared" si="33"/>
        <v>1.9871569002407382E-11</v>
      </c>
      <c r="I216">
        <f t="shared" si="34"/>
        <v>8</v>
      </c>
      <c r="J216">
        <f t="shared" si="35"/>
        <v>183</v>
      </c>
      <c r="K216" s="5">
        <f t="shared" si="36"/>
        <v>0</v>
      </c>
      <c r="L216">
        <f t="shared" si="37"/>
        <v>53.4</v>
      </c>
      <c r="M216">
        <f t="shared" si="38"/>
        <v>1</v>
      </c>
      <c r="N216">
        <f t="shared" si="39"/>
        <v>0</v>
      </c>
    </row>
    <row r="217" spans="4:14" x14ac:dyDescent="0.2">
      <c r="D217">
        <f t="shared" ref="D217:D280" si="41">1+D216</f>
        <v>194</v>
      </c>
      <c r="E217" s="1">
        <f t="shared" ref="E217:E280" si="42">IF($H$11=1,IF(D217&lt;=$A$15, E216+LN($D$11)-LN(60/$E$11)-LN(MIN(D217,$F$11)), E216-LN(60/$E$11)-LN(MIN(D217,$F$11))), IF(D217&lt;=$A$15, E216+LN($D$11)-LN(60/$E$11)-LN(MIN(D217,$F$11)), E216+LN($D$11)+LN(1-$H$11)-LN(60/$E$11)-LN(MIN(D217,$F$11))))</f>
        <v>-21.914413173094587</v>
      </c>
      <c r="F217" s="1">
        <f t="shared" ref="F217:F280" si="43">E217-$E$21</f>
        <v>-22.491026537398582</v>
      </c>
      <c r="G217" s="1">
        <f t="shared" si="40"/>
        <v>1.7071484279340943E-10</v>
      </c>
      <c r="H217" s="1">
        <f t="shared" si="33"/>
        <v>1.7685696412142623E-11</v>
      </c>
      <c r="I217">
        <f t="shared" si="34"/>
        <v>8</v>
      </c>
      <c r="J217">
        <f t="shared" si="35"/>
        <v>184</v>
      </c>
      <c r="K217" s="5">
        <f t="shared" si="36"/>
        <v>0</v>
      </c>
      <c r="L217">
        <f t="shared" si="37"/>
        <v>53.4</v>
      </c>
      <c r="M217">
        <f t="shared" si="38"/>
        <v>1</v>
      </c>
      <c r="N217">
        <f t="shared" si="39"/>
        <v>0</v>
      </c>
    </row>
    <row r="218" spans="4:14" x14ac:dyDescent="0.2">
      <c r="D218">
        <f t="shared" si="41"/>
        <v>195</v>
      </c>
      <c r="E218" s="1">
        <f t="shared" si="42"/>
        <v>-22.030946989350536</v>
      </c>
      <c r="F218" s="1">
        <f t="shared" si="43"/>
        <v>-22.607560353654531</v>
      </c>
      <c r="G218" s="1">
        <f t="shared" si="40"/>
        <v>1.5193621008613485E-10</v>
      </c>
      <c r="H218" s="1">
        <f t="shared" si="33"/>
        <v>1.5740269806806982E-11</v>
      </c>
      <c r="I218">
        <f t="shared" si="34"/>
        <v>8</v>
      </c>
      <c r="J218">
        <f t="shared" si="35"/>
        <v>185</v>
      </c>
      <c r="K218" s="5">
        <f t="shared" si="36"/>
        <v>0</v>
      </c>
      <c r="L218">
        <f t="shared" si="37"/>
        <v>53.4</v>
      </c>
      <c r="M218">
        <f t="shared" si="38"/>
        <v>1</v>
      </c>
      <c r="N218">
        <f t="shared" si="39"/>
        <v>0</v>
      </c>
    </row>
    <row r="219" spans="4:14" x14ac:dyDescent="0.2">
      <c r="D219">
        <f t="shared" si="41"/>
        <v>196</v>
      </c>
      <c r="E219" s="1">
        <f t="shared" si="42"/>
        <v>-22.147480805606484</v>
      </c>
      <c r="F219" s="1">
        <f t="shared" si="43"/>
        <v>-22.724094169910479</v>
      </c>
      <c r="G219" s="1">
        <f t="shared" si="40"/>
        <v>1.3522322697666041E-10</v>
      </c>
      <c r="H219" s="1">
        <f t="shared" si="33"/>
        <v>1.4008840128058255E-11</v>
      </c>
      <c r="I219">
        <f t="shared" si="34"/>
        <v>8</v>
      </c>
      <c r="J219">
        <f t="shared" si="35"/>
        <v>186</v>
      </c>
      <c r="K219" s="5">
        <f t="shared" si="36"/>
        <v>0</v>
      </c>
      <c r="L219">
        <f t="shared" si="37"/>
        <v>53.4</v>
      </c>
      <c r="M219">
        <f t="shared" si="38"/>
        <v>1</v>
      </c>
      <c r="N219">
        <f t="shared" si="39"/>
        <v>0</v>
      </c>
    </row>
    <row r="220" spans="4:14" x14ac:dyDescent="0.2">
      <c r="D220">
        <f t="shared" si="41"/>
        <v>197</v>
      </c>
      <c r="E220" s="1">
        <f t="shared" si="42"/>
        <v>-22.264014621862433</v>
      </c>
      <c r="F220" s="1">
        <f t="shared" si="43"/>
        <v>-22.840627986166428</v>
      </c>
      <c r="G220" s="1">
        <f t="shared" si="40"/>
        <v>1.2034867200922812E-10</v>
      </c>
      <c r="H220" s="1">
        <f t="shared" si="33"/>
        <v>1.2467867713971884E-11</v>
      </c>
      <c r="I220">
        <f t="shared" si="34"/>
        <v>8</v>
      </c>
      <c r="J220">
        <f t="shared" si="35"/>
        <v>187</v>
      </c>
      <c r="K220" s="5">
        <f t="shared" si="36"/>
        <v>0</v>
      </c>
      <c r="L220">
        <f t="shared" si="37"/>
        <v>53.4</v>
      </c>
      <c r="M220">
        <f t="shared" si="38"/>
        <v>1</v>
      </c>
      <c r="N220">
        <f t="shared" si="39"/>
        <v>0</v>
      </c>
    </row>
    <row r="221" spans="4:14" x14ac:dyDescent="0.2">
      <c r="D221">
        <f t="shared" si="41"/>
        <v>198</v>
      </c>
      <c r="E221" s="1">
        <f t="shared" si="42"/>
        <v>-22.380548438118382</v>
      </c>
      <c r="F221" s="1">
        <f t="shared" si="43"/>
        <v>-22.957161802422377</v>
      </c>
      <c r="G221" s="1">
        <f t="shared" si="40"/>
        <v>1.0711031808821333E-10</v>
      </c>
      <c r="H221" s="1">
        <f t="shared" si="33"/>
        <v>1.1096402265435008E-11</v>
      </c>
      <c r="I221">
        <f t="shared" si="34"/>
        <v>8</v>
      </c>
      <c r="J221">
        <f t="shared" si="35"/>
        <v>188</v>
      </c>
      <c r="K221" s="5">
        <f t="shared" si="36"/>
        <v>0</v>
      </c>
      <c r="L221">
        <f t="shared" si="37"/>
        <v>53.4</v>
      </c>
      <c r="M221">
        <f t="shared" si="38"/>
        <v>1</v>
      </c>
      <c r="N221">
        <f t="shared" si="39"/>
        <v>0</v>
      </c>
    </row>
    <row r="222" spans="4:14" x14ac:dyDescent="0.2">
      <c r="D222">
        <f t="shared" si="41"/>
        <v>199</v>
      </c>
      <c r="E222" s="1">
        <f t="shared" si="42"/>
        <v>-22.49708225437433</v>
      </c>
      <c r="F222" s="1">
        <f t="shared" si="43"/>
        <v>-23.073695618678325</v>
      </c>
      <c r="G222" s="1">
        <f t="shared" si="40"/>
        <v>9.5328183098510141E-11</v>
      </c>
      <c r="H222" s="1">
        <f t="shared" si="33"/>
        <v>9.8757980162371855E-12</v>
      </c>
      <c r="I222">
        <f t="shared" si="34"/>
        <v>8</v>
      </c>
      <c r="J222">
        <f t="shared" si="35"/>
        <v>189</v>
      </c>
      <c r="K222" s="5">
        <f t="shared" si="36"/>
        <v>0</v>
      </c>
      <c r="L222">
        <f t="shared" si="37"/>
        <v>53.4</v>
      </c>
      <c r="M222">
        <f t="shared" si="38"/>
        <v>1</v>
      </c>
      <c r="N222">
        <f t="shared" si="39"/>
        <v>0</v>
      </c>
    </row>
    <row r="223" spans="4:14" x14ac:dyDescent="0.2">
      <c r="D223">
        <f t="shared" si="41"/>
        <v>200</v>
      </c>
      <c r="E223" s="1">
        <f t="shared" si="42"/>
        <v>-22.613616070630279</v>
      </c>
      <c r="F223" s="1">
        <f t="shared" si="43"/>
        <v>-23.190229434934274</v>
      </c>
      <c r="G223" s="1">
        <f t="shared" si="40"/>
        <v>8.4842082957674275E-11</v>
      </c>
      <c r="H223" s="1">
        <f t="shared" si="33"/>
        <v>8.7894602344511206E-12</v>
      </c>
      <c r="I223">
        <f t="shared" si="34"/>
        <v>8</v>
      </c>
      <c r="J223">
        <f t="shared" si="35"/>
        <v>190</v>
      </c>
      <c r="K223" s="5">
        <f t="shared" si="36"/>
        <v>0</v>
      </c>
      <c r="L223">
        <f t="shared" si="37"/>
        <v>53.4</v>
      </c>
      <c r="M223">
        <f t="shared" si="38"/>
        <v>1</v>
      </c>
      <c r="N223">
        <f t="shared" si="39"/>
        <v>0</v>
      </c>
    </row>
    <row r="224" spans="4:14" x14ac:dyDescent="0.2">
      <c r="D224">
        <f t="shared" si="41"/>
        <v>201</v>
      </c>
      <c r="E224" s="1">
        <f t="shared" si="42"/>
        <v>-22.730149886886228</v>
      </c>
      <c r="F224" s="1">
        <f t="shared" si="43"/>
        <v>-23.306763251190223</v>
      </c>
      <c r="G224" s="1">
        <f t="shared" si="40"/>
        <v>7.5509453832330323E-11</v>
      </c>
      <c r="H224" s="1">
        <f t="shared" si="33"/>
        <v>7.8226196086615199E-12</v>
      </c>
      <c r="I224">
        <f t="shared" si="34"/>
        <v>8</v>
      </c>
      <c r="J224">
        <f t="shared" si="35"/>
        <v>191</v>
      </c>
      <c r="K224" s="5">
        <f t="shared" si="36"/>
        <v>0</v>
      </c>
      <c r="L224">
        <f t="shared" si="37"/>
        <v>53.4</v>
      </c>
      <c r="M224">
        <f t="shared" si="38"/>
        <v>1</v>
      </c>
      <c r="N224">
        <f t="shared" si="39"/>
        <v>0</v>
      </c>
    </row>
    <row r="225" spans="4:14" x14ac:dyDescent="0.2">
      <c r="D225">
        <f t="shared" si="41"/>
        <v>202</v>
      </c>
      <c r="E225" s="1">
        <f t="shared" si="42"/>
        <v>-22.846683703142176</v>
      </c>
      <c r="F225" s="1">
        <f t="shared" si="43"/>
        <v>-23.423297067446171</v>
      </c>
      <c r="G225" s="1">
        <f t="shared" si="40"/>
        <v>6.720341391077419E-11</v>
      </c>
      <c r="H225" s="1">
        <f t="shared" si="33"/>
        <v>6.9621314517087738E-12</v>
      </c>
      <c r="I225">
        <f t="shared" si="34"/>
        <v>8</v>
      </c>
      <c r="J225">
        <f t="shared" si="35"/>
        <v>192</v>
      </c>
      <c r="K225" s="5">
        <f t="shared" si="36"/>
        <v>0</v>
      </c>
      <c r="L225">
        <f t="shared" si="37"/>
        <v>53.4</v>
      </c>
      <c r="M225">
        <f t="shared" si="38"/>
        <v>1</v>
      </c>
      <c r="N225">
        <f t="shared" si="39"/>
        <v>0</v>
      </c>
    </row>
    <row r="226" spans="4:14" x14ac:dyDescent="0.2">
      <c r="D226">
        <f t="shared" si="41"/>
        <v>203</v>
      </c>
      <c r="E226" s="1">
        <f t="shared" si="42"/>
        <v>-22.963217519398125</v>
      </c>
      <c r="F226" s="1">
        <f t="shared" si="43"/>
        <v>-23.53983088370212</v>
      </c>
      <c r="G226" s="1">
        <f t="shared" si="40"/>
        <v>5.9811038380589202E-11</v>
      </c>
      <c r="H226" s="1">
        <f t="shared" si="33"/>
        <v>6.1962969920208268E-12</v>
      </c>
      <c r="I226">
        <f t="shared" si="34"/>
        <v>8</v>
      </c>
      <c r="J226">
        <f t="shared" si="35"/>
        <v>193</v>
      </c>
      <c r="K226" s="5">
        <f t="shared" si="36"/>
        <v>0</v>
      </c>
      <c r="L226">
        <f t="shared" si="37"/>
        <v>53.4</v>
      </c>
      <c r="M226">
        <f t="shared" si="38"/>
        <v>1</v>
      </c>
      <c r="N226">
        <f t="shared" si="39"/>
        <v>0</v>
      </c>
    </row>
    <row r="227" spans="4:14" x14ac:dyDescent="0.2">
      <c r="D227">
        <f t="shared" si="41"/>
        <v>204</v>
      </c>
      <c r="E227" s="1">
        <f t="shared" si="42"/>
        <v>-23.079751335654073</v>
      </c>
      <c r="F227" s="1">
        <f t="shared" si="43"/>
        <v>-23.656364699958068</v>
      </c>
      <c r="G227" s="1">
        <f t="shared" si="40"/>
        <v>5.3231824158724547E-11</v>
      </c>
      <c r="H227" s="1">
        <f t="shared" si="33"/>
        <v>5.5147043228985521E-12</v>
      </c>
      <c r="I227">
        <f t="shared" si="34"/>
        <v>8</v>
      </c>
      <c r="J227">
        <f t="shared" si="35"/>
        <v>194</v>
      </c>
      <c r="K227" s="5">
        <f t="shared" si="36"/>
        <v>0</v>
      </c>
      <c r="L227">
        <f t="shared" si="37"/>
        <v>53.4</v>
      </c>
      <c r="M227">
        <f t="shared" si="38"/>
        <v>1</v>
      </c>
      <c r="N227">
        <f t="shared" si="39"/>
        <v>0</v>
      </c>
    </row>
    <row r="228" spans="4:14" x14ac:dyDescent="0.2">
      <c r="D228">
        <f t="shared" si="41"/>
        <v>205</v>
      </c>
      <c r="E228" s="1">
        <f t="shared" si="42"/>
        <v>-23.196285151910022</v>
      </c>
      <c r="F228" s="1">
        <f t="shared" si="43"/>
        <v>-23.772898516214017</v>
      </c>
      <c r="G228" s="1">
        <f t="shared" si="40"/>
        <v>4.7376323501264982E-11</v>
      </c>
      <c r="H228" s="1">
        <f t="shared" si="33"/>
        <v>4.908086847379725E-12</v>
      </c>
      <c r="I228">
        <f t="shared" si="34"/>
        <v>8</v>
      </c>
      <c r="J228">
        <f t="shared" si="35"/>
        <v>195</v>
      </c>
      <c r="K228" s="5">
        <f t="shared" si="36"/>
        <v>0</v>
      </c>
      <c r="L228">
        <f t="shared" si="37"/>
        <v>53.4</v>
      </c>
      <c r="M228">
        <f t="shared" si="38"/>
        <v>1</v>
      </c>
      <c r="N228">
        <f t="shared" si="39"/>
        <v>0</v>
      </c>
    </row>
    <row r="229" spans="4:14" x14ac:dyDescent="0.2">
      <c r="D229">
        <f t="shared" si="41"/>
        <v>206</v>
      </c>
      <c r="E229" s="1">
        <f t="shared" si="42"/>
        <v>-23.312818968165971</v>
      </c>
      <c r="F229" s="1">
        <f t="shared" si="43"/>
        <v>-23.889432332469966</v>
      </c>
      <c r="G229" s="1">
        <f t="shared" si="40"/>
        <v>4.2164927916125961E-11</v>
      </c>
      <c r="H229" s="1">
        <f t="shared" si="33"/>
        <v>4.3681972941679687E-12</v>
      </c>
      <c r="I229">
        <f t="shared" si="34"/>
        <v>8</v>
      </c>
      <c r="J229">
        <f t="shared" si="35"/>
        <v>196</v>
      </c>
      <c r="K229" s="5">
        <f t="shared" si="36"/>
        <v>0</v>
      </c>
      <c r="L229">
        <f t="shared" si="37"/>
        <v>53.4</v>
      </c>
      <c r="M229">
        <f t="shared" si="38"/>
        <v>1</v>
      </c>
      <c r="N229">
        <f t="shared" si="39"/>
        <v>0</v>
      </c>
    </row>
    <row r="230" spans="4:14" x14ac:dyDescent="0.2">
      <c r="D230">
        <f t="shared" si="41"/>
        <v>207</v>
      </c>
      <c r="E230" s="1">
        <f t="shared" si="42"/>
        <v>-23.429352784421919</v>
      </c>
      <c r="F230" s="1">
        <f t="shared" si="43"/>
        <v>-24.005966148725914</v>
      </c>
      <c r="G230" s="1">
        <f t="shared" si="40"/>
        <v>3.7526785845352211E-11</v>
      </c>
      <c r="H230" s="1">
        <f t="shared" si="33"/>
        <v>3.8876955918095031E-12</v>
      </c>
      <c r="I230">
        <f t="shared" si="34"/>
        <v>8</v>
      </c>
      <c r="J230">
        <f t="shared" si="35"/>
        <v>197</v>
      </c>
      <c r="K230" s="5">
        <f t="shared" si="36"/>
        <v>0</v>
      </c>
      <c r="L230">
        <f t="shared" si="37"/>
        <v>53.4</v>
      </c>
      <c r="M230">
        <f t="shared" si="38"/>
        <v>1</v>
      </c>
      <c r="N230">
        <f t="shared" si="39"/>
        <v>0</v>
      </c>
    </row>
    <row r="231" spans="4:14" x14ac:dyDescent="0.2">
      <c r="D231">
        <f t="shared" si="41"/>
        <v>208</v>
      </c>
      <c r="E231" s="1">
        <f t="shared" si="42"/>
        <v>-23.545886600677868</v>
      </c>
      <c r="F231" s="1">
        <f t="shared" si="43"/>
        <v>-24.122499964981863</v>
      </c>
      <c r="G231" s="1">
        <f t="shared" si="40"/>
        <v>3.339883940236357E-11</v>
      </c>
      <c r="H231" s="1">
        <f t="shared" si="33"/>
        <v>3.4600490767104684E-12</v>
      </c>
      <c r="I231">
        <f t="shared" si="34"/>
        <v>8</v>
      </c>
      <c r="J231">
        <f t="shared" si="35"/>
        <v>198</v>
      </c>
      <c r="K231" s="5">
        <f t="shared" si="36"/>
        <v>0</v>
      </c>
      <c r="L231">
        <f t="shared" si="37"/>
        <v>53.4</v>
      </c>
      <c r="M231">
        <f t="shared" si="38"/>
        <v>1</v>
      </c>
      <c r="N231">
        <f t="shared" si="39"/>
        <v>0</v>
      </c>
    </row>
    <row r="232" spans="4:14" x14ac:dyDescent="0.2">
      <c r="D232">
        <f t="shared" si="41"/>
        <v>209</v>
      </c>
      <c r="E232" s="1">
        <f t="shared" si="42"/>
        <v>-23.662420416933816</v>
      </c>
      <c r="F232" s="1">
        <f t="shared" si="43"/>
        <v>-24.239033781237811</v>
      </c>
      <c r="G232" s="1">
        <f t="shared" si="40"/>
        <v>2.972496706810366E-11</v>
      </c>
      <c r="H232" s="1">
        <f t="shared" si="33"/>
        <v>3.0794436782723254E-12</v>
      </c>
      <c r="I232">
        <f t="shared" si="34"/>
        <v>8</v>
      </c>
      <c r="J232">
        <f t="shared" si="35"/>
        <v>199</v>
      </c>
      <c r="K232" s="5">
        <f t="shared" si="36"/>
        <v>0</v>
      </c>
      <c r="L232">
        <f t="shared" si="37"/>
        <v>53.4</v>
      </c>
      <c r="M232">
        <f t="shared" si="38"/>
        <v>1</v>
      </c>
      <c r="N232">
        <f t="shared" si="39"/>
        <v>0</v>
      </c>
    </row>
    <row r="233" spans="4:14" x14ac:dyDescent="0.2">
      <c r="D233">
        <f t="shared" si="41"/>
        <v>210</v>
      </c>
      <c r="E233" s="1">
        <f t="shared" si="42"/>
        <v>-23.778954233189765</v>
      </c>
      <c r="F233" s="1">
        <f t="shared" si="43"/>
        <v>-24.35556759749376</v>
      </c>
      <c r="G233" s="1">
        <f t="shared" si="40"/>
        <v>2.6455220690612336E-11</v>
      </c>
      <c r="H233" s="1">
        <f t="shared" si="33"/>
        <v>2.7407048736623777E-12</v>
      </c>
      <c r="I233">
        <f t="shared" si="34"/>
        <v>8</v>
      </c>
      <c r="J233">
        <f t="shared" si="35"/>
        <v>200</v>
      </c>
      <c r="K233" s="5">
        <f t="shared" si="36"/>
        <v>0</v>
      </c>
      <c r="L233">
        <f t="shared" si="37"/>
        <v>53.4</v>
      </c>
      <c r="M233">
        <f t="shared" si="38"/>
        <v>1</v>
      </c>
      <c r="N233">
        <f t="shared" si="39"/>
        <v>0</v>
      </c>
    </row>
    <row r="234" spans="4:14" x14ac:dyDescent="0.2">
      <c r="D234">
        <f t="shared" si="41"/>
        <v>211</v>
      </c>
      <c r="E234" s="1">
        <f t="shared" si="42"/>
        <v>-23.895488049445714</v>
      </c>
      <c r="F234" s="1">
        <f t="shared" si="43"/>
        <v>-24.472101413749709</v>
      </c>
      <c r="G234" s="1">
        <f t="shared" si="40"/>
        <v>2.3545146414645047E-11</v>
      </c>
      <c r="H234" s="1">
        <f t="shared" si="33"/>
        <v>2.4392273375595231E-12</v>
      </c>
      <c r="I234">
        <f t="shared" si="34"/>
        <v>8</v>
      </c>
      <c r="J234">
        <f t="shared" si="35"/>
        <v>201</v>
      </c>
      <c r="K234" s="5">
        <f t="shared" si="36"/>
        <v>0</v>
      </c>
      <c r="L234">
        <f t="shared" si="37"/>
        <v>53.4</v>
      </c>
      <c r="M234">
        <f t="shared" si="38"/>
        <v>1</v>
      </c>
      <c r="N234">
        <f t="shared" si="39"/>
        <v>0</v>
      </c>
    </row>
    <row r="235" spans="4:14" x14ac:dyDescent="0.2">
      <c r="D235">
        <f t="shared" si="41"/>
        <v>212</v>
      </c>
      <c r="E235" s="1">
        <f t="shared" si="42"/>
        <v>-24.012021865701662</v>
      </c>
      <c r="F235" s="1">
        <f t="shared" si="43"/>
        <v>-24.588635230005657</v>
      </c>
      <c r="G235" s="1">
        <f t="shared" si="40"/>
        <v>2.0955180309034154E-11</v>
      </c>
      <c r="H235" s="1">
        <f t="shared" si="33"/>
        <v>2.170912330427982E-12</v>
      </c>
      <c r="I235">
        <f t="shared" si="34"/>
        <v>8</v>
      </c>
      <c r="J235">
        <f t="shared" si="35"/>
        <v>202</v>
      </c>
      <c r="K235" s="5">
        <f t="shared" si="36"/>
        <v>0</v>
      </c>
      <c r="L235">
        <f t="shared" si="37"/>
        <v>53.4</v>
      </c>
      <c r="M235">
        <f t="shared" si="38"/>
        <v>1</v>
      </c>
      <c r="N235">
        <f t="shared" si="39"/>
        <v>0</v>
      </c>
    </row>
    <row r="236" spans="4:14" x14ac:dyDescent="0.2">
      <c r="D236">
        <f t="shared" si="41"/>
        <v>213</v>
      </c>
      <c r="E236" s="1">
        <f t="shared" si="42"/>
        <v>-24.128555681957611</v>
      </c>
      <c r="F236" s="1">
        <f t="shared" si="43"/>
        <v>-24.705169046261606</v>
      </c>
      <c r="G236" s="1">
        <f t="shared" si="40"/>
        <v>1.8650110475040453E-11</v>
      </c>
      <c r="H236" s="1">
        <f t="shared" si="33"/>
        <v>1.9321119740809097E-12</v>
      </c>
      <c r="I236">
        <f t="shared" si="34"/>
        <v>8</v>
      </c>
      <c r="J236">
        <f t="shared" si="35"/>
        <v>203</v>
      </c>
      <c r="K236" s="5">
        <f t="shared" si="36"/>
        <v>0</v>
      </c>
      <c r="L236">
        <f t="shared" si="37"/>
        <v>53.4</v>
      </c>
      <c r="M236">
        <f t="shared" si="38"/>
        <v>1</v>
      </c>
      <c r="N236">
        <f t="shared" si="39"/>
        <v>0</v>
      </c>
    </row>
    <row r="237" spans="4:14" x14ac:dyDescent="0.2">
      <c r="D237">
        <f t="shared" si="41"/>
        <v>214</v>
      </c>
      <c r="E237" s="1">
        <f t="shared" si="42"/>
        <v>-24.245089498213559</v>
      </c>
      <c r="F237" s="1">
        <f t="shared" si="43"/>
        <v>-24.821702862517554</v>
      </c>
      <c r="G237" s="1">
        <f t="shared" si="40"/>
        <v>1.6598598322786048E-11</v>
      </c>
      <c r="H237" s="1">
        <f t="shared" si="33"/>
        <v>1.7195796569320145E-12</v>
      </c>
      <c r="I237">
        <f t="shared" si="34"/>
        <v>8</v>
      </c>
      <c r="J237">
        <f t="shared" si="35"/>
        <v>204</v>
      </c>
      <c r="K237" s="5">
        <f t="shared" si="36"/>
        <v>0</v>
      </c>
      <c r="L237">
        <f t="shared" si="37"/>
        <v>53.4</v>
      </c>
      <c r="M237">
        <f t="shared" si="38"/>
        <v>1</v>
      </c>
      <c r="N237">
        <f t="shared" si="39"/>
        <v>0</v>
      </c>
    </row>
    <row r="238" spans="4:14" x14ac:dyDescent="0.2">
      <c r="D238">
        <f t="shared" si="41"/>
        <v>215</v>
      </c>
      <c r="E238" s="1">
        <f t="shared" si="42"/>
        <v>-24.361623314469508</v>
      </c>
      <c r="F238" s="1">
        <f t="shared" si="43"/>
        <v>-24.938236678773503</v>
      </c>
      <c r="G238" s="1">
        <f t="shared" si="40"/>
        <v>1.4772752507279629E-11</v>
      </c>
      <c r="H238" s="1">
        <f t="shared" si="33"/>
        <v>1.5304258946694977E-12</v>
      </c>
      <c r="I238">
        <f t="shared" si="34"/>
        <v>8</v>
      </c>
      <c r="J238">
        <f t="shared" si="35"/>
        <v>205</v>
      </c>
      <c r="K238" s="5">
        <f t="shared" si="36"/>
        <v>0</v>
      </c>
      <c r="L238">
        <f t="shared" si="37"/>
        <v>53.4</v>
      </c>
      <c r="M238">
        <f t="shared" si="38"/>
        <v>1</v>
      </c>
      <c r="N238">
        <f t="shared" si="39"/>
        <v>0</v>
      </c>
    </row>
    <row r="239" spans="4:14" x14ac:dyDescent="0.2">
      <c r="D239">
        <f t="shared" si="41"/>
        <v>216</v>
      </c>
      <c r="E239" s="1">
        <f t="shared" si="42"/>
        <v>-24.478157130725457</v>
      </c>
      <c r="F239" s="1">
        <f t="shared" si="43"/>
        <v>-25.054770495029452</v>
      </c>
      <c r="G239" s="1">
        <f t="shared" si="40"/>
        <v>1.3147749731478907E-11</v>
      </c>
      <c r="H239" s="1">
        <f t="shared" si="33"/>
        <v>1.3620790462558567E-12</v>
      </c>
      <c r="I239">
        <f t="shared" si="34"/>
        <v>8</v>
      </c>
      <c r="J239">
        <f t="shared" si="35"/>
        <v>206</v>
      </c>
      <c r="K239" s="5">
        <f t="shared" si="36"/>
        <v>0</v>
      </c>
      <c r="L239">
        <f t="shared" si="37"/>
        <v>53.4</v>
      </c>
      <c r="M239">
        <f t="shared" si="38"/>
        <v>1</v>
      </c>
      <c r="N239">
        <f t="shared" si="39"/>
        <v>0</v>
      </c>
    </row>
    <row r="240" spans="4:14" x14ac:dyDescent="0.2">
      <c r="D240">
        <f t="shared" si="41"/>
        <v>217</v>
      </c>
      <c r="E240" s="1">
        <f t="shared" si="42"/>
        <v>-24.594690946981405</v>
      </c>
      <c r="F240" s="1">
        <f t="shared" si="43"/>
        <v>-25.1713043112854</v>
      </c>
      <c r="G240" s="1">
        <f t="shared" si="40"/>
        <v>1.1701497261016261E-11</v>
      </c>
      <c r="H240" s="1">
        <f t="shared" si="33"/>
        <v>1.2122503511677161E-12</v>
      </c>
      <c r="I240">
        <f t="shared" si="34"/>
        <v>8</v>
      </c>
      <c r="J240">
        <f t="shared" si="35"/>
        <v>207</v>
      </c>
      <c r="K240" s="5">
        <f t="shared" si="36"/>
        <v>0</v>
      </c>
      <c r="L240">
        <f t="shared" si="37"/>
        <v>53.4</v>
      </c>
      <c r="M240">
        <f t="shared" si="38"/>
        <v>1</v>
      </c>
      <c r="N240">
        <f t="shared" si="39"/>
        <v>0</v>
      </c>
    </row>
    <row r="241" spans="4:14" x14ac:dyDescent="0.2">
      <c r="D241">
        <f t="shared" si="41"/>
        <v>218</v>
      </c>
      <c r="E241" s="1">
        <f t="shared" si="42"/>
        <v>-24.711224763237354</v>
      </c>
      <c r="F241" s="1">
        <f t="shared" si="43"/>
        <v>-25.287838127541349</v>
      </c>
      <c r="G241" s="1">
        <f t="shared" si="40"/>
        <v>1.0414332562304503E-11</v>
      </c>
      <c r="H241" s="1">
        <f t="shared" si="33"/>
        <v>1.0789028125392705E-12</v>
      </c>
      <c r="I241">
        <f t="shared" si="34"/>
        <v>8</v>
      </c>
      <c r="J241">
        <f t="shared" si="35"/>
        <v>208</v>
      </c>
      <c r="K241" s="5">
        <f t="shared" si="36"/>
        <v>0</v>
      </c>
      <c r="L241">
        <f t="shared" si="37"/>
        <v>53.4</v>
      </c>
      <c r="M241">
        <f t="shared" si="38"/>
        <v>1</v>
      </c>
      <c r="N241">
        <f t="shared" si="39"/>
        <v>0</v>
      </c>
    </row>
    <row r="242" spans="4:14" x14ac:dyDescent="0.2">
      <c r="D242">
        <f t="shared" si="41"/>
        <v>219</v>
      </c>
      <c r="E242" s="1">
        <f t="shared" si="42"/>
        <v>-24.827758579493302</v>
      </c>
      <c r="F242" s="1">
        <f t="shared" si="43"/>
        <v>-25.404371943797297</v>
      </c>
      <c r="G242" s="1">
        <f t="shared" si="40"/>
        <v>9.2687559804510353E-12</v>
      </c>
      <c r="H242" s="1">
        <f t="shared" si="33"/>
        <v>9.6022350315995345E-13</v>
      </c>
      <c r="I242">
        <f t="shared" si="34"/>
        <v>8</v>
      </c>
      <c r="J242">
        <f t="shared" si="35"/>
        <v>209</v>
      </c>
      <c r="K242" s="5">
        <f t="shared" si="36"/>
        <v>0</v>
      </c>
      <c r="L242">
        <f t="shared" si="37"/>
        <v>53.4</v>
      </c>
      <c r="M242">
        <f t="shared" si="38"/>
        <v>1</v>
      </c>
      <c r="N242">
        <f t="shared" si="39"/>
        <v>0</v>
      </c>
    </row>
    <row r="243" spans="4:14" x14ac:dyDescent="0.2">
      <c r="D243">
        <f t="shared" si="41"/>
        <v>220</v>
      </c>
      <c r="E243" s="1">
        <f t="shared" si="42"/>
        <v>-24.944292395749251</v>
      </c>
      <c r="F243" s="1">
        <f t="shared" si="43"/>
        <v>-25.520905760053246</v>
      </c>
      <c r="G243" s="1">
        <f t="shared" si="40"/>
        <v>8.2491928226014451E-12</v>
      </c>
      <c r="H243" s="1">
        <f t="shared" si="33"/>
        <v>8.5459891781236108E-13</v>
      </c>
      <c r="I243">
        <f t="shared" si="34"/>
        <v>8</v>
      </c>
      <c r="J243">
        <f t="shared" si="35"/>
        <v>210</v>
      </c>
      <c r="K243" s="5">
        <f t="shared" si="36"/>
        <v>0</v>
      </c>
      <c r="L243">
        <f t="shared" si="37"/>
        <v>53.4</v>
      </c>
      <c r="M243">
        <f t="shared" si="38"/>
        <v>1</v>
      </c>
      <c r="N243">
        <f t="shared" si="39"/>
        <v>0</v>
      </c>
    </row>
    <row r="244" spans="4:14" x14ac:dyDescent="0.2">
      <c r="D244">
        <f t="shared" si="41"/>
        <v>221</v>
      </c>
      <c r="E244" s="1">
        <f t="shared" si="42"/>
        <v>-25.0608262120052</v>
      </c>
      <c r="F244" s="1">
        <f t="shared" si="43"/>
        <v>-25.637439576309195</v>
      </c>
      <c r="G244" s="1">
        <f t="shared" si="40"/>
        <v>7.3417816121153073E-12</v>
      </c>
      <c r="H244" s="1">
        <f t="shared" si="33"/>
        <v>7.6059303685300363E-13</v>
      </c>
      <c r="I244">
        <f t="shared" si="34"/>
        <v>8</v>
      </c>
      <c r="J244">
        <f t="shared" si="35"/>
        <v>211</v>
      </c>
      <c r="K244" s="5">
        <f t="shared" si="36"/>
        <v>0</v>
      </c>
      <c r="L244">
        <f t="shared" si="37"/>
        <v>53.4</v>
      </c>
      <c r="M244">
        <f t="shared" si="38"/>
        <v>1</v>
      </c>
      <c r="N244">
        <f t="shared" si="39"/>
        <v>0</v>
      </c>
    </row>
    <row r="245" spans="4:14" x14ac:dyDescent="0.2">
      <c r="D245">
        <f t="shared" si="41"/>
        <v>222</v>
      </c>
      <c r="E245" s="1">
        <f t="shared" si="42"/>
        <v>-25.177360028261148</v>
      </c>
      <c r="F245" s="1">
        <f t="shared" si="43"/>
        <v>-25.753973392565143</v>
      </c>
      <c r="G245" s="1">
        <f t="shared" si="40"/>
        <v>6.5341856347826426E-12</v>
      </c>
      <c r="H245" s="1">
        <f t="shared" si="33"/>
        <v>6.7692780279917512E-13</v>
      </c>
      <c r="I245">
        <f t="shared" si="34"/>
        <v>8</v>
      </c>
      <c r="J245">
        <f t="shared" si="35"/>
        <v>212</v>
      </c>
      <c r="K245" s="5">
        <f t="shared" si="36"/>
        <v>0</v>
      </c>
      <c r="L245">
        <f t="shared" si="37"/>
        <v>53.4</v>
      </c>
      <c r="M245">
        <f t="shared" si="38"/>
        <v>1</v>
      </c>
      <c r="N245">
        <f t="shared" si="39"/>
        <v>0</v>
      </c>
    </row>
    <row r="246" spans="4:14" x14ac:dyDescent="0.2">
      <c r="D246">
        <f t="shared" si="41"/>
        <v>223</v>
      </c>
      <c r="E246" s="1">
        <f t="shared" si="42"/>
        <v>-25.293893844517097</v>
      </c>
      <c r="F246" s="1">
        <f t="shared" si="43"/>
        <v>-25.870507208821092</v>
      </c>
      <c r="G246" s="1">
        <f t="shared" si="40"/>
        <v>5.815425214956569E-12</v>
      </c>
      <c r="H246" s="1">
        <f t="shared" si="33"/>
        <v>6.0246574449126765E-13</v>
      </c>
      <c r="I246">
        <f t="shared" si="34"/>
        <v>8</v>
      </c>
      <c r="J246">
        <f t="shared" si="35"/>
        <v>213</v>
      </c>
      <c r="K246" s="5">
        <f t="shared" si="36"/>
        <v>0</v>
      </c>
      <c r="L246">
        <f t="shared" si="37"/>
        <v>53.4</v>
      </c>
      <c r="M246">
        <f t="shared" si="38"/>
        <v>1</v>
      </c>
      <c r="N246">
        <f t="shared" si="39"/>
        <v>0</v>
      </c>
    </row>
    <row r="247" spans="4:14" x14ac:dyDescent="0.2">
      <c r="D247">
        <f t="shared" si="41"/>
        <v>224</v>
      </c>
      <c r="E247" s="1">
        <f t="shared" si="42"/>
        <v>-25.410427660773045</v>
      </c>
      <c r="F247" s="1">
        <f t="shared" si="43"/>
        <v>-25.987041025077041</v>
      </c>
      <c r="G247" s="1">
        <f t="shared" si="40"/>
        <v>5.1757284413113616E-12</v>
      </c>
      <c r="H247" s="1">
        <f t="shared" si="33"/>
        <v>5.3619451259722981E-13</v>
      </c>
      <c r="I247">
        <f t="shared" si="34"/>
        <v>8</v>
      </c>
      <c r="J247">
        <f t="shared" si="35"/>
        <v>214</v>
      </c>
      <c r="K247" s="5">
        <f t="shared" si="36"/>
        <v>0</v>
      </c>
      <c r="L247">
        <f t="shared" si="37"/>
        <v>53.4</v>
      </c>
      <c r="M247">
        <f t="shared" si="38"/>
        <v>1</v>
      </c>
      <c r="N247">
        <f t="shared" si="39"/>
        <v>0</v>
      </c>
    </row>
    <row r="248" spans="4:14" x14ac:dyDescent="0.2">
      <c r="D248">
        <f t="shared" si="41"/>
        <v>225</v>
      </c>
      <c r="E248" s="1">
        <f t="shared" si="42"/>
        <v>-25.526961477028994</v>
      </c>
      <c r="F248" s="1">
        <f t="shared" si="43"/>
        <v>-26.103574841332989</v>
      </c>
      <c r="G248" s="1">
        <f t="shared" si="40"/>
        <v>4.6063983127671257E-12</v>
      </c>
      <c r="H248" s="1">
        <f t="shared" si="33"/>
        <v>4.7721311621153601E-13</v>
      </c>
      <c r="I248">
        <f t="shared" si="34"/>
        <v>8</v>
      </c>
      <c r="J248">
        <f t="shared" si="35"/>
        <v>215</v>
      </c>
      <c r="K248" s="5">
        <f t="shared" si="36"/>
        <v>0</v>
      </c>
      <c r="L248">
        <f t="shared" si="37"/>
        <v>53.4</v>
      </c>
      <c r="M248">
        <f t="shared" si="38"/>
        <v>1</v>
      </c>
      <c r="N248">
        <f t="shared" si="39"/>
        <v>0</v>
      </c>
    </row>
    <row r="249" spans="4:14" x14ac:dyDescent="0.2">
      <c r="D249">
        <f t="shared" si="41"/>
        <v>226</v>
      </c>
      <c r="E249" s="1">
        <f t="shared" si="42"/>
        <v>-25.643495293284943</v>
      </c>
      <c r="F249" s="1">
        <f t="shared" si="43"/>
        <v>-26.220108657588938</v>
      </c>
      <c r="G249" s="1">
        <f t="shared" si="40"/>
        <v>4.0996944983627539E-12</v>
      </c>
      <c r="H249" s="1">
        <f t="shared" si="33"/>
        <v>4.2471967342826828E-13</v>
      </c>
      <c r="I249">
        <f t="shared" si="34"/>
        <v>8</v>
      </c>
      <c r="J249">
        <f t="shared" si="35"/>
        <v>216</v>
      </c>
      <c r="K249" s="5">
        <f t="shared" si="36"/>
        <v>0</v>
      </c>
      <c r="L249">
        <f t="shared" si="37"/>
        <v>53.4</v>
      </c>
      <c r="M249">
        <f t="shared" si="38"/>
        <v>1</v>
      </c>
      <c r="N249">
        <f t="shared" si="39"/>
        <v>0</v>
      </c>
    </row>
    <row r="250" spans="4:14" x14ac:dyDescent="0.2">
      <c r="D250">
        <f t="shared" si="41"/>
        <v>227</v>
      </c>
      <c r="E250" s="1">
        <f t="shared" si="42"/>
        <v>-25.760029109540891</v>
      </c>
      <c r="F250" s="1">
        <f t="shared" si="43"/>
        <v>-26.336642473844886</v>
      </c>
      <c r="G250" s="1">
        <f t="shared" si="40"/>
        <v>3.6487281035428615E-12</v>
      </c>
      <c r="H250" s="1">
        <f t="shared" si="33"/>
        <v>3.7800050935115984E-13</v>
      </c>
      <c r="I250">
        <f t="shared" si="34"/>
        <v>8</v>
      </c>
      <c r="J250">
        <f t="shared" si="35"/>
        <v>217</v>
      </c>
      <c r="K250" s="5">
        <f t="shared" si="36"/>
        <v>0</v>
      </c>
      <c r="L250">
        <f t="shared" si="37"/>
        <v>53.4</v>
      </c>
      <c r="M250">
        <f t="shared" si="38"/>
        <v>1</v>
      </c>
      <c r="N250">
        <f t="shared" si="39"/>
        <v>0</v>
      </c>
    </row>
    <row r="251" spans="4:14" x14ac:dyDescent="0.2">
      <c r="D251">
        <f t="shared" si="41"/>
        <v>228</v>
      </c>
      <c r="E251" s="1">
        <f t="shared" si="42"/>
        <v>-25.87656292579684</v>
      </c>
      <c r="F251" s="1">
        <f t="shared" si="43"/>
        <v>-26.453176290100835</v>
      </c>
      <c r="G251" s="1">
        <f t="shared" si="40"/>
        <v>3.2473680121531563E-12</v>
      </c>
      <c r="H251" s="1">
        <f t="shared" si="33"/>
        <v>3.3642045332253325E-13</v>
      </c>
      <c r="I251">
        <f t="shared" si="34"/>
        <v>8</v>
      </c>
      <c r="J251">
        <f t="shared" si="35"/>
        <v>218</v>
      </c>
      <c r="K251" s="5">
        <f t="shared" si="36"/>
        <v>0</v>
      </c>
      <c r="L251">
        <f t="shared" si="37"/>
        <v>53.4</v>
      </c>
      <c r="M251">
        <f t="shared" si="38"/>
        <v>1</v>
      </c>
      <c r="N251">
        <f t="shared" si="39"/>
        <v>0</v>
      </c>
    </row>
    <row r="252" spans="4:14" x14ac:dyDescent="0.2">
      <c r="D252">
        <f t="shared" si="41"/>
        <v>229</v>
      </c>
      <c r="E252" s="1">
        <f t="shared" si="42"/>
        <v>-25.993096742052789</v>
      </c>
      <c r="F252" s="1">
        <f t="shared" si="43"/>
        <v>-26.569710106356784</v>
      </c>
      <c r="G252" s="1">
        <f t="shared" si="40"/>
        <v>2.8901575308163173E-12</v>
      </c>
      <c r="H252" s="1">
        <f t="shared" si="33"/>
        <v>2.9941420345705545E-13</v>
      </c>
      <c r="I252">
        <f t="shared" si="34"/>
        <v>8</v>
      </c>
      <c r="J252">
        <f t="shared" si="35"/>
        <v>219</v>
      </c>
      <c r="K252" s="5">
        <f t="shared" si="36"/>
        <v>0</v>
      </c>
      <c r="L252">
        <f t="shared" si="37"/>
        <v>53.4</v>
      </c>
      <c r="M252">
        <f t="shared" si="38"/>
        <v>1</v>
      </c>
      <c r="N252">
        <f t="shared" si="39"/>
        <v>0</v>
      </c>
    </row>
    <row r="253" spans="4:14" x14ac:dyDescent="0.2">
      <c r="D253">
        <f t="shared" si="41"/>
        <v>230</v>
      </c>
      <c r="E253" s="1">
        <f t="shared" si="42"/>
        <v>-26.109630558308737</v>
      </c>
      <c r="F253" s="1">
        <f t="shared" si="43"/>
        <v>-26.686243922612732</v>
      </c>
      <c r="G253" s="1">
        <f t="shared" si="40"/>
        <v>2.57224020242653E-12</v>
      </c>
      <c r="H253" s="1">
        <f t="shared" si="33"/>
        <v>2.6647864107678012E-13</v>
      </c>
      <c r="I253">
        <f t="shared" si="34"/>
        <v>8</v>
      </c>
      <c r="J253">
        <f t="shared" si="35"/>
        <v>220</v>
      </c>
      <c r="K253" s="5">
        <f t="shared" si="36"/>
        <v>0</v>
      </c>
      <c r="L253">
        <f t="shared" si="37"/>
        <v>53.4</v>
      </c>
      <c r="M253">
        <f t="shared" si="38"/>
        <v>1</v>
      </c>
      <c r="N253">
        <f t="shared" si="39"/>
        <v>0</v>
      </c>
    </row>
    <row r="254" spans="4:14" x14ac:dyDescent="0.2">
      <c r="D254">
        <f t="shared" si="41"/>
        <v>231</v>
      </c>
      <c r="E254" s="1">
        <f t="shared" si="42"/>
        <v>-26.226164374564686</v>
      </c>
      <c r="F254" s="1">
        <f t="shared" si="43"/>
        <v>-26.802777738868681</v>
      </c>
      <c r="G254" s="1">
        <f t="shared" si="40"/>
        <v>2.2892937801596182E-12</v>
      </c>
      <c r="H254" s="1">
        <f t="shared" si="33"/>
        <v>2.3716599055833496E-13</v>
      </c>
      <c r="I254">
        <f t="shared" si="34"/>
        <v>8</v>
      </c>
      <c r="J254">
        <f t="shared" si="35"/>
        <v>221</v>
      </c>
      <c r="K254" s="5">
        <f t="shared" si="36"/>
        <v>0</v>
      </c>
      <c r="L254">
        <f t="shared" si="37"/>
        <v>53.4</v>
      </c>
      <c r="M254">
        <f t="shared" si="38"/>
        <v>1</v>
      </c>
      <c r="N254">
        <f t="shared" si="39"/>
        <v>0</v>
      </c>
    </row>
    <row r="255" spans="4:14" x14ac:dyDescent="0.2">
      <c r="D255">
        <f t="shared" si="41"/>
        <v>232</v>
      </c>
      <c r="E255" s="1">
        <f t="shared" si="42"/>
        <v>-26.342698190820634</v>
      </c>
      <c r="F255" s="1">
        <f t="shared" si="43"/>
        <v>-26.919311555124629</v>
      </c>
      <c r="G255" s="1">
        <f t="shared" si="40"/>
        <v>2.0374714643420664E-12</v>
      </c>
      <c r="H255" s="1">
        <f t="shared" si="33"/>
        <v>2.1107773159691878E-13</v>
      </c>
      <c r="I255">
        <f t="shared" si="34"/>
        <v>8</v>
      </c>
      <c r="J255">
        <f t="shared" si="35"/>
        <v>222</v>
      </c>
      <c r="K255" s="5">
        <f t="shared" si="36"/>
        <v>0</v>
      </c>
      <c r="L255">
        <f t="shared" si="37"/>
        <v>53.4</v>
      </c>
      <c r="M255">
        <f t="shared" si="38"/>
        <v>1</v>
      </c>
      <c r="N255">
        <f t="shared" si="39"/>
        <v>0</v>
      </c>
    </row>
    <row r="256" spans="4:14" x14ac:dyDescent="0.2">
      <c r="D256">
        <f t="shared" si="41"/>
        <v>233</v>
      </c>
      <c r="E256" s="1">
        <f t="shared" si="42"/>
        <v>-26.459232007076583</v>
      </c>
      <c r="F256" s="1">
        <f t="shared" si="43"/>
        <v>-27.035845371380578</v>
      </c>
      <c r="G256" s="1">
        <f t="shared" si="40"/>
        <v>1.8133496032644444E-12</v>
      </c>
      <c r="H256" s="1">
        <f t="shared" si="33"/>
        <v>1.8785918112125825E-13</v>
      </c>
      <c r="I256">
        <f t="shared" si="34"/>
        <v>8</v>
      </c>
      <c r="J256">
        <f t="shared" si="35"/>
        <v>223</v>
      </c>
      <c r="K256" s="5">
        <f t="shared" si="36"/>
        <v>0</v>
      </c>
      <c r="L256">
        <f t="shared" si="37"/>
        <v>53.4</v>
      </c>
      <c r="M256">
        <f t="shared" si="38"/>
        <v>1</v>
      </c>
      <c r="N256">
        <f t="shared" si="39"/>
        <v>0</v>
      </c>
    </row>
    <row r="257" spans="4:14" x14ac:dyDescent="0.2">
      <c r="D257">
        <f t="shared" si="41"/>
        <v>234</v>
      </c>
      <c r="E257" s="1">
        <f t="shared" si="42"/>
        <v>-26.575765823332532</v>
      </c>
      <c r="F257" s="1">
        <f t="shared" si="43"/>
        <v>-27.152379187636527</v>
      </c>
      <c r="G257" s="1">
        <f t="shared" si="40"/>
        <v>1.6138811469053601E-12</v>
      </c>
      <c r="H257" s="1">
        <f t="shared" si="33"/>
        <v>1.6719467119792032E-13</v>
      </c>
      <c r="I257">
        <f t="shared" si="34"/>
        <v>8</v>
      </c>
      <c r="J257">
        <f t="shared" si="35"/>
        <v>224</v>
      </c>
      <c r="K257" s="5">
        <f t="shared" si="36"/>
        <v>0</v>
      </c>
      <c r="L257">
        <f t="shared" si="37"/>
        <v>53.4</v>
      </c>
      <c r="M257">
        <f t="shared" si="38"/>
        <v>1</v>
      </c>
      <c r="N257">
        <f t="shared" si="39"/>
        <v>0</v>
      </c>
    </row>
    <row r="258" spans="4:14" x14ac:dyDescent="0.2">
      <c r="D258">
        <f t="shared" si="41"/>
        <v>235</v>
      </c>
      <c r="E258" s="1">
        <f t="shared" si="42"/>
        <v>-26.69229963958848</v>
      </c>
      <c r="F258" s="1">
        <f t="shared" si="43"/>
        <v>-27.268913003892475</v>
      </c>
      <c r="G258" s="1">
        <f t="shared" si="40"/>
        <v>1.4363542207457746E-12</v>
      </c>
      <c r="H258" s="1">
        <f t="shared" si="33"/>
        <v>1.4880325736614952E-13</v>
      </c>
      <c r="I258">
        <f t="shared" si="34"/>
        <v>8</v>
      </c>
      <c r="J258">
        <f t="shared" si="35"/>
        <v>225</v>
      </c>
      <c r="K258" s="5">
        <f t="shared" si="36"/>
        <v>0</v>
      </c>
      <c r="L258">
        <f t="shared" si="37"/>
        <v>53.4</v>
      </c>
      <c r="M258">
        <f t="shared" si="38"/>
        <v>1</v>
      </c>
      <c r="N258">
        <f t="shared" si="39"/>
        <v>0</v>
      </c>
    </row>
    <row r="259" spans="4:14" x14ac:dyDescent="0.2">
      <c r="D259">
        <f t="shared" si="41"/>
        <v>236</v>
      </c>
      <c r="E259" s="1">
        <f t="shared" si="42"/>
        <v>-26.808833455844429</v>
      </c>
      <c r="F259" s="1">
        <f t="shared" si="43"/>
        <v>-27.385446820148424</v>
      </c>
      <c r="G259" s="1">
        <f t="shared" si="40"/>
        <v>1.2783552564637433E-12</v>
      </c>
      <c r="H259" s="1">
        <f t="shared" si="33"/>
        <v>1.3243489905587347E-13</v>
      </c>
      <c r="I259">
        <f t="shared" si="34"/>
        <v>8</v>
      </c>
      <c r="J259">
        <f t="shared" si="35"/>
        <v>226</v>
      </c>
      <c r="K259" s="5">
        <f t="shared" si="36"/>
        <v>0</v>
      </c>
      <c r="L259">
        <f t="shared" si="37"/>
        <v>53.4</v>
      </c>
      <c r="M259">
        <f t="shared" si="38"/>
        <v>1</v>
      </c>
      <c r="N259">
        <f t="shared" si="39"/>
        <v>0</v>
      </c>
    </row>
    <row r="260" spans="4:14" x14ac:dyDescent="0.2">
      <c r="D260">
        <f t="shared" si="41"/>
        <v>237</v>
      </c>
      <c r="E260" s="1">
        <f t="shared" si="42"/>
        <v>-26.925367272100377</v>
      </c>
      <c r="F260" s="1">
        <f t="shared" si="43"/>
        <v>-27.501980636404372</v>
      </c>
      <c r="G260" s="1">
        <f t="shared" si="40"/>
        <v>1.1377361782527349E-12</v>
      </c>
      <c r="H260" s="1">
        <f t="shared" si="33"/>
        <v>1.1786706015972773E-13</v>
      </c>
      <c r="I260">
        <f t="shared" si="34"/>
        <v>8</v>
      </c>
      <c r="J260">
        <f t="shared" si="35"/>
        <v>227</v>
      </c>
      <c r="K260" s="5">
        <f t="shared" si="36"/>
        <v>0</v>
      </c>
      <c r="L260">
        <f t="shared" si="37"/>
        <v>53.4</v>
      </c>
      <c r="M260">
        <f t="shared" si="38"/>
        <v>1</v>
      </c>
      <c r="N260">
        <f t="shared" si="39"/>
        <v>0</v>
      </c>
    </row>
    <row r="261" spans="4:14" x14ac:dyDescent="0.2">
      <c r="D261">
        <f t="shared" si="41"/>
        <v>238</v>
      </c>
      <c r="E261" s="1">
        <f t="shared" si="42"/>
        <v>-27.041901088356326</v>
      </c>
      <c r="F261" s="1">
        <f t="shared" si="43"/>
        <v>-27.618514452660321</v>
      </c>
      <c r="G261" s="1">
        <f t="shared" si="40"/>
        <v>1.0125851986449369E-12</v>
      </c>
      <c r="H261" s="1">
        <f t="shared" si="33"/>
        <v>1.0490168354215798E-13</v>
      </c>
      <c r="I261">
        <f t="shared" si="34"/>
        <v>8</v>
      </c>
      <c r="J261">
        <f t="shared" si="35"/>
        <v>228</v>
      </c>
      <c r="K261" s="5">
        <f t="shared" si="36"/>
        <v>0</v>
      </c>
      <c r="L261">
        <f t="shared" si="37"/>
        <v>53.4</v>
      </c>
      <c r="M261">
        <f t="shared" si="38"/>
        <v>1</v>
      </c>
      <c r="N261">
        <f t="shared" si="39"/>
        <v>0</v>
      </c>
    </row>
    <row r="262" spans="4:14" x14ac:dyDescent="0.2">
      <c r="D262">
        <f t="shared" si="41"/>
        <v>239</v>
      </c>
      <c r="E262" s="1">
        <f t="shared" si="42"/>
        <v>-27.158434904612275</v>
      </c>
      <c r="F262" s="1">
        <f t="shared" si="43"/>
        <v>-27.73504826891627</v>
      </c>
      <c r="G262" s="1">
        <f t="shared" si="40"/>
        <v>9.0120082679399653E-13</v>
      </c>
      <c r="H262" s="1">
        <f t="shared" si="33"/>
        <v>9.3362498352520883E-14</v>
      </c>
      <c r="I262">
        <f t="shared" si="34"/>
        <v>8</v>
      </c>
      <c r="J262">
        <f t="shared" si="35"/>
        <v>229</v>
      </c>
      <c r="K262" s="5">
        <f t="shared" si="36"/>
        <v>0</v>
      </c>
      <c r="L262">
        <f t="shared" si="37"/>
        <v>53.4</v>
      </c>
      <c r="M262">
        <f t="shared" si="38"/>
        <v>1</v>
      </c>
      <c r="N262">
        <f t="shared" si="39"/>
        <v>0</v>
      </c>
    </row>
    <row r="263" spans="4:14" x14ac:dyDescent="0.2">
      <c r="D263">
        <f t="shared" si="41"/>
        <v>240</v>
      </c>
      <c r="E263" s="1">
        <f t="shared" si="42"/>
        <v>-27.274968720868223</v>
      </c>
      <c r="F263" s="1">
        <f t="shared" si="43"/>
        <v>-27.851582085172218</v>
      </c>
      <c r="G263" s="1">
        <f t="shared" si="40"/>
        <v>8.0206873584665923E-13</v>
      </c>
      <c r="H263" s="1">
        <f t="shared" si="33"/>
        <v>8.3092623533743822E-14</v>
      </c>
      <c r="I263">
        <f t="shared" si="34"/>
        <v>8</v>
      </c>
      <c r="J263">
        <f t="shared" si="35"/>
        <v>230</v>
      </c>
      <c r="K263" s="5">
        <f t="shared" si="36"/>
        <v>0</v>
      </c>
      <c r="L263">
        <f t="shared" si="37"/>
        <v>53.4</v>
      </c>
      <c r="M263">
        <f t="shared" si="38"/>
        <v>1</v>
      </c>
      <c r="N263">
        <f t="shared" si="39"/>
        <v>0</v>
      </c>
    </row>
    <row r="264" spans="4:14" x14ac:dyDescent="0.2">
      <c r="D264">
        <f t="shared" si="41"/>
        <v>241</v>
      </c>
      <c r="E264" s="1">
        <f t="shared" si="42"/>
        <v>-27.391502537124172</v>
      </c>
      <c r="F264" s="1">
        <f t="shared" si="43"/>
        <v>-27.968115901428167</v>
      </c>
      <c r="G264" s="1">
        <f t="shared" si="40"/>
        <v>7.1384117490352884E-13</v>
      </c>
      <c r="H264" s="1">
        <f t="shared" si="33"/>
        <v>7.3952434945032223E-14</v>
      </c>
      <c r="I264">
        <f t="shared" si="34"/>
        <v>8</v>
      </c>
      <c r="J264">
        <f t="shared" si="35"/>
        <v>231</v>
      </c>
      <c r="K264" s="5">
        <f t="shared" si="36"/>
        <v>0</v>
      </c>
      <c r="L264">
        <f t="shared" si="37"/>
        <v>53.4</v>
      </c>
      <c r="M264">
        <f t="shared" si="38"/>
        <v>1</v>
      </c>
      <c r="N264">
        <f t="shared" si="39"/>
        <v>0</v>
      </c>
    </row>
    <row r="265" spans="4:14" x14ac:dyDescent="0.2">
      <c r="D265">
        <f t="shared" si="41"/>
        <v>242</v>
      </c>
      <c r="E265" s="1">
        <f t="shared" si="42"/>
        <v>-27.50803635338012</v>
      </c>
      <c r="F265" s="1">
        <f t="shared" si="43"/>
        <v>-28.084649717684115</v>
      </c>
      <c r="G265" s="1">
        <f t="shared" si="40"/>
        <v>6.3531864566414247E-13</v>
      </c>
      <c r="H265" s="1">
        <f t="shared" si="33"/>
        <v>6.5817667101078869E-14</v>
      </c>
      <c r="I265">
        <f t="shared" si="34"/>
        <v>8</v>
      </c>
      <c r="J265">
        <f t="shared" si="35"/>
        <v>232</v>
      </c>
      <c r="K265" s="5">
        <f t="shared" si="36"/>
        <v>0</v>
      </c>
      <c r="L265">
        <f t="shared" si="37"/>
        <v>53.4</v>
      </c>
      <c r="M265">
        <f t="shared" si="38"/>
        <v>1</v>
      </c>
      <c r="N265">
        <f t="shared" si="39"/>
        <v>0</v>
      </c>
    </row>
    <row r="266" spans="4:14" x14ac:dyDescent="0.2">
      <c r="D266">
        <f t="shared" si="41"/>
        <v>243</v>
      </c>
      <c r="E266" s="1">
        <f t="shared" si="42"/>
        <v>-27.624570169636069</v>
      </c>
      <c r="F266" s="1">
        <f t="shared" si="43"/>
        <v>-28.201183533940064</v>
      </c>
      <c r="G266" s="1">
        <f t="shared" si="40"/>
        <v>5.6543359464108849E-13</v>
      </c>
      <c r="H266" s="1">
        <f t="shared" si="33"/>
        <v>5.8577723719960369E-14</v>
      </c>
      <c r="I266">
        <f t="shared" si="34"/>
        <v>8</v>
      </c>
      <c r="J266">
        <f t="shared" si="35"/>
        <v>233</v>
      </c>
      <c r="K266" s="5">
        <f t="shared" si="36"/>
        <v>0</v>
      </c>
      <c r="L266">
        <f t="shared" si="37"/>
        <v>53.4</v>
      </c>
      <c r="M266">
        <f t="shared" si="38"/>
        <v>1</v>
      </c>
      <c r="N266">
        <f t="shared" si="39"/>
        <v>0</v>
      </c>
    </row>
    <row r="267" spans="4:14" x14ac:dyDescent="0.2">
      <c r="D267">
        <f t="shared" si="41"/>
        <v>244</v>
      </c>
      <c r="E267" s="1">
        <f t="shared" si="42"/>
        <v>-27.741103985892018</v>
      </c>
      <c r="F267" s="1">
        <f t="shared" si="43"/>
        <v>-28.317717350196013</v>
      </c>
      <c r="G267" s="1">
        <f t="shared" si="40"/>
        <v>5.0323589923057021E-13</v>
      </c>
      <c r="H267" s="1">
        <f t="shared" si="33"/>
        <v>5.2134174110764875E-14</v>
      </c>
      <c r="I267">
        <f t="shared" si="34"/>
        <v>8</v>
      </c>
      <c r="J267">
        <f t="shared" si="35"/>
        <v>234</v>
      </c>
      <c r="K267" s="5">
        <f t="shared" si="36"/>
        <v>0</v>
      </c>
      <c r="L267">
        <f t="shared" si="37"/>
        <v>53.4</v>
      </c>
      <c r="M267">
        <f t="shared" si="38"/>
        <v>1</v>
      </c>
      <c r="N267">
        <f t="shared" si="39"/>
        <v>0</v>
      </c>
    </row>
    <row r="268" spans="4:14" x14ac:dyDescent="0.2">
      <c r="D268">
        <f t="shared" si="41"/>
        <v>245</v>
      </c>
      <c r="E268" s="1">
        <f t="shared" si="42"/>
        <v>-27.857637802147966</v>
      </c>
      <c r="F268" s="1">
        <f t="shared" si="43"/>
        <v>-28.434251166451961</v>
      </c>
      <c r="G268" s="1">
        <f t="shared" si="40"/>
        <v>4.478799503152088E-13</v>
      </c>
      <c r="H268" s="1">
        <f t="shared" si="33"/>
        <v>4.6399414958580878E-14</v>
      </c>
      <c r="I268">
        <f t="shared" si="34"/>
        <v>8</v>
      </c>
      <c r="J268">
        <f t="shared" si="35"/>
        <v>235</v>
      </c>
      <c r="K268" s="5">
        <f t="shared" si="36"/>
        <v>0</v>
      </c>
      <c r="L268">
        <f t="shared" si="37"/>
        <v>53.4</v>
      </c>
      <c r="M268">
        <f t="shared" si="38"/>
        <v>1</v>
      </c>
      <c r="N268">
        <f t="shared" si="39"/>
        <v>0</v>
      </c>
    </row>
    <row r="269" spans="4:14" x14ac:dyDescent="0.2">
      <c r="D269">
        <f t="shared" si="41"/>
        <v>246</v>
      </c>
      <c r="E269" s="1">
        <f t="shared" si="42"/>
        <v>-27.974171618403915</v>
      </c>
      <c r="F269" s="1">
        <f t="shared" si="43"/>
        <v>-28.55078498270791</v>
      </c>
      <c r="G269" s="1">
        <f t="shared" si="40"/>
        <v>3.9861315578053699E-13</v>
      </c>
      <c r="H269" s="1">
        <f t="shared" si="33"/>
        <v>4.1295479313137104E-14</v>
      </c>
      <c r="I269">
        <f t="shared" si="34"/>
        <v>8</v>
      </c>
      <c r="J269">
        <f t="shared" si="35"/>
        <v>236</v>
      </c>
      <c r="K269" s="5">
        <f t="shared" si="36"/>
        <v>0</v>
      </c>
      <c r="L269">
        <f t="shared" si="37"/>
        <v>53.4</v>
      </c>
      <c r="M269">
        <f t="shared" si="38"/>
        <v>1</v>
      </c>
      <c r="N269">
        <f t="shared" si="39"/>
        <v>0</v>
      </c>
    </row>
    <row r="270" spans="4:14" x14ac:dyDescent="0.2">
      <c r="D270">
        <f t="shared" si="41"/>
        <v>247</v>
      </c>
      <c r="E270" s="1">
        <f t="shared" si="42"/>
        <v>-28.090705434659863</v>
      </c>
      <c r="F270" s="1">
        <f t="shared" si="43"/>
        <v>-28.667318798963858</v>
      </c>
      <c r="G270" s="1">
        <f t="shared" si="40"/>
        <v>3.5476570864467894E-13</v>
      </c>
      <c r="H270" s="1">
        <f t="shared" si="33"/>
        <v>3.6752976588692129E-14</v>
      </c>
      <c r="I270">
        <f t="shared" si="34"/>
        <v>8</v>
      </c>
      <c r="J270">
        <f t="shared" si="35"/>
        <v>237</v>
      </c>
      <c r="K270" s="5">
        <f t="shared" si="36"/>
        <v>0</v>
      </c>
      <c r="L270">
        <f t="shared" si="37"/>
        <v>53.4</v>
      </c>
      <c r="M270">
        <f t="shared" si="38"/>
        <v>1</v>
      </c>
      <c r="N270">
        <f t="shared" si="39"/>
        <v>0</v>
      </c>
    </row>
    <row r="271" spans="4:14" x14ac:dyDescent="0.2">
      <c r="D271">
        <f t="shared" si="41"/>
        <v>248</v>
      </c>
      <c r="E271" s="1">
        <f t="shared" si="42"/>
        <v>-28.207239250915812</v>
      </c>
      <c r="F271" s="1">
        <f t="shared" si="43"/>
        <v>-28.783852615219807</v>
      </c>
      <c r="G271" s="1">
        <f t="shared" si="40"/>
        <v>3.1574148069376519E-13</v>
      </c>
      <c r="H271" s="1">
        <f t="shared" si="33"/>
        <v>3.2710149163936086E-14</v>
      </c>
      <c r="I271">
        <f t="shared" si="34"/>
        <v>8</v>
      </c>
      <c r="J271">
        <f t="shared" si="35"/>
        <v>238</v>
      </c>
      <c r="K271" s="5">
        <f t="shared" si="36"/>
        <v>0</v>
      </c>
      <c r="L271">
        <f t="shared" si="37"/>
        <v>53.4</v>
      </c>
      <c r="M271">
        <f t="shared" si="38"/>
        <v>1</v>
      </c>
      <c r="N271">
        <f t="shared" si="39"/>
        <v>0</v>
      </c>
    </row>
    <row r="272" spans="4:14" x14ac:dyDescent="0.2">
      <c r="D272">
        <f t="shared" si="41"/>
        <v>249</v>
      </c>
      <c r="E272" s="1">
        <f t="shared" si="42"/>
        <v>-28.323773067171761</v>
      </c>
      <c r="F272" s="1">
        <f t="shared" si="43"/>
        <v>-28.900386431475756</v>
      </c>
      <c r="G272" s="1">
        <f t="shared" si="40"/>
        <v>2.8100991781745184E-13</v>
      </c>
      <c r="H272" s="1">
        <f t="shared" si="33"/>
        <v>2.9112032755903201E-14</v>
      </c>
      <c r="I272">
        <f t="shared" si="34"/>
        <v>8</v>
      </c>
      <c r="J272">
        <f t="shared" si="35"/>
        <v>239</v>
      </c>
      <c r="K272" s="5">
        <f t="shared" si="36"/>
        <v>0</v>
      </c>
      <c r="L272">
        <f t="shared" si="37"/>
        <v>53.4</v>
      </c>
      <c r="M272">
        <f t="shared" si="38"/>
        <v>1</v>
      </c>
      <c r="N272">
        <f t="shared" si="39"/>
        <v>0</v>
      </c>
    </row>
    <row r="273" spans="4:14" x14ac:dyDescent="0.2">
      <c r="D273">
        <f t="shared" si="41"/>
        <v>250</v>
      </c>
      <c r="E273" s="1">
        <f t="shared" si="42"/>
        <v>-28.440306883427709</v>
      </c>
      <c r="F273" s="1">
        <f t="shared" si="43"/>
        <v>-29.016920247731704</v>
      </c>
      <c r="G273" s="1">
        <f t="shared" si="40"/>
        <v>2.5009882685753286E-13</v>
      </c>
      <c r="H273" s="1">
        <f t="shared" si="33"/>
        <v>2.5909709152753927E-14</v>
      </c>
      <c r="I273">
        <f t="shared" si="34"/>
        <v>8</v>
      </c>
      <c r="J273">
        <f t="shared" si="35"/>
        <v>240</v>
      </c>
      <c r="K273" s="5">
        <f t="shared" si="36"/>
        <v>0</v>
      </c>
      <c r="L273">
        <f t="shared" si="37"/>
        <v>53.4</v>
      </c>
      <c r="M273">
        <f t="shared" si="38"/>
        <v>1</v>
      </c>
      <c r="N273">
        <f t="shared" si="39"/>
        <v>0</v>
      </c>
    </row>
    <row r="274" spans="4:14" x14ac:dyDescent="0.2">
      <c r="D274">
        <f t="shared" si="41"/>
        <v>251</v>
      </c>
      <c r="E274" s="1">
        <f t="shared" si="42"/>
        <v>-28.556840699683658</v>
      </c>
      <c r="F274" s="1">
        <f t="shared" si="43"/>
        <v>-29.133454063987653</v>
      </c>
      <c r="G274" s="1">
        <f t="shared" si="40"/>
        <v>2.225879559032049E-13</v>
      </c>
      <c r="H274" s="1">
        <f t="shared" si="33"/>
        <v>2.3059641145951062E-14</v>
      </c>
      <c r="I274">
        <f t="shared" si="34"/>
        <v>8</v>
      </c>
      <c r="J274">
        <f t="shared" si="35"/>
        <v>241</v>
      </c>
      <c r="K274" s="5">
        <f t="shared" si="36"/>
        <v>0</v>
      </c>
      <c r="L274">
        <f t="shared" si="37"/>
        <v>53.4</v>
      </c>
      <c r="M274">
        <f t="shared" si="38"/>
        <v>1</v>
      </c>
      <c r="N274">
        <f t="shared" si="39"/>
        <v>0</v>
      </c>
    </row>
    <row r="275" spans="4:14" x14ac:dyDescent="0.2">
      <c r="D275">
        <f t="shared" si="41"/>
        <v>252</v>
      </c>
      <c r="E275" s="1">
        <f t="shared" si="42"/>
        <v>-28.673374515939607</v>
      </c>
      <c r="F275" s="1">
        <f t="shared" si="43"/>
        <v>-29.249987880243602</v>
      </c>
      <c r="G275" s="1">
        <f t="shared" si="40"/>
        <v>1.9810328075385295E-13</v>
      </c>
      <c r="H275" s="1">
        <f t="shared" si="33"/>
        <v>2.0523080619896506E-14</v>
      </c>
      <c r="I275">
        <f t="shared" si="34"/>
        <v>8</v>
      </c>
      <c r="J275">
        <f t="shared" si="35"/>
        <v>242</v>
      </c>
      <c r="K275" s="5">
        <f t="shared" si="36"/>
        <v>0</v>
      </c>
      <c r="L275">
        <f t="shared" si="37"/>
        <v>53.4</v>
      </c>
      <c r="M275">
        <f t="shared" si="38"/>
        <v>1</v>
      </c>
      <c r="N275">
        <f t="shared" si="39"/>
        <v>0</v>
      </c>
    </row>
    <row r="276" spans="4:14" x14ac:dyDescent="0.2">
      <c r="D276">
        <f t="shared" si="41"/>
        <v>253</v>
      </c>
      <c r="E276" s="1">
        <f t="shared" si="42"/>
        <v>-28.789908332195555</v>
      </c>
      <c r="F276" s="1">
        <f t="shared" si="43"/>
        <v>-29.36652169649955</v>
      </c>
      <c r="G276" s="1">
        <f t="shared" si="40"/>
        <v>1.7631191987092962E-13</v>
      </c>
      <c r="H276" s="1">
        <f t="shared" si="33"/>
        <v>1.8265541751707941E-14</v>
      </c>
      <c r="I276">
        <f t="shared" si="34"/>
        <v>8</v>
      </c>
      <c r="J276">
        <f t="shared" si="35"/>
        <v>243</v>
      </c>
      <c r="K276" s="5">
        <f t="shared" si="36"/>
        <v>0</v>
      </c>
      <c r="L276">
        <f t="shared" si="37"/>
        <v>53.4</v>
      </c>
      <c r="M276">
        <f t="shared" si="38"/>
        <v>1</v>
      </c>
      <c r="N276">
        <f t="shared" si="39"/>
        <v>0</v>
      </c>
    </row>
    <row r="277" spans="4:14" x14ac:dyDescent="0.2">
      <c r="D277">
        <f t="shared" si="41"/>
        <v>254</v>
      </c>
      <c r="E277" s="1">
        <f t="shared" si="42"/>
        <v>-28.906442148451504</v>
      </c>
      <c r="F277" s="1">
        <f t="shared" si="43"/>
        <v>-29.483055512755499</v>
      </c>
      <c r="G277" s="1">
        <f t="shared" si="40"/>
        <v>1.5691760868512785E-13</v>
      </c>
      <c r="H277" s="1">
        <f t="shared" si="33"/>
        <v>1.6256332159020117E-14</v>
      </c>
      <c r="I277">
        <f t="shared" si="34"/>
        <v>8</v>
      </c>
      <c r="J277">
        <f t="shared" si="35"/>
        <v>244</v>
      </c>
      <c r="K277" s="5">
        <f t="shared" si="36"/>
        <v>0</v>
      </c>
      <c r="L277">
        <f t="shared" si="37"/>
        <v>53.4</v>
      </c>
      <c r="M277">
        <f t="shared" si="38"/>
        <v>1</v>
      </c>
      <c r="N277">
        <f t="shared" si="39"/>
        <v>0</v>
      </c>
    </row>
    <row r="278" spans="4:14" x14ac:dyDescent="0.2">
      <c r="D278">
        <f t="shared" si="41"/>
        <v>255</v>
      </c>
      <c r="E278" s="1">
        <f t="shared" si="42"/>
        <v>-29.022975964707452</v>
      </c>
      <c r="F278" s="1">
        <f t="shared" si="43"/>
        <v>-29.599589329011447</v>
      </c>
      <c r="G278" s="1">
        <f t="shared" si="40"/>
        <v>1.3965667172976417E-13</v>
      </c>
      <c r="H278" s="1">
        <f t="shared" si="33"/>
        <v>1.4468135621527946E-14</v>
      </c>
      <c r="I278">
        <f t="shared" si="34"/>
        <v>8</v>
      </c>
      <c r="J278">
        <f t="shared" si="35"/>
        <v>245</v>
      </c>
      <c r="K278" s="5">
        <f t="shared" si="36"/>
        <v>0</v>
      </c>
      <c r="L278">
        <f t="shared" si="37"/>
        <v>53.4</v>
      </c>
      <c r="M278">
        <f t="shared" si="38"/>
        <v>1</v>
      </c>
      <c r="N278">
        <f t="shared" si="39"/>
        <v>0</v>
      </c>
    </row>
    <row r="279" spans="4:14" x14ac:dyDescent="0.2">
      <c r="D279">
        <f t="shared" si="41"/>
        <v>256</v>
      </c>
      <c r="E279" s="1">
        <f t="shared" si="42"/>
        <v>-29.139509780963401</v>
      </c>
      <c r="F279" s="1">
        <f t="shared" si="43"/>
        <v>-29.716123145267396</v>
      </c>
      <c r="G279" s="1">
        <f t="shared" si="40"/>
        <v>1.2429443783949047E-13</v>
      </c>
      <c r="H279" s="1">
        <f t="shared" ref="H279:H342" si="44">G279/$G$21</f>
        <v>1.2876640703159909E-14</v>
      </c>
      <c r="I279">
        <f t="shared" ref="I279:I342" si="45">IF($F$11&lt;=D279, IF(D279&lt;=$A$15,D279-$F$11,$C$11),0)</f>
        <v>8</v>
      </c>
      <c r="J279">
        <f t="shared" ref="J279:J342" si="46">IF(D279&lt;=$A$15,0,D279-$A$15)</f>
        <v>246</v>
      </c>
      <c r="K279" s="5">
        <f t="shared" ref="K279:K342" si="47">IF(D279&lt;$F$11,H279,0)</f>
        <v>0</v>
      </c>
      <c r="L279">
        <f t="shared" ref="L279:L342" si="48">IF(D279&lt;$A$15,$D$11,$D$11*(1-$H$11))</f>
        <v>53.4</v>
      </c>
      <c r="M279">
        <f t="shared" ref="M279:M342" si="49">IF(D279&lt;$A$15,0,1)</f>
        <v>1</v>
      </c>
      <c r="N279">
        <f t="shared" ref="N279:N342" si="50">IF(SUM(I279:J279)&lt;=($G$11/60*$F$11/($E$11/60)),1,0)</f>
        <v>0</v>
      </c>
    </row>
    <row r="280" spans="4:14" x14ac:dyDescent="0.2">
      <c r="D280">
        <f t="shared" si="41"/>
        <v>257</v>
      </c>
      <c r="E280" s="1">
        <f t="shared" si="42"/>
        <v>-29.25604359721935</v>
      </c>
      <c r="F280" s="1">
        <f t="shared" si="43"/>
        <v>-29.832656961523345</v>
      </c>
      <c r="G280" s="1">
        <f t="shared" ref="G280:G343" si="51">EXP(F280)</f>
        <v>1.1062204967714686E-13</v>
      </c>
      <c r="H280" s="1">
        <f t="shared" si="44"/>
        <v>1.1460210225812353E-14</v>
      </c>
      <c r="I280">
        <f t="shared" si="45"/>
        <v>8</v>
      </c>
      <c r="J280">
        <f t="shared" si="46"/>
        <v>247</v>
      </c>
      <c r="K280" s="5">
        <f t="shared" si="47"/>
        <v>0</v>
      </c>
      <c r="L280">
        <f t="shared" si="48"/>
        <v>53.4</v>
      </c>
      <c r="M280">
        <f t="shared" si="49"/>
        <v>1</v>
      </c>
      <c r="N280">
        <f t="shared" si="50"/>
        <v>0</v>
      </c>
    </row>
    <row r="281" spans="4:14" x14ac:dyDescent="0.2">
      <c r="D281">
        <f t="shared" ref="D281:D344" si="52">1+D280</f>
        <v>258</v>
      </c>
      <c r="E281" s="1">
        <f t="shared" ref="E281:E344" si="53">IF($H$11=1,IF(D281&lt;=$A$15, E280+LN($D$11)-LN(60/$E$11)-LN(MIN(D281,$F$11)), E280-LN(60/$E$11)-LN(MIN(D281,$F$11))), IF(D281&lt;=$A$15, E280+LN($D$11)-LN(60/$E$11)-LN(MIN(D281,$F$11)), E280+LN($D$11)+LN(1-$H$11)-LN(60/$E$11)-LN(MIN(D281,$F$11))))</f>
        <v>-29.372577413475298</v>
      </c>
      <c r="F281" s="1">
        <f t="shared" ref="F281:F344" si="54">E281-$E$21</f>
        <v>-29.949190777779293</v>
      </c>
      <c r="G281" s="1">
        <f t="shared" si="51"/>
        <v>9.8453624212660987E-14</v>
      </c>
      <c r="H281" s="1">
        <f t="shared" si="44"/>
        <v>1.0199587100973024E-14</v>
      </c>
      <c r="I281">
        <f t="shared" si="45"/>
        <v>8</v>
      </c>
      <c r="J281">
        <f t="shared" si="46"/>
        <v>248</v>
      </c>
      <c r="K281" s="5">
        <f t="shared" si="47"/>
        <v>0</v>
      </c>
      <c r="L281">
        <f t="shared" si="48"/>
        <v>53.4</v>
      </c>
      <c r="M281">
        <f t="shared" si="49"/>
        <v>1</v>
      </c>
      <c r="N281">
        <f t="shared" si="50"/>
        <v>0</v>
      </c>
    </row>
    <row r="282" spans="4:14" x14ac:dyDescent="0.2">
      <c r="D282">
        <f t="shared" si="52"/>
        <v>259</v>
      </c>
      <c r="E282" s="1">
        <f t="shared" si="53"/>
        <v>-29.489111229731247</v>
      </c>
      <c r="F282" s="1">
        <f t="shared" si="54"/>
        <v>-30.065724594035242</v>
      </c>
      <c r="G282" s="1">
        <f t="shared" si="51"/>
        <v>8.7623725549268539E-14</v>
      </c>
      <c r="H282" s="1">
        <f t="shared" si="44"/>
        <v>9.0776325198660194E-15</v>
      </c>
      <c r="I282">
        <f t="shared" si="45"/>
        <v>8</v>
      </c>
      <c r="J282">
        <f t="shared" si="46"/>
        <v>249</v>
      </c>
      <c r="K282" s="5">
        <f t="shared" si="47"/>
        <v>0</v>
      </c>
      <c r="L282">
        <f t="shared" si="48"/>
        <v>53.4</v>
      </c>
      <c r="M282">
        <f t="shared" si="49"/>
        <v>1</v>
      </c>
      <c r="N282">
        <f t="shared" si="50"/>
        <v>0</v>
      </c>
    </row>
    <row r="283" spans="4:14" x14ac:dyDescent="0.2">
      <c r="D283">
        <f t="shared" si="52"/>
        <v>260</v>
      </c>
      <c r="E283" s="1">
        <f t="shared" si="53"/>
        <v>-29.605645045987195</v>
      </c>
      <c r="F283" s="1">
        <f t="shared" si="54"/>
        <v>-30.18225841029119</v>
      </c>
      <c r="G283" s="1">
        <f t="shared" si="51"/>
        <v>7.7985115738849225E-14</v>
      </c>
      <c r="H283" s="1">
        <f t="shared" si="44"/>
        <v>8.0790929426807793E-15</v>
      </c>
      <c r="I283">
        <f t="shared" si="45"/>
        <v>8</v>
      </c>
      <c r="J283">
        <f t="shared" si="46"/>
        <v>250</v>
      </c>
      <c r="K283" s="5">
        <f t="shared" si="47"/>
        <v>0</v>
      </c>
      <c r="L283">
        <f t="shared" si="48"/>
        <v>53.4</v>
      </c>
      <c r="M283">
        <f t="shared" si="49"/>
        <v>1</v>
      </c>
      <c r="N283">
        <f t="shared" si="50"/>
        <v>0</v>
      </c>
    </row>
    <row r="284" spans="4:14" x14ac:dyDescent="0.2">
      <c r="D284">
        <f t="shared" si="52"/>
        <v>261</v>
      </c>
      <c r="E284" s="1">
        <f t="shared" si="53"/>
        <v>-29.722178862243144</v>
      </c>
      <c r="F284" s="1">
        <f t="shared" si="54"/>
        <v>-30.298792226547139</v>
      </c>
      <c r="G284" s="1">
        <f t="shared" si="51"/>
        <v>6.9406753007576007E-14</v>
      </c>
      <c r="H284" s="1">
        <f t="shared" si="44"/>
        <v>7.1903927189859153E-15</v>
      </c>
      <c r="I284">
        <f t="shared" si="45"/>
        <v>8</v>
      </c>
      <c r="J284">
        <f t="shared" si="46"/>
        <v>251</v>
      </c>
      <c r="K284" s="5">
        <f t="shared" si="47"/>
        <v>0</v>
      </c>
      <c r="L284">
        <f t="shared" si="48"/>
        <v>53.4</v>
      </c>
      <c r="M284">
        <f t="shared" si="49"/>
        <v>1</v>
      </c>
      <c r="N284">
        <f t="shared" si="50"/>
        <v>0</v>
      </c>
    </row>
    <row r="285" spans="4:14" x14ac:dyDescent="0.2">
      <c r="D285">
        <f t="shared" si="52"/>
        <v>262</v>
      </c>
      <c r="E285" s="1">
        <f t="shared" si="53"/>
        <v>-29.838712678499093</v>
      </c>
      <c r="F285" s="1">
        <f t="shared" si="54"/>
        <v>-30.415326042803088</v>
      </c>
      <c r="G285" s="1">
        <f t="shared" si="51"/>
        <v>6.1772010176742837E-14</v>
      </c>
      <c r="H285" s="1">
        <f t="shared" si="44"/>
        <v>6.3994495198974839E-15</v>
      </c>
      <c r="I285">
        <f t="shared" si="45"/>
        <v>8</v>
      </c>
      <c r="J285">
        <f t="shared" si="46"/>
        <v>252</v>
      </c>
      <c r="K285" s="5">
        <f t="shared" si="47"/>
        <v>0</v>
      </c>
      <c r="L285">
        <f t="shared" si="48"/>
        <v>53.4</v>
      </c>
      <c r="M285">
        <f t="shared" si="49"/>
        <v>1</v>
      </c>
      <c r="N285">
        <f t="shared" si="50"/>
        <v>0</v>
      </c>
    </row>
    <row r="286" spans="4:14" x14ac:dyDescent="0.2">
      <c r="D286">
        <f t="shared" si="52"/>
        <v>263</v>
      </c>
      <c r="E286" s="1">
        <f t="shared" si="53"/>
        <v>-29.955246494755041</v>
      </c>
      <c r="F286" s="1">
        <f t="shared" si="54"/>
        <v>-30.531859859059036</v>
      </c>
      <c r="G286" s="1">
        <f t="shared" si="51"/>
        <v>5.4977089057301281E-14</v>
      </c>
      <c r="H286" s="1">
        <f t="shared" si="44"/>
        <v>5.6955100727087765E-15</v>
      </c>
      <c r="I286">
        <f t="shared" si="45"/>
        <v>8</v>
      </c>
      <c r="J286">
        <f t="shared" si="46"/>
        <v>253</v>
      </c>
      <c r="K286" s="5">
        <f t="shared" si="47"/>
        <v>0</v>
      </c>
      <c r="L286">
        <f t="shared" si="48"/>
        <v>53.4</v>
      </c>
      <c r="M286">
        <f t="shared" si="49"/>
        <v>1</v>
      </c>
      <c r="N286">
        <f t="shared" si="50"/>
        <v>0</v>
      </c>
    </row>
    <row r="287" spans="4:14" x14ac:dyDescent="0.2">
      <c r="D287">
        <f t="shared" si="52"/>
        <v>264</v>
      </c>
      <c r="E287" s="1">
        <f t="shared" si="53"/>
        <v>-30.07178031101099</v>
      </c>
      <c r="F287" s="1">
        <f t="shared" si="54"/>
        <v>-30.648393675314985</v>
      </c>
      <c r="G287" s="1">
        <f t="shared" si="51"/>
        <v>4.8929609260998285E-14</v>
      </c>
      <c r="H287" s="1">
        <f t="shared" si="44"/>
        <v>5.0690039647108259E-15</v>
      </c>
      <c r="I287">
        <f t="shared" si="45"/>
        <v>8</v>
      </c>
      <c r="J287">
        <f t="shared" si="46"/>
        <v>254</v>
      </c>
      <c r="K287" s="5">
        <f t="shared" si="47"/>
        <v>0</v>
      </c>
      <c r="L287">
        <f t="shared" si="48"/>
        <v>53.4</v>
      </c>
      <c r="M287">
        <f t="shared" si="49"/>
        <v>1</v>
      </c>
      <c r="N287">
        <f t="shared" si="50"/>
        <v>0</v>
      </c>
    </row>
    <row r="288" spans="4:14" x14ac:dyDescent="0.2">
      <c r="D288">
        <f t="shared" si="52"/>
        <v>265</v>
      </c>
      <c r="E288" s="1">
        <f t="shared" si="53"/>
        <v>-30.188314127266938</v>
      </c>
      <c r="F288" s="1">
        <f t="shared" si="54"/>
        <v>-30.764927491570933</v>
      </c>
      <c r="G288" s="1">
        <f t="shared" si="51"/>
        <v>4.3547352242288597E-14</v>
      </c>
      <c r="H288" s="1">
        <f t="shared" si="44"/>
        <v>4.5114135285926483E-15</v>
      </c>
      <c r="I288">
        <f t="shared" si="45"/>
        <v>8</v>
      </c>
      <c r="J288">
        <f t="shared" si="46"/>
        <v>255</v>
      </c>
      <c r="K288" s="5">
        <f t="shared" si="47"/>
        <v>0</v>
      </c>
      <c r="L288">
        <f t="shared" si="48"/>
        <v>53.4</v>
      </c>
      <c r="M288">
        <f t="shared" si="49"/>
        <v>1</v>
      </c>
      <c r="N288">
        <f t="shared" si="50"/>
        <v>0</v>
      </c>
    </row>
    <row r="289" spans="4:14" x14ac:dyDescent="0.2">
      <c r="D289">
        <f t="shared" si="52"/>
        <v>266</v>
      </c>
      <c r="E289" s="1">
        <f t="shared" si="53"/>
        <v>-30.304847943522887</v>
      </c>
      <c r="F289" s="1">
        <f t="shared" si="54"/>
        <v>-30.881461307826882</v>
      </c>
      <c r="G289" s="1">
        <f t="shared" si="51"/>
        <v>3.8757143495636965E-14</v>
      </c>
      <c r="H289" s="1">
        <f t="shared" si="44"/>
        <v>4.0151580404474686E-15</v>
      </c>
      <c r="I289">
        <f t="shared" si="45"/>
        <v>8</v>
      </c>
      <c r="J289">
        <f t="shared" si="46"/>
        <v>256</v>
      </c>
      <c r="K289" s="5">
        <f t="shared" si="47"/>
        <v>0</v>
      </c>
      <c r="L289">
        <f t="shared" si="48"/>
        <v>53.4</v>
      </c>
      <c r="M289">
        <f t="shared" si="49"/>
        <v>1</v>
      </c>
      <c r="N289">
        <f t="shared" si="50"/>
        <v>0</v>
      </c>
    </row>
    <row r="290" spans="4:14" x14ac:dyDescent="0.2">
      <c r="D290">
        <f t="shared" si="52"/>
        <v>267</v>
      </c>
      <c r="E290" s="1">
        <f t="shared" si="53"/>
        <v>-30.421381759778836</v>
      </c>
      <c r="F290" s="1">
        <f t="shared" si="54"/>
        <v>-30.997995124082831</v>
      </c>
      <c r="G290" s="1">
        <f t="shared" si="51"/>
        <v>3.4493857711117003E-14</v>
      </c>
      <c r="H290" s="1">
        <f t="shared" si="44"/>
        <v>3.573490655998258E-15</v>
      </c>
      <c r="I290">
        <f t="shared" si="45"/>
        <v>8</v>
      </c>
      <c r="J290">
        <f t="shared" si="46"/>
        <v>257</v>
      </c>
      <c r="K290" s="5">
        <f t="shared" si="47"/>
        <v>0</v>
      </c>
      <c r="L290">
        <f t="shared" si="48"/>
        <v>53.4</v>
      </c>
      <c r="M290">
        <f t="shared" si="49"/>
        <v>1</v>
      </c>
      <c r="N290">
        <f t="shared" si="50"/>
        <v>0</v>
      </c>
    </row>
    <row r="291" spans="4:14" x14ac:dyDescent="0.2">
      <c r="D291">
        <f t="shared" si="52"/>
        <v>268</v>
      </c>
      <c r="E291" s="1">
        <f t="shared" si="53"/>
        <v>-30.537915576034784</v>
      </c>
      <c r="F291" s="1">
        <f t="shared" si="54"/>
        <v>-31.114528940338779</v>
      </c>
      <c r="G291" s="1">
        <f t="shared" si="51"/>
        <v>3.0699533362894223E-14</v>
      </c>
      <c r="H291" s="1">
        <f t="shared" si="44"/>
        <v>3.1804066838384589E-15</v>
      </c>
      <c r="I291">
        <f t="shared" si="45"/>
        <v>8</v>
      </c>
      <c r="J291">
        <f t="shared" si="46"/>
        <v>258</v>
      </c>
      <c r="K291" s="5">
        <f t="shared" si="47"/>
        <v>0</v>
      </c>
      <c r="L291">
        <f t="shared" si="48"/>
        <v>53.4</v>
      </c>
      <c r="M291">
        <f t="shared" si="49"/>
        <v>1</v>
      </c>
      <c r="N291">
        <f t="shared" si="50"/>
        <v>0</v>
      </c>
    </row>
    <row r="292" spans="4:14" x14ac:dyDescent="0.2">
      <c r="D292">
        <f t="shared" si="52"/>
        <v>269</v>
      </c>
      <c r="E292" s="1">
        <f t="shared" si="53"/>
        <v>-30.654449392290733</v>
      </c>
      <c r="F292" s="1">
        <f t="shared" si="54"/>
        <v>-31.231062756594728</v>
      </c>
      <c r="G292" s="1">
        <f t="shared" si="51"/>
        <v>2.7322584692975937E-14</v>
      </c>
      <c r="H292" s="1">
        <f t="shared" si="44"/>
        <v>2.8305619486162366E-15</v>
      </c>
      <c r="I292">
        <f t="shared" si="45"/>
        <v>8</v>
      </c>
      <c r="J292">
        <f t="shared" si="46"/>
        <v>259</v>
      </c>
      <c r="K292" s="5">
        <f t="shared" si="47"/>
        <v>0</v>
      </c>
      <c r="L292">
        <f t="shared" si="48"/>
        <v>53.4</v>
      </c>
      <c r="M292">
        <f t="shared" si="49"/>
        <v>1</v>
      </c>
      <c r="N292">
        <f t="shared" si="50"/>
        <v>0</v>
      </c>
    </row>
    <row r="293" spans="4:14" x14ac:dyDescent="0.2">
      <c r="D293">
        <f t="shared" si="52"/>
        <v>270</v>
      </c>
      <c r="E293" s="1">
        <f t="shared" si="53"/>
        <v>-30.770983208546681</v>
      </c>
      <c r="F293" s="1">
        <f t="shared" si="54"/>
        <v>-31.347596572850676</v>
      </c>
      <c r="G293" s="1">
        <f t="shared" si="51"/>
        <v>2.4317100376748655E-14</v>
      </c>
      <c r="H293" s="1">
        <f t="shared" si="44"/>
        <v>2.5192001342684577E-15</v>
      </c>
      <c r="I293">
        <f t="shared" si="45"/>
        <v>8</v>
      </c>
      <c r="J293">
        <f t="shared" si="46"/>
        <v>260</v>
      </c>
      <c r="K293" s="5">
        <f t="shared" si="47"/>
        <v>0</v>
      </c>
      <c r="L293">
        <f t="shared" si="48"/>
        <v>53.4</v>
      </c>
      <c r="M293">
        <f t="shared" si="49"/>
        <v>1</v>
      </c>
      <c r="N293">
        <f t="shared" si="50"/>
        <v>0</v>
      </c>
    </row>
    <row r="294" spans="4:14" x14ac:dyDescent="0.2">
      <c r="D294">
        <f t="shared" si="52"/>
        <v>271</v>
      </c>
      <c r="E294" s="1">
        <f t="shared" si="53"/>
        <v>-30.88751702480263</v>
      </c>
      <c r="F294" s="1">
        <f t="shared" si="54"/>
        <v>-31.464130389106625</v>
      </c>
      <c r="G294" s="1">
        <f t="shared" si="51"/>
        <v>2.1642219335306364E-14</v>
      </c>
      <c r="H294" s="1">
        <f t="shared" si="44"/>
        <v>2.2420881194989338E-15</v>
      </c>
      <c r="I294">
        <f t="shared" si="45"/>
        <v>8</v>
      </c>
      <c r="J294">
        <f t="shared" si="46"/>
        <v>261</v>
      </c>
      <c r="K294" s="5">
        <f t="shared" si="47"/>
        <v>0</v>
      </c>
      <c r="L294">
        <f t="shared" si="48"/>
        <v>53.4</v>
      </c>
      <c r="M294">
        <f t="shared" si="49"/>
        <v>1</v>
      </c>
      <c r="N294">
        <f t="shared" si="50"/>
        <v>0</v>
      </c>
    </row>
    <row r="295" spans="4:14" x14ac:dyDescent="0.2">
      <c r="D295">
        <f t="shared" si="52"/>
        <v>272</v>
      </c>
      <c r="E295" s="1">
        <f t="shared" si="53"/>
        <v>-31.004050841058579</v>
      </c>
      <c r="F295" s="1">
        <f t="shared" si="54"/>
        <v>-31.580664205362574</v>
      </c>
      <c r="G295" s="1">
        <f t="shared" si="51"/>
        <v>1.926157520842272E-14</v>
      </c>
      <c r="H295" s="1">
        <f t="shared" si="44"/>
        <v>1.995458426354057E-15</v>
      </c>
      <c r="I295">
        <f t="shared" si="45"/>
        <v>8</v>
      </c>
      <c r="J295">
        <f t="shared" si="46"/>
        <v>262</v>
      </c>
      <c r="K295" s="5">
        <f t="shared" si="47"/>
        <v>0</v>
      </c>
      <c r="L295">
        <f t="shared" si="48"/>
        <v>53.4</v>
      </c>
      <c r="M295">
        <f t="shared" si="49"/>
        <v>1</v>
      </c>
      <c r="N295">
        <f t="shared" si="50"/>
        <v>0</v>
      </c>
    </row>
    <row r="296" spans="4:14" x14ac:dyDescent="0.2">
      <c r="D296">
        <f t="shared" si="52"/>
        <v>273</v>
      </c>
      <c r="E296" s="1">
        <f t="shared" si="53"/>
        <v>-31.120584657314527</v>
      </c>
      <c r="F296" s="1">
        <f t="shared" si="54"/>
        <v>-31.697198021618522</v>
      </c>
      <c r="G296" s="1">
        <f t="shared" si="51"/>
        <v>1.7142801935496274E-14</v>
      </c>
      <c r="H296" s="1">
        <f t="shared" si="44"/>
        <v>1.7759579994551162E-15</v>
      </c>
      <c r="I296">
        <f t="shared" si="45"/>
        <v>8</v>
      </c>
      <c r="J296">
        <f t="shared" si="46"/>
        <v>263</v>
      </c>
      <c r="K296" s="5">
        <f t="shared" si="47"/>
        <v>0</v>
      </c>
      <c r="L296">
        <f t="shared" si="48"/>
        <v>53.4</v>
      </c>
      <c r="M296">
        <f t="shared" si="49"/>
        <v>1</v>
      </c>
      <c r="N296">
        <f t="shared" si="50"/>
        <v>0</v>
      </c>
    </row>
    <row r="297" spans="4:14" x14ac:dyDescent="0.2">
      <c r="D297">
        <f t="shared" si="52"/>
        <v>274</v>
      </c>
      <c r="E297" s="1">
        <f t="shared" si="53"/>
        <v>-31.237118473570476</v>
      </c>
      <c r="F297" s="1">
        <f t="shared" si="54"/>
        <v>-31.813731837874471</v>
      </c>
      <c r="G297" s="1">
        <f t="shared" si="51"/>
        <v>1.5257093722591726E-14</v>
      </c>
      <c r="H297" s="1">
        <f t="shared" si="44"/>
        <v>1.5806026195150576E-15</v>
      </c>
      <c r="I297">
        <f t="shared" si="45"/>
        <v>8</v>
      </c>
      <c r="J297">
        <f t="shared" si="46"/>
        <v>264</v>
      </c>
      <c r="K297" s="5">
        <f t="shared" si="47"/>
        <v>0</v>
      </c>
      <c r="L297">
        <f t="shared" si="48"/>
        <v>53.4</v>
      </c>
      <c r="M297">
        <f t="shared" si="49"/>
        <v>1</v>
      </c>
      <c r="N297">
        <f t="shared" si="50"/>
        <v>0</v>
      </c>
    </row>
    <row r="298" spans="4:14" x14ac:dyDescent="0.2">
      <c r="D298">
        <f t="shared" si="52"/>
        <v>275</v>
      </c>
      <c r="E298" s="1">
        <f t="shared" si="53"/>
        <v>-31.353652289826424</v>
      </c>
      <c r="F298" s="1">
        <f t="shared" si="54"/>
        <v>-31.93026565413042</v>
      </c>
      <c r="G298" s="1">
        <f t="shared" si="51"/>
        <v>1.3578813413106676E-14</v>
      </c>
      <c r="H298" s="1">
        <f t="shared" si="44"/>
        <v>1.4067363313684056E-15</v>
      </c>
      <c r="I298">
        <f t="shared" si="45"/>
        <v>8</v>
      </c>
      <c r="J298">
        <f t="shared" si="46"/>
        <v>265</v>
      </c>
      <c r="K298" s="5">
        <f t="shared" si="47"/>
        <v>0</v>
      </c>
      <c r="L298">
        <f t="shared" si="48"/>
        <v>53.4</v>
      </c>
      <c r="M298">
        <f t="shared" si="49"/>
        <v>1</v>
      </c>
      <c r="N298">
        <f t="shared" si="50"/>
        <v>0</v>
      </c>
    </row>
    <row r="299" spans="4:14" x14ac:dyDescent="0.2">
      <c r="D299">
        <f t="shared" si="52"/>
        <v>276</v>
      </c>
      <c r="E299" s="1">
        <f t="shared" si="53"/>
        <v>-31.470186106082373</v>
      </c>
      <c r="F299" s="1">
        <f t="shared" si="54"/>
        <v>-32.046799470386368</v>
      </c>
      <c r="G299" s="1">
        <f t="shared" si="51"/>
        <v>1.2085143937664977E-14</v>
      </c>
      <c r="H299" s="1">
        <f t="shared" si="44"/>
        <v>1.2519953349178846E-15</v>
      </c>
      <c r="I299">
        <f t="shared" si="45"/>
        <v>8</v>
      </c>
      <c r="J299">
        <f t="shared" si="46"/>
        <v>266</v>
      </c>
      <c r="K299" s="5">
        <f t="shared" si="47"/>
        <v>0</v>
      </c>
      <c r="L299">
        <f t="shared" si="48"/>
        <v>53.4</v>
      </c>
      <c r="M299">
        <f t="shared" si="49"/>
        <v>1</v>
      </c>
      <c r="N299">
        <f t="shared" si="50"/>
        <v>0</v>
      </c>
    </row>
    <row r="300" spans="4:14" x14ac:dyDescent="0.2">
      <c r="D300">
        <f t="shared" si="52"/>
        <v>277</v>
      </c>
      <c r="E300" s="1">
        <f t="shared" si="53"/>
        <v>-31.586719922338322</v>
      </c>
      <c r="F300" s="1">
        <f t="shared" si="54"/>
        <v>-32.163333286642313</v>
      </c>
      <c r="G300" s="1">
        <f t="shared" si="51"/>
        <v>1.07557781045219E-14</v>
      </c>
      <c r="H300" s="1">
        <f t="shared" si="44"/>
        <v>1.1142758480769245E-15</v>
      </c>
      <c r="I300">
        <f t="shared" si="45"/>
        <v>8</v>
      </c>
      <c r="J300">
        <f t="shared" si="46"/>
        <v>267</v>
      </c>
      <c r="K300" s="5">
        <f t="shared" si="47"/>
        <v>0</v>
      </c>
      <c r="L300">
        <f t="shared" si="48"/>
        <v>53.4</v>
      </c>
      <c r="M300">
        <f t="shared" si="49"/>
        <v>1</v>
      </c>
      <c r="N300">
        <f t="shared" si="50"/>
        <v>0</v>
      </c>
    </row>
    <row r="301" spans="4:14" x14ac:dyDescent="0.2">
      <c r="D301">
        <f t="shared" si="52"/>
        <v>278</v>
      </c>
      <c r="E301" s="1">
        <f t="shared" si="53"/>
        <v>-31.70325373859427</v>
      </c>
      <c r="F301" s="1">
        <f t="shared" si="54"/>
        <v>-32.279867102898265</v>
      </c>
      <c r="G301" s="1">
        <f t="shared" si="51"/>
        <v>9.5726425130244845E-15</v>
      </c>
      <c r="H301" s="1">
        <f t="shared" si="44"/>
        <v>9.9170550478846213E-16</v>
      </c>
      <c r="I301">
        <f t="shared" si="45"/>
        <v>8</v>
      </c>
      <c r="J301">
        <f t="shared" si="46"/>
        <v>268</v>
      </c>
      <c r="K301" s="5">
        <f t="shared" si="47"/>
        <v>0</v>
      </c>
      <c r="L301">
        <f t="shared" si="48"/>
        <v>53.4</v>
      </c>
      <c r="M301">
        <f t="shared" si="49"/>
        <v>1</v>
      </c>
      <c r="N301">
        <f t="shared" si="50"/>
        <v>0</v>
      </c>
    </row>
    <row r="302" spans="4:14" x14ac:dyDescent="0.2">
      <c r="D302">
        <f t="shared" si="52"/>
        <v>279</v>
      </c>
      <c r="E302" s="1">
        <f t="shared" si="53"/>
        <v>-31.819787554850219</v>
      </c>
      <c r="F302" s="1">
        <f t="shared" si="54"/>
        <v>-32.39640091915421</v>
      </c>
      <c r="G302" s="1">
        <f t="shared" si="51"/>
        <v>8.5196518365918471E-15</v>
      </c>
      <c r="H302" s="1">
        <f t="shared" si="44"/>
        <v>8.8261789926173714E-16</v>
      </c>
      <c r="I302">
        <f t="shared" si="45"/>
        <v>8</v>
      </c>
      <c r="J302">
        <f t="shared" si="46"/>
        <v>269</v>
      </c>
      <c r="K302" s="5">
        <f t="shared" si="47"/>
        <v>0</v>
      </c>
      <c r="L302">
        <f t="shared" si="48"/>
        <v>53.4</v>
      </c>
      <c r="M302">
        <f t="shared" si="49"/>
        <v>1</v>
      </c>
      <c r="N302">
        <f t="shared" si="50"/>
        <v>0</v>
      </c>
    </row>
    <row r="303" spans="4:14" x14ac:dyDescent="0.2">
      <c r="D303">
        <f t="shared" si="52"/>
        <v>280</v>
      </c>
      <c r="E303" s="1">
        <f t="shared" si="53"/>
        <v>-31.936321371106168</v>
      </c>
      <c r="F303" s="1">
        <f t="shared" si="54"/>
        <v>-32.512934735410163</v>
      </c>
      <c r="G303" s="1">
        <f t="shared" si="51"/>
        <v>7.5824901345667385E-15</v>
      </c>
      <c r="H303" s="1">
        <f t="shared" si="44"/>
        <v>7.8552993034294552E-16</v>
      </c>
      <c r="I303">
        <f t="shared" si="45"/>
        <v>8</v>
      </c>
      <c r="J303">
        <f t="shared" si="46"/>
        <v>270</v>
      </c>
      <c r="K303" s="5">
        <f t="shared" si="47"/>
        <v>0</v>
      </c>
      <c r="L303">
        <f t="shared" si="48"/>
        <v>53.4</v>
      </c>
      <c r="M303">
        <f t="shared" si="49"/>
        <v>1</v>
      </c>
      <c r="N303">
        <f t="shared" si="50"/>
        <v>0</v>
      </c>
    </row>
    <row r="304" spans="4:14" x14ac:dyDescent="0.2">
      <c r="D304">
        <f t="shared" si="52"/>
        <v>281</v>
      </c>
      <c r="E304" s="1">
        <f t="shared" si="53"/>
        <v>-32.05285518736212</v>
      </c>
      <c r="F304" s="1">
        <f t="shared" si="54"/>
        <v>-32.629468551666115</v>
      </c>
      <c r="G304" s="1">
        <f t="shared" si="51"/>
        <v>6.7484162197643933E-15</v>
      </c>
      <c r="H304" s="1">
        <f t="shared" si="44"/>
        <v>6.9912163800522105E-16</v>
      </c>
      <c r="I304">
        <f t="shared" si="45"/>
        <v>8</v>
      </c>
      <c r="J304">
        <f t="shared" si="46"/>
        <v>271</v>
      </c>
      <c r="K304" s="5">
        <f t="shared" si="47"/>
        <v>0</v>
      </c>
      <c r="L304">
        <f t="shared" si="48"/>
        <v>53.4</v>
      </c>
      <c r="M304">
        <f t="shared" si="49"/>
        <v>1</v>
      </c>
      <c r="N304">
        <f t="shared" si="50"/>
        <v>0</v>
      </c>
    </row>
    <row r="305" spans="4:14" x14ac:dyDescent="0.2">
      <c r="D305">
        <f t="shared" si="52"/>
        <v>282</v>
      </c>
      <c r="E305" s="1">
        <f t="shared" si="53"/>
        <v>-32.169389003618072</v>
      </c>
      <c r="F305" s="1">
        <f t="shared" si="54"/>
        <v>-32.746002367922067</v>
      </c>
      <c r="G305" s="1">
        <f t="shared" si="51"/>
        <v>6.0060904355903059E-15</v>
      </c>
      <c r="H305" s="1">
        <f t="shared" si="44"/>
        <v>6.2221825782464634E-16</v>
      </c>
      <c r="I305">
        <f t="shared" si="45"/>
        <v>8</v>
      </c>
      <c r="J305">
        <f t="shared" si="46"/>
        <v>272</v>
      </c>
      <c r="K305" s="5">
        <f t="shared" si="47"/>
        <v>0</v>
      </c>
      <c r="L305">
        <f t="shared" si="48"/>
        <v>53.4</v>
      </c>
      <c r="M305">
        <f t="shared" si="49"/>
        <v>1</v>
      </c>
      <c r="N305">
        <f t="shared" si="50"/>
        <v>0</v>
      </c>
    </row>
    <row r="306" spans="4:14" x14ac:dyDescent="0.2">
      <c r="D306">
        <f t="shared" si="52"/>
        <v>283</v>
      </c>
      <c r="E306" s="1">
        <f t="shared" si="53"/>
        <v>-32.285922819874024</v>
      </c>
      <c r="F306" s="1">
        <f t="shared" si="54"/>
        <v>-32.862536184178019</v>
      </c>
      <c r="G306" s="1">
        <f t="shared" si="51"/>
        <v>5.3454204876753688E-15</v>
      </c>
      <c r="H306" s="1">
        <f t="shared" si="44"/>
        <v>5.5377424946393484E-16</v>
      </c>
      <c r="I306">
        <f t="shared" si="45"/>
        <v>8</v>
      </c>
      <c r="J306">
        <f t="shared" si="46"/>
        <v>273</v>
      </c>
      <c r="K306" s="5">
        <f t="shared" si="47"/>
        <v>0</v>
      </c>
      <c r="L306">
        <f t="shared" si="48"/>
        <v>53.4</v>
      </c>
      <c r="M306">
        <f t="shared" si="49"/>
        <v>1</v>
      </c>
      <c r="N306">
        <f t="shared" si="50"/>
        <v>0</v>
      </c>
    </row>
    <row r="307" spans="4:14" x14ac:dyDescent="0.2">
      <c r="D307">
        <f t="shared" si="52"/>
        <v>284</v>
      </c>
      <c r="E307" s="1">
        <f t="shared" si="53"/>
        <v>-32.402456636129976</v>
      </c>
      <c r="F307" s="1">
        <f t="shared" si="54"/>
        <v>-32.979070000433971</v>
      </c>
      <c r="G307" s="1">
        <f t="shared" si="51"/>
        <v>4.7574242340310752E-15</v>
      </c>
      <c r="H307" s="1">
        <f t="shared" si="44"/>
        <v>4.9285908202290171E-16</v>
      </c>
      <c r="I307">
        <f t="shared" si="45"/>
        <v>8</v>
      </c>
      <c r="J307">
        <f t="shared" si="46"/>
        <v>274</v>
      </c>
      <c r="K307" s="5">
        <f t="shared" si="47"/>
        <v>0</v>
      </c>
      <c r="L307">
        <f t="shared" si="48"/>
        <v>53.4</v>
      </c>
      <c r="M307">
        <f t="shared" si="49"/>
        <v>1</v>
      </c>
      <c r="N307">
        <f t="shared" si="50"/>
        <v>0</v>
      </c>
    </row>
    <row r="308" spans="4:14" x14ac:dyDescent="0.2">
      <c r="D308">
        <f t="shared" si="52"/>
        <v>285</v>
      </c>
      <c r="E308" s="1">
        <f t="shared" si="53"/>
        <v>-32.518990452385928</v>
      </c>
      <c r="F308" s="1">
        <f t="shared" si="54"/>
        <v>-33.095603816689923</v>
      </c>
      <c r="G308" s="1">
        <f t="shared" si="51"/>
        <v>4.2341075682876545E-15</v>
      </c>
      <c r="H308" s="1">
        <f t="shared" si="44"/>
        <v>4.3864458300038229E-16</v>
      </c>
      <c r="I308">
        <f t="shared" si="45"/>
        <v>8</v>
      </c>
      <c r="J308">
        <f t="shared" si="46"/>
        <v>275</v>
      </c>
      <c r="K308" s="5">
        <f t="shared" si="47"/>
        <v>0</v>
      </c>
      <c r="L308">
        <f t="shared" si="48"/>
        <v>53.4</v>
      </c>
      <c r="M308">
        <f t="shared" si="49"/>
        <v>1</v>
      </c>
      <c r="N308">
        <f t="shared" si="50"/>
        <v>0</v>
      </c>
    </row>
    <row r="309" spans="4:14" x14ac:dyDescent="0.2">
      <c r="D309">
        <f t="shared" si="52"/>
        <v>286</v>
      </c>
      <c r="E309" s="1">
        <f t="shared" si="53"/>
        <v>-32.63552426864188</v>
      </c>
      <c r="F309" s="1">
        <f t="shared" si="54"/>
        <v>-33.212137632945876</v>
      </c>
      <c r="G309" s="1">
        <f t="shared" si="51"/>
        <v>3.7683557357760099E-15</v>
      </c>
      <c r="H309" s="1">
        <f t="shared" si="44"/>
        <v>3.9039367887033999E-16</v>
      </c>
      <c r="I309">
        <f t="shared" si="45"/>
        <v>8</v>
      </c>
      <c r="J309">
        <f t="shared" si="46"/>
        <v>276</v>
      </c>
      <c r="K309" s="5">
        <f t="shared" si="47"/>
        <v>0</v>
      </c>
      <c r="L309">
        <f t="shared" si="48"/>
        <v>53.4</v>
      </c>
      <c r="M309">
        <f t="shared" si="49"/>
        <v>1</v>
      </c>
      <c r="N309">
        <f t="shared" si="50"/>
        <v>0</v>
      </c>
    </row>
    <row r="310" spans="4:14" x14ac:dyDescent="0.2">
      <c r="D310">
        <f t="shared" si="52"/>
        <v>287</v>
      </c>
      <c r="E310" s="1">
        <f t="shared" si="53"/>
        <v>-32.752058084897833</v>
      </c>
      <c r="F310" s="1">
        <f t="shared" si="54"/>
        <v>-33.328671449201828</v>
      </c>
      <c r="G310" s="1">
        <f t="shared" si="51"/>
        <v>3.3538366048406468E-15</v>
      </c>
      <c r="H310" s="1">
        <f t="shared" si="44"/>
        <v>3.4745037419460239E-16</v>
      </c>
      <c r="I310">
        <f t="shared" si="45"/>
        <v>8</v>
      </c>
      <c r="J310">
        <f t="shared" si="46"/>
        <v>277</v>
      </c>
      <c r="K310" s="5">
        <f t="shared" si="47"/>
        <v>0</v>
      </c>
      <c r="L310">
        <f t="shared" si="48"/>
        <v>53.4</v>
      </c>
      <c r="M310">
        <f t="shared" si="49"/>
        <v>1</v>
      </c>
      <c r="N310">
        <f t="shared" si="50"/>
        <v>0</v>
      </c>
    </row>
    <row r="311" spans="4:14" x14ac:dyDescent="0.2">
      <c r="D311">
        <f t="shared" si="52"/>
        <v>288</v>
      </c>
      <c r="E311" s="1">
        <f t="shared" si="53"/>
        <v>-32.868591901153785</v>
      </c>
      <c r="F311" s="1">
        <f t="shared" si="54"/>
        <v>-33.44520526545778</v>
      </c>
      <c r="G311" s="1">
        <f t="shared" si="51"/>
        <v>2.984914578308174E-15</v>
      </c>
      <c r="H311" s="1">
        <f t="shared" si="44"/>
        <v>3.0923083303319591E-16</v>
      </c>
      <c r="I311">
        <f t="shared" si="45"/>
        <v>8</v>
      </c>
      <c r="J311">
        <f t="shared" si="46"/>
        <v>278</v>
      </c>
      <c r="K311" s="5">
        <f t="shared" si="47"/>
        <v>0</v>
      </c>
      <c r="L311">
        <f t="shared" si="48"/>
        <v>53.4</v>
      </c>
      <c r="M311">
        <f t="shared" si="49"/>
        <v>1</v>
      </c>
      <c r="N311">
        <f t="shared" si="50"/>
        <v>0</v>
      </c>
    </row>
    <row r="312" spans="4:14" x14ac:dyDescent="0.2">
      <c r="D312">
        <f t="shared" si="52"/>
        <v>289</v>
      </c>
      <c r="E312" s="1">
        <f t="shared" si="53"/>
        <v>-32.985125717409737</v>
      </c>
      <c r="F312" s="1">
        <f t="shared" si="54"/>
        <v>-33.561739081713732</v>
      </c>
      <c r="G312" s="1">
        <f t="shared" si="51"/>
        <v>2.6565739746942732E-15</v>
      </c>
      <c r="H312" s="1">
        <f t="shared" si="44"/>
        <v>2.7521544139954421E-16</v>
      </c>
      <c r="I312">
        <f t="shared" si="45"/>
        <v>8</v>
      </c>
      <c r="J312">
        <f t="shared" si="46"/>
        <v>279</v>
      </c>
      <c r="K312" s="5">
        <f t="shared" si="47"/>
        <v>0</v>
      </c>
      <c r="L312">
        <f t="shared" si="48"/>
        <v>53.4</v>
      </c>
      <c r="M312">
        <f t="shared" si="49"/>
        <v>1</v>
      </c>
      <c r="N312">
        <f t="shared" si="50"/>
        <v>0</v>
      </c>
    </row>
    <row r="313" spans="4:14" x14ac:dyDescent="0.2">
      <c r="D313">
        <f t="shared" si="52"/>
        <v>290</v>
      </c>
      <c r="E313" s="1">
        <f t="shared" si="53"/>
        <v>-33.101659533665689</v>
      </c>
      <c r="F313" s="1">
        <f t="shared" si="54"/>
        <v>-33.678272897969684</v>
      </c>
      <c r="G313" s="1">
        <f t="shared" si="51"/>
        <v>2.3643508374779013E-15</v>
      </c>
      <c r="H313" s="1">
        <f t="shared" si="44"/>
        <v>2.4494174284559417E-16</v>
      </c>
      <c r="I313">
        <f t="shared" si="45"/>
        <v>8</v>
      </c>
      <c r="J313">
        <f t="shared" si="46"/>
        <v>280</v>
      </c>
      <c r="K313" s="5">
        <f t="shared" si="47"/>
        <v>0</v>
      </c>
      <c r="L313">
        <f t="shared" si="48"/>
        <v>53.4</v>
      </c>
      <c r="M313">
        <f t="shared" si="49"/>
        <v>1</v>
      </c>
      <c r="N313">
        <f t="shared" si="50"/>
        <v>0</v>
      </c>
    </row>
    <row r="314" spans="4:14" x14ac:dyDescent="0.2">
      <c r="D314">
        <f t="shared" si="52"/>
        <v>291</v>
      </c>
      <c r="E314" s="1">
        <f t="shared" si="53"/>
        <v>-33.218193349921641</v>
      </c>
      <c r="F314" s="1">
        <f t="shared" si="54"/>
        <v>-33.794806714225636</v>
      </c>
      <c r="G314" s="1">
        <f t="shared" si="51"/>
        <v>2.1042722453553311E-15</v>
      </c>
      <c r="H314" s="1">
        <f t="shared" si="44"/>
        <v>2.179981511325787E-16</v>
      </c>
      <c r="I314">
        <f t="shared" si="45"/>
        <v>8</v>
      </c>
      <c r="J314">
        <f t="shared" si="46"/>
        <v>281</v>
      </c>
      <c r="K314" s="5">
        <f t="shared" si="47"/>
        <v>0</v>
      </c>
      <c r="L314">
        <f t="shared" si="48"/>
        <v>53.4</v>
      </c>
      <c r="M314">
        <f t="shared" si="49"/>
        <v>1</v>
      </c>
      <c r="N314">
        <f t="shared" si="50"/>
        <v>0</v>
      </c>
    </row>
    <row r="315" spans="4:14" x14ac:dyDescent="0.2">
      <c r="D315">
        <f t="shared" si="52"/>
        <v>292</v>
      </c>
      <c r="E315" s="1">
        <f t="shared" si="53"/>
        <v>-33.334727166177593</v>
      </c>
      <c r="F315" s="1">
        <f t="shared" si="54"/>
        <v>-33.911340530481588</v>
      </c>
      <c r="G315" s="1">
        <f t="shared" si="51"/>
        <v>1.8728022983662434E-15</v>
      </c>
      <c r="H315" s="1">
        <f t="shared" si="44"/>
        <v>1.9401835450799489E-16</v>
      </c>
      <c r="I315">
        <f t="shared" si="45"/>
        <v>8</v>
      </c>
      <c r="J315">
        <f t="shared" si="46"/>
        <v>282</v>
      </c>
      <c r="K315" s="5">
        <f t="shared" si="47"/>
        <v>0</v>
      </c>
      <c r="L315">
        <f t="shared" si="48"/>
        <v>53.4</v>
      </c>
      <c r="M315">
        <f t="shared" si="49"/>
        <v>1</v>
      </c>
      <c r="N315">
        <f t="shared" si="50"/>
        <v>0</v>
      </c>
    </row>
    <row r="316" spans="4:14" x14ac:dyDescent="0.2">
      <c r="D316">
        <f t="shared" si="52"/>
        <v>293</v>
      </c>
      <c r="E316" s="1">
        <f t="shared" si="53"/>
        <v>-33.451260982433546</v>
      </c>
      <c r="F316" s="1">
        <f t="shared" si="54"/>
        <v>-34.027874346737541</v>
      </c>
      <c r="G316" s="1">
        <f t="shared" si="51"/>
        <v>1.6667940455459555E-15</v>
      </c>
      <c r="H316" s="1">
        <f t="shared" si="44"/>
        <v>1.7267633551211536E-16</v>
      </c>
      <c r="I316">
        <f t="shared" si="45"/>
        <v>8</v>
      </c>
      <c r="J316">
        <f t="shared" si="46"/>
        <v>283</v>
      </c>
      <c r="K316" s="5">
        <f t="shared" si="47"/>
        <v>0</v>
      </c>
      <c r="L316">
        <f t="shared" si="48"/>
        <v>53.4</v>
      </c>
      <c r="M316">
        <f t="shared" si="49"/>
        <v>1</v>
      </c>
      <c r="N316">
        <f t="shared" si="50"/>
        <v>0</v>
      </c>
    </row>
    <row r="317" spans="4:14" x14ac:dyDescent="0.2">
      <c r="D317">
        <f t="shared" si="52"/>
        <v>294</v>
      </c>
      <c r="E317" s="1">
        <f t="shared" si="53"/>
        <v>-33.567794798689498</v>
      </c>
      <c r="F317" s="1">
        <f t="shared" si="54"/>
        <v>-34.144408162993493</v>
      </c>
      <c r="G317" s="1">
        <f t="shared" si="51"/>
        <v>1.4834467005358995E-15</v>
      </c>
      <c r="H317" s="1">
        <f t="shared" si="44"/>
        <v>1.5368193860578256E-16</v>
      </c>
      <c r="I317">
        <f t="shared" si="45"/>
        <v>8</v>
      </c>
      <c r="J317">
        <f t="shared" si="46"/>
        <v>284</v>
      </c>
      <c r="K317" s="5">
        <f t="shared" si="47"/>
        <v>0</v>
      </c>
      <c r="L317">
        <f t="shared" si="48"/>
        <v>53.4</v>
      </c>
      <c r="M317">
        <f t="shared" si="49"/>
        <v>1</v>
      </c>
      <c r="N317">
        <f t="shared" si="50"/>
        <v>0</v>
      </c>
    </row>
    <row r="318" spans="4:14" x14ac:dyDescent="0.2">
      <c r="D318">
        <f t="shared" si="52"/>
        <v>295</v>
      </c>
      <c r="E318" s="1">
        <f t="shared" si="53"/>
        <v>-33.68432861494545</v>
      </c>
      <c r="F318" s="1">
        <f t="shared" si="54"/>
        <v>-34.260941979249445</v>
      </c>
      <c r="G318" s="1">
        <f t="shared" si="51"/>
        <v>1.3202675634769497E-15</v>
      </c>
      <c r="H318" s="1">
        <f t="shared" si="44"/>
        <v>1.3677692535914639E-16</v>
      </c>
      <c r="I318">
        <f t="shared" si="45"/>
        <v>8</v>
      </c>
      <c r="J318">
        <f t="shared" si="46"/>
        <v>285</v>
      </c>
      <c r="K318" s="5">
        <f t="shared" si="47"/>
        <v>0</v>
      </c>
      <c r="L318">
        <f t="shared" si="48"/>
        <v>53.4</v>
      </c>
      <c r="M318">
        <f t="shared" si="49"/>
        <v>1</v>
      </c>
      <c r="N318">
        <f t="shared" si="50"/>
        <v>0</v>
      </c>
    </row>
    <row r="319" spans="4:14" x14ac:dyDescent="0.2">
      <c r="D319">
        <f t="shared" si="52"/>
        <v>296</v>
      </c>
      <c r="E319" s="1">
        <f t="shared" si="53"/>
        <v>-33.800862431201402</v>
      </c>
      <c r="F319" s="1">
        <f t="shared" si="54"/>
        <v>-34.377475795505397</v>
      </c>
      <c r="G319" s="1">
        <f t="shared" si="51"/>
        <v>1.1750381314944846E-15</v>
      </c>
      <c r="H319" s="1">
        <f t="shared" si="44"/>
        <v>1.2173146356964021E-16</v>
      </c>
      <c r="I319">
        <f t="shared" si="45"/>
        <v>8</v>
      </c>
      <c r="J319">
        <f t="shared" si="46"/>
        <v>286</v>
      </c>
      <c r="K319" s="5">
        <f t="shared" si="47"/>
        <v>0</v>
      </c>
      <c r="L319">
        <f t="shared" si="48"/>
        <v>53.4</v>
      </c>
      <c r="M319">
        <f t="shared" si="49"/>
        <v>1</v>
      </c>
      <c r="N319">
        <f t="shared" si="50"/>
        <v>0</v>
      </c>
    </row>
    <row r="320" spans="4:14" x14ac:dyDescent="0.2">
      <c r="D320">
        <f t="shared" si="52"/>
        <v>297</v>
      </c>
      <c r="E320" s="1">
        <f t="shared" si="53"/>
        <v>-33.917396247457354</v>
      </c>
      <c r="F320" s="1">
        <f t="shared" si="54"/>
        <v>-34.494009611761349</v>
      </c>
      <c r="G320" s="1">
        <f t="shared" si="51"/>
        <v>1.0457839370300906E-15</v>
      </c>
      <c r="H320" s="1">
        <f t="shared" si="44"/>
        <v>1.0834100257697973E-16</v>
      </c>
      <c r="I320">
        <f t="shared" si="45"/>
        <v>8</v>
      </c>
      <c r="J320">
        <f t="shared" si="46"/>
        <v>287</v>
      </c>
      <c r="K320" s="5">
        <f t="shared" si="47"/>
        <v>0</v>
      </c>
      <c r="L320">
        <f t="shared" si="48"/>
        <v>53.4</v>
      </c>
      <c r="M320">
        <f t="shared" si="49"/>
        <v>1</v>
      </c>
      <c r="N320">
        <f t="shared" si="50"/>
        <v>0</v>
      </c>
    </row>
    <row r="321" spans="4:14" x14ac:dyDescent="0.2">
      <c r="D321">
        <f t="shared" si="52"/>
        <v>298</v>
      </c>
      <c r="E321" s="1">
        <f t="shared" si="53"/>
        <v>-34.033930063713306</v>
      </c>
      <c r="F321" s="1">
        <f t="shared" si="54"/>
        <v>-34.610543428017301</v>
      </c>
      <c r="G321" s="1">
        <f t="shared" si="51"/>
        <v>9.3074770395677997E-16</v>
      </c>
      <c r="H321" s="1">
        <f t="shared" si="44"/>
        <v>9.6423492293511883E-17</v>
      </c>
      <c r="I321">
        <f t="shared" si="45"/>
        <v>8</v>
      </c>
      <c r="J321">
        <f t="shared" si="46"/>
        <v>288</v>
      </c>
      <c r="K321" s="5">
        <f t="shared" si="47"/>
        <v>0</v>
      </c>
      <c r="L321">
        <f t="shared" si="48"/>
        <v>53.4</v>
      </c>
      <c r="M321">
        <f t="shared" si="49"/>
        <v>1</v>
      </c>
      <c r="N321">
        <f t="shared" si="50"/>
        <v>0</v>
      </c>
    </row>
    <row r="322" spans="4:14" x14ac:dyDescent="0.2">
      <c r="D322">
        <f t="shared" si="52"/>
        <v>299</v>
      </c>
      <c r="E322" s="1">
        <f t="shared" si="53"/>
        <v>-34.150463879969259</v>
      </c>
      <c r="F322" s="1">
        <f t="shared" si="54"/>
        <v>-34.727077244273254</v>
      </c>
      <c r="G322" s="1">
        <f t="shared" si="51"/>
        <v>8.2836545652153373E-16</v>
      </c>
      <c r="H322" s="1">
        <f t="shared" si="44"/>
        <v>8.5816908141225534E-17</v>
      </c>
      <c r="I322">
        <f t="shared" si="45"/>
        <v>8</v>
      </c>
      <c r="J322">
        <f t="shared" si="46"/>
        <v>289</v>
      </c>
      <c r="K322" s="5">
        <f t="shared" si="47"/>
        <v>0</v>
      </c>
      <c r="L322">
        <f t="shared" si="48"/>
        <v>53.4</v>
      </c>
      <c r="M322">
        <f t="shared" si="49"/>
        <v>1</v>
      </c>
      <c r="N322">
        <f t="shared" si="50"/>
        <v>0</v>
      </c>
    </row>
    <row r="323" spans="4:14" x14ac:dyDescent="0.2">
      <c r="D323">
        <f t="shared" si="52"/>
        <v>300</v>
      </c>
      <c r="E323" s="1">
        <f t="shared" si="53"/>
        <v>-34.266997696225211</v>
      </c>
      <c r="F323" s="1">
        <f t="shared" si="54"/>
        <v>-34.843611060529206</v>
      </c>
      <c r="G323" s="1">
        <f t="shared" si="51"/>
        <v>7.3724525630416454E-16</v>
      </c>
      <c r="H323" s="1">
        <f t="shared" si="44"/>
        <v>7.6377048245690674E-17</v>
      </c>
      <c r="I323">
        <f t="shared" si="45"/>
        <v>8</v>
      </c>
      <c r="J323">
        <f t="shared" si="46"/>
        <v>290</v>
      </c>
      <c r="K323" s="5">
        <f t="shared" si="47"/>
        <v>0</v>
      </c>
      <c r="L323">
        <f t="shared" si="48"/>
        <v>53.4</v>
      </c>
      <c r="M323">
        <f t="shared" si="49"/>
        <v>1</v>
      </c>
      <c r="N323">
        <f t="shared" si="50"/>
        <v>0</v>
      </c>
    </row>
    <row r="324" spans="4:14" x14ac:dyDescent="0.2">
      <c r="D324">
        <f t="shared" si="52"/>
        <v>301</v>
      </c>
      <c r="E324" s="1">
        <f t="shared" si="53"/>
        <v>-34.383531512481163</v>
      </c>
      <c r="F324" s="1">
        <f t="shared" si="54"/>
        <v>-34.960144876785158</v>
      </c>
      <c r="G324" s="1">
        <f t="shared" si="51"/>
        <v>6.5614827811070598E-16</v>
      </c>
      <c r="H324" s="1">
        <f t="shared" si="44"/>
        <v>6.797557293866465E-17</v>
      </c>
      <c r="I324">
        <f t="shared" si="45"/>
        <v>8</v>
      </c>
      <c r="J324">
        <f t="shared" si="46"/>
        <v>291</v>
      </c>
      <c r="K324" s="5">
        <f t="shared" si="47"/>
        <v>0</v>
      </c>
      <c r="L324">
        <f t="shared" si="48"/>
        <v>53.4</v>
      </c>
      <c r="M324">
        <f t="shared" si="49"/>
        <v>1</v>
      </c>
      <c r="N324">
        <f t="shared" si="50"/>
        <v>0</v>
      </c>
    </row>
    <row r="325" spans="4:14" x14ac:dyDescent="0.2">
      <c r="D325">
        <f t="shared" si="52"/>
        <v>302</v>
      </c>
      <c r="E325" s="1">
        <f t="shared" si="53"/>
        <v>-34.500065328737115</v>
      </c>
      <c r="F325" s="1">
        <f t="shared" si="54"/>
        <v>-35.07667869304111</v>
      </c>
      <c r="G325" s="1">
        <f t="shared" si="51"/>
        <v>5.8397196751852802E-16</v>
      </c>
      <c r="H325" s="1">
        <f t="shared" si="44"/>
        <v>6.0498259915411507E-17</v>
      </c>
      <c r="I325">
        <f t="shared" si="45"/>
        <v>8</v>
      </c>
      <c r="J325">
        <f t="shared" si="46"/>
        <v>292</v>
      </c>
      <c r="K325" s="5">
        <f t="shared" si="47"/>
        <v>0</v>
      </c>
      <c r="L325">
        <f t="shared" si="48"/>
        <v>53.4</v>
      </c>
      <c r="M325">
        <f t="shared" si="49"/>
        <v>1</v>
      </c>
      <c r="N325">
        <f t="shared" si="50"/>
        <v>0</v>
      </c>
    </row>
    <row r="326" spans="4:14" x14ac:dyDescent="0.2">
      <c r="D326">
        <f t="shared" si="52"/>
        <v>303</v>
      </c>
      <c r="E326" s="1">
        <f t="shared" si="53"/>
        <v>-34.616599144993067</v>
      </c>
      <c r="F326" s="1">
        <f t="shared" si="54"/>
        <v>-35.193212509297062</v>
      </c>
      <c r="G326" s="1">
        <f t="shared" si="51"/>
        <v>5.1973505109148959E-16</v>
      </c>
      <c r="H326" s="1">
        <f t="shared" si="44"/>
        <v>5.3843451324716207E-17</v>
      </c>
      <c r="I326">
        <f t="shared" si="45"/>
        <v>8</v>
      </c>
      <c r="J326">
        <f t="shared" si="46"/>
        <v>293</v>
      </c>
      <c r="K326" s="5">
        <f t="shared" si="47"/>
        <v>0</v>
      </c>
      <c r="L326">
        <f t="shared" si="48"/>
        <v>53.4</v>
      </c>
      <c r="M326">
        <f t="shared" si="49"/>
        <v>1</v>
      </c>
      <c r="N326">
        <f t="shared" si="50"/>
        <v>0</v>
      </c>
    </row>
    <row r="327" spans="4:14" x14ac:dyDescent="0.2">
      <c r="D327">
        <f t="shared" si="52"/>
        <v>304</v>
      </c>
      <c r="E327" s="1">
        <f t="shared" si="53"/>
        <v>-34.733132961249019</v>
      </c>
      <c r="F327" s="1">
        <f t="shared" si="54"/>
        <v>-35.309746325553014</v>
      </c>
      <c r="G327" s="1">
        <f t="shared" si="51"/>
        <v>4.6256419547142545E-16</v>
      </c>
      <c r="H327" s="1">
        <f t="shared" si="44"/>
        <v>4.7920671678997395E-17</v>
      </c>
      <c r="I327">
        <f t="shared" si="45"/>
        <v>8</v>
      </c>
      <c r="J327">
        <f t="shared" si="46"/>
        <v>294</v>
      </c>
      <c r="K327" s="5">
        <f t="shared" si="47"/>
        <v>0</v>
      </c>
      <c r="L327">
        <f t="shared" si="48"/>
        <v>53.4</v>
      </c>
      <c r="M327">
        <f t="shared" si="49"/>
        <v>1</v>
      </c>
      <c r="N327">
        <f t="shared" si="50"/>
        <v>0</v>
      </c>
    </row>
    <row r="328" spans="4:14" x14ac:dyDescent="0.2">
      <c r="D328">
        <f t="shared" si="52"/>
        <v>305</v>
      </c>
      <c r="E328" s="1">
        <f t="shared" si="53"/>
        <v>-34.849666777504972</v>
      </c>
      <c r="F328" s="1">
        <f t="shared" si="54"/>
        <v>-35.426280141808967</v>
      </c>
      <c r="G328" s="1">
        <f t="shared" si="51"/>
        <v>4.1168213396956837E-16</v>
      </c>
      <c r="H328" s="1">
        <f t="shared" si="44"/>
        <v>4.2649397794307651E-17</v>
      </c>
      <c r="I328">
        <f t="shared" si="45"/>
        <v>8</v>
      </c>
      <c r="J328">
        <f t="shared" si="46"/>
        <v>295</v>
      </c>
      <c r="K328" s="5">
        <f t="shared" si="47"/>
        <v>0</v>
      </c>
      <c r="L328">
        <f t="shared" si="48"/>
        <v>53.4</v>
      </c>
      <c r="M328">
        <f t="shared" si="49"/>
        <v>1</v>
      </c>
      <c r="N328">
        <f t="shared" si="50"/>
        <v>0</v>
      </c>
    </row>
    <row r="329" spans="4:14" x14ac:dyDescent="0.2">
      <c r="D329">
        <f t="shared" si="52"/>
        <v>306</v>
      </c>
      <c r="E329" s="1">
        <f t="shared" si="53"/>
        <v>-34.966200593760924</v>
      </c>
      <c r="F329" s="1">
        <f t="shared" si="54"/>
        <v>-35.542813958064919</v>
      </c>
      <c r="G329" s="1">
        <f t="shared" si="51"/>
        <v>3.6639709923291563E-16</v>
      </c>
      <c r="H329" s="1">
        <f t="shared" si="44"/>
        <v>3.795796403693379E-17</v>
      </c>
      <c r="I329">
        <f t="shared" si="45"/>
        <v>8</v>
      </c>
      <c r="J329">
        <f t="shared" si="46"/>
        <v>296</v>
      </c>
      <c r="K329" s="5">
        <f t="shared" si="47"/>
        <v>0</v>
      </c>
      <c r="L329">
        <f t="shared" si="48"/>
        <v>53.4</v>
      </c>
      <c r="M329">
        <f t="shared" si="49"/>
        <v>1</v>
      </c>
      <c r="N329">
        <f t="shared" si="50"/>
        <v>0</v>
      </c>
    </row>
    <row r="330" spans="4:14" x14ac:dyDescent="0.2">
      <c r="D330">
        <f t="shared" si="52"/>
        <v>307</v>
      </c>
      <c r="E330" s="1">
        <f t="shared" si="53"/>
        <v>-35.082734410016876</v>
      </c>
      <c r="F330" s="1">
        <f t="shared" si="54"/>
        <v>-35.659347774320871</v>
      </c>
      <c r="G330" s="1">
        <f t="shared" si="51"/>
        <v>3.2609341831729472E-16</v>
      </c>
      <c r="H330" s="1">
        <f t="shared" si="44"/>
        <v>3.3782587992871055E-17</v>
      </c>
      <c r="I330">
        <f t="shared" si="45"/>
        <v>8</v>
      </c>
      <c r="J330">
        <f t="shared" si="46"/>
        <v>297</v>
      </c>
      <c r="K330" s="5">
        <f t="shared" si="47"/>
        <v>0</v>
      </c>
      <c r="L330">
        <f t="shared" si="48"/>
        <v>53.4</v>
      </c>
      <c r="M330">
        <f t="shared" si="49"/>
        <v>1</v>
      </c>
      <c r="N330">
        <f t="shared" si="50"/>
        <v>0</v>
      </c>
    </row>
    <row r="331" spans="4:14" x14ac:dyDescent="0.2">
      <c r="D331">
        <f t="shared" si="52"/>
        <v>308</v>
      </c>
      <c r="E331" s="1">
        <f t="shared" si="53"/>
        <v>-35.199268226272828</v>
      </c>
      <c r="F331" s="1">
        <f t="shared" si="54"/>
        <v>-35.775881590576823</v>
      </c>
      <c r="G331" s="1">
        <f t="shared" si="51"/>
        <v>2.9022314230239211E-16</v>
      </c>
      <c r="H331" s="1">
        <f t="shared" si="44"/>
        <v>3.0066503313655218E-17</v>
      </c>
      <c r="I331">
        <f t="shared" si="45"/>
        <v>8</v>
      </c>
      <c r="J331">
        <f t="shared" si="46"/>
        <v>298</v>
      </c>
      <c r="K331" s="5">
        <f t="shared" si="47"/>
        <v>0</v>
      </c>
      <c r="L331">
        <f t="shared" si="48"/>
        <v>53.4</v>
      </c>
      <c r="M331">
        <f t="shared" si="49"/>
        <v>1</v>
      </c>
      <c r="N331">
        <f t="shared" si="50"/>
        <v>0</v>
      </c>
    </row>
    <row r="332" spans="4:14" x14ac:dyDescent="0.2">
      <c r="D332">
        <f t="shared" si="52"/>
        <v>309</v>
      </c>
      <c r="E332" s="1">
        <f t="shared" si="53"/>
        <v>-35.31580204252878</v>
      </c>
      <c r="F332" s="1">
        <f t="shared" si="54"/>
        <v>-35.892415406832775</v>
      </c>
      <c r="G332" s="1">
        <f t="shared" si="51"/>
        <v>2.5829859664912879E-16</v>
      </c>
      <c r="H332" s="1">
        <f t="shared" si="44"/>
        <v>2.6759187949153124E-17</v>
      </c>
      <c r="I332">
        <f t="shared" si="45"/>
        <v>8</v>
      </c>
      <c r="J332">
        <f t="shared" si="46"/>
        <v>299</v>
      </c>
      <c r="K332" s="5">
        <f t="shared" si="47"/>
        <v>0</v>
      </c>
      <c r="L332">
        <f t="shared" si="48"/>
        <v>53.4</v>
      </c>
      <c r="M332">
        <f t="shared" si="49"/>
        <v>1</v>
      </c>
      <c r="N332">
        <f t="shared" si="50"/>
        <v>0</v>
      </c>
    </row>
    <row r="333" spans="4:14" x14ac:dyDescent="0.2">
      <c r="D333">
        <f t="shared" si="52"/>
        <v>310</v>
      </c>
      <c r="E333" s="1">
        <f t="shared" si="53"/>
        <v>-35.432335858784732</v>
      </c>
      <c r="F333" s="1">
        <f t="shared" si="54"/>
        <v>-36.008949223088727</v>
      </c>
      <c r="G333" s="1">
        <f t="shared" si="51"/>
        <v>2.2988575101772449E-16</v>
      </c>
      <c r="H333" s="1">
        <f t="shared" si="44"/>
        <v>2.3815677274746266E-17</v>
      </c>
      <c r="I333">
        <f t="shared" si="45"/>
        <v>8</v>
      </c>
      <c r="J333">
        <f t="shared" si="46"/>
        <v>300</v>
      </c>
      <c r="K333" s="5">
        <f t="shared" si="47"/>
        <v>0</v>
      </c>
      <c r="L333">
        <f t="shared" si="48"/>
        <v>53.4</v>
      </c>
      <c r="M333">
        <f t="shared" si="49"/>
        <v>1</v>
      </c>
      <c r="N333">
        <f t="shared" si="50"/>
        <v>0</v>
      </c>
    </row>
    <row r="334" spans="4:14" x14ac:dyDescent="0.2">
      <c r="D334">
        <f t="shared" si="52"/>
        <v>311</v>
      </c>
      <c r="E334" s="1">
        <f t="shared" si="53"/>
        <v>-35.548869675040685</v>
      </c>
      <c r="F334" s="1">
        <f t="shared" si="54"/>
        <v>-36.12548303934468</v>
      </c>
      <c r="G334" s="1">
        <f t="shared" si="51"/>
        <v>2.0459831840577467E-16</v>
      </c>
      <c r="H334" s="1">
        <f t="shared" si="44"/>
        <v>2.1195952774524165E-17</v>
      </c>
      <c r="I334">
        <f t="shared" si="45"/>
        <v>8</v>
      </c>
      <c r="J334">
        <f t="shared" si="46"/>
        <v>301</v>
      </c>
      <c r="K334" s="5">
        <f t="shared" si="47"/>
        <v>0</v>
      </c>
      <c r="L334">
        <f t="shared" si="48"/>
        <v>53.4</v>
      </c>
      <c r="M334">
        <f t="shared" si="49"/>
        <v>1</v>
      </c>
      <c r="N334">
        <f t="shared" si="50"/>
        <v>0</v>
      </c>
    </row>
    <row r="335" spans="4:14" x14ac:dyDescent="0.2">
      <c r="D335">
        <f t="shared" si="52"/>
        <v>312</v>
      </c>
      <c r="E335" s="1">
        <f t="shared" si="53"/>
        <v>-35.665403491296637</v>
      </c>
      <c r="F335" s="1">
        <f t="shared" si="54"/>
        <v>-36.242016855600632</v>
      </c>
      <c r="G335" s="1">
        <f t="shared" si="51"/>
        <v>1.8209250338113935E-16</v>
      </c>
      <c r="H335" s="1">
        <f t="shared" si="44"/>
        <v>1.8864397969326494E-17</v>
      </c>
      <c r="I335">
        <f t="shared" si="45"/>
        <v>8</v>
      </c>
      <c r="J335">
        <f t="shared" si="46"/>
        <v>302</v>
      </c>
      <c r="K335" s="5">
        <f t="shared" si="47"/>
        <v>0</v>
      </c>
      <c r="L335">
        <f t="shared" si="48"/>
        <v>53.4</v>
      </c>
      <c r="M335">
        <f t="shared" si="49"/>
        <v>1</v>
      </c>
      <c r="N335">
        <f t="shared" si="50"/>
        <v>0</v>
      </c>
    </row>
    <row r="336" spans="4:14" x14ac:dyDescent="0.2">
      <c r="D336">
        <f t="shared" si="52"/>
        <v>313</v>
      </c>
      <c r="E336" s="1">
        <f t="shared" si="53"/>
        <v>-35.781937307552589</v>
      </c>
      <c r="F336" s="1">
        <f t="shared" si="54"/>
        <v>-36.358550671856584</v>
      </c>
      <c r="G336" s="1">
        <f t="shared" si="51"/>
        <v>1.6206232800921392E-16</v>
      </c>
      <c r="H336" s="1">
        <f t="shared" si="44"/>
        <v>1.6789314192700569E-17</v>
      </c>
      <c r="I336">
        <f t="shared" si="45"/>
        <v>8</v>
      </c>
      <c r="J336">
        <f t="shared" si="46"/>
        <v>303</v>
      </c>
      <c r="K336" s="5">
        <f t="shared" si="47"/>
        <v>0</v>
      </c>
      <c r="L336">
        <f t="shared" si="48"/>
        <v>53.4</v>
      </c>
      <c r="M336">
        <f t="shared" si="49"/>
        <v>1</v>
      </c>
      <c r="N336">
        <f t="shared" si="50"/>
        <v>0</v>
      </c>
    </row>
    <row r="337" spans="4:14" x14ac:dyDescent="0.2">
      <c r="D337">
        <f t="shared" si="52"/>
        <v>314</v>
      </c>
      <c r="E337" s="1">
        <f t="shared" si="53"/>
        <v>-35.898471123808541</v>
      </c>
      <c r="F337" s="1">
        <f t="shared" si="54"/>
        <v>-36.475084488112536</v>
      </c>
      <c r="G337" s="1">
        <f t="shared" si="51"/>
        <v>1.4423547192820029E-16</v>
      </c>
      <c r="H337" s="1">
        <f t="shared" si="44"/>
        <v>1.4942489631503498E-17</v>
      </c>
      <c r="I337">
        <f t="shared" si="45"/>
        <v>8</v>
      </c>
      <c r="J337">
        <f t="shared" si="46"/>
        <v>304</v>
      </c>
      <c r="K337" s="5">
        <f t="shared" si="47"/>
        <v>0</v>
      </c>
      <c r="L337">
        <f t="shared" si="48"/>
        <v>53.4</v>
      </c>
      <c r="M337">
        <f t="shared" si="49"/>
        <v>1</v>
      </c>
      <c r="N337">
        <f t="shared" si="50"/>
        <v>0</v>
      </c>
    </row>
    <row r="338" spans="4:14" x14ac:dyDescent="0.2">
      <c r="D338">
        <f t="shared" si="52"/>
        <v>315</v>
      </c>
      <c r="E338" s="1">
        <f t="shared" si="53"/>
        <v>-36.015004940064493</v>
      </c>
      <c r="F338" s="1">
        <f t="shared" si="54"/>
        <v>-36.591618304368488</v>
      </c>
      <c r="G338" s="1">
        <f t="shared" si="51"/>
        <v>1.2836957001609817E-16</v>
      </c>
      <c r="H338" s="1">
        <f t="shared" si="44"/>
        <v>1.3298815772038104E-17</v>
      </c>
      <c r="I338">
        <f t="shared" si="45"/>
        <v>8</v>
      </c>
      <c r="J338">
        <f t="shared" si="46"/>
        <v>305</v>
      </c>
      <c r="K338" s="5">
        <f t="shared" si="47"/>
        <v>0</v>
      </c>
      <c r="L338">
        <f t="shared" si="48"/>
        <v>53.4</v>
      </c>
      <c r="M338">
        <f t="shared" si="49"/>
        <v>1</v>
      </c>
      <c r="N338">
        <f t="shared" si="50"/>
        <v>0</v>
      </c>
    </row>
    <row r="339" spans="4:14" x14ac:dyDescent="0.2">
      <c r="D339">
        <f t="shared" si="52"/>
        <v>316</v>
      </c>
      <c r="E339" s="1">
        <f t="shared" si="53"/>
        <v>-36.131538756320452</v>
      </c>
      <c r="F339" s="1">
        <f t="shared" si="54"/>
        <v>-36.708152120624447</v>
      </c>
      <c r="G339" s="1">
        <f t="shared" si="51"/>
        <v>1.142489173143265E-16</v>
      </c>
      <c r="H339" s="1">
        <f t="shared" si="44"/>
        <v>1.1835946037113822E-17</v>
      </c>
      <c r="I339">
        <f t="shared" si="45"/>
        <v>8</v>
      </c>
      <c r="J339">
        <f t="shared" si="46"/>
        <v>306</v>
      </c>
      <c r="K339" s="5">
        <f t="shared" si="47"/>
        <v>0</v>
      </c>
      <c r="L339">
        <f t="shared" si="48"/>
        <v>53.4</v>
      </c>
      <c r="M339">
        <f t="shared" si="49"/>
        <v>1</v>
      </c>
      <c r="N339">
        <f t="shared" si="50"/>
        <v>0</v>
      </c>
    </row>
    <row r="340" spans="4:14" x14ac:dyDescent="0.2">
      <c r="D340">
        <f t="shared" si="52"/>
        <v>317</v>
      </c>
      <c r="E340" s="1">
        <f t="shared" si="53"/>
        <v>-36.248072572576405</v>
      </c>
      <c r="F340" s="1">
        <f t="shared" si="54"/>
        <v>-36.8246859368804</v>
      </c>
      <c r="G340" s="1">
        <f t="shared" si="51"/>
        <v>1.0168153640975051E-16</v>
      </c>
      <c r="H340" s="1">
        <f t="shared" si="44"/>
        <v>1.0533991973031293E-17</v>
      </c>
      <c r="I340">
        <f t="shared" si="45"/>
        <v>8</v>
      </c>
      <c r="J340">
        <f t="shared" si="46"/>
        <v>307</v>
      </c>
      <c r="K340" s="5">
        <f t="shared" si="47"/>
        <v>0</v>
      </c>
      <c r="L340">
        <f t="shared" si="48"/>
        <v>53.4</v>
      </c>
      <c r="M340">
        <f t="shared" si="49"/>
        <v>1</v>
      </c>
      <c r="N340">
        <f t="shared" si="50"/>
        <v>0</v>
      </c>
    </row>
    <row r="341" spans="4:14" x14ac:dyDescent="0.2">
      <c r="D341">
        <f t="shared" si="52"/>
        <v>318</v>
      </c>
      <c r="E341" s="1">
        <f t="shared" si="53"/>
        <v>-36.364606388832357</v>
      </c>
      <c r="F341" s="1">
        <f t="shared" si="54"/>
        <v>-36.941219753136352</v>
      </c>
      <c r="G341" s="1">
        <f t="shared" si="51"/>
        <v>9.0496567404677899E-17</v>
      </c>
      <c r="H341" s="1">
        <f t="shared" si="44"/>
        <v>9.3752528559978447E-18</v>
      </c>
      <c r="I341">
        <f t="shared" si="45"/>
        <v>8</v>
      </c>
      <c r="J341">
        <f t="shared" si="46"/>
        <v>308</v>
      </c>
      <c r="K341" s="5">
        <f t="shared" si="47"/>
        <v>0</v>
      </c>
      <c r="L341">
        <f t="shared" si="48"/>
        <v>53.4</v>
      </c>
      <c r="M341">
        <f t="shared" si="49"/>
        <v>1</v>
      </c>
      <c r="N341">
        <f t="shared" si="50"/>
        <v>0</v>
      </c>
    </row>
    <row r="342" spans="4:14" x14ac:dyDescent="0.2">
      <c r="D342">
        <f t="shared" si="52"/>
        <v>319</v>
      </c>
      <c r="E342" s="1">
        <f t="shared" si="53"/>
        <v>-36.481140205088309</v>
      </c>
      <c r="F342" s="1">
        <f t="shared" si="54"/>
        <v>-37.057753569392304</v>
      </c>
      <c r="G342" s="1">
        <f t="shared" si="51"/>
        <v>8.054194499016328E-17</v>
      </c>
      <c r="H342" s="1">
        <f t="shared" si="44"/>
        <v>8.3439750418380774E-18</v>
      </c>
      <c r="I342">
        <f t="shared" si="45"/>
        <v>8</v>
      </c>
      <c r="J342">
        <f t="shared" si="46"/>
        <v>309</v>
      </c>
      <c r="K342" s="5">
        <f t="shared" si="47"/>
        <v>0</v>
      </c>
      <c r="L342">
        <f t="shared" si="48"/>
        <v>53.4</v>
      </c>
      <c r="M342">
        <f t="shared" si="49"/>
        <v>1</v>
      </c>
      <c r="N342">
        <f t="shared" si="50"/>
        <v>0</v>
      </c>
    </row>
    <row r="343" spans="4:14" x14ac:dyDescent="0.2">
      <c r="D343">
        <f t="shared" si="52"/>
        <v>320</v>
      </c>
      <c r="E343" s="1">
        <f t="shared" si="53"/>
        <v>-36.597674021344261</v>
      </c>
      <c r="F343" s="1">
        <f t="shared" si="54"/>
        <v>-37.174287385648256</v>
      </c>
      <c r="G343" s="1">
        <f t="shared" si="51"/>
        <v>7.1682331041245279E-17</v>
      </c>
      <c r="H343" s="1">
        <f t="shared" ref="H343:H406" si="55">G343/$G$21</f>
        <v>7.4261377872358839E-18</v>
      </c>
      <c r="I343">
        <f t="shared" ref="I343:I406" si="56">IF($F$11&lt;=D343, IF(D343&lt;=$A$15,D343-$F$11,$C$11),0)</f>
        <v>8</v>
      </c>
      <c r="J343">
        <f t="shared" ref="J343:J406" si="57">IF(D343&lt;=$A$15,0,D343-$A$15)</f>
        <v>310</v>
      </c>
      <c r="K343" s="5">
        <f t="shared" ref="K343:K406" si="58">IF(D343&lt;$F$11,H343,0)</f>
        <v>0</v>
      </c>
      <c r="L343">
        <f t="shared" ref="L343:L406" si="59">IF(D343&lt;$A$15,$D$11,$D$11*(1-$H$11))</f>
        <v>53.4</v>
      </c>
      <c r="M343">
        <f t="shared" ref="M343:M406" si="60">IF(D343&lt;$A$15,0,1)</f>
        <v>1</v>
      </c>
      <c r="N343">
        <f t="shared" ref="N343:N406" si="61">IF(SUM(I343:J343)&lt;=($G$11/60*$F$11/($E$11/60)),1,0)</f>
        <v>0</v>
      </c>
    </row>
    <row r="344" spans="4:14" x14ac:dyDescent="0.2">
      <c r="D344">
        <f t="shared" si="52"/>
        <v>321</v>
      </c>
      <c r="E344" s="1">
        <f t="shared" si="53"/>
        <v>-36.714207837600213</v>
      </c>
      <c r="F344" s="1">
        <f t="shared" si="54"/>
        <v>-37.290821201904208</v>
      </c>
      <c r="G344" s="1">
        <f t="shared" ref="G344:G407" si="62">EXP(F344)</f>
        <v>6.3797274626708253E-17</v>
      </c>
      <c r="H344" s="1">
        <f t="shared" si="55"/>
        <v>6.6092626306399324E-18</v>
      </c>
      <c r="I344">
        <f t="shared" si="56"/>
        <v>8</v>
      </c>
      <c r="J344">
        <f t="shared" si="57"/>
        <v>311</v>
      </c>
      <c r="K344" s="5">
        <f t="shared" si="58"/>
        <v>0</v>
      </c>
      <c r="L344">
        <f t="shared" si="59"/>
        <v>53.4</v>
      </c>
      <c r="M344">
        <f t="shared" si="60"/>
        <v>1</v>
      </c>
      <c r="N344">
        <f t="shared" si="61"/>
        <v>0</v>
      </c>
    </row>
    <row r="345" spans="4:14" x14ac:dyDescent="0.2">
      <c r="D345">
        <f t="shared" ref="D345:D408" si="63">1+D344</f>
        <v>322</v>
      </c>
      <c r="E345" s="1">
        <f t="shared" ref="E345:E408" si="64">IF($H$11=1,IF(D345&lt;=$A$15, E344+LN($D$11)-LN(60/$E$11)-LN(MIN(D345,$F$11)), E344-LN(60/$E$11)-LN(MIN(D345,$F$11))), IF(D345&lt;=$A$15, E344+LN($D$11)-LN(60/$E$11)-LN(MIN(D345,$F$11)), E344+LN($D$11)+LN(1-$H$11)-LN(60/$E$11)-LN(MIN(D345,$F$11))))</f>
        <v>-36.830741653856165</v>
      </c>
      <c r="F345" s="1">
        <f t="shared" ref="F345:F408" si="65">E345-$E$21</f>
        <v>-37.40735501816016</v>
      </c>
      <c r="G345" s="1">
        <f t="shared" si="62"/>
        <v>5.6779574417770311E-17</v>
      </c>
      <c r="H345" s="1">
        <f t="shared" si="55"/>
        <v>5.8822437412695362E-18</v>
      </c>
      <c r="I345">
        <f t="shared" si="56"/>
        <v>8</v>
      </c>
      <c r="J345">
        <f t="shared" si="57"/>
        <v>312</v>
      </c>
      <c r="K345" s="5">
        <f t="shared" si="58"/>
        <v>0</v>
      </c>
      <c r="L345">
        <f t="shared" si="59"/>
        <v>53.4</v>
      </c>
      <c r="M345">
        <f t="shared" si="60"/>
        <v>1</v>
      </c>
      <c r="N345">
        <f t="shared" si="61"/>
        <v>0</v>
      </c>
    </row>
    <row r="346" spans="4:14" x14ac:dyDescent="0.2">
      <c r="D346">
        <f t="shared" si="63"/>
        <v>323</v>
      </c>
      <c r="E346" s="1">
        <f t="shared" si="64"/>
        <v>-36.947275470112118</v>
      </c>
      <c r="F346" s="1">
        <f t="shared" si="65"/>
        <v>-37.523888834416113</v>
      </c>
      <c r="G346" s="1">
        <f t="shared" si="62"/>
        <v>5.0533821231815543E-17</v>
      </c>
      <c r="H346" s="1">
        <f t="shared" si="55"/>
        <v>5.2351969297298841E-18</v>
      </c>
      <c r="I346">
        <f t="shared" si="56"/>
        <v>8</v>
      </c>
      <c r="J346">
        <f t="shared" si="57"/>
        <v>313</v>
      </c>
      <c r="K346" s="5">
        <f t="shared" si="58"/>
        <v>0</v>
      </c>
      <c r="L346">
        <f t="shared" si="59"/>
        <v>53.4</v>
      </c>
      <c r="M346">
        <f t="shared" si="60"/>
        <v>1</v>
      </c>
      <c r="N346">
        <f t="shared" si="61"/>
        <v>0</v>
      </c>
    </row>
    <row r="347" spans="4:14" x14ac:dyDescent="0.2">
      <c r="D347">
        <f t="shared" si="63"/>
        <v>324</v>
      </c>
      <c r="E347" s="1">
        <f t="shared" si="64"/>
        <v>-37.06380928636807</v>
      </c>
      <c r="F347" s="1">
        <f t="shared" si="65"/>
        <v>-37.640422650672065</v>
      </c>
      <c r="G347" s="1">
        <f t="shared" si="62"/>
        <v>4.4975100896315803E-17</v>
      </c>
      <c r="H347" s="1">
        <f t="shared" si="55"/>
        <v>4.6593252674595933E-18</v>
      </c>
      <c r="I347">
        <f t="shared" si="56"/>
        <v>8</v>
      </c>
      <c r="J347">
        <f t="shared" si="57"/>
        <v>314</v>
      </c>
      <c r="K347" s="5">
        <f t="shared" si="58"/>
        <v>0</v>
      </c>
      <c r="L347">
        <f t="shared" si="59"/>
        <v>53.4</v>
      </c>
      <c r="M347">
        <f t="shared" si="60"/>
        <v>1</v>
      </c>
      <c r="N347">
        <f t="shared" si="61"/>
        <v>0</v>
      </c>
    </row>
    <row r="348" spans="4:14" x14ac:dyDescent="0.2">
      <c r="D348">
        <f t="shared" si="63"/>
        <v>325</v>
      </c>
      <c r="E348" s="1">
        <f t="shared" si="64"/>
        <v>-37.180343102624022</v>
      </c>
      <c r="F348" s="1">
        <f t="shared" si="65"/>
        <v>-37.756956466928017</v>
      </c>
      <c r="G348" s="1">
        <f t="shared" si="62"/>
        <v>4.002783979772104E-17</v>
      </c>
      <c r="H348" s="1">
        <f t="shared" si="55"/>
        <v>4.1467994880390356E-18</v>
      </c>
      <c r="I348">
        <f t="shared" si="56"/>
        <v>8</v>
      </c>
      <c r="J348">
        <f t="shared" si="57"/>
        <v>315</v>
      </c>
      <c r="K348" s="5">
        <f t="shared" si="58"/>
        <v>0</v>
      </c>
      <c r="L348">
        <f t="shared" si="59"/>
        <v>53.4</v>
      </c>
      <c r="M348">
        <f t="shared" si="60"/>
        <v>1</v>
      </c>
      <c r="N348">
        <f t="shared" si="61"/>
        <v>0</v>
      </c>
    </row>
    <row r="349" spans="4:14" x14ac:dyDescent="0.2">
      <c r="D349">
        <f t="shared" si="63"/>
        <v>326</v>
      </c>
      <c r="E349" s="1">
        <f t="shared" si="64"/>
        <v>-37.296876918879974</v>
      </c>
      <c r="F349" s="1">
        <f t="shared" si="65"/>
        <v>-37.873490283183969</v>
      </c>
      <c r="G349" s="1">
        <f t="shared" si="62"/>
        <v>3.5624777419971703E-17</v>
      </c>
      <c r="H349" s="1">
        <f t="shared" si="55"/>
        <v>3.6906515443547395E-18</v>
      </c>
      <c r="I349">
        <f t="shared" si="56"/>
        <v>8</v>
      </c>
      <c r="J349">
        <f t="shared" si="57"/>
        <v>316</v>
      </c>
      <c r="K349" s="5">
        <f t="shared" si="58"/>
        <v>0</v>
      </c>
      <c r="L349">
        <f t="shared" si="59"/>
        <v>53.4</v>
      </c>
      <c r="M349">
        <f t="shared" si="60"/>
        <v>1</v>
      </c>
      <c r="N349">
        <f t="shared" si="61"/>
        <v>0</v>
      </c>
    </row>
    <row r="350" spans="4:14" x14ac:dyDescent="0.2">
      <c r="D350">
        <f t="shared" si="63"/>
        <v>327</v>
      </c>
      <c r="E350" s="1">
        <f t="shared" si="64"/>
        <v>-37.413410735135926</v>
      </c>
      <c r="F350" s="1">
        <f t="shared" si="65"/>
        <v>-37.990024099439921</v>
      </c>
      <c r="G350" s="1">
        <f t="shared" si="62"/>
        <v>3.1706051903774796E-17</v>
      </c>
      <c r="H350" s="1">
        <f t="shared" si="55"/>
        <v>3.284679874475716E-18</v>
      </c>
      <c r="I350">
        <f t="shared" si="56"/>
        <v>8</v>
      </c>
      <c r="J350">
        <f t="shared" si="57"/>
        <v>317</v>
      </c>
      <c r="K350" s="5">
        <f t="shared" si="58"/>
        <v>0</v>
      </c>
      <c r="L350">
        <f t="shared" si="59"/>
        <v>53.4</v>
      </c>
      <c r="M350">
        <f t="shared" si="60"/>
        <v>1</v>
      </c>
      <c r="N350">
        <f t="shared" si="61"/>
        <v>0</v>
      </c>
    </row>
    <row r="351" spans="4:14" x14ac:dyDescent="0.2">
      <c r="D351">
        <f t="shared" si="63"/>
        <v>328</v>
      </c>
      <c r="E351" s="1">
        <f t="shared" si="64"/>
        <v>-37.529944551391878</v>
      </c>
      <c r="F351" s="1">
        <f t="shared" si="65"/>
        <v>-38.106557915695873</v>
      </c>
      <c r="G351" s="1">
        <f t="shared" si="62"/>
        <v>2.8218386194359551E-17</v>
      </c>
      <c r="H351" s="1">
        <f t="shared" si="55"/>
        <v>2.9233650882833856E-18</v>
      </c>
      <c r="I351">
        <f t="shared" si="56"/>
        <v>8</v>
      </c>
      <c r="J351">
        <f t="shared" si="57"/>
        <v>318</v>
      </c>
      <c r="K351" s="5">
        <f t="shared" si="58"/>
        <v>0</v>
      </c>
      <c r="L351">
        <f t="shared" si="59"/>
        <v>53.4</v>
      </c>
      <c r="M351">
        <f t="shared" si="60"/>
        <v>1</v>
      </c>
      <c r="N351">
        <f t="shared" si="61"/>
        <v>0</v>
      </c>
    </row>
    <row r="352" spans="4:14" x14ac:dyDescent="0.2">
      <c r="D352">
        <f t="shared" si="63"/>
        <v>329</v>
      </c>
      <c r="E352" s="1">
        <f t="shared" si="64"/>
        <v>-37.646478367647831</v>
      </c>
      <c r="F352" s="1">
        <f t="shared" si="65"/>
        <v>-38.223091731951826</v>
      </c>
      <c r="G352" s="1">
        <f t="shared" si="62"/>
        <v>2.5114363712979984E-17</v>
      </c>
      <c r="H352" s="1">
        <f t="shared" si="55"/>
        <v>2.6017949285722115E-18</v>
      </c>
      <c r="I352">
        <f t="shared" si="56"/>
        <v>8</v>
      </c>
      <c r="J352">
        <f t="shared" si="57"/>
        <v>319</v>
      </c>
      <c r="K352" s="5">
        <f t="shared" si="58"/>
        <v>0</v>
      </c>
      <c r="L352">
        <f t="shared" si="59"/>
        <v>53.4</v>
      </c>
      <c r="M352">
        <f t="shared" si="60"/>
        <v>1</v>
      </c>
      <c r="N352">
        <f t="shared" si="61"/>
        <v>0</v>
      </c>
    </row>
    <row r="353" spans="4:14" x14ac:dyDescent="0.2">
      <c r="D353">
        <f t="shared" si="63"/>
        <v>330</v>
      </c>
      <c r="E353" s="1">
        <f t="shared" si="64"/>
        <v>-37.763012183903783</v>
      </c>
      <c r="F353" s="1">
        <f t="shared" si="65"/>
        <v>-38.339625548207778</v>
      </c>
      <c r="G353" s="1">
        <f t="shared" si="62"/>
        <v>2.2351783704552172E-17</v>
      </c>
      <c r="H353" s="1">
        <f t="shared" si="55"/>
        <v>2.3155974864292666E-18</v>
      </c>
      <c r="I353">
        <f t="shared" si="56"/>
        <v>8</v>
      </c>
      <c r="J353">
        <f t="shared" si="57"/>
        <v>320</v>
      </c>
      <c r="K353" s="5">
        <f t="shared" si="58"/>
        <v>0</v>
      </c>
      <c r="L353">
        <f t="shared" si="59"/>
        <v>53.4</v>
      </c>
      <c r="M353">
        <f t="shared" si="60"/>
        <v>1</v>
      </c>
      <c r="N353">
        <f t="shared" si="61"/>
        <v>0</v>
      </c>
    </row>
    <row r="354" spans="4:14" x14ac:dyDescent="0.2">
      <c r="D354">
        <f t="shared" si="63"/>
        <v>331</v>
      </c>
      <c r="E354" s="1">
        <f t="shared" si="64"/>
        <v>-37.879546000159735</v>
      </c>
      <c r="F354" s="1">
        <f t="shared" si="65"/>
        <v>-38.45615936446373</v>
      </c>
      <c r="G354" s="1">
        <f t="shared" si="62"/>
        <v>1.9893087497051423E-17</v>
      </c>
      <c r="H354" s="1">
        <f t="shared" si="55"/>
        <v>2.0608817629220462E-18</v>
      </c>
      <c r="I354">
        <f t="shared" si="56"/>
        <v>8</v>
      </c>
      <c r="J354">
        <f t="shared" si="57"/>
        <v>321</v>
      </c>
      <c r="K354" s="5">
        <f t="shared" si="58"/>
        <v>0</v>
      </c>
      <c r="L354">
        <f t="shared" si="59"/>
        <v>53.4</v>
      </c>
      <c r="M354">
        <f t="shared" si="60"/>
        <v>1</v>
      </c>
      <c r="N354">
        <f t="shared" si="61"/>
        <v>0</v>
      </c>
    </row>
    <row r="355" spans="4:14" x14ac:dyDescent="0.2">
      <c r="D355">
        <f t="shared" si="63"/>
        <v>332</v>
      </c>
      <c r="E355" s="1">
        <f t="shared" si="64"/>
        <v>-37.996079816415687</v>
      </c>
      <c r="F355" s="1">
        <f t="shared" si="65"/>
        <v>-38.572693180719682</v>
      </c>
      <c r="G355" s="1">
        <f t="shared" si="62"/>
        <v>1.7704847872375753E-17</v>
      </c>
      <c r="H355" s="1">
        <f t="shared" si="55"/>
        <v>1.8341847690006197E-18</v>
      </c>
      <c r="I355">
        <f t="shared" si="56"/>
        <v>8</v>
      </c>
      <c r="J355">
        <f t="shared" si="57"/>
        <v>322</v>
      </c>
      <c r="K355" s="5">
        <f t="shared" si="58"/>
        <v>0</v>
      </c>
      <c r="L355">
        <f t="shared" si="59"/>
        <v>53.4</v>
      </c>
      <c r="M355">
        <f t="shared" si="60"/>
        <v>1</v>
      </c>
      <c r="N355">
        <f t="shared" si="61"/>
        <v>0</v>
      </c>
    </row>
    <row r="356" spans="4:14" x14ac:dyDescent="0.2">
      <c r="D356">
        <f t="shared" si="63"/>
        <v>333</v>
      </c>
      <c r="E356" s="1">
        <f t="shared" si="64"/>
        <v>-38.112613632671639</v>
      </c>
      <c r="F356" s="1">
        <f t="shared" si="65"/>
        <v>-38.689226996975634</v>
      </c>
      <c r="G356" s="1">
        <f t="shared" si="62"/>
        <v>1.575731460641441E-17</v>
      </c>
      <c r="H356" s="1">
        <f t="shared" si="55"/>
        <v>1.6324244444105506E-18</v>
      </c>
      <c r="I356">
        <f t="shared" si="56"/>
        <v>8</v>
      </c>
      <c r="J356">
        <f t="shared" si="57"/>
        <v>323</v>
      </c>
      <c r="K356" s="5">
        <f t="shared" si="58"/>
        <v>0</v>
      </c>
      <c r="L356">
        <f t="shared" si="59"/>
        <v>53.4</v>
      </c>
      <c r="M356">
        <f t="shared" si="60"/>
        <v>1</v>
      </c>
      <c r="N356">
        <f t="shared" si="61"/>
        <v>0</v>
      </c>
    </row>
    <row r="357" spans="4:14" x14ac:dyDescent="0.2">
      <c r="D357">
        <f t="shared" si="63"/>
        <v>334</v>
      </c>
      <c r="E357" s="1">
        <f t="shared" si="64"/>
        <v>-38.229147448927591</v>
      </c>
      <c r="F357" s="1">
        <f t="shared" si="65"/>
        <v>-38.805760813231586</v>
      </c>
      <c r="G357" s="1">
        <f t="shared" si="62"/>
        <v>1.4024009999708818E-17</v>
      </c>
      <c r="H357" s="1">
        <f t="shared" si="55"/>
        <v>1.4528577555253894E-18</v>
      </c>
      <c r="I357">
        <f t="shared" si="56"/>
        <v>8</v>
      </c>
      <c r="J357">
        <f t="shared" si="57"/>
        <v>324</v>
      </c>
      <c r="K357" s="5">
        <f t="shared" si="58"/>
        <v>0</v>
      </c>
      <c r="L357">
        <f t="shared" si="59"/>
        <v>53.4</v>
      </c>
      <c r="M357">
        <f t="shared" si="60"/>
        <v>1</v>
      </c>
      <c r="N357">
        <f t="shared" si="61"/>
        <v>0</v>
      </c>
    </row>
    <row r="358" spans="4:14" x14ac:dyDescent="0.2">
      <c r="D358">
        <f t="shared" si="63"/>
        <v>335</v>
      </c>
      <c r="E358" s="1">
        <f t="shared" si="64"/>
        <v>-38.345681265183543</v>
      </c>
      <c r="F358" s="1">
        <f t="shared" si="65"/>
        <v>-38.922294629487538</v>
      </c>
      <c r="G358" s="1">
        <f t="shared" si="62"/>
        <v>1.2481368899740839E-17</v>
      </c>
      <c r="H358" s="1">
        <f t="shared" si="55"/>
        <v>1.2930434024175955E-18</v>
      </c>
      <c r="I358">
        <f t="shared" si="56"/>
        <v>8</v>
      </c>
      <c r="J358">
        <f t="shared" si="57"/>
        <v>325</v>
      </c>
      <c r="K358" s="5">
        <f t="shared" si="58"/>
        <v>0</v>
      </c>
      <c r="L358">
        <f t="shared" si="59"/>
        <v>53.4</v>
      </c>
      <c r="M358">
        <f t="shared" si="60"/>
        <v>1</v>
      </c>
      <c r="N358">
        <f t="shared" si="61"/>
        <v>0</v>
      </c>
    </row>
    <row r="359" spans="4:14" x14ac:dyDescent="0.2">
      <c r="D359">
        <f t="shared" si="63"/>
        <v>336</v>
      </c>
      <c r="E359" s="1">
        <f t="shared" si="64"/>
        <v>-38.462215081439496</v>
      </c>
      <c r="F359" s="1">
        <f t="shared" si="65"/>
        <v>-39.038828445743491</v>
      </c>
      <c r="G359" s="1">
        <f t="shared" si="62"/>
        <v>1.110841832076934E-17</v>
      </c>
      <c r="H359" s="1">
        <f t="shared" si="55"/>
        <v>1.1508086281516593E-18</v>
      </c>
      <c r="I359">
        <f t="shared" si="56"/>
        <v>8</v>
      </c>
      <c r="J359">
        <f t="shared" si="57"/>
        <v>326</v>
      </c>
      <c r="K359" s="5">
        <f t="shared" si="58"/>
        <v>0</v>
      </c>
      <c r="L359">
        <f t="shared" si="59"/>
        <v>53.4</v>
      </c>
      <c r="M359">
        <f t="shared" si="60"/>
        <v>1</v>
      </c>
      <c r="N359">
        <f t="shared" si="61"/>
        <v>0</v>
      </c>
    </row>
    <row r="360" spans="4:14" x14ac:dyDescent="0.2">
      <c r="D360">
        <f t="shared" si="63"/>
        <v>337</v>
      </c>
      <c r="E360" s="1">
        <f t="shared" si="64"/>
        <v>-38.578748897695448</v>
      </c>
      <c r="F360" s="1">
        <f t="shared" si="65"/>
        <v>-39.155362261999443</v>
      </c>
      <c r="G360" s="1">
        <f t="shared" si="62"/>
        <v>9.8864923054847059E-18</v>
      </c>
      <c r="H360" s="1">
        <f t="shared" si="55"/>
        <v>1.0242196790549761E-18</v>
      </c>
      <c r="I360">
        <f t="shared" si="56"/>
        <v>8</v>
      </c>
      <c r="J360">
        <f t="shared" si="57"/>
        <v>327</v>
      </c>
      <c r="K360" s="5">
        <f t="shared" si="58"/>
        <v>0</v>
      </c>
      <c r="L360">
        <f t="shared" si="59"/>
        <v>53.4</v>
      </c>
      <c r="M360">
        <f t="shared" si="60"/>
        <v>1</v>
      </c>
      <c r="N360">
        <f t="shared" si="61"/>
        <v>0</v>
      </c>
    </row>
    <row r="361" spans="4:14" x14ac:dyDescent="0.2">
      <c r="D361">
        <f t="shared" si="63"/>
        <v>338</v>
      </c>
      <c r="E361" s="1">
        <f t="shared" si="64"/>
        <v>-38.6952827139514</v>
      </c>
      <c r="F361" s="1">
        <f t="shared" si="65"/>
        <v>-39.271896078255395</v>
      </c>
      <c r="G361" s="1">
        <f t="shared" si="62"/>
        <v>8.7989781518813829E-18</v>
      </c>
      <c r="H361" s="1">
        <f t="shared" si="55"/>
        <v>9.1155551435892823E-19</v>
      </c>
      <c r="I361">
        <f t="shared" si="56"/>
        <v>8</v>
      </c>
      <c r="J361">
        <f t="shared" si="57"/>
        <v>328</v>
      </c>
      <c r="K361" s="5">
        <f t="shared" si="58"/>
        <v>0</v>
      </c>
      <c r="L361">
        <f t="shared" si="59"/>
        <v>53.4</v>
      </c>
      <c r="M361">
        <f t="shared" si="60"/>
        <v>1</v>
      </c>
      <c r="N361">
        <f t="shared" si="61"/>
        <v>0</v>
      </c>
    </row>
    <row r="362" spans="4:14" x14ac:dyDescent="0.2">
      <c r="D362">
        <f t="shared" si="63"/>
        <v>339</v>
      </c>
      <c r="E362" s="1">
        <f t="shared" si="64"/>
        <v>-38.811816530207352</v>
      </c>
      <c r="F362" s="1">
        <f t="shared" si="65"/>
        <v>-39.388429894511347</v>
      </c>
      <c r="G362" s="1">
        <f t="shared" si="62"/>
        <v>7.8310905551744254E-18</v>
      </c>
      <c r="H362" s="1">
        <f t="shared" si="55"/>
        <v>8.1128440777944551E-19</v>
      </c>
      <c r="I362">
        <f t="shared" si="56"/>
        <v>8</v>
      </c>
      <c r="J362">
        <f t="shared" si="57"/>
        <v>329</v>
      </c>
      <c r="K362" s="5">
        <f t="shared" si="58"/>
        <v>0</v>
      </c>
      <c r="L362">
        <f t="shared" si="59"/>
        <v>53.4</v>
      </c>
      <c r="M362">
        <f t="shared" si="60"/>
        <v>1</v>
      </c>
      <c r="N362">
        <f t="shared" si="61"/>
        <v>0</v>
      </c>
    </row>
    <row r="363" spans="4:14" x14ac:dyDescent="0.2">
      <c r="D363">
        <f t="shared" si="63"/>
        <v>340</v>
      </c>
      <c r="E363" s="1">
        <f t="shared" si="64"/>
        <v>-38.928350346463304</v>
      </c>
      <c r="F363" s="1">
        <f t="shared" si="65"/>
        <v>-39.504963710767299</v>
      </c>
      <c r="G363" s="1">
        <f t="shared" si="62"/>
        <v>6.9696705941052347E-18</v>
      </c>
      <c r="H363" s="1">
        <f t="shared" si="55"/>
        <v>7.2204312292370609E-19</v>
      </c>
      <c r="I363">
        <f t="shared" si="56"/>
        <v>8</v>
      </c>
      <c r="J363">
        <f t="shared" si="57"/>
        <v>330</v>
      </c>
      <c r="K363" s="5">
        <f t="shared" si="58"/>
        <v>0</v>
      </c>
      <c r="L363">
        <f t="shared" si="59"/>
        <v>53.4</v>
      </c>
      <c r="M363">
        <f t="shared" si="60"/>
        <v>1</v>
      </c>
      <c r="N363">
        <f t="shared" si="61"/>
        <v>0</v>
      </c>
    </row>
    <row r="364" spans="4:14" x14ac:dyDescent="0.2">
      <c r="D364">
        <f t="shared" si="63"/>
        <v>341</v>
      </c>
      <c r="E364" s="1">
        <f t="shared" si="64"/>
        <v>-39.044884162719256</v>
      </c>
      <c r="F364" s="1">
        <f t="shared" si="65"/>
        <v>-39.621497527023251</v>
      </c>
      <c r="G364" s="1">
        <f t="shared" si="62"/>
        <v>6.2030068287536553E-18</v>
      </c>
      <c r="H364" s="1">
        <f t="shared" si="55"/>
        <v>6.4261837940209811E-19</v>
      </c>
      <c r="I364">
        <f t="shared" si="56"/>
        <v>8</v>
      </c>
      <c r="J364">
        <f t="shared" si="57"/>
        <v>331</v>
      </c>
      <c r="K364" s="5">
        <f t="shared" si="58"/>
        <v>0</v>
      </c>
      <c r="L364">
        <f t="shared" si="59"/>
        <v>53.4</v>
      </c>
      <c r="M364">
        <f t="shared" si="60"/>
        <v>1</v>
      </c>
      <c r="N364">
        <f t="shared" si="61"/>
        <v>0</v>
      </c>
    </row>
    <row r="365" spans="4:14" x14ac:dyDescent="0.2">
      <c r="D365">
        <f t="shared" si="63"/>
        <v>342</v>
      </c>
      <c r="E365" s="1">
        <f t="shared" si="64"/>
        <v>-39.161417978975209</v>
      </c>
      <c r="F365" s="1">
        <f t="shared" si="65"/>
        <v>-39.738031343279204</v>
      </c>
      <c r="G365" s="1">
        <f t="shared" si="62"/>
        <v>5.5206760775907497E-18</v>
      </c>
      <c r="H365" s="1">
        <f t="shared" si="55"/>
        <v>5.7193035766786696E-19</v>
      </c>
      <c r="I365">
        <f t="shared" si="56"/>
        <v>8</v>
      </c>
      <c r="J365">
        <f t="shared" si="57"/>
        <v>332</v>
      </c>
      <c r="K365" s="5">
        <f t="shared" si="58"/>
        <v>0</v>
      </c>
      <c r="L365">
        <f t="shared" si="59"/>
        <v>53.4</v>
      </c>
      <c r="M365">
        <f t="shared" si="60"/>
        <v>1</v>
      </c>
      <c r="N365">
        <f t="shared" si="61"/>
        <v>0</v>
      </c>
    </row>
    <row r="366" spans="4:14" x14ac:dyDescent="0.2">
      <c r="D366">
        <f t="shared" si="63"/>
        <v>343</v>
      </c>
      <c r="E366" s="1">
        <f t="shared" si="64"/>
        <v>-39.277951795231161</v>
      </c>
      <c r="F366" s="1">
        <f t="shared" si="65"/>
        <v>-39.854565159535156</v>
      </c>
      <c r="G366" s="1">
        <f t="shared" si="62"/>
        <v>4.9134017090557639E-18</v>
      </c>
      <c r="H366" s="1">
        <f t="shared" si="55"/>
        <v>5.0901801832440126E-19</v>
      </c>
      <c r="I366">
        <f t="shared" si="56"/>
        <v>8</v>
      </c>
      <c r="J366">
        <f t="shared" si="57"/>
        <v>333</v>
      </c>
      <c r="K366" s="5">
        <f t="shared" si="58"/>
        <v>0</v>
      </c>
      <c r="L366">
        <f t="shared" si="59"/>
        <v>53.4</v>
      </c>
      <c r="M366">
        <f t="shared" si="60"/>
        <v>1</v>
      </c>
      <c r="N366">
        <f t="shared" si="61"/>
        <v>0</v>
      </c>
    </row>
    <row r="367" spans="4:14" x14ac:dyDescent="0.2">
      <c r="D367">
        <f t="shared" si="63"/>
        <v>344</v>
      </c>
      <c r="E367" s="1">
        <f t="shared" si="64"/>
        <v>-39.394485611487113</v>
      </c>
      <c r="F367" s="1">
        <f t="shared" si="65"/>
        <v>-39.971098975791108</v>
      </c>
      <c r="G367" s="1">
        <f t="shared" si="62"/>
        <v>4.3729275210596269E-18</v>
      </c>
      <c r="H367" s="1">
        <f t="shared" si="55"/>
        <v>4.530260363087168E-19</v>
      </c>
      <c r="I367">
        <f t="shared" si="56"/>
        <v>8</v>
      </c>
      <c r="J367">
        <f t="shared" si="57"/>
        <v>334</v>
      </c>
      <c r="K367" s="5">
        <f t="shared" si="58"/>
        <v>0</v>
      </c>
      <c r="L367">
        <f t="shared" si="59"/>
        <v>53.4</v>
      </c>
      <c r="M367">
        <f t="shared" si="60"/>
        <v>1</v>
      </c>
      <c r="N367">
        <f t="shared" si="61"/>
        <v>0</v>
      </c>
    </row>
    <row r="368" spans="4:14" x14ac:dyDescent="0.2">
      <c r="D368">
        <f t="shared" si="63"/>
        <v>345</v>
      </c>
      <c r="E368" s="1">
        <f t="shared" si="64"/>
        <v>-39.511019427743065</v>
      </c>
      <c r="F368" s="1">
        <f t="shared" si="65"/>
        <v>-40.08763279204706</v>
      </c>
      <c r="G368" s="1">
        <f t="shared" si="62"/>
        <v>3.8919054937430655E-18</v>
      </c>
      <c r="H368" s="1">
        <f t="shared" si="55"/>
        <v>4.0319317231475768E-19</v>
      </c>
      <c r="I368">
        <f t="shared" si="56"/>
        <v>8</v>
      </c>
      <c r="J368">
        <f t="shared" si="57"/>
        <v>335</v>
      </c>
      <c r="K368" s="5">
        <f t="shared" si="58"/>
        <v>0</v>
      </c>
      <c r="L368">
        <f t="shared" si="59"/>
        <v>53.4</v>
      </c>
      <c r="M368">
        <f t="shared" si="60"/>
        <v>1</v>
      </c>
      <c r="N368">
        <f t="shared" si="61"/>
        <v>0</v>
      </c>
    </row>
    <row r="369" spans="4:14" x14ac:dyDescent="0.2">
      <c r="D369">
        <f t="shared" si="63"/>
        <v>346</v>
      </c>
      <c r="E369" s="1">
        <f t="shared" si="64"/>
        <v>-39.627553243999017</v>
      </c>
      <c r="F369" s="1">
        <f t="shared" si="65"/>
        <v>-40.204166608303012</v>
      </c>
      <c r="G369" s="1">
        <f t="shared" si="62"/>
        <v>3.4637958894313262E-18</v>
      </c>
      <c r="H369" s="1">
        <f t="shared" si="55"/>
        <v>3.5884192336013412E-19</v>
      </c>
      <c r="I369">
        <f t="shared" si="56"/>
        <v>8</v>
      </c>
      <c r="J369">
        <f t="shared" si="57"/>
        <v>336</v>
      </c>
      <c r="K369" s="5">
        <f t="shared" si="58"/>
        <v>0</v>
      </c>
      <c r="L369">
        <f t="shared" si="59"/>
        <v>53.4</v>
      </c>
      <c r="M369">
        <f t="shared" si="60"/>
        <v>1</v>
      </c>
      <c r="N369">
        <f t="shared" si="61"/>
        <v>0</v>
      </c>
    </row>
    <row r="370" spans="4:14" x14ac:dyDescent="0.2">
      <c r="D370">
        <f t="shared" si="63"/>
        <v>347</v>
      </c>
      <c r="E370" s="1">
        <f t="shared" si="64"/>
        <v>-39.744087060254969</v>
      </c>
      <c r="F370" s="1">
        <f t="shared" si="65"/>
        <v>-40.320700424558964</v>
      </c>
      <c r="G370" s="1">
        <f t="shared" si="62"/>
        <v>3.0827783415938783E-18</v>
      </c>
      <c r="H370" s="1">
        <f t="shared" si="55"/>
        <v>3.1936931179051916E-19</v>
      </c>
      <c r="I370">
        <f t="shared" si="56"/>
        <v>8</v>
      </c>
      <c r="J370">
        <f t="shared" si="57"/>
        <v>337</v>
      </c>
      <c r="K370" s="5">
        <f t="shared" si="58"/>
        <v>0</v>
      </c>
      <c r="L370">
        <f t="shared" si="59"/>
        <v>53.4</v>
      </c>
      <c r="M370">
        <f t="shared" si="60"/>
        <v>1</v>
      </c>
      <c r="N370">
        <f t="shared" si="61"/>
        <v>0</v>
      </c>
    </row>
    <row r="371" spans="4:14" x14ac:dyDescent="0.2">
      <c r="D371">
        <f t="shared" si="63"/>
        <v>348</v>
      </c>
      <c r="E371" s="1">
        <f t="shared" si="64"/>
        <v>-39.860620876510922</v>
      </c>
      <c r="F371" s="1">
        <f t="shared" si="65"/>
        <v>-40.437234240814917</v>
      </c>
      <c r="G371" s="1">
        <f t="shared" si="62"/>
        <v>2.7436727240185499E-18</v>
      </c>
      <c r="H371" s="1">
        <f t="shared" si="55"/>
        <v>2.8423868749356189E-19</v>
      </c>
      <c r="I371">
        <f t="shared" si="56"/>
        <v>8</v>
      </c>
      <c r="J371">
        <f t="shared" si="57"/>
        <v>338</v>
      </c>
      <c r="K371" s="5">
        <f t="shared" si="58"/>
        <v>0</v>
      </c>
      <c r="L371">
        <f t="shared" si="59"/>
        <v>53.4</v>
      </c>
      <c r="M371">
        <f t="shared" si="60"/>
        <v>1</v>
      </c>
      <c r="N371">
        <f t="shared" si="61"/>
        <v>0</v>
      </c>
    </row>
    <row r="372" spans="4:14" x14ac:dyDescent="0.2">
      <c r="D372">
        <f t="shared" si="63"/>
        <v>349</v>
      </c>
      <c r="E372" s="1">
        <f t="shared" si="64"/>
        <v>-39.977154692766874</v>
      </c>
      <c r="F372" s="1">
        <f t="shared" si="65"/>
        <v>-40.553768057070869</v>
      </c>
      <c r="G372" s="1">
        <f t="shared" si="62"/>
        <v>2.4418687243765081E-18</v>
      </c>
      <c r="H372" s="1">
        <f t="shared" si="55"/>
        <v>2.5297243186926994E-19</v>
      </c>
      <c r="I372">
        <f t="shared" si="56"/>
        <v>8</v>
      </c>
      <c r="J372">
        <f t="shared" si="57"/>
        <v>339</v>
      </c>
      <c r="K372" s="5">
        <f t="shared" si="58"/>
        <v>0</v>
      </c>
      <c r="L372">
        <f t="shared" si="59"/>
        <v>53.4</v>
      </c>
      <c r="M372">
        <f t="shared" si="60"/>
        <v>1</v>
      </c>
      <c r="N372">
        <f t="shared" si="61"/>
        <v>0</v>
      </c>
    </row>
    <row r="373" spans="4:14" x14ac:dyDescent="0.2">
      <c r="D373">
        <f t="shared" si="63"/>
        <v>350</v>
      </c>
      <c r="E373" s="1">
        <f t="shared" si="64"/>
        <v>-40.093688509022826</v>
      </c>
      <c r="F373" s="1">
        <f t="shared" si="65"/>
        <v>-40.670301873326821</v>
      </c>
      <c r="G373" s="1">
        <f t="shared" si="62"/>
        <v>2.1732631646950909E-18</v>
      </c>
      <c r="H373" s="1">
        <f t="shared" si="55"/>
        <v>2.2514546436365007E-19</v>
      </c>
      <c r="I373">
        <f t="shared" si="56"/>
        <v>8</v>
      </c>
      <c r="J373">
        <f t="shared" si="57"/>
        <v>340</v>
      </c>
      <c r="K373" s="5">
        <f t="shared" si="58"/>
        <v>0</v>
      </c>
      <c r="L373">
        <f t="shared" si="59"/>
        <v>53.4</v>
      </c>
      <c r="M373">
        <f t="shared" si="60"/>
        <v>1</v>
      </c>
      <c r="N373">
        <f t="shared" si="61"/>
        <v>0</v>
      </c>
    </row>
    <row r="374" spans="4:14" x14ac:dyDescent="0.2">
      <c r="D374">
        <f t="shared" si="63"/>
        <v>351</v>
      </c>
      <c r="E374" s="1">
        <f t="shared" si="64"/>
        <v>-40.210222325278778</v>
      </c>
      <c r="F374" s="1">
        <f t="shared" si="65"/>
        <v>-40.786835689582773</v>
      </c>
      <c r="G374" s="1">
        <f t="shared" si="62"/>
        <v>1.9342042165786296E-18</v>
      </c>
      <c r="H374" s="1">
        <f t="shared" si="55"/>
        <v>2.0037946328364846E-19</v>
      </c>
      <c r="I374">
        <f t="shared" si="56"/>
        <v>8</v>
      </c>
      <c r="J374">
        <f t="shared" si="57"/>
        <v>341</v>
      </c>
      <c r="K374" s="5">
        <f t="shared" si="58"/>
        <v>0</v>
      </c>
      <c r="L374">
        <f t="shared" si="59"/>
        <v>53.4</v>
      </c>
      <c r="M374">
        <f t="shared" si="60"/>
        <v>1</v>
      </c>
      <c r="N374">
        <f t="shared" si="61"/>
        <v>0</v>
      </c>
    </row>
    <row r="375" spans="4:14" x14ac:dyDescent="0.2">
      <c r="D375">
        <f t="shared" si="63"/>
        <v>352</v>
      </c>
      <c r="E375" s="1">
        <f t="shared" si="64"/>
        <v>-40.32675614153473</v>
      </c>
      <c r="F375" s="1">
        <f t="shared" si="65"/>
        <v>-40.903369505838725</v>
      </c>
      <c r="G375" s="1">
        <f t="shared" si="62"/>
        <v>1.7214417527549792E-18</v>
      </c>
      <c r="H375" s="1">
        <f t="shared" si="55"/>
        <v>1.7833772232244701E-19</v>
      </c>
      <c r="I375">
        <f t="shared" si="56"/>
        <v>8</v>
      </c>
      <c r="J375">
        <f t="shared" si="57"/>
        <v>342</v>
      </c>
      <c r="K375" s="5">
        <f t="shared" si="58"/>
        <v>0</v>
      </c>
      <c r="L375">
        <f t="shared" si="59"/>
        <v>53.4</v>
      </c>
      <c r="M375">
        <f t="shared" si="60"/>
        <v>1</v>
      </c>
      <c r="N375">
        <f t="shared" si="61"/>
        <v>0</v>
      </c>
    </row>
    <row r="376" spans="4:14" x14ac:dyDescent="0.2">
      <c r="D376">
        <f t="shared" si="63"/>
        <v>353</v>
      </c>
      <c r="E376" s="1">
        <f t="shared" si="64"/>
        <v>-40.443289957790682</v>
      </c>
      <c r="F376" s="1">
        <f t="shared" si="65"/>
        <v>-41.019903322094677</v>
      </c>
      <c r="G376" s="1">
        <f t="shared" si="62"/>
        <v>1.5320831599519306E-18</v>
      </c>
      <c r="H376" s="1">
        <f t="shared" si="55"/>
        <v>1.5872057286697775E-19</v>
      </c>
      <c r="I376">
        <f t="shared" si="56"/>
        <v>8</v>
      </c>
      <c r="J376">
        <f t="shared" si="57"/>
        <v>343</v>
      </c>
      <c r="K376" s="5">
        <f t="shared" si="58"/>
        <v>0</v>
      </c>
      <c r="L376">
        <f t="shared" si="59"/>
        <v>53.4</v>
      </c>
      <c r="M376">
        <f t="shared" si="60"/>
        <v>1</v>
      </c>
      <c r="N376">
        <f t="shared" si="61"/>
        <v>0</v>
      </c>
    </row>
    <row r="377" spans="4:14" x14ac:dyDescent="0.2">
      <c r="D377">
        <f t="shared" si="63"/>
        <v>354</v>
      </c>
      <c r="E377" s="1">
        <f t="shared" si="64"/>
        <v>-40.559823774046635</v>
      </c>
      <c r="F377" s="1">
        <f t="shared" si="65"/>
        <v>-41.13643713835063</v>
      </c>
      <c r="G377" s="1">
        <f t="shared" si="62"/>
        <v>1.3635540123572173E-18</v>
      </c>
      <c r="H377" s="1">
        <f t="shared" si="55"/>
        <v>1.412613098516101E-19</v>
      </c>
      <c r="I377">
        <f t="shared" si="56"/>
        <v>8</v>
      </c>
      <c r="J377">
        <f t="shared" si="57"/>
        <v>344</v>
      </c>
      <c r="K377" s="5">
        <f t="shared" si="58"/>
        <v>0</v>
      </c>
      <c r="L377">
        <f t="shared" si="59"/>
        <v>53.4</v>
      </c>
      <c r="M377">
        <f t="shared" si="60"/>
        <v>1</v>
      </c>
      <c r="N377">
        <f t="shared" si="61"/>
        <v>0</v>
      </c>
    </row>
    <row r="378" spans="4:14" x14ac:dyDescent="0.2">
      <c r="D378">
        <f t="shared" si="63"/>
        <v>355</v>
      </c>
      <c r="E378" s="1">
        <f t="shared" si="64"/>
        <v>-40.676357590302587</v>
      </c>
      <c r="F378" s="1">
        <f t="shared" si="65"/>
        <v>-41.252970954606582</v>
      </c>
      <c r="G378" s="1">
        <f t="shared" si="62"/>
        <v>1.2135630709979227E-18</v>
      </c>
      <c r="H378" s="1">
        <f t="shared" si="55"/>
        <v>1.257225657679329E-19</v>
      </c>
      <c r="I378">
        <f t="shared" si="56"/>
        <v>8</v>
      </c>
      <c r="J378">
        <f t="shared" si="57"/>
        <v>345</v>
      </c>
      <c r="K378" s="5">
        <f t="shared" si="58"/>
        <v>0</v>
      </c>
      <c r="L378">
        <f t="shared" si="59"/>
        <v>53.4</v>
      </c>
      <c r="M378">
        <f t="shared" si="60"/>
        <v>1</v>
      </c>
      <c r="N378">
        <f t="shared" si="61"/>
        <v>0</v>
      </c>
    </row>
    <row r="379" spans="4:14" x14ac:dyDescent="0.2">
      <c r="D379">
        <f t="shared" si="63"/>
        <v>356</v>
      </c>
      <c r="E379" s="1">
        <f t="shared" si="64"/>
        <v>-40.792891406558539</v>
      </c>
      <c r="F379" s="1">
        <f t="shared" si="65"/>
        <v>-41.369504770862534</v>
      </c>
      <c r="G379" s="1">
        <f t="shared" si="62"/>
        <v>1.0800711331881505E-18</v>
      </c>
      <c r="H379" s="1">
        <f t="shared" si="55"/>
        <v>1.1189308353346021E-19</v>
      </c>
      <c r="I379">
        <f t="shared" si="56"/>
        <v>8</v>
      </c>
      <c r="J379">
        <f t="shared" si="57"/>
        <v>346</v>
      </c>
      <c r="K379" s="5">
        <f t="shared" si="58"/>
        <v>0</v>
      </c>
      <c r="L379">
        <f t="shared" si="59"/>
        <v>53.4</v>
      </c>
      <c r="M379">
        <f t="shared" si="60"/>
        <v>1</v>
      </c>
      <c r="N379">
        <f t="shared" si="61"/>
        <v>0</v>
      </c>
    </row>
    <row r="380" spans="4:14" x14ac:dyDescent="0.2">
      <c r="D380">
        <f t="shared" si="63"/>
        <v>357</v>
      </c>
      <c r="E380" s="1">
        <f t="shared" si="64"/>
        <v>-40.909425222814491</v>
      </c>
      <c r="F380" s="1">
        <f t="shared" si="65"/>
        <v>-41.486038587118486</v>
      </c>
      <c r="G380" s="1">
        <f t="shared" si="62"/>
        <v>9.6126330853745339E-19</v>
      </c>
      <c r="H380" s="1">
        <f t="shared" si="55"/>
        <v>9.9584844344779533E-20</v>
      </c>
      <c r="I380">
        <f t="shared" si="56"/>
        <v>8</v>
      </c>
      <c r="J380">
        <f t="shared" si="57"/>
        <v>347</v>
      </c>
      <c r="K380" s="5">
        <f t="shared" si="58"/>
        <v>0</v>
      </c>
      <c r="L380">
        <f t="shared" si="59"/>
        <v>53.4</v>
      </c>
      <c r="M380">
        <f t="shared" si="60"/>
        <v>1</v>
      </c>
      <c r="N380">
        <f t="shared" si="61"/>
        <v>0</v>
      </c>
    </row>
    <row r="381" spans="4:14" x14ac:dyDescent="0.2">
      <c r="D381">
        <f t="shared" si="63"/>
        <v>358</v>
      </c>
      <c r="E381" s="1">
        <f t="shared" si="64"/>
        <v>-41.025959039070443</v>
      </c>
      <c r="F381" s="1">
        <f t="shared" si="65"/>
        <v>-41.602572403374438</v>
      </c>
      <c r="G381" s="1">
        <f t="shared" si="62"/>
        <v>8.5552434459833295E-19</v>
      </c>
      <c r="H381" s="1">
        <f t="shared" si="55"/>
        <v>8.8630511466853727E-20</v>
      </c>
      <c r="I381">
        <f t="shared" si="56"/>
        <v>8</v>
      </c>
      <c r="J381">
        <f t="shared" si="57"/>
        <v>348</v>
      </c>
      <c r="K381" s="5">
        <f t="shared" si="58"/>
        <v>0</v>
      </c>
      <c r="L381">
        <f t="shared" si="59"/>
        <v>53.4</v>
      </c>
      <c r="M381">
        <f t="shared" si="60"/>
        <v>1</v>
      </c>
      <c r="N381">
        <f t="shared" si="61"/>
        <v>0</v>
      </c>
    </row>
    <row r="382" spans="4:14" x14ac:dyDescent="0.2">
      <c r="D382">
        <f t="shared" si="63"/>
        <v>359</v>
      </c>
      <c r="E382" s="1">
        <f t="shared" si="64"/>
        <v>-41.142492855326395</v>
      </c>
      <c r="F382" s="1">
        <f t="shared" si="65"/>
        <v>-41.71910621963039</v>
      </c>
      <c r="G382" s="1">
        <f t="shared" si="62"/>
        <v>7.6141666669251586E-19</v>
      </c>
      <c r="H382" s="1">
        <f t="shared" si="55"/>
        <v>7.8881155205499771E-20</v>
      </c>
      <c r="I382">
        <f t="shared" si="56"/>
        <v>8</v>
      </c>
      <c r="J382">
        <f t="shared" si="57"/>
        <v>349</v>
      </c>
      <c r="K382" s="5">
        <f t="shared" si="58"/>
        <v>0</v>
      </c>
      <c r="L382">
        <f t="shared" si="59"/>
        <v>53.4</v>
      </c>
      <c r="M382">
        <f t="shared" si="60"/>
        <v>1</v>
      </c>
      <c r="N382">
        <f t="shared" si="61"/>
        <v>0</v>
      </c>
    </row>
    <row r="383" spans="4:14" x14ac:dyDescent="0.2">
      <c r="D383">
        <f t="shared" si="63"/>
        <v>360</v>
      </c>
      <c r="E383" s="1">
        <f t="shared" si="64"/>
        <v>-41.259026671582347</v>
      </c>
      <c r="F383" s="1">
        <f t="shared" si="65"/>
        <v>-41.835640035886343</v>
      </c>
      <c r="G383" s="1">
        <f t="shared" si="62"/>
        <v>6.7766083335633865E-19</v>
      </c>
      <c r="H383" s="1">
        <f t="shared" si="55"/>
        <v>7.0204228132894745E-20</v>
      </c>
      <c r="I383">
        <f t="shared" si="56"/>
        <v>8</v>
      </c>
      <c r="J383">
        <f t="shared" si="57"/>
        <v>350</v>
      </c>
      <c r="K383" s="5">
        <f t="shared" si="58"/>
        <v>0</v>
      </c>
      <c r="L383">
        <f t="shared" si="59"/>
        <v>53.4</v>
      </c>
      <c r="M383">
        <f t="shared" si="60"/>
        <v>1</v>
      </c>
      <c r="N383">
        <f t="shared" si="61"/>
        <v>0</v>
      </c>
    </row>
    <row r="384" spans="4:14" x14ac:dyDescent="0.2">
      <c r="D384">
        <f t="shared" si="63"/>
        <v>361</v>
      </c>
      <c r="E384" s="1">
        <f t="shared" si="64"/>
        <v>-41.3755604878383</v>
      </c>
      <c r="F384" s="1">
        <f t="shared" si="65"/>
        <v>-41.952173852142295</v>
      </c>
      <c r="G384" s="1">
        <f t="shared" si="62"/>
        <v>6.0311814168714104E-19</v>
      </c>
      <c r="H384" s="1">
        <f t="shared" si="55"/>
        <v>6.2481763038276292E-20</v>
      </c>
      <c r="I384">
        <f t="shared" si="56"/>
        <v>8</v>
      </c>
      <c r="J384">
        <f t="shared" si="57"/>
        <v>351</v>
      </c>
      <c r="K384" s="5">
        <f t="shared" si="58"/>
        <v>0</v>
      </c>
      <c r="L384">
        <f t="shared" si="59"/>
        <v>53.4</v>
      </c>
      <c r="M384">
        <f t="shared" si="60"/>
        <v>1</v>
      </c>
      <c r="N384">
        <f t="shared" si="61"/>
        <v>0</v>
      </c>
    </row>
    <row r="385" spans="4:14" x14ac:dyDescent="0.2">
      <c r="D385">
        <f t="shared" si="63"/>
        <v>362</v>
      </c>
      <c r="E385" s="1">
        <f t="shared" si="64"/>
        <v>-41.492094304094252</v>
      </c>
      <c r="F385" s="1">
        <f t="shared" si="65"/>
        <v>-42.068707668398247</v>
      </c>
      <c r="G385" s="1">
        <f t="shared" si="62"/>
        <v>5.3677514610155516E-19</v>
      </c>
      <c r="H385" s="1">
        <f t="shared" si="55"/>
        <v>5.5608769104065861E-20</v>
      </c>
      <c r="I385">
        <f t="shared" si="56"/>
        <v>8</v>
      </c>
      <c r="J385">
        <f t="shared" si="57"/>
        <v>352</v>
      </c>
      <c r="K385" s="5">
        <f t="shared" si="58"/>
        <v>0</v>
      </c>
      <c r="L385">
        <f t="shared" si="59"/>
        <v>53.4</v>
      </c>
      <c r="M385">
        <f t="shared" si="60"/>
        <v>1</v>
      </c>
      <c r="N385">
        <f t="shared" si="61"/>
        <v>0</v>
      </c>
    </row>
    <row r="386" spans="4:14" x14ac:dyDescent="0.2">
      <c r="D386">
        <f t="shared" si="63"/>
        <v>363</v>
      </c>
      <c r="E386" s="1">
        <f t="shared" si="64"/>
        <v>-41.608628120350204</v>
      </c>
      <c r="F386" s="1">
        <f t="shared" si="65"/>
        <v>-42.185241484654199</v>
      </c>
      <c r="G386" s="1">
        <f t="shared" si="62"/>
        <v>4.7772988003038382E-19</v>
      </c>
      <c r="H386" s="1">
        <f t="shared" si="55"/>
        <v>4.9491804502618584E-20</v>
      </c>
      <c r="I386">
        <f t="shared" si="56"/>
        <v>8</v>
      </c>
      <c r="J386">
        <f t="shared" si="57"/>
        <v>353</v>
      </c>
      <c r="K386" s="5">
        <f t="shared" si="58"/>
        <v>0</v>
      </c>
      <c r="L386">
        <f t="shared" si="59"/>
        <v>53.4</v>
      </c>
      <c r="M386">
        <f t="shared" si="60"/>
        <v>1</v>
      </c>
      <c r="N386">
        <f t="shared" si="61"/>
        <v>0</v>
      </c>
    </row>
    <row r="387" spans="4:14" x14ac:dyDescent="0.2">
      <c r="D387">
        <f t="shared" si="63"/>
        <v>364</v>
      </c>
      <c r="E387" s="1">
        <f t="shared" si="64"/>
        <v>-41.725161936606156</v>
      </c>
      <c r="F387" s="1">
        <f t="shared" si="65"/>
        <v>-42.301775300910151</v>
      </c>
      <c r="G387" s="1">
        <f t="shared" si="62"/>
        <v>4.2517959322704132E-19</v>
      </c>
      <c r="H387" s="1">
        <f t="shared" si="55"/>
        <v>4.4047706007330512E-20</v>
      </c>
      <c r="I387">
        <f t="shared" si="56"/>
        <v>8</v>
      </c>
      <c r="J387">
        <f t="shared" si="57"/>
        <v>354</v>
      </c>
      <c r="K387" s="5">
        <f t="shared" si="58"/>
        <v>0</v>
      </c>
      <c r="L387">
        <f t="shared" si="59"/>
        <v>53.4</v>
      </c>
      <c r="M387">
        <f t="shared" si="60"/>
        <v>1</v>
      </c>
      <c r="N387">
        <f t="shared" si="61"/>
        <v>0</v>
      </c>
    </row>
    <row r="388" spans="4:14" x14ac:dyDescent="0.2">
      <c r="D388">
        <f t="shared" si="63"/>
        <v>365</v>
      </c>
      <c r="E388" s="1">
        <f t="shared" si="64"/>
        <v>-41.841695752862108</v>
      </c>
      <c r="F388" s="1">
        <f t="shared" si="65"/>
        <v>-42.418309117166103</v>
      </c>
      <c r="G388" s="1">
        <f t="shared" si="62"/>
        <v>3.7840983797206655E-19</v>
      </c>
      <c r="H388" s="1">
        <f t="shared" si="55"/>
        <v>3.9202458346524133E-20</v>
      </c>
      <c r="I388">
        <f t="shared" si="56"/>
        <v>8</v>
      </c>
      <c r="J388">
        <f t="shared" si="57"/>
        <v>355</v>
      </c>
      <c r="K388" s="5">
        <f t="shared" si="58"/>
        <v>0</v>
      </c>
      <c r="L388">
        <f t="shared" si="59"/>
        <v>53.4</v>
      </c>
      <c r="M388">
        <f t="shared" si="60"/>
        <v>1</v>
      </c>
      <c r="N388">
        <f t="shared" si="61"/>
        <v>0</v>
      </c>
    </row>
    <row r="389" spans="4:14" x14ac:dyDescent="0.2">
      <c r="D389">
        <f t="shared" si="63"/>
        <v>366</v>
      </c>
      <c r="E389" s="1">
        <f t="shared" si="64"/>
        <v>-41.95822956911806</v>
      </c>
      <c r="F389" s="1">
        <f t="shared" si="65"/>
        <v>-42.534842933422055</v>
      </c>
      <c r="G389" s="1">
        <f t="shared" si="62"/>
        <v>3.3678475579513899E-19</v>
      </c>
      <c r="H389" s="1">
        <f t="shared" si="55"/>
        <v>3.4890187928406453E-20</v>
      </c>
      <c r="I389">
        <f t="shared" si="56"/>
        <v>8</v>
      </c>
      <c r="J389">
        <f t="shared" si="57"/>
        <v>356</v>
      </c>
      <c r="K389" s="5">
        <f t="shared" si="58"/>
        <v>0</v>
      </c>
      <c r="L389">
        <f t="shared" si="59"/>
        <v>53.4</v>
      </c>
      <c r="M389">
        <f t="shared" si="60"/>
        <v>1</v>
      </c>
      <c r="N389">
        <f t="shared" si="61"/>
        <v>0</v>
      </c>
    </row>
    <row r="390" spans="4:14" x14ac:dyDescent="0.2">
      <c r="D390">
        <f t="shared" si="63"/>
        <v>367</v>
      </c>
      <c r="E390" s="1">
        <f t="shared" si="64"/>
        <v>-42.074763385374013</v>
      </c>
      <c r="F390" s="1">
        <f t="shared" si="65"/>
        <v>-42.651376749678008</v>
      </c>
      <c r="G390" s="1">
        <f t="shared" si="62"/>
        <v>2.9973843265767353E-19</v>
      </c>
      <c r="H390" s="1">
        <f t="shared" si="55"/>
        <v>3.1052267256281727E-20</v>
      </c>
      <c r="I390">
        <f t="shared" si="56"/>
        <v>8</v>
      </c>
      <c r="J390">
        <f t="shared" si="57"/>
        <v>357</v>
      </c>
      <c r="K390" s="5">
        <f t="shared" si="58"/>
        <v>0</v>
      </c>
      <c r="L390">
        <f t="shared" si="59"/>
        <v>53.4</v>
      </c>
      <c r="M390">
        <f t="shared" si="60"/>
        <v>1</v>
      </c>
      <c r="N390">
        <f t="shared" si="61"/>
        <v>0</v>
      </c>
    </row>
    <row r="391" spans="4:14" x14ac:dyDescent="0.2">
      <c r="D391">
        <f t="shared" si="63"/>
        <v>368</v>
      </c>
      <c r="E391" s="1">
        <f t="shared" si="64"/>
        <v>-42.191297201629965</v>
      </c>
      <c r="F391" s="1">
        <f t="shared" si="65"/>
        <v>-42.76791056593396</v>
      </c>
      <c r="G391" s="1">
        <f t="shared" si="62"/>
        <v>2.6676720506532926E-19</v>
      </c>
      <c r="H391" s="1">
        <f t="shared" si="55"/>
        <v>2.7636517858090717E-20</v>
      </c>
      <c r="I391">
        <f t="shared" si="56"/>
        <v>8</v>
      </c>
      <c r="J391">
        <f t="shared" si="57"/>
        <v>358</v>
      </c>
      <c r="K391" s="5">
        <f t="shared" si="58"/>
        <v>0</v>
      </c>
      <c r="L391">
        <f t="shared" si="59"/>
        <v>53.4</v>
      </c>
      <c r="M391">
        <f t="shared" si="60"/>
        <v>1</v>
      </c>
      <c r="N391">
        <f t="shared" si="61"/>
        <v>0</v>
      </c>
    </row>
    <row r="392" spans="4:14" x14ac:dyDescent="0.2">
      <c r="D392">
        <f t="shared" si="63"/>
        <v>369</v>
      </c>
      <c r="E392" s="1">
        <f t="shared" si="64"/>
        <v>-42.307831017885917</v>
      </c>
      <c r="F392" s="1">
        <f t="shared" si="65"/>
        <v>-42.884444382189912</v>
      </c>
      <c r="G392" s="1">
        <f t="shared" si="62"/>
        <v>2.374228125081429E-19</v>
      </c>
      <c r="H392" s="1">
        <f t="shared" si="55"/>
        <v>2.4596500893700723E-20</v>
      </c>
      <c r="I392">
        <f t="shared" si="56"/>
        <v>8</v>
      </c>
      <c r="J392">
        <f t="shared" si="57"/>
        <v>359</v>
      </c>
      <c r="K392" s="5">
        <f t="shared" si="58"/>
        <v>0</v>
      </c>
      <c r="L392">
        <f t="shared" si="59"/>
        <v>53.4</v>
      </c>
      <c r="M392">
        <f t="shared" si="60"/>
        <v>1</v>
      </c>
      <c r="N392">
        <f t="shared" si="61"/>
        <v>0</v>
      </c>
    </row>
    <row r="393" spans="4:14" x14ac:dyDescent="0.2">
      <c r="D393">
        <f t="shared" si="63"/>
        <v>370</v>
      </c>
      <c r="E393" s="1">
        <f t="shared" si="64"/>
        <v>-42.424364834141869</v>
      </c>
      <c r="F393" s="1">
        <f t="shared" si="65"/>
        <v>-43.000978198445864</v>
      </c>
      <c r="G393" s="1">
        <f t="shared" si="62"/>
        <v>2.1130630313224705E-19</v>
      </c>
      <c r="H393" s="1">
        <f t="shared" si="55"/>
        <v>2.1890885795393631E-20</v>
      </c>
      <c r="I393">
        <f t="shared" si="56"/>
        <v>8</v>
      </c>
      <c r="J393">
        <f t="shared" si="57"/>
        <v>360</v>
      </c>
      <c r="K393" s="5">
        <f t="shared" si="58"/>
        <v>0</v>
      </c>
      <c r="L393">
        <f t="shared" si="59"/>
        <v>53.4</v>
      </c>
      <c r="M393">
        <f t="shared" si="60"/>
        <v>1</v>
      </c>
      <c r="N393">
        <f t="shared" si="61"/>
        <v>0</v>
      </c>
    </row>
    <row r="394" spans="4:14" x14ac:dyDescent="0.2">
      <c r="D394">
        <f t="shared" si="63"/>
        <v>371</v>
      </c>
      <c r="E394" s="1">
        <f t="shared" si="64"/>
        <v>-42.540898650397821</v>
      </c>
      <c r="F394" s="1">
        <f t="shared" si="65"/>
        <v>-43.117512014701816</v>
      </c>
      <c r="G394" s="1">
        <f t="shared" si="62"/>
        <v>1.8806260978769974E-19</v>
      </c>
      <c r="H394" s="1">
        <f t="shared" si="55"/>
        <v>1.9482888357900316E-20</v>
      </c>
      <c r="I394">
        <f t="shared" si="56"/>
        <v>8</v>
      </c>
      <c r="J394">
        <f t="shared" si="57"/>
        <v>361</v>
      </c>
      <c r="K394" s="5">
        <f t="shared" si="58"/>
        <v>0</v>
      </c>
      <c r="L394">
        <f t="shared" si="59"/>
        <v>53.4</v>
      </c>
      <c r="M394">
        <f t="shared" si="60"/>
        <v>1</v>
      </c>
      <c r="N394">
        <f t="shared" si="61"/>
        <v>0</v>
      </c>
    </row>
    <row r="395" spans="4:14" x14ac:dyDescent="0.2">
      <c r="D395">
        <f t="shared" si="63"/>
        <v>372</v>
      </c>
      <c r="E395" s="1">
        <f t="shared" si="64"/>
        <v>-42.657432466653773</v>
      </c>
      <c r="F395" s="1">
        <f t="shared" si="65"/>
        <v>-43.234045830957768</v>
      </c>
      <c r="G395" s="1">
        <f t="shared" si="62"/>
        <v>1.6737572271105266E-19</v>
      </c>
      <c r="H395" s="1">
        <f t="shared" si="55"/>
        <v>1.7339770638531271E-20</v>
      </c>
      <c r="I395">
        <f t="shared" si="56"/>
        <v>8</v>
      </c>
      <c r="J395">
        <f t="shared" si="57"/>
        <v>362</v>
      </c>
      <c r="K395" s="5">
        <f t="shared" si="58"/>
        <v>0</v>
      </c>
      <c r="L395">
        <f t="shared" si="59"/>
        <v>53.4</v>
      </c>
      <c r="M395">
        <f t="shared" si="60"/>
        <v>1</v>
      </c>
      <c r="N395">
        <f t="shared" si="61"/>
        <v>0</v>
      </c>
    </row>
    <row r="396" spans="4:14" x14ac:dyDescent="0.2">
      <c r="D396">
        <f t="shared" si="63"/>
        <v>373</v>
      </c>
      <c r="E396" s="1">
        <f t="shared" si="64"/>
        <v>-42.773966282909726</v>
      </c>
      <c r="F396" s="1">
        <f t="shared" si="65"/>
        <v>-43.350579647213721</v>
      </c>
      <c r="G396" s="1">
        <f t="shared" si="62"/>
        <v>1.4896439321283679E-19</v>
      </c>
      <c r="H396" s="1">
        <f t="shared" si="55"/>
        <v>1.5432395868292822E-20</v>
      </c>
      <c r="I396">
        <f t="shared" si="56"/>
        <v>8</v>
      </c>
      <c r="J396">
        <f t="shared" si="57"/>
        <v>363</v>
      </c>
      <c r="K396" s="5">
        <f t="shared" si="58"/>
        <v>0</v>
      </c>
      <c r="L396">
        <f t="shared" si="59"/>
        <v>53.4</v>
      </c>
      <c r="M396">
        <f t="shared" si="60"/>
        <v>1</v>
      </c>
      <c r="N396">
        <f t="shared" si="61"/>
        <v>0</v>
      </c>
    </row>
    <row r="397" spans="4:14" x14ac:dyDescent="0.2">
      <c r="D397">
        <f t="shared" si="63"/>
        <v>374</v>
      </c>
      <c r="E397" s="1">
        <f t="shared" si="64"/>
        <v>-42.890500099165678</v>
      </c>
      <c r="F397" s="1">
        <f t="shared" si="65"/>
        <v>-43.467113463469673</v>
      </c>
      <c r="G397" s="1">
        <f t="shared" si="62"/>
        <v>1.3257830995942465E-19</v>
      </c>
      <c r="H397" s="1">
        <f t="shared" si="55"/>
        <v>1.3734832322780602E-20</v>
      </c>
      <c r="I397">
        <f t="shared" si="56"/>
        <v>8</v>
      </c>
      <c r="J397">
        <f t="shared" si="57"/>
        <v>364</v>
      </c>
      <c r="K397" s="5">
        <f t="shared" si="58"/>
        <v>0</v>
      </c>
      <c r="L397">
        <f t="shared" si="59"/>
        <v>53.4</v>
      </c>
      <c r="M397">
        <f t="shared" si="60"/>
        <v>1</v>
      </c>
      <c r="N397">
        <f t="shared" si="61"/>
        <v>0</v>
      </c>
    </row>
    <row r="398" spans="4:14" x14ac:dyDescent="0.2">
      <c r="D398">
        <f t="shared" si="63"/>
        <v>375</v>
      </c>
      <c r="E398" s="1">
        <f t="shared" si="64"/>
        <v>-43.00703391542163</v>
      </c>
      <c r="F398" s="1">
        <f t="shared" si="65"/>
        <v>-43.583647279725625</v>
      </c>
      <c r="G398" s="1">
        <f t="shared" si="62"/>
        <v>1.1799469586388786E-19</v>
      </c>
      <c r="H398" s="1">
        <f t="shared" si="55"/>
        <v>1.2224000767274729E-20</v>
      </c>
      <c r="I398">
        <f t="shared" si="56"/>
        <v>8</v>
      </c>
      <c r="J398">
        <f t="shared" si="57"/>
        <v>365</v>
      </c>
      <c r="K398" s="5">
        <f t="shared" si="58"/>
        <v>0</v>
      </c>
      <c r="L398">
        <f t="shared" si="59"/>
        <v>53.4</v>
      </c>
      <c r="M398">
        <f t="shared" si="60"/>
        <v>1</v>
      </c>
      <c r="N398">
        <f t="shared" si="61"/>
        <v>0</v>
      </c>
    </row>
    <row r="399" spans="4:14" x14ac:dyDescent="0.2">
      <c r="D399">
        <f t="shared" si="63"/>
        <v>376</v>
      </c>
      <c r="E399" s="1">
        <f t="shared" si="64"/>
        <v>-43.123567731677582</v>
      </c>
      <c r="F399" s="1">
        <f t="shared" si="65"/>
        <v>-43.700181095981577</v>
      </c>
      <c r="G399" s="1">
        <f t="shared" si="62"/>
        <v>1.0501527931886014E-19</v>
      </c>
      <c r="H399" s="1">
        <f t="shared" si="55"/>
        <v>1.0879360682874502E-20</v>
      </c>
      <c r="I399">
        <f t="shared" si="56"/>
        <v>8</v>
      </c>
      <c r="J399">
        <f t="shared" si="57"/>
        <v>366</v>
      </c>
      <c r="K399" s="5">
        <f t="shared" si="58"/>
        <v>0</v>
      </c>
      <c r="L399">
        <f t="shared" si="59"/>
        <v>53.4</v>
      </c>
      <c r="M399">
        <f t="shared" si="60"/>
        <v>1</v>
      </c>
      <c r="N399">
        <f t="shared" si="61"/>
        <v>0</v>
      </c>
    </row>
    <row r="400" spans="4:14" x14ac:dyDescent="0.2">
      <c r="D400">
        <f t="shared" si="63"/>
        <v>377</v>
      </c>
      <c r="E400" s="1">
        <f t="shared" si="64"/>
        <v>-43.240101547933534</v>
      </c>
      <c r="F400" s="1">
        <f t="shared" si="65"/>
        <v>-43.816714912237529</v>
      </c>
      <c r="G400" s="1">
        <f t="shared" si="62"/>
        <v>9.346359859378546E-20</v>
      </c>
      <c r="H400" s="1">
        <f t="shared" si="55"/>
        <v>9.6826310077583005E-21</v>
      </c>
      <c r="I400">
        <f t="shared" si="56"/>
        <v>8</v>
      </c>
      <c r="J400">
        <f t="shared" si="57"/>
        <v>367</v>
      </c>
      <c r="K400" s="5">
        <f t="shared" si="58"/>
        <v>0</v>
      </c>
      <c r="L400">
        <f t="shared" si="59"/>
        <v>53.4</v>
      </c>
      <c r="M400">
        <f t="shared" si="60"/>
        <v>1</v>
      </c>
      <c r="N400">
        <f t="shared" si="61"/>
        <v>0</v>
      </c>
    </row>
    <row r="401" spans="4:14" x14ac:dyDescent="0.2">
      <c r="D401">
        <f t="shared" si="63"/>
        <v>378</v>
      </c>
      <c r="E401" s="1">
        <f t="shared" si="64"/>
        <v>-43.356635364189486</v>
      </c>
      <c r="F401" s="1">
        <f t="shared" si="65"/>
        <v>-43.933248728493481</v>
      </c>
      <c r="G401" s="1">
        <f t="shared" si="62"/>
        <v>8.3182602748469003E-20</v>
      </c>
      <c r="H401" s="1">
        <f t="shared" si="55"/>
        <v>8.6175415969048822E-21</v>
      </c>
      <c r="I401">
        <f t="shared" si="56"/>
        <v>8</v>
      </c>
      <c r="J401">
        <f t="shared" si="57"/>
        <v>368</v>
      </c>
      <c r="K401" s="5">
        <f t="shared" si="58"/>
        <v>0</v>
      </c>
      <c r="L401">
        <f t="shared" si="59"/>
        <v>53.4</v>
      </c>
      <c r="M401">
        <f t="shared" si="60"/>
        <v>1</v>
      </c>
      <c r="N401">
        <f t="shared" si="61"/>
        <v>0</v>
      </c>
    </row>
    <row r="402" spans="4:14" x14ac:dyDescent="0.2">
      <c r="D402">
        <f t="shared" si="63"/>
        <v>379</v>
      </c>
      <c r="E402" s="1">
        <f t="shared" si="64"/>
        <v>-43.473169180445439</v>
      </c>
      <c r="F402" s="1">
        <f t="shared" si="65"/>
        <v>-44.049782544749434</v>
      </c>
      <c r="G402" s="1">
        <f t="shared" si="62"/>
        <v>7.4032516446137365E-20</v>
      </c>
      <c r="H402" s="1">
        <f t="shared" si="55"/>
        <v>7.6696120212453393E-21</v>
      </c>
      <c r="I402">
        <f t="shared" si="56"/>
        <v>8</v>
      </c>
      <c r="J402">
        <f t="shared" si="57"/>
        <v>369</v>
      </c>
      <c r="K402" s="5">
        <f t="shared" si="58"/>
        <v>0</v>
      </c>
      <c r="L402">
        <f t="shared" si="59"/>
        <v>53.4</v>
      </c>
      <c r="M402">
        <f t="shared" si="60"/>
        <v>1</v>
      </c>
      <c r="N402">
        <f t="shared" si="61"/>
        <v>0</v>
      </c>
    </row>
    <row r="403" spans="4:14" x14ac:dyDescent="0.2">
      <c r="D403">
        <f t="shared" si="63"/>
        <v>380</v>
      </c>
      <c r="E403" s="1">
        <f t="shared" si="64"/>
        <v>-43.589702996701391</v>
      </c>
      <c r="F403" s="1">
        <f t="shared" si="65"/>
        <v>-44.166316361005386</v>
      </c>
      <c r="G403" s="1">
        <f t="shared" si="62"/>
        <v>6.5888939637062222E-20</v>
      </c>
      <c r="H403" s="1">
        <f t="shared" si="55"/>
        <v>6.8259546989083493E-21</v>
      </c>
      <c r="I403">
        <f t="shared" si="56"/>
        <v>8</v>
      </c>
      <c r="J403">
        <f t="shared" si="57"/>
        <v>370</v>
      </c>
      <c r="K403" s="5">
        <f t="shared" si="58"/>
        <v>0</v>
      </c>
      <c r="L403">
        <f t="shared" si="59"/>
        <v>53.4</v>
      </c>
      <c r="M403">
        <f t="shared" si="60"/>
        <v>1</v>
      </c>
      <c r="N403">
        <f t="shared" si="61"/>
        <v>0</v>
      </c>
    </row>
    <row r="404" spans="4:14" x14ac:dyDescent="0.2">
      <c r="D404">
        <f t="shared" si="63"/>
        <v>381</v>
      </c>
      <c r="E404" s="1">
        <f t="shared" si="64"/>
        <v>-43.706236812957343</v>
      </c>
      <c r="F404" s="1">
        <f t="shared" si="65"/>
        <v>-44.282850177261338</v>
      </c>
      <c r="G404" s="1">
        <f t="shared" si="62"/>
        <v>5.8641156276985341E-20</v>
      </c>
      <c r="H404" s="1">
        <f t="shared" si="55"/>
        <v>6.0750996820284265E-21</v>
      </c>
      <c r="I404">
        <f t="shared" si="56"/>
        <v>8</v>
      </c>
      <c r="J404">
        <f t="shared" si="57"/>
        <v>371</v>
      </c>
      <c r="K404" s="5">
        <f t="shared" si="58"/>
        <v>0</v>
      </c>
      <c r="L404">
        <f t="shared" si="59"/>
        <v>53.4</v>
      </c>
      <c r="M404">
        <f t="shared" si="60"/>
        <v>1</v>
      </c>
      <c r="N404">
        <f t="shared" si="61"/>
        <v>0</v>
      </c>
    </row>
    <row r="405" spans="4:14" x14ac:dyDescent="0.2">
      <c r="D405">
        <f t="shared" si="63"/>
        <v>382</v>
      </c>
      <c r="E405" s="1">
        <f t="shared" si="64"/>
        <v>-43.822770629213295</v>
      </c>
      <c r="F405" s="1">
        <f t="shared" si="65"/>
        <v>-44.39938399351729</v>
      </c>
      <c r="G405" s="1">
        <f t="shared" si="62"/>
        <v>5.2190629086516917E-20</v>
      </c>
      <c r="H405" s="1">
        <f t="shared" si="55"/>
        <v>5.4068387170052963E-21</v>
      </c>
      <c r="I405">
        <f t="shared" si="56"/>
        <v>8</v>
      </c>
      <c r="J405">
        <f t="shared" si="57"/>
        <v>372</v>
      </c>
      <c r="K405" s="5">
        <f t="shared" si="58"/>
        <v>0</v>
      </c>
      <c r="L405">
        <f t="shared" si="59"/>
        <v>53.4</v>
      </c>
      <c r="M405">
        <f t="shared" si="60"/>
        <v>1</v>
      </c>
      <c r="N405">
        <f t="shared" si="61"/>
        <v>0</v>
      </c>
    </row>
    <row r="406" spans="4:14" x14ac:dyDescent="0.2">
      <c r="D406">
        <f t="shared" si="63"/>
        <v>383</v>
      </c>
      <c r="E406" s="1">
        <f t="shared" si="64"/>
        <v>-43.939304445469247</v>
      </c>
      <c r="F406" s="1">
        <f t="shared" si="65"/>
        <v>-44.515917809773242</v>
      </c>
      <c r="G406" s="1">
        <f t="shared" si="62"/>
        <v>4.6449659887000027E-20</v>
      </c>
      <c r="H406" s="1">
        <f t="shared" si="55"/>
        <v>4.8120864581347107E-21</v>
      </c>
      <c r="I406">
        <f t="shared" si="56"/>
        <v>8</v>
      </c>
      <c r="J406">
        <f t="shared" si="57"/>
        <v>373</v>
      </c>
      <c r="K406" s="5">
        <f t="shared" si="58"/>
        <v>0</v>
      </c>
      <c r="L406">
        <f t="shared" si="59"/>
        <v>53.4</v>
      </c>
      <c r="M406">
        <f t="shared" si="60"/>
        <v>1</v>
      </c>
      <c r="N406">
        <f t="shared" si="61"/>
        <v>0</v>
      </c>
    </row>
    <row r="407" spans="4:14" x14ac:dyDescent="0.2">
      <c r="D407">
        <f t="shared" si="63"/>
        <v>384</v>
      </c>
      <c r="E407" s="1">
        <f t="shared" si="64"/>
        <v>-44.055838261725199</v>
      </c>
      <c r="F407" s="1">
        <f t="shared" si="65"/>
        <v>-44.632451626029194</v>
      </c>
      <c r="G407" s="1">
        <f t="shared" si="62"/>
        <v>4.1340197299429998E-20</v>
      </c>
      <c r="H407" s="1">
        <f t="shared" ref="H407:H470" si="66">G407/$G$21</f>
        <v>4.2827569477398895E-21</v>
      </c>
      <c r="I407">
        <f t="shared" ref="I407:I470" si="67">IF($F$11&lt;=D407, IF(D407&lt;=$A$15,D407-$F$11,$C$11),0)</f>
        <v>8</v>
      </c>
      <c r="J407">
        <f t="shared" ref="J407:J470" si="68">IF(D407&lt;=$A$15,0,D407-$A$15)</f>
        <v>374</v>
      </c>
      <c r="K407" s="5">
        <f t="shared" ref="K407:K470" si="69">IF(D407&lt;$F$11,H407,0)</f>
        <v>0</v>
      </c>
      <c r="L407">
        <f t="shared" ref="L407:L470" si="70">IF(D407&lt;$A$15,$D$11,$D$11*(1-$H$11))</f>
        <v>53.4</v>
      </c>
      <c r="M407">
        <f t="shared" ref="M407:M470" si="71">IF(D407&lt;$A$15,0,1)</f>
        <v>1</v>
      </c>
      <c r="N407">
        <f t="shared" ref="N407:N470" si="72">IF(SUM(I407:J407)&lt;=($G$11/60*$F$11/($E$11/60)),1,0)</f>
        <v>0</v>
      </c>
    </row>
    <row r="408" spans="4:14" x14ac:dyDescent="0.2">
      <c r="D408">
        <f t="shared" si="63"/>
        <v>385</v>
      </c>
      <c r="E408" s="1">
        <f t="shared" si="64"/>
        <v>-44.172372077981152</v>
      </c>
      <c r="F408" s="1">
        <f t="shared" si="65"/>
        <v>-44.748985442285147</v>
      </c>
      <c r="G408" s="1">
        <f t="shared" ref="G408:G471" si="73">EXP(F408)</f>
        <v>3.6792775596492674E-20</v>
      </c>
      <c r="H408" s="1">
        <f t="shared" si="66"/>
        <v>3.8116536834884993E-21</v>
      </c>
      <c r="I408">
        <f t="shared" si="67"/>
        <v>8</v>
      </c>
      <c r="J408">
        <f t="shared" si="68"/>
        <v>375</v>
      </c>
      <c r="K408" s="5">
        <f t="shared" si="69"/>
        <v>0</v>
      </c>
      <c r="L408">
        <f t="shared" si="70"/>
        <v>53.4</v>
      </c>
      <c r="M408">
        <f t="shared" si="71"/>
        <v>1</v>
      </c>
      <c r="N408">
        <f t="shared" si="72"/>
        <v>0</v>
      </c>
    </row>
    <row r="409" spans="4:14" x14ac:dyDescent="0.2">
      <c r="D409">
        <f t="shared" ref="D409:D472" si="74">1+D408</f>
        <v>386</v>
      </c>
      <c r="E409" s="1">
        <f t="shared" ref="E409:E472" si="75">IF($H$11=1,IF(D409&lt;=$A$15, E408+LN($D$11)-LN(60/$E$11)-LN(MIN(D409,$F$11)), E408-LN(60/$E$11)-LN(MIN(D409,$F$11))), IF(D409&lt;=$A$15, E408+LN($D$11)-LN(60/$E$11)-LN(MIN(D409,$F$11)), E408+LN($D$11)+LN(1-$H$11)-LN(60/$E$11)-LN(MIN(D409,$F$11))))</f>
        <v>-44.288905894237104</v>
      </c>
      <c r="F409" s="1">
        <f t="shared" ref="F409:F472" si="76">E409-$E$21</f>
        <v>-44.865519258541099</v>
      </c>
      <c r="G409" s="1">
        <f t="shared" si="73"/>
        <v>3.2745570280878463E-20</v>
      </c>
      <c r="H409" s="1">
        <f t="shared" si="66"/>
        <v>3.3923717783047629E-21</v>
      </c>
      <c r="I409">
        <f t="shared" si="67"/>
        <v>8</v>
      </c>
      <c r="J409">
        <f t="shared" si="68"/>
        <v>376</v>
      </c>
      <c r="K409" s="5">
        <f t="shared" si="69"/>
        <v>0</v>
      </c>
      <c r="L409">
        <f t="shared" si="70"/>
        <v>53.4</v>
      </c>
      <c r="M409">
        <f t="shared" si="71"/>
        <v>1</v>
      </c>
      <c r="N409">
        <f t="shared" si="72"/>
        <v>0</v>
      </c>
    </row>
    <row r="410" spans="4:14" x14ac:dyDescent="0.2">
      <c r="D410">
        <f t="shared" si="74"/>
        <v>387</v>
      </c>
      <c r="E410" s="1">
        <f t="shared" si="75"/>
        <v>-44.405439710493056</v>
      </c>
      <c r="F410" s="1">
        <f t="shared" si="76"/>
        <v>-44.982053074797051</v>
      </c>
      <c r="G410" s="1">
        <f t="shared" si="73"/>
        <v>2.9143557549981808E-20</v>
      </c>
      <c r="H410" s="1">
        <f t="shared" si="66"/>
        <v>3.0192108826912361E-21</v>
      </c>
      <c r="I410">
        <f t="shared" si="67"/>
        <v>8</v>
      </c>
      <c r="J410">
        <f t="shared" si="68"/>
        <v>377</v>
      </c>
      <c r="K410" s="5">
        <f t="shared" si="69"/>
        <v>0</v>
      </c>
      <c r="L410">
        <f t="shared" si="70"/>
        <v>53.4</v>
      </c>
      <c r="M410">
        <f t="shared" si="71"/>
        <v>1</v>
      </c>
      <c r="N410">
        <f t="shared" si="72"/>
        <v>0</v>
      </c>
    </row>
    <row r="411" spans="4:14" x14ac:dyDescent="0.2">
      <c r="D411">
        <f t="shared" si="74"/>
        <v>388</v>
      </c>
      <c r="E411" s="1">
        <f t="shared" si="75"/>
        <v>-44.521973526749008</v>
      </c>
      <c r="F411" s="1">
        <f t="shared" si="76"/>
        <v>-45.098586891053003</v>
      </c>
      <c r="G411" s="1">
        <f t="shared" si="73"/>
        <v>2.5937766219483796E-20</v>
      </c>
      <c r="H411" s="1">
        <f t="shared" si="66"/>
        <v>2.6870976855951987E-21</v>
      </c>
      <c r="I411">
        <f t="shared" si="67"/>
        <v>8</v>
      </c>
      <c r="J411">
        <f t="shared" si="68"/>
        <v>378</v>
      </c>
      <c r="K411" s="5">
        <f t="shared" si="69"/>
        <v>0</v>
      </c>
      <c r="L411">
        <f t="shared" si="70"/>
        <v>53.4</v>
      </c>
      <c r="M411">
        <f t="shared" si="71"/>
        <v>1</v>
      </c>
      <c r="N411">
        <f t="shared" si="72"/>
        <v>0</v>
      </c>
    </row>
    <row r="412" spans="4:14" x14ac:dyDescent="0.2">
      <c r="D412">
        <f t="shared" si="74"/>
        <v>389</v>
      </c>
      <c r="E412" s="1">
        <f t="shared" si="75"/>
        <v>-44.63850734300496</v>
      </c>
      <c r="F412" s="1">
        <f t="shared" si="76"/>
        <v>-45.215120707308955</v>
      </c>
      <c r="G412" s="1">
        <f t="shared" si="73"/>
        <v>2.3084611935340563E-20</v>
      </c>
      <c r="H412" s="1">
        <f t="shared" si="66"/>
        <v>2.3915169401797254E-21</v>
      </c>
      <c r="I412">
        <f t="shared" si="67"/>
        <v>8</v>
      </c>
      <c r="J412">
        <f t="shared" si="68"/>
        <v>379</v>
      </c>
      <c r="K412" s="5">
        <f t="shared" si="69"/>
        <v>0</v>
      </c>
      <c r="L412">
        <f t="shared" si="70"/>
        <v>53.4</v>
      </c>
      <c r="M412">
        <f t="shared" si="71"/>
        <v>1</v>
      </c>
      <c r="N412">
        <f t="shared" si="72"/>
        <v>0</v>
      </c>
    </row>
    <row r="413" spans="4:14" x14ac:dyDescent="0.2">
      <c r="D413">
        <f t="shared" si="74"/>
        <v>390</v>
      </c>
      <c r="E413" s="1">
        <f t="shared" si="75"/>
        <v>-44.755041159260912</v>
      </c>
      <c r="F413" s="1">
        <f t="shared" si="76"/>
        <v>-45.331654523564907</v>
      </c>
      <c r="G413" s="1">
        <f t="shared" si="73"/>
        <v>2.054530462245309E-20</v>
      </c>
      <c r="H413" s="1">
        <f t="shared" si="66"/>
        <v>2.1284500767599544E-21</v>
      </c>
      <c r="I413">
        <f t="shared" si="67"/>
        <v>8</v>
      </c>
      <c r="J413">
        <f t="shared" si="68"/>
        <v>380</v>
      </c>
      <c r="K413" s="5">
        <f t="shared" si="69"/>
        <v>0</v>
      </c>
      <c r="L413">
        <f t="shared" si="70"/>
        <v>53.4</v>
      </c>
      <c r="M413">
        <f t="shared" si="71"/>
        <v>1</v>
      </c>
      <c r="N413">
        <f t="shared" si="72"/>
        <v>0</v>
      </c>
    </row>
    <row r="414" spans="4:14" x14ac:dyDescent="0.2">
      <c r="D414">
        <f t="shared" si="74"/>
        <v>391</v>
      </c>
      <c r="E414" s="1">
        <f t="shared" si="75"/>
        <v>-44.871574975516864</v>
      </c>
      <c r="F414" s="1">
        <f t="shared" si="76"/>
        <v>-45.448188339820859</v>
      </c>
      <c r="G414" s="1">
        <f t="shared" si="73"/>
        <v>1.8285321113983237E-20</v>
      </c>
      <c r="H414" s="1">
        <f t="shared" si="66"/>
        <v>1.8943205683163581E-21</v>
      </c>
      <c r="I414">
        <f t="shared" si="67"/>
        <v>8</v>
      </c>
      <c r="J414">
        <f t="shared" si="68"/>
        <v>381</v>
      </c>
      <c r="K414" s="5">
        <f t="shared" si="69"/>
        <v>0</v>
      </c>
      <c r="L414">
        <f t="shared" si="70"/>
        <v>53.4</v>
      </c>
      <c r="M414">
        <f t="shared" si="71"/>
        <v>1</v>
      </c>
      <c r="N414">
        <f t="shared" si="72"/>
        <v>0</v>
      </c>
    </row>
    <row r="415" spans="4:14" x14ac:dyDescent="0.2">
      <c r="D415">
        <f t="shared" si="74"/>
        <v>392</v>
      </c>
      <c r="E415" s="1">
        <f t="shared" si="75"/>
        <v>-44.988108791772817</v>
      </c>
      <c r="F415" s="1">
        <f t="shared" si="76"/>
        <v>-45.564722156076812</v>
      </c>
      <c r="G415" s="1">
        <f t="shared" si="73"/>
        <v>1.6273935791445071E-20</v>
      </c>
      <c r="H415" s="1">
        <f t="shared" si="66"/>
        <v>1.6859453058015576E-21</v>
      </c>
      <c r="I415">
        <f t="shared" si="67"/>
        <v>8</v>
      </c>
      <c r="J415">
        <f t="shared" si="68"/>
        <v>382</v>
      </c>
      <c r="K415" s="5">
        <f t="shared" si="69"/>
        <v>0</v>
      </c>
      <c r="L415">
        <f t="shared" si="70"/>
        <v>53.4</v>
      </c>
      <c r="M415">
        <f t="shared" si="71"/>
        <v>1</v>
      </c>
      <c r="N415">
        <f t="shared" si="72"/>
        <v>0</v>
      </c>
    </row>
    <row r="416" spans="4:14" x14ac:dyDescent="0.2">
      <c r="D416">
        <f t="shared" si="74"/>
        <v>393</v>
      </c>
      <c r="E416" s="1">
        <f t="shared" si="75"/>
        <v>-45.104642608028769</v>
      </c>
      <c r="F416" s="1">
        <f t="shared" si="76"/>
        <v>-45.681255972332764</v>
      </c>
      <c r="G416" s="1">
        <f t="shared" si="73"/>
        <v>1.4483802854386103E-20</v>
      </c>
      <c r="H416" s="1">
        <f t="shared" si="66"/>
        <v>1.5004913221633854E-21</v>
      </c>
      <c r="I416">
        <f t="shared" si="67"/>
        <v>8</v>
      </c>
      <c r="J416">
        <f t="shared" si="68"/>
        <v>383</v>
      </c>
      <c r="K416" s="5">
        <f t="shared" si="69"/>
        <v>0</v>
      </c>
      <c r="L416">
        <f t="shared" si="70"/>
        <v>53.4</v>
      </c>
      <c r="M416">
        <f t="shared" si="71"/>
        <v>1</v>
      </c>
      <c r="N416">
        <f t="shared" si="72"/>
        <v>0</v>
      </c>
    </row>
    <row r="417" spans="4:14" x14ac:dyDescent="0.2">
      <c r="D417">
        <f t="shared" si="74"/>
        <v>394</v>
      </c>
      <c r="E417" s="1">
        <f t="shared" si="75"/>
        <v>-45.221176424284721</v>
      </c>
      <c r="F417" s="1">
        <f t="shared" si="76"/>
        <v>-45.797789788588716</v>
      </c>
      <c r="G417" s="1">
        <f t="shared" si="73"/>
        <v>1.2890584540403624E-20</v>
      </c>
      <c r="H417" s="1">
        <f t="shared" si="66"/>
        <v>1.335437276725412E-21</v>
      </c>
      <c r="I417">
        <f t="shared" si="67"/>
        <v>8</v>
      </c>
      <c r="J417">
        <f t="shared" si="68"/>
        <v>384</v>
      </c>
      <c r="K417" s="5">
        <f t="shared" si="69"/>
        <v>0</v>
      </c>
      <c r="L417">
        <f t="shared" si="70"/>
        <v>53.4</v>
      </c>
      <c r="M417">
        <f t="shared" si="71"/>
        <v>1</v>
      </c>
      <c r="N417">
        <f t="shared" si="72"/>
        <v>0</v>
      </c>
    </row>
    <row r="418" spans="4:14" x14ac:dyDescent="0.2">
      <c r="D418">
        <f t="shared" si="74"/>
        <v>395</v>
      </c>
      <c r="E418" s="1">
        <f t="shared" si="75"/>
        <v>-45.337710240540673</v>
      </c>
      <c r="F418" s="1">
        <f t="shared" si="76"/>
        <v>-45.914323604844668</v>
      </c>
      <c r="G418" s="1">
        <f t="shared" si="73"/>
        <v>1.1472620240959218E-20</v>
      </c>
      <c r="H418" s="1">
        <f t="shared" si="66"/>
        <v>1.1885391762856161E-21</v>
      </c>
      <c r="I418">
        <f t="shared" si="67"/>
        <v>8</v>
      </c>
      <c r="J418">
        <f t="shared" si="68"/>
        <v>385</v>
      </c>
      <c r="K418" s="5">
        <f t="shared" si="69"/>
        <v>0</v>
      </c>
      <c r="L418">
        <f t="shared" si="70"/>
        <v>53.4</v>
      </c>
      <c r="M418">
        <f t="shared" si="71"/>
        <v>1</v>
      </c>
      <c r="N418">
        <f t="shared" si="72"/>
        <v>0</v>
      </c>
    </row>
    <row r="419" spans="4:14" x14ac:dyDescent="0.2">
      <c r="D419">
        <f t="shared" si="74"/>
        <v>396</v>
      </c>
      <c r="E419" s="1">
        <f t="shared" si="75"/>
        <v>-45.454244056796625</v>
      </c>
      <c r="F419" s="1">
        <f t="shared" si="76"/>
        <v>-46.03085742110062</v>
      </c>
      <c r="G419" s="1">
        <f t="shared" si="73"/>
        <v>1.0210632014453699E-20</v>
      </c>
      <c r="H419" s="1">
        <f t="shared" si="66"/>
        <v>1.0577998668941977E-21</v>
      </c>
      <c r="I419">
        <f t="shared" si="67"/>
        <v>8</v>
      </c>
      <c r="J419">
        <f t="shared" si="68"/>
        <v>386</v>
      </c>
      <c r="K419" s="5">
        <f t="shared" si="69"/>
        <v>0</v>
      </c>
      <c r="L419">
        <f t="shared" si="70"/>
        <v>53.4</v>
      </c>
      <c r="M419">
        <f t="shared" si="71"/>
        <v>1</v>
      </c>
      <c r="N419">
        <f t="shared" si="72"/>
        <v>0</v>
      </c>
    </row>
    <row r="420" spans="4:14" x14ac:dyDescent="0.2">
      <c r="D420">
        <f t="shared" si="74"/>
        <v>397</v>
      </c>
      <c r="E420" s="1">
        <f t="shared" si="75"/>
        <v>-45.570777873052577</v>
      </c>
      <c r="F420" s="1">
        <f t="shared" si="76"/>
        <v>-46.147391237356572</v>
      </c>
      <c r="G420" s="1">
        <f t="shared" si="73"/>
        <v>9.0874624928637848E-21</v>
      </c>
      <c r="H420" s="1">
        <f t="shared" si="66"/>
        <v>9.4144188153583526E-22</v>
      </c>
      <c r="I420">
        <f t="shared" si="67"/>
        <v>8</v>
      </c>
      <c r="J420">
        <f t="shared" si="68"/>
        <v>387</v>
      </c>
      <c r="K420" s="5">
        <f t="shared" si="69"/>
        <v>0</v>
      </c>
      <c r="L420">
        <f t="shared" si="70"/>
        <v>53.4</v>
      </c>
      <c r="M420">
        <f t="shared" si="71"/>
        <v>1</v>
      </c>
      <c r="N420">
        <f t="shared" si="72"/>
        <v>0</v>
      </c>
    </row>
    <row r="421" spans="4:14" x14ac:dyDescent="0.2">
      <c r="D421">
        <f t="shared" si="74"/>
        <v>398</v>
      </c>
      <c r="E421" s="1">
        <f t="shared" si="75"/>
        <v>-45.68731168930853</v>
      </c>
      <c r="F421" s="1">
        <f t="shared" si="76"/>
        <v>-46.263925053612525</v>
      </c>
      <c r="G421" s="1">
        <f t="shared" si="73"/>
        <v>8.0878416186487637E-21</v>
      </c>
      <c r="H421" s="1">
        <f t="shared" si="66"/>
        <v>8.3788327456689286E-22</v>
      </c>
      <c r="I421">
        <f t="shared" si="67"/>
        <v>8</v>
      </c>
      <c r="J421">
        <f t="shared" si="68"/>
        <v>388</v>
      </c>
      <c r="K421" s="5">
        <f t="shared" si="69"/>
        <v>0</v>
      </c>
      <c r="L421">
        <f t="shared" si="70"/>
        <v>53.4</v>
      </c>
      <c r="M421">
        <f t="shared" si="71"/>
        <v>1</v>
      </c>
      <c r="N421">
        <f t="shared" si="72"/>
        <v>0</v>
      </c>
    </row>
    <row r="422" spans="4:14" x14ac:dyDescent="0.2">
      <c r="D422">
        <f t="shared" si="74"/>
        <v>399</v>
      </c>
      <c r="E422" s="1">
        <f t="shared" si="75"/>
        <v>-45.803845505564482</v>
      </c>
      <c r="F422" s="1">
        <f t="shared" si="76"/>
        <v>-46.380458869868477</v>
      </c>
      <c r="G422" s="1">
        <f t="shared" si="73"/>
        <v>7.198179040597395E-21</v>
      </c>
      <c r="H422" s="1">
        <f t="shared" si="66"/>
        <v>7.4571611436453417E-22</v>
      </c>
      <c r="I422">
        <f t="shared" si="67"/>
        <v>8</v>
      </c>
      <c r="J422">
        <f t="shared" si="68"/>
        <v>389</v>
      </c>
      <c r="K422" s="5">
        <f t="shared" si="69"/>
        <v>0</v>
      </c>
      <c r="L422">
        <f t="shared" si="70"/>
        <v>53.4</v>
      </c>
      <c r="M422">
        <f t="shared" si="71"/>
        <v>1</v>
      </c>
      <c r="N422">
        <f t="shared" si="72"/>
        <v>0</v>
      </c>
    </row>
    <row r="423" spans="4:14" x14ac:dyDescent="0.2">
      <c r="D423">
        <f t="shared" si="74"/>
        <v>400</v>
      </c>
      <c r="E423" s="1">
        <f t="shared" si="75"/>
        <v>-45.920379321820434</v>
      </c>
      <c r="F423" s="1">
        <f t="shared" si="76"/>
        <v>-46.496992686124429</v>
      </c>
      <c r="G423" s="1">
        <f t="shared" si="73"/>
        <v>6.4063793461316779E-21</v>
      </c>
      <c r="H423" s="1">
        <f t="shared" si="66"/>
        <v>6.6368734178443501E-22</v>
      </c>
      <c r="I423">
        <f t="shared" si="67"/>
        <v>8</v>
      </c>
      <c r="J423">
        <f t="shared" si="68"/>
        <v>390</v>
      </c>
      <c r="K423" s="5">
        <f t="shared" si="69"/>
        <v>0</v>
      </c>
      <c r="L423">
        <f t="shared" si="70"/>
        <v>53.4</v>
      </c>
      <c r="M423">
        <f t="shared" si="71"/>
        <v>1</v>
      </c>
      <c r="N423">
        <f t="shared" si="72"/>
        <v>0</v>
      </c>
    </row>
    <row r="424" spans="4:14" x14ac:dyDescent="0.2">
      <c r="D424">
        <f t="shared" si="74"/>
        <v>401</v>
      </c>
      <c r="E424" s="1">
        <f t="shared" si="75"/>
        <v>-46.036913138076386</v>
      </c>
      <c r="F424" s="1">
        <f t="shared" si="76"/>
        <v>-46.613526502380381</v>
      </c>
      <c r="G424" s="1">
        <f t="shared" si="73"/>
        <v>5.7016776180571895E-21</v>
      </c>
      <c r="H424" s="1">
        <f t="shared" si="66"/>
        <v>5.9068173418814677E-22</v>
      </c>
      <c r="I424">
        <f t="shared" si="67"/>
        <v>8</v>
      </c>
      <c r="J424">
        <f t="shared" si="68"/>
        <v>391</v>
      </c>
      <c r="K424" s="5">
        <f t="shared" si="69"/>
        <v>0</v>
      </c>
      <c r="L424">
        <f t="shared" si="70"/>
        <v>53.4</v>
      </c>
      <c r="M424">
        <f t="shared" si="71"/>
        <v>1</v>
      </c>
      <c r="N424">
        <f t="shared" si="72"/>
        <v>0</v>
      </c>
    </row>
    <row r="425" spans="4:14" x14ac:dyDescent="0.2">
      <c r="D425">
        <f t="shared" si="74"/>
        <v>402</v>
      </c>
      <c r="E425" s="1">
        <f t="shared" si="75"/>
        <v>-46.153446954332338</v>
      </c>
      <c r="F425" s="1">
        <f t="shared" si="76"/>
        <v>-46.730060318636333</v>
      </c>
      <c r="G425" s="1">
        <f t="shared" si="73"/>
        <v>5.0744930800708955E-21</v>
      </c>
      <c r="H425" s="1">
        <f t="shared" si="66"/>
        <v>5.2570674342745029E-22</v>
      </c>
      <c r="I425">
        <f t="shared" si="67"/>
        <v>8</v>
      </c>
      <c r="J425">
        <f t="shared" si="68"/>
        <v>392</v>
      </c>
      <c r="K425" s="5">
        <f t="shared" si="69"/>
        <v>0</v>
      </c>
      <c r="L425">
        <f t="shared" si="70"/>
        <v>53.4</v>
      </c>
      <c r="M425">
        <f t="shared" si="71"/>
        <v>1</v>
      </c>
      <c r="N425">
        <f t="shared" si="72"/>
        <v>0</v>
      </c>
    </row>
    <row r="426" spans="4:14" x14ac:dyDescent="0.2">
      <c r="D426">
        <f t="shared" si="74"/>
        <v>403</v>
      </c>
      <c r="E426" s="1">
        <f t="shared" si="75"/>
        <v>-46.26998077058829</v>
      </c>
      <c r="F426" s="1">
        <f t="shared" si="76"/>
        <v>-46.846594134892285</v>
      </c>
      <c r="G426" s="1">
        <f t="shared" si="73"/>
        <v>4.5162988412630945E-21</v>
      </c>
      <c r="H426" s="1">
        <f t="shared" si="66"/>
        <v>4.6787900165043053E-22</v>
      </c>
      <c r="I426">
        <f t="shared" si="67"/>
        <v>8</v>
      </c>
      <c r="J426">
        <f t="shared" si="68"/>
        <v>393</v>
      </c>
      <c r="K426" s="5">
        <f t="shared" si="69"/>
        <v>0</v>
      </c>
      <c r="L426">
        <f t="shared" si="70"/>
        <v>53.4</v>
      </c>
      <c r="M426">
        <f t="shared" si="71"/>
        <v>1</v>
      </c>
      <c r="N426">
        <f t="shared" si="72"/>
        <v>0</v>
      </c>
    </row>
    <row r="427" spans="4:14" x14ac:dyDescent="0.2">
      <c r="D427">
        <f t="shared" si="74"/>
        <v>404</v>
      </c>
      <c r="E427" s="1">
        <f t="shared" si="75"/>
        <v>-46.386514586844243</v>
      </c>
      <c r="F427" s="1">
        <f t="shared" si="76"/>
        <v>-46.963127951148238</v>
      </c>
      <c r="G427" s="1">
        <f t="shared" si="73"/>
        <v>4.019505968724151E-21</v>
      </c>
      <c r="H427" s="1">
        <f t="shared" si="66"/>
        <v>4.1641231146888282E-22</v>
      </c>
      <c r="I427">
        <f t="shared" si="67"/>
        <v>8</v>
      </c>
      <c r="J427">
        <f t="shared" si="68"/>
        <v>394</v>
      </c>
      <c r="K427" s="5">
        <f t="shared" si="69"/>
        <v>0</v>
      </c>
      <c r="L427">
        <f t="shared" si="70"/>
        <v>53.4</v>
      </c>
      <c r="M427">
        <f t="shared" si="71"/>
        <v>1</v>
      </c>
      <c r="N427">
        <f t="shared" si="72"/>
        <v>0</v>
      </c>
    </row>
    <row r="428" spans="4:14" x14ac:dyDescent="0.2">
      <c r="D428">
        <f t="shared" si="74"/>
        <v>405</v>
      </c>
      <c r="E428" s="1">
        <f t="shared" si="75"/>
        <v>-46.503048403100195</v>
      </c>
      <c r="F428" s="1">
        <f t="shared" si="76"/>
        <v>-47.07966176740419</v>
      </c>
      <c r="G428" s="1">
        <f t="shared" si="73"/>
        <v>3.5773603121644922E-21</v>
      </c>
      <c r="H428" s="1">
        <f t="shared" si="66"/>
        <v>3.7060695720730548E-22</v>
      </c>
      <c r="I428">
        <f t="shared" si="67"/>
        <v>8</v>
      </c>
      <c r="J428">
        <f t="shared" si="68"/>
        <v>395</v>
      </c>
      <c r="K428" s="5">
        <f t="shared" si="69"/>
        <v>0</v>
      </c>
      <c r="L428">
        <f t="shared" si="70"/>
        <v>53.4</v>
      </c>
      <c r="M428">
        <f t="shared" si="71"/>
        <v>1</v>
      </c>
      <c r="N428">
        <f t="shared" si="72"/>
        <v>0</v>
      </c>
    </row>
    <row r="429" spans="4:14" x14ac:dyDescent="0.2">
      <c r="D429">
        <f t="shared" si="74"/>
        <v>406</v>
      </c>
      <c r="E429" s="1">
        <f t="shared" si="75"/>
        <v>-46.619582219356147</v>
      </c>
      <c r="F429" s="1">
        <f t="shared" si="76"/>
        <v>-47.196195583660142</v>
      </c>
      <c r="G429" s="1">
        <f t="shared" si="73"/>
        <v>3.1838506778263962E-21</v>
      </c>
      <c r="H429" s="1">
        <f t="shared" si="66"/>
        <v>3.2984019191450171E-22</v>
      </c>
      <c r="I429">
        <f t="shared" si="67"/>
        <v>8</v>
      </c>
      <c r="J429">
        <f t="shared" si="68"/>
        <v>396</v>
      </c>
      <c r="K429" s="5">
        <f t="shared" si="69"/>
        <v>0</v>
      </c>
      <c r="L429">
        <f t="shared" si="70"/>
        <v>53.4</v>
      </c>
      <c r="M429">
        <f t="shared" si="71"/>
        <v>1</v>
      </c>
      <c r="N429">
        <f t="shared" si="72"/>
        <v>0</v>
      </c>
    </row>
    <row r="430" spans="4:14" x14ac:dyDescent="0.2">
      <c r="D430">
        <f t="shared" si="74"/>
        <v>407</v>
      </c>
      <c r="E430" s="1">
        <f t="shared" si="75"/>
        <v>-46.736116035612099</v>
      </c>
      <c r="F430" s="1">
        <f t="shared" si="76"/>
        <v>-47.312729399916094</v>
      </c>
      <c r="G430" s="1">
        <f t="shared" si="73"/>
        <v>2.833627103265491E-21</v>
      </c>
      <c r="H430" s="1">
        <f t="shared" si="66"/>
        <v>2.9355777080390635E-22</v>
      </c>
      <c r="I430">
        <f t="shared" si="67"/>
        <v>8</v>
      </c>
      <c r="J430">
        <f t="shared" si="68"/>
        <v>397</v>
      </c>
      <c r="K430" s="5">
        <f t="shared" si="69"/>
        <v>0</v>
      </c>
      <c r="L430">
        <f t="shared" si="70"/>
        <v>53.4</v>
      </c>
      <c r="M430">
        <f t="shared" si="71"/>
        <v>1</v>
      </c>
      <c r="N430">
        <f t="shared" si="72"/>
        <v>0</v>
      </c>
    </row>
    <row r="431" spans="4:14" x14ac:dyDescent="0.2">
      <c r="D431">
        <f t="shared" si="74"/>
        <v>408</v>
      </c>
      <c r="E431" s="1">
        <f t="shared" si="75"/>
        <v>-46.852649851868051</v>
      </c>
      <c r="F431" s="1">
        <f t="shared" si="76"/>
        <v>-47.429263216172046</v>
      </c>
      <c r="G431" s="1">
        <f t="shared" si="73"/>
        <v>2.5219281219062852E-21</v>
      </c>
      <c r="H431" s="1">
        <f t="shared" si="66"/>
        <v>2.6126641601547645E-22</v>
      </c>
      <c r="I431">
        <f t="shared" si="67"/>
        <v>8</v>
      </c>
      <c r="J431">
        <f t="shared" si="68"/>
        <v>398</v>
      </c>
      <c r="K431" s="5">
        <f t="shared" si="69"/>
        <v>0</v>
      </c>
      <c r="L431">
        <f t="shared" si="70"/>
        <v>53.4</v>
      </c>
      <c r="M431">
        <f t="shared" si="71"/>
        <v>1</v>
      </c>
      <c r="N431">
        <f t="shared" si="72"/>
        <v>0</v>
      </c>
    </row>
    <row r="432" spans="4:14" x14ac:dyDescent="0.2">
      <c r="D432">
        <f t="shared" si="74"/>
        <v>409</v>
      </c>
      <c r="E432" s="1">
        <f t="shared" si="75"/>
        <v>-46.969183668124003</v>
      </c>
      <c r="F432" s="1">
        <f t="shared" si="76"/>
        <v>-47.545797032427998</v>
      </c>
      <c r="G432" s="1">
        <f t="shared" si="73"/>
        <v>2.2445160284965927E-21</v>
      </c>
      <c r="H432" s="1">
        <f t="shared" si="66"/>
        <v>2.3252711025377392E-22</v>
      </c>
      <c r="I432">
        <f t="shared" si="67"/>
        <v>8</v>
      </c>
      <c r="J432">
        <f t="shared" si="68"/>
        <v>399</v>
      </c>
      <c r="K432" s="5">
        <f t="shared" si="69"/>
        <v>0</v>
      </c>
      <c r="L432">
        <f t="shared" si="70"/>
        <v>53.4</v>
      </c>
      <c r="M432">
        <f t="shared" si="71"/>
        <v>1</v>
      </c>
      <c r="N432">
        <f t="shared" si="72"/>
        <v>0</v>
      </c>
    </row>
    <row r="433" spans="4:14" x14ac:dyDescent="0.2">
      <c r="D433">
        <f t="shared" si="74"/>
        <v>410</v>
      </c>
      <c r="E433" s="1">
        <f t="shared" si="75"/>
        <v>-47.085717484379956</v>
      </c>
      <c r="F433" s="1">
        <f t="shared" si="76"/>
        <v>-47.662330848683951</v>
      </c>
      <c r="G433" s="1">
        <f t="shared" si="73"/>
        <v>1.9976192653619659E-21</v>
      </c>
      <c r="H433" s="1">
        <f t="shared" si="66"/>
        <v>2.0694912812585864E-22</v>
      </c>
      <c r="I433">
        <f t="shared" si="67"/>
        <v>8</v>
      </c>
      <c r="J433">
        <f t="shared" si="68"/>
        <v>400</v>
      </c>
      <c r="K433" s="5">
        <f t="shared" si="69"/>
        <v>0</v>
      </c>
      <c r="L433">
        <f t="shared" si="70"/>
        <v>53.4</v>
      </c>
      <c r="M433">
        <f t="shared" si="71"/>
        <v>1</v>
      </c>
      <c r="N433">
        <f t="shared" si="72"/>
        <v>0</v>
      </c>
    </row>
    <row r="434" spans="4:14" x14ac:dyDescent="0.2">
      <c r="D434">
        <f t="shared" si="74"/>
        <v>411</v>
      </c>
      <c r="E434" s="1">
        <f t="shared" si="75"/>
        <v>-47.202251300635908</v>
      </c>
      <c r="F434" s="1">
        <f t="shared" si="76"/>
        <v>-47.778864664939903</v>
      </c>
      <c r="G434" s="1">
        <f t="shared" si="73"/>
        <v>1.7778811461721485E-21</v>
      </c>
      <c r="H434" s="1">
        <f t="shared" si="66"/>
        <v>1.8418472403201406E-22</v>
      </c>
      <c r="I434">
        <f t="shared" si="67"/>
        <v>8</v>
      </c>
      <c r="J434">
        <f t="shared" si="68"/>
        <v>401</v>
      </c>
      <c r="K434" s="5">
        <f t="shared" si="69"/>
        <v>0</v>
      </c>
      <c r="L434">
        <f t="shared" si="70"/>
        <v>53.4</v>
      </c>
      <c r="M434">
        <f t="shared" si="71"/>
        <v>1</v>
      </c>
      <c r="N434">
        <f t="shared" si="72"/>
        <v>0</v>
      </c>
    </row>
    <row r="435" spans="4:14" x14ac:dyDescent="0.2">
      <c r="D435">
        <f t="shared" si="74"/>
        <v>412</v>
      </c>
      <c r="E435" s="1">
        <f t="shared" si="75"/>
        <v>-47.31878511689186</v>
      </c>
      <c r="F435" s="1">
        <f t="shared" si="76"/>
        <v>-47.895398481195855</v>
      </c>
      <c r="G435" s="1">
        <f t="shared" si="73"/>
        <v>1.5823142200932113E-21</v>
      </c>
      <c r="H435" s="1">
        <f t="shared" si="66"/>
        <v>1.6392440438849242E-22</v>
      </c>
      <c r="I435">
        <f t="shared" si="67"/>
        <v>8</v>
      </c>
      <c r="J435">
        <f t="shared" si="68"/>
        <v>402</v>
      </c>
      <c r="K435" s="5">
        <f t="shared" si="69"/>
        <v>0</v>
      </c>
      <c r="L435">
        <f t="shared" si="70"/>
        <v>53.4</v>
      </c>
      <c r="M435">
        <f t="shared" si="71"/>
        <v>1</v>
      </c>
      <c r="N435">
        <f t="shared" si="72"/>
        <v>0</v>
      </c>
    </row>
    <row r="436" spans="4:14" x14ac:dyDescent="0.2">
      <c r="D436">
        <f t="shared" si="74"/>
        <v>413</v>
      </c>
      <c r="E436" s="1">
        <f t="shared" si="75"/>
        <v>-47.435318933147812</v>
      </c>
      <c r="F436" s="1">
        <f t="shared" si="76"/>
        <v>-48.011932297451807</v>
      </c>
      <c r="G436" s="1">
        <f t="shared" si="73"/>
        <v>1.4082596558829572E-21</v>
      </c>
      <c r="H436" s="1">
        <f t="shared" si="66"/>
        <v>1.4589271990575817E-22</v>
      </c>
      <c r="I436">
        <f t="shared" si="67"/>
        <v>8</v>
      </c>
      <c r="J436">
        <f t="shared" si="68"/>
        <v>403</v>
      </c>
      <c r="K436" s="5">
        <f t="shared" si="69"/>
        <v>0</v>
      </c>
      <c r="L436">
        <f t="shared" si="70"/>
        <v>53.4</v>
      </c>
      <c r="M436">
        <f t="shared" si="71"/>
        <v>1</v>
      </c>
      <c r="N436">
        <f t="shared" si="72"/>
        <v>0</v>
      </c>
    </row>
    <row r="437" spans="4:14" x14ac:dyDescent="0.2">
      <c r="D437">
        <f t="shared" si="74"/>
        <v>414</v>
      </c>
      <c r="E437" s="1">
        <f t="shared" si="75"/>
        <v>-47.551852749403764</v>
      </c>
      <c r="F437" s="1">
        <f t="shared" si="76"/>
        <v>-48.128466113707759</v>
      </c>
      <c r="G437" s="1">
        <f t="shared" si="73"/>
        <v>1.2533510937358311E-21</v>
      </c>
      <c r="H437" s="1">
        <f t="shared" si="66"/>
        <v>1.2984452071612469E-22</v>
      </c>
      <c r="I437">
        <f t="shared" si="67"/>
        <v>8</v>
      </c>
      <c r="J437">
        <f t="shared" si="68"/>
        <v>404</v>
      </c>
      <c r="K437" s="5">
        <f t="shared" si="69"/>
        <v>0</v>
      </c>
      <c r="L437">
        <f t="shared" si="70"/>
        <v>53.4</v>
      </c>
      <c r="M437">
        <f t="shared" si="71"/>
        <v>1</v>
      </c>
      <c r="N437">
        <f t="shared" si="72"/>
        <v>0</v>
      </c>
    </row>
    <row r="438" spans="4:14" x14ac:dyDescent="0.2">
      <c r="D438">
        <f t="shared" si="74"/>
        <v>415</v>
      </c>
      <c r="E438" s="1">
        <f t="shared" si="75"/>
        <v>-47.668386565659716</v>
      </c>
      <c r="F438" s="1">
        <f t="shared" si="76"/>
        <v>-48.244999929963711</v>
      </c>
      <c r="G438" s="1">
        <f t="shared" si="73"/>
        <v>1.1154824734248889E-21</v>
      </c>
      <c r="H438" s="1">
        <f t="shared" si="66"/>
        <v>1.155616234373509E-22</v>
      </c>
      <c r="I438">
        <f t="shared" si="67"/>
        <v>8</v>
      </c>
      <c r="J438">
        <f t="shared" si="68"/>
        <v>405</v>
      </c>
      <c r="K438" s="5">
        <f t="shared" si="69"/>
        <v>0</v>
      </c>
      <c r="L438">
        <f t="shared" si="70"/>
        <v>53.4</v>
      </c>
      <c r="M438">
        <f t="shared" si="71"/>
        <v>1</v>
      </c>
      <c r="N438">
        <f t="shared" si="72"/>
        <v>0</v>
      </c>
    </row>
    <row r="439" spans="4:14" x14ac:dyDescent="0.2">
      <c r="D439">
        <f t="shared" si="74"/>
        <v>416</v>
      </c>
      <c r="E439" s="1">
        <f t="shared" si="75"/>
        <v>-47.784920381915668</v>
      </c>
      <c r="F439" s="1">
        <f t="shared" si="76"/>
        <v>-48.361533746219663</v>
      </c>
      <c r="G439" s="1">
        <f t="shared" si="73"/>
        <v>9.9277940134815054E-22</v>
      </c>
      <c r="H439" s="1">
        <f t="shared" si="66"/>
        <v>1.0284984485924224E-22</v>
      </c>
      <c r="I439">
        <f t="shared" si="67"/>
        <v>8</v>
      </c>
      <c r="J439">
        <f t="shared" si="68"/>
        <v>406</v>
      </c>
      <c r="K439" s="5">
        <f t="shared" si="69"/>
        <v>0</v>
      </c>
      <c r="L439">
        <f t="shared" si="70"/>
        <v>53.4</v>
      </c>
      <c r="M439">
        <f t="shared" si="71"/>
        <v>1</v>
      </c>
      <c r="N439">
        <f t="shared" si="72"/>
        <v>0</v>
      </c>
    </row>
    <row r="440" spans="4:14" x14ac:dyDescent="0.2">
      <c r="D440">
        <f t="shared" si="74"/>
        <v>417</v>
      </c>
      <c r="E440" s="1">
        <f t="shared" si="75"/>
        <v>-47.901454198171621</v>
      </c>
      <c r="F440" s="1">
        <f t="shared" si="76"/>
        <v>-48.478067562475616</v>
      </c>
      <c r="G440" s="1">
        <f t="shared" si="73"/>
        <v>8.8357366719985348E-22</v>
      </c>
      <c r="H440" s="1">
        <f t="shared" si="66"/>
        <v>9.1536361924725537E-23</v>
      </c>
      <c r="I440">
        <f t="shared" si="67"/>
        <v>8</v>
      </c>
      <c r="J440">
        <f t="shared" si="68"/>
        <v>407</v>
      </c>
      <c r="K440" s="5">
        <f t="shared" si="69"/>
        <v>0</v>
      </c>
      <c r="L440">
        <f t="shared" si="70"/>
        <v>53.4</v>
      </c>
      <c r="M440">
        <f t="shared" si="71"/>
        <v>1</v>
      </c>
      <c r="N440">
        <f t="shared" si="72"/>
        <v>0</v>
      </c>
    </row>
    <row r="441" spans="4:14" x14ac:dyDescent="0.2">
      <c r="D441">
        <f t="shared" si="74"/>
        <v>418</v>
      </c>
      <c r="E441" s="1">
        <f t="shared" si="75"/>
        <v>-48.017988014427573</v>
      </c>
      <c r="F441" s="1">
        <f t="shared" si="76"/>
        <v>-48.594601378731568</v>
      </c>
      <c r="G441" s="1">
        <f t="shared" si="73"/>
        <v>7.863805638078691E-22</v>
      </c>
      <c r="H441" s="1">
        <f t="shared" si="66"/>
        <v>8.1467362113005682E-23</v>
      </c>
      <c r="I441">
        <f t="shared" si="67"/>
        <v>8</v>
      </c>
      <c r="J441">
        <f t="shared" si="68"/>
        <v>408</v>
      </c>
      <c r="K441" s="5">
        <f t="shared" si="69"/>
        <v>0</v>
      </c>
      <c r="L441">
        <f t="shared" si="70"/>
        <v>53.4</v>
      </c>
      <c r="M441">
        <f t="shared" si="71"/>
        <v>1</v>
      </c>
      <c r="N441">
        <f t="shared" si="72"/>
        <v>0</v>
      </c>
    </row>
    <row r="442" spans="4:14" x14ac:dyDescent="0.2">
      <c r="D442">
        <f t="shared" si="74"/>
        <v>419</v>
      </c>
      <c r="E442" s="1">
        <f t="shared" si="75"/>
        <v>-48.134521830683525</v>
      </c>
      <c r="F442" s="1">
        <f t="shared" si="76"/>
        <v>-48.71113519498752</v>
      </c>
      <c r="G442" s="1">
        <f t="shared" si="73"/>
        <v>6.9987870178900308E-22</v>
      </c>
      <c r="H442" s="1">
        <f t="shared" si="66"/>
        <v>7.2505952280575008E-23</v>
      </c>
      <c r="I442">
        <f t="shared" si="67"/>
        <v>8</v>
      </c>
      <c r="J442">
        <f t="shared" si="68"/>
        <v>409</v>
      </c>
      <c r="K442" s="5">
        <f t="shared" si="69"/>
        <v>0</v>
      </c>
      <c r="L442">
        <f t="shared" si="70"/>
        <v>53.4</v>
      </c>
      <c r="M442">
        <f t="shared" si="71"/>
        <v>1</v>
      </c>
      <c r="N442">
        <f t="shared" si="72"/>
        <v>0</v>
      </c>
    </row>
    <row r="443" spans="4:14" x14ac:dyDescent="0.2">
      <c r="D443">
        <f t="shared" si="74"/>
        <v>420</v>
      </c>
      <c r="E443" s="1">
        <f t="shared" si="75"/>
        <v>-48.251055646939477</v>
      </c>
      <c r="F443" s="1">
        <f t="shared" si="76"/>
        <v>-48.827669011243472</v>
      </c>
      <c r="G443" s="1">
        <f t="shared" si="73"/>
        <v>6.2289204459221226E-22</v>
      </c>
      <c r="H443" s="1">
        <f t="shared" si="66"/>
        <v>6.4530297529711707E-23</v>
      </c>
      <c r="I443">
        <f t="shared" si="67"/>
        <v>8</v>
      </c>
      <c r="J443">
        <f t="shared" si="68"/>
        <v>410</v>
      </c>
      <c r="K443" s="5">
        <f t="shared" si="69"/>
        <v>0</v>
      </c>
      <c r="L443">
        <f t="shared" si="70"/>
        <v>53.4</v>
      </c>
      <c r="M443">
        <f t="shared" si="71"/>
        <v>1</v>
      </c>
      <c r="N443">
        <f t="shared" si="72"/>
        <v>0</v>
      </c>
    </row>
    <row r="444" spans="4:14" x14ac:dyDescent="0.2">
      <c r="D444">
        <f t="shared" si="74"/>
        <v>421</v>
      </c>
      <c r="E444" s="1">
        <f t="shared" si="75"/>
        <v>-48.367589463195429</v>
      </c>
      <c r="F444" s="1">
        <f t="shared" si="76"/>
        <v>-48.944202827499424</v>
      </c>
      <c r="G444" s="1">
        <f t="shared" si="73"/>
        <v>5.5437391968706861E-22</v>
      </c>
      <c r="H444" s="1">
        <f t="shared" si="66"/>
        <v>5.7431964801443383E-23</v>
      </c>
      <c r="I444">
        <f t="shared" si="67"/>
        <v>8</v>
      </c>
      <c r="J444">
        <f t="shared" si="68"/>
        <v>411</v>
      </c>
      <c r="K444" s="5">
        <f t="shared" si="69"/>
        <v>0</v>
      </c>
      <c r="L444">
        <f t="shared" si="70"/>
        <v>53.4</v>
      </c>
      <c r="M444">
        <f t="shared" si="71"/>
        <v>1</v>
      </c>
      <c r="N444">
        <f t="shared" si="72"/>
        <v>0</v>
      </c>
    </row>
    <row r="445" spans="4:14" x14ac:dyDescent="0.2">
      <c r="D445">
        <f t="shared" si="74"/>
        <v>422</v>
      </c>
      <c r="E445" s="1">
        <f t="shared" si="75"/>
        <v>-48.484123279451381</v>
      </c>
      <c r="F445" s="1">
        <f t="shared" si="76"/>
        <v>-49.060736643755376</v>
      </c>
      <c r="G445" s="1">
        <f t="shared" si="73"/>
        <v>4.9339278852149075E-22</v>
      </c>
      <c r="H445" s="1">
        <f t="shared" si="66"/>
        <v>5.1114448673284581E-23</v>
      </c>
      <c r="I445">
        <f t="shared" si="67"/>
        <v>8</v>
      </c>
      <c r="J445">
        <f t="shared" si="68"/>
        <v>412</v>
      </c>
      <c r="K445" s="5">
        <f t="shared" si="69"/>
        <v>0</v>
      </c>
      <c r="L445">
        <f t="shared" si="70"/>
        <v>53.4</v>
      </c>
      <c r="M445">
        <f t="shared" si="71"/>
        <v>1</v>
      </c>
      <c r="N445">
        <f t="shared" si="72"/>
        <v>0</v>
      </c>
    </row>
    <row r="446" spans="4:14" x14ac:dyDescent="0.2">
      <c r="D446">
        <f t="shared" si="74"/>
        <v>423</v>
      </c>
      <c r="E446" s="1">
        <f t="shared" si="75"/>
        <v>-48.600657095707334</v>
      </c>
      <c r="F446" s="1">
        <f t="shared" si="76"/>
        <v>-49.177270460011329</v>
      </c>
      <c r="G446" s="1">
        <f t="shared" si="73"/>
        <v>4.3911958178412647E-22</v>
      </c>
      <c r="H446" s="1">
        <f t="shared" si="66"/>
        <v>4.5491859319223251E-23</v>
      </c>
      <c r="I446">
        <f t="shared" si="67"/>
        <v>8</v>
      </c>
      <c r="J446">
        <f t="shared" si="68"/>
        <v>413</v>
      </c>
      <c r="K446" s="5">
        <f t="shared" si="69"/>
        <v>0</v>
      </c>
      <c r="L446">
        <f t="shared" si="70"/>
        <v>53.4</v>
      </c>
      <c r="M446">
        <f t="shared" si="71"/>
        <v>1</v>
      </c>
      <c r="N446">
        <f t="shared" si="72"/>
        <v>0</v>
      </c>
    </row>
    <row r="447" spans="4:14" x14ac:dyDescent="0.2">
      <c r="D447">
        <f t="shared" si="74"/>
        <v>424</v>
      </c>
      <c r="E447" s="1">
        <f t="shared" si="75"/>
        <v>-48.717190911963286</v>
      </c>
      <c r="F447" s="1">
        <f t="shared" si="76"/>
        <v>-49.293804276267281</v>
      </c>
      <c r="G447" s="1">
        <f t="shared" si="73"/>
        <v>3.9081642778787231E-22</v>
      </c>
      <c r="H447" s="1">
        <f t="shared" si="66"/>
        <v>4.0487754794108665E-23</v>
      </c>
      <c r="I447">
        <f t="shared" si="67"/>
        <v>8</v>
      </c>
      <c r="J447">
        <f t="shared" si="68"/>
        <v>414</v>
      </c>
      <c r="K447" s="5">
        <f t="shared" si="69"/>
        <v>0</v>
      </c>
      <c r="L447">
        <f t="shared" si="70"/>
        <v>53.4</v>
      </c>
      <c r="M447">
        <f t="shared" si="71"/>
        <v>1</v>
      </c>
      <c r="N447">
        <f t="shared" si="72"/>
        <v>0</v>
      </c>
    </row>
    <row r="448" spans="4:14" x14ac:dyDescent="0.2">
      <c r="D448">
        <f t="shared" si="74"/>
        <v>425</v>
      </c>
      <c r="E448" s="1">
        <f t="shared" si="75"/>
        <v>-48.833724728219238</v>
      </c>
      <c r="F448" s="1">
        <f t="shared" si="76"/>
        <v>-49.410338092523233</v>
      </c>
      <c r="G448" s="1">
        <f t="shared" si="73"/>
        <v>3.4782662073120617E-22</v>
      </c>
      <c r="H448" s="1">
        <f t="shared" si="66"/>
        <v>3.6034101766756693E-23</v>
      </c>
      <c r="I448">
        <f t="shared" si="67"/>
        <v>8</v>
      </c>
      <c r="J448">
        <f t="shared" si="68"/>
        <v>415</v>
      </c>
      <c r="K448" s="5">
        <f t="shared" si="69"/>
        <v>0</v>
      </c>
      <c r="L448">
        <f t="shared" si="70"/>
        <v>53.4</v>
      </c>
      <c r="M448">
        <f t="shared" si="71"/>
        <v>1</v>
      </c>
      <c r="N448">
        <f t="shared" si="72"/>
        <v>0</v>
      </c>
    </row>
    <row r="449" spans="4:14" x14ac:dyDescent="0.2">
      <c r="D449">
        <f t="shared" si="74"/>
        <v>426</v>
      </c>
      <c r="E449" s="1">
        <f t="shared" si="75"/>
        <v>-48.95025854447519</v>
      </c>
      <c r="F449" s="1">
        <f t="shared" si="76"/>
        <v>-49.526871908779185</v>
      </c>
      <c r="G449" s="1">
        <f t="shared" si="73"/>
        <v>3.0956569245077326E-22</v>
      </c>
      <c r="H449" s="1">
        <f t="shared" si="66"/>
        <v>3.2070350572413431E-23</v>
      </c>
      <c r="I449">
        <f t="shared" si="67"/>
        <v>8</v>
      </c>
      <c r="J449">
        <f t="shared" si="68"/>
        <v>416</v>
      </c>
      <c r="K449" s="5">
        <f t="shared" si="69"/>
        <v>0</v>
      </c>
      <c r="L449">
        <f t="shared" si="70"/>
        <v>53.4</v>
      </c>
      <c r="M449">
        <f t="shared" si="71"/>
        <v>1</v>
      </c>
      <c r="N449">
        <f t="shared" si="72"/>
        <v>0</v>
      </c>
    </row>
    <row r="450" spans="4:14" x14ac:dyDescent="0.2">
      <c r="D450">
        <f t="shared" si="74"/>
        <v>427</v>
      </c>
      <c r="E450" s="1">
        <f t="shared" si="75"/>
        <v>-49.066792360731142</v>
      </c>
      <c r="F450" s="1">
        <f t="shared" si="76"/>
        <v>-49.643405725035137</v>
      </c>
      <c r="G450" s="1">
        <f t="shared" si="73"/>
        <v>2.7551346628118803E-22</v>
      </c>
      <c r="H450" s="1">
        <f t="shared" si="66"/>
        <v>2.8542612009447938E-23</v>
      </c>
      <c r="I450">
        <f t="shared" si="67"/>
        <v>8</v>
      </c>
      <c r="J450">
        <f t="shared" si="68"/>
        <v>417</v>
      </c>
      <c r="K450" s="5">
        <f t="shared" si="69"/>
        <v>0</v>
      </c>
      <c r="L450">
        <f t="shared" si="70"/>
        <v>53.4</v>
      </c>
      <c r="M450">
        <f t="shared" si="71"/>
        <v>1</v>
      </c>
      <c r="N450">
        <f t="shared" si="72"/>
        <v>0</v>
      </c>
    </row>
    <row r="451" spans="4:14" x14ac:dyDescent="0.2">
      <c r="D451">
        <f t="shared" si="74"/>
        <v>428</v>
      </c>
      <c r="E451" s="1">
        <f t="shared" si="75"/>
        <v>-49.183326176987094</v>
      </c>
      <c r="F451" s="1">
        <f t="shared" si="76"/>
        <v>-49.759939541291089</v>
      </c>
      <c r="G451" s="1">
        <f t="shared" si="73"/>
        <v>2.4520698499025723E-22</v>
      </c>
      <c r="H451" s="1">
        <f t="shared" si="66"/>
        <v>2.5402924688408651E-23</v>
      </c>
      <c r="I451">
        <f t="shared" si="67"/>
        <v>8</v>
      </c>
      <c r="J451">
        <f t="shared" si="68"/>
        <v>418</v>
      </c>
      <c r="K451" s="5">
        <f t="shared" si="69"/>
        <v>0</v>
      </c>
      <c r="L451">
        <f t="shared" si="70"/>
        <v>53.4</v>
      </c>
      <c r="M451">
        <f t="shared" si="71"/>
        <v>1</v>
      </c>
      <c r="N451">
        <f t="shared" si="72"/>
        <v>0</v>
      </c>
    </row>
    <row r="452" spans="4:14" x14ac:dyDescent="0.2">
      <c r="D452">
        <f t="shared" si="74"/>
        <v>429</v>
      </c>
      <c r="E452" s="1">
        <f t="shared" si="75"/>
        <v>-49.299859993243047</v>
      </c>
      <c r="F452" s="1">
        <f t="shared" si="76"/>
        <v>-49.876473357547042</v>
      </c>
      <c r="G452" s="1">
        <f t="shared" si="73"/>
        <v>2.1823421664132876E-22</v>
      </c>
      <c r="H452" s="1">
        <f t="shared" si="66"/>
        <v>2.2608602972683683E-23</v>
      </c>
      <c r="I452">
        <f t="shared" si="67"/>
        <v>8</v>
      </c>
      <c r="J452">
        <f t="shared" si="68"/>
        <v>419</v>
      </c>
      <c r="K452" s="5">
        <f t="shared" si="69"/>
        <v>0</v>
      </c>
      <c r="L452">
        <f t="shared" si="70"/>
        <v>53.4</v>
      </c>
      <c r="M452">
        <f t="shared" si="71"/>
        <v>1</v>
      </c>
      <c r="N452">
        <f t="shared" si="72"/>
        <v>0</v>
      </c>
    </row>
    <row r="453" spans="4:14" x14ac:dyDescent="0.2">
      <c r="D453">
        <f t="shared" si="74"/>
        <v>430</v>
      </c>
      <c r="E453" s="1">
        <f t="shared" si="75"/>
        <v>-49.416393809498999</v>
      </c>
      <c r="F453" s="1">
        <f t="shared" si="76"/>
        <v>-49.993007173802994</v>
      </c>
      <c r="G453" s="1">
        <f t="shared" si="73"/>
        <v>1.9422845281078248E-22</v>
      </c>
      <c r="H453" s="1">
        <f t="shared" si="66"/>
        <v>2.0121656645688465E-23</v>
      </c>
      <c r="I453">
        <f t="shared" si="67"/>
        <v>8</v>
      </c>
      <c r="J453">
        <f t="shared" si="68"/>
        <v>420</v>
      </c>
      <c r="K453" s="5">
        <f t="shared" si="69"/>
        <v>0</v>
      </c>
      <c r="L453">
        <f t="shared" si="70"/>
        <v>53.4</v>
      </c>
      <c r="M453">
        <f t="shared" si="71"/>
        <v>1</v>
      </c>
      <c r="N453">
        <f t="shared" si="72"/>
        <v>0</v>
      </c>
    </row>
    <row r="454" spans="4:14" x14ac:dyDescent="0.2">
      <c r="D454">
        <f t="shared" si="74"/>
        <v>431</v>
      </c>
      <c r="E454" s="1">
        <f t="shared" si="75"/>
        <v>-49.532927625754951</v>
      </c>
      <c r="F454" s="1">
        <f t="shared" si="76"/>
        <v>-50.109540990058946</v>
      </c>
      <c r="G454" s="1">
        <f t="shared" si="73"/>
        <v>1.7286332300159631E-22</v>
      </c>
      <c r="H454" s="1">
        <f t="shared" si="66"/>
        <v>1.7908274414662722E-23</v>
      </c>
      <c r="I454">
        <f t="shared" si="67"/>
        <v>8</v>
      </c>
      <c r="J454">
        <f t="shared" si="68"/>
        <v>421</v>
      </c>
      <c r="K454" s="5">
        <f t="shared" si="69"/>
        <v>0</v>
      </c>
      <c r="L454">
        <f t="shared" si="70"/>
        <v>53.4</v>
      </c>
      <c r="M454">
        <f t="shared" si="71"/>
        <v>1</v>
      </c>
      <c r="N454">
        <f t="shared" si="72"/>
        <v>0</v>
      </c>
    </row>
    <row r="455" spans="4:14" x14ac:dyDescent="0.2">
      <c r="D455">
        <f t="shared" si="74"/>
        <v>432</v>
      </c>
      <c r="E455" s="1">
        <f t="shared" si="75"/>
        <v>-49.649461442010903</v>
      </c>
      <c r="F455" s="1">
        <f t="shared" si="76"/>
        <v>-50.226074806314898</v>
      </c>
      <c r="G455" s="1">
        <f t="shared" si="73"/>
        <v>1.5384835747142062E-22</v>
      </c>
      <c r="H455" s="1">
        <f t="shared" si="66"/>
        <v>1.5938364229049813E-23</v>
      </c>
      <c r="I455">
        <f t="shared" si="67"/>
        <v>8</v>
      </c>
      <c r="J455">
        <f t="shared" si="68"/>
        <v>422</v>
      </c>
      <c r="K455" s="5">
        <f t="shared" si="69"/>
        <v>0</v>
      </c>
      <c r="L455">
        <f t="shared" si="70"/>
        <v>53.4</v>
      </c>
      <c r="M455">
        <f t="shared" si="71"/>
        <v>1</v>
      </c>
      <c r="N455">
        <f t="shared" si="72"/>
        <v>0</v>
      </c>
    </row>
    <row r="456" spans="4:14" x14ac:dyDescent="0.2">
      <c r="D456">
        <f t="shared" si="74"/>
        <v>433</v>
      </c>
      <c r="E456" s="1">
        <f t="shared" si="75"/>
        <v>-49.765995258266855</v>
      </c>
      <c r="F456" s="1">
        <f t="shared" si="76"/>
        <v>-50.34260862257085</v>
      </c>
      <c r="G456" s="1">
        <f t="shared" si="73"/>
        <v>1.3692503814956425E-22</v>
      </c>
      <c r="H456" s="1">
        <f t="shared" si="66"/>
        <v>1.4185144163854324E-23</v>
      </c>
      <c r="I456">
        <f t="shared" si="67"/>
        <v>8</v>
      </c>
      <c r="J456">
        <f t="shared" si="68"/>
        <v>423</v>
      </c>
      <c r="K456" s="5">
        <f t="shared" si="69"/>
        <v>0</v>
      </c>
      <c r="L456">
        <f t="shared" si="70"/>
        <v>53.4</v>
      </c>
      <c r="M456">
        <f t="shared" si="71"/>
        <v>1</v>
      </c>
      <c r="N456">
        <f t="shared" si="72"/>
        <v>0</v>
      </c>
    </row>
    <row r="457" spans="4:14" x14ac:dyDescent="0.2">
      <c r="D457">
        <f t="shared" si="74"/>
        <v>434</v>
      </c>
      <c r="E457" s="1">
        <f t="shared" si="75"/>
        <v>-49.882529074522807</v>
      </c>
      <c r="F457" s="1">
        <f t="shared" si="76"/>
        <v>-50.459142438826802</v>
      </c>
      <c r="G457" s="1">
        <f t="shared" si="73"/>
        <v>1.2186328395311211E-22</v>
      </c>
      <c r="H457" s="1">
        <f t="shared" si="66"/>
        <v>1.2624778305830341E-23</v>
      </c>
      <c r="I457">
        <f t="shared" si="67"/>
        <v>8</v>
      </c>
      <c r="J457">
        <f t="shared" si="68"/>
        <v>424</v>
      </c>
      <c r="K457" s="5">
        <f t="shared" si="69"/>
        <v>0</v>
      </c>
      <c r="L457">
        <f t="shared" si="70"/>
        <v>53.4</v>
      </c>
      <c r="M457">
        <f t="shared" si="71"/>
        <v>1</v>
      </c>
      <c r="N457">
        <f t="shared" si="72"/>
        <v>0</v>
      </c>
    </row>
    <row r="458" spans="4:14" x14ac:dyDescent="0.2">
      <c r="D458">
        <f t="shared" si="74"/>
        <v>435</v>
      </c>
      <c r="E458" s="1">
        <f t="shared" si="75"/>
        <v>-49.99906289077876</v>
      </c>
      <c r="F458" s="1">
        <f t="shared" si="76"/>
        <v>-50.575676255082755</v>
      </c>
      <c r="G458" s="1">
        <f t="shared" si="73"/>
        <v>1.0845832271826971E-22</v>
      </c>
      <c r="H458" s="1">
        <f t="shared" si="66"/>
        <v>1.1236052692188996E-23</v>
      </c>
      <c r="I458">
        <f t="shared" si="67"/>
        <v>8</v>
      </c>
      <c r="J458">
        <f t="shared" si="68"/>
        <v>425</v>
      </c>
      <c r="K458" s="5">
        <f t="shared" si="69"/>
        <v>0</v>
      </c>
      <c r="L458">
        <f t="shared" si="70"/>
        <v>53.4</v>
      </c>
      <c r="M458">
        <f t="shared" si="71"/>
        <v>1</v>
      </c>
      <c r="N458">
        <f t="shared" si="72"/>
        <v>0</v>
      </c>
    </row>
    <row r="459" spans="4:14" x14ac:dyDescent="0.2">
      <c r="D459">
        <f t="shared" si="74"/>
        <v>436</v>
      </c>
      <c r="E459" s="1">
        <f t="shared" si="75"/>
        <v>-50.115596707034712</v>
      </c>
      <c r="F459" s="1">
        <f t="shared" si="76"/>
        <v>-50.692210071338707</v>
      </c>
      <c r="G459" s="1">
        <f t="shared" si="73"/>
        <v>9.6527907219259988E-23</v>
      </c>
      <c r="H459" s="1">
        <f t="shared" si="66"/>
        <v>1.0000086896048201E-23</v>
      </c>
      <c r="I459">
        <f t="shared" si="67"/>
        <v>8</v>
      </c>
      <c r="J459">
        <f t="shared" si="68"/>
        <v>426</v>
      </c>
      <c r="K459" s="5">
        <f t="shared" si="69"/>
        <v>0</v>
      </c>
      <c r="L459">
        <f t="shared" si="70"/>
        <v>53.4</v>
      </c>
      <c r="M459">
        <f t="shared" si="71"/>
        <v>1</v>
      </c>
      <c r="N459">
        <f t="shared" si="72"/>
        <v>0</v>
      </c>
    </row>
    <row r="460" spans="4:14" x14ac:dyDescent="0.2">
      <c r="D460">
        <f t="shared" si="74"/>
        <v>437</v>
      </c>
      <c r="E460" s="1">
        <f t="shared" si="75"/>
        <v>-50.232130523290664</v>
      </c>
      <c r="F460" s="1">
        <f t="shared" si="76"/>
        <v>-50.808743887594659</v>
      </c>
      <c r="G460" s="1">
        <f t="shared" si="73"/>
        <v>8.5909837425141326E-23</v>
      </c>
      <c r="H460" s="1">
        <f t="shared" si="66"/>
        <v>8.9000773374828919E-24</v>
      </c>
      <c r="I460">
        <f t="shared" si="67"/>
        <v>8</v>
      </c>
      <c r="J460">
        <f t="shared" si="68"/>
        <v>427</v>
      </c>
      <c r="K460" s="5">
        <f t="shared" si="69"/>
        <v>0</v>
      </c>
      <c r="L460">
        <f t="shared" si="70"/>
        <v>53.4</v>
      </c>
      <c r="M460">
        <f t="shared" si="71"/>
        <v>1</v>
      </c>
      <c r="N460">
        <f t="shared" si="72"/>
        <v>0</v>
      </c>
    </row>
    <row r="461" spans="4:14" x14ac:dyDescent="0.2">
      <c r="D461">
        <f t="shared" si="74"/>
        <v>438</v>
      </c>
      <c r="E461" s="1">
        <f t="shared" si="75"/>
        <v>-50.348664339546616</v>
      </c>
      <c r="F461" s="1">
        <f t="shared" si="76"/>
        <v>-50.925277703850611</v>
      </c>
      <c r="G461" s="1">
        <f t="shared" si="73"/>
        <v>7.6459755308375734E-23</v>
      </c>
      <c r="H461" s="1">
        <f t="shared" si="66"/>
        <v>7.9210688303597696E-24</v>
      </c>
      <c r="I461">
        <f t="shared" si="67"/>
        <v>8</v>
      </c>
      <c r="J461">
        <f t="shared" si="68"/>
        <v>428</v>
      </c>
      <c r="K461" s="5">
        <f t="shared" si="69"/>
        <v>0</v>
      </c>
      <c r="L461">
        <f t="shared" si="70"/>
        <v>53.4</v>
      </c>
      <c r="M461">
        <f t="shared" si="71"/>
        <v>1</v>
      </c>
      <c r="N461">
        <f t="shared" si="72"/>
        <v>0</v>
      </c>
    </row>
    <row r="462" spans="4:14" x14ac:dyDescent="0.2">
      <c r="D462">
        <f t="shared" si="74"/>
        <v>439</v>
      </c>
      <c r="E462" s="1">
        <f t="shared" si="75"/>
        <v>-50.465198155802568</v>
      </c>
      <c r="F462" s="1">
        <f t="shared" si="76"/>
        <v>-51.041811520106563</v>
      </c>
      <c r="G462" s="1">
        <f t="shared" si="73"/>
        <v>6.8049182224454366E-23</v>
      </c>
      <c r="H462" s="1">
        <f t="shared" si="66"/>
        <v>7.0497512590201909E-24</v>
      </c>
      <c r="I462">
        <f t="shared" si="67"/>
        <v>8</v>
      </c>
      <c r="J462">
        <f t="shared" si="68"/>
        <v>429</v>
      </c>
      <c r="K462" s="5">
        <f t="shared" si="69"/>
        <v>0</v>
      </c>
      <c r="L462">
        <f t="shared" si="70"/>
        <v>53.4</v>
      </c>
      <c r="M462">
        <f t="shared" si="71"/>
        <v>1</v>
      </c>
      <c r="N462">
        <f t="shared" si="72"/>
        <v>0</v>
      </c>
    </row>
    <row r="463" spans="4:14" x14ac:dyDescent="0.2">
      <c r="D463">
        <f t="shared" si="74"/>
        <v>440</v>
      </c>
      <c r="E463" s="1">
        <f t="shared" si="75"/>
        <v>-50.58173197205852</v>
      </c>
      <c r="F463" s="1">
        <f t="shared" si="76"/>
        <v>-51.158345336362515</v>
      </c>
      <c r="G463" s="1">
        <f t="shared" si="73"/>
        <v>6.0563772179764345E-23</v>
      </c>
      <c r="H463" s="1">
        <f t="shared" si="66"/>
        <v>6.2742786205279661E-24</v>
      </c>
      <c r="I463">
        <f t="shared" si="67"/>
        <v>8</v>
      </c>
      <c r="J463">
        <f t="shared" si="68"/>
        <v>430</v>
      </c>
      <c r="K463" s="5">
        <f t="shared" si="69"/>
        <v>0</v>
      </c>
      <c r="L463">
        <f t="shared" si="70"/>
        <v>53.4</v>
      </c>
      <c r="M463">
        <f t="shared" si="71"/>
        <v>1</v>
      </c>
      <c r="N463">
        <f t="shared" si="72"/>
        <v>0</v>
      </c>
    </row>
    <row r="464" spans="4:14" x14ac:dyDescent="0.2">
      <c r="D464">
        <f t="shared" si="74"/>
        <v>441</v>
      </c>
      <c r="E464" s="1">
        <f t="shared" si="75"/>
        <v>-50.698265788314473</v>
      </c>
      <c r="F464" s="1">
        <f t="shared" si="76"/>
        <v>-51.274879152618468</v>
      </c>
      <c r="G464" s="1">
        <f t="shared" si="73"/>
        <v>5.3901757239990234E-23</v>
      </c>
      <c r="H464" s="1">
        <f t="shared" si="66"/>
        <v>5.584107972269886E-24</v>
      </c>
      <c r="I464">
        <f t="shared" si="67"/>
        <v>8</v>
      </c>
      <c r="J464">
        <f t="shared" si="68"/>
        <v>431</v>
      </c>
      <c r="K464" s="5">
        <f t="shared" si="69"/>
        <v>0</v>
      </c>
      <c r="L464">
        <f t="shared" si="70"/>
        <v>53.4</v>
      </c>
      <c r="M464">
        <f t="shared" si="71"/>
        <v>1</v>
      </c>
      <c r="N464">
        <f t="shared" si="72"/>
        <v>0</v>
      </c>
    </row>
    <row r="465" spans="4:14" x14ac:dyDescent="0.2">
      <c r="D465">
        <f t="shared" si="74"/>
        <v>442</v>
      </c>
      <c r="E465" s="1">
        <f t="shared" si="75"/>
        <v>-50.814799604570425</v>
      </c>
      <c r="F465" s="1">
        <f t="shared" si="76"/>
        <v>-51.39141296887442</v>
      </c>
      <c r="G465" s="1">
        <f t="shared" si="73"/>
        <v>4.7972563943591278E-23</v>
      </c>
      <c r="H465" s="1">
        <f t="shared" si="66"/>
        <v>4.9698560953201954E-24</v>
      </c>
      <c r="I465">
        <f t="shared" si="67"/>
        <v>8</v>
      </c>
      <c r="J465">
        <f t="shared" si="68"/>
        <v>432</v>
      </c>
      <c r="K465" s="5">
        <f t="shared" si="69"/>
        <v>0</v>
      </c>
      <c r="L465">
        <f t="shared" si="70"/>
        <v>53.4</v>
      </c>
      <c r="M465">
        <f t="shared" si="71"/>
        <v>1</v>
      </c>
      <c r="N465">
        <f t="shared" si="72"/>
        <v>0</v>
      </c>
    </row>
    <row r="466" spans="4:14" x14ac:dyDescent="0.2">
      <c r="D466">
        <f t="shared" si="74"/>
        <v>443</v>
      </c>
      <c r="E466" s="1">
        <f t="shared" si="75"/>
        <v>-50.931333420826377</v>
      </c>
      <c r="F466" s="1">
        <f t="shared" si="76"/>
        <v>-51.507946785130372</v>
      </c>
      <c r="G466" s="1">
        <f t="shared" si="73"/>
        <v>4.2695581909796208E-23</v>
      </c>
      <c r="H466" s="1">
        <f t="shared" si="66"/>
        <v>4.423171924834971E-24</v>
      </c>
      <c r="I466">
        <f t="shared" si="67"/>
        <v>8</v>
      </c>
      <c r="J466">
        <f t="shared" si="68"/>
        <v>433</v>
      </c>
      <c r="K466" s="5">
        <f t="shared" si="69"/>
        <v>0</v>
      </c>
      <c r="L466">
        <f t="shared" si="70"/>
        <v>53.4</v>
      </c>
      <c r="M466">
        <f t="shared" si="71"/>
        <v>1</v>
      </c>
      <c r="N466">
        <f t="shared" si="72"/>
        <v>0</v>
      </c>
    </row>
    <row r="467" spans="4:14" x14ac:dyDescent="0.2">
      <c r="D467">
        <f t="shared" si="74"/>
        <v>444</v>
      </c>
      <c r="E467" s="1">
        <f t="shared" si="75"/>
        <v>-51.047867237082329</v>
      </c>
      <c r="F467" s="1">
        <f t="shared" si="76"/>
        <v>-51.624480601386324</v>
      </c>
      <c r="G467" s="1">
        <f t="shared" si="73"/>
        <v>3.7999067899718603E-23</v>
      </c>
      <c r="H467" s="1">
        <f t="shared" si="66"/>
        <v>3.9366230131031215E-24</v>
      </c>
      <c r="I467">
        <f t="shared" si="67"/>
        <v>8</v>
      </c>
      <c r="J467">
        <f t="shared" si="68"/>
        <v>434</v>
      </c>
      <c r="K467" s="5">
        <f t="shared" si="69"/>
        <v>0</v>
      </c>
      <c r="L467">
        <f t="shared" si="70"/>
        <v>53.4</v>
      </c>
      <c r="M467">
        <f t="shared" si="71"/>
        <v>1</v>
      </c>
      <c r="N467">
        <f t="shared" si="72"/>
        <v>0</v>
      </c>
    </row>
    <row r="468" spans="4:14" x14ac:dyDescent="0.2">
      <c r="D468">
        <f t="shared" si="74"/>
        <v>445</v>
      </c>
      <c r="E468" s="1">
        <f t="shared" si="75"/>
        <v>-51.164401053338281</v>
      </c>
      <c r="F468" s="1">
        <f t="shared" si="76"/>
        <v>-51.741014417642276</v>
      </c>
      <c r="G468" s="1">
        <f t="shared" si="73"/>
        <v>3.3819170430749536E-23</v>
      </c>
      <c r="H468" s="1">
        <f t="shared" si="66"/>
        <v>3.5035944816617762E-24</v>
      </c>
      <c r="I468">
        <f t="shared" si="67"/>
        <v>8</v>
      </c>
      <c r="J468">
        <f t="shared" si="68"/>
        <v>435</v>
      </c>
      <c r="K468" s="5">
        <f t="shared" si="69"/>
        <v>0</v>
      </c>
      <c r="L468">
        <f t="shared" si="70"/>
        <v>53.4</v>
      </c>
      <c r="M468">
        <f t="shared" si="71"/>
        <v>1</v>
      </c>
      <c r="N468">
        <f t="shared" si="72"/>
        <v>0</v>
      </c>
    </row>
    <row r="469" spans="4:14" x14ac:dyDescent="0.2">
      <c r="D469">
        <f t="shared" si="74"/>
        <v>446</v>
      </c>
      <c r="E469" s="1">
        <f t="shared" si="75"/>
        <v>-51.280934869594233</v>
      </c>
      <c r="F469" s="1">
        <f t="shared" si="76"/>
        <v>-51.857548233898228</v>
      </c>
      <c r="G469" s="1">
        <f t="shared" si="73"/>
        <v>3.0099061683367067E-23</v>
      </c>
      <c r="H469" s="1">
        <f t="shared" si="66"/>
        <v>3.118199088678979E-24</v>
      </c>
      <c r="I469">
        <f t="shared" si="67"/>
        <v>8</v>
      </c>
      <c r="J469">
        <f t="shared" si="68"/>
        <v>436</v>
      </c>
      <c r="K469" s="5">
        <f t="shared" si="69"/>
        <v>0</v>
      </c>
      <c r="L469">
        <f t="shared" si="70"/>
        <v>53.4</v>
      </c>
      <c r="M469">
        <f t="shared" si="71"/>
        <v>1</v>
      </c>
      <c r="N469">
        <f t="shared" si="72"/>
        <v>0</v>
      </c>
    </row>
    <row r="470" spans="4:14" x14ac:dyDescent="0.2">
      <c r="D470">
        <f t="shared" si="74"/>
        <v>447</v>
      </c>
      <c r="E470" s="1">
        <f t="shared" si="75"/>
        <v>-51.397468685850185</v>
      </c>
      <c r="F470" s="1">
        <f t="shared" si="76"/>
        <v>-51.97408205015418</v>
      </c>
      <c r="G470" s="1">
        <f t="shared" si="73"/>
        <v>2.6788164898196672E-23</v>
      </c>
      <c r="H470" s="1">
        <f t="shared" si="66"/>
        <v>2.7751971889242893E-24</v>
      </c>
      <c r="I470">
        <f t="shared" si="67"/>
        <v>8</v>
      </c>
      <c r="J470">
        <f t="shared" si="68"/>
        <v>437</v>
      </c>
      <c r="K470" s="5">
        <f t="shared" si="69"/>
        <v>0</v>
      </c>
      <c r="L470">
        <f t="shared" si="70"/>
        <v>53.4</v>
      </c>
      <c r="M470">
        <f t="shared" si="71"/>
        <v>1</v>
      </c>
      <c r="N470">
        <f t="shared" si="72"/>
        <v>0</v>
      </c>
    </row>
    <row r="471" spans="4:14" x14ac:dyDescent="0.2">
      <c r="D471">
        <f t="shared" si="74"/>
        <v>448</v>
      </c>
      <c r="E471" s="1">
        <f t="shared" si="75"/>
        <v>-51.514002502106138</v>
      </c>
      <c r="F471" s="1">
        <f t="shared" si="76"/>
        <v>-52.090615866410133</v>
      </c>
      <c r="G471" s="1">
        <f t="shared" si="73"/>
        <v>2.3841466759395023E-23</v>
      </c>
      <c r="H471" s="1">
        <f t="shared" ref="H471:H534" si="77">G471/$G$21</f>
        <v>2.469925498142616E-24</v>
      </c>
      <c r="I471">
        <f t="shared" ref="I471:I534" si="78">IF($F$11&lt;=D471, IF(D471&lt;=$A$15,D471-$F$11,$C$11),0)</f>
        <v>8</v>
      </c>
      <c r="J471">
        <f t="shared" ref="J471:J534" si="79">IF(D471&lt;=$A$15,0,D471-$A$15)</f>
        <v>438</v>
      </c>
      <c r="K471" s="5">
        <f t="shared" ref="K471:K534" si="80">IF(D471&lt;$F$11,H471,0)</f>
        <v>0</v>
      </c>
      <c r="L471">
        <f t="shared" ref="L471:L534" si="81">IF(D471&lt;$A$15,$D$11,$D$11*(1-$H$11))</f>
        <v>53.4</v>
      </c>
      <c r="M471">
        <f t="shared" ref="M471:M534" si="82">IF(D471&lt;$A$15,0,1)</f>
        <v>1</v>
      </c>
      <c r="N471">
        <f t="shared" ref="N471:N534" si="83">IF(SUM(I471:J471)&lt;=($G$11/60*$F$11/($E$11/60)),1,0)</f>
        <v>0</v>
      </c>
    </row>
    <row r="472" spans="4:14" x14ac:dyDescent="0.2">
      <c r="D472">
        <f t="shared" si="74"/>
        <v>449</v>
      </c>
      <c r="E472" s="1">
        <f t="shared" si="75"/>
        <v>-51.63053631836209</v>
      </c>
      <c r="F472" s="1">
        <f t="shared" si="76"/>
        <v>-52.207149682666085</v>
      </c>
      <c r="G472" s="1">
        <f t="shared" ref="G472:G535" si="84">EXP(F472)</f>
        <v>2.1218905415861558E-23</v>
      </c>
      <c r="H472" s="1">
        <f t="shared" si="77"/>
        <v>2.198233693346927E-24</v>
      </c>
      <c r="I472">
        <f t="shared" si="78"/>
        <v>8</v>
      </c>
      <c r="J472">
        <f t="shared" si="79"/>
        <v>439</v>
      </c>
      <c r="K472" s="5">
        <f t="shared" si="80"/>
        <v>0</v>
      </c>
      <c r="L472">
        <f t="shared" si="81"/>
        <v>53.4</v>
      </c>
      <c r="M472">
        <f t="shared" si="82"/>
        <v>1</v>
      </c>
      <c r="N472">
        <f t="shared" si="83"/>
        <v>0</v>
      </c>
    </row>
    <row r="473" spans="4:14" x14ac:dyDescent="0.2">
      <c r="D473">
        <f t="shared" ref="D473:D536" si="85">1+D472</f>
        <v>450</v>
      </c>
      <c r="E473" s="1">
        <f t="shared" ref="E473:E536" si="86">IF($H$11=1,IF(D473&lt;=$A$15, E472+LN($D$11)-LN(60/$E$11)-LN(MIN(D473,$F$11)), E472-LN(60/$E$11)-LN(MIN(D473,$F$11))), IF(D473&lt;=$A$15, E472+LN($D$11)-LN(60/$E$11)-LN(MIN(D473,$F$11)), E472+LN($D$11)+LN(1-$H$11)-LN(60/$E$11)-LN(MIN(D473,$F$11))))</f>
        <v>-51.747070134618042</v>
      </c>
      <c r="F473" s="1">
        <f t="shared" ref="F473:F536" si="87">E473-$E$21</f>
        <v>-52.323683498922037</v>
      </c>
      <c r="G473" s="1">
        <f t="shared" si="84"/>
        <v>1.8884825820116775E-23</v>
      </c>
      <c r="H473" s="1">
        <f t="shared" si="77"/>
        <v>1.9564279870787639E-24</v>
      </c>
      <c r="I473">
        <f t="shared" si="78"/>
        <v>8</v>
      </c>
      <c r="J473">
        <f t="shared" si="79"/>
        <v>440</v>
      </c>
      <c r="K473" s="5">
        <f t="shared" si="80"/>
        <v>0</v>
      </c>
      <c r="L473">
        <f t="shared" si="81"/>
        <v>53.4</v>
      </c>
      <c r="M473">
        <f t="shared" si="82"/>
        <v>1</v>
      </c>
      <c r="N473">
        <f t="shared" si="83"/>
        <v>0</v>
      </c>
    </row>
    <row r="474" spans="4:14" x14ac:dyDescent="0.2">
      <c r="D474">
        <f t="shared" si="85"/>
        <v>451</v>
      </c>
      <c r="E474" s="1">
        <f t="shared" si="86"/>
        <v>-51.863603950873994</v>
      </c>
      <c r="F474" s="1">
        <f t="shared" si="87"/>
        <v>-52.440217315177989</v>
      </c>
      <c r="G474" s="1">
        <f t="shared" si="84"/>
        <v>1.680749497990392E-23</v>
      </c>
      <c r="H474" s="1">
        <f t="shared" si="77"/>
        <v>1.7412209085000986E-24</v>
      </c>
      <c r="I474">
        <f t="shared" si="78"/>
        <v>8</v>
      </c>
      <c r="J474">
        <f t="shared" si="79"/>
        <v>441</v>
      </c>
      <c r="K474" s="5">
        <f t="shared" si="80"/>
        <v>0</v>
      </c>
      <c r="L474">
        <f t="shared" si="81"/>
        <v>53.4</v>
      </c>
      <c r="M474">
        <f t="shared" si="82"/>
        <v>1</v>
      </c>
      <c r="N474">
        <f t="shared" si="83"/>
        <v>0</v>
      </c>
    </row>
    <row r="475" spans="4:14" x14ac:dyDescent="0.2">
      <c r="D475">
        <f t="shared" si="85"/>
        <v>452</v>
      </c>
      <c r="E475" s="1">
        <f t="shared" si="86"/>
        <v>-51.980137767129946</v>
      </c>
      <c r="F475" s="1">
        <f t="shared" si="87"/>
        <v>-52.556751131433941</v>
      </c>
      <c r="G475" s="1">
        <f t="shared" si="84"/>
        <v>1.4958670532114479E-23</v>
      </c>
      <c r="H475" s="1">
        <f t="shared" si="77"/>
        <v>1.5496866085650869E-24</v>
      </c>
      <c r="I475">
        <f t="shared" si="78"/>
        <v>8</v>
      </c>
      <c r="J475">
        <f t="shared" si="79"/>
        <v>442</v>
      </c>
      <c r="K475" s="5">
        <f t="shared" si="80"/>
        <v>0</v>
      </c>
      <c r="L475">
        <f t="shared" si="81"/>
        <v>53.4</v>
      </c>
      <c r="M475">
        <f t="shared" si="82"/>
        <v>1</v>
      </c>
      <c r="N475">
        <f t="shared" si="83"/>
        <v>0</v>
      </c>
    </row>
    <row r="476" spans="4:14" x14ac:dyDescent="0.2">
      <c r="D476">
        <f t="shared" si="85"/>
        <v>453</v>
      </c>
      <c r="E476" s="1">
        <f t="shared" si="86"/>
        <v>-52.096671583385898</v>
      </c>
      <c r="F476" s="1">
        <f t="shared" si="87"/>
        <v>-52.673284947689893</v>
      </c>
      <c r="G476" s="1">
        <f t="shared" si="84"/>
        <v>1.3313216773581878E-23</v>
      </c>
      <c r="H476" s="1">
        <f t="shared" si="77"/>
        <v>1.3792210816229264E-24</v>
      </c>
      <c r="I476">
        <f t="shared" si="78"/>
        <v>8</v>
      </c>
      <c r="J476">
        <f t="shared" si="79"/>
        <v>443</v>
      </c>
      <c r="K476" s="5">
        <f t="shared" si="80"/>
        <v>0</v>
      </c>
      <c r="L476">
        <f t="shared" si="81"/>
        <v>53.4</v>
      </c>
      <c r="M476">
        <f t="shared" si="82"/>
        <v>1</v>
      </c>
      <c r="N476">
        <f t="shared" si="83"/>
        <v>0</v>
      </c>
    </row>
    <row r="477" spans="4:14" x14ac:dyDescent="0.2">
      <c r="D477">
        <f t="shared" si="85"/>
        <v>454</v>
      </c>
      <c r="E477" s="1">
        <f t="shared" si="86"/>
        <v>-52.213205399641851</v>
      </c>
      <c r="F477" s="1">
        <f t="shared" si="87"/>
        <v>-52.789818763945846</v>
      </c>
      <c r="G477" s="1">
        <f t="shared" si="84"/>
        <v>1.1848762928487863E-23</v>
      </c>
      <c r="H477" s="1">
        <f t="shared" si="77"/>
        <v>1.2275067626444037E-24</v>
      </c>
      <c r="I477">
        <f t="shared" si="78"/>
        <v>8</v>
      </c>
      <c r="J477">
        <f t="shared" si="79"/>
        <v>444</v>
      </c>
      <c r="K477" s="5">
        <f t="shared" si="80"/>
        <v>0</v>
      </c>
      <c r="L477">
        <f t="shared" si="81"/>
        <v>53.4</v>
      </c>
      <c r="M477">
        <f t="shared" si="82"/>
        <v>1</v>
      </c>
      <c r="N477">
        <f t="shared" si="83"/>
        <v>0</v>
      </c>
    </row>
    <row r="478" spans="4:14" x14ac:dyDescent="0.2">
      <c r="D478">
        <f t="shared" si="85"/>
        <v>455</v>
      </c>
      <c r="E478" s="1">
        <f t="shared" si="86"/>
        <v>-52.329739215897803</v>
      </c>
      <c r="F478" s="1">
        <f t="shared" si="87"/>
        <v>-52.906352580201798</v>
      </c>
      <c r="G478" s="1">
        <f t="shared" si="84"/>
        <v>1.0545399006354192E-23</v>
      </c>
      <c r="H478" s="1">
        <f t="shared" si="77"/>
        <v>1.0924810187535187E-24</v>
      </c>
      <c r="I478">
        <f t="shared" si="78"/>
        <v>8</v>
      </c>
      <c r="J478">
        <f t="shared" si="79"/>
        <v>445</v>
      </c>
      <c r="K478" s="5">
        <f t="shared" si="80"/>
        <v>0</v>
      </c>
      <c r="L478">
        <f t="shared" si="81"/>
        <v>53.4</v>
      </c>
      <c r="M478">
        <f t="shared" si="82"/>
        <v>1</v>
      </c>
      <c r="N478">
        <f t="shared" si="83"/>
        <v>0</v>
      </c>
    </row>
    <row r="479" spans="4:14" x14ac:dyDescent="0.2">
      <c r="D479">
        <f t="shared" si="85"/>
        <v>456</v>
      </c>
      <c r="E479" s="1">
        <f t="shared" si="86"/>
        <v>-52.446273032153755</v>
      </c>
      <c r="F479" s="1">
        <f t="shared" si="87"/>
        <v>-53.02288639645775</v>
      </c>
      <c r="G479" s="1">
        <f t="shared" si="84"/>
        <v>9.3854051156552245E-24</v>
      </c>
      <c r="H479" s="1">
        <f t="shared" si="77"/>
        <v>9.7230810669063091E-25</v>
      </c>
      <c r="I479">
        <f t="shared" si="78"/>
        <v>8</v>
      </c>
      <c r="J479">
        <f t="shared" si="79"/>
        <v>446</v>
      </c>
      <c r="K479" s="5">
        <f t="shared" si="80"/>
        <v>0</v>
      </c>
      <c r="L479">
        <f t="shared" si="81"/>
        <v>53.4</v>
      </c>
      <c r="M479">
        <f t="shared" si="82"/>
        <v>1</v>
      </c>
      <c r="N479">
        <f t="shared" si="83"/>
        <v>0</v>
      </c>
    </row>
    <row r="480" spans="4:14" x14ac:dyDescent="0.2">
      <c r="D480">
        <f t="shared" si="85"/>
        <v>457</v>
      </c>
      <c r="E480" s="1">
        <f t="shared" si="86"/>
        <v>-52.562806848409707</v>
      </c>
      <c r="F480" s="1">
        <f t="shared" si="87"/>
        <v>-53.139420212713702</v>
      </c>
      <c r="G480" s="1">
        <f t="shared" si="84"/>
        <v>8.3530105529331449E-24</v>
      </c>
      <c r="H480" s="1">
        <f t="shared" si="77"/>
        <v>8.6535421495466105E-25</v>
      </c>
      <c r="I480">
        <f t="shared" si="78"/>
        <v>8</v>
      </c>
      <c r="J480">
        <f t="shared" si="79"/>
        <v>447</v>
      </c>
      <c r="K480" s="5">
        <f t="shared" si="80"/>
        <v>0</v>
      </c>
      <c r="L480">
        <f t="shared" si="81"/>
        <v>53.4</v>
      </c>
      <c r="M480">
        <f t="shared" si="82"/>
        <v>1</v>
      </c>
      <c r="N480">
        <f t="shared" si="83"/>
        <v>0</v>
      </c>
    </row>
    <row r="481" spans="4:14" x14ac:dyDescent="0.2">
      <c r="D481">
        <f t="shared" si="85"/>
        <v>458</v>
      </c>
      <c r="E481" s="1">
        <f t="shared" si="86"/>
        <v>-52.679340664665659</v>
      </c>
      <c r="F481" s="1">
        <f t="shared" si="87"/>
        <v>-53.255954028969654</v>
      </c>
      <c r="G481" s="1">
        <f t="shared" si="84"/>
        <v>7.4341793921104944E-24</v>
      </c>
      <c r="H481" s="1">
        <f t="shared" si="77"/>
        <v>7.7016525130964786E-25</v>
      </c>
      <c r="I481">
        <f t="shared" si="78"/>
        <v>8</v>
      </c>
      <c r="J481">
        <f t="shared" si="79"/>
        <v>448</v>
      </c>
      <c r="K481" s="5">
        <f t="shared" si="80"/>
        <v>0</v>
      </c>
      <c r="L481">
        <f t="shared" si="81"/>
        <v>53.4</v>
      </c>
      <c r="M481">
        <f t="shared" si="82"/>
        <v>1</v>
      </c>
      <c r="N481">
        <f t="shared" si="83"/>
        <v>0</v>
      </c>
    </row>
    <row r="482" spans="4:14" x14ac:dyDescent="0.2">
      <c r="D482">
        <f t="shared" si="85"/>
        <v>459</v>
      </c>
      <c r="E482" s="1">
        <f t="shared" si="86"/>
        <v>-52.795874480921611</v>
      </c>
      <c r="F482" s="1">
        <f t="shared" si="87"/>
        <v>-53.372487845225606</v>
      </c>
      <c r="G482" s="1">
        <f t="shared" si="84"/>
        <v>6.6164196589783355E-24</v>
      </c>
      <c r="H482" s="1">
        <f t="shared" si="77"/>
        <v>6.8544707366558608E-25</v>
      </c>
      <c r="I482">
        <f t="shared" si="78"/>
        <v>8</v>
      </c>
      <c r="J482">
        <f t="shared" si="79"/>
        <v>449</v>
      </c>
      <c r="K482" s="5">
        <f t="shared" si="80"/>
        <v>0</v>
      </c>
      <c r="L482">
        <f t="shared" si="81"/>
        <v>53.4</v>
      </c>
      <c r="M482">
        <f t="shared" si="82"/>
        <v>1</v>
      </c>
      <c r="N482">
        <f t="shared" si="83"/>
        <v>0</v>
      </c>
    </row>
    <row r="483" spans="4:14" x14ac:dyDescent="0.2">
      <c r="D483">
        <f t="shared" si="85"/>
        <v>460</v>
      </c>
      <c r="E483" s="1">
        <f t="shared" si="86"/>
        <v>-52.912408297177564</v>
      </c>
      <c r="F483" s="1">
        <f t="shared" si="87"/>
        <v>-53.489021661481559</v>
      </c>
      <c r="G483" s="1">
        <f t="shared" si="84"/>
        <v>5.8886134964907147E-24</v>
      </c>
      <c r="H483" s="1">
        <f t="shared" si="77"/>
        <v>6.1004789556237124E-25</v>
      </c>
      <c r="I483">
        <f t="shared" si="78"/>
        <v>8</v>
      </c>
      <c r="J483">
        <f t="shared" si="79"/>
        <v>450</v>
      </c>
      <c r="K483" s="5">
        <f t="shared" si="80"/>
        <v>0</v>
      </c>
      <c r="L483">
        <f t="shared" si="81"/>
        <v>53.4</v>
      </c>
      <c r="M483">
        <f t="shared" si="82"/>
        <v>1</v>
      </c>
      <c r="N483">
        <f t="shared" si="83"/>
        <v>0</v>
      </c>
    </row>
    <row r="484" spans="4:14" x14ac:dyDescent="0.2">
      <c r="D484">
        <f t="shared" si="85"/>
        <v>461</v>
      </c>
      <c r="E484" s="1">
        <f t="shared" si="86"/>
        <v>-53.028942113433516</v>
      </c>
      <c r="F484" s="1">
        <f t="shared" si="87"/>
        <v>-53.605555477737511</v>
      </c>
      <c r="G484" s="1">
        <f t="shared" si="84"/>
        <v>5.2408660118767333E-24</v>
      </c>
      <c r="H484" s="1">
        <f t="shared" si="77"/>
        <v>5.4294262705051013E-25</v>
      </c>
      <c r="I484">
        <f t="shared" si="78"/>
        <v>8</v>
      </c>
      <c r="J484">
        <f t="shared" si="79"/>
        <v>451</v>
      </c>
      <c r="K484" s="5">
        <f t="shared" si="80"/>
        <v>0</v>
      </c>
      <c r="L484">
        <f t="shared" si="81"/>
        <v>53.4</v>
      </c>
      <c r="M484">
        <f t="shared" si="82"/>
        <v>1</v>
      </c>
      <c r="N484">
        <f t="shared" si="83"/>
        <v>0</v>
      </c>
    </row>
    <row r="485" spans="4:14" x14ac:dyDescent="0.2">
      <c r="D485">
        <f t="shared" si="85"/>
        <v>462</v>
      </c>
      <c r="E485" s="1">
        <f t="shared" si="86"/>
        <v>-53.145475929689468</v>
      </c>
      <c r="F485" s="1">
        <f t="shared" si="87"/>
        <v>-53.722089293993463</v>
      </c>
      <c r="G485" s="1">
        <f t="shared" si="84"/>
        <v>4.6643707505702891E-24</v>
      </c>
      <c r="H485" s="1">
        <f t="shared" si="77"/>
        <v>4.8321893807495367E-25</v>
      </c>
      <c r="I485">
        <f t="shared" si="78"/>
        <v>8</v>
      </c>
      <c r="J485">
        <f t="shared" si="79"/>
        <v>452</v>
      </c>
      <c r="K485" s="5">
        <f t="shared" si="80"/>
        <v>0</v>
      </c>
      <c r="L485">
        <f t="shared" si="81"/>
        <v>53.4</v>
      </c>
      <c r="M485">
        <f t="shared" si="82"/>
        <v>1</v>
      </c>
      <c r="N485">
        <f t="shared" si="83"/>
        <v>0</v>
      </c>
    </row>
    <row r="486" spans="4:14" x14ac:dyDescent="0.2">
      <c r="D486">
        <f t="shared" si="85"/>
        <v>463</v>
      </c>
      <c r="E486" s="1">
        <f t="shared" si="86"/>
        <v>-53.26200974594542</v>
      </c>
      <c r="F486" s="1">
        <f t="shared" si="87"/>
        <v>-53.838623110249415</v>
      </c>
      <c r="G486" s="1">
        <f t="shared" si="84"/>
        <v>4.1512899680075551E-24</v>
      </c>
      <c r="H486" s="1">
        <f t="shared" si="77"/>
        <v>4.3006485488670849E-25</v>
      </c>
      <c r="I486">
        <f t="shared" si="78"/>
        <v>8</v>
      </c>
      <c r="J486">
        <f t="shared" si="79"/>
        <v>453</v>
      </c>
      <c r="K486" s="5">
        <f t="shared" si="80"/>
        <v>0</v>
      </c>
      <c r="L486">
        <f t="shared" si="81"/>
        <v>53.4</v>
      </c>
      <c r="M486">
        <f t="shared" si="82"/>
        <v>1</v>
      </c>
      <c r="N486">
        <f t="shared" si="83"/>
        <v>0</v>
      </c>
    </row>
    <row r="487" spans="4:14" x14ac:dyDescent="0.2">
      <c r="D487">
        <f t="shared" si="85"/>
        <v>464</v>
      </c>
      <c r="E487" s="1">
        <f t="shared" si="86"/>
        <v>-53.378543562201372</v>
      </c>
      <c r="F487" s="1">
        <f t="shared" si="87"/>
        <v>-53.955156926505367</v>
      </c>
      <c r="G487" s="1">
        <f t="shared" si="84"/>
        <v>3.6946480715267214E-24</v>
      </c>
      <c r="H487" s="1">
        <f t="shared" si="77"/>
        <v>3.8275772084917028E-25</v>
      </c>
      <c r="I487">
        <f t="shared" si="78"/>
        <v>8</v>
      </c>
      <c r="J487">
        <f t="shared" si="79"/>
        <v>454</v>
      </c>
      <c r="K487" s="5">
        <f t="shared" si="80"/>
        <v>0</v>
      </c>
      <c r="L487">
        <f t="shared" si="81"/>
        <v>53.4</v>
      </c>
      <c r="M487">
        <f t="shared" si="82"/>
        <v>1</v>
      </c>
      <c r="N487">
        <f t="shared" si="83"/>
        <v>0</v>
      </c>
    </row>
    <row r="488" spans="4:14" x14ac:dyDescent="0.2">
      <c r="D488">
        <f t="shared" si="85"/>
        <v>465</v>
      </c>
      <c r="E488" s="1">
        <f t="shared" si="86"/>
        <v>-53.495077378457324</v>
      </c>
      <c r="F488" s="1">
        <f t="shared" si="87"/>
        <v>-54.071690742761319</v>
      </c>
      <c r="G488" s="1">
        <f t="shared" si="84"/>
        <v>3.2882367836587799E-24</v>
      </c>
      <c r="H488" s="1">
        <f t="shared" si="77"/>
        <v>3.4065437155576133E-25</v>
      </c>
      <c r="I488">
        <f t="shared" si="78"/>
        <v>8</v>
      </c>
      <c r="J488">
        <f t="shared" si="79"/>
        <v>455</v>
      </c>
      <c r="K488" s="5">
        <f t="shared" si="80"/>
        <v>0</v>
      </c>
      <c r="L488">
        <f t="shared" si="81"/>
        <v>53.4</v>
      </c>
      <c r="M488">
        <f t="shared" si="82"/>
        <v>1</v>
      </c>
      <c r="N488">
        <f t="shared" si="83"/>
        <v>0</v>
      </c>
    </row>
    <row r="489" spans="4:14" x14ac:dyDescent="0.2">
      <c r="D489">
        <f t="shared" si="85"/>
        <v>466</v>
      </c>
      <c r="E489" s="1">
        <f t="shared" si="86"/>
        <v>-53.611611194713277</v>
      </c>
      <c r="F489" s="1">
        <f t="shared" si="87"/>
        <v>-54.188224559017272</v>
      </c>
      <c r="G489" s="1">
        <f t="shared" si="84"/>
        <v>2.9265307374563123E-24</v>
      </c>
      <c r="H489" s="1">
        <f t="shared" si="77"/>
        <v>3.0318239068462742E-25</v>
      </c>
      <c r="I489">
        <f t="shared" si="78"/>
        <v>8</v>
      </c>
      <c r="J489">
        <f t="shared" si="79"/>
        <v>456</v>
      </c>
      <c r="K489" s="5">
        <f t="shared" si="80"/>
        <v>0</v>
      </c>
      <c r="L489">
        <f t="shared" si="81"/>
        <v>53.4</v>
      </c>
      <c r="M489">
        <f t="shared" si="82"/>
        <v>1</v>
      </c>
      <c r="N489">
        <f t="shared" si="83"/>
        <v>0</v>
      </c>
    </row>
    <row r="490" spans="4:14" x14ac:dyDescent="0.2">
      <c r="D490">
        <f t="shared" si="85"/>
        <v>467</v>
      </c>
      <c r="E490" s="1">
        <f t="shared" si="86"/>
        <v>-53.728145010969229</v>
      </c>
      <c r="F490" s="1">
        <f t="shared" si="87"/>
        <v>-54.304758375273224</v>
      </c>
      <c r="G490" s="1">
        <f t="shared" si="84"/>
        <v>2.6046123563361165E-24</v>
      </c>
      <c r="H490" s="1">
        <f t="shared" si="77"/>
        <v>2.6983232770931824E-25</v>
      </c>
      <c r="I490">
        <f t="shared" si="78"/>
        <v>8</v>
      </c>
      <c r="J490">
        <f t="shared" si="79"/>
        <v>457</v>
      </c>
      <c r="K490" s="5">
        <f t="shared" si="80"/>
        <v>0</v>
      </c>
      <c r="L490">
        <f t="shared" si="81"/>
        <v>53.4</v>
      </c>
      <c r="M490">
        <f t="shared" si="82"/>
        <v>1</v>
      </c>
      <c r="N490">
        <f t="shared" si="83"/>
        <v>0</v>
      </c>
    </row>
    <row r="491" spans="4:14" x14ac:dyDescent="0.2">
      <c r="D491">
        <f t="shared" si="85"/>
        <v>468</v>
      </c>
      <c r="E491" s="1">
        <f t="shared" si="86"/>
        <v>-53.844678827225181</v>
      </c>
      <c r="F491" s="1">
        <f t="shared" si="87"/>
        <v>-54.421292191529176</v>
      </c>
      <c r="G491" s="1">
        <f t="shared" si="84"/>
        <v>2.3181049971391423E-24</v>
      </c>
      <c r="H491" s="1">
        <f t="shared" si="77"/>
        <v>2.4015077166129307E-25</v>
      </c>
      <c r="I491">
        <f t="shared" si="78"/>
        <v>8</v>
      </c>
      <c r="J491">
        <f t="shared" si="79"/>
        <v>458</v>
      </c>
      <c r="K491" s="5">
        <f t="shared" si="80"/>
        <v>0</v>
      </c>
      <c r="L491">
        <f t="shared" si="81"/>
        <v>53.4</v>
      </c>
      <c r="M491">
        <f t="shared" si="82"/>
        <v>1</v>
      </c>
      <c r="N491">
        <f t="shared" si="83"/>
        <v>0</v>
      </c>
    </row>
    <row r="492" spans="4:14" x14ac:dyDescent="0.2">
      <c r="D492">
        <f t="shared" si="85"/>
        <v>469</v>
      </c>
      <c r="E492" s="1">
        <f t="shared" si="86"/>
        <v>-53.961212643481133</v>
      </c>
      <c r="F492" s="1">
        <f t="shared" si="87"/>
        <v>-54.537826007785128</v>
      </c>
      <c r="G492" s="1">
        <f t="shared" si="84"/>
        <v>2.0631134474538352E-24</v>
      </c>
      <c r="H492" s="1">
        <f t="shared" si="77"/>
        <v>2.1373418677855071E-25</v>
      </c>
      <c r="I492">
        <f t="shared" si="78"/>
        <v>8</v>
      </c>
      <c r="J492">
        <f t="shared" si="79"/>
        <v>459</v>
      </c>
      <c r="K492" s="5">
        <f t="shared" si="80"/>
        <v>0</v>
      </c>
      <c r="L492">
        <f t="shared" si="81"/>
        <v>53.4</v>
      </c>
      <c r="M492">
        <f t="shared" si="82"/>
        <v>1</v>
      </c>
      <c r="N492">
        <f t="shared" si="83"/>
        <v>0</v>
      </c>
    </row>
    <row r="493" spans="4:14" x14ac:dyDescent="0.2">
      <c r="D493">
        <f t="shared" si="85"/>
        <v>470</v>
      </c>
      <c r="E493" s="1">
        <f t="shared" si="86"/>
        <v>-54.077746459737085</v>
      </c>
      <c r="F493" s="1">
        <f t="shared" si="87"/>
        <v>-54.65435982404108</v>
      </c>
      <c r="G493" s="1">
        <f t="shared" si="84"/>
        <v>1.8361709682339123E-24</v>
      </c>
      <c r="H493" s="1">
        <f t="shared" si="77"/>
        <v>1.9022342623291001E-25</v>
      </c>
      <c r="I493">
        <f t="shared" si="78"/>
        <v>8</v>
      </c>
      <c r="J493">
        <f t="shared" si="79"/>
        <v>460</v>
      </c>
      <c r="K493" s="5">
        <f t="shared" si="80"/>
        <v>0</v>
      </c>
      <c r="L493">
        <f t="shared" si="81"/>
        <v>53.4</v>
      </c>
      <c r="M493">
        <f t="shared" si="82"/>
        <v>1</v>
      </c>
      <c r="N493">
        <f t="shared" si="83"/>
        <v>0</v>
      </c>
    </row>
    <row r="494" spans="4:14" x14ac:dyDescent="0.2">
      <c r="D494">
        <f t="shared" si="85"/>
        <v>471</v>
      </c>
      <c r="E494" s="1">
        <f t="shared" si="86"/>
        <v>-54.194280275993037</v>
      </c>
      <c r="F494" s="1">
        <f t="shared" si="87"/>
        <v>-54.770893640297032</v>
      </c>
      <c r="G494" s="1">
        <f t="shared" si="84"/>
        <v>1.6341921617281808E-24</v>
      </c>
      <c r="H494" s="1">
        <f t="shared" si="77"/>
        <v>1.6929884934728979E-25</v>
      </c>
      <c r="I494">
        <f t="shared" si="78"/>
        <v>8</v>
      </c>
      <c r="J494">
        <f t="shared" si="79"/>
        <v>461</v>
      </c>
      <c r="K494" s="5">
        <f t="shared" si="80"/>
        <v>0</v>
      </c>
      <c r="L494">
        <f t="shared" si="81"/>
        <v>53.4</v>
      </c>
      <c r="M494">
        <f t="shared" si="82"/>
        <v>1</v>
      </c>
      <c r="N494">
        <f t="shared" si="83"/>
        <v>0</v>
      </c>
    </row>
    <row r="495" spans="4:14" x14ac:dyDescent="0.2">
      <c r="D495">
        <f t="shared" si="85"/>
        <v>472</v>
      </c>
      <c r="E495" s="1">
        <f t="shared" si="86"/>
        <v>-54.310814092248989</v>
      </c>
      <c r="F495" s="1">
        <f t="shared" si="87"/>
        <v>-54.887427456552984</v>
      </c>
      <c r="G495" s="1">
        <f t="shared" si="84"/>
        <v>1.4544310239380801E-24</v>
      </c>
      <c r="H495" s="1">
        <f t="shared" si="77"/>
        <v>1.5067597591908782E-25</v>
      </c>
      <c r="I495">
        <f t="shared" si="78"/>
        <v>8</v>
      </c>
      <c r="J495">
        <f t="shared" si="79"/>
        <v>462</v>
      </c>
      <c r="K495" s="5">
        <f t="shared" si="80"/>
        <v>0</v>
      </c>
      <c r="L495">
        <f t="shared" si="81"/>
        <v>53.4</v>
      </c>
      <c r="M495">
        <f t="shared" si="82"/>
        <v>1</v>
      </c>
      <c r="N495">
        <f t="shared" si="83"/>
        <v>0</v>
      </c>
    </row>
    <row r="496" spans="4:14" x14ac:dyDescent="0.2">
      <c r="D496">
        <f t="shared" si="85"/>
        <v>473</v>
      </c>
      <c r="E496" s="1">
        <f t="shared" si="86"/>
        <v>-54.427347908504942</v>
      </c>
      <c r="F496" s="1">
        <f t="shared" si="87"/>
        <v>-55.003961272808937</v>
      </c>
      <c r="G496" s="1">
        <f t="shared" si="84"/>
        <v>1.2944436113048904E-24</v>
      </c>
      <c r="H496" s="1">
        <f t="shared" si="77"/>
        <v>1.3410161856798809E-25</v>
      </c>
      <c r="I496">
        <f t="shared" si="78"/>
        <v>8</v>
      </c>
      <c r="J496">
        <f t="shared" si="79"/>
        <v>463</v>
      </c>
      <c r="K496" s="5">
        <f t="shared" si="80"/>
        <v>0</v>
      </c>
      <c r="L496">
        <f t="shared" si="81"/>
        <v>53.4</v>
      </c>
      <c r="M496">
        <f t="shared" si="82"/>
        <v>1</v>
      </c>
      <c r="N496">
        <f t="shared" si="83"/>
        <v>0</v>
      </c>
    </row>
    <row r="497" spans="4:14" x14ac:dyDescent="0.2">
      <c r="D497">
        <f t="shared" si="85"/>
        <v>474</v>
      </c>
      <c r="E497" s="1">
        <f t="shared" si="86"/>
        <v>-54.543881724760894</v>
      </c>
      <c r="F497" s="1">
        <f t="shared" si="87"/>
        <v>-55.120495089064889</v>
      </c>
      <c r="G497" s="1">
        <f t="shared" si="84"/>
        <v>1.1520548140613518E-24</v>
      </c>
      <c r="H497" s="1">
        <f t="shared" si="77"/>
        <v>1.1935044052550933E-25</v>
      </c>
      <c r="I497">
        <f t="shared" si="78"/>
        <v>8</v>
      </c>
      <c r="J497">
        <f t="shared" si="79"/>
        <v>464</v>
      </c>
      <c r="K497" s="5">
        <f t="shared" si="80"/>
        <v>0</v>
      </c>
      <c r="L497">
        <f t="shared" si="81"/>
        <v>53.4</v>
      </c>
      <c r="M497">
        <f t="shared" si="82"/>
        <v>1</v>
      </c>
      <c r="N497">
        <f t="shared" si="83"/>
        <v>0</v>
      </c>
    </row>
    <row r="498" spans="4:14" x14ac:dyDescent="0.2">
      <c r="D498">
        <f t="shared" si="85"/>
        <v>475</v>
      </c>
      <c r="E498" s="1">
        <f t="shared" si="86"/>
        <v>-54.660415541016846</v>
      </c>
      <c r="F498" s="1">
        <f t="shared" si="87"/>
        <v>-55.237028905320841</v>
      </c>
      <c r="G498" s="1">
        <f t="shared" si="84"/>
        <v>1.0253287845146023E-24</v>
      </c>
      <c r="H498" s="1">
        <f t="shared" si="77"/>
        <v>1.0622189206770321E-25</v>
      </c>
      <c r="I498">
        <f t="shared" si="78"/>
        <v>8</v>
      </c>
      <c r="J498">
        <f t="shared" si="79"/>
        <v>465</v>
      </c>
      <c r="K498" s="5">
        <f t="shared" si="80"/>
        <v>0</v>
      </c>
      <c r="L498">
        <f t="shared" si="81"/>
        <v>53.4</v>
      </c>
      <c r="M498">
        <f t="shared" si="82"/>
        <v>1</v>
      </c>
      <c r="N498">
        <f t="shared" si="83"/>
        <v>0</v>
      </c>
    </row>
    <row r="499" spans="4:14" x14ac:dyDescent="0.2">
      <c r="D499">
        <f t="shared" si="85"/>
        <v>476</v>
      </c>
      <c r="E499" s="1">
        <f t="shared" si="86"/>
        <v>-54.776949357272798</v>
      </c>
      <c r="F499" s="1">
        <f t="shared" si="87"/>
        <v>-55.353562721576793</v>
      </c>
      <c r="G499" s="1">
        <f t="shared" si="84"/>
        <v>9.1254261821799551E-25</v>
      </c>
      <c r="H499" s="1">
        <f t="shared" si="77"/>
        <v>9.4537483940255805E-26</v>
      </c>
      <c r="I499">
        <f t="shared" si="78"/>
        <v>8</v>
      </c>
      <c r="J499">
        <f t="shared" si="79"/>
        <v>466</v>
      </c>
      <c r="K499" s="5">
        <f t="shared" si="80"/>
        <v>0</v>
      </c>
      <c r="L499">
        <f t="shared" si="81"/>
        <v>53.4</v>
      </c>
      <c r="M499">
        <f t="shared" si="82"/>
        <v>1</v>
      </c>
      <c r="N499">
        <f t="shared" si="83"/>
        <v>0</v>
      </c>
    </row>
    <row r="500" spans="4:14" x14ac:dyDescent="0.2">
      <c r="D500">
        <f t="shared" si="85"/>
        <v>477</v>
      </c>
      <c r="E500" s="1">
        <f t="shared" si="86"/>
        <v>-54.89348317352875</v>
      </c>
      <c r="F500" s="1">
        <f t="shared" si="87"/>
        <v>-55.470096537832745</v>
      </c>
      <c r="G500" s="1">
        <f t="shared" si="84"/>
        <v>8.1216293021401548E-25</v>
      </c>
      <c r="H500" s="1">
        <f t="shared" si="77"/>
        <v>8.4138360706827611E-26</v>
      </c>
      <c r="I500">
        <f t="shared" si="78"/>
        <v>8</v>
      </c>
      <c r="J500">
        <f t="shared" si="79"/>
        <v>467</v>
      </c>
      <c r="K500" s="5">
        <f t="shared" si="80"/>
        <v>0</v>
      </c>
      <c r="L500">
        <f t="shared" si="81"/>
        <v>53.4</v>
      </c>
      <c r="M500">
        <f t="shared" si="82"/>
        <v>1</v>
      </c>
      <c r="N500">
        <f t="shared" si="83"/>
        <v>0</v>
      </c>
    </row>
    <row r="501" spans="4:14" x14ac:dyDescent="0.2">
      <c r="D501">
        <f t="shared" si="85"/>
        <v>478</v>
      </c>
      <c r="E501" s="1">
        <f t="shared" si="86"/>
        <v>-55.010016989784702</v>
      </c>
      <c r="F501" s="1">
        <f t="shared" si="87"/>
        <v>-55.586630354088697</v>
      </c>
      <c r="G501" s="1">
        <f t="shared" si="84"/>
        <v>7.2282500789047332E-25</v>
      </c>
      <c r="H501" s="1">
        <f t="shared" si="77"/>
        <v>7.4883141029076531E-26</v>
      </c>
      <c r="I501">
        <f t="shared" si="78"/>
        <v>8</v>
      </c>
      <c r="J501">
        <f t="shared" si="79"/>
        <v>468</v>
      </c>
      <c r="K501" s="5">
        <f t="shared" si="80"/>
        <v>0</v>
      </c>
      <c r="L501">
        <f t="shared" si="81"/>
        <v>53.4</v>
      </c>
      <c r="M501">
        <f t="shared" si="82"/>
        <v>1</v>
      </c>
      <c r="N501">
        <f t="shared" si="83"/>
        <v>0</v>
      </c>
    </row>
    <row r="502" spans="4:14" x14ac:dyDescent="0.2">
      <c r="D502">
        <f t="shared" si="85"/>
        <v>479</v>
      </c>
      <c r="E502" s="1">
        <f t="shared" si="86"/>
        <v>-55.126550806040655</v>
      </c>
      <c r="F502" s="1">
        <f t="shared" si="87"/>
        <v>-55.70316417034465</v>
      </c>
      <c r="G502" s="1">
        <f t="shared" si="84"/>
        <v>6.4331425702252091E-25</v>
      </c>
      <c r="H502" s="1">
        <f t="shared" si="77"/>
        <v>6.6645995515878074E-26</v>
      </c>
      <c r="I502">
        <f t="shared" si="78"/>
        <v>8</v>
      </c>
      <c r="J502">
        <f t="shared" si="79"/>
        <v>469</v>
      </c>
      <c r="K502" s="5">
        <f t="shared" si="80"/>
        <v>0</v>
      </c>
      <c r="L502">
        <f t="shared" si="81"/>
        <v>53.4</v>
      </c>
      <c r="M502">
        <f t="shared" si="82"/>
        <v>1</v>
      </c>
      <c r="N502">
        <f t="shared" si="83"/>
        <v>0</v>
      </c>
    </row>
    <row r="503" spans="4:14" x14ac:dyDescent="0.2">
      <c r="D503">
        <f t="shared" si="85"/>
        <v>480</v>
      </c>
      <c r="E503" s="1">
        <f t="shared" si="86"/>
        <v>-55.243084622296607</v>
      </c>
      <c r="F503" s="1">
        <f t="shared" si="87"/>
        <v>-55.819697986600602</v>
      </c>
      <c r="G503" s="1">
        <f t="shared" si="84"/>
        <v>5.725496887500432E-25</v>
      </c>
      <c r="H503" s="1">
        <f t="shared" si="77"/>
        <v>5.931493600913144E-26</v>
      </c>
      <c r="I503">
        <f t="shared" si="78"/>
        <v>8</v>
      </c>
      <c r="J503">
        <f t="shared" si="79"/>
        <v>470</v>
      </c>
      <c r="K503" s="5">
        <f t="shared" si="80"/>
        <v>0</v>
      </c>
      <c r="L503">
        <f t="shared" si="81"/>
        <v>53.4</v>
      </c>
      <c r="M503">
        <f t="shared" si="82"/>
        <v>1</v>
      </c>
      <c r="N503">
        <f t="shared" si="83"/>
        <v>0</v>
      </c>
    </row>
    <row r="504" spans="4:14" x14ac:dyDescent="0.2">
      <c r="D504">
        <f t="shared" si="85"/>
        <v>481</v>
      </c>
      <c r="E504" s="1">
        <f t="shared" si="86"/>
        <v>-55.359618438552559</v>
      </c>
      <c r="F504" s="1">
        <f t="shared" si="87"/>
        <v>-55.936231802856554</v>
      </c>
      <c r="G504" s="1">
        <f t="shared" si="84"/>
        <v>5.0956922298753815E-25</v>
      </c>
      <c r="H504" s="1">
        <f t="shared" si="77"/>
        <v>5.2790293048126949E-26</v>
      </c>
      <c r="I504">
        <f t="shared" si="78"/>
        <v>8</v>
      </c>
      <c r="J504">
        <f t="shared" si="79"/>
        <v>471</v>
      </c>
      <c r="K504" s="5">
        <f t="shared" si="80"/>
        <v>0</v>
      </c>
      <c r="L504">
        <f t="shared" si="81"/>
        <v>53.4</v>
      </c>
      <c r="M504">
        <f t="shared" si="82"/>
        <v>1</v>
      </c>
      <c r="N504">
        <f t="shared" si="83"/>
        <v>0</v>
      </c>
    </row>
    <row r="505" spans="4:14" x14ac:dyDescent="0.2">
      <c r="D505">
        <f t="shared" si="85"/>
        <v>482</v>
      </c>
      <c r="E505" s="1">
        <f t="shared" si="86"/>
        <v>-55.476152254808511</v>
      </c>
      <c r="F505" s="1">
        <f t="shared" si="87"/>
        <v>-56.052765619112506</v>
      </c>
      <c r="G505" s="1">
        <f t="shared" si="84"/>
        <v>4.5351660845890865E-25</v>
      </c>
      <c r="H505" s="1">
        <f t="shared" si="77"/>
        <v>4.6983360812832956E-26</v>
      </c>
      <c r="I505">
        <f t="shared" si="78"/>
        <v>8</v>
      </c>
      <c r="J505">
        <f t="shared" si="79"/>
        <v>472</v>
      </c>
      <c r="K505" s="5">
        <f t="shared" si="80"/>
        <v>0</v>
      </c>
      <c r="L505">
        <f t="shared" si="81"/>
        <v>53.4</v>
      </c>
      <c r="M505">
        <f t="shared" si="82"/>
        <v>1</v>
      </c>
      <c r="N505">
        <f t="shared" si="83"/>
        <v>0</v>
      </c>
    </row>
    <row r="506" spans="4:14" x14ac:dyDescent="0.2">
      <c r="D506">
        <f t="shared" si="85"/>
        <v>483</v>
      </c>
      <c r="E506" s="1">
        <f t="shared" si="86"/>
        <v>-55.592686071064463</v>
      </c>
      <c r="F506" s="1">
        <f t="shared" si="87"/>
        <v>-56.169299435368458</v>
      </c>
      <c r="G506" s="1">
        <f t="shared" si="84"/>
        <v>4.0362978152842846E-25</v>
      </c>
      <c r="H506" s="1">
        <f t="shared" si="77"/>
        <v>4.1815191123421309E-26</v>
      </c>
      <c r="I506">
        <f t="shared" si="78"/>
        <v>8</v>
      </c>
      <c r="J506">
        <f t="shared" si="79"/>
        <v>473</v>
      </c>
      <c r="K506" s="5">
        <f t="shared" si="80"/>
        <v>0</v>
      </c>
      <c r="L506">
        <f t="shared" si="81"/>
        <v>53.4</v>
      </c>
      <c r="M506">
        <f t="shared" si="82"/>
        <v>1</v>
      </c>
      <c r="N506">
        <f t="shared" si="83"/>
        <v>0</v>
      </c>
    </row>
    <row r="507" spans="4:14" x14ac:dyDescent="0.2">
      <c r="D507">
        <f t="shared" si="85"/>
        <v>484</v>
      </c>
      <c r="E507" s="1">
        <f t="shared" si="86"/>
        <v>-55.709219887320415</v>
      </c>
      <c r="F507" s="1">
        <f t="shared" si="87"/>
        <v>-56.28583325162441</v>
      </c>
      <c r="G507" s="1">
        <f t="shared" si="84"/>
        <v>3.5923050556030112E-25</v>
      </c>
      <c r="H507" s="1">
        <f t="shared" si="77"/>
        <v>3.7215520099844939E-26</v>
      </c>
      <c r="I507">
        <f t="shared" si="78"/>
        <v>8</v>
      </c>
      <c r="J507">
        <f t="shared" si="79"/>
        <v>474</v>
      </c>
      <c r="K507" s="5">
        <f t="shared" si="80"/>
        <v>0</v>
      </c>
      <c r="L507">
        <f t="shared" si="81"/>
        <v>53.4</v>
      </c>
      <c r="M507">
        <f t="shared" si="82"/>
        <v>1</v>
      </c>
      <c r="N507">
        <f t="shared" si="83"/>
        <v>0</v>
      </c>
    </row>
    <row r="508" spans="4:14" x14ac:dyDescent="0.2">
      <c r="D508">
        <f t="shared" si="85"/>
        <v>485</v>
      </c>
      <c r="E508" s="1">
        <f t="shared" si="86"/>
        <v>-55.825753703576368</v>
      </c>
      <c r="F508" s="1">
        <f t="shared" si="87"/>
        <v>-56.402367067880363</v>
      </c>
      <c r="G508" s="1">
        <f t="shared" si="84"/>
        <v>3.1971514994866776E-25</v>
      </c>
      <c r="H508" s="1">
        <f t="shared" si="77"/>
        <v>3.3121812888861972E-26</v>
      </c>
      <c r="I508">
        <f t="shared" si="78"/>
        <v>8</v>
      </c>
      <c r="J508">
        <f t="shared" si="79"/>
        <v>475</v>
      </c>
      <c r="K508" s="5">
        <f t="shared" si="80"/>
        <v>0</v>
      </c>
      <c r="L508">
        <f t="shared" si="81"/>
        <v>53.4</v>
      </c>
      <c r="M508">
        <f t="shared" si="82"/>
        <v>1</v>
      </c>
      <c r="N508">
        <f t="shared" si="83"/>
        <v>0</v>
      </c>
    </row>
    <row r="509" spans="4:14" x14ac:dyDescent="0.2">
      <c r="D509">
        <f t="shared" si="85"/>
        <v>486</v>
      </c>
      <c r="E509" s="1">
        <f t="shared" si="86"/>
        <v>-55.94228751983232</v>
      </c>
      <c r="F509" s="1">
        <f t="shared" si="87"/>
        <v>-56.518900884136315</v>
      </c>
      <c r="G509" s="1">
        <f t="shared" si="84"/>
        <v>2.8454648345431415E-25</v>
      </c>
      <c r="H509" s="1">
        <f t="shared" si="77"/>
        <v>2.947841347108714E-26</v>
      </c>
      <c r="I509">
        <f t="shared" si="78"/>
        <v>8</v>
      </c>
      <c r="J509">
        <f t="shared" si="79"/>
        <v>476</v>
      </c>
      <c r="K509" s="5">
        <f t="shared" si="80"/>
        <v>0</v>
      </c>
      <c r="L509">
        <f t="shared" si="81"/>
        <v>53.4</v>
      </c>
      <c r="M509">
        <f t="shared" si="82"/>
        <v>1</v>
      </c>
      <c r="N509">
        <f t="shared" si="83"/>
        <v>0</v>
      </c>
    </row>
    <row r="510" spans="4:14" x14ac:dyDescent="0.2">
      <c r="D510">
        <f t="shared" si="85"/>
        <v>487</v>
      </c>
      <c r="E510" s="1">
        <f t="shared" si="86"/>
        <v>-56.058821336088272</v>
      </c>
      <c r="F510" s="1">
        <f t="shared" si="87"/>
        <v>-56.635434700392267</v>
      </c>
      <c r="G510" s="1">
        <f t="shared" si="84"/>
        <v>2.5324637027433942E-25</v>
      </c>
      <c r="H510" s="1">
        <f t="shared" si="77"/>
        <v>2.6235787989267538E-26</v>
      </c>
      <c r="I510">
        <f t="shared" si="78"/>
        <v>8</v>
      </c>
      <c r="J510">
        <f t="shared" si="79"/>
        <v>477</v>
      </c>
      <c r="K510" s="5">
        <f t="shared" si="80"/>
        <v>0</v>
      </c>
      <c r="L510">
        <f t="shared" si="81"/>
        <v>53.4</v>
      </c>
      <c r="M510">
        <f t="shared" si="82"/>
        <v>1</v>
      </c>
      <c r="N510">
        <f t="shared" si="83"/>
        <v>0</v>
      </c>
    </row>
    <row r="511" spans="4:14" x14ac:dyDescent="0.2">
      <c r="D511">
        <f t="shared" si="85"/>
        <v>488</v>
      </c>
      <c r="E511" s="1">
        <f t="shared" si="86"/>
        <v>-56.175355152344224</v>
      </c>
      <c r="F511" s="1">
        <f t="shared" si="87"/>
        <v>-56.751968516648219</v>
      </c>
      <c r="G511" s="1">
        <f t="shared" si="84"/>
        <v>2.2538926954416194E-25</v>
      </c>
      <c r="H511" s="1">
        <f t="shared" si="77"/>
        <v>2.3349851310448093E-26</v>
      </c>
      <c r="I511">
        <f t="shared" si="78"/>
        <v>8</v>
      </c>
      <c r="J511">
        <f t="shared" si="79"/>
        <v>478</v>
      </c>
      <c r="K511" s="5">
        <f t="shared" si="80"/>
        <v>0</v>
      </c>
      <c r="L511">
        <f t="shared" si="81"/>
        <v>53.4</v>
      </c>
      <c r="M511">
        <f t="shared" si="82"/>
        <v>1</v>
      </c>
      <c r="N511">
        <f t="shared" si="83"/>
        <v>0</v>
      </c>
    </row>
    <row r="512" spans="4:14" x14ac:dyDescent="0.2">
      <c r="D512">
        <f t="shared" si="85"/>
        <v>489</v>
      </c>
      <c r="E512" s="1">
        <f t="shared" si="86"/>
        <v>-56.291888968600176</v>
      </c>
      <c r="F512" s="1">
        <f t="shared" si="87"/>
        <v>-56.868502332904171</v>
      </c>
      <c r="G512" s="1">
        <f t="shared" si="84"/>
        <v>2.0059644989430401E-25</v>
      </c>
      <c r="H512" s="1">
        <f t="shared" si="77"/>
        <v>2.0781367666298789E-26</v>
      </c>
      <c r="I512">
        <f t="shared" si="78"/>
        <v>8</v>
      </c>
      <c r="J512">
        <f t="shared" si="79"/>
        <v>479</v>
      </c>
      <c r="K512" s="5">
        <f t="shared" si="80"/>
        <v>0</v>
      </c>
      <c r="L512">
        <f t="shared" si="81"/>
        <v>53.4</v>
      </c>
      <c r="M512">
        <f t="shared" si="82"/>
        <v>1</v>
      </c>
      <c r="N512">
        <f t="shared" si="83"/>
        <v>0</v>
      </c>
    </row>
    <row r="513" spans="4:14" x14ac:dyDescent="0.2">
      <c r="D513">
        <f t="shared" si="85"/>
        <v>490</v>
      </c>
      <c r="E513" s="1">
        <f t="shared" si="86"/>
        <v>-56.408422784856128</v>
      </c>
      <c r="F513" s="1">
        <f t="shared" si="87"/>
        <v>-56.985036149160123</v>
      </c>
      <c r="G513" s="1">
        <f t="shared" si="84"/>
        <v>1.7853084040593046E-25</v>
      </c>
      <c r="H513" s="1">
        <f t="shared" si="77"/>
        <v>1.8495417223005914E-26</v>
      </c>
      <c r="I513">
        <f t="shared" si="78"/>
        <v>8</v>
      </c>
      <c r="J513">
        <f t="shared" si="79"/>
        <v>480</v>
      </c>
      <c r="K513" s="5">
        <f t="shared" si="80"/>
        <v>0</v>
      </c>
      <c r="L513">
        <f t="shared" si="81"/>
        <v>53.4</v>
      </c>
      <c r="M513">
        <f t="shared" si="82"/>
        <v>1</v>
      </c>
      <c r="N513">
        <f t="shared" si="83"/>
        <v>0</v>
      </c>
    </row>
    <row r="514" spans="4:14" x14ac:dyDescent="0.2">
      <c r="D514">
        <f t="shared" si="85"/>
        <v>491</v>
      </c>
      <c r="E514" s="1">
        <f t="shared" si="86"/>
        <v>-56.524956601112081</v>
      </c>
      <c r="F514" s="1">
        <f t="shared" si="87"/>
        <v>-57.101569965416076</v>
      </c>
      <c r="G514" s="1">
        <f t="shared" si="84"/>
        <v>1.5889244796127799E-25</v>
      </c>
      <c r="H514" s="1">
        <f t="shared" si="77"/>
        <v>1.646092132847525E-26</v>
      </c>
      <c r="I514">
        <f t="shared" si="78"/>
        <v>8</v>
      </c>
      <c r="J514">
        <f t="shared" si="79"/>
        <v>481</v>
      </c>
      <c r="K514" s="5">
        <f t="shared" si="80"/>
        <v>0</v>
      </c>
      <c r="L514">
        <f t="shared" si="81"/>
        <v>53.4</v>
      </c>
      <c r="M514">
        <f t="shared" si="82"/>
        <v>1</v>
      </c>
      <c r="N514">
        <f t="shared" si="83"/>
        <v>0</v>
      </c>
    </row>
    <row r="515" spans="4:14" x14ac:dyDescent="0.2">
      <c r="D515">
        <f t="shared" si="85"/>
        <v>492</v>
      </c>
      <c r="E515" s="1">
        <f t="shared" si="86"/>
        <v>-56.641490417368033</v>
      </c>
      <c r="F515" s="1">
        <f t="shared" si="87"/>
        <v>-57.218103781672028</v>
      </c>
      <c r="G515" s="1">
        <f t="shared" si="84"/>
        <v>1.4141427868553732E-25</v>
      </c>
      <c r="H515" s="1">
        <f t="shared" si="77"/>
        <v>1.4650219982342963E-26</v>
      </c>
      <c r="I515">
        <f t="shared" si="78"/>
        <v>8</v>
      </c>
      <c r="J515">
        <f t="shared" si="79"/>
        <v>482</v>
      </c>
      <c r="K515" s="5">
        <f t="shared" si="80"/>
        <v>0</v>
      </c>
      <c r="L515">
        <f t="shared" si="81"/>
        <v>53.4</v>
      </c>
      <c r="M515">
        <f t="shared" si="82"/>
        <v>1</v>
      </c>
      <c r="N515">
        <f t="shared" si="83"/>
        <v>0</v>
      </c>
    </row>
    <row r="516" spans="4:14" x14ac:dyDescent="0.2">
      <c r="D516">
        <f t="shared" si="85"/>
        <v>493</v>
      </c>
      <c r="E516" s="1">
        <f t="shared" si="86"/>
        <v>-56.758024233623985</v>
      </c>
      <c r="F516" s="1">
        <f t="shared" si="87"/>
        <v>-57.33463759792798</v>
      </c>
      <c r="G516" s="1">
        <f t="shared" si="84"/>
        <v>1.2585870803012814E-25</v>
      </c>
      <c r="H516" s="1">
        <f t="shared" si="77"/>
        <v>1.3038695784285229E-26</v>
      </c>
      <c r="I516">
        <f t="shared" si="78"/>
        <v>8</v>
      </c>
      <c r="J516">
        <f t="shared" si="79"/>
        <v>483</v>
      </c>
      <c r="K516" s="5">
        <f t="shared" si="80"/>
        <v>0</v>
      </c>
      <c r="L516">
        <f t="shared" si="81"/>
        <v>53.4</v>
      </c>
      <c r="M516">
        <f t="shared" si="82"/>
        <v>1</v>
      </c>
      <c r="N516">
        <f t="shared" si="83"/>
        <v>0</v>
      </c>
    </row>
    <row r="517" spans="4:14" x14ac:dyDescent="0.2">
      <c r="D517">
        <f t="shared" si="85"/>
        <v>494</v>
      </c>
      <c r="E517" s="1">
        <f t="shared" si="86"/>
        <v>-56.874558049879937</v>
      </c>
      <c r="F517" s="1">
        <f t="shared" si="87"/>
        <v>-57.451171414183932</v>
      </c>
      <c r="G517" s="1">
        <f t="shared" si="84"/>
        <v>1.1201425014681397E-25</v>
      </c>
      <c r="H517" s="1">
        <f t="shared" si="77"/>
        <v>1.1604439248013846E-26</v>
      </c>
      <c r="I517">
        <f t="shared" si="78"/>
        <v>8</v>
      </c>
      <c r="J517">
        <f t="shared" si="79"/>
        <v>484</v>
      </c>
      <c r="K517" s="5">
        <f t="shared" si="80"/>
        <v>0</v>
      </c>
      <c r="L517">
        <f t="shared" si="81"/>
        <v>53.4</v>
      </c>
      <c r="M517">
        <f t="shared" si="82"/>
        <v>1</v>
      </c>
      <c r="N517">
        <f t="shared" si="83"/>
        <v>0</v>
      </c>
    </row>
    <row r="518" spans="4:14" x14ac:dyDescent="0.2">
      <c r="D518">
        <f t="shared" si="85"/>
        <v>495</v>
      </c>
      <c r="E518" s="1">
        <f t="shared" si="86"/>
        <v>-56.991091866135889</v>
      </c>
      <c r="F518" s="1">
        <f t="shared" si="87"/>
        <v>-57.567705230439884</v>
      </c>
      <c r="G518" s="1">
        <f t="shared" si="84"/>
        <v>9.9692682630664383E-26</v>
      </c>
      <c r="H518" s="1">
        <f t="shared" si="77"/>
        <v>1.0327950930732317E-26</v>
      </c>
      <c r="I518">
        <f t="shared" si="78"/>
        <v>8</v>
      </c>
      <c r="J518">
        <f t="shared" si="79"/>
        <v>485</v>
      </c>
      <c r="K518" s="5">
        <f t="shared" si="80"/>
        <v>0</v>
      </c>
      <c r="L518">
        <f t="shared" si="81"/>
        <v>53.4</v>
      </c>
      <c r="M518">
        <f t="shared" si="82"/>
        <v>1</v>
      </c>
      <c r="N518">
        <f t="shared" si="83"/>
        <v>0</v>
      </c>
    </row>
    <row r="519" spans="4:14" x14ac:dyDescent="0.2">
      <c r="D519">
        <f t="shared" si="85"/>
        <v>496</v>
      </c>
      <c r="E519" s="1">
        <f t="shared" si="86"/>
        <v>-57.107625682391841</v>
      </c>
      <c r="F519" s="1">
        <f t="shared" si="87"/>
        <v>-57.684239046695836</v>
      </c>
      <c r="G519" s="1">
        <f t="shared" si="84"/>
        <v>8.8726487541291244E-26</v>
      </c>
      <c r="H519" s="1">
        <f t="shared" si="77"/>
        <v>9.1918763283517565E-27</v>
      </c>
      <c r="I519">
        <f t="shared" si="78"/>
        <v>8</v>
      </c>
      <c r="J519">
        <f t="shared" si="79"/>
        <v>486</v>
      </c>
      <c r="K519" s="5">
        <f t="shared" si="80"/>
        <v>0</v>
      </c>
      <c r="L519">
        <f t="shared" si="81"/>
        <v>53.4</v>
      </c>
      <c r="M519">
        <f t="shared" si="82"/>
        <v>1</v>
      </c>
      <c r="N519">
        <f t="shared" si="83"/>
        <v>0</v>
      </c>
    </row>
    <row r="520" spans="4:14" x14ac:dyDescent="0.2">
      <c r="D520">
        <f t="shared" si="85"/>
        <v>497</v>
      </c>
      <c r="E520" s="1">
        <f t="shared" si="86"/>
        <v>-57.224159498647793</v>
      </c>
      <c r="F520" s="1">
        <f t="shared" si="87"/>
        <v>-57.800772862951789</v>
      </c>
      <c r="G520" s="1">
        <f t="shared" si="84"/>
        <v>7.8966573911749159E-26</v>
      </c>
      <c r="H520" s="1">
        <f t="shared" si="77"/>
        <v>8.1807699322330589E-27</v>
      </c>
      <c r="I520">
        <f t="shared" si="78"/>
        <v>8</v>
      </c>
      <c r="J520">
        <f t="shared" si="79"/>
        <v>487</v>
      </c>
      <c r="K520" s="5">
        <f t="shared" si="80"/>
        <v>0</v>
      </c>
      <c r="L520">
        <f t="shared" si="81"/>
        <v>53.4</v>
      </c>
      <c r="M520">
        <f t="shared" si="82"/>
        <v>1</v>
      </c>
      <c r="N520">
        <f t="shared" si="83"/>
        <v>0</v>
      </c>
    </row>
    <row r="521" spans="4:14" x14ac:dyDescent="0.2">
      <c r="D521">
        <f t="shared" si="85"/>
        <v>498</v>
      </c>
      <c r="E521" s="1">
        <f t="shared" si="86"/>
        <v>-57.340693314903746</v>
      </c>
      <c r="F521" s="1">
        <f t="shared" si="87"/>
        <v>-57.917306679207741</v>
      </c>
      <c r="G521" s="1">
        <f t="shared" si="84"/>
        <v>7.0280250781456705E-26</v>
      </c>
      <c r="H521" s="1">
        <f t="shared" si="77"/>
        <v>7.2808852396874169E-27</v>
      </c>
      <c r="I521">
        <f t="shared" si="78"/>
        <v>8</v>
      </c>
      <c r="J521">
        <f t="shared" si="79"/>
        <v>488</v>
      </c>
      <c r="K521" s="5">
        <f t="shared" si="80"/>
        <v>0</v>
      </c>
      <c r="L521">
        <f t="shared" si="81"/>
        <v>53.4</v>
      </c>
      <c r="M521">
        <f t="shared" si="82"/>
        <v>1</v>
      </c>
      <c r="N521">
        <f t="shared" si="83"/>
        <v>0</v>
      </c>
    </row>
    <row r="522" spans="4:14" x14ac:dyDescent="0.2">
      <c r="D522">
        <f t="shared" si="85"/>
        <v>499</v>
      </c>
      <c r="E522" s="1">
        <f t="shared" si="86"/>
        <v>-57.457227131159698</v>
      </c>
      <c r="F522" s="1">
        <f t="shared" si="87"/>
        <v>-58.033840495463693</v>
      </c>
      <c r="G522" s="1">
        <f t="shared" si="84"/>
        <v>6.2549423195496433E-26</v>
      </c>
      <c r="H522" s="1">
        <f t="shared" si="77"/>
        <v>6.4799878633217982E-27</v>
      </c>
      <c r="I522">
        <f t="shared" si="78"/>
        <v>8</v>
      </c>
      <c r="J522">
        <f t="shared" si="79"/>
        <v>489</v>
      </c>
      <c r="K522" s="5">
        <f t="shared" si="80"/>
        <v>0</v>
      </c>
      <c r="L522">
        <f t="shared" si="81"/>
        <v>53.4</v>
      </c>
      <c r="M522">
        <f t="shared" si="82"/>
        <v>1</v>
      </c>
      <c r="N522">
        <f t="shared" si="83"/>
        <v>0</v>
      </c>
    </row>
    <row r="523" spans="4:14" x14ac:dyDescent="0.2">
      <c r="D523">
        <f t="shared" si="85"/>
        <v>500</v>
      </c>
      <c r="E523" s="1">
        <f t="shared" si="86"/>
        <v>-57.57376094741565</v>
      </c>
      <c r="F523" s="1">
        <f t="shared" si="87"/>
        <v>-58.150374311719645</v>
      </c>
      <c r="G523" s="1">
        <f t="shared" si="84"/>
        <v>5.5668986643991789E-26</v>
      </c>
      <c r="H523" s="1">
        <f t="shared" si="77"/>
        <v>5.7671891983563964E-27</v>
      </c>
      <c r="I523">
        <f t="shared" si="78"/>
        <v>8</v>
      </c>
      <c r="J523">
        <f t="shared" si="79"/>
        <v>490</v>
      </c>
      <c r="K523" s="5">
        <f t="shared" si="80"/>
        <v>0</v>
      </c>
      <c r="L523">
        <f t="shared" si="81"/>
        <v>53.4</v>
      </c>
      <c r="M523">
        <f t="shared" si="82"/>
        <v>1</v>
      </c>
      <c r="N523">
        <f t="shared" si="83"/>
        <v>0</v>
      </c>
    </row>
    <row r="524" spans="4:14" x14ac:dyDescent="0.2">
      <c r="D524">
        <f t="shared" si="85"/>
        <v>501</v>
      </c>
      <c r="E524" s="1">
        <f t="shared" si="86"/>
        <v>-57.690294763671602</v>
      </c>
      <c r="F524" s="1">
        <f t="shared" si="87"/>
        <v>-58.266908127975597</v>
      </c>
      <c r="G524" s="1">
        <f t="shared" si="84"/>
        <v>4.9545398113152658E-26</v>
      </c>
      <c r="H524" s="1">
        <f t="shared" si="77"/>
        <v>5.1327983865371896E-27</v>
      </c>
      <c r="I524">
        <f t="shared" si="78"/>
        <v>8</v>
      </c>
      <c r="J524">
        <f t="shared" si="79"/>
        <v>491</v>
      </c>
      <c r="K524" s="5">
        <f t="shared" si="80"/>
        <v>0</v>
      </c>
      <c r="L524">
        <f t="shared" si="81"/>
        <v>53.4</v>
      </c>
      <c r="M524">
        <f t="shared" si="82"/>
        <v>1</v>
      </c>
      <c r="N524">
        <f t="shared" si="83"/>
        <v>0</v>
      </c>
    </row>
    <row r="525" spans="4:14" x14ac:dyDescent="0.2">
      <c r="D525">
        <f t="shared" si="85"/>
        <v>502</v>
      </c>
      <c r="E525" s="1">
        <f t="shared" si="86"/>
        <v>-57.806828579927554</v>
      </c>
      <c r="F525" s="1">
        <f t="shared" si="87"/>
        <v>-58.383441944231549</v>
      </c>
      <c r="G525" s="1">
        <f t="shared" si="84"/>
        <v>4.4095404320705836E-26</v>
      </c>
      <c r="H525" s="1">
        <f t="shared" si="77"/>
        <v>4.5681905640180954E-27</v>
      </c>
      <c r="I525">
        <f t="shared" si="78"/>
        <v>8</v>
      </c>
      <c r="J525">
        <f t="shared" si="79"/>
        <v>492</v>
      </c>
      <c r="K525" s="5">
        <f t="shared" si="80"/>
        <v>0</v>
      </c>
      <c r="L525">
        <f t="shared" si="81"/>
        <v>53.4</v>
      </c>
      <c r="M525">
        <f t="shared" si="82"/>
        <v>1</v>
      </c>
      <c r="N525">
        <f t="shared" si="83"/>
        <v>0</v>
      </c>
    </row>
    <row r="526" spans="4:14" x14ac:dyDescent="0.2">
      <c r="D526">
        <f t="shared" si="85"/>
        <v>503</v>
      </c>
      <c r="E526" s="1">
        <f t="shared" si="86"/>
        <v>-57.923362396183506</v>
      </c>
      <c r="F526" s="1">
        <f t="shared" si="87"/>
        <v>-58.499975760487501</v>
      </c>
      <c r="G526" s="1">
        <f t="shared" si="84"/>
        <v>3.9244909845428169E-26</v>
      </c>
      <c r="H526" s="1">
        <f t="shared" si="77"/>
        <v>4.0656896019761025E-27</v>
      </c>
      <c r="I526">
        <f t="shared" si="78"/>
        <v>8</v>
      </c>
      <c r="J526">
        <f t="shared" si="79"/>
        <v>493</v>
      </c>
      <c r="K526" s="5">
        <f t="shared" si="80"/>
        <v>0</v>
      </c>
      <c r="L526">
        <f t="shared" si="81"/>
        <v>53.4</v>
      </c>
      <c r="M526">
        <f t="shared" si="82"/>
        <v>1</v>
      </c>
      <c r="N526">
        <f t="shared" si="83"/>
        <v>0</v>
      </c>
    </row>
    <row r="527" spans="4:14" x14ac:dyDescent="0.2">
      <c r="D527">
        <f t="shared" si="85"/>
        <v>504</v>
      </c>
      <c r="E527" s="1">
        <f t="shared" si="86"/>
        <v>-58.039896212439459</v>
      </c>
      <c r="F527" s="1">
        <f t="shared" si="87"/>
        <v>-58.616509576743454</v>
      </c>
      <c r="G527" s="1">
        <f t="shared" si="84"/>
        <v>3.4927969762431048E-26</v>
      </c>
      <c r="H527" s="1">
        <f t="shared" si="77"/>
        <v>3.6184637457587291E-27</v>
      </c>
      <c r="I527">
        <f t="shared" si="78"/>
        <v>8</v>
      </c>
      <c r="J527">
        <f t="shared" si="79"/>
        <v>494</v>
      </c>
      <c r="K527" s="5">
        <f t="shared" si="80"/>
        <v>0</v>
      </c>
      <c r="L527">
        <f t="shared" si="81"/>
        <v>53.4</v>
      </c>
      <c r="M527">
        <f t="shared" si="82"/>
        <v>1</v>
      </c>
      <c r="N527">
        <f t="shared" si="83"/>
        <v>0</v>
      </c>
    </row>
    <row r="528" spans="4:14" x14ac:dyDescent="0.2">
      <c r="D528">
        <f t="shared" si="85"/>
        <v>505</v>
      </c>
      <c r="E528" s="1">
        <f t="shared" si="86"/>
        <v>-58.156430028695411</v>
      </c>
      <c r="F528" s="1">
        <f t="shared" si="87"/>
        <v>-58.733043392999406</v>
      </c>
      <c r="G528" s="1">
        <f t="shared" si="84"/>
        <v>3.1085893088563618E-26</v>
      </c>
      <c r="H528" s="1">
        <f t="shared" si="77"/>
        <v>3.2204327337252671E-27</v>
      </c>
      <c r="I528">
        <f t="shared" si="78"/>
        <v>8</v>
      </c>
      <c r="J528">
        <f t="shared" si="79"/>
        <v>495</v>
      </c>
      <c r="K528" s="5">
        <f t="shared" si="80"/>
        <v>0</v>
      </c>
      <c r="L528">
        <f t="shared" si="81"/>
        <v>53.4</v>
      </c>
      <c r="M528">
        <f t="shared" si="82"/>
        <v>1</v>
      </c>
      <c r="N528">
        <f t="shared" si="83"/>
        <v>0</v>
      </c>
    </row>
    <row r="529" spans="4:14" x14ac:dyDescent="0.2">
      <c r="D529">
        <f t="shared" si="85"/>
        <v>506</v>
      </c>
      <c r="E529" s="1">
        <f t="shared" si="86"/>
        <v>-58.272963844951363</v>
      </c>
      <c r="F529" s="1">
        <f t="shared" si="87"/>
        <v>-58.849577209255358</v>
      </c>
      <c r="G529" s="1">
        <f t="shared" si="84"/>
        <v>2.7666444848821599E-26</v>
      </c>
      <c r="H529" s="1">
        <f t="shared" si="77"/>
        <v>2.8661851330154855E-27</v>
      </c>
      <c r="I529">
        <f t="shared" si="78"/>
        <v>8</v>
      </c>
      <c r="J529">
        <f t="shared" si="79"/>
        <v>496</v>
      </c>
      <c r="K529" s="5">
        <f t="shared" si="80"/>
        <v>0</v>
      </c>
      <c r="L529">
        <f t="shared" si="81"/>
        <v>53.4</v>
      </c>
      <c r="M529">
        <f t="shared" si="82"/>
        <v>1</v>
      </c>
      <c r="N529">
        <f t="shared" si="83"/>
        <v>0</v>
      </c>
    </row>
    <row r="530" spans="4:14" x14ac:dyDescent="0.2">
      <c r="D530">
        <f t="shared" si="85"/>
        <v>507</v>
      </c>
      <c r="E530" s="1">
        <f t="shared" si="86"/>
        <v>-58.389497661207315</v>
      </c>
      <c r="F530" s="1">
        <f t="shared" si="87"/>
        <v>-58.96611102551131</v>
      </c>
      <c r="G530" s="1">
        <f t="shared" si="84"/>
        <v>2.4623135915451208E-26</v>
      </c>
      <c r="H530" s="1">
        <f t="shared" si="77"/>
        <v>2.5509047683837805E-27</v>
      </c>
      <c r="I530">
        <f t="shared" si="78"/>
        <v>8</v>
      </c>
      <c r="J530">
        <f t="shared" si="79"/>
        <v>497</v>
      </c>
      <c r="K530" s="5">
        <f t="shared" si="80"/>
        <v>0</v>
      </c>
      <c r="L530">
        <f t="shared" si="81"/>
        <v>53.4</v>
      </c>
      <c r="M530">
        <f t="shared" si="82"/>
        <v>1</v>
      </c>
      <c r="N530">
        <f t="shared" si="83"/>
        <v>0</v>
      </c>
    </row>
    <row r="531" spans="4:14" x14ac:dyDescent="0.2">
      <c r="D531">
        <f t="shared" si="85"/>
        <v>508</v>
      </c>
      <c r="E531" s="1">
        <f t="shared" si="86"/>
        <v>-58.506031477463267</v>
      </c>
      <c r="F531" s="1">
        <f t="shared" si="87"/>
        <v>-59.082644841767262</v>
      </c>
      <c r="G531" s="1">
        <f t="shared" si="84"/>
        <v>2.1914590964751563E-26</v>
      </c>
      <c r="H531" s="1">
        <f t="shared" si="77"/>
        <v>2.2703052438615634E-27</v>
      </c>
      <c r="I531">
        <f t="shared" si="78"/>
        <v>8</v>
      </c>
      <c r="J531">
        <f t="shared" si="79"/>
        <v>498</v>
      </c>
      <c r="K531" s="5">
        <f t="shared" si="80"/>
        <v>0</v>
      </c>
      <c r="L531">
        <f t="shared" si="81"/>
        <v>53.4</v>
      </c>
      <c r="M531">
        <f t="shared" si="82"/>
        <v>1</v>
      </c>
      <c r="N531">
        <f t="shared" si="83"/>
        <v>0</v>
      </c>
    </row>
    <row r="532" spans="4:14" x14ac:dyDescent="0.2">
      <c r="D532">
        <f t="shared" si="85"/>
        <v>509</v>
      </c>
      <c r="E532" s="1">
        <f t="shared" si="86"/>
        <v>-58.622565293719219</v>
      </c>
      <c r="F532" s="1">
        <f t="shared" si="87"/>
        <v>-59.199178658023214</v>
      </c>
      <c r="G532" s="1">
        <f t="shared" si="84"/>
        <v>1.9503985958628877E-26</v>
      </c>
      <c r="H532" s="1">
        <f t="shared" si="77"/>
        <v>2.02057166703679E-27</v>
      </c>
      <c r="I532">
        <f t="shared" si="78"/>
        <v>8</v>
      </c>
      <c r="J532">
        <f t="shared" si="79"/>
        <v>499</v>
      </c>
      <c r="K532" s="5">
        <f t="shared" si="80"/>
        <v>0</v>
      </c>
      <c r="L532">
        <f t="shared" si="81"/>
        <v>53.4</v>
      </c>
      <c r="M532">
        <f t="shared" si="82"/>
        <v>1</v>
      </c>
      <c r="N532">
        <f t="shared" si="83"/>
        <v>0</v>
      </c>
    </row>
    <row r="533" spans="4:14" x14ac:dyDescent="0.2">
      <c r="D533">
        <f t="shared" si="85"/>
        <v>510</v>
      </c>
      <c r="E533" s="1">
        <f t="shared" si="86"/>
        <v>-58.739099109975172</v>
      </c>
      <c r="F533" s="1">
        <f t="shared" si="87"/>
        <v>-59.315712474279167</v>
      </c>
      <c r="G533" s="1">
        <f t="shared" si="84"/>
        <v>1.7358547503179689E-26</v>
      </c>
      <c r="H533" s="1">
        <f t="shared" si="77"/>
        <v>1.7983087836627419E-27</v>
      </c>
      <c r="I533">
        <f t="shared" si="78"/>
        <v>8</v>
      </c>
      <c r="J533">
        <f t="shared" si="79"/>
        <v>500</v>
      </c>
      <c r="K533" s="5">
        <f t="shared" si="80"/>
        <v>0</v>
      </c>
      <c r="L533">
        <f t="shared" si="81"/>
        <v>53.4</v>
      </c>
      <c r="M533">
        <f t="shared" si="82"/>
        <v>1</v>
      </c>
      <c r="N533">
        <f t="shared" si="83"/>
        <v>0</v>
      </c>
    </row>
    <row r="534" spans="4:14" x14ac:dyDescent="0.2">
      <c r="D534">
        <f t="shared" si="85"/>
        <v>511</v>
      </c>
      <c r="E534" s="1">
        <f t="shared" si="86"/>
        <v>-58.855632926231124</v>
      </c>
      <c r="F534" s="1">
        <f t="shared" si="87"/>
        <v>-59.432246290535119</v>
      </c>
      <c r="G534" s="1">
        <f t="shared" si="84"/>
        <v>1.5449107277829915E-26</v>
      </c>
      <c r="H534" s="1">
        <f t="shared" si="77"/>
        <v>1.6004948174598394E-27</v>
      </c>
      <c r="I534">
        <f t="shared" si="78"/>
        <v>8</v>
      </c>
      <c r="J534">
        <f t="shared" si="79"/>
        <v>501</v>
      </c>
      <c r="K534" s="5">
        <f t="shared" si="80"/>
        <v>0</v>
      </c>
      <c r="L534">
        <f t="shared" si="81"/>
        <v>53.4</v>
      </c>
      <c r="M534">
        <f t="shared" si="82"/>
        <v>1</v>
      </c>
      <c r="N534">
        <f t="shared" si="83"/>
        <v>0</v>
      </c>
    </row>
    <row r="535" spans="4:14" x14ac:dyDescent="0.2">
      <c r="D535">
        <f t="shared" si="85"/>
        <v>512</v>
      </c>
      <c r="E535" s="1">
        <f t="shared" si="86"/>
        <v>-58.972166742487076</v>
      </c>
      <c r="F535" s="1">
        <f t="shared" si="87"/>
        <v>-59.548780106791071</v>
      </c>
      <c r="G535" s="1">
        <f t="shared" si="84"/>
        <v>1.3749705477268614E-26</v>
      </c>
      <c r="H535" s="1">
        <f t="shared" ref="H535:H598" si="88">G535/$G$21</f>
        <v>1.424440387539256E-27</v>
      </c>
      <c r="I535">
        <f t="shared" ref="I535:I598" si="89">IF($F$11&lt;=D535, IF(D535&lt;=$A$15,D535-$F$11,$C$11),0)</f>
        <v>8</v>
      </c>
      <c r="J535">
        <f t="shared" ref="J535:J598" si="90">IF(D535&lt;=$A$15,0,D535-$A$15)</f>
        <v>502</v>
      </c>
      <c r="K535" s="5">
        <f t="shared" ref="K535:K598" si="91">IF(D535&lt;$F$11,H535,0)</f>
        <v>0</v>
      </c>
      <c r="L535">
        <f t="shared" ref="L535:L598" si="92">IF(D535&lt;$A$15,$D$11,$D$11*(1-$H$11))</f>
        <v>53.4</v>
      </c>
      <c r="M535">
        <f t="shared" ref="M535:M598" si="93">IF(D535&lt;$A$15,0,1)</f>
        <v>1</v>
      </c>
      <c r="N535">
        <f t="shared" ref="N535:N598" si="94">IF(SUM(I535:J535)&lt;=($G$11/60*$F$11/($E$11/60)),1,0)</f>
        <v>0</v>
      </c>
    </row>
    <row r="536" spans="4:14" x14ac:dyDescent="0.2">
      <c r="D536">
        <f t="shared" si="85"/>
        <v>513</v>
      </c>
      <c r="E536" s="1">
        <f t="shared" si="86"/>
        <v>-59.088700558743028</v>
      </c>
      <c r="F536" s="1">
        <f t="shared" si="87"/>
        <v>-59.665313923047023</v>
      </c>
      <c r="G536" s="1">
        <f t="shared" ref="G536:G599" si="95">EXP(F536)</f>
        <v>1.2237237874769059E-26</v>
      </c>
      <c r="H536" s="1">
        <f t="shared" si="88"/>
        <v>1.2677519449099372E-27</v>
      </c>
      <c r="I536">
        <f t="shared" si="89"/>
        <v>8</v>
      </c>
      <c r="J536">
        <f t="shared" si="90"/>
        <v>503</v>
      </c>
      <c r="K536" s="5">
        <f t="shared" si="91"/>
        <v>0</v>
      </c>
      <c r="L536">
        <f t="shared" si="92"/>
        <v>53.4</v>
      </c>
      <c r="M536">
        <f t="shared" si="93"/>
        <v>1</v>
      </c>
      <c r="N536">
        <f t="shared" si="94"/>
        <v>0</v>
      </c>
    </row>
    <row r="537" spans="4:14" x14ac:dyDescent="0.2">
      <c r="D537">
        <f t="shared" ref="D537:D600" si="96">1+D536</f>
        <v>514</v>
      </c>
      <c r="E537" s="1">
        <f t="shared" ref="E537:E600" si="97">IF($H$11=1,IF(D537&lt;=$A$15, E536+LN($D$11)-LN(60/$E$11)-LN(MIN(D537,$F$11)), E536-LN(60/$E$11)-LN(MIN(D537,$F$11))), IF(D537&lt;=$A$15, E536+LN($D$11)-LN(60/$E$11)-LN(MIN(D537,$F$11)), E536+LN($D$11)+LN(1-$H$11)-LN(60/$E$11)-LN(MIN(D537,$F$11))))</f>
        <v>-59.20523437499898</v>
      </c>
      <c r="F537" s="1">
        <f t="shared" ref="F537:F600" si="98">E537-$E$21</f>
        <v>-59.781847739302975</v>
      </c>
      <c r="G537" s="1">
        <f t="shared" si="95"/>
        <v>1.0891141708544456E-26</v>
      </c>
      <c r="H537" s="1">
        <f t="shared" si="88"/>
        <v>1.1282992309698433E-27</v>
      </c>
      <c r="I537">
        <f t="shared" si="89"/>
        <v>8</v>
      </c>
      <c r="J537">
        <f t="shared" si="90"/>
        <v>504</v>
      </c>
      <c r="K537" s="5">
        <f t="shared" si="91"/>
        <v>0</v>
      </c>
      <c r="L537">
        <f t="shared" si="92"/>
        <v>53.4</v>
      </c>
      <c r="M537">
        <f t="shared" si="93"/>
        <v>1</v>
      </c>
      <c r="N537">
        <f t="shared" si="94"/>
        <v>0</v>
      </c>
    </row>
    <row r="538" spans="4:14" x14ac:dyDescent="0.2">
      <c r="D538">
        <f t="shared" si="96"/>
        <v>515</v>
      </c>
      <c r="E538" s="1">
        <f t="shared" si="97"/>
        <v>-59.321768191254932</v>
      </c>
      <c r="F538" s="1">
        <f t="shared" si="98"/>
        <v>-59.898381555558927</v>
      </c>
      <c r="G538" s="1">
        <f t="shared" si="95"/>
        <v>9.6931161206045606E-27</v>
      </c>
      <c r="H538" s="1">
        <f t="shared" si="88"/>
        <v>1.0041863155631601E-27</v>
      </c>
      <c r="I538">
        <f t="shared" si="89"/>
        <v>8</v>
      </c>
      <c r="J538">
        <f t="shared" si="90"/>
        <v>505</v>
      </c>
      <c r="K538" s="5">
        <f t="shared" si="91"/>
        <v>0</v>
      </c>
      <c r="L538">
        <f t="shared" si="92"/>
        <v>53.4</v>
      </c>
      <c r="M538">
        <f t="shared" si="93"/>
        <v>1</v>
      </c>
      <c r="N538">
        <f t="shared" si="94"/>
        <v>0</v>
      </c>
    </row>
    <row r="539" spans="4:14" x14ac:dyDescent="0.2">
      <c r="D539">
        <f t="shared" si="96"/>
        <v>516</v>
      </c>
      <c r="E539" s="1">
        <f t="shared" si="97"/>
        <v>-59.438302007510885</v>
      </c>
      <c r="F539" s="1">
        <f t="shared" si="98"/>
        <v>-60.01491537181488</v>
      </c>
      <c r="G539" s="1">
        <f t="shared" si="95"/>
        <v>8.6268733473380533E-27</v>
      </c>
      <c r="H539" s="1">
        <f t="shared" si="88"/>
        <v>8.9372582085121192E-28</v>
      </c>
      <c r="I539">
        <f t="shared" si="89"/>
        <v>8</v>
      </c>
      <c r="J539">
        <f t="shared" si="90"/>
        <v>506</v>
      </c>
      <c r="K539" s="5">
        <f t="shared" si="91"/>
        <v>0</v>
      </c>
      <c r="L539">
        <f t="shared" si="92"/>
        <v>53.4</v>
      </c>
      <c r="M539">
        <f t="shared" si="93"/>
        <v>1</v>
      </c>
      <c r="N539">
        <f t="shared" si="94"/>
        <v>0</v>
      </c>
    </row>
    <row r="540" spans="4:14" x14ac:dyDescent="0.2">
      <c r="D540">
        <f t="shared" si="96"/>
        <v>517</v>
      </c>
      <c r="E540" s="1">
        <f t="shared" si="97"/>
        <v>-59.554835823766837</v>
      </c>
      <c r="F540" s="1">
        <f t="shared" si="98"/>
        <v>-60.131449188070832</v>
      </c>
      <c r="G540" s="1">
        <f t="shared" si="95"/>
        <v>7.6779172791308629E-27</v>
      </c>
      <c r="H540" s="1">
        <f t="shared" si="88"/>
        <v>7.9541598055757804E-28</v>
      </c>
      <c r="I540">
        <f t="shared" si="89"/>
        <v>8</v>
      </c>
      <c r="J540">
        <f t="shared" si="90"/>
        <v>507</v>
      </c>
      <c r="K540" s="5">
        <f t="shared" si="91"/>
        <v>0</v>
      </c>
      <c r="L540">
        <f t="shared" si="92"/>
        <v>53.4</v>
      </c>
      <c r="M540">
        <f t="shared" si="93"/>
        <v>1</v>
      </c>
      <c r="N540">
        <f t="shared" si="94"/>
        <v>0</v>
      </c>
    </row>
    <row r="541" spans="4:14" x14ac:dyDescent="0.2">
      <c r="D541">
        <f t="shared" si="96"/>
        <v>518</v>
      </c>
      <c r="E541" s="1">
        <f t="shared" si="97"/>
        <v>-59.671369640022789</v>
      </c>
      <c r="F541" s="1">
        <f t="shared" si="98"/>
        <v>-60.247983004326784</v>
      </c>
      <c r="G541" s="1">
        <f t="shared" si="95"/>
        <v>6.8333463784264627E-27</v>
      </c>
      <c r="H541" s="1">
        <f t="shared" si="88"/>
        <v>7.0792022269624396E-28</v>
      </c>
      <c r="I541">
        <f t="shared" si="89"/>
        <v>8</v>
      </c>
      <c r="J541">
        <f t="shared" si="90"/>
        <v>508</v>
      </c>
      <c r="K541" s="5">
        <f t="shared" si="91"/>
        <v>0</v>
      </c>
      <c r="L541">
        <f t="shared" si="92"/>
        <v>53.4</v>
      </c>
      <c r="M541">
        <f t="shared" si="93"/>
        <v>1</v>
      </c>
      <c r="N541">
        <f t="shared" si="94"/>
        <v>0</v>
      </c>
    </row>
    <row r="542" spans="4:14" x14ac:dyDescent="0.2">
      <c r="D542">
        <f t="shared" si="96"/>
        <v>519</v>
      </c>
      <c r="E542" s="1">
        <f t="shared" si="97"/>
        <v>-59.787903456278741</v>
      </c>
      <c r="F542" s="1">
        <f t="shared" si="98"/>
        <v>-60.364516820582736</v>
      </c>
      <c r="G542" s="1">
        <f t="shared" si="95"/>
        <v>6.0816782767995483E-27</v>
      </c>
      <c r="H542" s="1">
        <f t="shared" si="88"/>
        <v>6.3004899819965673E-28</v>
      </c>
      <c r="I542">
        <f t="shared" si="89"/>
        <v>8</v>
      </c>
      <c r="J542">
        <f t="shared" si="90"/>
        <v>509</v>
      </c>
      <c r="K542" s="5">
        <f t="shared" si="91"/>
        <v>0</v>
      </c>
      <c r="L542">
        <f t="shared" si="92"/>
        <v>53.4</v>
      </c>
      <c r="M542">
        <f t="shared" si="93"/>
        <v>1</v>
      </c>
      <c r="N542">
        <f t="shared" si="94"/>
        <v>0</v>
      </c>
    </row>
    <row r="543" spans="4:14" x14ac:dyDescent="0.2">
      <c r="D543">
        <f t="shared" si="96"/>
        <v>520</v>
      </c>
      <c r="E543" s="1">
        <f t="shared" si="97"/>
        <v>-59.904437272534693</v>
      </c>
      <c r="F543" s="1">
        <f t="shared" si="98"/>
        <v>-60.481050636838688</v>
      </c>
      <c r="G543" s="1">
        <f t="shared" si="95"/>
        <v>5.4126936663515947E-27</v>
      </c>
      <c r="H543" s="1">
        <f t="shared" si="88"/>
        <v>5.6074360839769416E-28</v>
      </c>
      <c r="I543">
        <f t="shared" si="89"/>
        <v>8</v>
      </c>
      <c r="J543">
        <f t="shared" si="90"/>
        <v>510</v>
      </c>
      <c r="K543" s="5">
        <f t="shared" si="91"/>
        <v>0</v>
      </c>
      <c r="L543">
        <f t="shared" si="92"/>
        <v>53.4</v>
      </c>
      <c r="M543">
        <f t="shared" si="93"/>
        <v>1</v>
      </c>
      <c r="N543">
        <f t="shared" si="94"/>
        <v>0</v>
      </c>
    </row>
    <row r="544" spans="4:14" x14ac:dyDescent="0.2">
      <c r="D544">
        <f t="shared" si="96"/>
        <v>521</v>
      </c>
      <c r="E544" s="1">
        <f t="shared" si="97"/>
        <v>-60.020971088790645</v>
      </c>
      <c r="F544" s="1">
        <f t="shared" si="98"/>
        <v>-60.59758445309464</v>
      </c>
      <c r="G544" s="1">
        <f t="shared" si="95"/>
        <v>4.8172973630529158E-27</v>
      </c>
      <c r="H544" s="1">
        <f t="shared" si="88"/>
        <v>4.9906181147394742E-28</v>
      </c>
      <c r="I544">
        <f t="shared" si="89"/>
        <v>8</v>
      </c>
      <c r="J544">
        <f t="shared" si="90"/>
        <v>511</v>
      </c>
      <c r="K544" s="5">
        <f t="shared" si="91"/>
        <v>0</v>
      </c>
      <c r="L544">
        <f t="shared" si="92"/>
        <v>53.4</v>
      </c>
      <c r="M544">
        <f t="shared" si="93"/>
        <v>1</v>
      </c>
      <c r="N544">
        <f t="shared" si="94"/>
        <v>0</v>
      </c>
    </row>
    <row r="545" spans="4:14" x14ac:dyDescent="0.2">
      <c r="D545">
        <f t="shared" si="96"/>
        <v>522</v>
      </c>
      <c r="E545" s="1">
        <f t="shared" si="97"/>
        <v>-60.137504905046598</v>
      </c>
      <c r="F545" s="1">
        <f t="shared" si="98"/>
        <v>-60.714118269350593</v>
      </c>
      <c r="G545" s="1">
        <f t="shared" si="95"/>
        <v>4.2873946531170924E-27</v>
      </c>
      <c r="H545" s="1">
        <f t="shared" si="88"/>
        <v>4.4416501221181298E-28</v>
      </c>
      <c r="I545">
        <f t="shared" si="89"/>
        <v>8</v>
      </c>
      <c r="J545">
        <f t="shared" si="90"/>
        <v>512</v>
      </c>
      <c r="K545" s="5">
        <f t="shared" si="91"/>
        <v>0</v>
      </c>
      <c r="L545">
        <f t="shared" si="92"/>
        <v>53.4</v>
      </c>
      <c r="M545">
        <f t="shared" si="93"/>
        <v>1</v>
      </c>
      <c r="N545">
        <f t="shared" si="94"/>
        <v>0</v>
      </c>
    </row>
    <row r="546" spans="4:14" x14ac:dyDescent="0.2">
      <c r="D546">
        <f t="shared" si="96"/>
        <v>523</v>
      </c>
      <c r="E546" s="1">
        <f t="shared" si="97"/>
        <v>-60.25403872130255</v>
      </c>
      <c r="F546" s="1">
        <f t="shared" si="98"/>
        <v>-60.830652085606545</v>
      </c>
      <c r="G546" s="1">
        <f t="shared" si="95"/>
        <v>3.8157812412742098E-27</v>
      </c>
      <c r="H546" s="1">
        <f t="shared" si="88"/>
        <v>3.9530686086851325E-28</v>
      </c>
      <c r="I546">
        <f t="shared" si="89"/>
        <v>8</v>
      </c>
      <c r="J546">
        <f t="shared" si="90"/>
        <v>513</v>
      </c>
      <c r="K546" s="5">
        <f t="shared" si="91"/>
        <v>0</v>
      </c>
      <c r="L546">
        <f t="shared" si="92"/>
        <v>53.4</v>
      </c>
      <c r="M546">
        <f t="shared" si="93"/>
        <v>1</v>
      </c>
      <c r="N546">
        <f t="shared" si="94"/>
        <v>0</v>
      </c>
    </row>
    <row r="547" spans="4:14" x14ac:dyDescent="0.2">
      <c r="D547">
        <f t="shared" si="96"/>
        <v>524</v>
      </c>
      <c r="E547" s="1">
        <f t="shared" si="97"/>
        <v>-60.370572537558502</v>
      </c>
      <c r="F547" s="1">
        <f t="shared" si="98"/>
        <v>-60.947185901862497</v>
      </c>
      <c r="G547" s="1">
        <f t="shared" si="95"/>
        <v>3.3960453047340451E-27</v>
      </c>
      <c r="H547" s="1">
        <f t="shared" si="88"/>
        <v>3.5182310617297666E-28</v>
      </c>
      <c r="I547">
        <f t="shared" si="89"/>
        <v>8</v>
      </c>
      <c r="J547">
        <f t="shared" si="90"/>
        <v>514</v>
      </c>
      <c r="K547" s="5">
        <f t="shared" si="91"/>
        <v>0</v>
      </c>
      <c r="L547">
        <f t="shared" si="92"/>
        <v>53.4</v>
      </c>
      <c r="M547">
        <f t="shared" si="93"/>
        <v>1</v>
      </c>
      <c r="N547">
        <f t="shared" si="94"/>
        <v>0</v>
      </c>
    </row>
    <row r="548" spans="4:14" x14ac:dyDescent="0.2">
      <c r="D548">
        <f t="shared" si="96"/>
        <v>525</v>
      </c>
      <c r="E548" s="1">
        <f t="shared" si="97"/>
        <v>-60.487106353814454</v>
      </c>
      <c r="F548" s="1">
        <f t="shared" si="98"/>
        <v>-61.063719718118449</v>
      </c>
      <c r="G548" s="1">
        <f t="shared" si="95"/>
        <v>3.022480321213298E-27</v>
      </c>
      <c r="H548" s="1">
        <f t="shared" si="88"/>
        <v>3.1312256449394898E-28</v>
      </c>
      <c r="I548">
        <f t="shared" si="89"/>
        <v>8</v>
      </c>
      <c r="J548">
        <f t="shared" si="90"/>
        <v>515</v>
      </c>
      <c r="K548" s="5">
        <f t="shared" si="91"/>
        <v>0</v>
      </c>
      <c r="L548">
        <f t="shared" si="92"/>
        <v>53.4</v>
      </c>
      <c r="M548">
        <f t="shared" si="93"/>
        <v>1</v>
      </c>
      <c r="N548">
        <f t="shared" si="94"/>
        <v>0</v>
      </c>
    </row>
    <row r="549" spans="4:14" x14ac:dyDescent="0.2">
      <c r="D549">
        <f t="shared" si="96"/>
        <v>526</v>
      </c>
      <c r="E549" s="1">
        <f t="shared" si="97"/>
        <v>-60.603640170070406</v>
      </c>
      <c r="F549" s="1">
        <f t="shared" si="98"/>
        <v>-61.180253534374401</v>
      </c>
      <c r="G549" s="1">
        <f t="shared" si="95"/>
        <v>2.6900074858798334E-27</v>
      </c>
      <c r="H549" s="1">
        <f t="shared" si="88"/>
        <v>2.7867908239961441E-28</v>
      </c>
      <c r="I549">
        <f t="shared" si="89"/>
        <v>8</v>
      </c>
      <c r="J549">
        <f t="shared" si="90"/>
        <v>516</v>
      </c>
      <c r="K549" s="5">
        <f t="shared" si="91"/>
        <v>0</v>
      </c>
      <c r="L549">
        <f t="shared" si="92"/>
        <v>53.4</v>
      </c>
      <c r="M549">
        <f t="shared" si="93"/>
        <v>1</v>
      </c>
      <c r="N549">
        <f t="shared" si="94"/>
        <v>0</v>
      </c>
    </row>
    <row r="550" spans="4:14" x14ac:dyDescent="0.2">
      <c r="D550">
        <f t="shared" si="96"/>
        <v>527</v>
      </c>
      <c r="E550" s="1">
        <f t="shared" si="97"/>
        <v>-60.720173986326358</v>
      </c>
      <c r="F550" s="1">
        <f t="shared" si="98"/>
        <v>-61.296787350630353</v>
      </c>
      <c r="G550" s="1">
        <f t="shared" si="95"/>
        <v>2.3941066624330504E-27</v>
      </c>
      <c r="H550" s="1">
        <f t="shared" si="88"/>
        <v>2.4802438333565671E-28</v>
      </c>
      <c r="I550">
        <f t="shared" si="89"/>
        <v>8</v>
      </c>
      <c r="J550">
        <f t="shared" si="90"/>
        <v>517</v>
      </c>
      <c r="K550" s="5">
        <f t="shared" si="91"/>
        <v>0</v>
      </c>
      <c r="L550">
        <f t="shared" si="92"/>
        <v>53.4</v>
      </c>
      <c r="M550">
        <f t="shared" si="93"/>
        <v>1</v>
      </c>
      <c r="N550">
        <f t="shared" si="94"/>
        <v>0</v>
      </c>
    </row>
    <row r="551" spans="4:14" x14ac:dyDescent="0.2">
      <c r="D551">
        <f t="shared" si="96"/>
        <v>528</v>
      </c>
      <c r="E551" s="1">
        <f t="shared" si="97"/>
        <v>-60.83670780258231</v>
      </c>
      <c r="F551" s="1">
        <f t="shared" si="98"/>
        <v>-61.413321166886305</v>
      </c>
      <c r="G551" s="1">
        <f t="shared" si="95"/>
        <v>2.1307549295654135E-27</v>
      </c>
      <c r="H551" s="1">
        <f t="shared" si="88"/>
        <v>2.207417011687343E-28</v>
      </c>
      <c r="I551">
        <f t="shared" si="89"/>
        <v>8</v>
      </c>
      <c r="J551">
        <f t="shared" si="90"/>
        <v>518</v>
      </c>
      <c r="K551" s="5">
        <f t="shared" si="91"/>
        <v>0</v>
      </c>
      <c r="L551">
        <f t="shared" si="92"/>
        <v>53.4</v>
      </c>
      <c r="M551">
        <f t="shared" si="93"/>
        <v>1</v>
      </c>
      <c r="N551">
        <f t="shared" si="94"/>
        <v>0</v>
      </c>
    </row>
    <row r="552" spans="4:14" x14ac:dyDescent="0.2">
      <c r="D552">
        <f t="shared" si="96"/>
        <v>529</v>
      </c>
      <c r="E552" s="1">
        <f t="shared" si="97"/>
        <v>-60.953241618838263</v>
      </c>
      <c r="F552" s="1">
        <f t="shared" si="98"/>
        <v>-61.529854983142258</v>
      </c>
      <c r="G552" s="1">
        <f t="shared" si="95"/>
        <v>1.8963718873132166E-27</v>
      </c>
      <c r="H552" s="1">
        <f t="shared" si="88"/>
        <v>1.9646011404017339E-28</v>
      </c>
      <c r="I552">
        <f t="shared" si="89"/>
        <v>8</v>
      </c>
      <c r="J552">
        <f t="shared" si="90"/>
        <v>519</v>
      </c>
      <c r="K552" s="5">
        <f t="shared" si="91"/>
        <v>0</v>
      </c>
      <c r="L552">
        <f t="shared" si="92"/>
        <v>53.4</v>
      </c>
      <c r="M552">
        <f t="shared" si="93"/>
        <v>1</v>
      </c>
      <c r="N552">
        <f t="shared" si="94"/>
        <v>0</v>
      </c>
    </row>
    <row r="553" spans="4:14" x14ac:dyDescent="0.2">
      <c r="D553">
        <f t="shared" si="96"/>
        <v>530</v>
      </c>
      <c r="E553" s="1">
        <f t="shared" si="97"/>
        <v>-61.069775435094215</v>
      </c>
      <c r="F553" s="1">
        <f t="shared" si="98"/>
        <v>-61.64638879939821</v>
      </c>
      <c r="G553" s="1">
        <f t="shared" si="95"/>
        <v>1.6877709797087618E-27</v>
      </c>
      <c r="H553" s="1">
        <f t="shared" si="88"/>
        <v>1.7484950149575422E-28</v>
      </c>
      <c r="I553">
        <f t="shared" si="89"/>
        <v>8</v>
      </c>
      <c r="J553">
        <f t="shared" si="90"/>
        <v>520</v>
      </c>
      <c r="K553" s="5">
        <f t="shared" si="91"/>
        <v>0</v>
      </c>
      <c r="L553">
        <f t="shared" si="92"/>
        <v>53.4</v>
      </c>
      <c r="M553">
        <f t="shared" si="93"/>
        <v>1</v>
      </c>
      <c r="N553">
        <f t="shared" si="94"/>
        <v>0</v>
      </c>
    </row>
    <row r="554" spans="4:14" x14ac:dyDescent="0.2">
      <c r="D554">
        <f t="shared" si="96"/>
        <v>531</v>
      </c>
      <c r="E554" s="1">
        <f t="shared" si="97"/>
        <v>-61.186309251350167</v>
      </c>
      <c r="F554" s="1">
        <f t="shared" si="98"/>
        <v>-61.762922615654162</v>
      </c>
      <c r="G554" s="1">
        <f t="shared" si="95"/>
        <v>1.5021161719407972E-27</v>
      </c>
      <c r="H554" s="1">
        <f t="shared" si="88"/>
        <v>1.5561605633122117E-28</v>
      </c>
      <c r="I554">
        <f t="shared" si="89"/>
        <v>8</v>
      </c>
      <c r="J554">
        <f t="shared" si="90"/>
        <v>521</v>
      </c>
      <c r="K554" s="5">
        <f t="shared" si="91"/>
        <v>0</v>
      </c>
      <c r="L554">
        <f t="shared" si="92"/>
        <v>53.4</v>
      </c>
      <c r="M554">
        <f t="shared" si="93"/>
        <v>1</v>
      </c>
      <c r="N554">
        <f t="shared" si="94"/>
        <v>0</v>
      </c>
    </row>
    <row r="555" spans="4:14" x14ac:dyDescent="0.2">
      <c r="D555">
        <f t="shared" si="96"/>
        <v>532</v>
      </c>
      <c r="E555" s="1">
        <f t="shared" si="97"/>
        <v>-61.302843067606119</v>
      </c>
      <c r="F555" s="1">
        <f t="shared" si="98"/>
        <v>-61.879456431910114</v>
      </c>
      <c r="G555" s="1">
        <f t="shared" si="95"/>
        <v>1.3368833930273086E-27</v>
      </c>
      <c r="H555" s="1">
        <f t="shared" si="88"/>
        <v>1.3849829013478674E-28</v>
      </c>
      <c r="I555">
        <f t="shared" si="89"/>
        <v>8</v>
      </c>
      <c r="J555">
        <f t="shared" si="90"/>
        <v>522</v>
      </c>
      <c r="K555" s="5">
        <f t="shared" si="91"/>
        <v>0</v>
      </c>
      <c r="L555">
        <f t="shared" si="92"/>
        <v>53.4</v>
      </c>
      <c r="M555">
        <f t="shared" si="93"/>
        <v>1</v>
      </c>
      <c r="N555">
        <f t="shared" si="94"/>
        <v>0</v>
      </c>
    </row>
    <row r="556" spans="4:14" x14ac:dyDescent="0.2">
      <c r="D556">
        <f t="shared" si="96"/>
        <v>533</v>
      </c>
      <c r="E556" s="1">
        <f t="shared" si="97"/>
        <v>-61.419376883862071</v>
      </c>
      <c r="F556" s="1">
        <f t="shared" si="98"/>
        <v>-61.995990248166066</v>
      </c>
      <c r="G556" s="1">
        <f t="shared" si="95"/>
        <v>1.1898262197943039E-27</v>
      </c>
      <c r="H556" s="1">
        <f t="shared" si="88"/>
        <v>1.2326347821996013E-28</v>
      </c>
      <c r="I556">
        <f t="shared" si="89"/>
        <v>8</v>
      </c>
      <c r="J556">
        <f t="shared" si="90"/>
        <v>523</v>
      </c>
      <c r="K556" s="5">
        <f t="shared" si="91"/>
        <v>0</v>
      </c>
      <c r="L556">
        <f t="shared" si="92"/>
        <v>53.4</v>
      </c>
      <c r="M556">
        <f t="shared" si="93"/>
        <v>1</v>
      </c>
      <c r="N556">
        <f t="shared" si="94"/>
        <v>0</v>
      </c>
    </row>
    <row r="557" spans="4:14" x14ac:dyDescent="0.2">
      <c r="D557">
        <f t="shared" si="96"/>
        <v>534</v>
      </c>
      <c r="E557" s="1">
        <f t="shared" si="97"/>
        <v>-61.535910700118023</v>
      </c>
      <c r="F557" s="1">
        <f t="shared" si="98"/>
        <v>-62.112524064422018</v>
      </c>
      <c r="G557" s="1">
        <f t="shared" si="95"/>
        <v>1.0589453356169299E-27</v>
      </c>
      <c r="H557" s="1">
        <f t="shared" si="88"/>
        <v>1.0970449561576446E-28</v>
      </c>
      <c r="I557">
        <f t="shared" si="89"/>
        <v>8</v>
      </c>
      <c r="J557">
        <f t="shared" si="90"/>
        <v>524</v>
      </c>
      <c r="K557" s="5">
        <f t="shared" si="91"/>
        <v>0</v>
      </c>
      <c r="L557">
        <f t="shared" si="92"/>
        <v>53.4</v>
      </c>
      <c r="M557">
        <f t="shared" si="93"/>
        <v>1</v>
      </c>
      <c r="N557">
        <f t="shared" si="94"/>
        <v>0</v>
      </c>
    </row>
    <row r="558" spans="4:14" x14ac:dyDescent="0.2">
      <c r="D558">
        <f t="shared" si="96"/>
        <v>535</v>
      </c>
      <c r="E558" s="1">
        <f t="shared" si="97"/>
        <v>-61.652444516373976</v>
      </c>
      <c r="F558" s="1">
        <f t="shared" si="98"/>
        <v>-62.229057880677971</v>
      </c>
      <c r="G558" s="1">
        <f t="shared" si="95"/>
        <v>9.4246134869906692E-28</v>
      </c>
      <c r="H558" s="1">
        <f t="shared" si="88"/>
        <v>9.7637001098030294E-29</v>
      </c>
      <c r="I558">
        <f t="shared" si="89"/>
        <v>8</v>
      </c>
      <c r="J558">
        <f t="shared" si="90"/>
        <v>525</v>
      </c>
      <c r="K558" s="5">
        <f t="shared" si="91"/>
        <v>0</v>
      </c>
      <c r="L558">
        <f t="shared" si="92"/>
        <v>53.4</v>
      </c>
      <c r="M558">
        <f t="shared" si="93"/>
        <v>1</v>
      </c>
      <c r="N558">
        <f t="shared" si="94"/>
        <v>0</v>
      </c>
    </row>
    <row r="559" spans="4:14" x14ac:dyDescent="0.2">
      <c r="D559">
        <f t="shared" si="96"/>
        <v>536</v>
      </c>
      <c r="E559" s="1">
        <f t="shared" si="97"/>
        <v>-61.768978332629928</v>
      </c>
      <c r="F559" s="1">
        <f t="shared" si="98"/>
        <v>-62.345591696933923</v>
      </c>
      <c r="G559" s="1">
        <f t="shared" si="95"/>
        <v>8.3879060034216899E-28</v>
      </c>
      <c r="H559" s="1">
        <f t="shared" si="88"/>
        <v>8.6896930977246899E-29</v>
      </c>
      <c r="I559">
        <f t="shared" si="89"/>
        <v>8</v>
      </c>
      <c r="J559">
        <f t="shared" si="90"/>
        <v>526</v>
      </c>
      <c r="K559" s="5">
        <f t="shared" si="91"/>
        <v>0</v>
      </c>
      <c r="L559">
        <f t="shared" si="92"/>
        <v>53.4</v>
      </c>
      <c r="M559">
        <f t="shared" si="93"/>
        <v>1</v>
      </c>
      <c r="N559">
        <f t="shared" si="94"/>
        <v>0</v>
      </c>
    </row>
    <row r="560" spans="4:14" x14ac:dyDescent="0.2">
      <c r="D560">
        <f t="shared" si="96"/>
        <v>537</v>
      </c>
      <c r="E560" s="1">
        <f t="shared" si="97"/>
        <v>-61.88551214888588</v>
      </c>
      <c r="F560" s="1">
        <f t="shared" si="98"/>
        <v>-62.462125513189875</v>
      </c>
      <c r="G560" s="1">
        <f t="shared" si="95"/>
        <v>7.4652363430452999E-28</v>
      </c>
      <c r="H560" s="1">
        <f t="shared" si="88"/>
        <v>7.7338268569749703E-29</v>
      </c>
      <c r="I560">
        <f t="shared" si="89"/>
        <v>8</v>
      </c>
      <c r="J560">
        <f t="shared" si="90"/>
        <v>527</v>
      </c>
      <c r="K560" s="5">
        <f t="shared" si="91"/>
        <v>0</v>
      </c>
      <c r="L560">
        <f t="shared" si="92"/>
        <v>53.4</v>
      </c>
      <c r="M560">
        <f t="shared" si="93"/>
        <v>1</v>
      </c>
      <c r="N560">
        <f t="shared" si="94"/>
        <v>0</v>
      </c>
    </row>
    <row r="561" spans="4:14" x14ac:dyDescent="0.2">
      <c r="D561">
        <f t="shared" si="96"/>
        <v>538</v>
      </c>
      <c r="E561" s="1">
        <f t="shared" si="97"/>
        <v>-62.002045965141832</v>
      </c>
      <c r="F561" s="1">
        <f t="shared" si="98"/>
        <v>-62.578659329445827</v>
      </c>
      <c r="G561" s="1">
        <f t="shared" si="95"/>
        <v>6.6440603453103123E-28</v>
      </c>
      <c r="H561" s="1">
        <f t="shared" si="88"/>
        <v>6.8831059027077188E-29</v>
      </c>
      <c r="I561">
        <f t="shared" si="89"/>
        <v>8</v>
      </c>
      <c r="J561">
        <f t="shared" si="90"/>
        <v>528</v>
      </c>
      <c r="K561" s="5">
        <f t="shared" si="91"/>
        <v>0</v>
      </c>
      <c r="L561">
        <f t="shared" si="92"/>
        <v>53.4</v>
      </c>
      <c r="M561">
        <f t="shared" si="93"/>
        <v>1</v>
      </c>
      <c r="N561">
        <f t="shared" si="94"/>
        <v>0</v>
      </c>
    </row>
    <row r="562" spans="4:14" x14ac:dyDescent="0.2">
      <c r="D562">
        <f t="shared" si="96"/>
        <v>539</v>
      </c>
      <c r="E562" s="1">
        <f t="shared" si="97"/>
        <v>-62.118579781397784</v>
      </c>
      <c r="F562" s="1">
        <f t="shared" si="98"/>
        <v>-62.695193145701779</v>
      </c>
      <c r="G562" s="1">
        <f t="shared" si="95"/>
        <v>5.913213707326174E-28</v>
      </c>
      <c r="H562" s="1">
        <f t="shared" si="88"/>
        <v>6.1259642534098659E-29</v>
      </c>
      <c r="I562">
        <f t="shared" si="89"/>
        <v>8</v>
      </c>
      <c r="J562">
        <f t="shared" si="90"/>
        <v>529</v>
      </c>
      <c r="K562" s="5">
        <f t="shared" si="91"/>
        <v>0</v>
      </c>
      <c r="L562">
        <f t="shared" si="92"/>
        <v>53.4</v>
      </c>
      <c r="M562">
        <f t="shared" si="93"/>
        <v>1</v>
      </c>
      <c r="N562">
        <f t="shared" si="94"/>
        <v>0</v>
      </c>
    </row>
    <row r="563" spans="4:14" x14ac:dyDescent="0.2">
      <c r="D563">
        <f t="shared" si="96"/>
        <v>540</v>
      </c>
      <c r="E563" s="1">
        <f t="shared" si="97"/>
        <v>-62.235113597653736</v>
      </c>
      <c r="F563" s="1">
        <f t="shared" si="98"/>
        <v>-62.811726961957731</v>
      </c>
      <c r="G563" s="1">
        <f t="shared" si="95"/>
        <v>5.2627601995202922E-28</v>
      </c>
      <c r="H563" s="1">
        <f t="shared" si="88"/>
        <v>5.4521081855347776E-29</v>
      </c>
      <c r="I563">
        <f t="shared" si="89"/>
        <v>8</v>
      </c>
      <c r="J563">
        <f t="shared" si="90"/>
        <v>530</v>
      </c>
      <c r="K563" s="5">
        <f t="shared" si="91"/>
        <v>0</v>
      </c>
      <c r="L563">
        <f t="shared" si="92"/>
        <v>53.4</v>
      </c>
      <c r="M563">
        <f t="shared" si="93"/>
        <v>1</v>
      </c>
      <c r="N563">
        <f t="shared" si="94"/>
        <v>0</v>
      </c>
    </row>
    <row r="564" spans="4:14" x14ac:dyDescent="0.2">
      <c r="D564">
        <f t="shared" si="96"/>
        <v>541</v>
      </c>
      <c r="E564" s="1">
        <f t="shared" si="97"/>
        <v>-62.351647413909689</v>
      </c>
      <c r="F564" s="1">
        <f t="shared" si="98"/>
        <v>-62.928260778213684</v>
      </c>
      <c r="G564" s="1">
        <f t="shared" si="95"/>
        <v>4.6838565775730566E-28</v>
      </c>
      <c r="H564" s="1">
        <f t="shared" si="88"/>
        <v>4.8523762851259481E-29</v>
      </c>
      <c r="I564">
        <f t="shared" si="89"/>
        <v>8</v>
      </c>
      <c r="J564">
        <f t="shared" si="90"/>
        <v>531</v>
      </c>
      <c r="K564" s="5">
        <f t="shared" si="91"/>
        <v>0</v>
      </c>
      <c r="L564">
        <f t="shared" si="92"/>
        <v>53.4</v>
      </c>
      <c r="M564">
        <f t="shared" si="93"/>
        <v>1</v>
      </c>
      <c r="N564">
        <f t="shared" si="94"/>
        <v>0</v>
      </c>
    </row>
    <row r="565" spans="4:14" x14ac:dyDescent="0.2">
      <c r="D565">
        <f t="shared" si="96"/>
        <v>542</v>
      </c>
      <c r="E565" s="1">
        <f t="shared" si="97"/>
        <v>-62.468181230165641</v>
      </c>
      <c r="F565" s="1">
        <f t="shared" si="98"/>
        <v>-63.044794594469636</v>
      </c>
      <c r="G565" s="1">
        <f t="shared" si="95"/>
        <v>4.168632354040018E-28</v>
      </c>
      <c r="H565" s="1">
        <f t="shared" si="88"/>
        <v>4.3186148937620915E-29</v>
      </c>
      <c r="I565">
        <f t="shared" si="89"/>
        <v>8</v>
      </c>
      <c r="J565">
        <f t="shared" si="90"/>
        <v>532</v>
      </c>
      <c r="K565" s="5">
        <f t="shared" si="91"/>
        <v>0</v>
      </c>
      <c r="L565">
        <f t="shared" si="92"/>
        <v>53.4</v>
      </c>
      <c r="M565">
        <f t="shared" si="93"/>
        <v>1</v>
      </c>
      <c r="N565">
        <f t="shared" si="94"/>
        <v>0</v>
      </c>
    </row>
    <row r="566" spans="4:14" x14ac:dyDescent="0.2">
      <c r="D566">
        <f t="shared" si="96"/>
        <v>543</v>
      </c>
      <c r="E566" s="1">
        <f t="shared" si="97"/>
        <v>-62.584715046421593</v>
      </c>
      <c r="F566" s="1">
        <f t="shared" si="98"/>
        <v>-63.161328410725588</v>
      </c>
      <c r="G566" s="1">
        <f t="shared" si="95"/>
        <v>3.7100827950956137E-28</v>
      </c>
      <c r="H566" s="1">
        <f t="shared" si="88"/>
        <v>3.843567255448259E-29</v>
      </c>
      <c r="I566">
        <f t="shared" si="89"/>
        <v>8</v>
      </c>
      <c r="J566">
        <f t="shared" si="90"/>
        <v>533</v>
      </c>
      <c r="K566" s="5">
        <f t="shared" si="91"/>
        <v>0</v>
      </c>
      <c r="L566">
        <f t="shared" si="92"/>
        <v>53.4</v>
      </c>
      <c r="M566">
        <f t="shared" si="93"/>
        <v>1</v>
      </c>
      <c r="N566">
        <f t="shared" si="94"/>
        <v>0</v>
      </c>
    </row>
    <row r="567" spans="4:14" x14ac:dyDescent="0.2">
      <c r="D567">
        <f t="shared" si="96"/>
        <v>544</v>
      </c>
      <c r="E567" s="1">
        <f t="shared" si="97"/>
        <v>-62.701248862677545</v>
      </c>
      <c r="F567" s="1">
        <f t="shared" si="98"/>
        <v>-63.27786222698154</v>
      </c>
      <c r="G567" s="1">
        <f t="shared" si="95"/>
        <v>3.3019736876350941E-28</v>
      </c>
      <c r="H567" s="1">
        <f t="shared" si="88"/>
        <v>3.4207748573489484E-29</v>
      </c>
      <c r="I567">
        <f t="shared" si="89"/>
        <v>8</v>
      </c>
      <c r="J567">
        <f t="shared" si="90"/>
        <v>534</v>
      </c>
      <c r="K567" s="5">
        <f t="shared" si="91"/>
        <v>0</v>
      </c>
      <c r="L567">
        <f t="shared" si="92"/>
        <v>53.4</v>
      </c>
      <c r="M567">
        <f t="shared" si="93"/>
        <v>1</v>
      </c>
      <c r="N567">
        <f t="shared" si="94"/>
        <v>0</v>
      </c>
    </row>
    <row r="568" spans="4:14" x14ac:dyDescent="0.2">
      <c r="D568">
        <f t="shared" si="96"/>
        <v>545</v>
      </c>
      <c r="E568" s="1">
        <f t="shared" si="97"/>
        <v>-62.817782678933497</v>
      </c>
      <c r="F568" s="1">
        <f t="shared" si="98"/>
        <v>-63.394396043237492</v>
      </c>
      <c r="G568" s="1">
        <f t="shared" si="95"/>
        <v>2.9387565819952318E-28</v>
      </c>
      <c r="H568" s="1">
        <f t="shared" si="88"/>
        <v>3.0444896230405622E-29</v>
      </c>
      <c r="I568">
        <f t="shared" si="89"/>
        <v>8</v>
      </c>
      <c r="J568">
        <f t="shared" si="90"/>
        <v>535</v>
      </c>
      <c r="K568" s="5">
        <f t="shared" si="91"/>
        <v>0</v>
      </c>
      <c r="L568">
        <f t="shared" si="92"/>
        <v>53.4</v>
      </c>
      <c r="M568">
        <f t="shared" si="93"/>
        <v>1</v>
      </c>
      <c r="N568">
        <f t="shared" si="94"/>
        <v>0</v>
      </c>
    </row>
    <row r="569" spans="4:14" x14ac:dyDescent="0.2">
      <c r="D569">
        <f t="shared" si="96"/>
        <v>546</v>
      </c>
      <c r="E569" s="1">
        <f t="shared" si="97"/>
        <v>-62.934316495189449</v>
      </c>
      <c r="F569" s="1">
        <f t="shared" si="98"/>
        <v>-63.510929859493444</v>
      </c>
      <c r="G569" s="1">
        <f t="shared" si="95"/>
        <v>2.6154933579757548E-28</v>
      </c>
      <c r="H569" s="1">
        <f t="shared" si="88"/>
        <v>2.7095957645060984E-29</v>
      </c>
      <c r="I569">
        <f t="shared" si="89"/>
        <v>8</v>
      </c>
      <c r="J569">
        <f t="shared" si="90"/>
        <v>536</v>
      </c>
      <c r="K569" s="5">
        <f t="shared" si="91"/>
        <v>0</v>
      </c>
      <c r="L569">
        <f t="shared" si="92"/>
        <v>53.4</v>
      </c>
      <c r="M569">
        <f t="shared" si="93"/>
        <v>1</v>
      </c>
      <c r="N569">
        <f t="shared" si="94"/>
        <v>0</v>
      </c>
    </row>
    <row r="570" spans="4:14" x14ac:dyDescent="0.2">
      <c r="D570">
        <f t="shared" si="96"/>
        <v>547</v>
      </c>
      <c r="E570" s="1">
        <f t="shared" si="97"/>
        <v>-63.050850311445402</v>
      </c>
      <c r="F570" s="1">
        <f t="shared" si="98"/>
        <v>-63.627463675749397</v>
      </c>
      <c r="G570" s="1">
        <f t="shared" si="95"/>
        <v>2.32778908859842E-28</v>
      </c>
      <c r="H570" s="1">
        <f t="shared" si="88"/>
        <v>2.4115402304104259E-29</v>
      </c>
      <c r="I570">
        <f t="shared" si="89"/>
        <v>8</v>
      </c>
      <c r="J570">
        <f t="shared" si="90"/>
        <v>537</v>
      </c>
      <c r="K570" s="5">
        <f t="shared" si="91"/>
        <v>0</v>
      </c>
      <c r="L570">
        <f t="shared" si="92"/>
        <v>53.4</v>
      </c>
      <c r="M570">
        <f t="shared" si="93"/>
        <v>1</v>
      </c>
      <c r="N570">
        <f t="shared" si="94"/>
        <v>0</v>
      </c>
    </row>
    <row r="571" spans="4:14" x14ac:dyDescent="0.2">
      <c r="D571">
        <f t="shared" si="96"/>
        <v>548</v>
      </c>
      <c r="E571" s="1">
        <f t="shared" si="97"/>
        <v>-63.167384127701354</v>
      </c>
      <c r="F571" s="1">
        <f t="shared" si="98"/>
        <v>-63.743997492005349</v>
      </c>
      <c r="G571" s="1">
        <f t="shared" si="95"/>
        <v>2.0717322888525925E-28</v>
      </c>
      <c r="H571" s="1">
        <f t="shared" si="88"/>
        <v>2.1462708050652778E-29</v>
      </c>
      <c r="I571">
        <f t="shared" si="89"/>
        <v>8</v>
      </c>
      <c r="J571">
        <f t="shared" si="90"/>
        <v>538</v>
      </c>
      <c r="K571" s="5">
        <f t="shared" si="91"/>
        <v>0</v>
      </c>
      <c r="L571">
        <f t="shared" si="92"/>
        <v>53.4</v>
      </c>
      <c r="M571">
        <f t="shared" si="93"/>
        <v>1</v>
      </c>
      <c r="N571">
        <f t="shared" si="94"/>
        <v>0</v>
      </c>
    </row>
    <row r="572" spans="4:14" x14ac:dyDescent="0.2">
      <c r="D572">
        <f t="shared" si="96"/>
        <v>549</v>
      </c>
      <c r="E572" s="1">
        <f t="shared" si="97"/>
        <v>-63.283917943957306</v>
      </c>
      <c r="F572" s="1">
        <f t="shared" si="98"/>
        <v>-63.860531308261301</v>
      </c>
      <c r="G572" s="1">
        <f t="shared" si="95"/>
        <v>1.8438417370788064E-28</v>
      </c>
      <c r="H572" s="1">
        <f t="shared" si="88"/>
        <v>1.9101810165080964E-29</v>
      </c>
      <c r="I572">
        <f t="shared" si="89"/>
        <v>8</v>
      </c>
      <c r="J572">
        <f t="shared" si="90"/>
        <v>539</v>
      </c>
      <c r="K572" s="5">
        <f t="shared" si="91"/>
        <v>0</v>
      </c>
      <c r="L572">
        <f t="shared" si="92"/>
        <v>53.4</v>
      </c>
      <c r="M572">
        <f t="shared" si="93"/>
        <v>1</v>
      </c>
      <c r="N572">
        <f t="shared" si="94"/>
        <v>0</v>
      </c>
    </row>
    <row r="573" spans="4:14" x14ac:dyDescent="0.2">
      <c r="D573">
        <f t="shared" si="96"/>
        <v>550</v>
      </c>
      <c r="E573" s="1">
        <f t="shared" si="97"/>
        <v>-63.400451760213258</v>
      </c>
      <c r="F573" s="1">
        <f t="shared" si="98"/>
        <v>-63.977065124517253</v>
      </c>
      <c r="G573" s="1">
        <f t="shared" si="95"/>
        <v>1.6410191460001366E-28</v>
      </c>
      <c r="H573" s="1">
        <f t="shared" si="88"/>
        <v>1.7000611046922047E-29</v>
      </c>
      <c r="I573">
        <f t="shared" si="89"/>
        <v>8</v>
      </c>
      <c r="J573">
        <f t="shared" si="90"/>
        <v>540</v>
      </c>
      <c r="K573" s="5">
        <f t="shared" si="91"/>
        <v>0</v>
      </c>
      <c r="L573">
        <f t="shared" si="92"/>
        <v>53.4</v>
      </c>
      <c r="M573">
        <f t="shared" si="93"/>
        <v>1</v>
      </c>
      <c r="N573">
        <f t="shared" si="94"/>
        <v>0</v>
      </c>
    </row>
    <row r="574" spans="4:14" x14ac:dyDescent="0.2">
      <c r="D574">
        <f t="shared" si="96"/>
        <v>551</v>
      </c>
      <c r="E574" s="1">
        <f t="shared" si="97"/>
        <v>-63.51698557646921</v>
      </c>
      <c r="F574" s="1">
        <f t="shared" si="98"/>
        <v>-64.093598940773205</v>
      </c>
      <c r="G574" s="1">
        <f t="shared" si="95"/>
        <v>1.4605070399401207E-28</v>
      </c>
      <c r="H574" s="1">
        <f t="shared" si="88"/>
        <v>1.5130543831760613E-29</v>
      </c>
      <c r="I574">
        <f t="shared" si="89"/>
        <v>8</v>
      </c>
      <c r="J574">
        <f t="shared" si="90"/>
        <v>541</v>
      </c>
      <c r="K574" s="5">
        <f t="shared" si="91"/>
        <v>0</v>
      </c>
      <c r="L574">
        <f t="shared" si="92"/>
        <v>53.4</v>
      </c>
      <c r="M574">
        <f t="shared" si="93"/>
        <v>1</v>
      </c>
      <c r="N574">
        <f t="shared" si="94"/>
        <v>0</v>
      </c>
    </row>
    <row r="575" spans="4:14" x14ac:dyDescent="0.2">
      <c r="D575">
        <f t="shared" si="96"/>
        <v>552</v>
      </c>
      <c r="E575" s="1">
        <f t="shared" si="97"/>
        <v>-63.633519392725162</v>
      </c>
      <c r="F575" s="1">
        <f t="shared" si="98"/>
        <v>-64.210132757029157</v>
      </c>
      <c r="G575" s="1">
        <f t="shared" si="95"/>
        <v>1.2998512655467065E-28</v>
      </c>
      <c r="H575" s="1">
        <f t="shared" si="88"/>
        <v>1.3466184010266934E-29</v>
      </c>
      <c r="I575">
        <f t="shared" si="89"/>
        <v>8</v>
      </c>
      <c r="J575">
        <f t="shared" si="90"/>
        <v>542</v>
      </c>
      <c r="K575" s="5">
        <f t="shared" si="91"/>
        <v>0</v>
      </c>
      <c r="L575">
        <f t="shared" si="92"/>
        <v>53.4</v>
      </c>
      <c r="M575">
        <f t="shared" si="93"/>
        <v>1</v>
      </c>
      <c r="N575">
        <f t="shared" si="94"/>
        <v>0</v>
      </c>
    </row>
    <row r="576" spans="4:14" x14ac:dyDescent="0.2">
      <c r="D576">
        <f t="shared" si="96"/>
        <v>553</v>
      </c>
      <c r="E576" s="1">
        <f t="shared" si="97"/>
        <v>-63.750053208981114</v>
      </c>
      <c r="F576" s="1">
        <f t="shared" si="98"/>
        <v>-64.32666657328511</v>
      </c>
      <c r="G576" s="1">
        <f t="shared" si="95"/>
        <v>1.1568676263365681E-28</v>
      </c>
      <c r="H576" s="1">
        <f t="shared" si="88"/>
        <v>1.1984903769137565E-29</v>
      </c>
      <c r="I576">
        <f t="shared" si="89"/>
        <v>8</v>
      </c>
      <c r="J576">
        <f t="shared" si="90"/>
        <v>543</v>
      </c>
      <c r="K576" s="5">
        <f t="shared" si="91"/>
        <v>0</v>
      </c>
      <c r="L576">
        <f t="shared" si="92"/>
        <v>53.4</v>
      </c>
      <c r="M576">
        <f t="shared" si="93"/>
        <v>1</v>
      </c>
      <c r="N576">
        <f t="shared" si="94"/>
        <v>0</v>
      </c>
    </row>
    <row r="577" spans="4:14" x14ac:dyDescent="0.2">
      <c r="D577">
        <f t="shared" si="96"/>
        <v>554</v>
      </c>
      <c r="E577" s="1">
        <f t="shared" si="97"/>
        <v>-63.866587025237067</v>
      </c>
      <c r="F577" s="1">
        <f t="shared" si="98"/>
        <v>-64.443200389541062</v>
      </c>
      <c r="G577" s="1">
        <f t="shared" si="95"/>
        <v>1.029612187439545E-28</v>
      </c>
      <c r="H577" s="1">
        <f t="shared" si="88"/>
        <v>1.0666564354532427E-29</v>
      </c>
      <c r="I577">
        <f t="shared" si="89"/>
        <v>8</v>
      </c>
      <c r="J577">
        <f t="shared" si="90"/>
        <v>544</v>
      </c>
      <c r="K577" s="5">
        <f t="shared" si="91"/>
        <v>0</v>
      </c>
      <c r="L577">
        <f t="shared" si="92"/>
        <v>53.4</v>
      </c>
      <c r="M577">
        <f t="shared" si="93"/>
        <v>1</v>
      </c>
      <c r="N577">
        <f t="shared" si="94"/>
        <v>0</v>
      </c>
    </row>
    <row r="578" spans="4:14" x14ac:dyDescent="0.2">
      <c r="D578">
        <f t="shared" si="96"/>
        <v>555</v>
      </c>
      <c r="E578" s="1">
        <f t="shared" si="97"/>
        <v>-63.983120841493019</v>
      </c>
      <c r="F578" s="1">
        <f t="shared" si="98"/>
        <v>-64.559734205797014</v>
      </c>
      <c r="G578" s="1">
        <f t="shared" si="95"/>
        <v>9.1635484682119448E-29</v>
      </c>
      <c r="H578" s="1">
        <f t="shared" si="88"/>
        <v>9.493242275533853E-30</v>
      </c>
      <c r="I578">
        <f t="shared" si="89"/>
        <v>8</v>
      </c>
      <c r="J578">
        <f t="shared" si="90"/>
        <v>545</v>
      </c>
      <c r="K578" s="5">
        <f t="shared" si="91"/>
        <v>0</v>
      </c>
      <c r="L578">
        <f t="shared" si="92"/>
        <v>53.4</v>
      </c>
      <c r="M578">
        <f t="shared" si="93"/>
        <v>1</v>
      </c>
      <c r="N578">
        <f t="shared" si="94"/>
        <v>0</v>
      </c>
    </row>
    <row r="579" spans="4:14" x14ac:dyDescent="0.2">
      <c r="D579">
        <f t="shared" si="96"/>
        <v>556</v>
      </c>
      <c r="E579" s="1">
        <f t="shared" si="97"/>
        <v>-64.099654657748971</v>
      </c>
      <c r="F579" s="1">
        <f t="shared" si="98"/>
        <v>-64.676268022052966</v>
      </c>
      <c r="G579" s="1">
        <f t="shared" si="95"/>
        <v>8.155558136708625E-29</v>
      </c>
      <c r="H579" s="1">
        <f t="shared" si="88"/>
        <v>8.4489856252251239E-30</v>
      </c>
      <c r="I579">
        <f t="shared" si="89"/>
        <v>8</v>
      </c>
      <c r="J579">
        <f t="shared" si="90"/>
        <v>546</v>
      </c>
      <c r="K579" s="5">
        <f t="shared" si="91"/>
        <v>0</v>
      </c>
      <c r="L579">
        <f t="shared" si="92"/>
        <v>53.4</v>
      </c>
      <c r="M579">
        <f t="shared" si="93"/>
        <v>1</v>
      </c>
      <c r="N579">
        <f t="shared" si="94"/>
        <v>0</v>
      </c>
    </row>
    <row r="580" spans="4:14" x14ac:dyDescent="0.2">
      <c r="D580">
        <f t="shared" si="96"/>
        <v>557</v>
      </c>
      <c r="E580" s="1">
        <f t="shared" si="97"/>
        <v>-64.216188474004923</v>
      </c>
      <c r="F580" s="1">
        <f t="shared" si="98"/>
        <v>-64.792801838308918</v>
      </c>
      <c r="G580" s="1">
        <f t="shared" si="95"/>
        <v>7.2584467416706716E-29</v>
      </c>
      <c r="H580" s="1">
        <f t="shared" si="88"/>
        <v>7.5195972064503546E-30</v>
      </c>
      <c r="I580">
        <f t="shared" si="89"/>
        <v>8</v>
      </c>
      <c r="J580">
        <f t="shared" si="90"/>
        <v>547</v>
      </c>
      <c r="K580" s="5">
        <f t="shared" si="91"/>
        <v>0</v>
      </c>
      <c r="L580">
        <f t="shared" si="92"/>
        <v>53.4</v>
      </c>
      <c r="M580">
        <f t="shared" si="93"/>
        <v>1</v>
      </c>
      <c r="N580">
        <f t="shared" si="94"/>
        <v>0</v>
      </c>
    </row>
    <row r="581" spans="4:14" x14ac:dyDescent="0.2">
      <c r="D581">
        <f t="shared" si="96"/>
        <v>558</v>
      </c>
      <c r="E581" s="1">
        <f t="shared" si="97"/>
        <v>-64.332722290260875</v>
      </c>
      <c r="F581" s="1">
        <f t="shared" si="98"/>
        <v>-64.90933565456487</v>
      </c>
      <c r="G581" s="1">
        <f t="shared" si="95"/>
        <v>6.4600176000868942E-29</v>
      </c>
      <c r="H581" s="1">
        <f t="shared" si="88"/>
        <v>6.6924415137408124E-30</v>
      </c>
      <c r="I581">
        <f t="shared" si="89"/>
        <v>8</v>
      </c>
      <c r="J581">
        <f t="shared" si="90"/>
        <v>548</v>
      </c>
      <c r="K581" s="5">
        <f t="shared" si="91"/>
        <v>0</v>
      </c>
      <c r="L581">
        <f t="shared" si="92"/>
        <v>53.4</v>
      </c>
      <c r="M581">
        <f t="shared" si="93"/>
        <v>1</v>
      </c>
      <c r="N581">
        <f t="shared" si="94"/>
        <v>0</v>
      </c>
    </row>
    <row r="582" spans="4:14" x14ac:dyDescent="0.2">
      <c r="D582">
        <f t="shared" si="96"/>
        <v>559</v>
      </c>
      <c r="E582" s="1">
        <f t="shared" si="97"/>
        <v>-64.449256106516827</v>
      </c>
      <c r="F582" s="1">
        <f t="shared" si="98"/>
        <v>-65.025869470820822</v>
      </c>
      <c r="G582" s="1">
        <f t="shared" si="95"/>
        <v>5.7494156640773324E-29</v>
      </c>
      <c r="H582" s="1">
        <f t="shared" si="88"/>
        <v>5.9562729472293196E-30</v>
      </c>
      <c r="I582">
        <f t="shared" si="89"/>
        <v>8</v>
      </c>
      <c r="J582">
        <f t="shared" si="90"/>
        <v>549</v>
      </c>
      <c r="K582" s="5">
        <f t="shared" si="91"/>
        <v>0</v>
      </c>
      <c r="L582">
        <f t="shared" si="92"/>
        <v>53.4</v>
      </c>
      <c r="M582">
        <f t="shared" si="93"/>
        <v>1</v>
      </c>
      <c r="N582">
        <f t="shared" si="94"/>
        <v>0</v>
      </c>
    </row>
    <row r="583" spans="4:14" x14ac:dyDescent="0.2">
      <c r="D583">
        <f t="shared" si="96"/>
        <v>560</v>
      </c>
      <c r="E583" s="1">
        <f t="shared" si="97"/>
        <v>-64.56578992277278</v>
      </c>
      <c r="F583" s="1">
        <f t="shared" si="98"/>
        <v>-65.142403287076775</v>
      </c>
      <c r="G583" s="1">
        <f t="shared" si="95"/>
        <v>5.1169799410288225E-29</v>
      </c>
      <c r="H583" s="1">
        <f t="shared" si="88"/>
        <v>5.3010829230340911E-30</v>
      </c>
      <c r="I583">
        <f t="shared" si="89"/>
        <v>8</v>
      </c>
      <c r="J583">
        <f t="shared" si="90"/>
        <v>550</v>
      </c>
      <c r="K583" s="5">
        <f t="shared" si="91"/>
        <v>0</v>
      </c>
      <c r="L583">
        <f t="shared" si="92"/>
        <v>53.4</v>
      </c>
      <c r="M583">
        <f t="shared" si="93"/>
        <v>1</v>
      </c>
      <c r="N583">
        <f t="shared" si="94"/>
        <v>0</v>
      </c>
    </row>
    <row r="584" spans="4:14" x14ac:dyDescent="0.2">
      <c r="D584">
        <f t="shared" si="96"/>
        <v>561</v>
      </c>
      <c r="E584" s="1">
        <f t="shared" si="97"/>
        <v>-64.682323739028732</v>
      </c>
      <c r="F584" s="1">
        <f t="shared" si="98"/>
        <v>-65.258937103332727</v>
      </c>
      <c r="G584" s="1">
        <f t="shared" si="95"/>
        <v>4.5541121475156487E-29</v>
      </c>
      <c r="H584" s="1">
        <f t="shared" si="88"/>
        <v>4.7179638015003375E-30</v>
      </c>
      <c r="I584">
        <f t="shared" si="89"/>
        <v>8</v>
      </c>
      <c r="J584">
        <f t="shared" si="90"/>
        <v>551</v>
      </c>
      <c r="K584" s="5">
        <f t="shared" si="91"/>
        <v>0</v>
      </c>
      <c r="L584">
        <f t="shared" si="92"/>
        <v>53.4</v>
      </c>
      <c r="M584">
        <f t="shared" si="93"/>
        <v>1</v>
      </c>
      <c r="N584">
        <f t="shared" si="94"/>
        <v>0</v>
      </c>
    </row>
    <row r="585" spans="4:14" x14ac:dyDescent="0.2">
      <c r="D585">
        <f t="shared" si="96"/>
        <v>562</v>
      </c>
      <c r="E585" s="1">
        <f t="shared" si="97"/>
        <v>-64.798857555284684</v>
      </c>
      <c r="F585" s="1">
        <f t="shared" si="98"/>
        <v>-65.375470919588679</v>
      </c>
      <c r="G585" s="1">
        <f t="shared" si="95"/>
        <v>4.0531598112889247E-29</v>
      </c>
      <c r="H585" s="1">
        <f t="shared" si="88"/>
        <v>4.1989877833352973E-30</v>
      </c>
      <c r="I585">
        <f t="shared" si="89"/>
        <v>8</v>
      </c>
      <c r="J585">
        <f t="shared" si="90"/>
        <v>552</v>
      </c>
      <c r="K585" s="5">
        <f t="shared" si="91"/>
        <v>0</v>
      </c>
      <c r="L585">
        <f t="shared" si="92"/>
        <v>53.4</v>
      </c>
      <c r="M585">
        <f t="shared" si="93"/>
        <v>1</v>
      </c>
      <c r="N585">
        <f t="shared" si="94"/>
        <v>0</v>
      </c>
    </row>
    <row r="586" spans="4:14" x14ac:dyDescent="0.2">
      <c r="D586">
        <f t="shared" si="96"/>
        <v>563</v>
      </c>
      <c r="E586" s="1">
        <f t="shared" si="97"/>
        <v>-64.915391371540636</v>
      </c>
      <c r="F586" s="1">
        <f t="shared" si="98"/>
        <v>-65.492004735844631</v>
      </c>
      <c r="G586" s="1">
        <f t="shared" si="95"/>
        <v>3.6073122320471409E-29</v>
      </c>
      <c r="H586" s="1">
        <f t="shared" si="88"/>
        <v>3.737099127168413E-30</v>
      </c>
      <c r="I586">
        <f t="shared" si="89"/>
        <v>8</v>
      </c>
      <c r="J586">
        <f t="shared" si="90"/>
        <v>553</v>
      </c>
      <c r="K586" s="5">
        <f t="shared" si="91"/>
        <v>0</v>
      </c>
      <c r="L586">
        <f t="shared" si="92"/>
        <v>53.4</v>
      </c>
      <c r="M586">
        <f t="shared" si="93"/>
        <v>1</v>
      </c>
      <c r="N586">
        <f t="shared" si="94"/>
        <v>0</v>
      </c>
    </row>
    <row r="587" spans="4:14" x14ac:dyDescent="0.2">
      <c r="D587">
        <f t="shared" si="96"/>
        <v>564</v>
      </c>
      <c r="E587" s="1">
        <f t="shared" si="97"/>
        <v>-65.031925187796588</v>
      </c>
      <c r="F587" s="1">
        <f t="shared" si="98"/>
        <v>-65.608538552100583</v>
      </c>
      <c r="G587" s="1">
        <f t="shared" si="95"/>
        <v>3.2105078865219534E-29</v>
      </c>
      <c r="H587" s="1">
        <f t="shared" si="88"/>
        <v>3.3260182231798849E-30</v>
      </c>
      <c r="I587">
        <f t="shared" si="89"/>
        <v>8</v>
      </c>
      <c r="J587">
        <f t="shared" si="90"/>
        <v>554</v>
      </c>
      <c r="K587" s="5">
        <f t="shared" si="91"/>
        <v>0</v>
      </c>
      <c r="L587">
        <f t="shared" si="92"/>
        <v>53.4</v>
      </c>
      <c r="M587">
        <f t="shared" si="93"/>
        <v>1</v>
      </c>
      <c r="N587">
        <f t="shared" si="94"/>
        <v>0</v>
      </c>
    </row>
    <row r="588" spans="4:14" x14ac:dyDescent="0.2">
      <c r="D588">
        <f t="shared" si="96"/>
        <v>565</v>
      </c>
      <c r="E588" s="1">
        <f t="shared" si="97"/>
        <v>-65.14845900405254</v>
      </c>
      <c r="F588" s="1">
        <f t="shared" si="98"/>
        <v>-65.725072368356535</v>
      </c>
      <c r="G588" s="1">
        <f t="shared" si="95"/>
        <v>2.8573520190045365E-29</v>
      </c>
      <c r="H588" s="1">
        <f t="shared" si="88"/>
        <v>2.9601562186300957E-30</v>
      </c>
      <c r="I588">
        <f t="shared" si="89"/>
        <v>8</v>
      </c>
      <c r="J588">
        <f t="shared" si="90"/>
        <v>555</v>
      </c>
      <c r="K588" s="5">
        <f t="shared" si="91"/>
        <v>0</v>
      </c>
      <c r="L588">
        <f t="shared" si="92"/>
        <v>53.4</v>
      </c>
      <c r="M588">
        <f t="shared" si="93"/>
        <v>1</v>
      </c>
      <c r="N588">
        <f t="shared" si="94"/>
        <v>0</v>
      </c>
    </row>
    <row r="589" spans="4:14" x14ac:dyDescent="0.2">
      <c r="D589">
        <f t="shared" si="96"/>
        <v>566</v>
      </c>
      <c r="E589" s="1">
        <f t="shared" si="97"/>
        <v>-65.264992820308493</v>
      </c>
      <c r="F589" s="1">
        <f t="shared" si="98"/>
        <v>-65.841606184612488</v>
      </c>
      <c r="G589" s="1">
        <f t="shared" si="95"/>
        <v>2.543043296914036E-29</v>
      </c>
      <c r="H589" s="1">
        <f t="shared" si="88"/>
        <v>2.6345390345807836E-30</v>
      </c>
      <c r="I589">
        <f t="shared" si="89"/>
        <v>8</v>
      </c>
      <c r="J589">
        <f t="shared" si="90"/>
        <v>556</v>
      </c>
      <c r="K589" s="5">
        <f t="shared" si="91"/>
        <v>0</v>
      </c>
      <c r="L589">
        <f t="shared" si="92"/>
        <v>53.4</v>
      </c>
      <c r="M589">
        <f t="shared" si="93"/>
        <v>1</v>
      </c>
      <c r="N589">
        <f t="shared" si="94"/>
        <v>0</v>
      </c>
    </row>
    <row r="590" spans="4:14" x14ac:dyDescent="0.2">
      <c r="D590">
        <f t="shared" si="96"/>
        <v>567</v>
      </c>
      <c r="E590" s="1">
        <f t="shared" si="97"/>
        <v>-65.381526636564445</v>
      </c>
      <c r="F590" s="1">
        <f t="shared" si="98"/>
        <v>-65.95814000086844</v>
      </c>
      <c r="G590" s="1">
        <f t="shared" si="95"/>
        <v>2.2633085342534906E-29</v>
      </c>
      <c r="H590" s="1">
        <f t="shared" si="88"/>
        <v>2.3447397407768958E-30</v>
      </c>
      <c r="I590">
        <f t="shared" si="89"/>
        <v>8</v>
      </c>
      <c r="J590">
        <f t="shared" si="90"/>
        <v>557</v>
      </c>
      <c r="K590" s="5">
        <f t="shared" si="91"/>
        <v>0</v>
      </c>
      <c r="L590">
        <f t="shared" si="92"/>
        <v>53.4</v>
      </c>
      <c r="M590">
        <f t="shared" si="93"/>
        <v>1</v>
      </c>
      <c r="N590">
        <f t="shared" si="94"/>
        <v>0</v>
      </c>
    </row>
    <row r="591" spans="4:14" x14ac:dyDescent="0.2">
      <c r="D591">
        <f t="shared" si="96"/>
        <v>568</v>
      </c>
      <c r="E591" s="1">
        <f t="shared" si="97"/>
        <v>-65.498060452820397</v>
      </c>
      <c r="F591" s="1">
        <f t="shared" si="98"/>
        <v>-66.074673817124392</v>
      </c>
      <c r="G591" s="1">
        <f t="shared" si="95"/>
        <v>2.0143445954856054E-29</v>
      </c>
      <c r="H591" s="1">
        <f t="shared" si="88"/>
        <v>2.0868183692914362E-30</v>
      </c>
      <c r="I591">
        <f t="shared" si="89"/>
        <v>8</v>
      </c>
      <c r="J591">
        <f t="shared" si="90"/>
        <v>558</v>
      </c>
      <c r="K591" s="5">
        <f t="shared" si="91"/>
        <v>0</v>
      </c>
      <c r="L591">
        <f t="shared" si="92"/>
        <v>53.4</v>
      </c>
      <c r="M591">
        <f t="shared" si="93"/>
        <v>1</v>
      </c>
      <c r="N591">
        <f t="shared" si="94"/>
        <v>0</v>
      </c>
    </row>
    <row r="592" spans="4:14" x14ac:dyDescent="0.2">
      <c r="D592">
        <f t="shared" si="96"/>
        <v>569</v>
      </c>
      <c r="E592" s="1">
        <f t="shared" si="97"/>
        <v>-65.614594269076349</v>
      </c>
      <c r="F592" s="1">
        <f t="shared" si="98"/>
        <v>-66.191207633380344</v>
      </c>
      <c r="G592" s="1">
        <f t="shared" si="95"/>
        <v>1.7927666899821878E-29</v>
      </c>
      <c r="H592" s="1">
        <f t="shared" si="88"/>
        <v>1.857268348669377E-30</v>
      </c>
      <c r="I592">
        <f t="shared" si="89"/>
        <v>8</v>
      </c>
      <c r="J592">
        <f t="shared" si="90"/>
        <v>559</v>
      </c>
      <c r="K592" s="5">
        <f t="shared" si="91"/>
        <v>0</v>
      </c>
      <c r="L592">
        <f t="shared" si="92"/>
        <v>53.4</v>
      </c>
      <c r="M592">
        <f t="shared" si="93"/>
        <v>1</v>
      </c>
      <c r="N592">
        <f t="shared" si="94"/>
        <v>0</v>
      </c>
    </row>
    <row r="593" spans="4:14" x14ac:dyDescent="0.2">
      <c r="D593">
        <f t="shared" si="96"/>
        <v>570</v>
      </c>
      <c r="E593" s="1">
        <f t="shared" si="97"/>
        <v>-65.731128085332301</v>
      </c>
      <c r="F593" s="1">
        <f t="shared" si="98"/>
        <v>-66.307741449636296</v>
      </c>
      <c r="G593" s="1">
        <f t="shared" si="95"/>
        <v>1.595562354084146E-29</v>
      </c>
      <c r="H593" s="1">
        <f t="shared" si="88"/>
        <v>1.6529688303157444E-30</v>
      </c>
      <c r="I593">
        <f t="shared" si="89"/>
        <v>8</v>
      </c>
      <c r="J593">
        <f t="shared" si="90"/>
        <v>560</v>
      </c>
      <c r="K593" s="5">
        <f t="shared" si="91"/>
        <v>0</v>
      </c>
      <c r="L593">
        <f t="shared" si="92"/>
        <v>53.4</v>
      </c>
      <c r="M593">
        <f t="shared" si="93"/>
        <v>1</v>
      </c>
      <c r="N593">
        <f t="shared" si="94"/>
        <v>0</v>
      </c>
    </row>
    <row r="594" spans="4:14" x14ac:dyDescent="0.2">
      <c r="D594">
        <f t="shared" si="96"/>
        <v>571</v>
      </c>
      <c r="E594" s="1">
        <f t="shared" si="97"/>
        <v>-65.847661901588253</v>
      </c>
      <c r="F594" s="1">
        <f t="shared" si="98"/>
        <v>-66.424275265892248</v>
      </c>
      <c r="G594" s="1">
        <f t="shared" si="95"/>
        <v>1.4200504951348891E-29</v>
      </c>
      <c r="H594" s="1">
        <f t="shared" si="88"/>
        <v>1.4711422589810118E-30</v>
      </c>
      <c r="I594">
        <f t="shared" si="89"/>
        <v>8</v>
      </c>
      <c r="J594">
        <f t="shared" si="90"/>
        <v>561</v>
      </c>
      <c r="K594" s="5">
        <f t="shared" si="91"/>
        <v>0</v>
      </c>
      <c r="L594">
        <f t="shared" si="92"/>
        <v>53.4</v>
      </c>
      <c r="M594">
        <f t="shared" si="93"/>
        <v>1</v>
      </c>
      <c r="N594">
        <f t="shared" si="94"/>
        <v>0</v>
      </c>
    </row>
    <row r="595" spans="4:14" x14ac:dyDescent="0.2">
      <c r="D595">
        <f t="shared" si="96"/>
        <v>572</v>
      </c>
      <c r="E595" s="1">
        <f t="shared" si="97"/>
        <v>-65.964195717844206</v>
      </c>
      <c r="F595" s="1">
        <f t="shared" si="98"/>
        <v>-66.540809082148201</v>
      </c>
      <c r="G595" s="1">
        <f t="shared" si="95"/>
        <v>1.2638449406700505E-29</v>
      </c>
      <c r="H595" s="1">
        <f t="shared" si="88"/>
        <v>1.3093166104930997E-30</v>
      </c>
      <c r="I595">
        <f t="shared" si="89"/>
        <v>8</v>
      </c>
      <c r="J595">
        <f t="shared" si="90"/>
        <v>562</v>
      </c>
      <c r="K595" s="5">
        <f t="shared" si="91"/>
        <v>0</v>
      </c>
      <c r="L595">
        <f t="shared" si="92"/>
        <v>53.4</v>
      </c>
      <c r="M595">
        <f t="shared" si="93"/>
        <v>1</v>
      </c>
      <c r="N595">
        <f t="shared" si="94"/>
        <v>0</v>
      </c>
    </row>
    <row r="596" spans="4:14" x14ac:dyDescent="0.2">
      <c r="D596">
        <f t="shared" si="96"/>
        <v>573</v>
      </c>
      <c r="E596" s="1">
        <f t="shared" si="97"/>
        <v>-66.080729534100158</v>
      </c>
      <c r="F596" s="1">
        <f t="shared" si="98"/>
        <v>-66.657342898404153</v>
      </c>
      <c r="G596" s="1">
        <f t="shared" si="95"/>
        <v>1.1248219971963442E-29</v>
      </c>
      <c r="H596" s="1">
        <f t="shared" si="88"/>
        <v>1.1652917833388579E-30</v>
      </c>
      <c r="I596">
        <f t="shared" si="89"/>
        <v>8</v>
      </c>
      <c r="J596">
        <f t="shared" si="90"/>
        <v>563</v>
      </c>
      <c r="K596" s="5">
        <f t="shared" si="91"/>
        <v>0</v>
      </c>
      <c r="L596">
        <f t="shared" si="92"/>
        <v>53.4</v>
      </c>
      <c r="M596">
        <f t="shared" si="93"/>
        <v>1</v>
      </c>
      <c r="N596">
        <f t="shared" si="94"/>
        <v>0</v>
      </c>
    </row>
    <row r="597" spans="4:14" x14ac:dyDescent="0.2">
      <c r="D597">
        <f t="shared" si="96"/>
        <v>574</v>
      </c>
      <c r="E597" s="1">
        <f t="shared" si="97"/>
        <v>-66.19726335035611</v>
      </c>
      <c r="F597" s="1">
        <f t="shared" si="98"/>
        <v>-66.773876714660105</v>
      </c>
      <c r="G597" s="1">
        <f t="shared" si="95"/>
        <v>1.0010915775047458E-29</v>
      </c>
      <c r="H597" s="1">
        <f t="shared" si="88"/>
        <v>1.0371096871715829E-30</v>
      </c>
      <c r="I597">
        <f t="shared" si="89"/>
        <v>8</v>
      </c>
      <c r="J597">
        <f t="shared" si="90"/>
        <v>564</v>
      </c>
      <c r="K597" s="5">
        <f t="shared" si="91"/>
        <v>0</v>
      </c>
      <c r="L597">
        <f t="shared" si="92"/>
        <v>53.4</v>
      </c>
      <c r="M597">
        <f t="shared" si="93"/>
        <v>1</v>
      </c>
      <c r="N597">
        <f t="shared" si="94"/>
        <v>0</v>
      </c>
    </row>
    <row r="598" spans="4:14" x14ac:dyDescent="0.2">
      <c r="D598">
        <f t="shared" si="96"/>
        <v>575</v>
      </c>
      <c r="E598" s="1">
        <f t="shared" si="97"/>
        <v>-66.313797166612062</v>
      </c>
      <c r="F598" s="1">
        <f t="shared" si="98"/>
        <v>-66.890410530916057</v>
      </c>
      <c r="G598" s="1">
        <f t="shared" si="95"/>
        <v>8.9097150397922315E-30</v>
      </c>
      <c r="H598" s="1">
        <f t="shared" si="88"/>
        <v>9.2302762158270811E-31</v>
      </c>
      <c r="I598">
        <f t="shared" si="89"/>
        <v>8</v>
      </c>
      <c r="J598">
        <f t="shared" si="90"/>
        <v>565</v>
      </c>
      <c r="K598" s="5">
        <f t="shared" si="91"/>
        <v>0</v>
      </c>
      <c r="L598">
        <f t="shared" si="92"/>
        <v>53.4</v>
      </c>
      <c r="M598">
        <f t="shared" si="93"/>
        <v>1</v>
      </c>
      <c r="N598">
        <f t="shared" si="94"/>
        <v>0</v>
      </c>
    </row>
    <row r="599" spans="4:14" x14ac:dyDescent="0.2">
      <c r="D599">
        <f t="shared" si="96"/>
        <v>576</v>
      </c>
      <c r="E599" s="1">
        <f t="shared" si="97"/>
        <v>-66.430330982868014</v>
      </c>
      <c r="F599" s="1">
        <f t="shared" si="98"/>
        <v>-67.006944347172009</v>
      </c>
      <c r="G599" s="1">
        <f t="shared" si="95"/>
        <v>7.9296463854150817E-30</v>
      </c>
      <c r="H599" s="1">
        <f t="shared" ref="H599:H662" si="99">G599/$G$21</f>
        <v>8.2149458320860979E-31</v>
      </c>
      <c r="I599">
        <f t="shared" ref="I599:I662" si="100">IF($F$11&lt;=D599, IF(D599&lt;=$A$15,D599-$F$11,$C$11),0)</f>
        <v>8</v>
      </c>
      <c r="J599">
        <f t="shared" ref="J599:J662" si="101">IF(D599&lt;=$A$15,0,D599-$A$15)</f>
        <v>566</v>
      </c>
      <c r="K599" s="5">
        <f t="shared" ref="K599:K662" si="102">IF(D599&lt;$F$11,H599,0)</f>
        <v>0</v>
      </c>
      <c r="L599">
        <f t="shared" ref="L599:L662" si="103">IF(D599&lt;$A$15,$D$11,$D$11*(1-$H$11))</f>
        <v>53.4</v>
      </c>
      <c r="M599">
        <f t="shared" ref="M599:M662" si="104">IF(D599&lt;$A$15,0,1)</f>
        <v>1</v>
      </c>
      <c r="N599">
        <f t="shared" ref="N599:N662" si="105">IF(SUM(I599:J599)&lt;=($G$11/60*$F$11/($E$11/60)),1,0)</f>
        <v>0</v>
      </c>
    </row>
    <row r="600" spans="4:14" x14ac:dyDescent="0.2">
      <c r="D600">
        <f t="shared" si="96"/>
        <v>577</v>
      </c>
      <c r="E600" s="1">
        <f t="shared" si="97"/>
        <v>-66.546864799123966</v>
      </c>
      <c r="F600" s="1">
        <f t="shared" si="98"/>
        <v>-67.123478163427961</v>
      </c>
      <c r="G600" s="1">
        <f t="shared" ref="G600:G663" si="106">EXP(F600)</f>
        <v>7.057385283019418E-30</v>
      </c>
      <c r="H600" s="1">
        <f t="shared" si="99"/>
        <v>7.3113017905566224E-31</v>
      </c>
      <c r="I600">
        <f t="shared" si="100"/>
        <v>8</v>
      </c>
      <c r="J600">
        <f t="shared" si="101"/>
        <v>567</v>
      </c>
      <c r="K600" s="5">
        <f t="shared" si="102"/>
        <v>0</v>
      </c>
      <c r="L600">
        <f t="shared" si="103"/>
        <v>53.4</v>
      </c>
      <c r="M600">
        <f t="shared" si="104"/>
        <v>1</v>
      </c>
      <c r="N600">
        <f t="shared" si="105"/>
        <v>0</v>
      </c>
    </row>
    <row r="601" spans="4:14" x14ac:dyDescent="0.2">
      <c r="D601">
        <f t="shared" ref="D601:D664" si="107">1+D600</f>
        <v>578</v>
      </c>
      <c r="E601" s="1">
        <f t="shared" ref="E601:E664" si="108">IF($H$11=1,IF(D601&lt;=$A$15, E600+LN($D$11)-LN(60/$E$11)-LN(MIN(D601,$F$11)), E600-LN(60/$E$11)-LN(MIN(D601,$F$11))), IF(D601&lt;=$A$15, E600+LN($D$11)-LN(60/$E$11)-LN(MIN(D601,$F$11)), E600+LN($D$11)+LN(1-$H$11)-LN(60/$E$11)-LN(MIN(D601,$F$11))))</f>
        <v>-66.663398615379919</v>
      </c>
      <c r="F601" s="1">
        <f t="shared" ref="F601:F664" si="109">E601-$E$21</f>
        <v>-67.240011979683914</v>
      </c>
      <c r="G601" s="1">
        <f t="shared" si="106"/>
        <v>6.2810729018872777E-30</v>
      </c>
      <c r="H601" s="1">
        <f t="shared" si="99"/>
        <v>6.5070585935953892E-31</v>
      </c>
      <c r="I601">
        <f t="shared" si="100"/>
        <v>8</v>
      </c>
      <c r="J601">
        <f t="shared" si="101"/>
        <v>568</v>
      </c>
      <c r="K601" s="5">
        <f t="shared" si="102"/>
        <v>0</v>
      </c>
      <c r="L601">
        <f t="shared" si="103"/>
        <v>53.4</v>
      </c>
      <c r="M601">
        <f t="shared" si="104"/>
        <v>1</v>
      </c>
      <c r="N601">
        <f t="shared" si="105"/>
        <v>0</v>
      </c>
    </row>
    <row r="602" spans="4:14" x14ac:dyDescent="0.2">
      <c r="D602">
        <f t="shared" si="107"/>
        <v>579</v>
      </c>
      <c r="E602" s="1">
        <f t="shared" si="108"/>
        <v>-66.779932431635871</v>
      </c>
      <c r="F602" s="1">
        <f t="shared" si="109"/>
        <v>-67.356545795939866</v>
      </c>
      <c r="G602" s="1">
        <f t="shared" si="106"/>
        <v>5.5901548826796736E-30</v>
      </c>
      <c r="H602" s="1">
        <f t="shared" si="99"/>
        <v>5.7912821482998934E-31</v>
      </c>
      <c r="I602">
        <f t="shared" si="100"/>
        <v>8</v>
      </c>
      <c r="J602">
        <f t="shared" si="101"/>
        <v>569</v>
      </c>
      <c r="K602" s="5">
        <f t="shared" si="102"/>
        <v>0</v>
      </c>
      <c r="L602">
        <f t="shared" si="103"/>
        <v>53.4</v>
      </c>
      <c r="M602">
        <f t="shared" si="104"/>
        <v>1</v>
      </c>
      <c r="N602">
        <f t="shared" si="105"/>
        <v>0</v>
      </c>
    </row>
    <row r="603" spans="4:14" x14ac:dyDescent="0.2">
      <c r="D603">
        <f t="shared" si="107"/>
        <v>580</v>
      </c>
      <c r="E603" s="1">
        <f t="shared" si="108"/>
        <v>-66.896466247891823</v>
      </c>
      <c r="F603" s="1">
        <f t="shared" si="109"/>
        <v>-67.473079612195818</v>
      </c>
      <c r="G603" s="1">
        <f t="shared" si="106"/>
        <v>4.9752378455849061E-30</v>
      </c>
      <c r="H603" s="1">
        <f t="shared" si="99"/>
        <v>5.1542411119869016E-31</v>
      </c>
      <c r="I603">
        <f t="shared" si="100"/>
        <v>8</v>
      </c>
      <c r="J603">
        <f t="shared" si="101"/>
        <v>570</v>
      </c>
      <c r="K603" s="5">
        <f t="shared" si="102"/>
        <v>0</v>
      </c>
      <c r="L603">
        <f t="shared" si="103"/>
        <v>53.4</v>
      </c>
      <c r="M603">
        <f t="shared" si="104"/>
        <v>1</v>
      </c>
      <c r="N603">
        <f t="shared" si="105"/>
        <v>0</v>
      </c>
    </row>
    <row r="604" spans="4:14" x14ac:dyDescent="0.2">
      <c r="D604">
        <f t="shared" si="107"/>
        <v>581</v>
      </c>
      <c r="E604" s="1">
        <f t="shared" si="108"/>
        <v>-67.013000064147775</v>
      </c>
      <c r="F604" s="1">
        <f t="shared" si="109"/>
        <v>-67.58961342845177</v>
      </c>
      <c r="G604" s="1">
        <f t="shared" si="106"/>
        <v>4.4279616825705637E-30</v>
      </c>
      <c r="H604" s="1">
        <f t="shared" si="99"/>
        <v>4.5872745896683394E-31</v>
      </c>
      <c r="I604">
        <f t="shared" si="100"/>
        <v>8</v>
      </c>
      <c r="J604">
        <f t="shared" si="101"/>
        <v>571</v>
      </c>
      <c r="K604" s="5">
        <f t="shared" si="102"/>
        <v>0</v>
      </c>
      <c r="L604">
        <f t="shared" si="103"/>
        <v>53.4</v>
      </c>
      <c r="M604">
        <f t="shared" si="104"/>
        <v>1</v>
      </c>
      <c r="N604">
        <f t="shared" si="105"/>
        <v>0</v>
      </c>
    </row>
    <row r="605" spans="4:14" x14ac:dyDescent="0.2">
      <c r="D605">
        <f t="shared" si="107"/>
        <v>582</v>
      </c>
      <c r="E605" s="1">
        <f t="shared" si="108"/>
        <v>-67.129533880403727</v>
      </c>
      <c r="F605" s="1">
        <f t="shared" si="109"/>
        <v>-67.706147244707722</v>
      </c>
      <c r="G605" s="1">
        <f t="shared" si="106"/>
        <v>3.9408858974877997E-30</v>
      </c>
      <c r="H605" s="1">
        <f t="shared" si="99"/>
        <v>4.0826743848048201E-31</v>
      </c>
      <c r="I605">
        <f t="shared" si="100"/>
        <v>8</v>
      </c>
      <c r="J605">
        <f t="shared" si="101"/>
        <v>572</v>
      </c>
      <c r="K605" s="5">
        <f t="shared" si="102"/>
        <v>0</v>
      </c>
      <c r="L605">
        <f t="shared" si="103"/>
        <v>53.4</v>
      </c>
      <c r="M605">
        <f t="shared" si="104"/>
        <v>1</v>
      </c>
      <c r="N605">
        <f t="shared" si="105"/>
        <v>0</v>
      </c>
    </row>
    <row r="606" spans="4:14" x14ac:dyDescent="0.2">
      <c r="D606">
        <f t="shared" si="107"/>
        <v>583</v>
      </c>
      <c r="E606" s="1">
        <f t="shared" si="108"/>
        <v>-67.246067696659679</v>
      </c>
      <c r="F606" s="1">
        <f t="shared" si="109"/>
        <v>-67.822681060963674</v>
      </c>
      <c r="G606" s="1">
        <f t="shared" si="106"/>
        <v>3.5073884487641396E-30</v>
      </c>
      <c r="H606" s="1">
        <f t="shared" si="99"/>
        <v>3.6335802024762873E-31</v>
      </c>
      <c r="I606">
        <f t="shared" si="100"/>
        <v>8</v>
      </c>
      <c r="J606">
        <f t="shared" si="101"/>
        <v>573</v>
      </c>
      <c r="K606" s="5">
        <f t="shared" si="102"/>
        <v>0</v>
      </c>
      <c r="L606">
        <f t="shared" si="103"/>
        <v>53.4</v>
      </c>
      <c r="M606">
        <f t="shared" si="104"/>
        <v>1</v>
      </c>
      <c r="N606">
        <f t="shared" si="105"/>
        <v>0</v>
      </c>
    </row>
    <row r="607" spans="4:14" x14ac:dyDescent="0.2">
      <c r="D607">
        <f t="shared" si="107"/>
        <v>584</v>
      </c>
      <c r="E607" s="1">
        <f t="shared" si="108"/>
        <v>-67.362601512915631</v>
      </c>
      <c r="F607" s="1">
        <f t="shared" si="109"/>
        <v>-67.939214877219626</v>
      </c>
      <c r="G607" s="1">
        <f t="shared" si="106"/>
        <v>3.1215757194000821E-30</v>
      </c>
      <c r="H607" s="1">
        <f t="shared" si="99"/>
        <v>3.2338863802038936E-31</v>
      </c>
      <c r="I607">
        <f t="shared" si="100"/>
        <v>8</v>
      </c>
      <c r="J607">
        <f t="shared" si="101"/>
        <v>574</v>
      </c>
      <c r="K607" s="5">
        <f t="shared" si="102"/>
        <v>0</v>
      </c>
      <c r="L607">
        <f t="shared" si="103"/>
        <v>53.4</v>
      </c>
      <c r="M607">
        <f t="shared" si="104"/>
        <v>1</v>
      </c>
      <c r="N607">
        <f t="shared" si="105"/>
        <v>0</v>
      </c>
    </row>
    <row r="608" spans="4:14" x14ac:dyDescent="0.2">
      <c r="D608">
        <f t="shared" si="107"/>
        <v>585</v>
      </c>
      <c r="E608" s="1">
        <f t="shared" si="108"/>
        <v>-67.479135329171584</v>
      </c>
      <c r="F608" s="1">
        <f t="shared" si="109"/>
        <v>-68.055748693475579</v>
      </c>
      <c r="G608" s="1">
        <f t="shared" si="106"/>
        <v>2.7782023902660713E-30</v>
      </c>
      <c r="H608" s="1">
        <f t="shared" si="99"/>
        <v>2.8781588783814637E-31</v>
      </c>
      <c r="I608">
        <f t="shared" si="100"/>
        <v>8</v>
      </c>
      <c r="J608">
        <f t="shared" si="101"/>
        <v>575</v>
      </c>
      <c r="K608" s="5">
        <f t="shared" si="102"/>
        <v>0</v>
      </c>
      <c r="L608">
        <f t="shared" si="103"/>
        <v>53.4</v>
      </c>
      <c r="M608">
        <f t="shared" si="104"/>
        <v>1</v>
      </c>
      <c r="N608">
        <f t="shared" si="105"/>
        <v>0</v>
      </c>
    </row>
    <row r="609" spans="4:14" x14ac:dyDescent="0.2">
      <c r="D609">
        <f t="shared" si="107"/>
        <v>586</v>
      </c>
      <c r="E609" s="1">
        <f t="shared" si="108"/>
        <v>-67.595669145427536</v>
      </c>
      <c r="F609" s="1">
        <f t="shared" si="109"/>
        <v>-68.172282509731531</v>
      </c>
      <c r="G609" s="1">
        <f t="shared" si="106"/>
        <v>2.4726001273368018E-30</v>
      </c>
      <c r="H609" s="1">
        <f t="shared" si="99"/>
        <v>2.5615614017595008E-31</v>
      </c>
      <c r="I609">
        <f t="shared" si="100"/>
        <v>8</v>
      </c>
      <c r="J609">
        <f t="shared" si="101"/>
        <v>576</v>
      </c>
      <c r="K609" s="5">
        <f t="shared" si="102"/>
        <v>0</v>
      </c>
      <c r="L609">
        <f t="shared" si="103"/>
        <v>53.4</v>
      </c>
      <c r="M609">
        <f t="shared" si="104"/>
        <v>1</v>
      </c>
      <c r="N609">
        <f t="shared" si="105"/>
        <v>0</v>
      </c>
    </row>
    <row r="610" spans="4:14" x14ac:dyDescent="0.2">
      <c r="D610">
        <f t="shared" si="107"/>
        <v>587</v>
      </c>
      <c r="E610" s="1">
        <f t="shared" si="108"/>
        <v>-67.712202961683488</v>
      </c>
      <c r="F610" s="1">
        <f t="shared" si="109"/>
        <v>-68.288816325987483</v>
      </c>
      <c r="G610" s="1">
        <f t="shared" si="106"/>
        <v>2.2006141133297522E-30</v>
      </c>
      <c r="H610" s="1">
        <f t="shared" si="99"/>
        <v>2.2797896475659544E-31</v>
      </c>
      <c r="I610">
        <f t="shared" si="100"/>
        <v>8</v>
      </c>
      <c r="J610">
        <f t="shared" si="101"/>
        <v>577</v>
      </c>
      <c r="K610" s="5">
        <f t="shared" si="102"/>
        <v>0</v>
      </c>
      <c r="L610">
        <f t="shared" si="103"/>
        <v>53.4</v>
      </c>
      <c r="M610">
        <f t="shared" si="104"/>
        <v>1</v>
      </c>
      <c r="N610">
        <f t="shared" si="105"/>
        <v>0</v>
      </c>
    </row>
    <row r="611" spans="4:14" x14ac:dyDescent="0.2">
      <c r="D611">
        <f t="shared" si="107"/>
        <v>588</v>
      </c>
      <c r="E611" s="1">
        <f t="shared" si="108"/>
        <v>-67.82873677793944</v>
      </c>
      <c r="F611" s="1">
        <f t="shared" si="109"/>
        <v>-68.405350142243435</v>
      </c>
      <c r="G611" s="1">
        <f t="shared" si="106"/>
        <v>1.9585465608634781E-30</v>
      </c>
      <c r="H611" s="1">
        <f t="shared" si="99"/>
        <v>2.029012786333698E-31</v>
      </c>
      <c r="I611">
        <f t="shared" si="100"/>
        <v>8</v>
      </c>
      <c r="J611">
        <f t="shared" si="101"/>
        <v>578</v>
      </c>
      <c r="K611" s="5">
        <f t="shared" si="102"/>
        <v>0</v>
      </c>
      <c r="L611">
        <f t="shared" si="103"/>
        <v>53.4</v>
      </c>
      <c r="M611">
        <f t="shared" si="104"/>
        <v>1</v>
      </c>
      <c r="N611">
        <f t="shared" si="105"/>
        <v>0</v>
      </c>
    </row>
    <row r="612" spans="4:14" x14ac:dyDescent="0.2">
      <c r="D612">
        <f t="shared" si="107"/>
        <v>589</v>
      </c>
      <c r="E612" s="1">
        <f t="shared" si="108"/>
        <v>-67.945270594195392</v>
      </c>
      <c r="F612" s="1">
        <f t="shared" si="109"/>
        <v>-68.521883958499387</v>
      </c>
      <c r="G612" s="1">
        <f t="shared" si="106"/>
        <v>1.7431064391684946E-30</v>
      </c>
      <c r="H612" s="1">
        <f t="shared" si="99"/>
        <v>1.8058213798369901E-31</v>
      </c>
      <c r="I612">
        <f t="shared" si="100"/>
        <v>8</v>
      </c>
      <c r="J612">
        <f t="shared" si="101"/>
        <v>579</v>
      </c>
      <c r="K612" s="5">
        <f t="shared" si="102"/>
        <v>0</v>
      </c>
      <c r="L612">
        <f t="shared" si="103"/>
        <v>53.4</v>
      </c>
      <c r="M612">
        <f t="shared" si="104"/>
        <v>1</v>
      </c>
      <c r="N612">
        <f t="shared" si="105"/>
        <v>0</v>
      </c>
    </row>
    <row r="613" spans="4:14" x14ac:dyDescent="0.2">
      <c r="D613">
        <f t="shared" si="107"/>
        <v>590</v>
      </c>
      <c r="E613" s="1">
        <f t="shared" si="108"/>
        <v>-68.061804410451344</v>
      </c>
      <c r="F613" s="1">
        <f t="shared" si="109"/>
        <v>-68.638417774755339</v>
      </c>
      <c r="G613" s="1">
        <f t="shared" si="106"/>
        <v>1.5513647308599592E-30</v>
      </c>
      <c r="H613" s="1">
        <f t="shared" si="99"/>
        <v>1.6071810280549202E-31</v>
      </c>
      <c r="I613">
        <f t="shared" si="100"/>
        <v>8</v>
      </c>
      <c r="J613">
        <f t="shared" si="101"/>
        <v>580</v>
      </c>
      <c r="K613" s="5">
        <f t="shared" si="102"/>
        <v>0</v>
      </c>
      <c r="L613">
        <f t="shared" si="103"/>
        <v>53.4</v>
      </c>
      <c r="M613">
        <f t="shared" si="104"/>
        <v>1</v>
      </c>
      <c r="N613">
        <f t="shared" si="105"/>
        <v>0</v>
      </c>
    </row>
    <row r="614" spans="4:14" x14ac:dyDescent="0.2">
      <c r="D614">
        <f t="shared" si="107"/>
        <v>591</v>
      </c>
      <c r="E614" s="1">
        <f t="shared" si="108"/>
        <v>-68.178338226707297</v>
      </c>
      <c r="F614" s="1">
        <f t="shared" si="109"/>
        <v>-68.754951591011292</v>
      </c>
      <c r="G614" s="1">
        <f t="shared" si="106"/>
        <v>1.3807146104653628E-30</v>
      </c>
      <c r="H614" s="1">
        <f t="shared" si="99"/>
        <v>1.430391114968878E-31</v>
      </c>
      <c r="I614">
        <f t="shared" si="100"/>
        <v>8</v>
      </c>
      <c r="J614">
        <f t="shared" si="101"/>
        <v>581</v>
      </c>
      <c r="K614" s="5">
        <f t="shared" si="102"/>
        <v>0</v>
      </c>
      <c r="L614">
        <f t="shared" si="103"/>
        <v>53.4</v>
      </c>
      <c r="M614">
        <f t="shared" si="104"/>
        <v>1</v>
      </c>
      <c r="N614">
        <f t="shared" si="105"/>
        <v>0</v>
      </c>
    </row>
    <row r="615" spans="4:14" x14ac:dyDescent="0.2">
      <c r="D615">
        <f t="shared" si="107"/>
        <v>592</v>
      </c>
      <c r="E615" s="1">
        <f t="shared" si="108"/>
        <v>-68.294872042963249</v>
      </c>
      <c r="F615" s="1">
        <f t="shared" si="109"/>
        <v>-68.871485407267244</v>
      </c>
      <c r="G615" s="1">
        <f t="shared" si="106"/>
        <v>1.2288360033141722E-30</v>
      </c>
      <c r="H615" s="1">
        <f t="shared" si="99"/>
        <v>1.2730480923223007E-31</v>
      </c>
      <c r="I615">
        <f t="shared" si="100"/>
        <v>8</v>
      </c>
      <c r="J615">
        <f t="shared" si="101"/>
        <v>582</v>
      </c>
      <c r="K615" s="5">
        <f t="shared" si="102"/>
        <v>0</v>
      </c>
      <c r="L615">
        <f t="shared" si="103"/>
        <v>53.4</v>
      </c>
      <c r="M615">
        <f t="shared" si="104"/>
        <v>1</v>
      </c>
      <c r="N615">
        <f t="shared" si="105"/>
        <v>0</v>
      </c>
    </row>
    <row r="616" spans="4:14" x14ac:dyDescent="0.2">
      <c r="D616">
        <f t="shared" si="107"/>
        <v>593</v>
      </c>
      <c r="E616" s="1">
        <f t="shared" si="108"/>
        <v>-68.411405859219201</v>
      </c>
      <c r="F616" s="1">
        <f t="shared" si="109"/>
        <v>-68.988019223523196</v>
      </c>
      <c r="G616" s="1">
        <f t="shared" si="106"/>
        <v>1.0936640429496125E-30</v>
      </c>
      <c r="H616" s="1">
        <f t="shared" si="99"/>
        <v>1.133012802166847E-31</v>
      </c>
      <c r="I616">
        <f t="shared" si="100"/>
        <v>8</v>
      </c>
      <c r="J616">
        <f t="shared" si="101"/>
        <v>583</v>
      </c>
      <c r="K616" s="5">
        <f t="shared" si="102"/>
        <v>0</v>
      </c>
      <c r="L616">
        <f t="shared" si="103"/>
        <v>53.4</v>
      </c>
      <c r="M616">
        <f t="shared" si="104"/>
        <v>1</v>
      </c>
      <c r="N616">
        <f t="shared" si="105"/>
        <v>0</v>
      </c>
    </row>
    <row r="617" spans="4:14" x14ac:dyDescent="0.2">
      <c r="D617">
        <f t="shared" si="107"/>
        <v>594</v>
      </c>
      <c r="E617" s="1">
        <f t="shared" si="108"/>
        <v>-68.527939675475153</v>
      </c>
      <c r="F617" s="1">
        <f t="shared" si="109"/>
        <v>-69.104553039779148</v>
      </c>
      <c r="G617" s="1">
        <f t="shared" si="106"/>
        <v>9.7336099822515456E-31</v>
      </c>
      <c r="H617" s="1">
        <f t="shared" si="99"/>
        <v>1.0083813939284932E-31</v>
      </c>
      <c r="I617">
        <f t="shared" si="100"/>
        <v>8</v>
      </c>
      <c r="J617">
        <f t="shared" si="101"/>
        <v>584</v>
      </c>
      <c r="K617" s="5">
        <f t="shared" si="102"/>
        <v>0</v>
      </c>
      <c r="L617">
        <f t="shared" si="103"/>
        <v>53.4</v>
      </c>
      <c r="M617">
        <f t="shared" si="104"/>
        <v>1</v>
      </c>
      <c r="N617">
        <f t="shared" si="105"/>
        <v>0</v>
      </c>
    </row>
    <row r="618" spans="4:14" x14ac:dyDescent="0.2">
      <c r="D618">
        <f t="shared" si="107"/>
        <v>595</v>
      </c>
      <c r="E618" s="1">
        <f t="shared" si="108"/>
        <v>-68.644473491731105</v>
      </c>
      <c r="F618" s="1">
        <f t="shared" si="109"/>
        <v>-69.2210868560351</v>
      </c>
      <c r="G618" s="1">
        <f t="shared" si="106"/>
        <v>8.6629128842038695E-31</v>
      </c>
      <c r="H618" s="1">
        <f t="shared" si="99"/>
        <v>8.9745944059635834E-32</v>
      </c>
      <c r="I618">
        <f t="shared" si="100"/>
        <v>8</v>
      </c>
      <c r="J618">
        <f t="shared" si="101"/>
        <v>585</v>
      </c>
      <c r="K618" s="5">
        <f t="shared" si="102"/>
        <v>0</v>
      </c>
      <c r="L618">
        <f t="shared" si="103"/>
        <v>53.4</v>
      </c>
      <c r="M618">
        <f t="shared" si="104"/>
        <v>1</v>
      </c>
      <c r="N618">
        <f t="shared" si="105"/>
        <v>0</v>
      </c>
    </row>
    <row r="619" spans="4:14" x14ac:dyDescent="0.2">
      <c r="D619">
        <f t="shared" si="107"/>
        <v>596</v>
      </c>
      <c r="E619" s="1">
        <f t="shared" si="108"/>
        <v>-68.761007307987057</v>
      </c>
      <c r="F619" s="1">
        <f t="shared" si="109"/>
        <v>-69.337620672291052</v>
      </c>
      <c r="G619" s="1">
        <f t="shared" si="106"/>
        <v>7.7099924669414387E-31</v>
      </c>
      <c r="H619" s="1">
        <f t="shared" si="99"/>
        <v>7.9873890213075838E-32</v>
      </c>
      <c r="I619">
        <f t="shared" si="100"/>
        <v>8</v>
      </c>
      <c r="J619">
        <f t="shared" si="101"/>
        <v>586</v>
      </c>
      <c r="K619" s="5">
        <f t="shared" si="102"/>
        <v>0</v>
      </c>
      <c r="L619">
        <f t="shared" si="103"/>
        <v>53.4</v>
      </c>
      <c r="M619">
        <f t="shared" si="104"/>
        <v>1</v>
      </c>
      <c r="N619">
        <f t="shared" si="105"/>
        <v>0</v>
      </c>
    </row>
    <row r="620" spans="4:14" x14ac:dyDescent="0.2">
      <c r="D620">
        <f t="shared" si="107"/>
        <v>597</v>
      </c>
      <c r="E620" s="1">
        <f t="shared" si="108"/>
        <v>-68.87754112424301</v>
      </c>
      <c r="F620" s="1">
        <f t="shared" si="109"/>
        <v>-69.454154488547005</v>
      </c>
      <c r="G620" s="1">
        <f t="shared" si="106"/>
        <v>6.861893295577876E-31</v>
      </c>
      <c r="H620" s="1">
        <f t="shared" si="99"/>
        <v>7.1087762289637452E-32</v>
      </c>
      <c r="I620">
        <f t="shared" si="100"/>
        <v>8</v>
      </c>
      <c r="J620">
        <f t="shared" si="101"/>
        <v>587</v>
      </c>
      <c r="K620" s="5">
        <f t="shared" si="102"/>
        <v>0</v>
      </c>
      <c r="L620">
        <f t="shared" si="103"/>
        <v>53.4</v>
      </c>
      <c r="M620">
        <f t="shared" si="104"/>
        <v>1</v>
      </c>
      <c r="N620">
        <f t="shared" si="105"/>
        <v>0</v>
      </c>
    </row>
    <row r="621" spans="4:14" x14ac:dyDescent="0.2">
      <c r="D621">
        <f t="shared" si="107"/>
        <v>598</v>
      </c>
      <c r="E621" s="1">
        <f t="shared" si="108"/>
        <v>-68.994074940498962</v>
      </c>
      <c r="F621" s="1">
        <f t="shared" si="109"/>
        <v>-69.570688304802957</v>
      </c>
      <c r="G621" s="1">
        <f t="shared" si="106"/>
        <v>6.1070850330643059E-31</v>
      </c>
      <c r="H621" s="1">
        <f t="shared" si="99"/>
        <v>6.326810843777729E-32</v>
      </c>
      <c r="I621">
        <f t="shared" si="100"/>
        <v>8</v>
      </c>
      <c r="J621">
        <f t="shared" si="101"/>
        <v>588</v>
      </c>
      <c r="K621" s="5">
        <f t="shared" si="102"/>
        <v>0</v>
      </c>
      <c r="L621">
        <f t="shared" si="103"/>
        <v>53.4</v>
      </c>
      <c r="M621">
        <f t="shared" si="104"/>
        <v>1</v>
      </c>
      <c r="N621">
        <f t="shared" si="105"/>
        <v>0</v>
      </c>
    </row>
    <row r="622" spans="4:14" x14ac:dyDescent="0.2">
      <c r="D622">
        <f t="shared" si="107"/>
        <v>599</v>
      </c>
      <c r="E622" s="1">
        <f t="shared" si="108"/>
        <v>-69.110608756754914</v>
      </c>
      <c r="F622" s="1">
        <f t="shared" si="109"/>
        <v>-69.687222121058909</v>
      </c>
      <c r="G622" s="1">
        <f t="shared" si="106"/>
        <v>5.4353056794272292E-31</v>
      </c>
      <c r="H622" s="1">
        <f t="shared" si="99"/>
        <v>5.6308616509621759E-32</v>
      </c>
      <c r="I622">
        <f t="shared" si="100"/>
        <v>8</v>
      </c>
      <c r="J622">
        <f t="shared" si="101"/>
        <v>589</v>
      </c>
      <c r="K622" s="5">
        <f t="shared" si="102"/>
        <v>0</v>
      </c>
      <c r="L622">
        <f t="shared" si="103"/>
        <v>53.4</v>
      </c>
      <c r="M622">
        <f t="shared" si="104"/>
        <v>1</v>
      </c>
      <c r="N622">
        <f t="shared" si="105"/>
        <v>0</v>
      </c>
    </row>
    <row r="623" spans="4:14" x14ac:dyDescent="0.2">
      <c r="D623">
        <f t="shared" si="107"/>
        <v>600</v>
      </c>
      <c r="E623" s="1">
        <f t="shared" si="108"/>
        <v>-69.227142573010866</v>
      </c>
      <c r="F623" s="1">
        <f t="shared" si="109"/>
        <v>-69.803755937314861</v>
      </c>
      <c r="G623" s="1">
        <f t="shared" si="106"/>
        <v>4.8374220546902304E-31</v>
      </c>
      <c r="H623" s="1">
        <f t="shared" si="99"/>
        <v>5.0114668693563327E-32</v>
      </c>
      <c r="I623">
        <f t="shared" si="100"/>
        <v>8</v>
      </c>
      <c r="J623">
        <f t="shared" si="101"/>
        <v>590</v>
      </c>
      <c r="K623" s="5">
        <f t="shared" si="102"/>
        <v>0</v>
      </c>
      <c r="L623">
        <f t="shared" si="103"/>
        <v>53.4</v>
      </c>
      <c r="M623">
        <f t="shared" si="104"/>
        <v>1</v>
      </c>
      <c r="N623">
        <f t="shared" si="105"/>
        <v>0</v>
      </c>
    </row>
    <row r="624" spans="4:14" x14ac:dyDescent="0.2">
      <c r="D624">
        <f t="shared" si="107"/>
        <v>601</v>
      </c>
      <c r="E624" s="1">
        <f t="shared" si="108"/>
        <v>-69.343676389266818</v>
      </c>
      <c r="F624" s="1">
        <f t="shared" si="109"/>
        <v>-69.920289753570813</v>
      </c>
      <c r="G624" s="1">
        <f t="shared" si="106"/>
        <v>4.3053056286743023E-31</v>
      </c>
      <c r="H624" s="1">
        <f t="shared" si="99"/>
        <v>4.4602055137271334E-32</v>
      </c>
      <c r="I624">
        <f t="shared" si="100"/>
        <v>8</v>
      </c>
      <c r="J624">
        <f t="shared" si="101"/>
        <v>591</v>
      </c>
      <c r="K624" s="5">
        <f t="shared" si="102"/>
        <v>0</v>
      </c>
      <c r="L624">
        <f t="shared" si="103"/>
        <v>53.4</v>
      </c>
      <c r="M624">
        <f t="shared" si="104"/>
        <v>1</v>
      </c>
      <c r="N624">
        <f t="shared" si="105"/>
        <v>0</v>
      </c>
    </row>
    <row r="625" spans="4:14" x14ac:dyDescent="0.2">
      <c r="D625">
        <f t="shared" si="107"/>
        <v>602</v>
      </c>
      <c r="E625" s="1">
        <f t="shared" si="108"/>
        <v>-69.46021020552277</v>
      </c>
      <c r="F625" s="1">
        <f t="shared" si="109"/>
        <v>-70.036823569826765</v>
      </c>
      <c r="G625" s="1">
        <f t="shared" si="106"/>
        <v>3.8317220095201268E-31</v>
      </c>
      <c r="H625" s="1">
        <f t="shared" si="99"/>
        <v>3.9695829072171462E-32</v>
      </c>
      <c r="I625">
        <f t="shared" si="100"/>
        <v>8</v>
      </c>
      <c r="J625">
        <f t="shared" si="101"/>
        <v>592</v>
      </c>
      <c r="K625" s="5">
        <f t="shared" si="102"/>
        <v>0</v>
      </c>
      <c r="L625">
        <f t="shared" si="103"/>
        <v>53.4</v>
      </c>
      <c r="M625">
        <f t="shared" si="104"/>
        <v>1</v>
      </c>
      <c r="N625">
        <f t="shared" si="105"/>
        <v>0</v>
      </c>
    </row>
    <row r="626" spans="4:14" x14ac:dyDescent="0.2">
      <c r="D626">
        <f t="shared" si="107"/>
        <v>603</v>
      </c>
      <c r="E626" s="1">
        <f t="shared" si="108"/>
        <v>-69.576744021778723</v>
      </c>
      <c r="F626" s="1">
        <f t="shared" si="109"/>
        <v>-70.153357386082718</v>
      </c>
      <c r="G626" s="1">
        <f t="shared" si="106"/>
        <v>3.4102325884729107E-31</v>
      </c>
      <c r="H626" s="1">
        <f t="shared" si="99"/>
        <v>3.5329287874232578E-32</v>
      </c>
      <c r="I626">
        <f t="shared" si="100"/>
        <v>8</v>
      </c>
      <c r="J626">
        <f t="shared" si="101"/>
        <v>593</v>
      </c>
      <c r="K626" s="5">
        <f t="shared" si="102"/>
        <v>0</v>
      </c>
      <c r="L626">
        <f t="shared" si="103"/>
        <v>53.4</v>
      </c>
      <c r="M626">
        <f t="shared" si="104"/>
        <v>1</v>
      </c>
      <c r="N626">
        <f t="shared" si="105"/>
        <v>0</v>
      </c>
    </row>
    <row r="627" spans="4:14" x14ac:dyDescent="0.2">
      <c r="D627">
        <f t="shared" si="107"/>
        <v>604</v>
      </c>
      <c r="E627" s="1">
        <f t="shared" si="108"/>
        <v>-69.693277838034675</v>
      </c>
      <c r="F627" s="1">
        <f t="shared" si="109"/>
        <v>-70.26989120233867</v>
      </c>
      <c r="G627" s="1">
        <f t="shared" si="106"/>
        <v>3.0351070037408887E-31</v>
      </c>
      <c r="H627" s="1">
        <f t="shared" si="99"/>
        <v>3.1443066208066977E-32</v>
      </c>
      <c r="I627">
        <f t="shared" si="100"/>
        <v>8</v>
      </c>
      <c r="J627">
        <f t="shared" si="101"/>
        <v>594</v>
      </c>
      <c r="K627" s="5">
        <f t="shared" si="102"/>
        <v>0</v>
      </c>
      <c r="L627">
        <f t="shared" si="103"/>
        <v>53.4</v>
      </c>
      <c r="M627">
        <f t="shared" si="104"/>
        <v>1</v>
      </c>
      <c r="N627">
        <f t="shared" si="105"/>
        <v>0</v>
      </c>
    </row>
    <row r="628" spans="4:14" x14ac:dyDescent="0.2">
      <c r="D628">
        <f t="shared" si="107"/>
        <v>605</v>
      </c>
      <c r="E628" s="1">
        <f t="shared" si="108"/>
        <v>-69.809811654290627</v>
      </c>
      <c r="F628" s="1">
        <f t="shared" si="109"/>
        <v>-70.386425018594622</v>
      </c>
      <c r="G628" s="1">
        <f t="shared" si="106"/>
        <v>2.7012452333293893E-31</v>
      </c>
      <c r="H628" s="1">
        <f t="shared" si="99"/>
        <v>2.7984328925179592E-32</v>
      </c>
      <c r="I628">
        <f t="shared" si="100"/>
        <v>8</v>
      </c>
      <c r="J628">
        <f t="shared" si="101"/>
        <v>595</v>
      </c>
      <c r="K628" s="5">
        <f t="shared" si="102"/>
        <v>0</v>
      </c>
      <c r="L628">
        <f t="shared" si="103"/>
        <v>53.4</v>
      </c>
      <c r="M628">
        <f t="shared" si="104"/>
        <v>1</v>
      </c>
      <c r="N628">
        <f t="shared" si="105"/>
        <v>0</v>
      </c>
    </row>
    <row r="629" spans="4:14" x14ac:dyDescent="0.2">
      <c r="D629">
        <f t="shared" si="107"/>
        <v>606</v>
      </c>
      <c r="E629" s="1">
        <f t="shared" si="108"/>
        <v>-69.926345470546579</v>
      </c>
      <c r="F629" s="1">
        <f t="shared" si="109"/>
        <v>-70.502958834850574</v>
      </c>
      <c r="G629" s="1">
        <f t="shared" si="106"/>
        <v>2.4041082576631549E-31</v>
      </c>
      <c r="H629" s="1">
        <f t="shared" si="99"/>
        <v>2.4906052743409821E-32</v>
      </c>
      <c r="I629">
        <f t="shared" si="100"/>
        <v>8</v>
      </c>
      <c r="J629">
        <f t="shared" si="101"/>
        <v>596</v>
      </c>
      <c r="K629" s="5">
        <f t="shared" si="102"/>
        <v>0</v>
      </c>
      <c r="L629">
        <f t="shared" si="103"/>
        <v>53.4</v>
      </c>
      <c r="M629">
        <f t="shared" si="104"/>
        <v>1</v>
      </c>
      <c r="N629">
        <f t="shared" si="105"/>
        <v>0</v>
      </c>
    </row>
    <row r="630" spans="4:14" x14ac:dyDescent="0.2">
      <c r="D630">
        <f t="shared" si="107"/>
        <v>607</v>
      </c>
      <c r="E630" s="1">
        <f t="shared" si="108"/>
        <v>-70.042879286802531</v>
      </c>
      <c r="F630" s="1">
        <f t="shared" si="109"/>
        <v>-70.619492651106526</v>
      </c>
      <c r="G630" s="1">
        <f t="shared" si="106"/>
        <v>2.1396563493202064E-31</v>
      </c>
      <c r="H630" s="1">
        <f t="shared" si="99"/>
        <v>2.2166386941634725E-32</v>
      </c>
      <c r="I630">
        <f t="shared" si="100"/>
        <v>8</v>
      </c>
      <c r="J630">
        <f t="shared" si="101"/>
        <v>597</v>
      </c>
      <c r="K630" s="5">
        <f t="shared" si="102"/>
        <v>0</v>
      </c>
      <c r="L630">
        <f t="shared" si="103"/>
        <v>53.4</v>
      </c>
      <c r="M630">
        <f t="shared" si="104"/>
        <v>1</v>
      </c>
      <c r="N630">
        <f t="shared" si="105"/>
        <v>0</v>
      </c>
    </row>
    <row r="631" spans="4:14" x14ac:dyDescent="0.2">
      <c r="D631">
        <f t="shared" si="107"/>
        <v>608</v>
      </c>
      <c r="E631" s="1">
        <f t="shared" si="108"/>
        <v>-70.159413103058483</v>
      </c>
      <c r="F631" s="1">
        <f t="shared" si="109"/>
        <v>-70.736026467362478</v>
      </c>
      <c r="G631" s="1">
        <f t="shared" si="106"/>
        <v>1.9042941508949827E-31</v>
      </c>
      <c r="H631" s="1">
        <f t="shared" si="99"/>
        <v>1.9728084378054895E-32</v>
      </c>
      <c r="I631">
        <f t="shared" si="100"/>
        <v>8</v>
      </c>
      <c r="J631">
        <f t="shared" si="101"/>
        <v>598</v>
      </c>
      <c r="K631" s="5">
        <f t="shared" si="102"/>
        <v>0</v>
      </c>
      <c r="L631">
        <f t="shared" si="103"/>
        <v>53.4</v>
      </c>
      <c r="M631">
        <f t="shared" si="104"/>
        <v>1</v>
      </c>
      <c r="N631">
        <f t="shared" si="105"/>
        <v>0</v>
      </c>
    </row>
    <row r="632" spans="4:14" x14ac:dyDescent="0.2">
      <c r="D632">
        <f t="shared" si="107"/>
        <v>609</v>
      </c>
      <c r="E632" s="1">
        <f t="shared" si="108"/>
        <v>-70.275946919314435</v>
      </c>
      <c r="F632" s="1">
        <f t="shared" si="109"/>
        <v>-70.852560283618431</v>
      </c>
      <c r="G632" s="1">
        <f t="shared" si="106"/>
        <v>1.6948217942965334E-31</v>
      </c>
      <c r="H632" s="1">
        <f t="shared" si="99"/>
        <v>1.7557995096468844E-32</v>
      </c>
      <c r="I632">
        <f t="shared" si="100"/>
        <v>8</v>
      </c>
      <c r="J632">
        <f t="shared" si="101"/>
        <v>599</v>
      </c>
      <c r="K632" s="5">
        <f t="shared" si="102"/>
        <v>0</v>
      </c>
      <c r="L632">
        <f t="shared" si="103"/>
        <v>53.4</v>
      </c>
      <c r="M632">
        <f t="shared" si="104"/>
        <v>1</v>
      </c>
      <c r="N632">
        <f t="shared" si="105"/>
        <v>0</v>
      </c>
    </row>
    <row r="633" spans="4:14" x14ac:dyDescent="0.2">
      <c r="D633">
        <f t="shared" si="107"/>
        <v>610</v>
      </c>
      <c r="E633" s="1">
        <f t="shared" si="108"/>
        <v>-70.392480735570388</v>
      </c>
      <c r="F633" s="1">
        <f t="shared" si="109"/>
        <v>-70.969094099874383</v>
      </c>
      <c r="G633" s="1">
        <f t="shared" si="106"/>
        <v>1.5083913969239138E-31</v>
      </c>
      <c r="H633" s="1">
        <f t="shared" si="99"/>
        <v>1.5626615635857261E-32</v>
      </c>
      <c r="I633">
        <f t="shared" si="100"/>
        <v>8</v>
      </c>
      <c r="J633">
        <f t="shared" si="101"/>
        <v>600</v>
      </c>
      <c r="K633" s="5">
        <f t="shared" si="102"/>
        <v>0</v>
      </c>
      <c r="L633">
        <f t="shared" si="103"/>
        <v>53.4</v>
      </c>
      <c r="M633">
        <f t="shared" si="104"/>
        <v>1</v>
      </c>
      <c r="N633">
        <f t="shared" si="105"/>
        <v>0</v>
      </c>
    </row>
    <row r="634" spans="4:14" x14ac:dyDescent="0.2">
      <c r="D634">
        <f t="shared" si="107"/>
        <v>611</v>
      </c>
      <c r="E634" s="1">
        <f t="shared" si="108"/>
        <v>-70.50901455182634</v>
      </c>
      <c r="F634" s="1">
        <f t="shared" si="109"/>
        <v>-71.085627916130335</v>
      </c>
      <c r="G634" s="1">
        <f t="shared" si="106"/>
        <v>1.3424683432622826E-31</v>
      </c>
      <c r="H634" s="1">
        <f t="shared" si="99"/>
        <v>1.3907687915912955E-32</v>
      </c>
      <c r="I634">
        <f t="shared" si="100"/>
        <v>8</v>
      </c>
      <c r="J634">
        <f t="shared" si="101"/>
        <v>601</v>
      </c>
      <c r="K634" s="5">
        <f t="shared" si="102"/>
        <v>0</v>
      </c>
      <c r="L634">
        <f t="shared" si="103"/>
        <v>53.4</v>
      </c>
      <c r="M634">
        <f t="shared" si="104"/>
        <v>1</v>
      </c>
      <c r="N634">
        <f t="shared" si="105"/>
        <v>0</v>
      </c>
    </row>
    <row r="635" spans="4:14" x14ac:dyDescent="0.2">
      <c r="D635">
        <f t="shared" si="107"/>
        <v>612</v>
      </c>
      <c r="E635" s="1">
        <f t="shared" si="108"/>
        <v>-70.625548368082292</v>
      </c>
      <c r="F635" s="1">
        <f t="shared" si="109"/>
        <v>-71.202161732386287</v>
      </c>
      <c r="G635" s="1">
        <f t="shared" si="106"/>
        <v>1.1947968255034307E-31</v>
      </c>
      <c r="H635" s="1">
        <f t="shared" si="99"/>
        <v>1.2377842245162521E-32</v>
      </c>
      <c r="I635">
        <f t="shared" si="100"/>
        <v>8</v>
      </c>
      <c r="J635">
        <f t="shared" si="101"/>
        <v>602</v>
      </c>
      <c r="K635" s="5">
        <f t="shared" si="102"/>
        <v>0</v>
      </c>
      <c r="L635">
        <f t="shared" si="103"/>
        <v>53.4</v>
      </c>
      <c r="M635">
        <f t="shared" si="104"/>
        <v>1</v>
      </c>
      <c r="N635">
        <f t="shared" si="105"/>
        <v>0</v>
      </c>
    </row>
    <row r="636" spans="4:14" x14ac:dyDescent="0.2">
      <c r="D636">
        <f t="shared" si="107"/>
        <v>613</v>
      </c>
      <c r="E636" s="1">
        <f t="shared" si="108"/>
        <v>-70.742082184338244</v>
      </c>
      <c r="F636" s="1">
        <f t="shared" si="109"/>
        <v>-71.318695548642239</v>
      </c>
      <c r="G636" s="1">
        <f t="shared" si="106"/>
        <v>1.0633691746980525E-31</v>
      </c>
      <c r="H636" s="1">
        <f t="shared" si="99"/>
        <v>1.1016279598194636E-32</v>
      </c>
      <c r="I636">
        <f t="shared" si="100"/>
        <v>8</v>
      </c>
      <c r="J636">
        <f t="shared" si="101"/>
        <v>603</v>
      </c>
      <c r="K636" s="5">
        <f t="shared" si="102"/>
        <v>0</v>
      </c>
      <c r="L636">
        <f t="shared" si="103"/>
        <v>53.4</v>
      </c>
      <c r="M636">
        <f t="shared" si="104"/>
        <v>1</v>
      </c>
      <c r="N636">
        <f t="shared" si="105"/>
        <v>0</v>
      </c>
    </row>
    <row r="637" spans="4:14" x14ac:dyDescent="0.2">
      <c r="D637">
        <f t="shared" si="107"/>
        <v>614</v>
      </c>
      <c r="E637" s="1">
        <f t="shared" si="108"/>
        <v>-70.858616000594196</v>
      </c>
      <c r="F637" s="1">
        <f t="shared" si="109"/>
        <v>-71.435229364898191</v>
      </c>
      <c r="G637" s="1">
        <f t="shared" si="106"/>
        <v>9.4639856548126622E-32</v>
      </c>
      <c r="H637" s="1">
        <f t="shared" si="99"/>
        <v>9.8044888423932214E-33</v>
      </c>
      <c r="I637">
        <f t="shared" si="100"/>
        <v>8</v>
      </c>
      <c r="J637">
        <f t="shared" si="101"/>
        <v>604</v>
      </c>
      <c r="K637" s="5">
        <f t="shared" si="102"/>
        <v>0</v>
      </c>
      <c r="L637">
        <f t="shared" si="103"/>
        <v>53.4</v>
      </c>
      <c r="M637">
        <f t="shared" si="104"/>
        <v>1</v>
      </c>
      <c r="N637">
        <f t="shared" si="105"/>
        <v>0</v>
      </c>
    </row>
    <row r="638" spans="4:14" x14ac:dyDescent="0.2">
      <c r="D638">
        <f t="shared" si="107"/>
        <v>615</v>
      </c>
      <c r="E638" s="1">
        <f t="shared" si="108"/>
        <v>-70.975149816850148</v>
      </c>
      <c r="F638" s="1">
        <f t="shared" si="109"/>
        <v>-71.551763181154143</v>
      </c>
      <c r="G638" s="1">
        <f t="shared" si="106"/>
        <v>8.4229472327832636E-32</v>
      </c>
      <c r="H638" s="1">
        <f t="shared" si="99"/>
        <v>8.7259950697299607E-33</v>
      </c>
      <c r="I638">
        <f t="shared" si="100"/>
        <v>8</v>
      </c>
      <c r="J638">
        <f t="shared" si="101"/>
        <v>605</v>
      </c>
      <c r="K638" s="5">
        <f t="shared" si="102"/>
        <v>0</v>
      </c>
      <c r="L638">
        <f t="shared" si="103"/>
        <v>53.4</v>
      </c>
      <c r="M638">
        <f t="shared" si="104"/>
        <v>1</v>
      </c>
      <c r="N638">
        <f t="shared" si="105"/>
        <v>0</v>
      </c>
    </row>
    <row r="639" spans="4:14" x14ac:dyDescent="0.2">
      <c r="D639">
        <f t="shared" si="107"/>
        <v>616</v>
      </c>
      <c r="E639" s="1">
        <f t="shared" si="108"/>
        <v>-71.091683633106101</v>
      </c>
      <c r="F639" s="1">
        <f t="shared" si="109"/>
        <v>-71.668296997410096</v>
      </c>
      <c r="G639" s="1">
        <f t="shared" si="106"/>
        <v>7.4964230371771002E-32</v>
      </c>
      <c r="H639" s="1">
        <f t="shared" si="99"/>
        <v>7.7661356120596607E-33</v>
      </c>
      <c r="I639">
        <f t="shared" si="100"/>
        <v>8</v>
      </c>
      <c r="J639">
        <f t="shared" si="101"/>
        <v>606</v>
      </c>
      <c r="K639" s="5">
        <f t="shared" si="102"/>
        <v>0</v>
      </c>
      <c r="L639">
        <f t="shared" si="103"/>
        <v>53.4</v>
      </c>
      <c r="M639">
        <f t="shared" si="104"/>
        <v>1</v>
      </c>
      <c r="N639">
        <f t="shared" si="105"/>
        <v>0</v>
      </c>
    </row>
    <row r="640" spans="4:14" x14ac:dyDescent="0.2">
      <c r="D640">
        <f t="shared" si="107"/>
        <v>617</v>
      </c>
      <c r="E640" s="1">
        <f t="shared" si="108"/>
        <v>-71.208217449362053</v>
      </c>
      <c r="F640" s="1">
        <f t="shared" si="109"/>
        <v>-71.784830813666048</v>
      </c>
      <c r="G640" s="1">
        <f t="shared" si="106"/>
        <v>6.6718165030876147E-32</v>
      </c>
      <c r="H640" s="1">
        <f t="shared" si="99"/>
        <v>6.9118606947330933E-33</v>
      </c>
      <c r="I640">
        <f t="shared" si="100"/>
        <v>8</v>
      </c>
      <c r="J640">
        <f t="shared" si="101"/>
        <v>607</v>
      </c>
      <c r="K640" s="5">
        <f t="shared" si="102"/>
        <v>0</v>
      </c>
      <c r="L640">
        <f t="shared" si="103"/>
        <v>53.4</v>
      </c>
      <c r="M640">
        <f t="shared" si="104"/>
        <v>1</v>
      </c>
      <c r="N640">
        <f t="shared" si="105"/>
        <v>0</v>
      </c>
    </row>
    <row r="641" spans="4:14" x14ac:dyDescent="0.2">
      <c r="D641">
        <f t="shared" si="107"/>
        <v>618</v>
      </c>
      <c r="E641" s="1">
        <f t="shared" si="108"/>
        <v>-71.324751265618005</v>
      </c>
      <c r="F641" s="1">
        <f t="shared" si="109"/>
        <v>-71.901364629922</v>
      </c>
      <c r="G641" s="1">
        <f t="shared" si="106"/>
        <v>5.9379166877479736E-32</v>
      </c>
      <c r="H641" s="1">
        <f t="shared" si="99"/>
        <v>6.151556018312449E-33</v>
      </c>
      <c r="I641">
        <f t="shared" si="100"/>
        <v>8</v>
      </c>
      <c r="J641">
        <f t="shared" si="101"/>
        <v>608</v>
      </c>
      <c r="K641" s="5">
        <f t="shared" si="102"/>
        <v>0</v>
      </c>
      <c r="L641">
        <f t="shared" si="103"/>
        <v>53.4</v>
      </c>
      <c r="M641">
        <f t="shared" si="104"/>
        <v>1</v>
      </c>
      <c r="N641">
        <f t="shared" si="105"/>
        <v>0</v>
      </c>
    </row>
    <row r="642" spans="4:14" x14ac:dyDescent="0.2">
      <c r="D642">
        <f t="shared" si="107"/>
        <v>619</v>
      </c>
      <c r="E642" s="1">
        <f t="shared" si="108"/>
        <v>-71.441285081873957</v>
      </c>
      <c r="F642" s="1">
        <f t="shared" si="109"/>
        <v>-72.017898446177952</v>
      </c>
      <c r="G642" s="1">
        <f t="shared" si="106"/>
        <v>5.2847458520956934E-32</v>
      </c>
      <c r="H642" s="1">
        <f t="shared" si="99"/>
        <v>5.4748848562980765E-33</v>
      </c>
      <c r="I642">
        <f t="shared" si="100"/>
        <v>8</v>
      </c>
      <c r="J642">
        <f t="shared" si="101"/>
        <v>609</v>
      </c>
      <c r="K642" s="5">
        <f t="shared" si="102"/>
        <v>0</v>
      </c>
      <c r="L642">
        <f t="shared" si="103"/>
        <v>53.4</v>
      </c>
      <c r="M642">
        <f t="shared" si="104"/>
        <v>1</v>
      </c>
      <c r="N642">
        <f t="shared" si="105"/>
        <v>0</v>
      </c>
    </row>
    <row r="643" spans="4:14" x14ac:dyDescent="0.2">
      <c r="D643">
        <f t="shared" si="107"/>
        <v>620</v>
      </c>
      <c r="E643" s="1">
        <f t="shared" si="108"/>
        <v>-71.557818898129909</v>
      </c>
      <c r="F643" s="1">
        <f t="shared" si="109"/>
        <v>-72.134432262433904</v>
      </c>
      <c r="G643" s="1">
        <f t="shared" si="106"/>
        <v>4.7034238083651642E-32</v>
      </c>
      <c r="H643" s="1">
        <f t="shared" si="99"/>
        <v>4.872647522105285E-33</v>
      </c>
      <c r="I643">
        <f t="shared" si="100"/>
        <v>8</v>
      </c>
      <c r="J643">
        <f t="shared" si="101"/>
        <v>610</v>
      </c>
      <c r="K643" s="5">
        <f t="shared" si="102"/>
        <v>0</v>
      </c>
      <c r="L643">
        <f t="shared" si="103"/>
        <v>53.4</v>
      </c>
      <c r="M643">
        <f t="shared" si="104"/>
        <v>1</v>
      </c>
      <c r="N643">
        <f t="shared" si="105"/>
        <v>0</v>
      </c>
    </row>
    <row r="644" spans="4:14" x14ac:dyDescent="0.2">
      <c r="D644">
        <f t="shared" si="107"/>
        <v>621</v>
      </c>
      <c r="E644" s="1">
        <f t="shared" si="108"/>
        <v>-71.674352714385861</v>
      </c>
      <c r="F644" s="1">
        <f t="shared" si="109"/>
        <v>-72.250966078689856</v>
      </c>
      <c r="G644" s="1">
        <f t="shared" si="106"/>
        <v>4.1860471894449935E-32</v>
      </c>
      <c r="H644" s="1">
        <f t="shared" si="99"/>
        <v>4.3366562946737013E-33</v>
      </c>
      <c r="I644">
        <f t="shared" si="100"/>
        <v>8</v>
      </c>
      <c r="J644">
        <f t="shared" si="101"/>
        <v>611</v>
      </c>
      <c r="K644" s="5">
        <f t="shared" si="102"/>
        <v>0</v>
      </c>
      <c r="L644">
        <f t="shared" si="103"/>
        <v>53.4</v>
      </c>
      <c r="M644">
        <f t="shared" si="104"/>
        <v>1</v>
      </c>
      <c r="N644">
        <f t="shared" si="105"/>
        <v>0</v>
      </c>
    </row>
    <row r="645" spans="4:14" x14ac:dyDescent="0.2">
      <c r="D645">
        <f t="shared" si="107"/>
        <v>622</v>
      </c>
      <c r="E645" s="1">
        <f t="shared" si="108"/>
        <v>-71.790886530641814</v>
      </c>
      <c r="F645" s="1">
        <f t="shared" si="109"/>
        <v>-72.367499894945809</v>
      </c>
      <c r="G645" s="1">
        <f t="shared" si="106"/>
        <v>3.7255819986060414E-32</v>
      </c>
      <c r="H645" s="1">
        <f t="shared" si="99"/>
        <v>3.8596241022595913E-33</v>
      </c>
      <c r="I645">
        <f t="shared" si="100"/>
        <v>8</v>
      </c>
      <c r="J645">
        <f t="shared" si="101"/>
        <v>612</v>
      </c>
      <c r="K645" s="5">
        <f t="shared" si="102"/>
        <v>0</v>
      </c>
      <c r="L645">
        <f t="shared" si="103"/>
        <v>53.4</v>
      </c>
      <c r="M645">
        <f t="shared" si="104"/>
        <v>1</v>
      </c>
      <c r="N645">
        <f t="shared" si="105"/>
        <v>0</v>
      </c>
    </row>
    <row r="646" spans="4:14" x14ac:dyDescent="0.2">
      <c r="D646">
        <f t="shared" si="107"/>
        <v>623</v>
      </c>
      <c r="E646" s="1">
        <f t="shared" si="108"/>
        <v>-71.907420346897766</v>
      </c>
      <c r="F646" s="1">
        <f t="shared" si="109"/>
        <v>-72.484033711201761</v>
      </c>
      <c r="G646" s="1">
        <f t="shared" si="106"/>
        <v>3.3157679787593748E-32</v>
      </c>
      <c r="H646" s="1">
        <f t="shared" si="99"/>
        <v>3.4350654510110342E-33</v>
      </c>
      <c r="I646">
        <f t="shared" si="100"/>
        <v>8</v>
      </c>
      <c r="J646">
        <f t="shared" si="101"/>
        <v>613</v>
      </c>
      <c r="K646" s="5">
        <f t="shared" si="102"/>
        <v>0</v>
      </c>
      <c r="L646">
        <f t="shared" si="103"/>
        <v>53.4</v>
      </c>
      <c r="M646">
        <f t="shared" si="104"/>
        <v>1</v>
      </c>
      <c r="N646">
        <f t="shared" si="105"/>
        <v>0</v>
      </c>
    </row>
    <row r="647" spans="4:14" x14ac:dyDescent="0.2">
      <c r="D647">
        <f t="shared" si="107"/>
        <v>624</v>
      </c>
      <c r="E647" s="1">
        <f t="shared" si="108"/>
        <v>-72.023954163153718</v>
      </c>
      <c r="F647" s="1">
        <f t="shared" si="109"/>
        <v>-72.600567527457713</v>
      </c>
      <c r="G647" s="1">
        <f t="shared" si="106"/>
        <v>2.951033501095842E-32</v>
      </c>
      <c r="H647" s="1">
        <f t="shared" si="99"/>
        <v>3.0572082513998186E-33</v>
      </c>
      <c r="I647">
        <f t="shared" si="100"/>
        <v>8</v>
      </c>
      <c r="J647">
        <f t="shared" si="101"/>
        <v>614</v>
      </c>
      <c r="K647" s="5">
        <f t="shared" si="102"/>
        <v>0</v>
      </c>
      <c r="L647">
        <f t="shared" si="103"/>
        <v>53.4</v>
      </c>
      <c r="M647">
        <f t="shared" si="104"/>
        <v>1</v>
      </c>
      <c r="N647">
        <f t="shared" si="105"/>
        <v>0</v>
      </c>
    </row>
    <row r="648" spans="4:14" x14ac:dyDescent="0.2">
      <c r="D648">
        <f t="shared" si="107"/>
        <v>625</v>
      </c>
      <c r="E648" s="1">
        <f t="shared" si="108"/>
        <v>-72.14048797940967</v>
      </c>
      <c r="F648" s="1">
        <f t="shared" si="109"/>
        <v>-72.717101343713665</v>
      </c>
      <c r="G648" s="1">
        <f t="shared" si="106"/>
        <v>2.6264198159752978E-32</v>
      </c>
      <c r="H648" s="1">
        <f t="shared" si="99"/>
        <v>2.7209153437458368E-33</v>
      </c>
      <c r="I648">
        <f t="shared" si="100"/>
        <v>8</v>
      </c>
      <c r="J648">
        <f t="shared" si="101"/>
        <v>615</v>
      </c>
      <c r="K648" s="5">
        <f t="shared" si="102"/>
        <v>0</v>
      </c>
      <c r="L648">
        <f t="shared" si="103"/>
        <v>53.4</v>
      </c>
      <c r="M648">
        <f t="shared" si="104"/>
        <v>1</v>
      </c>
      <c r="N648">
        <f t="shared" si="105"/>
        <v>0</v>
      </c>
    </row>
    <row r="649" spans="4:14" x14ac:dyDescent="0.2">
      <c r="D649">
        <f t="shared" si="107"/>
        <v>626</v>
      </c>
      <c r="E649" s="1">
        <f t="shared" si="108"/>
        <v>-72.257021795665622</v>
      </c>
      <c r="F649" s="1">
        <f t="shared" si="109"/>
        <v>-72.833635159969617</v>
      </c>
      <c r="G649" s="1">
        <f t="shared" si="106"/>
        <v>2.3375136362180134E-32</v>
      </c>
      <c r="H649" s="1">
        <f t="shared" si="99"/>
        <v>2.4216146559337933E-33</v>
      </c>
      <c r="I649">
        <f t="shared" si="100"/>
        <v>8</v>
      </c>
      <c r="J649">
        <f t="shared" si="101"/>
        <v>616</v>
      </c>
      <c r="K649" s="5">
        <f t="shared" si="102"/>
        <v>0</v>
      </c>
      <c r="L649">
        <f t="shared" si="103"/>
        <v>53.4</v>
      </c>
      <c r="M649">
        <f t="shared" si="104"/>
        <v>1</v>
      </c>
      <c r="N649">
        <f t="shared" si="105"/>
        <v>0</v>
      </c>
    </row>
    <row r="650" spans="4:14" x14ac:dyDescent="0.2">
      <c r="D650">
        <f t="shared" si="107"/>
        <v>627</v>
      </c>
      <c r="E650" s="1">
        <f t="shared" si="108"/>
        <v>-72.373555611921574</v>
      </c>
      <c r="F650" s="1">
        <f t="shared" si="109"/>
        <v>-72.950168976225569</v>
      </c>
      <c r="G650" s="1">
        <f t="shared" si="106"/>
        <v>2.0803871362340307E-32</v>
      </c>
      <c r="H650" s="1">
        <f t="shared" si="99"/>
        <v>2.1552370437810747E-33</v>
      </c>
      <c r="I650">
        <f t="shared" si="100"/>
        <v>8</v>
      </c>
      <c r="J650">
        <f t="shared" si="101"/>
        <v>617</v>
      </c>
      <c r="K650" s="5">
        <f t="shared" si="102"/>
        <v>0</v>
      </c>
      <c r="L650">
        <f t="shared" si="103"/>
        <v>53.4</v>
      </c>
      <c r="M650">
        <f t="shared" si="104"/>
        <v>1</v>
      </c>
      <c r="N650">
        <f t="shared" si="105"/>
        <v>0</v>
      </c>
    </row>
    <row r="651" spans="4:14" x14ac:dyDescent="0.2">
      <c r="D651">
        <f t="shared" si="107"/>
        <v>628</v>
      </c>
      <c r="E651" s="1">
        <f t="shared" si="108"/>
        <v>-72.490089428177527</v>
      </c>
      <c r="F651" s="1">
        <f t="shared" si="109"/>
        <v>-73.066702792481522</v>
      </c>
      <c r="G651" s="1">
        <f t="shared" si="106"/>
        <v>1.8515445512482861E-32</v>
      </c>
      <c r="H651" s="1">
        <f t="shared" si="99"/>
        <v>1.9181609689651551E-33</v>
      </c>
      <c r="I651">
        <f t="shared" si="100"/>
        <v>8</v>
      </c>
      <c r="J651">
        <f t="shared" si="101"/>
        <v>618</v>
      </c>
      <c r="K651" s="5">
        <f t="shared" si="102"/>
        <v>0</v>
      </c>
      <c r="L651">
        <f t="shared" si="103"/>
        <v>53.4</v>
      </c>
      <c r="M651">
        <f t="shared" si="104"/>
        <v>1</v>
      </c>
      <c r="N651">
        <f t="shared" si="105"/>
        <v>0</v>
      </c>
    </row>
    <row r="652" spans="4:14" x14ac:dyDescent="0.2">
      <c r="D652">
        <f t="shared" si="107"/>
        <v>629</v>
      </c>
      <c r="E652" s="1">
        <f t="shared" si="108"/>
        <v>-72.606623244433479</v>
      </c>
      <c r="F652" s="1">
        <f t="shared" si="109"/>
        <v>-73.183236608737474</v>
      </c>
      <c r="G652" s="1">
        <f t="shared" si="106"/>
        <v>1.6478746506109737E-32</v>
      </c>
      <c r="H652" s="1">
        <f t="shared" si="99"/>
        <v>1.7071632623789871E-33</v>
      </c>
      <c r="I652">
        <f t="shared" si="100"/>
        <v>8</v>
      </c>
      <c r="J652">
        <f t="shared" si="101"/>
        <v>619</v>
      </c>
      <c r="K652" s="5">
        <f t="shared" si="102"/>
        <v>0</v>
      </c>
      <c r="L652">
        <f t="shared" si="103"/>
        <v>53.4</v>
      </c>
      <c r="M652">
        <f t="shared" si="104"/>
        <v>1</v>
      </c>
      <c r="N652">
        <f t="shared" si="105"/>
        <v>0</v>
      </c>
    </row>
    <row r="653" spans="4:14" x14ac:dyDescent="0.2">
      <c r="D653">
        <f t="shared" si="107"/>
        <v>630</v>
      </c>
      <c r="E653" s="1">
        <f t="shared" si="108"/>
        <v>-72.723157060689431</v>
      </c>
      <c r="F653" s="1">
        <f t="shared" si="109"/>
        <v>-73.299770424993426</v>
      </c>
      <c r="G653" s="1">
        <f t="shared" si="106"/>
        <v>1.4666084390437656E-32</v>
      </c>
      <c r="H653" s="1">
        <f t="shared" si="99"/>
        <v>1.5193753035172976E-33</v>
      </c>
      <c r="I653">
        <f t="shared" si="100"/>
        <v>8</v>
      </c>
      <c r="J653">
        <f t="shared" si="101"/>
        <v>620</v>
      </c>
      <c r="K653" s="5">
        <f t="shared" si="102"/>
        <v>0</v>
      </c>
      <c r="L653">
        <f t="shared" si="103"/>
        <v>53.4</v>
      </c>
      <c r="M653">
        <f t="shared" si="104"/>
        <v>1</v>
      </c>
      <c r="N653">
        <f t="shared" si="105"/>
        <v>0</v>
      </c>
    </row>
    <row r="654" spans="4:14" x14ac:dyDescent="0.2">
      <c r="D654">
        <f t="shared" si="107"/>
        <v>631</v>
      </c>
      <c r="E654" s="1">
        <f t="shared" si="108"/>
        <v>-72.839690876945383</v>
      </c>
      <c r="F654" s="1">
        <f t="shared" si="109"/>
        <v>-73.416304241249378</v>
      </c>
      <c r="G654" s="1">
        <f t="shared" si="106"/>
        <v>1.3052815107489504E-32</v>
      </c>
      <c r="H654" s="1">
        <f t="shared" si="99"/>
        <v>1.3522440201303938E-33</v>
      </c>
      <c r="I654">
        <f t="shared" si="100"/>
        <v>8</v>
      </c>
      <c r="J654">
        <f t="shared" si="101"/>
        <v>621</v>
      </c>
      <c r="K654" s="5">
        <f t="shared" si="102"/>
        <v>0</v>
      </c>
      <c r="L654">
        <f t="shared" si="103"/>
        <v>53.4</v>
      </c>
      <c r="M654">
        <f t="shared" si="104"/>
        <v>1</v>
      </c>
      <c r="N654">
        <f t="shared" si="105"/>
        <v>0</v>
      </c>
    </row>
    <row r="655" spans="4:14" x14ac:dyDescent="0.2">
      <c r="D655">
        <f t="shared" si="107"/>
        <v>632</v>
      </c>
      <c r="E655" s="1">
        <f t="shared" si="108"/>
        <v>-72.956224693201335</v>
      </c>
      <c r="F655" s="1">
        <f t="shared" si="109"/>
        <v>-73.53283805750533</v>
      </c>
      <c r="G655" s="1">
        <f t="shared" si="106"/>
        <v>1.1617005445665652E-32</v>
      </c>
      <c r="H655" s="1">
        <f t="shared" si="99"/>
        <v>1.2034971779160498E-33</v>
      </c>
      <c r="I655">
        <f t="shared" si="100"/>
        <v>8</v>
      </c>
      <c r="J655">
        <f t="shared" si="101"/>
        <v>622</v>
      </c>
      <c r="K655" s="5">
        <f t="shared" si="102"/>
        <v>0</v>
      </c>
      <c r="L655">
        <f t="shared" si="103"/>
        <v>53.4</v>
      </c>
      <c r="M655">
        <f t="shared" si="104"/>
        <v>1</v>
      </c>
      <c r="N655">
        <f t="shared" si="105"/>
        <v>0</v>
      </c>
    </row>
    <row r="656" spans="4:14" x14ac:dyDescent="0.2">
      <c r="D656">
        <f t="shared" si="107"/>
        <v>633</v>
      </c>
      <c r="E656" s="1">
        <f t="shared" si="108"/>
        <v>-73.072758509457287</v>
      </c>
      <c r="F656" s="1">
        <f t="shared" si="109"/>
        <v>-73.649371873761282</v>
      </c>
      <c r="G656" s="1">
        <f t="shared" si="106"/>
        <v>1.0339134846642424E-32</v>
      </c>
      <c r="H656" s="1">
        <f t="shared" si="99"/>
        <v>1.0711124883452837E-33</v>
      </c>
      <c r="I656">
        <f t="shared" si="100"/>
        <v>8</v>
      </c>
      <c r="J656">
        <f t="shared" si="101"/>
        <v>623</v>
      </c>
      <c r="K656" s="5">
        <f t="shared" si="102"/>
        <v>0</v>
      </c>
      <c r="L656">
        <f t="shared" si="103"/>
        <v>53.4</v>
      </c>
      <c r="M656">
        <f t="shared" si="104"/>
        <v>1</v>
      </c>
      <c r="N656">
        <f t="shared" si="105"/>
        <v>0</v>
      </c>
    </row>
    <row r="657" spans="4:14" x14ac:dyDescent="0.2">
      <c r="D657">
        <f t="shared" si="107"/>
        <v>634</v>
      </c>
      <c r="E657" s="1">
        <f t="shared" si="108"/>
        <v>-73.18929232571324</v>
      </c>
      <c r="F657" s="1">
        <f t="shared" si="109"/>
        <v>-73.765905690017235</v>
      </c>
      <c r="G657" s="1">
        <f t="shared" si="106"/>
        <v>9.201830013511752E-33</v>
      </c>
      <c r="H657" s="1">
        <f t="shared" si="99"/>
        <v>9.5329011462730183E-34</v>
      </c>
      <c r="I657">
        <f t="shared" si="100"/>
        <v>8</v>
      </c>
      <c r="J657">
        <f t="shared" si="101"/>
        <v>624</v>
      </c>
      <c r="K657" s="5">
        <f t="shared" si="102"/>
        <v>0</v>
      </c>
      <c r="L657">
        <f t="shared" si="103"/>
        <v>53.4</v>
      </c>
      <c r="M657">
        <f t="shared" si="104"/>
        <v>1</v>
      </c>
      <c r="N657">
        <f t="shared" si="105"/>
        <v>0</v>
      </c>
    </row>
    <row r="658" spans="4:14" x14ac:dyDescent="0.2">
      <c r="D658">
        <f t="shared" si="107"/>
        <v>635</v>
      </c>
      <c r="E658" s="1">
        <f t="shared" si="108"/>
        <v>-73.305826141969192</v>
      </c>
      <c r="F658" s="1">
        <f t="shared" si="109"/>
        <v>-73.882439506273187</v>
      </c>
      <c r="G658" s="1">
        <f t="shared" si="106"/>
        <v>8.1896287120254536E-33</v>
      </c>
      <c r="H658" s="1">
        <f t="shared" si="99"/>
        <v>8.484282020182981E-34</v>
      </c>
      <c r="I658">
        <f t="shared" si="100"/>
        <v>8</v>
      </c>
      <c r="J658">
        <f t="shared" si="101"/>
        <v>625</v>
      </c>
      <c r="K658" s="5">
        <f t="shared" si="102"/>
        <v>0</v>
      </c>
      <c r="L658">
        <f t="shared" si="103"/>
        <v>53.4</v>
      </c>
      <c r="M658">
        <f t="shared" si="104"/>
        <v>1</v>
      </c>
      <c r="N658">
        <f t="shared" si="105"/>
        <v>0</v>
      </c>
    </row>
    <row r="659" spans="4:14" x14ac:dyDescent="0.2">
      <c r="D659">
        <f t="shared" si="107"/>
        <v>636</v>
      </c>
      <c r="E659" s="1">
        <f t="shared" si="108"/>
        <v>-73.422359958225144</v>
      </c>
      <c r="F659" s="1">
        <f t="shared" si="109"/>
        <v>-73.998973322529139</v>
      </c>
      <c r="G659" s="1">
        <f t="shared" si="106"/>
        <v>7.288769553702649E-33</v>
      </c>
      <c r="H659" s="1">
        <f t="shared" si="99"/>
        <v>7.5510109979628479E-34</v>
      </c>
      <c r="I659">
        <f t="shared" si="100"/>
        <v>8</v>
      </c>
      <c r="J659">
        <f t="shared" si="101"/>
        <v>626</v>
      </c>
      <c r="K659" s="5">
        <f t="shared" si="102"/>
        <v>0</v>
      </c>
      <c r="L659">
        <f t="shared" si="103"/>
        <v>53.4</v>
      </c>
      <c r="M659">
        <f t="shared" si="104"/>
        <v>1</v>
      </c>
      <c r="N659">
        <f t="shared" si="105"/>
        <v>0</v>
      </c>
    </row>
    <row r="660" spans="4:14" x14ac:dyDescent="0.2">
      <c r="D660">
        <f t="shared" si="107"/>
        <v>637</v>
      </c>
      <c r="E660" s="1">
        <f t="shared" si="108"/>
        <v>-73.538893774481096</v>
      </c>
      <c r="F660" s="1">
        <f t="shared" si="109"/>
        <v>-74.115507138785091</v>
      </c>
      <c r="G660" s="1">
        <f t="shared" si="106"/>
        <v>6.4870049027953536E-33</v>
      </c>
      <c r="H660" s="1">
        <f t="shared" si="99"/>
        <v>6.7203997881869308E-34</v>
      </c>
      <c r="I660">
        <f t="shared" si="100"/>
        <v>8</v>
      </c>
      <c r="J660">
        <f t="shared" si="101"/>
        <v>627</v>
      </c>
      <c r="K660" s="5">
        <f t="shared" si="102"/>
        <v>0</v>
      </c>
      <c r="L660">
        <f t="shared" si="103"/>
        <v>53.4</v>
      </c>
      <c r="M660">
        <f t="shared" si="104"/>
        <v>1</v>
      </c>
      <c r="N660">
        <f t="shared" si="105"/>
        <v>0</v>
      </c>
    </row>
    <row r="661" spans="4:14" x14ac:dyDescent="0.2">
      <c r="D661">
        <f t="shared" si="107"/>
        <v>638</v>
      </c>
      <c r="E661" s="1">
        <f t="shared" si="108"/>
        <v>-73.655427590737048</v>
      </c>
      <c r="F661" s="1">
        <f t="shared" si="109"/>
        <v>-74.232040955041043</v>
      </c>
      <c r="G661" s="1">
        <f t="shared" si="106"/>
        <v>5.7734343634878609E-33</v>
      </c>
      <c r="H661" s="1">
        <f t="shared" si="99"/>
        <v>5.981155811486364E-34</v>
      </c>
      <c r="I661">
        <f t="shared" si="100"/>
        <v>8</v>
      </c>
      <c r="J661">
        <f t="shared" si="101"/>
        <v>628</v>
      </c>
      <c r="K661" s="5">
        <f t="shared" si="102"/>
        <v>0</v>
      </c>
      <c r="L661">
        <f t="shared" si="103"/>
        <v>53.4</v>
      </c>
      <c r="M661">
        <f t="shared" si="104"/>
        <v>1</v>
      </c>
      <c r="N661">
        <f t="shared" si="105"/>
        <v>0</v>
      </c>
    </row>
    <row r="662" spans="4:14" x14ac:dyDescent="0.2">
      <c r="D662">
        <f t="shared" si="107"/>
        <v>639</v>
      </c>
      <c r="E662" s="1">
        <f t="shared" si="108"/>
        <v>-73.771961406993</v>
      </c>
      <c r="F662" s="1">
        <f t="shared" si="109"/>
        <v>-74.348574771296995</v>
      </c>
      <c r="G662" s="1">
        <f t="shared" si="106"/>
        <v>5.1383565835041934E-33</v>
      </c>
      <c r="H662" s="1">
        <f t="shared" si="99"/>
        <v>5.3232286722228612E-34</v>
      </c>
      <c r="I662">
        <f t="shared" si="100"/>
        <v>8</v>
      </c>
      <c r="J662">
        <f t="shared" si="101"/>
        <v>629</v>
      </c>
      <c r="K662" s="5">
        <f t="shared" si="102"/>
        <v>0</v>
      </c>
      <c r="L662">
        <f t="shared" si="103"/>
        <v>53.4</v>
      </c>
      <c r="M662">
        <f t="shared" si="104"/>
        <v>1</v>
      </c>
      <c r="N662">
        <f t="shared" si="105"/>
        <v>0</v>
      </c>
    </row>
    <row r="663" spans="4:14" x14ac:dyDescent="0.2">
      <c r="D663">
        <f t="shared" si="107"/>
        <v>640</v>
      </c>
      <c r="E663" s="1">
        <f t="shared" si="108"/>
        <v>-73.888495223248952</v>
      </c>
      <c r="F663" s="1">
        <f t="shared" si="109"/>
        <v>-74.465108587552947</v>
      </c>
      <c r="G663" s="1">
        <f t="shared" si="106"/>
        <v>4.5731373593187289E-33</v>
      </c>
      <c r="H663" s="1">
        <f t="shared" ref="H663:H726" si="110">G663/$G$21</f>
        <v>4.7376735182783429E-34</v>
      </c>
      <c r="I663">
        <f t="shared" ref="I663:I726" si="111">IF($F$11&lt;=D663, IF(D663&lt;=$A$15,D663-$F$11,$C$11),0)</f>
        <v>8</v>
      </c>
      <c r="J663">
        <f t="shared" ref="J663:J726" si="112">IF(D663&lt;=$A$15,0,D663-$A$15)</f>
        <v>630</v>
      </c>
      <c r="K663" s="5">
        <f t="shared" ref="K663:K726" si="113">IF(D663&lt;$F$11,H663,0)</f>
        <v>0</v>
      </c>
      <c r="L663">
        <f t="shared" ref="L663:L726" si="114">IF(D663&lt;$A$15,$D$11,$D$11*(1-$H$11))</f>
        <v>53.4</v>
      </c>
      <c r="M663">
        <f t="shared" ref="M663:M726" si="115">IF(D663&lt;$A$15,0,1)</f>
        <v>1</v>
      </c>
      <c r="N663">
        <f t="shared" ref="N663:N726" si="116">IF(SUM(I663:J663)&lt;=($G$11/60*$F$11/($E$11/60)),1,0)</f>
        <v>0</v>
      </c>
    </row>
    <row r="664" spans="4:14" x14ac:dyDescent="0.2">
      <c r="D664">
        <f t="shared" si="107"/>
        <v>641</v>
      </c>
      <c r="E664" s="1">
        <f t="shared" si="108"/>
        <v>-74.005029039504905</v>
      </c>
      <c r="F664" s="1">
        <f t="shared" si="109"/>
        <v>-74.5816424038089</v>
      </c>
      <c r="G664" s="1">
        <f t="shared" ref="G664:G727" si="117">EXP(F664)</f>
        <v>4.0700922497936666E-33</v>
      </c>
      <c r="H664" s="1">
        <f t="shared" si="110"/>
        <v>4.2165294312677235E-34</v>
      </c>
      <c r="I664">
        <f t="shared" si="111"/>
        <v>8</v>
      </c>
      <c r="J664">
        <f t="shared" si="112"/>
        <v>631</v>
      </c>
      <c r="K664" s="5">
        <f t="shared" si="113"/>
        <v>0</v>
      </c>
      <c r="L664">
        <f t="shared" si="114"/>
        <v>53.4</v>
      </c>
      <c r="M664">
        <f t="shared" si="115"/>
        <v>1</v>
      </c>
      <c r="N664">
        <f t="shared" si="116"/>
        <v>0</v>
      </c>
    </row>
    <row r="665" spans="4:14" x14ac:dyDescent="0.2">
      <c r="D665">
        <f t="shared" ref="D665:D728" si="118">1+D664</f>
        <v>642</v>
      </c>
      <c r="E665" s="1">
        <f t="shared" ref="E665:E728" si="119">IF($H$11=1,IF(D665&lt;=$A$15, E664+LN($D$11)-LN(60/$E$11)-LN(MIN(D665,$F$11)), E664-LN(60/$E$11)-LN(MIN(D665,$F$11))), IF(D665&lt;=$A$15, E664+LN($D$11)-LN(60/$E$11)-LN(MIN(D665,$F$11)), E664+LN($D$11)+LN(1-$H$11)-LN(60/$E$11)-LN(MIN(D665,$F$11))))</f>
        <v>-74.121562855760857</v>
      </c>
      <c r="F665" s="1">
        <f t="shared" ref="F665:F728" si="120">E665-$E$21</f>
        <v>-74.698176220064852</v>
      </c>
      <c r="G665" s="1">
        <f t="shared" si="117"/>
        <v>3.6223821023163604E-33</v>
      </c>
      <c r="H665" s="1">
        <f t="shared" si="110"/>
        <v>3.7527111938282707E-34</v>
      </c>
      <c r="I665">
        <f t="shared" si="111"/>
        <v>8</v>
      </c>
      <c r="J665">
        <f t="shared" si="112"/>
        <v>632</v>
      </c>
      <c r="K665" s="5">
        <f t="shared" si="113"/>
        <v>0</v>
      </c>
      <c r="L665">
        <f t="shared" si="114"/>
        <v>53.4</v>
      </c>
      <c r="M665">
        <f t="shared" si="115"/>
        <v>1</v>
      </c>
      <c r="N665">
        <f t="shared" si="116"/>
        <v>0</v>
      </c>
    </row>
    <row r="666" spans="4:14" x14ac:dyDescent="0.2">
      <c r="D666">
        <f t="shared" si="118"/>
        <v>643</v>
      </c>
      <c r="E666" s="1">
        <f t="shared" si="119"/>
        <v>-74.238096672016809</v>
      </c>
      <c r="F666" s="1">
        <f t="shared" si="120"/>
        <v>-74.814710036320804</v>
      </c>
      <c r="G666" s="1">
        <f t="shared" si="117"/>
        <v>3.2239200710615587E-33</v>
      </c>
      <c r="H666" s="1">
        <f t="shared" si="110"/>
        <v>3.3399129625071589E-34</v>
      </c>
      <c r="I666">
        <f t="shared" si="111"/>
        <v>8</v>
      </c>
      <c r="J666">
        <f t="shared" si="112"/>
        <v>633</v>
      </c>
      <c r="K666" s="5">
        <f t="shared" si="113"/>
        <v>0</v>
      </c>
      <c r="L666">
        <f t="shared" si="114"/>
        <v>53.4</v>
      </c>
      <c r="M666">
        <f t="shared" si="115"/>
        <v>1</v>
      </c>
      <c r="N666">
        <f t="shared" si="116"/>
        <v>0</v>
      </c>
    </row>
    <row r="667" spans="4:14" x14ac:dyDescent="0.2">
      <c r="D667">
        <f t="shared" si="118"/>
        <v>644</v>
      </c>
      <c r="E667" s="1">
        <f t="shared" si="119"/>
        <v>-74.354630488272761</v>
      </c>
      <c r="F667" s="1">
        <f t="shared" si="120"/>
        <v>-74.931243852576756</v>
      </c>
      <c r="G667" s="1">
        <f t="shared" si="117"/>
        <v>2.8692888632447857E-33</v>
      </c>
      <c r="H667" s="1">
        <f t="shared" si="110"/>
        <v>2.9725225366313697E-34</v>
      </c>
      <c r="I667">
        <f t="shared" si="111"/>
        <v>8</v>
      </c>
      <c r="J667">
        <f t="shared" si="112"/>
        <v>634</v>
      </c>
      <c r="K667" s="5">
        <f t="shared" si="113"/>
        <v>0</v>
      </c>
      <c r="L667">
        <f t="shared" si="114"/>
        <v>53.4</v>
      </c>
      <c r="M667">
        <f t="shared" si="115"/>
        <v>1</v>
      </c>
      <c r="N667">
        <f t="shared" si="116"/>
        <v>0</v>
      </c>
    </row>
    <row r="668" spans="4:14" x14ac:dyDescent="0.2">
      <c r="D668">
        <f t="shared" si="118"/>
        <v>645</v>
      </c>
      <c r="E668" s="1">
        <f t="shared" si="119"/>
        <v>-74.471164304528713</v>
      </c>
      <c r="F668" s="1">
        <f t="shared" si="120"/>
        <v>-75.047777668832708</v>
      </c>
      <c r="G668" s="1">
        <f t="shared" si="117"/>
        <v>2.5536670882878577E-33</v>
      </c>
      <c r="H668" s="1">
        <f t="shared" si="110"/>
        <v>2.6455450576019173E-34</v>
      </c>
      <c r="I668">
        <f t="shared" si="111"/>
        <v>8</v>
      </c>
      <c r="J668">
        <f t="shared" si="112"/>
        <v>635</v>
      </c>
      <c r="K668" s="5">
        <f t="shared" si="113"/>
        <v>0</v>
      </c>
      <c r="L668">
        <f t="shared" si="114"/>
        <v>53.4</v>
      </c>
      <c r="M668">
        <f t="shared" si="115"/>
        <v>1</v>
      </c>
      <c r="N668">
        <f t="shared" si="116"/>
        <v>0</v>
      </c>
    </row>
    <row r="669" spans="4:14" x14ac:dyDescent="0.2">
      <c r="D669">
        <f t="shared" si="118"/>
        <v>646</v>
      </c>
      <c r="E669" s="1">
        <f t="shared" si="119"/>
        <v>-74.587698120784665</v>
      </c>
      <c r="F669" s="1">
        <f t="shared" si="120"/>
        <v>-75.16431148508866</v>
      </c>
      <c r="G669" s="1">
        <f t="shared" si="117"/>
        <v>2.2727637085761919E-33</v>
      </c>
      <c r="H669" s="1">
        <f t="shared" si="110"/>
        <v>2.3545351012657051E-34</v>
      </c>
      <c r="I669">
        <f t="shared" si="111"/>
        <v>8</v>
      </c>
      <c r="J669">
        <f t="shared" si="112"/>
        <v>636</v>
      </c>
      <c r="K669" s="5">
        <f t="shared" si="113"/>
        <v>0</v>
      </c>
      <c r="L669">
        <f t="shared" si="114"/>
        <v>53.4</v>
      </c>
      <c r="M669">
        <f t="shared" si="115"/>
        <v>1</v>
      </c>
      <c r="N669">
        <f t="shared" si="116"/>
        <v>0</v>
      </c>
    </row>
    <row r="670" spans="4:14" x14ac:dyDescent="0.2">
      <c r="D670">
        <f t="shared" si="118"/>
        <v>647</v>
      </c>
      <c r="E670" s="1">
        <f t="shared" si="119"/>
        <v>-74.704231937040618</v>
      </c>
      <c r="F670" s="1">
        <f t="shared" si="120"/>
        <v>-75.280845301344613</v>
      </c>
      <c r="G670" s="1">
        <f t="shared" si="117"/>
        <v>2.0227597006328094E-33</v>
      </c>
      <c r="H670" s="1">
        <f t="shared" si="110"/>
        <v>2.095536240126476E-34</v>
      </c>
      <c r="I670">
        <f t="shared" si="111"/>
        <v>8</v>
      </c>
      <c r="J670">
        <f t="shared" si="112"/>
        <v>637</v>
      </c>
      <c r="K670" s="5">
        <f t="shared" si="113"/>
        <v>0</v>
      </c>
      <c r="L670">
        <f t="shared" si="114"/>
        <v>53.4</v>
      </c>
      <c r="M670">
        <f t="shared" si="115"/>
        <v>1</v>
      </c>
      <c r="N670">
        <f t="shared" si="116"/>
        <v>0</v>
      </c>
    </row>
    <row r="671" spans="4:14" x14ac:dyDescent="0.2">
      <c r="D671">
        <f t="shared" si="118"/>
        <v>648</v>
      </c>
      <c r="E671" s="1">
        <f t="shared" si="119"/>
        <v>-74.82076575329657</v>
      </c>
      <c r="F671" s="1">
        <f t="shared" si="120"/>
        <v>-75.397379117600565</v>
      </c>
      <c r="G671" s="1">
        <f t="shared" si="117"/>
        <v>1.8002561335631993E-33</v>
      </c>
      <c r="H671" s="1">
        <f t="shared" si="110"/>
        <v>1.8650272537125626E-34</v>
      </c>
      <c r="I671">
        <f t="shared" si="111"/>
        <v>8</v>
      </c>
      <c r="J671">
        <f t="shared" si="112"/>
        <v>638</v>
      </c>
      <c r="K671" s="5">
        <f t="shared" si="113"/>
        <v>0</v>
      </c>
      <c r="L671">
        <f t="shared" si="114"/>
        <v>53.4</v>
      </c>
      <c r="M671">
        <f t="shared" si="115"/>
        <v>1</v>
      </c>
      <c r="N671">
        <f t="shared" si="116"/>
        <v>0</v>
      </c>
    </row>
    <row r="672" spans="4:14" x14ac:dyDescent="0.2">
      <c r="D672">
        <f t="shared" si="118"/>
        <v>649</v>
      </c>
      <c r="E672" s="1">
        <f t="shared" si="119"/>
        <v>-74.937299569552522</v>
      </c>
      <c r="F672" s="1">
        <f t="shared" si="120"/>
        <v>-75.513912933856517</v>
      </c>
      <c r="G672" s="1">
        <f t="shared" si="117"/>
        <v>1.6022279588712463E-33</v>
      </c>
      <c r="H672" s="1">
        <f t="shared" si="110"/>
        <v>1.6598742558041796E-34</v>
      </c>
      <c r="I672">
        <f t="shared" si="111"/>
        <v>8</v>
      </c>
      <c r="J672">
        <f t="shared" si="112"/>
        <v>639</v>
      </c>
      <c r="K672" s="5">
        <f t="shared" si="113"/>
        <v>0</v>
      </c>
      <c r="L672">
        <f t="shared" si="114"/>
        <v>53.4</v>
      </c>
      <c r="M672">
        <f t="shared" si="115"/>
        <v>1</v>
      </c>
      <c r="N672">
        <f t="shared" si="116"/>
        <v>0</v>
      </c>
    </row>
    <row r="673" spans="4:14" x14ac:dyDescent="0.2">
      <c r="D673">
        <f t="shared" si="118"/>
        <v>650</v>
      </c>
      <c r="E673" s="1">
        <f t="shared" si="119"/>
        <v>-75.053833385808474</v>
      </c>
      <c r="F673" s="1">
        <f t="shared" si="120"/>
        <v>-75.630446750112469</v>
      </c>
      <c r="G673" s="1">
        <f t="shared" si="117"/>
        <v>1.4259828833954083E-33</v>
      </c>
      <c r="H673" s="1">
        <f t="shared" si="110"/>
        <v>1.4772880876657189E-34</v>
      </c>
      <c r="I673">
        <f t="shared" si="111"/>
        <v>8</v>
      </c>
      <c r="J673">
        <f t="shared" si="112"/>
        <v>640</v>
      </c>
      <c r="K673" s="5">
        <f t="shared" si="113"/>
        <v>0</v>
      </c>
      <c r="L673">
        <f t="shared" si="114"/>
        <v>53.4</v>
      </c>
      <c r="M673">
        <f t="shared" si="115"/>
        <v>1</v>
      </c>
      <c r="N673">
        <f t="shared" si="116"/>
        <v>0</v>
      </c>
    </row>
    <row r="674" spans="4:14" x14ac:dyDescent="0.2">
      <c r="D674">
        <f t="shared" si="118"/>
        <v>651</v>
      </c>
      <c r="E674" s="1">
        <f t="shared" si="119"/>
        <v>-75.170367202064426</v>
      </c>
      <c r="F674" s="1">
        <f t="shared" si="120"/>
        <v>-75.746980566368421</v>
      </c>
      <c r="G674" s="1">
        <f t="shared" si="117"/>
        <v>1.2691247662219127E-33</v>
      </c>
      <c r="H674" s="1">
        <f t="shared" si="110"/>
        <v>1.3147863980224892E-34</v>
      </c>
      <c r="I674">
        <f t="shared" si="111"/>
        <v>8</v>
      </c>
      <c r="J674">
        <f t="shared" si="112"/>
        <v>641</v>
      </c>
      <c r="K674" s="5">
        <f t="shared" si="113"/>
        <v>0</v>
      </c>
      <c r="L674">
        <f t="shared" si="114"/>
        <v>53.4</v>
      </c>
      <c r="M674">
        <f t="shared" si="115"/>
        <v>1</v>
      </c>
      <c r="N674">
        <f t="shared" si="116"/>
        <v>0</v>
      </c>
    </row>
    <row r="675" spans="4:14" x14ac:dyDescent="0.2">
      <c r="D675">
        <f t="shared" si="118"/>
        <v>652</v>
      </c>
      <c r="E675" s="1">
        <f t="shared" si="119"/>
        <v>-75.286901018320378</v>
      </c>
      <c r="F675" s="1">
        <f t="shared" si="120"/>
        <v>-75.863514382624373</v>
      </c>
      <c r="G675" s="1">
        <f t="shared" si="117"/>
        <v>1.1295210419375016E-33</v>
      </c>
      <c r="H675" s="1">
        <f t="shared" si="110"/>
        <v>1.1701598942400146E-34</v>
      </c>
      <c r="I675">
        <f t="shared" si="111"/>
        <v>8</v>
      </c>
      <c r="J675">
        <f t="shared" si="112"/>
        <v>642</v>
      </c>
      <c r="K675" s="5">
        <f t="shared" si="113"/>
        <v>0</v>
      </c>
      <c r="L675">
        <f t="shared" si="114"/>
        <v>53.4</v>
      </c>
      <c r="M675">
        <f t="shared" si="115"/>
        <v>1</v>
      </c>
      <c r="N675">
        <f t="shared" si="116"/>
        <v>0</v>
      </c>
    </row>
    <row r="676" spans="4:14" x14ac:dyDescent="0.2">
      <c r="D676">
        <f t="shared" si="118"/>
        <v>653</v>
      </c>
      <c r="E676" s="1">
        <f t="shared" si="119"/>
        <v>-75.403434834576331</v>
      </c>
      <c r="F676" s="1">
        <f t="shared" si="120"/>
        <v>-75.980048198880326</v>
      </c>
      <c r="G676" s="1">
        <f t="shared" si="117"/>
        <v>1.0052737273243757E-33</v>
      </c>
      <c r="H676" s="1">
        <f t="shared" si="110"/>
        <v>1.0414423058736122E-34</v>
      </c>
      <c r="I676">
        <f t="shared" si="111"/>
        <v>8</v>
      </c>
      <c r="J676">
        <f t="shared" si="112"/>
        <v>643</v>
      </c>
      <c r="K676" s="5">
        <f t="shared" si="113"/>
        <v>0</v>
      </c>
      <c r="L676">
        <f t="shared" si="114"/>
        <v>53.4</v>
      </c>
      <c r="M676">
        <f t="shared" si="115"/>
        <v>1</v>
      </c>
      <c r="N676">
        <f t="shared" si="116"/>
        <v>0</v>
      </c>
    </row>
    <row r="677" spans="4:14" x14ac:dyDescent="0.2">
      <c r="D677">
        <f t="shared" si="118"/>
        <v>654</v>
      </c>
      <c r="E677" s="1">
        <f t="shared" si="119"/>
        <v>-75.519968650832283</v>
      </c>
      <c r="F677" s="1">
        <f t="shared" si="120"/>
        <v>-76.096582015136278</v>
      </c>
      <c r="G677" s="1">
        <f t="shared" si="117"/>
        <v>8.9469361731869379E-34</v>
      </c>
      <c r="H677" s="1">
        <f t="shared" si="110"/>
        <v>9.2688365222751432E-35</v>
      </c>
      <c r="I677">
        <f t="shared" si="111"/>
        <v>8</v>
      </c>
      <c r="J677">
        <f t="shared" si="112"/>
        <v>644</v>
      </c>
      <c r="K677" s="5">
        <f t="shared" si="113"/>
        <v>0</v>
      </c>
      <c r="L677">
        <f t="shared" si="114"/>
        <v>53.4</v>
      </c>
      <c r="M677">
        <f t="shared" si="115"/>
        <v>1</v>
      </c>
      <c r="N677">
        <f t="shared" si="116"/>
        <v>0</v>
      </c>
    </row>
    <row r="678" spans="4:14" x14ac:dyDescent="0.2">
      <c r="D678">
        <f t="shared" si="118"/>
        <v>655</v>
      </c>
      <c r="E678" s="1">
        <f t="shared" si="119"/>
        <v>-75.636502467088235</v>
      </c>
      <c r="F678" s="1">
        <f t="shared" si="120"/>
        <v>-76.21311583139223</v>
      </c>
      <c r="G678" s="1">
        <f t="shared" si="117"/>
        <v>7.9627731941363711E-34</v>
      </c>
      <c r="H678" s="1">
        <f t="shared" si="110"/>
        <v>8.2492645048248727E-35</v>
      </c>
      <c r="I678">
        <f t="shared" si="111"/>
        <v>8</v>
      </c>
      <c r="J678">
        <f t="shared" si="112"/>
        <v>645</v>
      </c>
      <c r="K678" s="5">
        <f t="shared" si="113"/>
        <v>0</v>
      </c>
      <c r="L678">
        <f t="shared" si="114"/>
        <v>53.4</v>
      </c>
      <c r="M678">
        <f t="shared" si="115"/>
        <v>1</v>
      </c>
      <c r="N678">
        <f t="shared" si="116"/>
        <v>0</v>
      </c>
    </row>
    <row r="679" spans="4:14" x14ac:dyDescent="0.2">
      <c r="D679">
        <f t="shared" si="118"/>
        <v>656</v>
      </c>
      <c r="E679" s="1">
        <f t="shared" si="119"/>
        <v>-75.753036283344187</v>
      </c>
      <c r="F679" s="1">
        <f t="shared" si="120"/>
        <v>-76.329649647648182</v>
      </c>
      <c r="G679" s="1">
        <f t="shared" si="117"/>
        <v>7.086868142781365E-34</v>
      </c>
      <c r="H679" s="1">
        <f t="shared" si="110"/>
        <v>7.3418454092941319E-35</v>
      </c>
      <c r="I679">
        <f t="shared" si="111"/>
        <v>8</v>
      </c>
      <c r="J679">
        <f t="shared" si="112"/>
        <v>646</v>
      </c>
      <c r="K679" s="5">
        <f t="shared" si="113"/>
        <v>0</v>
      </c>
      <c r="L679">
        <f t="shared" si="114"/>
        <v>53.4</v>
      </c>
      <c r="M679">
        <f t="shared" si="115"/>
        <v>1</v>
      </c>
      <c r="N679">
        <f t="shared" si="116"/>
        <v>0</v>
      </c>
    </row>
    <row r="680" spans="4:14" x14ac:dyDescent="0.2">
      <c r="D680">
        <f t="shared" si="118"/>
        <v>657</v>
      </c>
      <c r="E680" s="1">
        <f t="shared" si="119"/>
        <v>-75.869570099600139</v>
      </c>
      <c r="F680" s="1">
        <f t="shared" si="120"/>
        <v>-76.446183463904134</v>
      </c>
      <c r="G680" s="1">
        <f t="shared" si="117"/>
        <v>6.3073126470754113E-34</v>
      </c>
      <c r="H680" s="1">
        <f t="shared" si="110"/>
        <v>6.534242414271774E-35</v>
      </c>
      <c r="I680">
        <f t="shared" si="111"/>
        <v>8</v>
      </c>
      <c r="J680">
        <f t="shared" si="112"/>
        <v>647</v>
      </c>
      <c r="K680" s="5">
        <f t="shared" si="113"/>
        <v>0</v>
      </c>
      <c r="L680">
        <f t="shared" si="114"/>
        <v>53.4</v>
      </c>
      <c r="M680">
        <f t="shared" si="115"/>
        <v>1</v>
      </c>
      <c r="N680">
        <f t="shared" si="116"/>
        <v>0</v>
      </c>
    </row>
    <row r="681" spans="4:14" x14ac:dyDescent="0.2">
      <c r="D681">
        <f t="shared" si="118"/>
        <v>658</v>
      </c>
      <c r="E681" s="1">
        <f t="shared" si="119"/>
        <v>-75.986103915856091</v>
      </c>
      <c r="F681" s="1">
        <f t="shared" si="120"/>
        <v>-76.562717280160086</v>
      </c>
      <c r="G681" s="1">
        <f t="shared" si="117"/>
        <v>5.6135082558971118E-34</v>
      </c>
      <c r="H681" s="1">
        <f t="shared" si="110"/>
        <v>5.8154757487018737E-35</v>
      </c>
      <c r="I681">
        <f t="shared" si="111"/>
        <v>8</v>
      </c>
      <c r="J681">
        <f t="shared" si="112"/>
        <v>648</v>
      </c>
      <c r="K681" s="5">
        <f t="shared" si="113"/>
        <v>0</v>
      </c>
      <c r="L681">
        <f t="shared" si="114"/>
        <v>53.4</v>
      </c>
      <c r="M681">
        <f t="shared" si="115"/>
        <v>1</v>
      </c>
      <c r="N681">
        <f t="shared" si="116"/>
        <v>0</v>
      </c>
    </row>
    <row r="682" spans="4:14" x14ac:dyDescent="0.2">
      <c r="D682">
        <f t="shared" si="118"/>
        <v>659</v>
      </c>
      <c r="E682" s="1">
        <f t="shared" si="119"/>
        <v>-76.102637732112044</v>
      </c>
      <c r="F682" s="1">
        <f t="shared" si="120"/>
        <v>-76.679251096416039</v>
      </c>
      <c r="G682" s="1">
        <f t="shared" si="117"/>
        <v>4.9960223477484269E-34</v>
      </c>
      <c r="H682" s="1">
        <f t="shared" si="110"/>
        <v>5.1757734163446651E-35</v>
      </c>
      <c r="I682">
        <f t="shared" si="111"/>
        <v>8</v>
      </c>
      <c r="J682">
        <f t="shared" si="112"/>
        <v>649</v>
      </c>
      <c r="K682" s="5">
        <f t="shared" si="113"/>
        <v>0</v>
      </c>
      <c r="L682">
        <f t="shared" si="114"/>
        <v>53.4</v>
      </c>
      <c r="M682">
        <f t="shared" si="115"/>
        <v>1</v>
      </c>
      <c r="N682">
        <f t="shared" si="116"/>
        <v>0</v>
      </c>
    </row>
    <row r="683" spans="4:14" x14ac:dyDescent="0.2">
      <c r="D683">
        <f t="shared" si="118"/>
        <v>660</v>
      </c>
      <c r="E683" s="1">
        <f t="shared" si="119"/>
        <v>-76.219171548367996</v>
      </c>
      <c r="F683" s="1">
        <f t="shared" si="120"/>
        <v>-76.795784912671991</v>
      </c>
      <c r="G683" s="1">
        <f t="shared" si="117"/>
        <v>4.4464598894960969E-34</v>
      </c>
      <c r="H683" s="1">
        <f t="shared" si="110"/>
        <v>4.606438340546749E-35</v>
      </c>
      <c r="I683">
        <f t="shared" si="111"/>
        <v>8</v>
      </c>
      <c r="J683">
        <f t="shared" si="112"/>
        <v>650</v>
      </c>
      <c r="K683" s="5">
        <f t="shared" si="113"/>
        <v>0</v>
      </c>
      <c r="L683">
        <f t="shared" si="114"/>
        <v>53.4</v>
      </c>
      <c r="M683">
        <f t="shared" si="115"/>
        <v>1</v>
      </c>
      <c r="N683">
        <f t="shared" si="116"/>
        <v>0</v>
      </c>
    </row>
    <row r="684" spans="4:14" x14ac:dyDescent="0.2">
      <c r="D684">
        <f t="shared" si="118"/>
        <v>661</v>
      </c>
      <c r="E684" s="1">
        <f t="shared" si="119"/>
        <v>-76.335705364623948</v>
      </c>
      <c r="F684" s="1">
        <f t="shared" si="120"/>
        <v>-76.912318728927943</v>
      </c>
      <c r="G684" s="1">
        <f t="shared" si="117"/>
        <v>3.957349301651524E-34</v>
      </c>
      <c r="H684" s="1">
        <f t="shared" si="110"/>
        <v>4.0997301230866041E-35</v>
      </c>
      <c r="I684">
        <f t="shared" si="111"/>
        <v>8</v>
      </c>
      <c r="J684">
        <f t="shared" si="112"/>
        <v>651</v>
      </c>
      <c r="K684" s="5">
        <f t="shared" si="113"/>
        <v>0</v>
      </c>
      <c r="L684">
        <f t="shared" si="114"/>
        <v>53.4</v>
      </c>
      <c r="M684">
        <f t="shared" si="115"/>
        <v>1</v>
      </c>
      <c r="N684">
        <f t="shared" si="116"/>
        <v>0</v>
      </c>
    </row>
    <row r="685" spans="4:14" x14ac:dyDescent="0.2">
      <c r="D685">
        <f t="shared" si="118"/>
        <v>662</v>
      </c>
      <c r="E685" s="1">
        <f t="shared" si="119"/>
        <v>-76.4522391808799</v>
      </c>
      <c r="F685" s="1">
        <f t="shared" si="120"/>
        <v>-77.028852545183895</v>
      </c>
      <c r="G685" s="1">
        <f t="shared" si="117"/>
        <v>3.5220408784698539E-34</v>
      </c>
      <c r="H685" s="1">
        <f t="shared" si="110"/>
        <v>3.6487598095470751E-35</v>
      </c>
      <c r="I685">
        <f t="shared" si="111"/>
        <v>8</v>
      </c>
      <c r="J685">
        <f t="shared" si="112"/>
        <v>652</v>
      </c>
      <c r="K685" s="5">
        <f t="shared" si="113"/>
        <v>0</v>
      </c>
      <c r="L685">
        <f t="shared" si="114"/>
        <v>53.4</v>
      </c>
      <c r="M685">
        <f t="shared" si="115"/>
        <v>1</v>
      </c>
      <c r="N685">
        <f t="shared" si="116"/>
        <v>0</v>
      </c>
    </row>
    <row r="686" spans="4:14" x14ac:dyDescent="0.2">
      <c r="D686">
        <f t="shared" si="118"/>
        <v>663</v>
      </c>
      <c r="E686" s="1">
        <f t="shared" si="119"/>
        <v>-76.568772997135852</v>
      </c>
      <c r="F686" s="1">
        <f t="shared" si="120"/>
        <v>-77.145386361439847</v>
      </c>
      <c r="G686" s="1">
        <f t="shared" si="117"/>
        <v>3.1346163818381679E-34</v>
      </c>
      <c r="H686" s="1">
        <f t="shared" si="110"/>
        <v>3.2473962304968949E-35</v>
      </c>
      <c r="I686">
        <f t="shared" si="111"/>
        <v>8</v>
      </c>
      <c r="J686">
        <f t="shared" si="112"/>
        <v>653</v>
      </c>
      <c r="K686" s="5">
        <f t="shared" si="113"/>
        <v>0</v>
      </c>
      <c r="L686">
        <f t="shared" si="114"/>
        <v>53.4</v>
      </c>
      <c r="M686">
        <f t="shared" si="115"/>
        <v>1</v>
      </c>
      <c r="N686">
        <f t="shared" si="116"/>
        <v>0</v>
      </c>
    </row>
    <row r="687" spans="4:14" x14ac:dyDescent="0.2">
      <c r="D687">
        <f t="shared" si="118"/>
        <v>664</v>
      </c>
      <c r="E687" s="1">
        <f t="shared" si="119"/>
        <v>-76.685306813391804</v>
      </c>
      <c r="F687" s="1">
        <f t="shared" si="120"/>
        <v>-77.261920177695799</v>
      </c>
      <c r="G687" s="1">
        <f t="shared" si="117"/>
        <v>2.7898085798359679E-34</v>
      </c>
      <c r="H687" s="1">
        <f t="shared" si="110"/>
        <v>2.8901826451422347E-35</v>
      </c>
      <c r="I687">
        <f t="shared" si="111"/>
        <v>8</v>
      </c>
      <c r="J687">
        <f t="shared" si="112"/>
        <v>654</v>
      </c>
      <c r="K687" s="5">
        <f t="shared" si="113"/>
        <v>0</v>
      </c>
      <c r="L687">
        <f t="shared" si="114"/>
        <v>53.4</v>
      </c>
      <c r="M687">
        <f t="shared" si="115"/>
        <v>1</v>
      </c>
      <c r="N687">
        <f t="shared" si="116"/>
        <v>0</v>
      </c>
    </row>
    <row r="688" spans="4:14" x14ac:dyDescent="0.2">
      <c r="D688">
        <f t="shared" si="118"/>
        <v>665</v>
      </c>
      <c r="E688" s="1">
        <f t="shared" si="119"/>
        <v>-76.801840629647756</v>
      </c>
      <c r="F688" s="1">
        <f t="shared" si="120"/>
        <v>-77.378453993951751</v>
      </c>
      <c r="G688" s="1">
        <f t="shared" si="117"/>
        <v>2.4829296360540097E-34</v>
      </c>
      <c r="H688" s="1">
        <f t="shared" si="110"/>
        <v>2.572262554176587E-35</v>
      </c>
      <c r="I688">
        <f t="shared" si="111"/>
        <v>8</v>
      </c>
      <c r="J688">
        <f t="shared" si="112"/>
        <v>655</v>
      </c>
      <c r="K688" s="5">
        <f t="shared" si="113"/>
        <v>0</v>
      </c>
      <c r="L688">
        <f t="shared" si="114"/>
        <v>53.4</v>
      </c>
      <c r="M688">
        <f t="shared" si="115"/>
        <v>1</v>
      </c>
      <c r="N688">
        <f t="shared" si="116"/>
        <v>0</v>
      </c>
    </row>
    <row r="689" spans="4:14" x14ac:dyDescent="0.2">
      <c r="D689">
        <f t="shared" si="118"/>
        <v>666</v>
      </c>
      <c r="E689" s="1">
        <f t="shared" si="119"/>
        <v>-76.918374445903709</v>
      </c>
      <c r="F689" s="1">
        <f t="shared" si="120"/>
        <v>-77.494987810207704</v>
      </c>
      <c r="G689" s="1">
        <f t="shared" si="117"/>
        <v>2.2098073760880674E-34</v>
      </c>
      <c r="H689" s="1">
        <f t="shared" si="110"/>
        <v>2.2893136732171612E-35</v>
      </c>
      <c r="I689">
        <f t="shared" si="111"/>
        <v>8</v>
      </c>
      <c r="J689">
        <f t="shared" si="112"/>
        <v>656</v>
      </c>
      <c r="K689" s="5">
        <f t="shared" si="113"/>
        <v>0</v>
      </c>
      <c r="L689">
        <f t="shared" si="114"/>
        <v>53.4</v>
      </c>
      <c r="M689">
        <f t="shared" si="115"/>
        <v>1</v>
      </c>
      <c r="N689">
        <f t="shared" si="116"/>
        <v>0</v>
      </c>
    </row>
    <row r="690" spans="4:14" x14ac:dyDescent="0.2">
      <c r="D690">
        <f t="shared" si="118"/>
        <v>667</v>
      </c>
      <c r="E690" s="1">
        <f t="shared" si="119"/>
        <v>-77.034908262159661</v>
      </c>
      <c r="F690" s="1">
        <f t="shared" si="120"/>
        <v>-77.611521626463656</v>
      </c>
      <c r="G690" s="1">
        <f t="shared" si="117"/>
        <v>1.9667285647183785E-34</v>
      </c>
      <c r="H690" s="1">
        <f t="shared" si="110"/>
        <v>2.037489169163272E-35</v>
      </c>
      <c r="I690">
        <f t="shared" si="111"/>
        <v>8</v>
      </c>
      <c r="J690">
        <f t="shared" si="112"/>
        <v>657</v>
      </c>
      <c r="K690" s="5">
        <f t="shared" si="113"/>
        <v>0</v>
      </c>
      <c r="L690">
        <f t="shared" si="114"/>
        <v>53.4</v>
      </c>
      <c r="M690">
        <f t="shared" si="115"/>
        <v>1</v>
      </c>
      <c r="N690">
        <f t="shared" si="116"/>
        <v>0</v>
      </c>
    </row>
    <row r="691" spans="4:14" x14ac:dyDescent="0.2">
      <c r="D691">
        <f t="shared" si="118"/>
        <v>668</v>
      </c>
      <c r="E691" s="1">
        <f t="shared" si="119"/>
        <v>-77.151442078415613</v>
      </c>
      <c r="F691" s="1">
        <f t="shared" si="120"/>
        <v>-77.728055442719608</v>
      </c>
      <c r="G691" s="1">
        <f t="shared" si="117"/>
        <v>1.7503884225993558E-34</v>
      </c>
      <c r="H691" s="1">
        <f t="shared" si="110"/>
        <v>1.813365360555311E-35</v>
      </c>
      <c r="I691">
        <f t="shared" si="111"/>
        <v>8</v>
      </c>
      <c r="J691">
        <f t="shared" si="112"/>
        <v>658</v>
      </c>
      <c r="K691" s="5">
        <f t="shared" si="113"/>
        <v>0</v>
      </c>
      <c r="L691">
        <f t="shared" si="114"/>
        <v>53.4</v>
      </c>
      <c r="M691">
        <f t="shared" si="115"/>
        <v>1</v>
      </c>
      <c r="N691">
        <f t="shared" si="116"/>
        <v>0</v>
      </c>
    </row>
    <row r="692" spans="4:14" x14ac:dyDescent="0.2">
      <c r="D692">
        <f t="shared" si="118"/>
        <v>669</v>
      </c>
      <c r="E692" s="1">
        <f t="shared" si="119"/>
        <v>-77.267975894671565</v>
      </c>
      <c r="F692" s="1">
        <f t="shared" si="120"/>
        <v>-77.84458925897556</v>
      </c>
      <c r="G692" s="1">
        <f t="shared" si="117"/>
        <v>1.5578456961134257E-34</v>
      </c>
      <c r="H692" s="1">
        <f t="shared" si="110"/>
        <v>1.6138951708942258E-35</v>
      </c>
      <c r="I692">
        <f t="shared" si="111"/>
        <v>8</v>
      </c>
      <c r="J692">
        <f t="shared" si="112"/>
        <v>659</v>
      </c>
      <c r="K692" s="5">
        <f t="shared" si="113"/>
        <v>0</v>
      </c>
      <c r="L692">
        <f t="shared" si="114"/>
        <v>53.4</v>
      </c>
      <c r="M692">
        <f t="shared" si="115"/>
        <v>1</v>
      </c>
      <c r="N692">
        <f t="shared" si="116"/>
        <v>0</v>
      </c>
    </row>
    <row r="693" spans="4:14" x14ac:dyDescent="0.2">
      <c r="D693">
        <f t="shared" si="118"/>
        <v>670</v>
      </c>
      <c r="E693" s="1">
        <f t="shared" si="119"/>
        <v>-77.384509710927517</v>
      </c>
      <c r="F693" s="1">
        <f t="shared" si="120"/>
        <v>-77.961123075231512</v>
      </c>
      <c r="G693" s="1">
        <f t="shared" si="117"/>
        <v>1.3864826695409481E-34</v>
      </c>
      <c r="H693" s="1">
        <f t="shared" si="110"/>
        <v>1.4363667020958603E-35</v>
      </c>
      <c r="I693">
        <f t="shared" si="111"/>
        <v>8</v>
      </c>
      <c r="J693">
        <f t="shared" si="112"/>
        <v>660</v>
      </c>
      <c r="K693" s="5">
        <f t="shared" si="113"/>
        <v>0</v>
      </c>
      <c r="L693">
        <f t="shared" si="114"/>
        <v>53.4</v>
      </c>
      <c r="M693">
        <f t="shared" si="115"/>
        <v>1</v>
      </c>
      <c r="N693">
        <f t="shared" si="116"/>
        <v>0</v>
      </c>
    </row>
    <row r="694" spans="4:14" x14ac:dyDescent="0.2">
      <c r="D694">
        <f t="shared" si="118"/>
        <v>671</v>
      </c>
      <c r="E694" s="1">
        <f t="shared" si="119"/>
        <v>-77.501043527183469</v>
      </c>
      <c r="F694" s="1">
        <f t="shared" si="120"/>
        <v>-78.077656891487464</v>
      </c>
      <c r="G694" s="1">
        <f t="shared" si="117"/>
        <v>1.233969575891443E-34</v>
      </c>
      <c r="H694" s="1">
        <f t="shared" si="110"/>
        <v>1.2783663648653146E-35</v>
      </c>
      <c r="I694">
        <f t="shared" si="111"/>
        <v>8</v>
      </c>
      <c r="J694">
        <f t="shared" si="112"/>
        <v>661</v>
      </c>
      <c r="K694" s="5">
        <f t="shared" si="113"/>
        <v>0</v>
      </c>
      <c r="L694">
        <f t="shared" si="114"/>
        <v>53.4</v>
      </c>
      <c r="M694">
        <f t="shared" si="115"/>
        <v>1</v>
      </c>
      <c r="N694">
        <f t="shared" si="116"/>
        <v>0</v>
      </c>
    </row>
    <row r="695" spans="4:14" x14ac:dyDescent="0.2">
      <c r="D695">
        <f t="shared" si="118"/>
        <v>672</v>
      </c>
      <c r="E695" s="1">
        <f t="shared" si="119"/>
        <v>-77.617577343439422</v>
      </c>
      <c r="F695" s="1">
        <f t="shared" si="120"/>
        <v>-78.194190707743417</v>
      </c>
      <c r="G695" s="1">
        <f t="shared" si="117"/>
        <v>1.0982329225433836E-34</v>
      </c>
      <c r="H695" s="1">
        <f t="shared" si="110"/>
        <v>1.1377460647301294E-35</v>
      </c>
      <c r="I695">
        <f t="shared" si="111"/>
        <v>8</v>
      </c>
      <c r="J695">
        <f t="shared" si="112"/>
        <v>662</v>
      </c>
      <c r="K695" s="5">
        <f t="shared" si="113"/>
        <v>0</v>
      </c>
      <c r="L695">
        <f t="shared" si="114"/>
        <v>53.4</v>
      </c>
      <c r="M695">
        <f t="shared" si="115"/>
        <v>1</v>
      </c>
      <c r="N695">
        <f t="shared" si="116"/>
        <v>0</v>
      </c>
    </row>
    <row r="696" spans="4:14" x14ac:dyDescent="0.2">
      <c r="D696">
        <f t="shared" si="118"/>
        <v>673</v>
      </c>
      <c r="E696" s="1">
        <f t="shared" si="119"/>
        <v>-77.734111159695374</v>
      </c>
      <c r="F696" s="1">
        <f t="shared" si="120"/>
        <v>-78.310724523999369</v>
      </c>
      <c r="G696" s="1">
        <f t="shared" si="117"/>
        <v>9.7742730106361075E-35</v>
      </c>
      <c r="H696" s="1">
        <f t="shared" si="110"/>
        <v>1.0125939976098145E-35</v>
      </c>
      <c r="I696">
        <f t="shared" si="111"/>
        <v>8</v>
      </c>
      <c r="J696">
        <f t="shared" si="112"/>
        <v>663</v>
      </c>
      <c r="K696" s="5">
        <f t="shared" si="113"/>
        <v>0</v>
      </c>
      <c r="L696">
        <f t="shared" si="114"/>
        <v>53.4</v>
      </c>
      <c r="M696">
        <f t="shared" si="115"/>
        <v>1</v>
      </c>
      <c r="N696">
        <f t="shared" si="116"/>
        <v>0</v>
      </c>
    </row>
    <row r="697" spans="4:14" x14ac:dyDescent="0.2">
      <c r="D697">
        <f t="shared" si="118"/>
        <v>674</v>
      </c>
      <c r="E697" s="1">
        <f t="shared" si="119"/>
        <v>-77.850644975951326</v>
      </c>
      <c r="F697" s="1">
        <f t="shared" si="120"/>
        <v>-78.427258340255321</v>
      </c>
      <c r="G697" s="1">
        <f t="shared" si="117"/>
        <v>8.6991029794661307E-35</v>
      </c>
      <c r="H697" s="1">
        <f t="shared" si="110"/>
        <v>9.0120865787273432E-36</v>
      </c>
      <c r="I697">
        <f t="shared" si="111"/>
        <v>8</v>
      </c>
      <c r="J697">
        <f t="shared" si="112"/>
        <v>664</v>
      </c>
      <c r="K697" s="5">
        <f t="shared" si="113"/>
        <v>0</v>
      </c>
      <c r="L697">
        <f t="shared" si="114"/>
        <v>53.4</v>
      </c>
      <c r="M697">
        <f t="shared" si="115"/>
        <v>1</v>
      </c>
      <c r="N697">
        <f t="shared" si="116"/>
        <v>0</v>
      </c>
    </row>
    <row r="698" spans="4:14" x14ac:dyDescent="0.2">
      <c r="D698">
        <f t="shared" si="118"/>
        <v>675</v>
      </c>
      <c r="E698" s="1">
        <f t="shared" si="119"/>
        <v>-77.967178792207278</v>
      </c>
      <c r="F698" s="1">
        <f t="shared" si="120"/>
        <v>-78.543792156511273</v>
      </c>
      <c r="G698" s="1">
        <f t="shared" si="117"/>
        <v>7.7422016517248509E-35</v>
      </c>
      <c r="H698" s="1">
        <f t="shared" si="110"/>
        <v>8.0207570550673307E-36</v>
      </c>
      <c r="I698">
        <f t="shared" si="111"/>
        <v>8</v>
      </c>
      <c r="J698">
        <f t="shared" si="112"/>
        <v>665</v>
      </c>
      <c r="K698" s="5">
        <f t="shared" si="113"/>
        <v>0</v>
      </c>
      <c r="L698">
        <f t="shared" si="114"/>
        <v>53.4</v>
      </c>
      <c r="M698">
        <f t="shared" si="115"/>
        <v>1</v>
      </c>
      <c r="N698">
        <f t="shared" si="116"/>
        <v>0</v>
      </c>
    </row>
    <row r="699" spans="4:14" x14ac:dyDescent="0.2">
      <c r="D699">
        <f t="shared" si="118"/>
        <v>676</v>
      </c>
      <c r="E699" s="1">
        <f t="shared" si="119"/>
        <v>-78.08371260846323</v>
      </c>
      <c r="F699" s="1">
        <f t="shared" si="120"/>
        <v>-78.660325972767225</v>
      </c>
      <c r="G699" s="1">
        <f t="shared" si="117"/>
        <v>6.8905594700351132E-35</v>
      </c>
      <c r="H699" s="1">
        <f t="shared" si="110"/>
        <v>7.1384737790099191E-36</v>
      </c>
      <c r="I699">
        <f t="shared" si="111"/>
        <v>8</v>
      </c>
      <c r="J699">
        <f t="shared" si="112"/>
        <v>666</v>
      </c>
      <c r="K699" s="5">
        <f t="shared" si="113"/>
        <v>0</v>
      </c>
      <c r="L699">
        <f t="shared" si="114"/>
        <v>53.4</v>
      </c>
      <c r="M699">
        <f t="shared" si="115"/>
        <v>1</v>
      </c>
      <c r="N699">
        <f t="shared" si="116"/>
        <v>0</v>
      </c>
    </row>
    <row r="700" spans="4:14" x14ac:dyDescent="0.2">
      <c r="D700">
        <f t="shared" si="118"/>
        <v>677</v>
      </c>
      <c r="E700" s="1">
        <f t="shared" si="119"/>
        <v>-78.200246424719182</v>
      </c>
      <c r="F700" s="1">
        <f t="shared" si="120"/>
        <v>-78.776859789023177</v>
      </c>
      <c r="G700" s="1">
        <f t="shared" si="117"/>
        <v>6.1325979283312467E-35</v>
      </c>
      <c r="H700" s="1">
        <f t="shared" si="110"/>
        <v>6.3532416633188245E-36</v>
      </c>
      <c r="I700">
        <f t="shared" si="111"/>
        <v>8</v>
      </c>
      <c r="J700">
        <f t="shared" si="112"/>
        <v>667</v>
      </c>
      <c r="K700" s="5">
        <f t="shared" si="113"/>
        <v>0</v>
      </c>
      <c r="L700">
        <f t="shared" si="114"/>
        <v>53.4</v>
      </c>
      <c r="M700">
        <f t="shared" si="115"/>
        <v>1</v>
      </c>
      <c r="N700">
        <f t="shared" si="116"/>
        <v>0</v>
      </c>
    </row>
    <row r="701" spans="4:14" x14ac:dyDescent="0.2">
      <c r="D701">
        <f t="shared" si="118"/>
        <v>678</v>
      </c>
      <c r="E701" s="1">
        <f t="shared" si="119"/>
        <v>-78.316780240975135</v>
      </c>
      <c r="F701" s="1">
        <f t="shared" si="120"/>
        <v>-78.89339360527913</v>
      </c>
      <c r="G701" s="1">
        <f t="shared" si="117"/>
        <v>5.4580121562148061E-35</v>
      </c>
      <c r="H701" s="1">
        <f t="shared" si="110"/>
        <v>5.6543850803537499E-36</v>
      </c>
      <c r="I701">
        <f t="shared" si="111"/>
        <v>8</v>
      </c>
      <c r="J701">
        <f t="shared" si="112"/>
        <v>668</v>
      </c>
      <c r="K701" s="5">
        <f t="shared" si="113"/>
        <v>0</v>
      </c>
      <c r="L701">
        <f t="shared" si="114"/>
        <v>53.4</v>
      </c>
      <c r="M701">
        <f t="shared" si="115"/>
        <v>1</v>
      </c>
      <c r="N701">
        <f t="shared" si="116"/>
        <v>0</v>
      </c>
    </row>
    <row r="702" spans="4:14" x14ac:dyDescent="0.2">
      <c r="D702">
        <f t="shared" si="118"/>
        <v>679</v>
      </c>
      <c r="E702" s="1">
        <f t="shared" si="119"/>
        <v>-78.433314057231087</v>
      </c>
      <c r="F702" s="1">
        <f t="shared" si="120"/>
        <v>-79.009927421535082</v>
      </c>
      <c r="G702" s="1">
        <f t="shared" si="117"/>
        <v>4.857630819031175E-35</v>
      </c>
      <c r="H702" s="1">
        <f t="shared" si="110"/>
        <v>5.0324027215148347E-36</v>
      </c>
      <c r="I702">
        <f t="shared" si="111"/>
        <v>8</v>
      </c>
      <c r="J702">
        <f t="shared" si="112"/>
        <v>669</v>
      </c>
      <c r="K702" s="5">
        <f t="shared" si="113"/>
        <v>0</v>
      </c>
      <c r="L702">
        <f t="shared" si="114"/>
        <v>53.4</v>
      </c>
      <c r="M702">
        <f t="shared" si="115"/>
        <v>1</v>
      </c>
      <c r="N702">
        <f t="shared" si="116"/>
        <v>0</v>
      </c>
    </row>
    <row r="703" spans="4:14" x14ac:dyDescent="0.2">
      <c r="D703">
        <f t="shared" si="118"/>
        <v>680</v>
      </c>
      <c r="E703" s="1">
        <f t="shared" si="119"/>
        <v>-78.549847873487039</v>
      </c>
      <c r="F703" s="1">
        <f t="shared" si="120"/>
        <v>-79.126461237791034</v>
      </c>
      <c r="G703" s="1">
        <f t="shared" si="117"/>
        <v>4.3232914289377425E-35</v>
      </c>
      <c r="H703" s="1">
        <f t="shared" si="110"/>
        <v>4.4788384221481995E-36</v>
      </c>
      <c r="I703">
        <f t="shared" si="111"/>
        <v>8</v>
      </c>
      <c r="J703">
        <f t="shared" si="112"/>
        <v>670</v>
      </c>
      <c r="K703" s="5">
        <f t="shared" si="113"/>
        <v>0</v>
      </c>
      <c r="L703">
        <f t="shared" si="114"/>
        <v>53.4</v>
      </c>
      <c r="M703">
        <f t="shared" si="115"/>
        <v>1</v>
      </c>
      <c r="N703">
        <f t="shared" si="116"/>
        <v>0</v>
      </c>
    </row>
    <row r="704" spans="4:14" x14ac:dyDescent="0.2">
      <c r="D704">
        <f t="shared" si="118"/>
        <v>681</v>
      </c>
      <c r="E704" s="1">
        <f t="shared" si="119"/>
        <v>-78.666381689742991</v>
      </c>
      <c r="F704" s="1">
        <f t="shared" si="120"/>
        <v>-79.242995054046986</v>
      </c>
      <c r="G704" s="1">
        <f t="shared" si="117"/>
        <v>3.8477293717545885E-35</v>
      </c>
      <c r="H704" s="1">
        <f t="shared" si="110"/>
        <v>3.9861661957118952E-36</v>
      </c>
      <c r="I704">
        <f t="shared" si="111"/>
        <v>8</v>
      </c>
      <c r="J704">
        <f t="shared" si="112"/>
        <v>671</v>
      </c>
      <c r="K704" s="5">
        <f t="shared" si="113"/>
        <v>0</v>
      </c>
      <c r="L704">
        <f t="shared" si="114"/>
        <v>53.4</v>
      </c>
      <c r="M704">
        <f t="shared" si="115"/>
        <v>1</v>
      </c>
      <c r="N704">
        <f t="shared" si="116"/>
        <v>0</v>
      </c>
    </row>
    <row r="705" spans="4:14" x14ac:dyDescent="0.2">
      <c r="D705">
        <f t="shared" si="118"/>
        <v>682</v>
      </c>
      <c r="E705" s="1">
        <f t="shared" si="119"/>
        <v>-78.782915505998943</v>
      </c>
      <c r="F705" s="1">
        <f t="shared" si="120"/>
        <v>-79.359528870302938</v>
      </c>
      <c r="G705" s="1">
        <f t="shared" si="117"/>
        <v>3.4244791408615814E-35</v>
      </c>
      <c r="H705" s="1">
        <f t="shared" si="110"/>
        <v>3.5476879141835843E-36</v>
      </c>
      <c r="I705">
        <f t="shared" si="111"/>
        <v>8</v>
      </c>
      <c r="J705">
        <f t="shared" si="112"/>
        <v>672</v>
      </c>
      <c r="K705" s="5">
        <f t="shared" si="113"/>
        <v>0</v>
      </c>
      <c r="L705">
        <f t="shared" si="114"/>
        <v>53.4</v>
      </c>
      <c r="M705">
        <f t="shared" si="115"/>
        <v>1</v>
      </c>
      <c r="N705">
        <f t="shared" si="116"/>
        <v>0</v>
      </c>
    </row>
    <row r="706" spans="4:14" x14ac:dyDescent="0.2">
      <c r="D706">
        <f t="shared" si="118"/>
        <v>683</v>
      </c>
      <c r="E706" s="1">
        <f t="shared" si="119"/>
        <v>-78.899449322254895</v>
      </c>
      <c r="F706" s="1">
        <f t="shared" si="120"/>
        <v>-79.47606268655889</v>
      </c>
      <c r="G706" s="1">
        <f t="shared" si="117"/>
        <v>3.0477864353668055E-35</v>
      </c>
      <c r="H706" s="1">
        <f t="shared" si="110"/>
        <v>3.1574422436233884E-36</v>
      </c>
      <c r="I706">
        <f t="shared" si="111"/>
        <v>8</v>
      </c>
      <c r="J706">
        <f t="shared" si="112"/>
        <v>673</v>
      </c>
      <c r="K706" s="5">
        <f t="shared" si="113"/>
        <v>0</v>
      </c>
      <c r="L706">
        <f t="shared" si="114"/>
        <v>53.4</v>
      </c>
      <c r="M706">
        <f t="shared" si="115"/>
        <v>1</v>
      </c>
      <c r="N706">
        <f t="shared" si="116"/>
        <v>0</v>
      </c>
    </row>
    <row r="707" spans="4:14" x14ac:dyDescent="0.2">
      <c r="D707">
        <f t="shared" si="118"/>
        <v>684</v>
      </c>
      <c r="E707" s="1">
        <f t="shared" si="119"/>
        <v>-79.015983138510848</v>
      </c>
      <c r="F707" s="1">
        <f t="shared" si="120"/>
        <v>-79.592596502814843</v>
      </c>
      <c r="G707" s="1">
        <f t="shared" si="117"/>
        <v>2.7125299274764554E-35</v>
      </c>
      <c r="H707" s="1">
        <f t="shared" si="110"/>
        <v>2.8101235968248137E-36</v>
      </c>
      <c r="I707">
        <f t="shared" si="111"/>
        <v>8</v>
      </c>
      <c r="J707">
        <f t="shared" si="112"/>
        <v>674</v>
      </c>
      <c r="K707" s="5">
        <f t="shared" si="113"/>
        <v>0</v>
      </c>
      <c r="L707">
        <f t="shared" si="114"/>
        <v>53.4</v>
      </c>
      <c r="M707">
        <f t="shared" si="115"/>
        <v>1</v>
      </c>
      <c r="N707">
        <f t="shared" si="116"/>
        <v>0</v>
      </c>
    </row>
    <row r="708" spans="4:14" x14ac:dyDescent="0.2">
      <c r="D708">
        <f t="shared" si="118"/>
        <v>685</v>
      </c>
      <c r="E708" s="1">
        <f t="shared" si="119"/>
        <v>-79.1325169547668</v>
      </c>
      <c r="F708" s="1">
        <f t="shared" si="120"/>
        <v>-79.709130319070795</v>
      </c>
      <c r="G708" s="1">
        <f t="shared" si="117"/>
        <v>2.4141516354540436E-35</v>
      </c>
      <c r="H708" s="1">
        <f t="shared" si="110"/>
        <v>2.5010100011740827E-36</v>
      </c>
      <c r="I708">
        <f t="shared" si="111"/>
        <v>8</v>
      </c>
      <c r="J708">
        <f t="shared" si="112"/>
        <v>675</v>
      </c>
      <c r="K708" s="5">
        <f t="shared" si="113"/>
        <v>0</v>
      </c>
      <c r="L708">
        <f t="shared" si="114"/>
        <v>53.4</v>
      </c>
      <c r="M708">
        <f t="shared" si="115"/>
        <v>1</v>
      </c>
      <c r="N708">
        <f t="shared" si="116"/>
        <v>0</v>
      </c>
    </row>
    <row r="709" spans="4:14" x14ac:dyDescent="0.2">
      <c r="D709">
        <f t="shared" si="118"/>
        <v>686</v>
      </c>
      <c r="E709" s="1">
        <f t="shared" si="119"/>
        <v>-79.249050771022752</v>
      </c>
      <c r="F709" s="1">
        <f t="shared" si="120"/>
        <v>-79.825664135326747</v>
      </c>
      <c r="G709" s="1">
        <f t="shared" si="117"/>
        <v>2.1485949555540975E-35</v>
      </c>
      <c r="H709" s="1">
        <f t="shared" si="110"/>
        <v>2.225898901044932E-36</v>
      </c>
      <c r="I709">
        <f t="shared" si="111"/>
        <v>8</v>
      </c>
      <c r="J709">
        <f t="shared" si="112"/>
        <v>676</v>
      </c>
      <c r="K709" s="5">
        <f t="shared" si="113"/>
        <v>0</v>
      </c>
      <c r="L709">
        <f t="shared" si="114"/>
        <v>53.4</v>
      </c>
      <c r="M709">
        <f t="shared" si="115"/>
        <v>1</v>
      </c>
      <c r="N709">
        <f t="shared" si="116"/>
        <v>0</v>
      </c>
    </row>
    <row r="710" spans="4:14" x14ac:dyDescent="0.2">
      <c r="D710">
        <f t="shared" si="118"/>
        <v>687</v>
      </c>
      <c r="E710" s="1">
        <f t="shared" si="119"/>
        <v>-79.365584587278704</v>
      </c>
      <c r="F710" s="1">
        <f t="shared" si="120"/>
        <v>-79.942197951582699</v>
      </c>
      <c r="G710" s="1">
        <f t="shared" si="117"/>
        <v>1.9122495104431457E-35</v>
      </c>
      <c r="H710" s="1">
        <f t="shared" si="110"/>
        <v>1.9810500219299884E-36</v>
      </c>
      <c r="I710">
        <f t="shared" si="111"/>
        <v>8</v>
      </c>
      <c r="J710">
        <f t="shared" si="112"/>
        <v>677</v>
      </c>
      <c r="K710" s="5">
        <f t="shared" si="113"/>
        <v>0</v>
      </c>
      <c r="L710">
        <f t="shared" si="114"/>
        <v>53.4</v>
      </c>
      <c r="M710">
        <f t="shared" si="115"/>
        <v>1</v>
      </c>
      <c r="N710">
        <f t="shared" si="116"/>
        <v>0</v>
      </c>
    </row>
    <row r="711" spans="4:14" x14ac:dyDescent="0.2">
      <c r="D711">
        <f t="shared" si="118"/>
        <v>688</v>
      </c>
      <c r="E711" s="1">
        <f t="shared" si="119"/>
        <v>-79.482118403534656</v>
      </c>
      <c r="F711" s="1">
        <f t="shared" si="120"/>
        <v>-80.058731767838651</v>
      </c>
      <c r="G711" s="1">
        <f t="shared" si="117"/>
        <v>1.7019020642943985E-35</v>
      </c>
      <c r="H711" s="1">
        <f t="shared" si="110"/>
        <v>1.7631345195176887E-36</v>
      </c>
      <c r="I711">
        <f t="shared" si="111"/>
        <v>8</v>
      </c>
      <c r="J711">
        <f t="shared" si="112"/>
        <v>678</v>
      </c>
      <c r="K711" s="5">
        <f t="shared" si="113"/>
        <v>0</v>
      </c>
      <c r="L711">
        <f t="shared" si="114"/>
        <v>53.4</v>
      </c>
      <c r="M711">
        <f t="shared" si="115"/>
        <v>1</v>
      </c>
      <c r="N711">
        <f t="shared" si="116"/>
        <v>0</v>
      </c>
    </row>
    <row r="712" spans="4:14" x14ac:dyDescent="0.2">
      <c r="D712">
        <f t="shared" si="118"/>
        <v>689</v>
      </c>
      <c r="E712" s="1">
        <f t="shared" si="119"/>
        <v>-79.598652219790608</v>
      </c>
      <c r="F712" s="1">
        <f t="shared" si="120"/>
        <v>-80.175265584094603</v>
      </c>
      <c r="G712" s="1">
        <f t="shared" si="117"/>
        <v>1.5146928372220139E-35</v>
      </c>
      <c r="H712" s="1">
        <f t="shared" si="110"/>
        <v>1.5691897223707421E-36</v>
      </c>
      <c r="I712">
        <f t="shared" si="111"/>
        <v>8</v>
      </c>
      <c r="J712">
        <f t="shared" si="112"/>
        <v>679</v>
      </c>
      <c r="K712" s="5">
        <f t="shared" si="113"/>
        <v>0</v>
      </c>
      <c r="L712">
        <f t="shared" si="114"/>
        <v>53.4</v>
      </c>
      <c r="M712">
        <f t="shared" si="115"/>
        <v>1</v>
      </c>
      <c r="N712">
        <f t="shared" si="116"/>
        <v>0</v>
      </c>
    </row>
    <row r="713" spans="4:14" x14ac:dyDescent="0.2">
      <c r="D713">
        <f t="shared" si="118"/>
        <v>690</v>
      </c>
      <c r="E713" s="1">
        <f t="shared" si="119"/>
        <v>-79.715186036046561</v>
      </c>
      <c r="F713" s="1">
        <f t="shared" si="120"/>
        <v>-80.291799400350556</v>
      </c>
      <c r="G713" s="1">
        <f t="shared" si="117"/>
        <v>1.3480766251275913E-35</v>
      </c>
      <c r="H713" s="1">
        <f t="shared" si="110"/>
        <v>1.3965788529099594E-36</v>
      </c>
      <c r="I713">
        <f t="shared" si="111"/>
        <v>8</v>
      </c>
      <c r="J713">
        <f t="shared" si="112"/>
        <v>680</v>
      </c>
      <c r="K713" s="5">
        <f t="shared" si="113"/>
        <v>0</v>
      </c>
      <c r="L713">
        <f t="shared" si="114"/>
        <v>53.4</v>
      </c>
      <c r="M713">
        <f t="shared" si="115"/>
        <v>1</v>
      </c>
      <c r="N713">
        <f t="shared" si="116"/>
        <v>0</v>
      </c>
    </row>
    <row r="714" spans="4:14" x14ac:dyDescent="0.2">
      <c r="D714">
        <f t="shared" si="118"/>
        <v>691</v>
      </c>
      <c r="E714" s="1">
        <f t="shared" si="119"/>
        <v>-79.831719852302513</v>
      </c>
      <c r="F714" s="1">
        <f t="shared" si="120"/>
        <v>-80.408333216606508</v>
      </c>
      <c r="G714" s="1">
        <f t="shared" si="117"/>
        <v>1.1997881963635556E-35</v>
      </c>
      <c r="H714" s="1">
        <f t="shared" si="110"/>
        <v>1.242955179089863E-36</v>
      </c>
      <c r="I714">
        <f t="shared" si="111"/>
        <v>8</v>
      </c>
      <c r="J714">
        <f t="shared" si="112"/>
        <v>681</v>
      </c>
      <c r="K714" s="5">
        <f t="shared" si="113"/>
        <v>0</v>
      </c>
      <c r="L714">
        <f t="shared" si="114"/>
        <v>53.4</v>
      </c>
      <c r="M714">
        <f t="shared" si="115"/>
        <v>1</v>
      </c>
      <c r="N714">
        <f t="shared" si="116"/>
        <v>0</v>
      </c>
    </row>
    <row r="715" spans="4:14" x14ac:dyDescent="0.2">
      <c r="D715">
        <f t="shared" si="118"/>
        <v>692</v>
      </c>
      <c r="E715" s="1">
        <f t="shared" si="119"/>
        <v>-79.948253668558465</v>
      </c>
      <c r="F715" s="1">
        <f t="shared" si="120"/>
        <v>-80.52486703286246</v>
      </c>
      <c r="G715" s="1">
        <f t="shared" si="117"/>
        <v>1.0678114947635637E-35</v>
      </c>
      <c r="H715" s="1">
        <f t="shared" si="110"/>
        <v>1.1062301093899774E-36</v>
      </c>
      <c r="I715">
        <f t="shared" si="111"/>
        <v>8</v>
      </c>
      <c r="J715">
        <f t="shared" si="112"/>
        <v>682</v>
      </c>
      <c r="K715" s="5">
        <f t="shared" si="113"/>
        <v>0</v>
      </c>
      <c r="L715">
        <f t="shared" si="114"/>
        <v>53.4</v>
      </c>
      <c r="M715">
        <f t="shared" si="115"/>
        <v>1</v>
      </c>
      <c r="N715">
        <f t="shared" si="116"/>
        <v>0</v>
      </c>
    </row>
    <row r="716" spans="4:14" x14ac:dyDescent="0.2">
      <c r="D716">
        <f t="shared" si="118"/>
        <v>693</v>
      </c>
      <c r="E716" s="1">
        <f t="shared" si="119"/>
        <v>-80.064787484814417</v>
      </c>
      <c r="F716" s="1">
        <f t="shared" si="120"/>
        <v>-80.641400849118412</v>
      </c>
      <c r="G716" s="1">
        <f t="shared" si="117"/>
        <v>9.5035223033957113E-36</v>
      </c>
      <c r="H716" s="1">
        <f t="shared" si="110"/>
        <v>9.8454479735707929E-37</v>
      </c>
      <c r="I716">
        <f t="shared" si="111"/>
        <v>8</v>
      </c>
      <c r="J716">
        <f t="shared" si="112"/>
        <v>683</v>
      </c>
      <c r="K716" s="5">
        <f t="shared" si="113"/>
        <v>0</v>
      </c>
      <c r="L716">
        <f t="shared" si="114"/>
        <v>53.4</v>
      </c>
      <c r="M716">
        <f t="shared" si="115"/>
        <v>1</v>
      </c>
      <c r="N716">
        <f t="shared" si="116"/>
        <v>0</v>
      </c>
    </row>
    <row r="717" spans="4:14" x14ac:dyDescent="0.2">
      <c r="D717">
        <f t="shared" si="118"/>
        <v>694</v>
      </c>
      <c r="E717" s="1">
        <f t="shared" si="119"/>
        <v>-80.181321301070369</v>
      </c>
      <c r="F717" s="1">
        <f t="shared" si="120"/>
        <v>-80.757934665374364</v>
      </c>
      <c r="G717" s="1">
        <f t="shared" si="117"/>
        <v>8.4581348500221782E-36</v>
      </c>
      <c r="H717" s="1">
        <f t="shared" si="110"/>
        <v>8.7624486964779996E-37</v>
      </c>
      <c r="I717">
        <f t="shared" si="111"/>
        <v>8</v>
      </c>
      <c r="J717">
        <f t="shared" si="112"/>
        <v>684</v>
      </c>
      <c r="K717" s="5">
        <f t="shared" si="113"/>
        <v>0</v>
      </c>
      <c r="L717">
        <f t="shared" si="114"/>
        <v>53.4</v>
      </c>
      <c r="M717">
        <f t="shared" si="115"/>
        <v>1</v>
      </c>
      <c r="N717">
        <f t="shared" si="116"/>
        <v>0</v>
      </c>
    </row>
    <row r="718" spans="4:14" x14ac:dyDescent="0.2">
      <c r="D718">
        <f t="shared" si="118"/>
        <v>695</v>
      </c>
      <c r="E718" s="1">
        <f t="shared" si="119"/>
        <v>-80.297855117326321</v>
      </c>
      <c r="F718" s="1">
        <f t="shared" si="120"/>
        <v>-80.874468481630316</v>
      </c>
      <c r="G718" s="1">
        <f t="shared" si="117"/>
        <v>7.5277400165197339E-36</v>
      </c>
      <c r="H718" s="1">
        <f t="shared" si="110"/>
        <v>7.7985793398654155E-37</v>
      </c>
      <c r="I718">
        <f t="shared" si="111"/>
        <v>8</v>
      </c>
      <c r="J718">
        <f t="shared" si="112"/>
        <v>685</v>
      </c>
      <c r="K718" s="5">
        <f t="shared" si="113"/>
        <v>0</v>
      </c>
      <c r="L718">
        <f t="shared" si="114"/>
        <v>53.4</v>
      </c>
      <c r="M718">
        <f t="shared" si="115"/>
        <v>1</v>
      </c>
      <c r="N718">
        <f t="shared" si="116"/>
        <v>0</v>
      </c>
    </row>
    <row r="719" spans="4:14" x14ac:dyDescent="0.2">
      <c r="D719">
        <f t="shared" si="118"/>
        <v>696</v>
      </c>
      <c r="E719" s="1">
        <f t="shared" si="119"/>
        <v>-80.414388933582273</v>
      </c>
      <c r="F719" s="1">
        <f t="shared" si="120"/>
        <v>-80.991002297886268</v>
      </c>
      <c r="G719" s="1">
        <f t="shared" si="117"/>
        <v>6.6996886147025585E-36</v>
      </c>
      <c r="H719" s="1">
        <f t="shared" si="110"/>
        <v>6.9407356124802146E-37</v>
      </c>
      <c r="I719">
        <f t="shared" si="111"/>
        <v>8</v>
      </c>
      <c r="J719">
        <f t="shared" si="112"/>
        <v>686</v>
      </c>
      <c r="K719" s="5">
        <f t="shared" si="113"/>
        <v>0</v>
      </c>
      <c r="L719">
        <f t="shared" si="114"/>
        <v>53.4</v>
      </c>
      <c r="M719">
        <f t="shared" si="115"/>
        <v>1</v>
      </c>
      <c r="N719">
        <f t="shared" si="116"/>
        <v>0</v>
      </c>
    </row>
    <row r="720" spans="4:14" x14ac:dyDescent="0.2">
      <c r="D720">
        <f t="shared" si="118"/>
        <v>697</v>
      </c>
      <c r="E720" s="1">
        <f t="shared" si="119"/>
        <v>-80.530922749838226</v>
      </c>
      <c r="F720" s="1">
        <f t="shared" si="120"/>
        <v>-81.107536114142221</v>
      </c>
      <c r="G720" s="1">
        <f t="shared" si="117"/>
        <v>5.9627228670852735E-36</v>
      </c>
      <c r="H720" s="1">
        <f t="shared" si="110"/>
        <v>6.1772546951073875E-37</v>
      </c>
      <c r="I720">
        <f t="shared" si="111"/>
        <v>8</v>
      </c>
      <c r="J720">
        <f t="shared" si="112"/>
        <v>687</v>
      </c>
      <c r="K720" s="5">
        <f t="shared" si="113"/>
        <v>0</v>
      </c>
      <c r="L720">
        <f t="shared" si="114"/>
        <v>53.4</v>
      </c>
      <c r="M720">
        <f t="shared" si="115"/>
        <v>1</v>
      </c>
      <c r="N720">
        <f t="shared" si="116"/>
        <v>0</v>
      </c>
    </row>
    <row r="721" spans="4:14" x14ac:dyDescent="0.2">
      <c r="D721">
        <f t="shared" si="118"/>
        <v>698</v>
      </c>
      <c r="E721" s="1">
        <f t="shared" si="119"/>
        <v>-80.647456566094178</v>
      </c>
      <c r="F721" s="1">
        <f t="shared" si="120"/>
        <v>-81.224069930398173</v>
      </c>
      <c r="G721" s="1">
        <f t="shared" si="117"/>
        <v>5.30682335170589E-36</v>
      </c>
      <c r="H721" s="1">
        <f t="shared" si="110"/>
        <v>5.4977566786455717E-37</v>
      </c>
      <c r="I721">
        <f t="shared" si="111"/>
        <v>8</v>
      </c>
      <c r="J721">
        <f t="shared" si="112"/>
        <v>688</v>
      </c>
      <c r="K721" s="5">
        <f t="shared" si="113"/>
        <v>0</v>
      </c>
      <c r="L721">
        <f t="shared" si="114"/>
        <v>53.4</v>
      </c>
      <c r="M721">
        <f t="shared" si="115"/>
        <v>1</v>
      </c>
      <c r="N721">
        <f t="shared" si="116"/>
        <v>0</v>
      </c>
    </row>
    <row r="722" spans="4:14" x14ac:dyDescent="0.2">
      <c r="D722">
        <f t="shared" si="118"/>
        <v>699</v>
      </c>
      <c r="E722" s="1">
        <f t="shared" si="119"/>
        <v>-80.76399038235013</v>
      </c>
      <c r="F722" s="1">
        <f t="shared" si="120"/>
        <v>-81.340603746654125</v>
      </c>
      <c r="G722" s="1">
        <f t="shared" si="117"/>
        <v>4.723072783018239E-36</v>
      </c>
      <c r="H722" s="1">
        <f t="shared" si="110"/>
        <v>4.893003443994555E-37</v>
      </c>
      <c r="I722">
        <f t="shared" si="111"/>
        <v>8</v>
      </c>
      <c r="J722">
        <f t="shared" si="112"/>
        <v>689</v>
      </c>
      <c r="K722" s="5">
        <f t="shared" si="113"/>
        <v>0</v>
      </c>
      <c r="L722">
        <f t="shared" si="114"/>
        <v>53.4</v>
      </c>
      <c r="M722">
        <f t="shared" si="115"/>
        <v>1</v>
      </c>
      <c r="N722">
        <f t="shared" si="116"/>
        <v>0</v>
      </c>
    </row>
    <row r="723" spans="4:14" x14ac:dyDescent="0.2">
      <c r="D723">
        <f t="shared" si="118"/>
        <v>700</v>
      </c>
      <c r="E723" s="1">
        <f t="shared" si="119"/>
        <v>-80.880524198606082</v>
      </c>
      <c r="F723" s="1">
        <f t="shared" si="120"/>
        <v>-81.457137562910077</v>
      </c>
      <c r="G723" s="1">
        <f t="shared" si="117"/>
        <v>4.2035347768862302E-36</v>
      </c>
      <c r="H723" s="1">
        <f t="shared" si="110"/>
        <v>4.3547730651551512E-37</v>
      </c>
      <c r="I723">
        <f t="shared" si="111"/>
        <v>8</v>
      </c>
      <c r="J723">
        <f t="shared" si="112"/>
        <v>690</v>
      </c>
      <c r="K723" s="5">
        <f t="shared" si="113"/>
        <v>0</v>
      </c>
      <c r="L723">
        <f t="shared" si="114"/>
        <v>53.4</v>
      </c>
      <c r="M723">
        <f t="shared" si="115"/>
        <v>1</v>
      </c>
      <c r="N723">
        <f t="shared" si="116"/>
        <v>0</v>
      </c>
    </row>
    <row r="724" spans="4:14" x14ac:dyDescent="0.2">
      <c r="D724">
        <f t="shared" si="118"/>
        <v>701</v>
      </c>
      <c r="E724" s="1">
        <f t="shared" si="119"/>
        <v>-80.997058014862034</v>
      </c>
      <c r="F724" s="1">
        <f t="shared" si="120"/>
        <v>-81.573671379166029</v>
      </c>
      <c r="G724" s="1">
        <f t="shared" si="117"/>
        <v>3.7411459514287422E-36</v>
      </c>
      <c r="H724" s="1">
        <f t="shared" si="110"/>
        <v>3.8757480279880822E-37</v>
      </c>
      <c r="I724">
        <f t="shared" si="111"/>
        <v>8</v>
      </c>
      <c r="J724">
        <f t="shared" si="112"/>
        <v>691</v>
      </c>
      <c r="K724" s="5">
        <f t="shared" si="113"/>
        <v>0</v>
      </c>
      <c r="L724">
        <f t="shared" si="114"/>
        <v>53.4</v>
      </c>
      <c r="M724">
        <f t="shared" si="115"/>
        <v>1</v>
      </c>
      <c r="N724">
        <f t="shared" si="116"/>
        <v>0</v>
      </c>
    </row>
    <row r="725" spans="4:14" x14ac:dyDescent="0.2">
      <c r="D725">
        <f t="shared" si="118"/>
        <v>702</v>
      </c>
      <c r="E725" s="1">
        <f t="shared" si="119"/>
        <v>-81.113591831117986</v>
      </c>
      <c r="F725" s="1">
        <f t="shared" si="120"/>
        <v>-81.690205195421981</v>
      </c>
      <c r="G725" s="1">
        <f t="shared" si="117"/>
        <v>3.3296198967715785E-36</v>
      </c>
      <c r="H725" s="1">
        <f t="shared" si="110"/>
        <v>3.4494157449093908E-37</v>
      </c>
      <c r="I725">
        <f t="shared" si="111"/>
        <v>8</v>
      </c>
      <c r="J725">
        <f t="shared" si="112"/>
        <v>692</v>
      </c>
      <c r="K725" s="5">
        <f t="shared" si="113"/>
        <v>0</v>
      </c>
      <c r="L725">
        <f t="shared" si="114"/>
        <v>53.4</v>
      </c>
      <c r="M725">
        <f t="shared" si="115"/>
        <v>1</v>
      </c>
      <c r="N725">
        <f t="shared" si="116"/>
        <v>0</v>
      </c>
    </row>
    <row r="726" spans="4:14" x14ac:dyDescent="0.2">
      <c r="D726">
        <f t="shared" si="118"/>
        <v>703</v>
      </c>
      <c r="E726" s="1">
        <f t="shared" si="119"/>
        <v>-81.230125647373939</v>
      </c>
      <c r="F726" s="1">
        <f t="shared" si="120"/>
        <v>-81.806739011677934</v>
      </c>
      <c r="G726" s="1">
        <f t="shared" si="117"/>
        <v>2.9633617081267032E-36</v>
      </c>
      <c r="H726" s="1">
        <f t="shared" si="110"/>
        <v>3.0699800129693562E-37</v>
      </c>
      <c r="I726">
        <f t="shared" si="111"/>
        <v>8</v>
      </c>
      <c r="J726">
        <f t="shared" si="112"/>
        <v>693</v>
      </c>
      <c r="K726" s="5">
        <f t="shared" si="113"/>
        <v>0</v>
      </c>
      <c r="L726">
        <f t="shared" si="114"/>
        <v>53.4</v>
      </c>
      <c r="M726">
        <f t="shared" si="115"/>
        <v>1</v>
      </c>
      <c r="N726">
        <f t="shared" si="116"/>
        <v>0</v>
      </c>
    </row>
    <row r="727" spans="4:14" x14ac:dyDescent="0.2">
      <c r="D727">
        <f t="shared" si="118"/>
        <v>704</v>
      </c>
      <c r="E727" s="1">
        <f t="shared" si="119"/>
        <v>-81.346659463629891</v>
      </c>
      <c r="F727" s="1">
        <f t="shared" si="120"/>
        <v>-81.923272827933886</v>
      </c>
      <c r="G727" s="1">
        <f t="shared" si="117"/>
        <v>2.6373919202327642E-36</v>
      </c>
      <c r="H727" s="1">
        <f t="shared" ref="H727:H790" si="121">G727/$G$21</f>
        <v>2.7322822115427255E-37</v>
      </c>
      <c r="I727">
        <f t="shared" ref="I727:I790" si="122">IF($F$11&lt;=D727, IF(D727&lt;=$A$15,D727-$F$11,$C$11),0)</f>
        <v>8</v>
      </c>
      <c r="J727">
        <f t="shared" ref="J727:J790" si="123">IF(D727&lt;=$A$15,0,D727-$A$15)</f>
        <v>694</v>
      </c>
      <c r="K727" s="5">
        <f t="shared" ref="K727:K790" si="124">IF(D727&lt;$F$11,H727,0)</f>
        <v>0</v>
      </c>
      <c r="L727">
        <f t="shared" ref="L727:L790" si="125">IF(D727&lt;$A$15,$D$11,$D$11*(1-$H$11))</f>
        <v>53.4</v>
      </c>
      <c r="M727">
        <f t="shared" ref="M727:M790" si="126">IF(D727&lt;$A$15,0,1)</f>
        <v>1</v>
      </c>
      <c r="N727">
        <f t="shared" ref="N727:N790" si="127">IF(SUM(I727:J727)&lt;=($G$11/60*$F$11/($E$11/60)),1,0)</f>
        <v>0</v>
      </c>
    </row>
    <row r="728" spans="4:14" x14ac:dyDescent="0.2">
      <c r="D728">
        <f t="shared" si="118"/>
        <v>705</v>
      </c>
      <c r="E728" s="1">
        <f t="shared" si="119"/>
        <v>-81.463193279885843</v>
      </c>
      <c r="F728" s="1">
        <f t="shared" si="120"/>
        <v>-82.039806644189838</v>
      </c>
      <c r="G728" s="1">
        <f t="shared" ref="G728:G791" si="128">EXP(F728)</f>
        <v>2.3472788090071587E-36</v>
      </c>
      <c r="H728" s="1">
        <f t="shared" si="121"/>
        <v>2.4317311682730242E-37</v>
      </c>
      <c r="I728">
        <f t="shared" si="122"/>
        <v>8</v>
      </c>
      <c r="J728">
        <f t="shared" si="123"/>
        <v>695</v>
      </c>
      <c r="K728" s="5">
        <f t="shared" si="124"/>
        <v>0</v>
      </c>
      <c r="L728">
        <f t="shared" si="125"/>
        <v>53.4</v>
      </c>
      <c r="M728">
        <f t="shared" si="126"/>
        <v>1</v>
      </c>
      <c r="N728">
        <f t="shared" si="127"/>
        <v>0</v>
      </c>
    </row>
    <row r="729" spans="4:14" x14ac:dyDescent="0.2">
      <c r="D729">
        <f t="shared" ref="D729:D792" si="129">1+D728</f>
        <v>706</v>
      </c>
      <c r="E729" s="1">
        <f t="shared" ref="E729:E792" si="130">IF($H$11=1,IF(D729&lt;=$A$15, E728+LN($D$11)-LN(60/$E$11)-LN(MIN(D729,$F$11)), E728-LN(60/$E$11)-LN(MIN(D729,$F$11))), IF(D729&lt;=$A$15, E728+LN($D$11)-LN(60/$E$11)-LN(MIN(D729,$F$11)), E728+LN($D$11)+LN(1-$H$11)-LN(60/$E$11)-LN(MIN(D729,$F$11))))</f>
        <v>-81.579727096141795</v>
      </c>
      <c r="F729" s="1">
        <f t="shared" ref="F729:F792" si="131">E729-$E$21</f>
        <v>-82.15634046044579</v>
      </c>
      <c r="G729" s="1">
        <f t="shared" si="128"/>
        <v>2.08907814001637E-36</v>
      </c>
      <c r="H729" s="1">
        <f t="shared" si="121"/>
        <v>2.1642407397629903E-37</v>
      </c>
      <c r="I729">
        <f t="shared" si="122"/>
        <v>8</v>
      </c>
      <c r="J729">
        <f t="shared" si="123"/>
        <v>696</v>
      </c>
      <c r="K729" s="5">
        <f t="shared" si="124"/>
        <v>0</v>
      </c>
      <c r="L729">
        <f t="shared" si="125"/>
        <v>53.4</v>
      </c>
      <c r="M729">
        <f t="shared" si="126"/>
        <v>1</v>
      </c>
      <c r="N729">
        <f t="shared" si="127"/>
        <v>0</v>
      </c>
    </row>
    <row r="730" spans="4:14" x14ac:dyDescent="0.2">
      <c r="D730">
        <f t="shared" si="129"/>
        <v>707</v>
      </c>
      <c r="E730" s="1">
        <f t="shared" si="130"/>
        <v>-81.696260912397747</v>
      </c>
      <c r="F730" s="1">
        <f t="shared" si="131"/>
        <v>-82.272874276701742</v>
      </c>
      <c r="G730" s="1">
        <f t="shared" si="128"/>
        <v>1.8592795446145681E-36</v>
      </c>
      <c r="H730" s="1">
        <f t="shared" si="121"/>
        <v>1.9261742583890601E-37</v>
      </c>
      <c r="I730">
        <f t="shared" si="122"/>
        <v>8</v>
      </c>
      <c r="J730">
        <f t="shared" si="123"/>
        <v>697</v>
      </c>
      <c r="K730" s="5">
        <f t="shared" si="124"/>
        <v>0</v>
      </c>
      <c r="L730">
        <f t="shared" si="125"/>
        <v>53.4</v>
      </c>
      <c r="M730">
        <f t="shared" si="126"/>
        <v>1</v>
      </c>
      <c r="N730">
        <f t="shared" si="127"/>
        <v>0</v>
      </c>
    </row>
    <row r="731" spans="4:14" x14ac:dyDescent="0.2">
      <c r="D731">
        <f t="shared" si="129"/>
        <v>708</v>
      </c>
      <c r="E731" s="1">
        <f t="shared" si="130"/>
        <v>-81.812794728653699</v>
      </c>
      <c r="F731" s="1">
        <f t="shared" si="131"/>
        <v>-82.389408092957694</v>
      </c>
      <c r="G731" s="1">
        <f t="shared" si="128"/>
        <v>1.6547587947069644E-36</v>
      </c>
      <c r="H731" s="1">
        <f t="shared" si="121"/>
        <v>1.7142950899662622E-37</v>
      </c>
      <c r="I731">
        <f t="shared" si="122"/>
        <v>8</v>
      </c>
      <c r="J731">
        <f t="shared" si="123"/>
        <v>698</v>
      </c>
      <c r="K731" s="5">
        <f t="shared" si="124"/>
        <v>0</v>
      </c>
      <c r="L731">
        <f t="shared" si="125"/>
        <v>53.4</v>
      </c>
      <c r="M731">
        <f t="shared" si="126"/>
        <v>1</v>
      </c>
      <c r="N731">
        <f t="shared" si="127"/>
        <v>0</v>
      </c>
    </row>
    <row r="732" spans="4:14" x14ac:dyDescent="0.2">
      <c r="D732">
        <f t="shared" si="129"/>
        <v>709</v>
      </c>
      <c r="E732" s="1">
        <f t="shared" si="130"/>
        <v>-81.929328544909652</v>
      </c>
      <c r="F732" s="1">
        <f t="shared" si="131"/>
        <v>-82.505941909213647</v>
      </c>
      <c r="G732" s="1">
        <f t="shared" si="128"/>
        <v>1.4727353272891975E-36</v>
      </c>
      <c r="H732" s="1">
        <f t="shared" si="121"/>
        <v>1.5257226300699725E-37</v>
      </c>
      <c r="I732">
        <f t="shared" si="122"/>
        <v>8</v>
      </c>
      <c r="J732">
        <f t="shared" si="123"/>
        <v>699</v>
      </c>
      <c r="K732" s="5">
        <f t="shared" si="124"/>
        <v>0</v>
      </c>
      <c r="L732">
        <f t="shared" si="125"/>
        <v>53.4</v>
      </c>
      <c r="M732">
        <f t="shared" si="126"/>
        <v>1</v>
      </c>
      <c r="N732">
        <f t="shared" si="127"/>
        <v>0</v>
      </c>
    </row>
    <row r="733" spans="4:14" x14ac:dyDescent="0.2">
      <c r="D733">
        <f t="shared" si="129"/>
        <v>710</v>
      </c>
      <c r="E733" s="1">
        <f t="shared" si="130"/>
        <v>-82.045862361165604</v>
      </c>
      <c r="F733" s="1">
        <f t="shared" si="131"/>
        <v>-82.622475725469599</v>
      </c>
      <c r="G733" s="1">
        <f t="shared" si="128"/>
        <v>1.3107344412873849E-36</v>
      </c>
      <c r="H733" s="1">
        <f t="shared" si="121"/>
        <v>1.3578931407622746E-37</v>
      </c>
      <c r="I733">
        <f t="shared" si="122"/>
        <v>8</v>
      </c>
      <c r="J733">
        <f t="shared" si="123"/>
        <v>700</v>
      </c>
      <c r="K733" s="5">
        <f t="shared" si="124"/>
        <v>0</v>
      </c>
      <c r="L733">
        <f t="shared" si="125"/>
        <v>53.4</v>
      </c>
      <c r="M733">
        <f t="shared" si="126"/>
        <v>1</v>
      </c>
      <c r="N733">
        <f t="shared" si="127"/>
        <v>0</v>
      </c>
    </row>
    <row r="734" spans="4:14" x14ac:dyDescent="0.2">
      <c r="D734">
        <f t="shared" si="129"/>
        <v>711</v>
      </c>
      <c r="E734" s="1">
        <f t="shared" si="130"/>
        <v>-82.162396177421556</v>
      </c>
      <c r="F734" s="1">
        <f t="shared" si="131"/>
        <v>-82.739009541725551</v>
      </c>
      <c r="G734" s="1">
        <f t="shared" si="128"/>
        <v>1.1665536527457718E-36</v>
      </c>
      <c r="H734" s="1">
        <f t="shared" si="121"/>
        <v>1.2085248952784235E-37</v>
      </c>
      <c r="I734">
        <f t="shared" si="122"/>
        <v>8</v>
      </c>
      <c r="J734">
        <f t="shared" si="123"/>
        <v>701</v>
      </c>
      <c r="K734" s="5">
        <f t="shared" si="124"/>
        <v>0</v>
      </c>
      <c r="L734">
        <f t="shared" si="125"/>
        <v>53.4</v>
      </c>
      <c r="M734">
        <f t="shared" si="126"/>
        <v>1</v>
      </c>
      <c r="N734">
        <f t="shared" si="127"/>
        <v>0</v>
      </c>
    </row>
    <row r="735" spans="4:14" x14ac:dyDescent="0.2">
      <c r="D735">
        <f t="shared" si="129"/>
        <v>712</v>
      </c>
      <c r="E735" s="1">
        <f t="shared" si="130"/>
        <v>-82.278929993677508</v>
      </c>
      <c r="F735" s="1">
        <f t="shared" si="131"/>
        <v>-82.855543357981503</v>
      </c>
      <c r="G735" s="1">
        <f t="shared" si="128"/>
        <v>1.0382327509437363E-36</v>
      </c>
      <c r="H735" s="1">
        <f t="shared" si="121"/>
        <v>1.0755871567977964E-37</v>
      </c>
      <c r="I735">
        <f t="shared" si="122"/>
        <v>8</v>
      </c>
      <c r="J735">
        <f t="shared" si="123"/>
        <v>702</v>
      </c>
      <c r="K735" s="5">
        <f t="shared" si="124"/>
        <v>0</v>
      </c>
      <c r="L735">
        <f t="shared" si="125"/>
        <v>53.4</v>
      </c>
      <c r="M735">
        <f t="shared" si="126"/>
        <v>1</v>
      </c>
      <c r="N735">
        <f t="shared" si="127"/>
        <v>0</v>
      </c>
    </row>
    <row r="736" spans="4:14" x14ac:dyDescent="0.2">
      <c r="D736">
        <f t="shared" si="129"/>
        <v>713</v>
      </c>
      <c r="E736" s="1">
        <f t="shared" si="130"/>
        <v>-82.39546380993346</v>
      </c>
      <c r="F736" s="1">
        <f t="shared" si="131"/>
        <v>-82.972077174237455</v>
      </c>
      <c r="G736" s="1">
        <f t="shared" si="128"/>
        <v>9.2402714833992474E-37</v>
      </c>
      <c r="H736" s="1">
        <f t="shared" si="121"/>
        <v>9.5727256955003817E-38</v>
      </c>
      <c r="I736">
        <f t="shared" si="122"/>
        <v>8</v>
      </c>
      <c r="J736">
        <f t="shared" si="123"/>
        <v>703</v>
      </c>
      <c r="K736" s="5">
        <f t="shared" si="124"/>
        <v>0</v>
      </c>
      <c r="L736">
        <f t="shared" si="125"/>
        <v>53.4</v>
      </c>
      <c r="M736">
        <f t="shared" si="126"/>
        <v>1</v>
      </c>
      <c r="N736">
        <f t="shared" si="127"/>
        <v>0</v>
      </c>
    </row>
    <row r="737" spans="4:14" x14ac:dyDescent="0.2">
      <c r="D737">
        <f t="shared" si="129"/>
        <v>714</v>
      </c>
      <c r="E737" s="1">
        <f t="shared" si="130"/>
        <v>-82.511997626189412</v>
      </c>
      <c r="F737" s="1">
        <f t="shared" si="131"/>
        <v>-83.088610990493407</v>
      </c>
      <c r="G737" s="1">
        <f t="shared" si="128"/>
        <v>8.2238416202253253E-37</v>
      </c>
      <c r="H737" s="1">
        <f t="shared" si="121"/>
        <v>8.5197258689953347E-38</v>
      </c>
      <c r="I737">
        <f t="shared" si="122"/>
        <v>8</v>
      </c>
      <c r="J737">
        <f t="shared" si="123"/>
        <v>704</v>
      </c>
      <c r="K737" s="5">
        <f t="shared" si="124"/>
        <v>0</v>
      </c>
      <c r="L737">
        <f t="shared" si="125"/>
        <v>53.4</v>
      </c>
      <c r="M737">
        <f t="shared" si="126"/>
        <v>1</v>
      </c>
      <c r="N737">
        <f t="shared" si="127"/>
        <v>0</v>
      </c>
    </row>
    <row r="738" spans="4:14" x14ac:dyDescent="0.2">
      <c r="D738">
        <f t="shared" si="129"/>
        <v>715</v>
      </c>
      <c r="E738" s="1">
        <f t="shared" si="130"/>
        <v>-82.628531442445365</v>
      </c>
      <c r="F738" s="1">
        <f t="shared" si="131"/>
        <v>-83.20514480674936</v>
      </c>
      <c r="G738" s="1">
        <f t="shared" si="128"/>
        <v>7.3192190420005342E-37</v>
      </c>
      <c r="H738" s="1">
        <f t="shared" si="121"/>
        <v>7.5825560234058425E-38</v>
      </c>
      <c r="I738">
        <f t="shared" si="122"/>
        <v>8</v>
      </c>
      <c r="J738">
        <f t="shared" si="123"/>
        <v>705</v>
      </c>
      <c r="K738" s="5">
        <f t="shared" si="124"/>
        <v>0</v>
      </c>
      <c r="L738">
        <f t="shared" si="125"/>
        <v>53.4</v>
      </c>
      <c r="M738">
        <f t="shared" si="126"/>
        <v>1</v>
      </c>
      <c r="N738">
        <f t="shared" si="127"/>
        <v>0</v>
      </c>
    </row>
    <row r="739" spans="4:14" x14ac:dyDescent="0.2">
      <c r="D739">
        <f t="shared" si="129"/>
        <v>716</v>
      </c>
      <c r="E739" s="1">
        <f t="shared" si="130"/>
        <v>-82.745065258701317</v>
      </c>
      <c r="F739" s="1">
        <f t="shared" si="131"/>
        <v>-83.321678623005312</v>
      </c>
      <c r="G739" s="1">
        <f t="shared" si="128"/>
        <v>6.5141049473804717E-37</v>
      </c>
      <c r="H739" s="1">
        <f t="shared" si="121"/>
        <v>6.7484748608311954E-38</v>
      </c>
      <c r="I739">
        <f t="shared" si="122"/>
        <v>8</v>
      </c>
      <c r="J739">
        <f t="shared" si="123"/>
        <v>706</v>
      </c>
      <c r="K739" s="5">
        <f t="shared" si="124"/>
        <v>0</v>
      </c>
      <c r="L739">
        <f t="shared" si="125"/>
        <v>53.4</v>
      </c>
      <c r="M739">
        <f t="shared" si="126"/>
        <v>1</v>
      </c>
      <c r="N739">
        <f t="shared" si="127"/>
        <v>0</v>
      </c>
    </row>
    <row r="740" spans="4:14" x14ac:dyDescent="0.2">
      <c r="D740">
        <f t="shared" si="129"/>
        <v>717</v>
      </c>
      <c r="E740" s="1">
        <f t="shared" si="130"/>
        <v>-82.861599074957269</v>
      </c>
      <c r="F740" s="1">
        <f t="shared" si="131"/>
        <v>-83.438212439261264</v>
      </c>
      <c r="G740" s="1">
        <f t="shared" si="128"/>
        <v>5.7975534031686163E-37</v>
      </c>
      <c r="H740" s="1">
        <f t="shared" si="121"/>
        <v>6.006142626139761E-38</v>
      </c>
      <c r="I740">
        <f t="shared" si="122"/>
        <v>8</v>
      </c>
      <c r="J740">
        <f t="shared" si="123"/>
        <v>707</v>
      </c>
      <c r="K740" s="5">
        <f t="shared" si="124"/>
        <v>0</v>
      </c>
      <c r="L740">
        <f t="shared" si="125"/>
        <v>53.4</v>
      </c>
      <c r="M740">
        <f t="shared" si="126"/>
        <v>1</v>
      </c>
      <c r="N740">
        <f t="shared" si="127"/>
        <v>0</v>
      </c>
    </row>
    <row r="741" spans="4:14" x14ac:dyDescent="0.2">
      <c r="D741">
        <f t="shared" si="129"/>
        <v>718</v>
      </c>
      <c r="E741" s="1">
        <f t="shared" si="130"/>
        <v>-82.978132891213221</v>
      </c>
      <c r="F741" s="1">
        <f t="shared" si="131"/>
        <v>-83.554746255517216</v>
      </c>
      <c r="G741" s="1">
        <f t="shared" si="128"/>
        <v>5.1598225288200648E-37</v>
      </c>
      <c r="H741" s="1">
        <f t="shared" si="121"/>
        <v>5.3454669372643831E-38</v>
      </c>
      <c r="I741">
        <f t="shared" si="122"/>
        <v>8</v>
      </c>
      <c r="J741">
        <f t="shared" si="123"/>
        <v>708</v>
      </c>
      <c r="K741" s="5">
        <f t="shared" si="124"/>
        <v>0</v>
      </c>
      <c r="L741">
        <f t="shared" si="125"/>
        <v>53.4</v>
      </c>
      <c r="M741">
        <f t="shared" si="126"/>
        <v>1</v>
      </c>
      <c r="N741">
        <f t="shared" si="127"/>
        <v>0</v>
      </c>
    </row>
    <row r="742" spans="4:14" x14ac:dyDescent="0.2">
      <c r="D742">
        <f t="shared" si="129"/>
        <v>719</v>
      </c>
      <c r="E742" s="1">
        <f t="shared" si="130"/>
        <v>-83.094666707469173</v>
      </c>
      <c r="F742" s="1">
        <f t="shared" si="131"/>
        <v>-83.671280071773168</v>
      </c>
      <c r="G742" s="1">
        <f t="shared" si="128"/>
        <v>4.5922420506498549E-37</v>
      </c>
      <c r="H742" s="1">
        <f t="shared" si="121"/>
        <v>4.7574655741652977E-38</v>
      </c>
      <c r="I742">
        <f t="shared" si="122"/>
        <v>8</v>
      </c>
      <c r="J742">
        <f t="shared" si="123"/>
        <v>709</v>
      </c>
      <c r="K742" s="5">
        <f t="shared" si="124"/>
        <v>0</v>
      </c>
      <c r="L742">
        <f t="shared" si="125"/>
        <v>53.4</v>
      </c>
      <c r="M742">
        <f t="shared" si="126"/>
        <v>1</v>
      </c>
      <c r="N742">
        <f t="shared" si="127"/>
        <v>0</v>
      </c>
    </row>
    <row r="743" spans="4:14" x14ac:dyDescent="0.2">
      <c r="D743">
        <f t="shared" si="129"/>
        <v>720</v>
      </c>
      <c r="E743" s="1">
        <f t="shared" si="130"/>
        <v>-83.211200523725125</v>
      </c>
      <c r="F743" s="1">
        <f t="shared" si="131"/>
        <v>-83.78781388802912</v>
      </c>
      <c r="G743" s="1">
        <f t="shared" si="128"/>
        <v>4.0870954250783682E-37</v>
      </c>
      <c r="H743" s="1">
        <f t="shared" si="121"/>
        <v>4.2341443610071123E-38</v>
      </c>
      <c r="I743">
        <f t="shared" si="122"/>
        <v>8</v>
      </c>
      <c r="J743">
        <f t="shared" si="123"/>
        <v>710</v>
      </c>
      <c r="K743" s="5">
        <f t="shared" si="124"/>
        <v>0</v>
      </c>
      <c r="L743">
        <f t="shared" si="125"/>
        <v>53.4</v>
      </c>
      <c r="M743">
        <f t="shared" si="126"/>
        <v>1</v>
      </c>
      <c r="N743">
        <f t="shared" si="127"/>
        <v>0</v>
      </c>
    </row>
    <row r="744" spans="4:14" x14ac:dyDescent="0.2">
      <c r="D744">
        <f t="shared" si="129"/>
        <v>721</v>
      </c>
      <c r="E744" s="1">
        <f t="shared" si="130"/>
        <v>-83.327734339981077</v>
      </c>
      <c r="F744" s="1">
        <f t="shared" si="131"/>
        <v>-83.904347704285072</v>
      </c>
      <c r="G744" s="1">
        <f t="shared" si="128"/>
        <v>3.6375149283197457E-37</v>
      </c>
      <c r="H744" s="1">
        <f t="shared" si="121"/>
        <v>3.7683884812963279E-38</v>
      </c>
      <c r="I744">
        <f t="shared" si="122"/>
        <v>8</v>
      </c>
      <c r="J744">
        <f t="shared" si="123"/>
        <v>711</v>
      </c>
      <c r="K744" s="5">
        <f t="shared" si="124"/>
        <v>0</v>
      </c>
      <c r="L744">
        <f t="shared" si="125"/>
        <v>53.4</v>
      </c>
      <c r="M744">
        <f t="shared" si="126"/>
        <v>1</v>
      </c>
      <c r="N744">
        <f t="shared" si="127"/>
        <v>0</v>
      </c>
    </row>
    <row r="745" spans="4:14" x14ac:dyDescent="0.2">
      <c r="D745">
        <f t="shared" si="129"/>
        <v>722</v>
      </c>
      <c r="E745" s="1">
        <f t="shared" si="130"/>
        <v>-83.44426815623703</v>
      </c>
      <c r="F745" s="1">
        <f t="shared" si="131"/>
        <v>-84.020881520541025</v>
      </c>
      <c r="G745" s="1">
        <f t="shared" si="128"/>
        <v>3.2373882862045716E-37</v>
      </c>
      <c r="H745" s="1">
        <f t="shared" si="121"/>
        <v>3.3538657483537302E-38</v>
      </c>
      <c r="I745">
        <f t="shared" si="122"/>
        <v>8</v>
      </c>
      <c r="J745">
        <f t="shared" si="123"/>
        <v>712</v>
      </c>
      <c r="K745" s="5">
        <f t="shared" si="124"/>
        <v>0</v>
      </c>
      <c r="L745">
        <f t="shared" si="125"/>
        <v>53.4</v>
      </c>
      <c r="M745">
        <f t="shared" si="126"/>
        <v>1</v>
      </c>
      <c r="N745">
        <f t="shared" si="127"/>
        <v>0</v>
      </c>
    </row>
    <row r="746" spans="4:14" x14ac:dyDescent="0.2">
      <c r="D746">
        <f t="shared" si="129"/>
        <v>723</v>
      </c>
      <c r="E746" s="1">
        <f t="shared" si="130"/>
        <v>-83.560801972492982</v>
      </c>
      <c r="F746" s="1">
        <f t="shared" si="131"/>
        <v>-84.137415336796977</v>
      </c>
      <c r="G746" s="1">
        <f t="shared" si="128"/>
        <v>2.8812755747220667E-37</v>
      </c>
      <c r="H746" s="1">
        <f t="shared" si="121"/>
        <v>2.9849405160348176E-38</v>
      </c>
      <c r="I746">
        <f t="shared" si="122"/>
        <v>8</v>
      </c>
      <c r="J746">
        <f t="shared" si="123"/>
        <v>713</v>
      </c>
      <c r="K746" s="5">
        <f t="shared" si="124"/>
        <v>0</v>
      </c>
      <c r="L746">
        <f t="shared" si="125"/>
        <v>53.4</v>
      </c>
      <c r="M746">
        <f t="shared" si="126"/>
        <v>1</v>
      </c>
      <c r="N746">
        <f t="shared" si="127"/>
        <v>0</v>
      </c>
    </row>
    <row r="747" spans="4:14" x14ac:dyDescent="0.2">
      <c r="D747">
        <f t="shared" si="129"/>
        <v>724</v>
      </c>
      <c r="E747" s="1">
        <f t="shared" si="130"/>
        <v>-83.677335788748934</v>
      </c>
      <c r="F747" s="1">
        <f t="shared" si="131"/>
        <v>-84.253949153052929</v>
      </c>
      <c r="G747" s="1">
        <f t="shared" si="128"/>
        <v>2.5643352615026376E-37</v>
      </c>
      <c r="H747" s="1">
        <f t="shared" si="121"/>
        <v>2.6565970592709858E-38</v>
      </c>
      <c r="I747">
        <f t="shared" si="122"/>
        <v>8</v>
      </c>
      <c r="J747">
        <f t="shared" si="123"/>
        <v>714</v>
      </c>
      <c r="K747" s="5">
        <f t="shared" si="124"/>
        <v>0</v>
      </c>
      <c r="L747">
        <f t="shared" si="125"/>
        <v>53.4</v>
      </c>
      <c r="M747">
        <f t="shared" si="126"/>
        <v>1</v>
      </c>
      <c r="N747">
        <f t="shared" si="127"/>
        <v>0</v>
      </c>
    </row>
    <row r="748" spans="4:14" x14ac:dyDescent="0.2">
      <c r="D748">
        <f t="shared" si="129"/>
        <v>725</v>
      </c>
      <c r="E748" s="1">
        <f t="shared" si="130"/>
        <v>-83.793869605004886</v>
      </c>
      <c r="F748" s="1">
        <f t="shared" si="131"/>
        <v>-84.370482969308881</v>
      </c>
      <c r="G748" s="1">
        <f t="shared" si="128"/>
        <v>2.2822583827373463E-37</v>
      </c>
      <c r="H748" s="1">
        <f t="shared" si="121"/>
        <v>2.3643713827511759E-38</v>
      </c>
      <c r="I748">
        <f t="shared" si="122"/>
        <v>8</v>
      </c>
      <c r="J748">
        <f t="shared" si="123"/>
        <v>715</v>
      </c>
      <c r="K748" s="5">
        <f t="shared" si="124"/>
        <v>0</v>
      </c>
      <c r="L748">
        <f t="shared" si="125"/>
        <v>53.4</v>
      </c>
      <c r="M748">
        <f t="shared" si="126"/>
        <v>1</v>
      </c>
      <c r="N748">
        <f t="shared" si="127"/>
        <v>0</v>
      </c>
    </row>
    <row r="749" spans="4:14" x14ac:dyDescent="0.2">
      <c r="D749">
        <f t="shared" si="129"/>
        <v>726</v>
      </c>
      <c r="E749" s="1">
        <f t="shared" si="130"/>
        <v>-83.910403421260838</v>
      </c>
      <c r="F749" s="1">
        <f t="shared" si="131"/>
        <v>-84.487016785564833</v>
      </c>
      <c r="G749" s="1">
        <f t="shared" si="128"/>
        <v>2.0312099606362368E-37</v>
      </c>
      <c r="H749" s="1">
        <f t="shared" si="121"/>
        <v>2.1042905306485454E-38</v>
      </c>
      <c r="I749">
        <f t="shared" si="122"/>
        <v>8</v>
      </c>
      <c r="J749">
        <f t="shared" si="123"/>
        <v>716</v>
      </c>
      <c r="K749" s="5">
        <f t="shared" si="124"/>
        <v>0</v>
      </c>
      <c r="L749">
        <f t="shared" si="125"/>
        <v>53.4</v>
      </c>
      <c r="M749">
        <f t="shared" si="126"/>
        <v>1</v>
      </c>
      <c r="N749">
        <f t="shared" si="127"/>
        <v>0</v>
      </c>
    </row>
    <row r="750" spans="4:14" x14ac:dyDescent="0.2">
      <c r="D750">
        <f t="shared" si="129"/>
        <v>727</v>
      </c>
      <c r="E750" s="1">
        <f t="shared" si="130"/>
        <v>-84.02693723751679</v>
      </c>
      <c r="F750" s="1">
        <f t="shared" si="131"/>
        <v>-84.603550601820785</v>
      </c>
      <c r="G750" s="1">
        <f t="shared" si="128"/>
        <v>1.8077768649662497E-37</v>
      </c>
      <c r="H750" s="1">
        <f t="shared" si="121"/>
        <v>1.8728185722772043E-38</v>
      </c>
      <c r="I750">
        <f t="shared" si="122"/>
        <v>8</v>
      </c>
      <c r="J750">
        <f t="shared" si="123"/>
        <v>717</v>
      </c>
      <c r="K750" s="5">
        <f t="shared" si="124"/>
        <v>0</v>
      </c>
      <c r="L750">
        <f t="shared" si="125"/>
        <v>53.4</v>
      </c>
      <c r="M750">
        <f t="shared" si="126"/>
        <v>1</v>
      </c>
      <c r="N750">
        <f t="shared" si="127"/>
        <v>0</v>
      </c>
    </row>
    <row r="751" spans="4:14" x14ac:dyDescent="0.2">
      <c r="D751">
        <f t="shared" si="129"/>
        <v>728</v>
      </c>
      <c r="E751" s="1">
        <f t="shared" si="130"/>
        <v>-84.143471053772743</v>
      </c>
      <c r="F751" s="1">
        <f t="shared" si="131"/>
        <v>-84.720084418076738</v>
      </c>
      <c r="G751" s="1">
        <f t="shared" si="128"/>
        <v>1.6089214098199611E-37</v>
      </c>
      <c r="H751" s="1">
        <f t="shared" si="121"/>
        <v>1.6668085293267105E-38</v>
      </c>
      <c r="I751">
        <f t="shared" si="122"/>
        <v>8</v>
      </c>
      <c r="J751">
        <f t="shared" si="123"/>
        <v>718</v>
      </c>
      <c r="K751" s="5">
        <f t="shared" si="124"/>
        <v>0</v>
      </c>
      <c r="L751">
        <f t="shared" si="125"/>
        <v>53.4</v>
      </c>
      <c r="M751">
        <f t="shared" si="126"/>
        <v>1</v>
      </c>
      <c r="N751">
        <f t="shared" si="127"/>
        <v>0</v>
      </c>
    </row>
    <row r="752" spans="4:14" x14ac:dyDescent="0.2">
      <c r="D752">
        <f t="shared" si="129"/>
        <v>729</v>
      </c>
      <c r="E752" s="1">
        <f t="shared" si="130"/>
        <v>-84.260004870028695</v>
      </c>
      <c r="F752" s="1">
        <f t="shared" si="131"/>
        <v>-84.83661823433269</v>
      </c>
      <c r="G752" s="1">
        <f t="shared" si="128"/>
        <v>1.4319400547397645E-37</v>
      </c>
      <c r="H752" s="1">
        <f t="shared" si="121"/>
        <v>1.4834595911007715E-38</v>
      </c>
      <c r="I752">
        <f t="shared" si="122"/>
        <v>8</v>
      </c>
      <c r="J752">
        <f t="shared" si="123"/>
        <v>719</v>
      </c>
      <c r="K752" s="5">
        <f t="shared" si="124"/>
        <v>0</v>
      </c>
      <c r="L752">
        <f t="shared" si="125"/>
        <v>53.4</v>
      </c>
      <c r="M752">
        <f t="shared" si="126"/>
        <v>1</v>
      </c>
      <c r="N752">
        <f t="shared" si="127"/>
        <v>0</v>
      </c>
    </row>
    <row r="753" spans="4:14" x14ac:dyDescent="0.2">
      <c r="D753">
        <f t="shared" si="129"/>
        <v>730</v>
      </c>
      <c r="E753" s="1">
        <f t="shared" si="130"/>
        <v>-84.376538686284647</v>
      </c>
      <c r="F753" s="1">
        <f t="shared" si="131"/>
        <v>-84.953152050588642</v>
      </c>
      <c r="G753" s="1">
        <f t="shared" si="128"/>
        <v>1.2744266487183897E-37</v>
      </c>
      <c r="H753" s="1">
        <f t="shared" si="121"/>
        <v>1.3202790360796857E-38</v>
      </c>
      <c r="I753">
        <f t="shared" si="122"/>
        <v>8</v>
      </c>
      <c r="J753">
        <f t="shared" si="123"/>
        <v>720</v>
      </c>
      <c r="K753" s="5">
        <f t="shared" si="124"/>
        <v>0</v>
      </c>
      <c r="L753">
        <f t="shared" si="125"/>
        <v>53.4</v>
      </c>
      <c r="M753">
        <f t="shared" si="126"/>
        <v>1</v>
      </c>
      <c r="N753">
        <f t="shared" si="127"/>
        <v>0</v>
      </c>
    </row>
    <row r="754" spans="4:14" x14ac:dyDescent="0.2">
      <c r="D754">
        <f t="shared" si="129"/>
        <v>731</v>
      </c>
      <c r="E754" s="1">
        <f t="shared" si="130"/>
        <v>-84.493072502540599</v>
      </c>
      <c r="F754" s="1">
        <f t="shared" si="131"/>
        <v>-85.069685866844594</v>
      </c>
      <c r="G754" s="1">
        <f t="shared" si="128"/>
        <v>1.1342397173593661E-37</v>
      </c>
      <c r="H754" s="1">
        <f t="shared" si="121"/>
        <v>1.1750483421109198E-38</v>
      </c>
      <c r="I754">
        <f t="shared" si="122"/>
        <v>8</v>
      </c>
      <c r="J754">
        <f t="shared" si="123"/>
        <v>721</v>
      </c>
      <c r="K754" s="5">
        <f t="shared" si="124"/>
        <v>0</v>
      </c>
      <c r="L754">
        <f t="shared" si="125"/>
        <v>53.4</v>
      </c>
      <c r="M754">
        <f t="shared" si="126"/>
        <v>1</v>
      </c>
      <c r="N754">
        <f t="shared" si="127"/>
        <v>0</v>
      </c>
    </row>
    <row r="755" spans="4:14" x14ac:dyDescent="0.2">
      <c r="D755">
        <f t="shared" si="129"/>
        <v>732</v>
      </c>
      <c r="E755" s="1">
        <f t="shared" si="130"/>
        <v>-84.609606318796551</v>
      </c>
      <c r="F755" s="1">
        <f t="shared" si="131"/>
        <v>-85.186219683100546</v>
      </c>
      <c r="G755" s="1">
        <f t="shared" si="128"/>
        <v>1.0094733484498351E-37</v>
      </c>
      <c r="H755" s="1">
        <f t="shared" si="121"/>
        <v>1.0457930244787178E-38</v>
      </c>
      <c r="I755">
        <f t="shared" si="122"/>
        <v>8</v>
      </c>
      <c r="J755">
        <f t="shared" si="123"/>
        <v>722</v>
      </c>
      <c r="K755" s="5">
        <f t="shared" si="124"/>
        <v>0</v>
      </c>
      <c r="L755">
        <f t="shared" si="125"/>
        <v>53.4</v>
      </c>
      <c r="M755">
        <f t="shared" si="126"/>
        <v>1</v>
      </c>
      <c r="N755">
        <f t="shared" si="127"/>
        <v>0</v>
      </c>
    </row>
    <row r="756" spans="4:14" x14ac:dyDescent="0.2">
      <c r="D756">
        <f t="shared" si="129"/>
        <v>733</v>
      </c>
      <c r="E756" s="1">
        <f t="shared" si="130"/>
        <v>-84.726140135052503</v>
      </c>
      <c r="F756" s="1">
        <f t="shared" si="131"/>
        <v>-85.302753499356498</v>
      </c>
      <c r="G756" s="1">
        <f t="shared" si="128"/>
        <v>8.9843128012035269E-38</v>
      </c>
      <c r="H756" s="1">
        <f t="shared" si="121"/>
        <v>9.3075579178605827E-39</v>
      </c>
      <c r="I756">
        <f t="shared" si="122"/>
        <v>8</v>
      </c>
      <c r="J756">
        <f t="shared" si="123"/>
        <v>723</v>
      </c>
      <c r="K756" s="5">
        <f t="shared" si="124"/>
        <v>0</v>
      </c>
      <c r="L756">
        <f t="shared" si="125"/>
        <v>53.4</v>
      </c>
      <c r="M756">
        <f t="shared" si="126"/>
        <v>1</v>
      </c>
      <c r="N756">
        <f t="shared" si="127"/>
        <v>0</v>
      </c>
    </row>
    <row r="757" spans="4:14" x14ac:dyDescent="0.2">
      <c r="D757">
        <f t="shared" si="129"/>
        <v>734</v>
      </c>
      <c r="E757" s="1">
        <f t="shared" si="130"/>
        <v>-84.842673951308456</v>
      </c>
      <c r="F757" s="1">
        <f t="shared" si="131"/>
        <v>-85.419287315612451</v>
      </c>
      <c r="G757" s="1">
        <f t="shared" si="128"/>
        <v>7.9960383930711338E-38</v>
      </c>
      <c r="H757" s="1">
        <f t="shared" si="121"/>
        <v>8.283726546895913E-39</v>
      </c>
      <c r="I757">
        <f t="shared" si="122"/>
        <v>8</v>
      </c>
      <c r="J757">
        <f t="shared" si="123"/>
        <v>724</v>
      </c>
      <c r="K757" s="5">
        <f t="shared" si="124"/>
        <v>0</v>
      </c>
      <c r="L757">
        <f t="shared" si="125"/>
        <v>53.4</v>
      </c>
      <c r="M757">
        <f t="shared" si="126"/>
        <v>1</v>
      </c>
      <c r="N757">
        <f t="shared" si="127"/>
        <v>0</v>
      </c>
    </row>
    <row r="758" spans="4:14" x14ac:dyDescent="0.2">
      <c r="D758">
        <f t="shared" si="129"/>
        <v>735</v>
      </c>
      <c r="E758" s="1">
        <f t="shared" si="130"/>
        <v>-84.959207767564408</v>
      </c>
      <c r="F758" s="1">
        <f t="shared" si="131"/>
        <v>-85.535821131868403</v>
      </c>
      <c r="G758" s="1">
        <f t="shared" si="128"/>
        <v>7.1164741698333046E-38</v>
      </c>
      <c r="H758" s="1">
        <f t="shared" si="121"/>
        <v>7.3725166267373581E-39</v>
      </c>
      <c r="I758">
        <f t="shared" si="122"/>
        <v>8</v>
      </c>
      <c r="J758">
        <f t="shared" si="123"/>
        <v>725</v>
      </c>
      <c r="K758" s="5">
        <f t="shared" si="124"/>
        <v>0</v>
      </c>
      <c r="L758">
        <f t="shared" si="125"/>
        <v>53.4</v>
      </c>
      <c r="M758">
        <f t="shared" si="126"/>
        <v>1</v>
      </c>
      <c r="N758">
        <f t="shared" si="127"/>
        <v>0</v>
      </c>
    </row>
    <row r="759" spans="4:14" x14ac:dyDescent="0.2">
      <c r="D759">
        <f t="shared" si="129"/>
        <v>736</v>
      </c>
      <c r="E759" s="1">
        <f t="shared" si="130"/>
        <v>-85.07574158382036</v>
      </c>
      <c r="F759" s="1">
        <f t="shared" si="131"/>
        <v>-85.652354948124355</v>
      </c>
      <c r="G759" s="1">
        <f t="shared" si="128"/>
        <v>6.3336620111516372E-38</v>
      </c>
      <c r="H759" s="1">
        <f t="shared" si="121"/>
        <v>6.561539797796244E-39</v>
      </c>
      <c r="I759">
        <f t="shared" si="122"/>
        <v>8</v>
      </c>
      <c r="J759">
        <f t="shared" si="123"/>
        <v>726</v>
      </c>
      <c r="K759" s="5">
        <f t="shared" si="124"/>
        <v>0</v>
      </c>
      <c r="L759">
        <f t="shared" si="125"/>
        <v>53.4</v>
      </c>
      <c r="M759">
        <f t="shared" si="126"/>
        <v>1</v>
      </c>
      <c r="N759">
        <f t="shared" si="127"/>
        <v>0</v>
      </c>
    </row>
    <row r="760" spans="4:14" x14ac:dyDescent="0.2">
      <c r="D760">
        <f t="shared" si="129"/>
        <v>737</v>
      </c>
      <c r="E760" s="1">
        <f t="shared" si="130"/>
        <v>-85.192275400076312</v>
      </c>
      <c r="F760" s="1">
        <f t="shared" si="131"/>
        <v>-85.768888764380307</v>
      </c>
      <c r="G760" s="1">
        <f t="shared" si="128"/>
        <v>5.6369591899249533E-38</v>
      </c>
      <c r="H760" s="1">
        <f t="shared" si="121"/>
        <v>5.839770420038654E-39</v>
      </c>
      <c r="I760">
        <f t="shared" si="122"/>
        <v>8</v>
      </c>
      <c r="J760">
        <f t="shared" si="123"/>
        <v>727</v>
      </c>
      <c r="K760" s="5">
        <f t="shared" si="124"/>
        <v>0</v>
      </c>
      <c r="L760">
        <f t="shared" si="125"/>
        <v>53.4</v>
      </c>
      <c r="M760">
        <f t="shared" si="126"/>
        <v>1</v>
      </c>
      <c r="N760">
        <f t="shared" si="127"/>
        <v>0</v>
      </c>
    </row>
    <row r="761" spans="4:14" x14ac:dyDescent="0.2">
      <c r="D761">
        <f t="shared" si="129"/>
        <v>738</v>
      </c>
      <c r="E761" s="1">
        <f t="shared" si="130"/>
        <v>-85.308809216332264</v>
      </c>
      <c r="F761" s="1">
        <f t="shared" si="131"/>
        <v>-85.885422580636259</v>
      </c>
      <c r="G761" s="1">
        <f t="shared" si="128"/>
        <v>5.0168936790332054E-38</v>
      </c>
      <c r="H761" s="1">
        <f t="shared" si="121"/>
        <v>5.1973956738343989E-39</v>
      </c>
      <c r="I761">
        <f t="shared" si="122"/>
        <v>8</v>
      </c>
      <c r="J761">
        <f t="shared" si="123"/>
        <v>728</v>
      </c>
      <c r="K761" s="5">
        <f t="shared" si="124"/>
        <v>0</v>
      </c>
      <c r="L761">
        <f t="shared" si="125"/>
        <v>53.4</v>
      </c>
      <c r="M761">
        <f t="shared" si="126"/>
        <v>1</v>
      </c>
      <c r="N761">
        <f t="shared" si="127"/>
        <v>0</v>
      </c>
    </row>
    <row r="762" spans="4:14" x14ac:dyDescent="0.2">
      <c r="D762">
        <f t="shared" si="129"/>
        <v>739</v>
      </c>
      <c r="E762" s="1">
        <f t="shared" si="130"/>
        <v>-85.425343032588216</v>
      </c>
      <c r="F762" s="1">
        <f t="shared" si="131"/>
        <v>-86.001956396892211</v>
      </c>
      <c r="G762" s="1">
        <f t="shared" si="128"/>
        <v>4.46503537433955E-38</v>
      </c>
      <c r="H762" s="1">
        <f t="shared" si="121"/>
        <v>4.6256821497126121E-39</v>
      </c>
      <c r="I762">
        <f t="shared" si="122"/>
        <v>8</v>
      </c>
      <c r="J762">
        <f t="shared" si="123"/>
        <v>729</v>
      </c>
      <c r="K762" s="5">
        <f t="shared" si="124"/>
        <v>0</v>
      </c>
      <c r="L762">
        <f t="shared" si="125"/>
        <v>53.4</v>
      </c>
      <c r="M762">
        <f t="shared" si="126"/>
        <v>1</v>
      </c>
      <c r="N762">
        <f t="shared" si="127"/>
        <v>0</v>
      </c>
    </row>
    <row r="763" spans="4:14" x14ac:dyDescent="0.2">
      <c r="D763">
        <f t="shared" si="129"/>
        <v>740</v>
      </c>
      <c r="E763" s="1">
        <f t="shared" si="130"/>
        <v>-85.541876848844169</v>
      </c>
      <c r="F763" s="1">
        <f t="shared" si="131"/>
        <v>-86.118490213148164</v>
      </c>
      <c r="G763" s="1">
        <f t="shared" si="128"/>
        <v>3.9738814831621972E-38</v>
      </c>
      <c r="H763" s="1">
        <f t="shared" si="121"/>
        <v>4.1168571132442221E-39</v>
      </c>
      <c r="I763">
        <f t="shared" si="122"/>
        <v>8</v>
      </c>
      <c r="J763">
        <f t="shared" si="123"/>
        <v>730</v>
      </c>
      <c r="K763" s="5">
        <f t="shared" si="124"/>
        <v>0</v>
      </c>
      <c r="L763">
        <f t="shared" si="125"/>
        <v>53.4</v>
      </c>
      <c r="M763">
        <f t="shared" si="126"/>
        <v>1</v>
      </c>
      <c r="N763">
        <f t="shared" si="127"/>
        <v>0</v>
      </c>
    </row>
    <row r="764" spans="4:14" x14ac:dyDescent="0.2">
      <c r="D764">
        <f t="shared" si="129"/>
        <v>741</v>
      </c>
      <c r="E764" s="1">
        <f t="shared" si="130"/>
        <v>-85.658410665100121</v>
      </c>
      <c r="F764" s="1">
        <f t="shared" si="131"/>
        <v>-86.235024029404116</v>
      </c>
      <c r="G764" s="1">
        <f t="shared" si="128"/>
        <v>3.5367545200143534E-38</v>
      </c>
      <c r="H764" s="1">
        <f t="shared" si="121"/>
        <v>3.6640028307873554E-39</v>
      </c>
      <c r="I764">
        <f t="shared" si="122"/>
        <v>8</v>
      </c>
      <c r="J764">
        <f t="shared" si="123"/>
        <v>731</v>
      </c>
      <c r="K764" s="5">
        <f t="shared" si="124"/>
        <v>0</v>
      </c>
      <c r="L764">
        <f t="shared" si="125"/>
        <v>53.4</v>
      </c>
      <c r="M764">
        <f t="shared" si="126"/>
        <v>1</v>
      </c>
      <c r="N764">
        <f t="shared" si="127"/>
        <v>0</v>
      </c>
    </row>
    <row r="765" spans="4:14" x14ac:dyDescent="0.2">
      <c r="D765">
        <f t="shared" si="129"/>
        <v>742</v>
      </c>
      <c r="E765" s="1">
        <f t="shared" si="130"/>
        <v>-85.774944481356073</v>
      </c>
      <c r="F765" s="1">
        <f t="shared" si="131"/>
        <v>-86.351557845660068</v>
      </c>
      <c r="G765" s="1">
        <f t="shared" si="128"/>
        <v>3.1477115228127725E-38</v>
      </c>
      <c r="H765" s="1">
        <f t="shared" si="121"/>
        <v>3.2609625194007442E-39</v>
      </c>
      <c r="I765">
        <f t="shared" si="122"/>
        <v>8</v>
      </c>
      <c r="J765">
        <f t="shared" si="123"/>
        <v>732</v>
      </c>
      <c r="K765" s="5">
        <f t="shared" si="124"/>
        <v>0</v>
      </c>
      <c r="L765">
        <f t="shared" si="125"/>
        <v>53.4</v>
      </c>
      <c r="M765">
        <f t="shared" si="126"/>
        <v>1</v>
      </c>
      <c r="N765">
        <f t="shared" si="127"/>
        <v>0</v>
      </c>
    </row>
    <row r="766" spans="4:14" x14ac:dyDescent="0.2">
      <c r="D766">
        <f t="shared" si="129"/>
        <v>743</v>
      </c>
      <c r="E766" s="1">
        <f t="shared" si="130"/>
        <v>-85.891478297612025</v>
      </c>
      <c r="F766" s="1">
        <f t="shared" si="131"/>
        <v>-86.46809166191602</v>
      </c>
      <c r="G766" s="1">
        <f t="shared" si="128"/>
        <v>2.8014632553033655E-38</v>
      </c>
      <c r="H766" s="1">
        <f t="shared" si="121"/>
        <v>2.9022566422666606E-39</v>
      </c>
      <c r="I766">
        <f t="shared" si="122"/>
        <v>8</v>
      </c>
      <c r="J766">
        <f t="shared" si="123"/>
        <v>733</v>
      </c>
      <c r="K766" s="5">
        <f t="shared" si="124"/>
        <v>0</v>
      </c>
      <c r="L766">
        <f t="shared" si="125"/>
        <v>53.4</v>
      </c>
      <c r="M766">
        <f t="shared" si="126"/>
        <v>1</v>
      </c>
      <c r="N766">
        <f t="shared" si="127"/>
        <v>0</v>
      </c>
    </row>
    <row r="767" spans="4:14" x14ac:dyDescent="0.2">
      <c r="D767">
        <f t="shared" si="129"/>
        <v>744</v>
      </c>
      <c r="E767" s="1">
        <f t="shared" si="130"/>
        <v>-86.008012113867977</v>
      </c>
      <c r="F767" s="1">
        <f t="shared" si="131"/>
        <v>-86.584625478171972</v>
      </c>
      <c r="G767" s="1">
        <f t="shared" si="128"/>
        <v>2.4933022972199938E-38</v>
      </c>
      <c r="H767" s="1">
        <f t="shared" si="121"/>
        <v>2.5830084116173263E-39</v>
      </c>
      <c r="I767">
        <f t="shared" si="122"/>
        <v>8</v>
      </c>
      <c r="J767">
        <f t="shared" si="123"/>
        <v>734</v>
      </c>
      <c r="K767" s="5">
        <f t="shared" si="124"/>
        <v>0</v>
      </c>
      <c r="L767">
        <f t="shared" si="125"/>
        <v>53.4</v>
      </c>
      <c r="M767">
        <f t="shared" si="126"/>
        <v>1</v>
      </c>
      <c r="N767">
        <f t="shared" si="127"/>
        <v>0</v>
      </c>
    </row>
    <row r="768" spans="4:14" x14ac:dyDescent="0.2">
      <c r="D768">
        <f t="shared" si="129"/>
        <v>745</v>
      </c>
      <c r="E768" s="1">
        <f t="shared" si="130"/>
        <v>-86.124545930123929</v>
      </c>
      <c r="F768" s="1">
        <f t="shared" si="131"/>
        <v>-86.701159294427924</v>
      </c>
      <c r="G768" s="1">
        <f t="shared" si="128"/>
        <v>2.2190390445257933E-38</v>
      </c>
      <c r="H768" s="1">
        <f t="shared" si="121"/>
        <v>2.298877486339419E-39</v>
      </c>
      <c r="I768">
        <f t="shared" si="122"/>
        <v>8</v>
      </c>
      <c r="J768">
        <f t="shared" si="123"/>
        <v>735</v>
      </c>
      <c r="K768" s="5">
        <f t="shared" si="124"/>
        <v>0</v>
      </c>
      <c r="L768">
        <f t="shared" si="125"/>
        <v>53.4</v>
      </c>
      <c r="M768">
        <f t="shared" si="126"/>
        <v>1</v>
      </c>
      <c r="N768">
        <f t="shared" si="127"/>
        <v>0</v>
      </c>
    </row>
    <row r="769" spans="4:14" x14ac:dyDescent="0.2">
      <c r="D769">
        <f t="shared" si="129"/>
        <v>746</v>
      </c>
      <c r="E769" s="1">
        <f t="shared" si="130"/>
        <v>-86.241079746379881</v>
      </c>
      <c r="F769" s="1">
        <f t="shared" si="131"/>
        <v>-86.817693110683877</v>
      </c>
      <c r="G769" s="1">
        <f t="shared" si="128"/>
        <v>1.9749447496279548E-38</v>
      </c>
      <c r="H769" s="1">
        <f t="shared" si="121"/>
        <v>2.0460009628420818E-39</v>
      </c>
      <c r="I769">
        <f t="shared" si="122"/>
        <v>8</v>
      </c>
      <c r="J769">
        <f t="shared" si="123"/>
        <v>736</v>
      </c>
      <c r="K769" s="5">
        <f t="shared" si="124"/>
        <v>0</v>
      </c>
      <c r="L769">
        <f t="shared" si="125"/>
        <v>53.4</v>
      </c>
      <c r="M769">
        <f t="shared" si="126"/>
        <v>1</v>
      </c>
      <c r="N769">
        <f t="shared" si="127"/>
        <v>0</v>
      </c>
    </row>
    <row r="770" spans="4:14" x14ac:dyDescent="0.2">
      <c r="D770">
        <f t="shared" si="129"/>
        <v>747</v>
      </c>
      <c r="E770" s="1">
        <f t="shared" si="130"/>
        <v>-86.357613562635834</v>
      </c>
      <c r="F770" s="1">
        <f t="shared" si="131"/>
        <v>-86.934226926939829</v>
      </c>
      <c r="G770" s="1">
        <f t="shared" si="128"/>
        <v>1.7577008271688786E-38</v>
      </c>
      <c r="H770" s="1">
        <f t="shared" si="121"/>
        <v>1.8209408569294516E-39</v>
      </c>
      <c r="I770">
        <f t="shared" si="122"/>
        <v>8</v>
      </c>
      <c r="J770">
        <f t="shared" si="123"/>
        <v>737</v>
      </c>
      <c r="K770" s="5">
        <f t="shared" si="124"/>
        <v>0</v>
      </c>
      <c r="L770">
        <f t="shared" si="125"/>
        <v>53.4</v>
      </c>
      <c r="M770">
        <f t="shared" si="126"/>
        <v>1</v>
      </c>
      <c r="N770">
        <f t="shared" si="127"/>
        <v>0</v>
      </c>
    </row>
    <row r="771" spans="4:14" x14ac:dyDescent="0.2">
      <c r="D771">
        <f t="shared" si="129"/>
        <v>748</v>
      </c>
      <c r="E771" s="1">
        <f t="shared" si="130"/>
        <v>-86.474147378891786</v>
      </c>
      <c r="F771" s="1">
        <f t="shared" si="131"/>
        <v>-87.050760743195781</v>
      </c>
      <c r="G771" s="1">
        <f t="shared" si="128"/>
        <v>1.564353736180301E-38</v>
      </c>
      <c r="H771" s="1">
        <f t="shared" si="121"/>
        <v>1.6206373626672109E-39</v>
      </c>
      <c r="I771">
        <f t="shared" si="122"/>
        <v>8</v>
      </c>
      <c r="J771">
        <f t="shared" si="123"/>
        <v>738</v>
      </c>
      <c r="K771" s="5">
        <f t="shared" si="124"/>
        <v>0</v>
      </c>
      <c r="L771">
        <f t="shared" si="125"/>
        <v>53.4</v>
      </c>
      <c r="M771">
        <f t="shared" si="126"/>
        <v>1</v>
      </c>
      <c r="N771">
        <f t="shared" si="127"/>
        <v>0</v>
      </c>
    </row>
    <row r="772" spans="4:14" x14ac:dyDescent="0.2">
      <c r="D772">
        <f t="shared" si="129"/>
        <v>749</v>
      </c>
      <c r="E772" s="1">
        <f t="shared" si="130"/>
        <v>-86.590681195147738</v>
      </c>
      <c r="F772" s="1">
        <f t="shared" si="131"/>
        <v>-87.167294559451733</v>
      </c>
      <c r="G772" s="1">
        <f t="shared" si="128"/>
        <v>1.3922748252004669E-38</v>
      </c>
      <c r="H772" s="1">
        <f t="shared" si="121"/>
        <v>1.4423672527738166E-39</v>
      </c>
      <c r="I772">
        <f t="shared" si="122"/>
        <v>8</v>
      </c>
      <c r="J772">
        <f t="shared" si="123"/>
        <v>739</v>
      </c>
      <c r="K772" s="5">
        <f t="shared" si="124"/>
        <v>0</v>
      </c>
      <c r="L772">
        <f t="shared" si="125"/>
        <v>53.4</v>
      </c>
      <c r="M772">
        <f t="shared" si="126"/>
        <v>1</v>
      </c>
      <c r="N772">
        <f t="shared" si="127"/>
        <v>0</v>
      </c>
    </row>
    <row r="773" spans="4:14" x14ac:dyDescent="0.2">
      <c r="D773">
        <f t="shared" si="129"/>
        <v>750</v>
      </c>
      <c r="E773" s="1">
        <f t="shared" si="130"/>
        <v>-86.70721501140369</v>
      </c>
      <c r="F773" s="1">
        <f t="shared" si="131"/>
        <v>-87.283828375707685</v>
      </c>
      <c r="G773" s="1">
        <f t="shared" si="128"/>
        <v>1.2391245944284149E-38</v>
      </c>
      <c r="H773" s="1">
        <f t="shared" si="121"/>
        <v>1.2837068549686961E-39</v>
      </c>
      <c r="I773">
        <f t="shared" si="122"/>
        <v>8</v>
      </c>
      <c r="J773">
        <f t="shared" si="123"/>
        <v>740</v>
      </c>
      <c r="K773" s="5">
        <f t="shared" si="124"/>
        <v>0</v>
      </c>
      <c r="L773">
        <f t="shared" si="125"/>
        <v>53.4</v>
      </c>
      <c r="M773">
        <f t="shared" si="126"/>
        <v>1</v>
      </c>
      <c r="N773">
        <f t="shared" si="127"/>
        <v>0</v>
      </c>
    </row>
    <row r="774" spans="4:14" x14ac:dyDescent="0.2">
      <c r="D774">
        <f t="shared" si="129"/>
        <v>751</v>
      </c>
      <c r="E774" s="1">
        <f t="shared" si="130"/>
        <v>-86.823748827659642</v>
      </c>
      <c r="F774" s="1">
        <f t="shared" si="131"/>
        <v>-87.400362191963637</v>
      </c>
      <c r="G774" s="1">
        <f t="shared" si="128"/>
        <v>1.1028208890412885E-38</v>
      </c>
      <c r="H774" s="1">
        <f t="shared" si="121"/>
        <v>1.1424991009221387E-39</v>
      </c>
      <c r="I774">
        <f t="shared" si="122"/>
        <v>8</v>
      </c>
      <c r="J774">
        <f t="shared" si="123"/>
        <v>741</v>
      </c>
      <c r="K774" s="5">
        <f t="shared" si="124"/>
        <v>0</v>
      </c>
      <c r="L774">
        <f t="shared" si="125"/>
        <v>53.4</v>
      </c>
      <c r="M774">
        <f t="shared" si="126"/>
        <v>1</v>
      </c>
      <c r="N774">
        <f t="shared" si="127"/>
        <v>0</v>
      </c>
    </row>
    <row r="775" spans="4:14" x14ac:dyDescent="0.2">
      <c r="D775">
        <f t="shared" si="129"/>
        <v>752</v>
      </c>
      <c r="E775" s="1">
        <f t="shared" si="130"/>
        <v>-86.940282643915594</v>
      </c>
      <c r="F775" s="1">
        <f t="shared" si="131"/>
        <v>-87.516896008219589</v>
      </c>
      <c r="G775" s="1">
        <f t="shared" si="128"/>
        <v>9.8151059124674615E-39</v>
      </c>
      <c r="H775" s="1">
        <f t="shared" si="121"/>
        <v>1.0168241998207029E-39</v>
      </c>
      <c r="I775">
        <f t="shared" si="122"/>
        <v>8</v>
      </c>
      <c r="J775">
        <f t="shared" si="123"/>
        <v>742</v>
      </c>
      <c r="K775" s="5">
        <f t="shared" si="124"/>
        <v>0</v>
      </c>
      <c r="L775">
        <f t="shared" si="125"/>
        <v>53.4</v>
      </c>
      <c r="M775">
        <f t="shared" si="126"/>
        <v>1</v>
      </c>
      <c r="N775">
        <f t="shared" si="127"/>
        <v>0</v>
      </c>
    </row>
    <row r="776" spans="4:14" x14ac:dyDescent="0.2">
      <c r="D776">
        <f t="shared" si="129"/>
        <v>753</v>
      </c>
      <c r="E776" s="1">
        <f t="shared" si="130"/>
        <v>-87.056816460171547</v>
      </c>
      <c r="F776" s="1">
        <f t="shared" si="131"/>
        <v>-87.633429824475542</v>
      </c>
      <c r="G776" s="1">
        <f t="shared" si="128"/>
        <v>8.7354442620960346E-39</v>
      </c>
      <c r="H776" s="1">
        <f t="shared" si="121"/>
        <v>9.0497353784042497E-40</v>
      </c>
      <c r="I776">
        <f t="shared" si="122"/>
        <v>8</v>
      </c>
      <c r="J776">
        <f t="shared" si="123"/>
        <v>743</v>
      </c>
      <c r="K776" s="5">
        <f t="shared" si="124"/>
        <v>0</v>
      </c>
      <c r="L776">
        <f t="shared" si="125"/>
        <v>53.4</v>
      </c>
      <c r="M776">
        <f t="shared" si="126"/>
        <v>1</v>
      </c>
      <c r="N776">
        <f t="shared" si="127"/>
        <v>0</v>
      </c>
    </row>
    <row r="777" spans="4:14" x14ac:dyDescent="0.2">
      <c r="D777">
        <f t="shared" si="129"/>
        <v>754</v>
      </c>
      <c r="E777" s="1">
        <f t="shared" si="130"/>
        <v>-87.173350276427499</v>
      </c>
      <c r="F777" s="1">
        <f t="shared" si="131"/>
        <v>-87.749963640731494</v>
      </c>
      <c r="G777" s="1">
        <f t="shared" si="128"/>
        <v>7.7745453932654667E-39</v>
      </c>
      <c r="H777" s="1">
        <f t="shared" si="121"/>
        <v>8.0542644867797769E-40</v>
      </c>
      <c r="I777">
        <f t="shared" si="122"/>
        <v>8</v>
      </c>
      <c r="J777">
        <f t="shared" si="123"/>
        <v>744</v>
      </c>
      <c r="K777" s="5">
        <f t="shared" si="124"/>
        <v>0</v>
      </c>
      <c r="L777">
        <f t="shared" si="125"/>
        <v>53.4</v>
      </c>
      <c r="M777">
        <f t="shared" si="126"/>
        <v>1</v>
      </c>
      <c r="N777">
        <f t="shared" si="127"/>
        <v>0</v>
      </c>
    </row>
    <row r="778" spans="4:14" x14ac:dyDescent="0.2">
      <c r="D778">
        <f t="shared" si="129"/>
        <v>755</v>
      </c>
      <c r="E778" s="1">
        <f t="shared" si="130"/>
        <v>-87.289884092683451</v>
      </c>
      <c r="F778" s="1">
        <f t="shared" si="131"/>
        <v>-87.866497456987446</v>
      </c>
      <c r="G778" s="1">
        <f t="shared" si="128"/>
        <v>6.9193454000062603E-39</v>
      </c>
      <c r="H778" s="1">
        <f t="shared" si="121"/>
        <v>7.168295393233997E-40</v>
      </c>
      <c r="I778">
        <f t="shared" si="122"/>
        <v>8</v>
      </c>
      <c r="J778">
        <f t="shared" si="123"/>
        <v>745</v>
      </c>
      <c r="K778" s="5">
        <f t="shared" si="124"/>
        <v>0</v>
      </c>
      <c r="L778">
        <f t="shared" si="125"/>
        <v>53.4</v>
      </c>
      <c r="M778">
        <f t="shared" si="126"/>
        <v>1</v>
      </c>
      <c r="N778">
        <f t="shared" si="127"/>
        <v>0</v>
      </c>
    </row>
    <row r="779" spans="4:14" x14ac:dyDescent="0.2">
      <c r="D779">
        <f t="shared" si="129"/>
        <v>756</v>
      </c>
      <c r="E779" s="1">
        <f t="shared" si="130"/>
        <v>-87.406417908939403</v>
      </c>
      <c r="F779" s="1">
        <f t="shared" si="131"/>
        <v>-87.983031273243398</v>
      </c>
      <c r="G779" s="1">
        <f t="shared" si="128"/>
        <v>6.158217406005568E-39</v>
      </c>
      <c r="H779" s="1">
        <f t="shared" si="121"/>
        <v>6.3797828999782535E-40</v>
      </c>
      <c r="I779">
        <f t="shared" si="122"/>
        <v>8</v>
      </c>
      <c r="J779">
        <f t="shared" si="123"/>
        <v>746</v>
      </c>
      <c r="K779" s="5">
        <f t="shared" si="124"/>
        <v>0</v>
      </c>
      <c r="L779">
        <f t="shared" si="125"/>
        <v>53.4</v>
      </c>
      <c r="M779">
        <f t="shared" si="126"/>
        <v>1</v>
      </c>
      <c r="N779">
        <f t="shared" si="127"/>
        <v>0</v>
      </c>
    </row>
    <row r="780" spans="4:14" x14ac:dyDescent="0.2">
      <c r="D780">
        <f t="shared" si="129"/>
        <v>757</v>
      </c>
      <c r="E780" s="1">
        <f t="shared" si="130"/>
        <v>-87.522951725195355</v>
      </c>
      <c r="F780" s="1">
        <f t="shared" si="131"/>
        <v>-88.09956508949935</v>
      </c>
      <c r="G780" s="1">
        <f t="shared" si="128"/>
        <v>5.4808134913449521E-39</v>
      </c>
      <c r="H780" s="1">
        <f t="shared" si="121"/>
        <v>5.6780067809806422E-40</v>
      </c>
      <c r="I780">
        <f t="shared" si="122"/>
        <v>8</v>
      </c>
      <c r="J780">
        <f t="shared" si="123"/>
        <v>747</v>
      </c>
      <c r="K780" s="5">
        <f t="shared" si="124"/>
        <v>0</v>
      </c>
      <c r="L780">
        <f t="shared" si="125"/>
        <v>53.4</v>
      </c>
      <c r="M780">
        <f t="shared" si="126"/>
        <v>1</v>
      </c>
      <c r="N780">
        <f t="shared" si="127"/>
        <v>0</v>
      </c>
    </row>
    <row r="781" spans="4:14" x14ac:dyDescent="0.2">
      <c r="D781">
        <f t="shared" si="129"/>
        <v>758</v>
      </c>
      <c r="E781" s="1">
        <f t="shared" si="130"/>
        <v>-87.639485541451307</v>
      </c>
      <c r="F781" s="1">
        <f t="shared" si="131"/>
        <v>-88.216098905755302</v>
      </c>
      <c r="G781" s="1">
        <f t="shared" si="128"/>
        <v>4.8779240072970046E-39</v>
      </c>
      <c r="H781" s="1">
        <f t="shared" si="121"/>
        <v>5.0534260350727683E-40</v>
      </c>
      <c r="I781">
        <f t="shared" si="122"/>
        <v>8</v>
      </c>
      <c r="J781">
        <f t="shared" si="123"/>
        <v>748</v>
      </c>
      <c r="K781" s="5">
        <f t="shared" si="124"/>
        <v>0</v>
      </c>
      <c r="L781">
        <f t="shared" si="125"/>
        <v>53.4</v>
      </c>
      <c r="M781">
        <f t="shared" si="126"/>
        <v>1</v>
      </c>
      <c r="N781">
        <f t="shared" si="127"/>
        <v>0</v>
      </c>
    </row>
    <row r="782" spans="4:14" x14ac:dyDescent="0.2">
      <c r="D782">
        <f t="shared" si="129"/>
        <v>759</v>
      </c>
      <c r="E782" s="1">
        <f t="shared" si="130"/>
        <v>-87.75601935770726</v>
      </c>
      <c r="F782" s="1">
        <f t="shared" si="131"/>
        <v>-88.332632722011255</v>
      </c>
      <c r="G782" s="1">
        <f t="shared" si="128"/>
        <v>4.3413523664943308E-39</v>
      </c>
      <c r="H782" s="1">
        <f t="shared" si="121"/>
        <v>4.4975491712147608E-40</v>
      </c>
      <c r="I782">
        <f t="shared" si="122"/>
        <v>8</v>
      </c>
      <c r="J782">
        <f t="shared" si="123"/>
        <v>749</v>
      </c>
      <c r="K782" s="5">
        <f t="shared" si="124"/>
        <v>0</v>
      </c>
      <c r="L782">
        <f t="shared" si="125"/>
        <v>53.4</v>
      </c>
      <c r="M782">
        <f t="shared" si="126"/>
        <v>1</v>
      </c>
      <c r="N782">
        <f t="shared" si="127"/>
        <v>0</v>
      </c>
    </row>
    <row r="783" spans="4:14" x14ac:dyDescent="0.2">
      <c r="D783">
        <f t="shared" si="129"/>
        <v>760</v>
      </c>
      <c r="E783" s="1">
        <f t="shared" si="130"/>
        <v>-87.872553173963212</v>
      </c>
      <c r="F783" s="1">
        <f t="shared" si="131"/>
        <v>-88.449166538267207</v>
      </c>
      <c r="G783" s="1">
        <f t="shared" si="128"/>
        <v>3.8638036061799524E-39</v>
      </c>
      <c r="H783" s="1">
        <f t="shared" si="121"/>
        <v>4.0028187623811348E-40</v>
      </c>
      <c r="I783">
        <f t="shared" si="122"/>
        <v>8</v>
      </c>
      <c r="J783">
        <f t="shared" si="123"/>
        <v>750</v>
      </c>
      <c r="K783" s="5">
        <f t="shared" si="124"/>
        <v>0</v>
      </c>
      <c r="L783">
        <f t="shared" si="125"/>
        <v>53.4</v>
      </c>
      <c r="M783">
        <f t="shared" si="126"/>
        <v>1</v>
      </c>
      <c r="N783">
        <f t="shared" si="127"/>
        <v>0</v>
      </c>
    </row>
    <row r="784" spans="4:14" x14ac:dyDescent="0.2">
      <c r="D784">
        <f t="shared" si="129"/>
        <v>761</v>
      </c>
      <c r="E784" s="1">
        <f t="shared" si="130"/>
        <v>-87.989086990219164</v>
      </c>
      <c r="F784" s="1">
        <f t="shared" si="131"/>
        <v>-88.565700354523159</v>
      </c>
      <c r="G784" s="1">
        <f t="shared" si="128"/>
        <v>3.438785209500155E-39</v>
      </c>
      <c r="H784" s="1">
        <f t="shared" si="121"/>
        <v>3.5625086985192072E-40</v>
      </c>
      <c r="I784">
        <f t="shared" si="122"/>
        <v>8</v>
      </c>
      <c r="J784">
        <f t="shared" si="123"/>
        <v>751</v>
      </c>
      <c r="K784" s="5">
        <f t="shared" si="124"/>
        <v>0</v>
      </c>
      <c r="L784">
        <f t="shared" si="125"/>
        <v>53.4</v>
      </c>
      <c r="M784">
        <f t="shared" si="126"/>
        <v>1</v>
      </c>
      <c r="N784">
        <f t="shared" si="127"/>
        <v>0</v>
      </c>
    </row>
    <row r="785" spans="4:14" x14ac:dyDescent="0.2">
      <c r="D785">
        <f t="shared" si="129"/>
        <v>762</v>
      </c>
      <c r="E785" s="1">
        <f t="shared" si="130"/>
        <v>-88.105620806475116</v>
      </c>
      <c r="F785" s="1">
        <f t="shared" si="131"/>
        <v>-88.682234170779111</v>
      </c>
      <c r="G785" s="1">
        <f t="shared" si="128"/>
        <v>3.0605188364551363E-39</v>
      </c>
      <c r="H785" s="1">
        <f t="shared" si="121"/>
        <v>3.1706327416820929E-40</v>
      </c>
      <c r="I785">
        <f t="shared" si="122"/>
        <v>8</v>
      </c>
      <c r="J785">
        <f t="shared" si="123"/>
        <v>752</v>
      </c>
      <c r="K785" s="5">
        <f t="shared" si="124"/>
        <v>0</v>
      </c>
      <c r="L785">
        <f t="shared" si="125"/>
        <v>53.4</v>
      </c>
      <c r="M785">
        <f t="shared" si="126"/>
        <v>1</v>
      </c>
      <c r="N785">
        <f t="shared" si="127"/>
        <v>0</v>
      </c>
    </row>
    <row r="786" spans="4:14" x14ac:dyDescent="0.2">
      <c r="D786">
        <f t="shared" si="129"/>
        <v>763</v>
      </c>
      <c r="E786" s="1">
        <f t="shared" si="130"/>
        <v>-88.222154622731068</v>
      </c>
      <c r="F786" s="1">
        <f t="shared" si="131"/>
        <v>-88.798767987035063</v>
      </c>
      <c r="G786" s="1">
        <f t="shared" si="128"/>
        <v>2.7238617644450694E-39</v>
      </c>
      <c r="H786" s="1">
        <f t="shared" si="121"/>
        <v>2.8218631400970608E-40</v>
      </c>
      <c r="I786">
        <f t="shared" si="122"/>
        <v>8</v>
      </c>
      <c r="J786">
        <f t="shared" si="123"/>
        <v>753</v>
      </c>
      <c r="K786" s="5">
        <f t="shared" si="124"/>
        <v>0</v>
      </c>
      <c r="L786">
        <f t="shared" si="125"/>
        <v>53.4</v>
      </c>
      <c r="M786">
        <f t="shared" si="126"/>
        <v>1</v>
      </c>
      <c r="N786">
        <f t="shared" si="127"/>
        <v>0</v>
      </c>
    </row>
    <row r="787" spans="4:14" x14ac:dyDescent="0.2">
      <c r="D787">
        <f t="shared" si="129"/>
        <v>764</v>
      </c>
      <c r="E787" s="1">
        <f t="shared" si="130"/>
        <v>-88.33868843898702</v>
      </c>
      <c r="F787" s="1">
        <f t="shared" si="131"/>
        <v>-88.915301803291015</v>
      </c>
      <c r="G787" s="1">
        <f t="shared" si="128"/>
        <v>2.4242369703561103E-39</v>
      </c>
      <c r="H787" s="1">
        <f t="shared" si="121"/>
        <v>2.5114581946863823E-40</v>
      </c>
      <c r="I787">
        <f t="shared" si="122"/>
        <v>8</v>
      </c>
      <c r="J787">
        <f t="shared" si="123"/>
        <v>754</v>
      </c>
      <c r="K787" s="5">
        <f t="shared" si="124"/>
        <v>0</v>
      </c>
      <c r="L787">
        <f t="shared" si="125"/>
        <v>53.4</v>
      </c>
      <c r="M787">
        <f t="shared" si="126"/>
        <v>1</v>
      </c>
      <c r="N787">
        <f t="shared" si="127"/>
        <v>0</v>
      </c>
    </row>
    <row r="788" spans="4:14" x14ac:dyDescent="0.2">
      <c r="D788">
        <f t="shared" si="129"/>
        <v>765</v>
      </c>
      <c r="E788" s="1">
        <f t="shared" si="130"/>
        <v>-88.455222255242973</v>
      </c>
      <c r="F788" s="1">
        <f t="shared" si="131"/>
        <v>-89.031835619546968</v>
      </c>
      <c r="G788" s="1">
        <f t="shared" si="128"/>
        <v>2.1575709036169367E-39</v>
      </c>
      <c r="H788" s="1">
        <f t="shared" si="121"/>
        <v>2.235197793270879E-40</v>
      </c>
      <c r="I788">
        <f t="shared" si="122"/>
        <v>8</v>
      </c>
      <c r="J788">
        <f t="shared" si="123"/>
        <v>755</v>
      </c>
      <c r="K788" s="5">
        <f t="shared" si="124"/>
        <v>0</v>
      </c>
      <c r="L788">
        <f t="shared" si="125"/>
        <v>53.4</v>
      </c>
      <c r="M788">
        <f t="shared" si="126"/>
        <v>1</v>
      </c>
      <c r="N788">
        <f t="shared" si="127"/>
        <v>0</v>
      </c>
    </row>
    <row r="789" spans="4:14" x14ac:dyDescent="0.2">
      <c r="D789">
        <f t="shared" si="129"/>
        <v>766</v>
      </c>
      <c r="E789" s="1">
        <f t="shared" si="130"/>
        <v>-88.571756071498925</v>
      </c>
      <c r="F789" s="1">
        <f t="shared" si="131"/>
        <v>-89.14836943580292</v>
      </c>
      <c r="G789" s="1">
        <f t="shared" si="128"/>
        <v>1.9202381042190728E-39</v>
      </c>
      <c r="H789" s="1">
        <f t="shared" si="121"/>
        <v>1.9893260360110814E-40</v>
      </c>
      <c r="I789">
        <f t="shared" si="122"/>
        <v>8</v>
      </c>
      <c r="J789">
        <f t="shared" si="123"/>
        <v>756</v>
      </c>
      <c r="K789" s="5">
        <f t="shared" si="124"/>
        <v>0</v>
      </c>
      <c r="L789">
        <f t="shared" si="125"/>
        <v>53.4</v>
      </c>
      <c r="M789">
        <f t="shared" si="126"/>
        <v>1</v>
      </c>
      <c r="N789">
        <f t="shared" si="127"/>
        <v>0</v>
      </c>
    </row>
    <row r="790" spans="4:14" x14ac:dyDescent="0.2">
      <c r="D790">
        <f t="shared" si="129"/>
        <v>767</v>
      </c>
      <c r="E790" s="1">
        <f t="shared" si="130"/>
        <v>-88.688289887754877</v>
      </c>
      <c r="F790" s="1">
        <f t="shared" si="131"/>
        <v>-89.264903252058872</v>
      </c>
      <c r="G790" s="1">
        <f t="shared" si="128"/>
        <v>1.7090119127549736E-39</v>
      </c>
      <c r="H790" s="1">
        <f t="shared" si="121"/>
        <v>1.770500172049861E-40</v>
      </c>
      <c r="I790">
        <f t="shared" si="122"/>
        <v>8</v>
      </c>
      <c r="J790">
        <f t="shared" si="123"/>
        <v>757</v>
      </c>
      <c r="K790" s="5">
        <f t="shared" si="124"/>
        <v>0</v>
      </c>
      <c r="L790">
        <f t="shared" si="125"/>
        <v>53.4</v>
      </c>
      <c r="M790">
        <f t="shared" si="126"/>
        <v>1</v>
      </c>
      <c r="N790">
        <f t="shared" si="127"/>
        <v>0</v>
      </c>
    </row>
    <row r="791" spans="4:14" x14ac:dyDescent="0.2">
      <c r="D791">
        <f t="shared" si="129"/>
        <v>768</v>
      </c>
      <c r="E791" s="1">
        <f t="shared" si="130"/>
        <v>-88.804823704010829</v>
      </c>
      <c r="F791" s="1">
        <f t="shared" si="131"/>
        <v>-89.381437068314824</v>
      </c>
      <c r="G791" s="1">
        <f t="shared" si="128"/>
        <v>1.5210206023519254E-39</v>
      </c>
      <c r="H791" s="1">
        <f t="shared" ref="H791:H854" si="132">G791/$G$21</f>
        <v>1.5757451531243752E-40</v>
      </c>
      <c r="I791">
        <f t="shared" ref="I791:I854" si="133">IF($F$11&lt;=D791, IF(D791&lt;=$A$15,D791-$F$11,$C$11),0)</f>
        <v>8</v>
      </c>
      <c r="J791">
        <f t="shared" ref="J791:J854" si="134">IF(D791&lt;=$A$15,0,D791-$A$15)</f>
        <v>758</v>
      </c>
      <c r="K791" s="5">
        <f t="shared" ref="K791:K854" si="135">IF(D791&lt;$F$11,H791,0)</f>
        <v>0</v>
      </c>
      <c r="L791">
        <f t="shared" ref="L791:L854" si="136">IF(D791&lt;$A$15,$D$11,$D$11*(1-$H$11))</f>
        <v>53.4</v>
      </c>
      <c r="M791">
        <f t="shared" ref="M791:M854" si="137">IF(D791&lt;$A$15,0,1)</f>
        <v>1</v>
      </c>
      <c r="N791">
        <f t="shared" ref="N791:N854" si="138">IF(SUM(I791:J791)&lt;=($G$11/60*$F$11/($E$11/60)),1,0)</f>
        <v>0</v>
      </c>
    </row>
    <row r="792" spans="4:14" x14ac:dyDescent="0.2">
      <c r="D792">
        <f t="shared" si="129"/>
        <v>769</v>
      </c>
      <c r="E792" s="1">
        <f t="shared" si="130"/>
        <v>-88.921357520266781</v>
      </c>
      <c r="F792" s="1">
        <f t="shared" si="131"/>
        <v>-89.497970884570776</v>
      </c>
      <c r="G792" s="1">
        <f t="shared" ref="G792:G855" si="139">EXP(F792)</f>
        <v>1.3537083360932129E-39</v>
      </c>
      <c r="H792" s="1">
        <f t="shared" si="132"/>
        <v>1.4024131862806931E-40</v>
      </c>
      <c r="I792">
        <f t="shared" si="133"/>
        <v>8</v>
      </c>
      <c r="J792">
        <f t="shared" si="134"/>
        <v>759</v>
      </c>
      <c r="K792" s="5">
        <f t="shared" si="135"/>
        <v>0</v>
      </c>
      <c r="L792">
        <f t="shared" si="136"/>
        <v>53.4</v>
      </c>
      <c r="M792">
        <f t="shared" si="137"/>
        <v>1</v>
      </c>
      <c r="N792">
        <f t="shared" si="138"/>
        <v>0</v>
      </c>
    </row>
    <row r="793" spans="4:14" x14ac:dyDescent="0.2">
      <c r="D793">
        <f t="shared" ref="D793:D856" si="140">1+D792</f>
        <v>770</v>
      </c>
      <c r="E793" s="1">
        <f t="shared" ref="E793:E856" si="141">IF($H$11=1,IF(D793&lt;=$A$15, E792+LN($D$11)-LN(60/$E$11)-LN(MIN(D793,$F$11)), E792-LN(60/$E$11)-LN(MIN(D793,$F$11))), IF(D793&lt;=$A$15, E792+LN($D$11)-LN(60/$E$11)-LN(MIN(D793,$F$11)), E792+LN($D$11)+LN(1-$H$11)-LN(60/$E$11)-LN(MIN(D793,$F$11))))</f>
        <v>-89.037891336522733</v>
      </c>
      <c r="F793" s="1">
        <f t="shared" ref="F793:F856" si="142">E793-$E$21</f>
        <v>-89.614504700826728</v>
      </c>
      <c r="G793" s="1">
        <f t="shared" si="139"/>
        <v>1.2048004191229587E-39</v>
      </c>
      <c r="H793" s="1">
        <f t="shared" si="132"/>
        <v>1.2481477357898161E-40</v>
      </c>
      <c r="I793">
        <f t="shared" si="133"/>
        <v>8</v>
      </c>
      <c r="J793">
        <f t="shared" si="134"/>
        <v>760</v>
      </c>
      <c r="K793" s="5">
        <f t="shared" si="135"/>
        <v>0</v>
      </c>
      <c r="L793">
        <f t="shared" si="136"/>
        <v>53.4</v>
      </c>
      <c r="M793">
        <f t="shared" si="137"/>
        <v>1</v>
      </c>
      <c r="N793">
        <f t="shared" si="138"/>
        <v>0</v>
      </c>
    </row>
    <row r="794" spans="4:14" x14ac:dyDescent="0.2">
      <c r="D794">
        <f t="shared" si="140"/>
        <v>771</v>
      </c>
      <c r="E794" s="1">
        <f t="shared" si="141"/>
        <v>-89.154425152778686</v>
      </c>
      <c r="F794" s="1">
        <f t="shared" si="142"/>
        <v>-89.731038517082681</v>
      </c>
      <c r="G794" s="1">
        <f t="shared" si="139"/>
        <v>1.0722723730194326E-39</v>
      </c>
      <c r="H794" s="1">
        <f t="shared" si="132"/>
        <v>1.1108514848529356E-40</v>
      </c>
      <c r="I794">
        <f t="shared" si="133"/>
        <v>8</v>
      </c>
      <c r="J794">
        <f t="shared" si="134"/>
        <v>761</v>
      </c>
      <c r="K794" s="5">
        <f t="shared" si="135"/>
        <v>0</v>
      </c>
      <c r="L794">
        <f t="shared" si="136"/>
        <v>53.4</v>
      </c>
      <c r="M794">
        <f t="shared" si="137"/>
        <v>1</v>
      </c>
      <c r="N794">
        <f t="shared" si="138"/>
        <v>0</v>
      </c>
    </row>
    <row r="795" spans="4:14" x14ac:dyDescent="0.2">
      <c r="D795">
        <f t="shared" si="140"/>
        <v>772</v>
      </c>
      <c r="E795" s="1">
        <f t="shared" si="141"/>
        <v>-89.270958969034638</v>
      </c>
      <c r="F795" s="1">
        <f t="shared" si="142"/>
        <v>-89.847572333338633</v>
      </c>
      <c r="G795" s="1">
        <f t="shared" si="139"/>
        <v>9.5432241198729434E-40</v>
      </c>
      <c r="H795" s="1">
        <f t="shared" si="132"/>
        <v>9.8865782151911211E-41</v>
      </c>
      <c r="I795">
        <f t="shared" si="133"/>
        <v>8</v>
      </c>
      <c r="J795">
        <f t="shared" si="134"/>
        <v>762</v>
      </c>
      <c r="K795" s="5">
        <f t="shared" si="135"/>
        <v>0</v>
      </c>
      <c r="L795">
        <f t="shared" si="136"/>
        <v>53.4</v>
      </c>
      <c r="M795">
        <f t="shared" si="137"/>
        <v>1</v>
      </c>
      <c r="N795">
        <f t="shared" si="138"/>
        <v>0</v>
      </c>
    </row>
    <row r="796" spans="4:14" x14ac:dyDescent="0.2">
      <c r="D796">
        <f t="shared" si="140"/>
        <v>773</v>
      </c>
      <c r="E796" s="1">
        <f t="shared" si="141"/>
        <v>-89.38749278529059</v>
      </c>
      <c r="F796" s="1">
        <f t="shared" si="142"/>
        <v>-89.964106149594585</v>
      </c>
      <c r="G796" s="1">
        <f t="shared" si="139"/>
        <v>8.4934694666869141E-40</v>
      </c>
      <c r="H796" s="1">
        <f t="shared" si="132"/>
        <v>8.7990546115200917E-41</v>
      </c>
      <c r="I796">
        <f t="shared" si="133"/>
        <v>8</v>
      </c>
      <c r="J796">
        <f t="shared" si="134"/>
        <v>763</v>
      </c>
      <c r="K796" s="5">
        <f t="shared" si="135"/>
        <v>0</v>
      </c>
      <c r="L796">
        <f t="shared" si="136"/>
        <v>53.4</v>
      </c>
      <c r="M796">
        <f t="shared" si="137"/>
        <v>1</v>
      </c>
      <c r="N796">
        <f t="shared" si="138"/>
        <v>0</v>
      </c>
    </row>
    <row r="797" spans="4:14" x14ac:dyDescent="0.2">
      <c r="D797">
        <f t="shared" si="140"/>
        <v>774</v>
      </c>
      <c r="E797" s="1">
        <f t="shared" si="141"/>
        <v>-89.504026601546542</v>
      </c>
      <c r="F797" s="1">
        <f t="shared" si="142"/>
        <v>-90.080639965850537</v>
      </c>
      <c r="G797" s="1">
        <f t="shared" si="139"/>
        <v>7.5591878253513488E-40</v>
      </c>
      <c r="H797" s="1">
        <f t="shared" si="132"/>
        <v>7.8311586042528769E-41</v>
      </c>
      <c r="I797">
        <f t="shared" si="133"/>
        <v>8</v>
      </c>
      <c r="J797">
        <f t="shared" si="134"/>
        <v>764</v>
      </c>
      <c r="K797" s="5">
        <f t="shared" si="135"/>
        <v>0</v>
      </c>
      <c r="L797">
        <f t="shared" si="136"/>
        <v>53.4</v>
      </c>
      <c r="M797">
        <f t="shared" si="137"/>
        <v>1</v>
      </c>
      <c r="N797">
        <f t="shared" si="138"/>
        <v>0</v>
      </c>
    </row>
    <row r="798" spans="4:14" x14ac:dyDescent="0.2">
      <c r="D798">
        <f t="shared" si="140"/>
        <v>775</v>
      </c>
      <c r="E798" s="1">
        <f t="shared" si="141"/>
        <v>-89.620560417802494</v>
      </c>
      <c r="F798" s="1">
        <f t="shared" si="142"/>
        <v>-90.197173782106489</v>
      </c>
      <c r="G798" s="1">
        <f t="shared" si="139"/>
        <v>6.7276771645626962E-40</v>
      </c>
      <c r="H798" s="1">
        <f t="shared" si="132"/>
        <v>6.9697311577850558E-41</v>
      </c>
      <c r="I798">
        <f t="shared" si="133"/>
        <v>8</v>
      </c>
      <c r="J798">
        <f t="shared" si="134"/>
        <v>765</v>
      </c>
      <c r="K798" s="5">
        <f t="shared" si="135"/>
        <v>0</v>
      </c>
      <c r="L798">
        <f t="shared" si="136"/>
        <v>53.4</v>
      </c>
      <c r="M798">
        <f t="shared" si="137"/>
        <v>1</v>
      </c>
      <c r="N798">
        <f t="shared" si="138"/>
        <v>0</v>
      </c>
    </row>
    <row r="799" spans="4:14" x14ac:dyDescent="0.2">
      <c r="D799">
        <f t="shared" si="140"/>
        <v>776</v>
      </c>
      <c r="E799" s="1">
        <f t="shared" si="141"/>
        <v>-89.737094234058446</v>
      </c>
      <c r="F799" s="1">
        <f t="shared" si="142"/>
        <v>-90.313707598362441</v>
      </c>
      <c r="G799" s="1">
        <f t="shared" si="139"/>
        <v>5.9876326764607961E-40</v>
      </c>
      <c r="H799" s="1">
        <f t="shared" si="132"/>
        <v>6.2030607304286957E-41</v>
      </c>
      <c r="I799">
        <f t="shared" si="133"/>
        <v>8</v>
      </c>
      <c r="J799">
        <f t="shared" si="134"/>
        <v>766</v>
      </c>
      <c r="K799" s="5">
        <f t="shared" si="135"/>
        <v>0</v>
      </c>
      <c r="L799">
        <f t="shared" si="136"/>
        <v>53.4</v>
      </c>
      <c r="M799">
        <f t="shared" si="137"/>
        <v>1</v>
      </c>
      <c r="N799">
        <f t="shared" si="138"/>
        <v>0</v>
      </c>
    </row>
    <row r="800" spans="4:14" x14ac:dyDescent="0.2">
      <c r="D800">
        <f t="shared" si="140"/>
        <v>777</v>
      </c>
      <c r="E800" s="1">
        <f t="shared" si="141"/>
        <v>-89.853628050314398</v>
      </c>
      <c r="F800" s="1">
        <f t="shared" si="142"/>
        <v>-90.430241414618393</v>
      </c>
      <c r="G800" s="1">
        <f t="shared" si="139"/>
        <v>5.3289930820501054E-40</v>
      </c>
      <c r="H800" s="1">
        <f t="shared" si="132"/>
        <v>5.5207240500815367E-41</v>
      </c>
      <c r="I800">
        <f t="shared" si="133"/>
        <v>8</v>
      </c>
      <c r="J800">
        <f t="shared" si="134"/>
        <v>767</v>
      </c>
      <c r="K800" s="5">
        <f t="shared" si="135"/>
        <v>0</v>
      </c>
      <c r="L800">
        <f t="shared" si="136"/>
        <v>53.4</v>
      </c>
      <c r="M800">
        <f t="shared" si="137"/>
        <v>1</v>
      </c>
      <c r="N800">
        <f t="shared" si="138"/>
        <v>0</v>
      </c>
    </row>
    <row r="801" spans="4:14" x14ac:dyDescent="0.2">
      <c r="D801">
        <f t="shared" si="140"/>
        <v>778</v>
      </c>
      <c r="E801" s="1">
        <f t="shared" si="141"/>
        <v>-89.970161866570351</v>
      </c>
      <c r="F801" s="1">
        <f t="shared" si="142"/>
        <v>-90.546775230874346</v>
      </c>
      <c r="G801" s="1">
        <f t="shared" si="139"/>
        <v>4.7428038430245906E-40</v>
      </c>
      <c r="H801" s="1">
        <f t="shared" si="132"/>
        <v>4.9134444045725637E-41</v>
      </c>
      <c r="I801">
        <f t="shared" si="133"/>
        <v>8</v>
      </c>
      <c r="J801">
        <f t="shared" si="134"/>
        <v>768</v>
      </c>
      <c r="K801" s="5">
        <f t="shared" si="135"/>
        <v>0</v>
      </c>
      <c r="L801">
        <f t="shared" si="136"/>
        <v>53.4</v>
      </c>
      <c r="M801">
        <f t="shared" si="137"/>
        <v>1</v>
      </c>
      <c r="N801">
        <f t="shared" si="138"/>
        <v>0</v>
      </c>
    </row>
    <row r="802" spans="4:14" x14ac:dyDescent="0.2">
      <c r="D802">
        <f t="shared" si="140"/>
        <v>779</v>
      </c>
      <c r="E802" s="1">
        <f t="shared" si="141"/>
        <v>-90.086695682826303</v>
      </c>
      <c r="F802" s="1">
        <f t="shared" si="142"/>
        <v>-90.663309047130298</v>
      </c>
      <c r="G802" s="1">
        <f t="shared" si="139"/>
        <v>4.2210954202918825E-40</v>
      </c>
      <c r="H802" s="1">
        <f t="shared" si="132"/>
        <v>4.3729655200695785E-41</v>
      </c>
      <c r="I802">
        <f t="shared" si="133"/>
        <v>8</v>
      </c>
      <c r="J802">
        <f t="shared" si="134"/>
        <v>769</v>
      </c>
      <c r="K802" s="5">
        <f t="shared" si="135"/>
        <v>0</v>
      </c>
      <c r="L802">
        <f t="shared" si="136"/>
        <v>53.4</v>
      </c>
      <c r="M802">
        <f t="shared" si="137"/>
        <v>1</v>
      </c>
      <c r="N802">
        <f t="shared" si="138"/>
        <v>0</v>
      </c>
    </row>
    <row r="803" spans="4:14" x14ac:dyDescent="0.2">
      <c r="D803">
        <f t="shared" si="140"/>
        <v>780</v>
      </c>
      <c r="E803" s="1">
        <f t="shared" si="141"/>
        <v>-90.203229499082255</v>
      </c>
      <c r="F803" s="1">
        <f t="shared" si="142"/>
        <v>-90.77984286338625</v>
      </c>
      <c r="G803" s="1">
        <f t="shared" si="139"/>
        <v>3.7567749240597736E-40</v>
      </c>
      <c r="H803" s="1">
        <f t="shared" si="132"/>
        <v>3.8919393128619229E-41</v>
      </c>
      <c r="I803">
        <f t="shared" si="133"/>
        <v>8</v>
      </c>
      <c r="J803">
        <f t="shared" si="134"/>
        <v>770</v>
      </c>
      <c r="K803" s="5">
        <f t="shared" si="135"/>
        <v>0</v>
      </c>
      <c r="L803">
        <f t="shared" si="136"/>
        <v>53.4</v>
      </c>
      <c r="M803">
        <f t="shared" si="137"/>
        <v>1</v>
      </c>
      <c r="N803">
        <f t="shared" si="138"/>
        <v>0</v>
      </c>
    </row>
    <row r="804" spans="4:14" x14ac:dyDescent="0.2">
      <c r="D804">
        <f t="shared" si="140"/>
        <v>781</v>
      </c>
      <c r="E804" s="1">
        <f t="shared" si="141"/>
        <v>-90.319763315338207</v>
      </c>
      <c r="F804" s="1">
        <f t="shared" si="142"/>
        <v>-90.896376679642202</v>
      </c>
      <c r="G804" s="1">
        <f t="shared" si="139"/>
        <v>3.3435296824131964E-40</v>
      </c>
      <c r="H804" s="1">
        <f t="shared" si="132"/>
        <v>3.4638259884471094E-41</v>
      </c>
      <c r="I804">
        <f t="shared" si="133"/>
        <v>8</v>
      </c>
      <c r="J804">
        <f t="shared" si="134"/>
        <v>771</v>
      </c>
      <c r="K804" s="5">
        <f t="shared" si="135"/>
        <v>0</v>
      </c>
      <c r="L804">
        <f t="shared" si="136"/>
        <v>53.4</v>
      </c>
      <c r="M804">
        <f t="shared" si="137"/>
        <v>1</v>
      </c>
      <c r="N804">
        <f t="shared" si="138"/>
        <v>0</v>
      </c>
    </row>
    <row r="805" spans="4:14" x14ac:dyDescent="0.2">
      <c r="D805">
        <f t="shared" si="140"/>
        <v>782</v>
      </c>
      <c r="E805" s="1">
        <f t="shared" si="141"/>
        <v>-90.436297131594159</v>
      </c>
      <c r="F805" s="1">
        <f t="shared" si="142"/>
        <v>-91.012910495898154</v>
      </c>
      <c r="G805" s="1">
        <f t="shared" si="139"/>
        <v>2.9757414173477427E-40</v>
      </c>
      <c r="H805" s="1">
        <f t="shared" si="132"/>
        <v>3.0828051297179253E-41</v>
      </c>
      <c r="I805">
        <f t="shared" si="133"/>
        <v>8</v>
      </c>
      <c r="J805">
        <f t="shared" si="134"/>
        <v>772</v>
      </c>
      <c r="K805" s="5">
        <f t="shared" si="135"/>
        <v>0</v>
      </c>
      <c r="L805">
        <f t="shared" si="136"/>
        <v>53.4</v>
      </c>
      <c r="M805">
        <f t="shared" si="137"/>
        <v>1</v>
      </c>
      <c r="N805">
        <f t="shared" si="138"/>
        <v>0</v>
      </c>
    </row>
    <row r="806" spans="4:14" x14ac:dyDescent="0.2">
      <c r="D806">
        <f t="shared" si="140"/>
        <v>783</v>
      </c>
      <c r="E806" s="1">
        <f t="shared" si="141"/>
        <v>-90.552830947850111</v>
      </c>
      <c r="F806" s="1">
        <f t="shared" si="142"/>
        <v>-91.129444312154106</v>
      </c>
      <c r="G806" s="1">
        <f t="shared" si="139"/>
        <v>2.6484098614394896E-40</v>
      </c>
      <c r="H806" s="1">
        <f t="shared" si="132"/>
        <v>2.7436965654489521E-41</v>
      </c>
      <c r="I806">
        <f t="shared" si="133"/>
        <v>8</v>
      </c>
      <c r="J806">
        <f t="shared" si="134"/>
        <v>773</v>
      </c>
      <c r="K806" s="5">
        <f t="shared" si="135"/>
        <v>0</v>
      </c>
      <c r="L806">
        <f t="shared" si="136"/>
        <v>53.4</v>
      </c>
      <c r="M806">
        <f t="shared" si="137"/>
        <v>1</v>
      </c>
      <c r="N806">
        <f t="shared" si="138"/>
        <v>0</v>
      </c>
    </row>
    <row r="807" spans="4:14" x14ac:dyDescent="0.2">
      <c r="D807">
        <f t="shared" si="140"/>
        <v>784</v>
      </c>
      <c r="E807" s="1">
        <f t="shared" si="141"/>
        <v>-90.669364764106064</v>
      </c>
      <c r="F807" s="1">
        <f t="shared" si="142"/>
        <v>-91.245978128410059</v>
      </c>
      <c r="G807" s="1">
        <f t="shared" si="139"/>
        <v>2.3570847766811439E-40</v>
      </c>
      <c r="H807" s="1">
        <f t="shared" si="132"/>
        <v>2.4418899432495653E-41</v>
      </c>
      <c r="I807">
        <f t="shared" si="133"/>
        <v>8</v>
      </c>
      <c r="J807">
        <f t="shared" si="134"/>
        <v>774</v>
      </c>
      <c r="K807" s="5">
        <f t="shared" si="135"/>
        <v>0</v>
      </c>
      <c r="L807">
        <f t="shared" si="136"/>
        <v>53.4</v>
      </c>
      <c r="M807">
        <f t="shared" si="137"/>
        <v>1</v>
      </c>
      <c r="N807">
        <f t="shared" si="138"/>
        <v>0</v>
      </c>
    </row>
    <row r="808" spans="4:14" x14ac:dyDescent="0.2">
      <c r="D808">
        <f t="shared" si="140"/>
        <v>785</v>
      </c>
      <c r="E808" s="1">
        <f t="shared" si="141"/>
        <v>-90.785898580362016</v>
      </c>
      <c r="F808" s="1">
        <f t="shared" si="142"/>
        <v>-91.362511944666011</v>
      </c>
      <c r="G808" s="1">
        <f t="shared" si="139"/>
        <v>2.0978054512462169E-40</v>
      </c>
      <c r="H808" s="1">
        <f t="shared" si="132"/>
        <v>2.1732820494921119E-41</v>
      </c>
      <c r="I808">
        <f t="shared" si="133"/>
        <v>8</v>
      </c>
      <c r="J808">
        <f t="shared" si="134"/>
        <v>775</v>
      </c>
      <c r="K808" s="5">
        <f t="shared" si="135"/>
        <v>0</v>
      </c>
      <c r="L808">
        <f t="shared" si="136"/>
        <v>53.4</v>
      </c>
      <c r="M808">
        <f t="shared" si="137"/>
        <v>1</v>
      </c>
      <c r="N808">
        <f t="shared" si="138"/>
        <v>0</v>
      </c>
    </row>
    <row r="809" spans="4:14" x14ac:dyDescent="0.2">
      <c r="D809">
        <f t="shared" si="140"/>
        <v>786</v>
      </c>
      <c r="E809" s="1">
        <f t="shared" si="141"/>
        <v>-90.902432396617968</v>
      </c>
      <c r="F809" s="1">
        <f t="shared" si="142"/>
        <v>-91.479045760921963</v>
      </c>
      <c r="G809" s="1">
        <f t="shared" si="139"/>
        <v>1.8670468516091317E-40</v>
      </c>
      <c r="H809" s="1">
        <f t="shared" si="132"/>
        <v>1.9342210240479781E-41</v>
      </c>
      <c r="I809">
        <f t="shared" si="133"/>
        <v>8</v>
      </c>
      <c r="J809">
        <f t="shared" si="134"/>
        <v>776</v>
      </c>
      <c r="K809" s="5">
        <f t="shared" si="135"/>
        <v>0</v>
      </c>
      <c r="L809">
        <f t="shared" si="136"/>
        <v>53.4</v>
      </c>
      <c r="M809">
        <f t="shared" si="137"/>
        <v>1</v>
      </c>
      <c r="N809">
        <f t="shared" si="138"/>
        <v>0</v>
      </c>
    </row>
    <row r="810" spans="4:14" x14ac:dyDescent="0.2">
      <c r="D810">
        <f t="shared" si="140"/>
        <v>787</v>
      </c>
      <c r="E810" s="1">
        <f t="shared" si="141"/>
        <v>-91.01896621287392</v>
      </c>
      <c r="F810" s="1">
        <f t="shared" si="142"/>
        <v>-91.595579577177915</v>
      </c>
      <c r="G810" s="1">
        <f t="shared" si="139"/>
        <v>1.6616716979321263E-40</v>
      </c>
      <c r="H810" s="1">
        <f t="shared" si="132"/>
        <v>1.7214567114026996E-41</v>
      </c>
      <c r="I810">
        <f t="shared" si="133"/>
        <v>8</v>
      </c>
      <c r="J810">
        <f t="shared" si="134"/>
        <v>777</v>
      </c>
      <c r="K810" s="5">
        <f t="shared" si="135"/>
        <v>0</v>
      </c>
      <c r="L810">
        <f t="shared" si="136"/>
        <v>53.4</v>
      </c>
      <c r="M810">
        <f t="shared" si="137"/>
        <v>1</v>
      </c>
      <c r="N810">
        <f t="shared" si="138"/>
        <v>0</v>
      </c>
    </row>
    <row r="811" spans="4:14" x14ac:dyDescent="0.2">
      <c r="D811">
        <f t="shared" si="140"/>
        <v>788</v>
      </c>
      <c r="E811" s="1">
        <f t="shared" si="141"/>
        <v>-91.135500029129872</v>
      </c>
      <c r="F811" s="1">
        <f t="shared" si="142"/>
        <v>-91.712113393433867</v>
      </c>
      <c r="G811" s="1">
        <f t="shared" si="139"/>
        <v>1.4788878111595915E-40</v>
      </c>
      <c r="H811" s="1">
        <f t="shared" si="132"/>
        <v>1.5320964731484019E-41</v>
      </c>
      <c r="I811">
        <f t="shared" si="133"/>
        <v>8</v>
      </c>
      <c r="J811">
        <f t="shared" si="134"/>
        <v>778</v>
      </c>
      <c r="K811" s="5">
        <f t="shared" si="135"/>
        <v>0</v>
      </c>
      <c r="L811">
        <f t="shared" si="136"/>
        <v>53.4</v>
      </c>
      <c r="M811">
        <f t="shared" si="137"/>
        <v>1</v>
      </c>
      <c r="N811">
        <f t="shared" si="138"/>
        <v>0</v>
      </c>
    </row>
    <row r="812" spans="4:14" x14ac:dyDescent="0.2">
      <c r="D812">
        <f t="shared" si="140"/>
        <v>789</v>
      </c>
      <c r="E812" s="1">
        <f t="shared" si="141"/>
        <v>-91.252033845385824</v>
      </c>
      <c r="F812" s="1">
        <f t="shared" si="142"/>
        <v>-91.828647209689819</v>
      </c>
      <c r="G812" s="1">
        <f t="shared" si="139"/>
        <v>1.3162101519320357E-40</v>
      </c>
      <c r="H812" s="1">
        <f t="shared" si="132"/>
        <v>1.3635658611020768E-41</v>
      </c>
      <c r="I812">
        <f t="shared" si="133"/>
        <v>8</v>
      </c>
      <c r="J812">
        <f t="shared" si="134"/>
        <v>779</v>
      </c>
      <c r="K812" s="5">
        <f t="shared" si="135"/>
        <v>0</v>
      </c>
      <c r="L812">
        <f t="shared" si="136"/>
        <v>53.4</v>
      </c>
      <c r="M812">
        <f t="shared" si="137"/>
        <v>1</v>
      </c>
      <c r="N812">
        <f t="shared" si="138"/>
        <v>0</v>
      </c>
    </row>
    <row r="813" spans="4:14" x14ac:dyDescent="0.2">
      <c r="D813">
        <f t="shared" si="140"/>
        <v>790</v>
      </c>
      <c r="E813" s="1">
        <f t="shared" si="141"/>
        <v>-91.368567661641777</v>
      </c>
      <c r="F813" s="1">
        <f t="shared" si="142"/>
        <v>-91.945181025945772</v>
      </c>
      <c r="G813" s="1">
        <f t="shared" si="139"/>
        <v>1.1714270352195109E-40</v>
      </c>
      <c r="H813" s="1">
        <f t="shared" si="132"/>
        <v>1.2135736163808474E-41</v>
      </c>
      <c r="I813">
        <f t="shared" si="133"/>
        <v>8</v>
      </c>
      <c r="J813">
        <f t="shared" si="134"/>
        <v>780</v>
      </c>
      <c r="K813" s="5">
        <f t="shared" si="135"/>
        <v>0</v>
      </c>
      <c r="L813">
        <f t="shared" si="136"/>
        <v>53.4</v>
      </c>
      <c r="M813">
        <f t="shared" si="137"/>
        <v>1</v>
      </c>
      <c r="N813">
        <f t="shared" si="138"/>
        <v>0</v>
      </c>
    </row>
    <row r="814" spans="4:14" x14ac:dyDescent="0.2">
      <c r="D814">
        <f t="shared" si="140"/>
        <v>791</v>
      </c>
      <c r="E814" s="1">
        <f t="shared" si="141"/>
        <v>-91.485101477897729</v>
      </c>
      <c r="F814" s="1">
        <f t="shared" si="142"/>
        <v>-92.061714842201724</v>
      </c>
      <c r="G814" s="1">
        <f t="shared" si="139"/>
        <v>1.042570061345364E-40</v>
      </c>
      <c r="H814" s="1">
        <f t="shared" si="132"/>
        <v>1.0800805185789535E-41</v>
      </c>
      <c r="I814">
        <f t="shared" si="133"/>
        <v>8</v>
      </c>
      <c r="J814">
        <f t="shared" si="134"/>
        <v>781</v>
      </c>
      <c r="K814" s="5">
        <f t="shared" si="135"/>
        <v>0</v>
      </c>
      <c r="L814">
        <f t="shared" si="136"/>
        <v>53.4</v>
      </c>
      <c r="M814">
        <f t="shared" si="137"/>
        <v>1</v>
      </c>
      <c r="N814">
        <f t="shared" si="138"/>
        <v>0</v>
      </c>
    </row>
    <row r="815" spans="4:14" x14ac:dyDescent="0.2">
      <c r="D815">
        <f t="shared" si="140"/>
        <v>792</v>
      </c>
      <c r="E815" s="1">
        <f t="shared" si="141"/>
        <v>-91.601635294153681</v>
      </c>
      <c r="F815" s="1">
        <f t="shared" si="142"/>
        <v>-92.178248658457676</v>
      </c>
      <c r="G815" s="1">
        <f t="shared" si="139"/>
        <v>9.2788735459737345E-41</v>
      </c>
      <c r="H815" s="1">
        <f t="shared" si="132"/>
        <v>9.6127166153526813E-42</v>
      </c>
      <c r="I815">
        <f t="shared" si="133"/>
        <v>8</v>
      </c>
      <c r="J815">
        <f t="shared" si="134"/>
        <v>782</v>
      </c>
      <c r="K815" s="5">
        <f t="shared" si="135"/>
        <v>0</v>
      </c>
      <c r="L815">
        <f t="shared" si="136"/>
        <v>53.4</v>
      </c>
      <c r="M815">
        <f t="shared" si="137"/>
        <v>1</v>
      </c>
      <c r="N815">
        <f t="shared" si="138"/>
        <v>0</v>
      </c>
    </row>
    <row r="816" spans="4:14" x14ac:dyDescent="0.2">
      <c r="D816">
        <f t="shared" si="140"/>
        <v>793</v>
      </c>
      <c r="E816" s="1">
        <f t="shared" si="141"/>
        <v>-91.718169110409633</v>
      </c>
      <c r="F816" s="1">
        <f t="shared" si="142"/>
        <v>-92.294782474713628</v>
      </c>
      <c r="G816" s="1">
        <f t="shared" si="139"/>
        <v>8.2581974559166183E-41</v>
      </c>
      <c r="H816" s="1">
        <f t="shared" si="132"/>
        <v>8.5553177876638801E-42</v>
      </c>
      <c r="I816">
        <f t="shared" si="133"/>
        <v>8</v>
      </c>
      <c r="J816">
        <f t="shared" si="134"/>
        <v>783</v>
      </c>
      <c r="K816" s="5">
        <f t="shared" si="135"/>
        <v>0</v>
      </c>
      <c r="L816">
        <f t="shared" si="136"/>
        <v>53.4</v>
      </c>
      <c r="M816">
        <f t="shared" si="137"/>
        <v>1</v>
      </c>
      <c r="N816">
        <f t="shared" si="138"/>
        <v>0</v>
      </c>
    </row>
    <row r="817" spans="4:14" x14ac:dyDescent="0.2">
      <c r="D817">
        <f t="shared" si="140"/>
        <v>794</v>
      </c>
      <c r="E817" s="1">
        <f t="shared" si="141"/>
        <v>-91.834702926665585</v>
      </c>
      <c r="F817" s="1">
        <f t="shared" si="142"/>
        <v>-92.41131629096958</v>
      </c>
      <c r="G817" s="1">
        <f t="shared" si="139"/>
        <v>7.3497957357657863E-41</v>
      </c>
      <c r="H817" s="1">
        <f t="shared" si="132"/>
        <v>7.6142328310208499E-42</v>
      </c>
      <c r="I817">
        <f t="shared" si="133"/>
        <v>8</v>
      </c>
      <c r="J817">
        <f t="shared" si="134"/>
        <v>784</v>
      </c>
      <c r="K817" s="5">
        <f t="shared" si="135"/>
        <v>0</v>
      </c>
      <c r="L817">
        <f t="shared" si="136"/>
        <v>53.4</v>
      </c>
      <c r="M817">
        <f t="shared" si="137"/>
        <v>1</v>
      </c>
      <c r="N817">
        <f t="shared" si="138"/>
        <v>0</v>
      </c>
    </row>
    <row r="818" spans="4:14" x14ac:dyDescent="0.2">
      <c r="D818">
        <f t="shared" si="140"/>
        <v>795</v>
      </c>
      <c r="E818" s="1">
        <f t="shared" si="141"/>
        <v>-91.951236742921537</v>
      </c>
      <c r="F818" s="1">
        <f t="shared" si="142"/>
        <v>-92.527850107225532</v>
      </c>
      <c r="G818" s="1">
        <f t="shared" si="139"/>
        <v>6.5413182048315456E-41</v>
      </c>
      <c r="H818" s="1">
        <f t="shared" si="132"/>
        <v>6.7766672196085516E-42</v>
      </c>
      <c r="I818">
        <f t="shared" si="133"/>
        <v>8</v>
      </c>
      <c r="J818">
        <f t="shared" si="134"/>
        <v>785</v>
      </c>
      <c r="K818" s="5">
        <f t="shared" si="135"/>
        <v>0</v>
      </c>
      <c r="L818">
        <f t="shared" si="136"/>
        <v>53.4</v>
      </c>
      <c r="M818">
        <f t="shared" si="137"/>
        <v>1</v>
      </c>
      <c r="N818">
        <f t="shared" si="138"/>
        <v>0</v>
      </c>
    </row>
    <row r="819" spans="4:14" x14ac:dyDescent="0.2">
      <c r="D819">
        <f t="shared" si="140"/>
        <v>796</v>
      </c>
      <c r="E819" s="1">
        <f t="shared" si="141"/>
        <v>-92.06777055917749</v>
      </c>
      <c r="F819" s="1">
        <f t="shared" si="142"/>
        <v>-92.644383923481485</v>
      </c>
      <c r="G819" s="1">
        <f t="shared" si="139"/>
        <v>5.8217732023000715E-41</v>
      </c>
      <c r="H819" s="1">
        <f t="shared" si="132"/>
        <v>6.0312338254516064E-42</v>
      </c>
      <c r="I819">
        <f t="shared" si="133"/>
        <v>8</v>
      </c>
      <c r="J819">
        <f t="shared" si="134"/>
        <v>786</v>
      </c>
      <c r="K819" s="5">
        <f t="shared" si="135"/>
        <v>0</v>
      </c>
      <c r="L819">
        <f t="shared" si="136"/>
        <v>53.4</v>
      </c>
      <c r="M819">
        <f t="shared" si="137"/>
        <v>1</v>
      </c>
      <c r="N819">
        <f t="shared" si="138"/>
        <v>0</v>
      </c>
    </row>
    <row r="820" spans="4:14" x14ac:dyDescent="0.2">
      <c r="D820">
        <f t="shared" si="140"/>
        <v>797</v>
      </c>
      <c r="E820" s="1">
        <f t="shared" si="141"/>
        <v>-92.184304375433442</v>
      </c>
      <c r="F820" s="1">
        <f t="shared" si="142"/>
        <v>-92.760917739737437</v>
      </c>
      <c r="G820" s="1">
        <f t="shared" si="139"/>
        <v>5.1813781500470606E-41</v>
      </c>
      <c r="H820" s="1">
        <f t="shared" si="132"/>
        <v>5.3677981046519272E-42</v>
      </c>
      <c r="I820">
        <f t="shared" si="133"/>
        <v>8</v>
      </c>
      <c r="J820">
        <f t="shared" si="134"/>
        <v>787</v>
      </c>
      <c r="K820" s="5">
        <f t="shared" si="135"/>
        <v>0</v>
      </c>
      <c r="L820">
        <f t="shared" si="136"/>
        <v>53.4</v>
      </c>
      <c r="M820">
        <f t="shared" si="137"/>
        <v>1</v>
      </c>
      <c r="N820">
        <f t="shared" si="138"/>
        <v>0</v>
      </c>
    </row>
    <row r="821" spans="4:14" x14ac:dyDescent="0.2">
      <c r="D821">
        <f t="shared" si="140"/>
        <v>798</v>
      </c>
      <c r="E821" s="1">
        <f t="shared" si="141"/>
        <v>-92.300838191689394</v>
      </c>
      <c r="F821" s="1">
        <f t="shared" si="142"/>
        <v>-92.877451555993389</v>
      </c>
      <c r="G821" s="1">
        <f t="shared" si="139"/>
        <v>4.6114265535418805E-41</v>
      </c>
      <c r="H821" s="1">
        <f t="shared" si="132"/>
        <v>4.7773403131402111E-42</v>
      </c>
      <c r="I821">
        <f t="shared" si="133"/>
        <v>8</v>
      </c>
      <c r="J821">
        <f t="shared" si="134"/>
        <v>788</v>
      </c>
      <c r="K821" s="5">
        <f t="shared" si="135"/>
        <v>0</v>
      </c>
      <c r="L821">
        <f t="shared" si="136"/>
        <v>53.4</v>
      </c>
      <c r="M821">
        <f t="shared" si="137"/>
        <v>1</v>
      </c>
      <c r="N821">
        <f t="shared" si="138"/>
        <v>0</v>
      </c>
    </row>
    <row r="822" spans="4:14" x14ac:dyDescent="0.2">
      <c r="D822">
        <f t="shared" si="140"/>
        <v>799</v>
      </c>
      <c r="E822" s="1">
        <f t="shared" si="141"/>
        <v>-92.417372007945346</v>
      </c>
      <c r="F822" s="1">
        <f t="shared" si="142"/>
        <v>-92.993985372249341</v>
      </c>
      <c r="G822" s="1">
        <f t="shared" si="139"/>
        <v>4.1041696326522715E-41</v>
      </c>
      <c r="H822" s="1">
        <f t="shared" si="132"/>
        <v>4.251832878694786E-42</v>
      </c>
      <c r="I822">
        <f t="shared" si="133"/>
        <v>8</v>
      </c>
      <c r="J822">
        <f t="shared" si="134"/>
        <v>789</v>
      </c>
      <c r="K822" s="5">
        <f t="shared" si="135"/>
        <v>0</v>
      </c>
      <c r="L822">
        <f t="shared" si="136"/>
        <v>53.4</v>
      </c>
      <c r="M822">
        <f t="shared" si="137"/>
        <v>1</v>
      </c>
      <c r="N822">
        <f t="shared" si="138"/>
        <v>0</v>
      </c>
    </row>
    <row r="823" spans="4:14" x14ac:dyDescent="0.2">
      <c r="D823">
        <f t="shared" si="140"/>
        <v>800</v>
      </c>
      <c r="E823" s="1">
        <f t="shared" si="141"/>
        <v>-92.533905824201298</v>
      </c>
      <c r="F823" s="1">
        <f t="shared" si="142"/>
        <v>-93.110519188505293</v>
      </c>
      <c r="G823" s="1">
        <f t="shared" si="139"/>
        <v>3.6527109730605193E-41</v>
      </c>
      <c r="H823" s="1">
        <f t="shared" si="132"/>
        <v>3.7841312620383568E-42</v>
      </c>
      <c r="I823">
        <f t="shared" si="133"/>
        <v>8</v>
      </c>
      <c r="J823">
        <f t="shared" si="134"/>
        <v>790</v>
      </c>
      <c r="K823" s="5">
        <f t="shared" si="135"/>
        <v>0</v>
      </c>
      <c r="L823">
        <f t="shared" si="136"/>
        <v>53.4</v>
      </c>
      <c r="M823">
        <f t="shared" si="137"/>
        <v>1</v>
      </c>
      <c r="N823">
        <f t="shared" si="138"/>
        <v>0</v>
      </c>
    </row>
    <row r="824" spans="4:14" x14ac:dyDescent="0.2">
      <c r="D824">
        <f t="shared" si="140"/>
        <v>801</v>
      </c>
      <c r="E824" s="1">
        <f t="shared" si="141"/>
        <v>-92.65043964045725</v>
      </c>
      <c r="F824" s="1">
        <f t="shared" si="142"/>
        <v>-93.227053004761245</v>
      </c>
      <c r="G824" s="1">
        <f t="shared" si="139"/>
        <v>3.2509127660238603E-41</v>
      </c>
      <c r="H824" s="1">
        <f t="shared" si="132"/>
        <v>3.3678768232141356E-42</v>
      </c>
      <c r="I824">
        <f t="shared" si="133"/>
        <v>8</v>
      </c>
      <c r="J824">
        <f t="shared" si="134"/>
        <v>791</v>
      </c>
      <c r="K824" s="5">
        <f t="shared" si="135"/>
        <v>0</v>
      </c>
      <c r="L824">
        <f t="shared" si="136"/>
        <v>53.4</v>
      </c>
      <c r="M824">
        <f t="shared" si="137"/>
        <v>1</v>
      </c>
      <c r="N824">
        <f t="shared" si="138"/>
        <v>0</v>
      </c>
    </row>
    <row r="825" spans="4:14" x14ac:dyDescent="0.2">
      <c r="D825">
        <f t="shared" si="140"/>
        <v>802</v>
      </c>
      <c r="E825" s="1">
        <f t="shared" si="141"/>
        <v>-92.766973456713202</v>
      </c>
      <c r="F825" s="1">
        <f t="shared" si="142"/>
        <v>-93.343586821017198</v>
      </c>
      <c r="G825" s="1">
        <f t="shared" si="139"/>
        <v>2.8933123617612335E-41</v>
      </c>
      <c r="H825" s="1">
        <f t="shared" si="132"/>
        <v>2.9974103726605787E-42</v>
      </c>
      <c r="I825">
        <f t="shared" si="133"/>
        <v>8</v>
      </c>
      <c r="J825">
        <f t="shared" si="134"/>
        <v>792</v>
      </c>
      <c r="K825" s="5">
        <f t="shared" si="135"/>
        <v>0</v>
      </c>
      <c r="L825">
        <f t="shared" si="136"/>
        <v>53.4</v>
      </c>
      <c r="M825">
        <f t="shared" si="137"/>
        <v>1</v>
      </c>
      <c r="N825">
        <f t="shared" si="138"/>
        <v>0</v>
      </c>
    </row>
    <row r="826" spans="4:14" x14ac:dyDescent="0.2">
      <c r="D826">
        <f t="shared" si="140"/>
        <v>803</v>
      </c>
      <c r="E826" s="1">
        <f t="shared" si="141"/>
        <v>-92.883507272969155</v>
      </c>
      <c r="F826" s="1">
        <f t="shared" si="142"/>
        <v>-93.46012063727315</v>
      </c>
      <c r="G826" s="1">
        <f t="shared" si="139"/>
        <v>2.5750480019674963E-41</v>
      </c>
      <c r="H826" s="1">
        <f t="shared" si="132"/>
        <v>2.6676952316679133E-42</v>
      </c>
      <c r="I826">
        <f t="shared" si="133"/>
        <v>8</v>
      </c>
      <c r="J826">
        <f t="shared" si="134"/>
        <v>793</v>
      </c>
      <c r="K826" s="5">
        <f t="shared" si="135"/>
        <v>0</v>
      </c>
      <c r="L826">
        <f t="shared" si="136"/>
        <v>53.4</v>
      </c>
      <c r="M826">
        <f t="shared" si="137"/>
        <v>1</v>
      </c>
      <c r="N826">
        <f t="shared" si="138"/>
        <v>0</v>
      </c>
    </row>
    <row r="827" spans="4:14" x14ac:dyDescent="0.2">
      <c r="D827">
        <f t="shared" si="140"/>
        <v>804</v>
      </c>
      <c r="E827" s="1">
        <f t="shared" si="141"/>
        <v>-93.000041089225107</v>
      </c>
      <c r="F827" s="1">
        <f t="shared" si="142"/>
        <v>-93.576654453529102</v>
      </c>
      <c r="G827" s="1">
        <f t="shared" si="139"/>
        <v>2.2917927217510703E-41</v>
      </c>
      <c r="H827" s="1">
        <f t="shared" si="132"/>
        <v>2.3742487561844415E-42</v>
      </c>
      <c r="I827">
        <f t="shared" si="133"/>
        <v>8</v>
      </c>
      <c r="J827">
        <f t="shared" si="134"/>
        <v>794</v>
      </c>
      <c r="K827" s="5">
        <f t="shared" si="135"/>
        <v>0</v>
      </c>
      <c r="L827">
        <f t="shared" si="136"/>
        <v>53.4</v>
      </c>
      <c r="M827">
        <f t="shared" si="137"/>
        <v>1</v>
      </c>
      <c r="N827">
        <f t="shared" si="138"/>
        <v>0</v>
      </c>
    </row>
    <row r="828" spans="4:14" x14ac:dyDescent="0.2">
      <c r="D828">
        <f t="shared" si="140"/>
        <v>805</v>
      </c>
      <c r="E828" s="1">
        <f t="shared" si="141"/>
        <v>-93.116574905481059</v>
      </c>
      <c r="F828" s="1">
        <f t="shared" si="142"/>
        <v>-93.693188269785054</v>
      </c>
      <c r="G828" s="1">
        <f t="shared" si="139"/>
        <v>2.0396955223584513E-41</v>
      </c>
      <c r="H828" s="1">
        <f t="shared" si="132"/>
        <v>2.1130813930041515E-42</v>
      </c>
      <c r="I828">
        <f t="shared" si="133"/>
        <v>8</v>
      </c>
      <c r="J828">
        <f t="shared" si="134"/>
        <v>795</v>
      </c>
      <c r="K828" s="5">
        <f t="shared" si="135"/>
        <v>0</v>
      </c>
      <c r="L828">
        <f t="shared" si="136"/>
        <v>53.4</v>
      </c>
      <c r="M828">
        <f t="shared" si="137"/>
        <v>1</v>
      </c>
      <c r="N828">
        <f t="shared" si="138"/>
        <v>0</v>
      </c>
    </row>
    <row r="829" spans="4:14" x14ac:dyDescent="0.2">
      <c r="D829">
        <f t="shared" si="140"/>
        <v>806</v>
      </c>
      <c r="E829" s="1">
        <f t="shared" si="141"/>
        <v>-93.233108721737011</v>
      </c>
      <c r="F829" s="1">
        <f t="shared" si="142"/>
        <v>-93.809722086041006</v>
      </c>
      <c r="G829" s="1">
        <f t="shared" si="139"/>
        <v>1.8153290148990205E-41</v>
      </c>
      <c r="H829" s="1">
        <f t="shared" si="132"/>
        <v>1.8806424397736937E-42</v>
      </c>
      <c r="I829">
        <f t="shared" si="133"/>
        <v>8</v>
      </c>
      <c r="J829">
        <f t="shared" si="134"/>
        <v>796</v>
      </c>
      <c r="K829" s="5">
        <f t="shared" si="135"/>
        <v>0</v>
      </c>
      <c r="L829">
        <f t="shared" si="136"/>
        <v>53.4</v>
      </c>
      <c r="M829">
        <f t="shared" si="137"/>
        <v>1</v>
      </c>
      <c r="N829">
        <f t="shared" si="138"/>
        <v>0</v>
      </c>
    </row>
    <row r="830" spans="4:14" x14ac:dyDescent="0.2">
      <c r="D830">
        <f t="shared" si="140"/>
        <v>807</v>
      </c>
      <c r="E830" s="1">
        <f t="shared" si="141"/>
        <v>-93.349642537992963</v>
      </c>
      <c r="F830" s="1">
        <f t="shared" si="142"/>
        <v>-93.926255902296958</v>
      </c>
      <c r="G830" s="1">
        <f t="shared" si="139"/>
        <v>1.6156428232601272E-41</v>
      </c>
      <c r="H830" s="1">
        <f t="shared" si="132"/>
        <v>1.6737717713985865E-42</v>
      </c>
      <c r="I830">
        <f t="shared" si="133"/>
        <v>8</v>
      </c>
      <c r="J830">
        <f t="shared" si="134"/>
        <v>797</v>
      </c>
      <c r="K830" s="5">
        <f t="shared" si="135"/>
        <v>0</v>
      </c>
      <c r="L830">
        <f t="shared" si="136"/>
        <v>53.4</v>
      </c>
      <c r="M830">
        <f t="shared" si="137"/>
        <v>1</v>
      </c>
      <c r="N830">
        <f t="shared" si="138"/>
        <v>0</v>
      </c>
    </row>
    <row r="831" spans="4:14" x14ac:dyDescent="0.2">
      <c r="D831">
        <f t="shared" si="140"/>
        <v>808</v>
      </c>
      <c r="E831" s="1">
        <f t="shared" si="141"/>
        <v>-93.466176354248915</v>
      </c>
      <c r="F831" s="1">
        <f t="shared" si="142"/>
        <v>-94.04278971855291</v>
      </c>
      <c r="G831" s="1">
        <f t="shared" si="139"/>
        <v>1.4379221127015124E-41</v>
      </c>
      <c r="H831" s="1">
        <f t="shared" si="132"/>
        <v>1.489656876544741E-42</v>
      </c>
      <c r="I831">
        <f t="shared" si="133"/>
        <v>8</v>
      </c>
      <c r="J831">
        <f t="shared" si="134"/>
        <v>798</v>
      </c>
      <c r="K831" s="5">
        <f t="shared" si="135"/>
        <v>0</v>
      </c>
      <c r="L831">
        <f t="shared" si="136"/>
        <v>53.4</v>
      </c>
      <c r="M831">
        <f t="shared" si="137"/>
        <v>1</v>
      </c>
      <c r="N831">
        <f t="shared" si="138"/>
        <v>0</v>
      </c>
    </row>
    <row r="832" spans="4:14" x14ac:dyDescent="0.2">
      <c r="D832">
        <f t="shared" si="140"/>
        <v>809</v>
      </c>
      <c r="E832" s="1">
        <f t="shared" si="141"/>
        <v>-93.582710170504868</v>
      </c>
      <c r="F832" s="1">
        <f t="shared" si="142"/>
        <v>-94.159323534808863</v>
      </c>
      <c r="G832" s="1">
        <f t="shared" si="139"/>
        <v>1.279750680304345E-41</v>
      </c>
      <c r="H832" s="1">
        <f t="shared" si="132"/>
        <v>1.3257946201248184E-42</v>
      </c>
      <c r="I832">
        <f t="shared" si="133"/>
        <v>8</v>
      </c>
      <c r="J832">
        <f t="shared" si="134"/>
        <v>799</v>
      </c>
      <c r="K832" s="5">
        <f t="shared" si="135"/>
        <v>0</v>
      </c>
      <c r="L832">
        <f t="shared" si="136"/>
        <v>53.4</v>
      </c>
      <c r="M832">
        <f t="shared" si="137"/>
        <v>1</v>
      </c>
      <c r="N832">
        <f t="shared" si="138"/>
        <v>0</v>
      </c>
    </row>
    <row r="833" spans="4:14" x14ac:dyDescent="0.2">
      <c r="D833">
        <f t="shared" si="140"/>
        <v>810</v>
      </c>
      <c r="E833" s="1">
        <f t="shared" si="141"/>
        <v>-93.69924398676082</v>
      </c>
      <c r="F833" s="1">
        <f t="shared" si="142"/>
        <v>-94.275857351064815</v>
      </c>
      <c r="G833" s="1">
        <f t="shared" si="139"/>
        <v>1.1389781054708664E-41</v>
      </c>
      <c r="H833" s="1">
        <f t="shared" si="132"/>
        <v>1.1799572119110877E-42</v>
      </c>
      <c r="I833">
        <f t="shared" si="133"/>
        <v>8</v>
      </c>
      <c r="J833">
        <f t="shared" si="134"/>
        <v>800</v>
      </c>
      <c r="K833" s="5">
        <f t="shared" si="135"/>
        <v>0</v>
      </c>
      <c r="L833">
        <f t="shared" si="136"/>
        <v>53.4</v>
      </c>
      <c r="M833">
        <f t="shared" si="137"/>
        <v>1</v>
      </c>
      <c r="N833">
        <f t="shared" si="138"/>
        <v>0</v>
      </c>
    </row>
    <row r="834" spans="4:14" x14ac:dyDescent="0.2">
      <c r="D834">
        <f t="shared" si="140"/>
        <v>811</v>
      </c>
      <c r="E834" s="1">
        <f t="shared" si="141"/>
        <v>-93.815777803016772</v>
      </c>
      <c r="F834" s="1">
        <f t="shared" si="142"/>
        <v>-94.392391167320767</v>
      </c>
      <c r="G834" s="1">
        <f t="shared" si="139"/>
        <v>1.0136905138690705E-41</v>
      </c>
      <c r="H834" s="1">
        <f t="shared" si="132"/>
        <v>1.0501619186008674E-42</v>
      </c>
      <c r="I834">
        <f t="shared" si="133"/>
        <v>8</v>
      </c>
      <c r="J834">
        <f t="shared" si="134"/>
        <v>801</v>
      </c>
      <c r="K834" s="5">
        <f t="shared" si="135"/>
        <v>0</v>
      </c>
      <c r="L834">
        <f t="shared" si="136"/>
        <v>53.4</v>
      </c>
      <c r="M834">
        <f t="shared" si="137"/>
        <v>1</v>
      </c>
      <c r="N834">
        <f t="shared" si="138"/>
        <v>0</v>
      </c>
    </row>
    <row r="835" spans="4:14" x14ac:dyDescent="0.2">
      <c r="D835">
        <f t="shared" si="140"/>
        <v>812</v>
      </c>
      <c r="E835" s="1">
        <f t="shared" si="141"/>
        <v>-93.932311619272724</v>
      </c>
      <c r="F835" s="1">
        <f t="shared" si="142"/>
        <v>-94.508924983576719</v>
      </c>
      <c r="G835" s="1">
        <f t="shared" si="139"/>
        <v>9.0218455734347218E-42</v>
      </c>
      <c r="H835" s="1">
        <f t="shared" si="132"/>
        <v>9.3464410755477139E-43</v>
      </c>
      <c r="I835">
        <f t="shared" si="133"/>
        <v>8</v>
      </c>
      <c r="J835">
        <f t="shared" si="134"/>
        <v>802</v>
      </c>
      <c r="K835" s="5">
        <f t="shared" si="135"/>
        <v>0</v>
      </c>
      <c r="L835">
        <f t="shared" si="136"/>
        <v>53.4</v>
      </c>
      <c r="M835">
        <f t="shared" si="137"/>
        <v>1</v>
      </c>
      <c r="N835">
        <f t="shared" si="138"/>
        <v>0</v>
      </c>
    </row>
    <row r="836" spans="4:14" x14ac:dyDescent="0.2">
      <c r="D836">
        <f t="shared" si="140"/>
        <v>813</v>
      </c>
      <c r="E836" s="1">
        <f t="shared" si="141"/>
        <v>-94.048845435528676</v>
      </c>
      <c r="F836" s="1">
        <f t="shared" si="142"/>
        <v>-94.625458799832671</v>
      </c>
      <c r="G836" s="1">
        <f t="shared" si="139"/>
        <v>8.0294425603568971E-42</v>
      </c>
      <c r="H836" s="1">
        <f t="shared" si="132"/>
        <v>8.3183325572374606E-43</v>
      </c>
      <c r="I836">
        <f t="shared" si="133"/>
        <v>8</v>
      </c>
      <c r="J836">
        <f t="shared" si="134"/>
        <v>803</v>
      </c>
      <c r="K836" s="5">
        <f t="shared" si="135"/>
        <v>0</v>
      </c>
      <c r="L836">
        <f t="shared" si="136"/>
        <v>53.4</v>
      </c>
      <c r="M836">
        <f t="shared" si="137"/>
        <v>1</v>
      </c>
      <c r="N836">
        <f t="shared" si="138"/>
        <v>0</v>
      </c>
    </row>
    <row r="837" spans="4:14" x14ac:dyDescent="0.2">
      <c r="D837">
        <f t="shared" si="140"/>
        <v>814</v>
      </c>
      <c r="E837" s="1">
        <f t="shared" si="141"/>
        <v>-94.165379251784628</v>
      </c>
      <c r="F837" s="1">
        <f t="shared" si="142"/>
        <v>-94.741992616088623</v>
      </c>
      <c r="G837" s="1">
        <f t="shared" si="139"/>
        <v>7.1462038787176338E-42</v>
      </c>
      <c r="H837" s="1">
        <f t="shared" si="132"/>
        <v>7.4033159759413347E-43</v>
      </c>
      <c r="I837">
        <f t="shared" si="133"/>
        <v>8</v>
      </c>
      <c r="J837">
        <f t="shared" si="134"/>
        <v>804</v>
      </c>
      <c r="K837" s="5">
        <f t="shared" si="135"/>
        <v>0</v>
      </c>
      <c r="L837">
        <f t="shared" si="136"/>
        <v>53.4</v>
      </c>
      <c r="M837">
        <f t="shared" si="137"/>
        <v>1</v>
      </c>
      <c r="N837">
        <f t="shared" si="138"/>
        <v>0</v>
      </c>
    </row>
    <row r="838" spans="4:14" x14ac:dyDescent="0.2">
      <c r="D838">
        <f t="shared" si="140"/>
        <v>815</v>
      </c>
      <c r="E838" s="1">
        <f t="shared" si="141"/>
        <v>-94.281913068040581</v>
      </c>
      <c r="F838" s="1">
        <f t="shared" si="142"/>
        <v>-94.858526432344576</v>
      </c>
      <c r="G838" s="1">
        <f t="shared" si="139"/>
        <v>6.3601214520586908E-42</v>
      </c>
      <c r="H838" s="1">
        <f t="shared" si="132"/>
        <v>6.588951218587785E-43</v>
      </c>
      <c r="I838">
        <f t="shared" si="133"/>
        <v>8</v>
      </c>
      <c r="J838">
        <f t="shared" si="134"/>
        <v>805</v>
      </c>
      <c r="K838" s="5">
        <f t="shared" si="135"/>
        <v>0</v>
      </c>
      <c r="L838">
        <f t="shared" si="136"/>
        <v>53.4</v>
      </c>
      <c r="M838">
        <f t="shared" si="137"/>
        <v>1</v>
      </c>
      <c r="N838">
        <f t="shared" si="138"/>
        <v>0</v>
      </c>
    </row>
    <row r="839" spans="4:14" x14ac:dyDescent="0.2">
      <c r="D839">
        <f t="shared" si="140"/>
        <v>816</v>
      </c>
      <c r="E839" s="1">
        <f t="shared" si="141"/>
        <v>-94.398446884296533</v>
      </c>
      <c r="F839" s="1">
        <f t="shared" si="142"/>
        <v>-94.975060248600528</v>
      </c>
      <c r="G839" s="1">
        <f t="shared" si="139"/>
        <v>5.6605080923322308E-42</v>
      </c>
      <c r="H839" s="1">
        <f t="shared" si="132"/>
        <v>5.8641665845431243E-43</v>
      </c>
      <c r="I839">
        <f t="shared" si="133"/>
        <v>8</v>
      </c>
      <c r="J839">
        <f t="shared" si="134"/>
        <v>806</v>
      </c>
      <c r="K839" s="5">
        <f t="shared" si="135"/>
        <v>0</v>
      </c>
      <c r="L839">
        <f t="shared" si="136"/>
        <v>53.4</v>
      </c>
      <c r="M839">
        <f t="shared" si="137"/>
        <v>1</v>
      </c>
      <c r="N839">
        <f t="shared" si="138"/>
        <v>0</v>
      </c>
    </row>
    <row r="840" spans="4:14" x14ac:dyDescent="0.2">
      <c r="D840">
        <f t="shared" si="140"/>
        <v>817</v>
      </c>
      <c r="E840" s="1">
        <f t="shared" si="141"/>
        <v>-94.514980700552485</v>
      </c>
      <c r="F840" s="1">
        <f t="shared" si="142"/>
        <v>-95.09159406485648</v>
      </c>
      <c r="G840" s="1">
        <f t="shared" si="139"/>
        <v>5.0378522021756825E-42</v>
      </c>
      <c r="H840" s="1">
        <f t="shared" si="132"/>
        <v>5.2191082602433775E-43</v>
      </c>
      <c r="I840">
        <f t="shared" si="133"/>
        <v>8</v>
      </c>
      <c r="J840">
        <f t="shared" si="134"/>
        <v>807</v>
      </c>
      <c r="K840" s="5">
        <f t="shared" si="135"/>
        <v>0</v>
      </c>
      <c r="L840">
        <f t="shared" si="136"/>
        <v>53.4</v>
      </c>
      <c r="M840">
        <f t="shared" si="137"/>
        <v>1</v>
      </c>
      <c r="N840">
        <f t="shared" si="138"/>
        <v>0</v>
      </c>
    </row>
    <row r="841" spans="4:14" x14ac:dyDescent="0.2">
      <c r="D841">
        <f t="shared" si="140"/>
        <v>818</v>
      </c>
      <c r="E841" s="1">
        <f t="shared" si="141"/>
        <v>-94.631514516808437</v>
      </c>
      <c r="F841" s="1">
        <f t="shared" si="142"/>
        <v>-95.208127881112432</v>
      </c>
      <c r="G841" s="1">
        <f t="shared" si="139"/>
        <v>4.4836884599363544E-42</v>
      </c>
      <c r="H841" s="1">
        <f t="shared" si="132"/>
        <v>4.6450063516166033E-43</v>
      </c>
      <c r="I841">
        <f t="shared" si="133"/>
        <v>8</v>
      </c>
      <c r="J841">
        <f t="shared" si="134"/>
        <v>808</v>
      </c>
      <c r="K841" s="5">
        <f t="shared" si="135"/>
        <v>0</v>
      </c>
      <c r="L841">
        <f t="shared" si="136"/>
        <v>53.4</v>
      </c>
      <c r="M841">
        <f t="shared" si="137"/>
        <v>1</v>
      </c>
      <c r="N841">
        <f t="shared" si="138"/>
        <v>0</v>
      </c>
    </row>
    <row r="842" spans="4:14" x14ac:dyDescent="0.2">
      <c r="D842">
        <f t="shared" si="140"/>
        <v>819</v>
      </c>
      <c r="E842" s="1">
        <f t="shared" si="141"/>
        <v>-94.748048333064389</v>
      </c>
      <c r="F842" s="1">
        <f t="shared" si="142"/>
        <v>-95.324661697368384</v>
      </c>
      <c r="G842" s="1">
        <f t="shared" si="139"/>
        <v>3.9904827293433531E-42</v>
      </c>
      <c r="H842" s="1">
        <f t="shared" si="132"/>
        <v>4.1340556529387739E-43</v>
      </c>
      <c r="I842">
        <f t="shared" si="133"/>
        <v>8</v>
      </c>
      <c r="J842">
        <f t="shared" si="134"/>
        <v>809</v>
      </c>
      <c r="K842" s="5">
        <f t="shared" si="135"/>
        <v>0</v>
      </c>
      <c r="L842">
        <f t="shared" si="136"/>
        <v>53.4</v>
      </c>
      <c r="M842">
        <f t="shared" si="137"/>
        <v>1</v>
      </c>
      <c r="N842">
        <f t="shared" si="138"/>
        <v>0</v>
      </c>
    </row>
    <row r="843" spans="4:14" x14ac:dyDescent="0.2">
      <c r="D843">
        <f t="shared" si="140"/>
        <v>820</v>
      </c>
      <c r="E843" s="1">
        <f t="shared" si="141"/>
        <v>-94.864582149320341</v>
      </c>
      <c r="F843" s="1">
        <f t="shared" si="142"/>
        <v>-95.441195513624336</v>
      </c>
      <c r="G843" s="1">
        <f t="shared" si="139"/>
        <v>3.5515296291155816E-42</v>
      </c>
      <c r="H843" s="1">
        <f t="shared" si="132"/>
        <v>3.6793095311155064E-43</v>
      </c>
      <c r="I843">
        <f t="shared" si="133"/>
        <v>8</v>
      </c>
      <c r="J843">
        <f t="shared" si="134"/>
        <v>810</v>
      </c>
      <c r="K843" s="5">
        <f t="shared" si="135"/>
        <v>0</v>
      </c>
      <c r="L843">
        <f t="shared" si="136"/>
        <v>53.4</v>
      </c>
      <c r="M843">
        <f t="shared" si="137"/>
        <v>1</v>
      </c>
      <c r="N843">
        <f t="shared" si="138"/>
        <v>0</v>
      </c>
    </row>
    <row r="844" spans="4:14" x14ac:dyDescent="0.2">
      <c r="D844">
        <f t="shared" si="140"/>
        <v>821</v>
      </c>
      <c r="E844" s="1">
        <f t="shared" si="141"/>
        <v>-94.981115965576294</v>
      </c>
      <c r="F844" s="1">
        <f t="shared" si="142"/>
        <v>-95.557729329880289</v>
      </c>
      <c r="G844" s="1">
        <f t="shared" si="139"/>
        <v>3.160861369912866E-42</v>
      </c>
      <c r="H844" s="1">
        <f t="shared" si="132"/>
        <v>3.274585482692799E-43</v>
      </c>
      <c r="I844">
        <f t="shared" si="133"/>
        <v>8</v>
      </c>
      <c r="J844">
        <f t="shared" si="134"/>
        <v>811</v>
      </c>
      <c r="K844" s="5">
        <f t="shared" si="135"/>
        <v>0</v>
      </c>
      <c r="L844">
        <f t="shared" si="136"/>
        <v>53.4</v>
      </c>
      <c r="M844">
        <f t="shared" si="137"/>
        <v>1</v>
      </c>
      <c r="N844">
        <f t="shared" si="138"/>
        <v>0</v>
      </c>
    </row>
    <row r="845" spans="4:14" x14ac:dyDescent="0.2">
      <c r="D845">
        <f t="shared" si="140"/>
        <v>822</v>
      </c>
      <c r="E845" s="1">
        <f t="shared" si="141"/>
        <v>-95.097649781832246</v>
      </c>
      <c r="F845" s="1">
        <f t="shared" si="142"/>
        <v>-95.674263146136241</v>
      </c>
      <c r="G845" s="1">
        <f t="shared" si="139"/>
        <v>2.8131666192224489E-42</v>
      </c>
      <c r="H845" s="1">
        <f t="shared" si="132"/>
        <v>2.9143810795965891E-43</v>
      </c>
      <c r="I845">
        <f t="shared" si="133"/>
        <v>8</v>
      </c>
      <c r="J845">
        <f t="shared" si="134"/>
        <v>812</v>
      </c>
      <c r="K845" s="5">
        <f t="shared" si="135"/>
        <v>0</v>
      </c>
      <c r="L845">
        <f t="shared" si="136"/>
        <v>53.4</v>
      </c>
      <c r="M845">
        <f t="shared" si="137"/>
        <v>1</v>
      </c>
      <c r="N845">
        <f t="shared" si="138"/>
        <v>0</v>
      </c>
    </row>
    <row r="846" spans="4:14" x14ac:dyDescent="0.2">
      <c r="D846">
        <f t="shared" si="140"/>
        <v>823</v>
      </c>
      <c r="E846" s="1">
        <f t="shared" si="141"/>
        <v>-95.214183598088198</v>
      </c>
      <c r="F846" s="1">
        <f t="shared" si="142"/>
        <v>-95.790796962392193</v>
      </c>
      <c r="G846" s="1">
        <f t="shared" si="139"/>
        <v>2.5037182911079778E-42</v>
      </c>
      <c r="H846" s="1">
        <f t="shared" si="132"/>
        <v>2.5937991608409626E-43</v>
      </c>
      <c r="I846">
        <f t="shared" si="133"/>
        <v>8</v>
      </c>
      <c r="J846">
        <f t="shared" si="134"/>
        <v>813</v>
      </c>
      <c r="K846" s="5">
        <f t="shared" si="135"/>
        <v>0</v>
      </c>
      <c r="L846">
        <f t="shared" si="136"/>
        <v>53.4</v>
      </c>
      <c r="M846">
        <f t="shared" si="137"/>
        <v>1</v>
      </c>
      <c r="N846">
        <f t="shared" si="138"/>
        <v>0</v>
      </c>
    </row>
    <row r="847" spans="4:14" x14ac:dyDescent="0.2">
      <c r="D847">
        <f t="shared" si="140"/>
        <v>824</v>
      </c>
      <c r="E847" s="1">
        <f t="shared" si="141"/>
        <v>-95.33071741434415</v>
      </c>
      <c r="F847" s="1">
        <f t="shared" si="142"/>
        <v>-95.907330778648145</v>
      </c>
      <c r="G847" s="1">
        <f t="shared" si="139"/>
        <v>2.2283092790860987E-42</v>
      </c>
      <c r="H847" s="1">
        <f t="shared" si="132"/>
        <v>2.3084812531484552E-43</v>
      </c>
      <c r="I847">
        <f t="shared" si="133"/>
        <v>8</v>
      </c>
      <c r="J847">
        <f t="shared" si="134"/>
        <v>814</v>
      </c>
      <c r="K847" s="5">
        <f t="shared" si="135"/>
        <v>0</v>
      </c>
      <c r="L847">
        <f t="shared" si="136"/>
        <v>53.4</v>
      </c>
      <c r="M847">
        <f t="shared" si="137"/>
        <v>1</v>
      </c>
      <c r="N847">
        <f t="shared" si="138"/>
        <v>0</v>
      </c>
    </row>
    <row r="848" spans="4:14" x14ac:dyDescent="0.2">
      <c r="D848">
        <f t="shared" si="140"/>
        <v>825</v>
      </c>
      <c r="E848" s="1">
        <f t="shared" si="141"/>
        <v>-95.447251230600102</v>
      </c>
      <c r="F848" s="1">
        <f t="shared" si="142"/>
        <v>-96.023864594904097</v>
      </c>
      <c r="G848" s="1">
        <f t="shared" si="139"/>
        <v>1.9831952583866268E-42</v>
      </c>
      <c r="H848" s="1">
        <f t="shared" si="132"/>
        <v>2.0545483153021238E-43</v>
      </c>
      <c r="I848">
        <f t="shared" si="133"/>
        <v>8</v>
      </c>
      <c r="J848">
        <f t="shared" si="134"/>
        <v>815</v>
      </c>
      <c r="K848" s="5">
        <f t="shared" si="135"/>
        <v>0</v>
      </c>
      <c r="L848">
        <f t="shared" si="136"/>
        <v>53.4</v>
      </c>
      <c r="M848">
        <f t="shared" si="137"/>
        <v>1</v>
      </c>
      <c r="N848">
        <f t="shared" si="138"/>
        <v>0</v>
      </c>
    </row>
    <row r="849" spans="4:14" x14ac:dyDescent="0.2">
      <c r="D849">
        <f t="shared" si="140"/>
        <v>826</v>
      </c>
      <c r="E849" s="1">
        <f t="shared" si="141"/>
        <v>-95.563785046856054</v>
      </c>
      <c r="F849" s="1">
        <f t="shared" si="142"/>
        <v>-96.140398411160049</v>
      </c>
      <c r="G849" s="1">
        <f t="shared" si="139"/>
        <v>1.7650437799640967E-42</v>
      </c>
      <c r="H849" s="1">
        <f t="shared" si="132"/>
        <v>1.8285480006188892E-43</v>
      </c>
      <c r="I849">
        <f t="shared" si="133"/>
        <v>8</v>
      </c>
      <c r="J849">
        <f t="shared" si="134"/>
        <v>816</v>
      </c>
      <c r="K849" s="5">
        <f t="shared" si="135"/>
        <v>0</v>
      </c>
      <c r="L849">
        <f t="shared" si="136"/>
        <v>53.4</v>
      </c>
      <c r="M849">
        <f t="shared" si="137"/>
        <v>1</v>
      </c>
      <c r="N849">
        <f t="shared" si="138"/>
        <v>0</v>
      </c>
    </row>
    <row r="850" spans="4:14" x14ac:dyDescent="0.2">
      <c r="D850">
        <f t="shared" si="140"/>
        <v>827</v>
      </c>
      <c r="E850" s="1">
        <f t="shared" si="141"/>
        <v>-95.680318863112007</v>
      </c>
      <c r="F850" s="1">
        <f t="shared" si="142"/>
        <v>-96.256932227416002</v>
      </c>
      <c r="G850" s="1">
        <f t="shared" si="139"/>
        <v>1.5708889641680452E-42</v>
      </c>
      <c r="H850" s="1">
        <f t="shared" si="132"/>
        <v>1.6274077205508105E-43</v>
      </c>
      <c r="I850">
        <f t="shared" si="133"/>
        <v>8</v>
      </c>
      <c r="J850">
        <f t="shared" si="134"/>
        <v>817</v>
      </c>
      <c r="K850" s="5">
        <f t="shared" si="135"/>
        <v>0</v>
      </c>
      <c r="L850">
        <f t="shared" si="136"/>
        <v>53.4</v>
      </c>
      <c r="M850">
        <f t="shared" si="137"/>
        <v>1</v>
      </c>
      <c r="N850">
        <f t="shared" si="138"/>
        <v>0</v>
      </c>
    </row>
    <row r="851" spans="4:14" x14ac:dyDescent="0.2">
      <c r="D851">
        <f t="shared" si="140"/>
        <v>828</v>
      </c>
      <c r="E851" s="1">
        <f t="shared" si="141"/>
        <v>-95.796852679367959</v>
      </c>
      <c r="F851" s="1">
        <f t="shared" si="142"/>
        <v>-96.373466043671954</v>
      </c>
      <c r="G851" s="1">
        <f t="shared" si="139"/>
        <v>1.3980911781095592E-42</v>
      </c>
      <c r="H851" s="1">
        <f t="shared" si="132"/>
        <v>1.4483928712902202E-43</v>
      </c>
      <c r="I851">
        <f t="shared" si="133"/>
        <v>8</v>
      </c>
      <c r="J851">
        <f t="shared" si="134"/>
        <v>818</v>
      </c>
      <c r="K851" s="5">
        <f t="shared" si="135"/>
        <v>0</v>
      </c>
      <c r="L851">
        <f t="shared" si="136"/>
        <v>53.4</v>
      </c>
      <c r="M851">
        <f t="shared" si="137"/>
        <v>1</v>
      </c>
      <c r="N851">
        <f t="shared" si="138"/>
        <v>0</v>
      </c>
    </row>
    <row r="852" spans="4:14" x14ac:dyDescent="0.2">
      <c r="D852">
        <f t="shared" si="140"/>
        <v>829</v>
      </c>
      <c r="E852" s="1">
        <f t="shared" si="141"/>
        <v>-95.913386495623911</v>
      </c>
      <c r="F852" s="1">
        <f t="shared" si="142"/>
        <v>-96.489999859927906</v>
      </c>
      <c r="G852" s="1">
        <f t="shared" si="139"/>
        <v>1.244301148517507E-42</v>
      </c>
      <c r="H852" s="1">
        <f t="shared" si="132"/>
        <v>1.2890696554482953E-43</v>
      </c>
      <c r="I852">
        <f t="shared" si="133"/>
        <v>8</v>
      </c>
      <c r="J852">
        <f t="shared" si="134"/>
        <v>819</v>
      </c>
      <c r="K852" s="5">
        <f t="shared" si="135"/>
        <v>0</v>
      </c>
      <c r="L852">
        <f t="shared" si="136"/>
        <v>53.4</v>
      </c>
      <c r="M852">
        <f t="shared" si="137"/>
        <v>1</v>
      </c>
      <c r="N852">
        <f t="shared" si="138"/>
        <v>0</v>
      </c>
    </row>
    <row r="853" spans="4:14" x14ac:dyDescent="0.2">
      <c r="D853">
        <f t="shared" si="140"/>
        <v>830</v>
      </c>
      <c r="E853" s="1">
        <f t="shared" si="141"/>
        <v>-96.029920311879863</v>
      </c>
      <c r="F853" s="1">
        <f t="shared" si="142"/>
        <v>-96.606533676183858</v>
      </c>
      <c r="G853" s="1">
        <f t="shared" si="139"/>
        <v>1.1074280221805804E-42</v>
      </c>
      <c r="H853" s="1">
        <f t="shared" si="132"/>
        <v>1.147271993348982E-43</v>
      </c>
      <c r="I853">
        <f t="shared" si="133"/>
        <v>8</v>
      </c>
      <c r="J853">
        <f t="shared" si="134"/>
        <v>820</v>
      </c>
      <c r="K853" s="5">
        <f t="shared" si="135"/>
        <v>0</v>
      </c>
      <c r="L853">
        <f t="shared" si="136"/>
        <v>53.4</v>
      </c>
      <c r="M853">
        <f t="shared" si="137"/>
        <v>1</v>
      </c>
      <c r="N853">
        <f t="shared" si="138"/>
        <v>0</v>
      </c>
    </row>
    <row r="854" spans="4:14" x14ac:dyDescent="0.2">
      <c r="D854">
        <f t="shared" si="140"/>
        <v>831</v>
      </c>
      <c r="E854" s="1">
        <f t="shared" si="141"/>
        <v>-96.146454128135815</v>
      </c>
      <c r="F854" s="1">
        <f t="shared" si="142"/>
        <v>-96.72306749243981</v>
      </c>
      <c r="G854" s="1">
        <f t="shared" si="139"/>
        <v>9.8561093974071606E-43</v>
      </c>
      <c r="H854" s="1">
        <f t="shared" si="132"/>
        <v>1.0210720740805934E-43</v>
      </c>
      <c r="I854">
        <f t="shared" si="133"/>
        <v>8</v>
      </c>
      <c r="J854">
        <f t="shared" si="134"/>
        <v>821</v>
      </c>
      <c r="K854" s="5">
        <f t="shared" si="135"/>
        <v>0</v>
      </c>
      <c r="L854">
        <f t="shared" si="136"/>
        <v>53.4</v>
      </c>
      <c r="M854">
        <f t="shared" si="137"/>
        <v>1</v>
      </c>
      <c r="N854">
        <f t="shared" si="138"/>
        <v>0</v>
      </c>
    </row>
    <row r="855" spans="4:14" x14ac:dyDescent="0.2">
      <c r="D855">
        <f t="shared" si="140"/>
        <v>832</v>
      </c>
      <c r="E855" s="1">
        <f t="shared" si="141"/>
        <v>-96.262987944391767</v>
      </c>
      <c r="F855" s="1">
        <f t="shared" si="142"/>
        <v>-96.839601308695762</v>
      </c>
      <c r="G855" s="1">
        <f t="shared" si="139"/>
        <v>8.7719373636923666E-43</v>
      </c>
      <c r="H855" s="1">
        <f t="shared" ref="H855:H918" si="143">G855/$G$21</f>
        <v>9.0875414593172748E-44</v>
      </c>
      <c r="I855">
        <f t="shared" ref="I855:I918" si="144">IF($F$11&lt;=D855, IF(D855&lt;=$A$15,D855-$F$11,$C$11),0)</f>
        <v>8</v>
      </c>
      <c r="J855">
        <f t="shared" ref="J855:J918" si="145">IF(D855&lt;=$A$15,0,D855-$A$15)</f>
        <v>822</v>
      </c>
      <c r="K855" s="5">
        <f t="shared" ref="K855:K918" si="146">IF(D855&lt;$F$11,H855,0)</f>
        <v>0</v>
      </c>
      <c r="L855">
        <f t="shared" ref="L855:L918" si="147">IF(D855&lt;$A$15,$D$11,$D$11*(1-$H$11))</f>
        <v>53.4</v>
      </c>
      <c r="M855">
        <f t="shared" ref="M855:M918" si="148">IF(D855&lt;$A$15,0,1)</f>
        <v>1</v>
      </c>
      <c r="N855">
        <f t="shared" ref="N855:N918" si="149">IF(SUM(I855:J855)&lt;=($G$11/60*$F$11/($E$11/60)),1,0)</f>
        <v>0</v>
      </c>
    </row>
    <row r="856" spans="4:14" x14ac:dyDescent="0.2">
      <c r="D856">
        <f t="shared" si="140"/>
        <v>833</v>
      </c>
      <c r="E856" s="1">
        <f t="shared" si="141"/>
        <v>-96.379521760647719</v>
      </c>
      <c r="F856" s="1">
        <f t="shared" si="142"/>
        <v>-96.956135124951714</v>
      </c>
      <c r="G856" s="1">
        <f t="shared" ref="G856:G919" si="150">EXP(F856)</f>
        <v>7.8070242536862012E-43</v>
      </c>
      <c r="H856" s="1">
        <f t="shared" si="143"/>
        <v>8.0879118987923688E-44</v>
      </c>
      <c r="I856">
        <f t="shared" si="144"/>
        <v>8</v>
      </c>
      <c r="J856">
        <f t="shared" si="145"/>
        <v>823</v>
      </c>
      <c r="K856" s="5">
        <f t="shared" si="146"/>
        <v>0</v>
      </c>
      <c r="L856">
        <f t="shared" si="147"/>
        <v>53.4</v>
      </c>
      <c r="M856">
        <f t="shared" si="148"/>
        <v>1</v>
      </c>
      <c r="N856">
        <f t="shared" si="149"/>
        <v>0</v>
      </c>
    </row>
    <row r="857" spans="4:14" x14ac:dyDescent="0.2">
      <c r="D857">
        <f t="shared" ref="D857:D920" si="151">1+D856</f>
        <v>834</v>
      </c>
      <c r="E857" s="1">
        <f t="shared" ref="E857:E920" si="152">IF($H$11=1,IF(D857&lt;=$A$15, E856+LN($D$11)-LN(60/$E$11)-LN(MIN(D857,$F$11)), E856-LN(60/$E$11)-LN(MIN(D857,$F$11))), IF(D857&lt;=$A$15, E856+LN($D$11)-LN(60/$E$11)-LN(MIN(D857,$F$11)), E856+LN($D$11)+LN(1-$H$11)-LN(60/$E$11)-LN(MIN(D857,$F$11))))</f>
        <v>-96.496055576903672</v>
      </c>
      <c r="F857" s="1">
        <f t="shared" ref="F857:F920" si="153">E857-$E$21</f>
        <v>-97.072668941207667</v>
      </c>
      <c r="G857" s="1">
        <f t="shared" si="150"/>
        <v>6.9482515857807154E-43</v>
      </c>
      <c r="H857" s="1">
        <f t="shared" si="143"/>
        <v>7.1982415899252045E-44</v>
      </c>
      <c r="I857">
        <f t="shared" si="144"/>
        <v>8</v>
      </c>
      <c r="J857">
        <f t="shared" si="145"/>
        <v>824</v>
      </c>
      <c r="K857" s="5">
        <f t="shared" si="146"/>
        <v>0</v>
      </c>
      <c r="L857">
        <f t="shared" si="147"/>
        <v>53.4</v>
      </c>
      <c r="M857">
        <f t="shared" si="148"/>
        <v>1</v>
      </c>
      <c r="N857">
        <f t="shared" si="149"/>
        <v>0</v>
      </c>
    </row>
    <row r="858" spans="4:14" x14ac:dyDescent="0.2">
      <c r="D858">
        <f t="shared" si="151"/>
        <v>835</v>
      </c>
      <c r="E858" s="1">
        <f t="shared" si="152"/>
        <v>-96.612589393159624</v>
      </c>
      <c r="F858" s="1">
        <f t="shared" si="153"/>
        <v>-97.189202757463619</v>
      </c>
      <c r="G858" s="1">
        <f t="shared" si="150"/>
        <v>6.1839439113448323E-43</v>
      </c>
      <c r="H858" s="1">
        <f t="shared" si="143"/>
        <v>6.4064350150334277E-44</v>
      </c>
      <c r="I858">
        <f t="shared" si="144"/>
        <v>8</v>
      </c>
      <c r="J858">
        <f t="shared" si="145"/>
        <v>825</v>
      </c>
      <c r="K858" s="5">
        <f t="shared" si="146"/>
        <v>0</v>
      </c>
      <c r="L858">
        <f t="shared" si="147"/>
        <v>53.4</v>
      </c>
      <c r="M858">
        <f t="shared" si="148"/>
        <v>1</v>
      </c>
      <c r="N858">
        <f t="shared" si="149"/>
        <v>0</v>
      </c>
    </row>
    <row r="859" spans="4:14" x14ac:dyDescent="0.2">
      <c r="D859">
        <f t="shared" si="151"/>
        <v>836</v>
      </c>
      <c r="E859" s="1">
        <f t="shared" si="152"/>
        <v>-96.729123209415576</v>
      </c>
      <c r="F859" s="1">
        <f t="shared" si="153"/>
        <v>-97.305736573719571</v>
      </c>
      <c r="G859" s="1">
        <f t="shared" si="150"/>
        <v>5.5037100810968975E-43</v>
      </c>
      <c r="H859" s="1">
        <f t="shared" si="143"/>
        <v>5.7017271633797471E-44</v>
      </c>
      <c r="I859">
        <f t="shared" si="144"/>
        <v>8</v>
      </c>
      <c r="J859">
        <f t="shared" si="145"/>
        <v>826</v>
      </c>
      <c r="K859" s="5">
        <f t="shared" si="146"/>
        <v>0</v>
      </c>
      <c r="L859">
        <f t="shared" si="147"/>
        <v>53.4</v>
      </c>
      <c r="M859">
        <f t="shared" si="148"/>
        <v>1</v>
      </c>
      <c r="N859">
        <f t="shared" si="149"/>
        <v>0</v>
      </c>
    </row>
    <row r="860" spans="4:14" x14ac:dyDescent="0.2">
      <c r="D860">
        <f t="shared" si="151"/>
        <v>837</v>
      </c>
      <c r="E860" s="1">
        <f t="shared" si="152"/>
        <v>-96.845657025671528</v>
      </c>
      <c r="F860" s="1">
        <f t="shared" si="153"/>
        <v>-97.422270389975523</v>
      </c>
      <c r="G860" s="1">
        <f t="shared" si="150"/>
        <v>4.8983019721762357E-43</v>
      </c>
      <c r="H860" s="1">
        <f t="shared" si="143"/>
        <v>5.074537175407972E-44</v>
      </c>
      <c r="I860">
        <f t="shared" si="144"/>
        <v>8</v>
      </c>
      <c r="J860">
        <f t="shared" si="145"/>
        <v>827</v>
      </c>
      <c r="K860" s="5">
        <f t="shared" si="146"/>
        <v>0</v>
      </c>
      <c r="L860">
        <f t="shared" si="147"/>
        <v>53.4</v>
      </c>
      <c r="M860">
        <f t="shared" si="148"/>
        <v>1</v>
      </c>
      <c r="N860">
        <f t="shared" si="149"/>
        <v>0</v>
      </c>
    </row>
    <row r="861" spans="4:14" x14ac:dyDescent="0.2">
      <c r="D861">
        <f t="shared" si="151"/>
        <v>838</v>
      </c>
      <c r="E861" s="1">
        <f t="shared" si="152"/>
        <v>-96.96219084192748</v>
      </c>
      <c r="F861" s="1">
        <f t="shared" si="153"/>
        <v>-97.538804206231475</v>
      </c>
      <c r="G861" s="1">
        <f t="shared" si="150"/>
        <v>4.3594887552368473E-43</v>
      </c>
      <c r="H861" s="1">
        <f t="shared" si="143"/>
        <v>4.516338086113092E-44</v>
      </c>
      <c r="I861">
        <f t="shared" si="144"/>
        <v>8</v>
      </c>
      <c r="J861">
        <f t="shared" si="145"/>
        <v>828</v>
      </c>
      <c r="K861" s="5">
        <f t="shared" si="146"/>
        <v>0</v>
      </c>
      <c r="L861">
        <f t="shared" si="147"/>
        <v>53.4</v>
      </c>
      <c r="M861">
        <f t="shared" si="148"/>
        <v>1</v>
      </c>
      <c r="N861">
        <f t="shared" si="149"/>
        <v>0</v>
      </c>
    </row>
    <row r="862" spans="4:14" x14ac:dyDescent="0.2">
      <c r="D862">
        <f t="shared" si="151"/>
        <v>839</v>
      </c>
      <c r="E862" s="1">
        <f t="shared" si="152"/>
        <v>-97.078724658183432</v>
      </c>
      <c r="F862" s="1">
        <f t="shared" si="153"/>
        <v>-97.655338022487427</v>
      </c>
      <c r="G862" s="1">
        <f t="shared" si="150"/>
        <v>3.8799449921607914E-43</v>
      </c>
      <c r="H862" s="1">
        <f t="shared" si="143"/>
        <v>4.0195408966406496E-44</v>
      </c>
      <c r="I862">
        <f t="shared" si="144"/>
        <v>8</v>
      </c>
      <c r="J862">
        <f t="shared" si="145"/>
        <v>829</v>
      </c>
      <c r="K862" s="5">
        <f t="shared" si="146"/>
        <v>0</v>
      </c>
      <c r="L862">
        <f t="shared" si="147"/>
        <v>53.4</v>
      </c>
      <c r="M862">
        <f t="shared" si="148"/>
        <v>1</v>
      </c>
      <c r="N862">
        <f t="shared" si="149"/>
        <v>0</v>
      </c>
    </row>
    <row r="863" spans="4:14" x14ac:dyDescent="0.2">
      <c r="D863">
        <f t="shared" si="151"/>
        <v>840</v>
      </c>
      <c r="E863" s="1">
        <f t="shared" si="152"/>
        <v>-97.195258474439385</v>
      </c>
      <c r="F863" s="1">
        <f t="shared" si="153"/>
        <v>-97.77187183874338</v>
      </c>
      <c r="G863" s="1">
        <f t="shared" si="150"/>
        <v>3.453151043023102E-43</v>
      </c>
      <c r="H863" s="1">
        <f t="shared" si="143"/>
        <v>3.5773913980101754E-44</v>
      </c>
      <c r="I863">
        <f t="shared" si="144"/>
        <v>8</v>
      </c>
      <c r="J863">
        <f t="shared" si="145"/>
        <v>830</v>
      </c>
      <c r="K863" s="5">
        <f t="shared" si="146"/>
        <v>0</v>
      </c>
      <c r="L863">
        <f t="shared" si="147"/>
        <v>53.4</v>
      </c>
      <c r="M863">
        <f t="shared" si="148"/>
        <v>1</v>
      </c>
      <c r="N863">
        <f t="shared" si="149"/>
        <v>0</v>
      </c>
    </row>
    <row r="864" spans="4:14" x14ac:dyDescent="0.2">
      <c r="D864">
        <f t="shared" si="151"/>
        <v>841</v>
      </c>
      <c r="E864" s="1">
        <f t="shared" si="152"/>
        <v>-97.311792290695337</v>
      </c>
      <c r="F864" s="1">
        <f t="shared" si="153"/>
        <v>-97.888405654999332</v>
      </c>
      <c r="G864" s="1">
        <f t="shared" si="150"/>
        <v>3.0733044282905588E-43</v>
      </c>
      <c r="H864" s="1">
        <f t="shared" si="143"/>
        <v>3.1838783442290543E-44</v>
      </c>
      <c r="I864">
        <f t="shared" si="144"/>
        <v>8</v>
      </c>
      <c r="J864">
        <f t="shared" si="145"/>
        <v>831</v>
      </c>
      <c r="K864" s="5">
        <f t="shared" si="146"/>
        <v>0</v>
      </c>
      <c r="L864">
        <f t="shared" si="147"/>
        <v>53.4</v>
      </c>
      <c r="M864">
        <f t="shared" si="148"/>
        <v>1</v>
      </c>
      <c r="N864">
        <f t="shared" si="149"/>
        <v>0</v>
      </c>
    </row>
    <row r="865" spans="4:14" x14ac:dyDescent="0.2">
      <c r="D865">
        <f t="shared" si="151"/>
        <v>842</v>
      </c>
      <c r="E865" s="1">
        <f t="shared" si="152"/>
        <v>-97.428326106951289</v>
      </c>
      <c r="F865" s="1">
        <f t="shared" si="153"/>
        <v>-98.004939471255284</v>
      </c>
      <c r="G865" s="1">
        <f t="shared" si="150"/>
        <v>2.7352409411785959E-43</v>
      </c>
      <c r="H865" s="1">
        <f t="shared" si="143"/>
        <v>2.8336517263638566E-44</v>
      </c>
      <c r="I865">
        <f t="shared" si="144"/>
        <v>8</v>
      </c>
      <c r="J865">
        <f t="shared" si="145"/>
        <v>832</v>
      </c>
      <c r="K865" s="5">
        <f t="shared" si="146"/>
        <v>0</v>
      </c>
      <c r="L865">
        <f t="shared" si="147"/>
        <v>53.4</v>
      </c>
      <c r="M865">
        <f t="shared" si="148"/>
        <v>1</v>
      </c>
      <c r="N865">
        <f t="shared" si="149"/>
        <v>0</v>
      </c>
    </row>
    <row r="866" spans="4:14" x14ac:dyDescent="0.2">
      <c r="D866">
        <f t="shared" si="151"/>
        <v>843</v>
      </c>
      <c r="E866" s="1">
        <f t="shared" si="152"/>
        <v>-97.544859923207241</v>
      </c>
      <c r="F866" s="1">
        <f t="shared" si="153"/>
        <v>-98.121473287511236</v>
      </c>
      <c r="G866" s="1">
        <f t="shared" si="150"/>
        <v>2.4343644376489488E-43</v>
      </c>
      <c r="H866" s="1">
        <f t="shared" si="143"/>
        <v>2.5219500364638309E-44</v>
      </c>
      <c r="I866">
        <f t="shared" si="144"/>
        <v>8</v>
      </c>
      <c r="J866">
        <f t="shared" si="145"/>
        <v>833</v>
      </c>
      <c r="K866" s="5">
        <f t="shared" si="146"/>
        <v>0</v>
      </c>
      <c r="L866">
        <f t="shared" si="147"/>
        <v>53.4</v>
      </c>
      <c r="M866">
        <f t="shared" si="148"/>
        <v>1</v>
      </c>
      <c r="N866">
        <f t="shared" si="149"/>
        <v>0</v>
      </c>
    </row>
    <row r="867" spans="4:14" x14ac:dyDescent="0.2">
      <c r="D867">
        <f t="shared" si="151"/>
        <v>844</v>
      </c>
      <c r="E867" s="1">
        <f t="shared" si="152"/>
        <v>-97.661393739463193</v>
      </c>
      <c r="F867" s="1">
        <f t="shared" si="153"/>
        <v>-98.238007103767188</v>
      </c>
      <c r="G867" s="1">
        <f t="shared" si="150"/>
        <v>2.1665843495075631E-43</v>
      </c>
      <c r="H867" s="1">
        <f t="shared" si="143"/>
        <v>2.2445355324528083E-44</v>
      </c>
      <c r="I867">
        <f t="shared" si="144"/>
        <v>8</v>
      </c>
      <c r="J867">
        <f t="shared" si="145"/>
        <v>834</v>
      </c>
      <c r="K867" s="5">
        <f t="shared" si="146"/>
        <v>0</v>
      </c>
      <c r="L867">
        <f t="shared" si="147"/>
        <v>53.4</v>
      </c>
      <c r="M867">
        <f t="shared" si="148"/>
        <v>1</v>
      </c>
      <c r="N867">
        <f t="shared" si="149"/>
        <v>0</v>
      </c>
    </row>
    <row r="868" spans="4:14" x14ac:dyDescent="0.2">
      <c r="D868">
        <f t="shared" si="151"/>
        <v>845</v>
      </c>
      <c r="E868" s="1">
        <f t="shared" si="152"/>
        <v>-97.777927555719145</v>
      </c>
      <c r="F868" s="1">
        <f t="shared" si="153"/>
        <v>-98.35454092002314</v>
      </c>
      <c r="G868" s="1">
        <f t="shared" si="150"/>
        <v>1.9282600710617296E-43</v>
      </c>
      <c r="H868" s="1">
        <f t="shared" si="143"/>
        <v>1.9976366238829977E-44</v>
      </c>
      <c r="I868">
        <f t="shared" si="144"/>
        <v>8</v>
      </c>
      <c r="J868">
        <f t="shared" si="145"/>
        <v>835</v>
      </c>
      <c r="K868" s="5">
        <f t="shared" si="146"/>
        <v>0</v>
      </c>
      <c r="L868">
        <f t="shared" si="147"/>
        <v>53.4</v>
      </c>
      <c r="M868">
        <f t="shared" si="148"/>
        <v>1</v>
      </c>
      <c r="N868">
        <f t="shared" si="149"/>
        <v>0</v>
      </c>
    </row>
    <row r="869" spans="4:14" x14ac:dyDescent="0.2">
      <c r="D869">
        <f t="shared" si="151"/>
        <v>846</v>
      </c>
      <c r="E869" s="1">
        <f t="shared" si="152"/>
        <v>-97.894461371975098</v>
      </c>
      <c r="F869" s="1">
        <f t="shared" si="153"/>
        <v>-98.471074736279093</v>
      </c>
      <c r="G869" s="1">
        <f t="shared" si="150"/>
        <v>1.7161514632449385E-43</v>
      </c>
      <c r="H869" s="1">
        <f t="shared" si="143"/>
        <v>1.7778965952558669E-44</v>
      </c>
      <c r="I869">
        <f t="shared" si="144"/>
        <v>8</v>
      </c>
      <c r="J869">
        <f t="shared" si="145"/>
        <v>836</v>
      </c>
      <c r="K869" s="5">
        <f t="shared" si="146"/>
        <v>0</v>
      </c>
      <c r="L869">
        <f t="shared" si="147"/>
        <v>53.4</v>
      </c>
      <c r="M869">
        <f t="shared" si="148"/>
        <v>1</v>
      </c>
      <c r="N869">
        <f t="shared" si="149"/>
        <v>0</v>
      </c>
    </row>
    <row r="870" spans="4:14" x14ac:dyDescent="0.2">
      <c r="D870">
        <f t="shared" si="151"/>
        <v>847</v>
      </c>
      <c r="E870" s="1">
        <f t="shared" si="152"/>
        <v>-98.01099518823105</v>
      </c>
      <c r="F870" s="1">
        <f t="shared" si="153"/>
        <v>-98.587608552535045</v>
      </c>
      <c r="G870" s="1">
        <f t="shared" si="150"/>
        <v>1.5273748022879943E-43</v>
      </c>
      <c r="H870" s="1">
        <f t="shared" si="143"/>
        <v>1.5823279697777207E-44</v>
      </c>
      <c r="I870">
        <f t="shared" si="144"/>
        <v>8</v>
      </c>
      <c r="J870">
        <f t="shared" si="145"/>
        <v>837</v>
      </c>
      <c r="K870" s="5">
        <f t="shared" si="146"/>
        <v>0</v>
      </c>
      <c r="L870">
        <f t="shared" si="147"/>
        <v>53.4</v>
      </c>
      <c r="M870">
        <f t="shared" si="148"/>
        <v>1</v>
      </c>
      <c r="N870">
        <f t="shared" si="149"/>
        <v>0</v>
      </c>
    </row>
    <row r="871" spans="4:14" x14ac:dyDescent="0.2">
      <c r="D871">
        <f t="shared" si="151"/>
        <v>848</v>
      </c>
      <c r="E871" s="1">
        <f t="shared" si="152"/>
        <v>-98.127529004487002</v>
      </c>
      <c r="F871" s="1">
        <f t="shared" si="153"/>
        <v>-98.704142368790997</v>
      </c>
      <c r="G871" s="1">
        <f t="shared" si="150"/>
        <v>1.359363574036314E-43</v>
      </c>
      <c r="H871" s="1">
        <f t="shared" si="143"/>
        <v>1.4082718931021704E-44</v>
      </c>
      <c r="I871">
        <f t="shared" si="144"/>
        <v>8</v>
      </c>
      <c r="J871">
        <f t="shared" si="145"/>
        <v>838</v>
      </c>
      <c r="K871" s="5">
        <f t="shared" si="146"/>
        <v>0</v>
      </c>
      <c r="L871">
        <f t="shared" si="147"/>
        <v>53.4</v>
      </c>
      <c r="M871">
        <f t="shared" si="148"/>
        <v>1</v>
      </c>
      <c r="N871">
        <f t="shared" si="149"/>
        <v>0</v>
      </c>
    </row>
    <row r="872" spans="4:14" x14ac:dyDescent="0.2">
      <c r="D872">
        <f t="shared" si="151"/>
        <v>849</v>
      </c>
      <c r="E872" s="1">
        <f t="shared" si="152"/>
        <v>-98.244062820742954</v>
      </c>
      <c r="F872" s="1">
        <f t="shared" si="153"/>
        <v>-98.820676185046949</v>
      </c>
      <c r="G872" s="1">
        <f t="shared" si="150"/>
        <v>1.2098335808923188E-43</v>
      </c>
      <c r="H872" s="1">
        <f t="shared" si="143"/>
        <v>1.2533619848609309E-44</v>
      </c>
      <c r="I872">
        <f t="shared" si="144"/>
        <v>8</v>
      </c>
      <c r="J872">
        <f t="shared" si="145"/>
        <v>839</v>
      </c>
      <c r="K872" s="5">
        <f t="shared" si="146"/>
        <v>0</v>
      </c>
      <c r="L872">
        <f t="shared" si="147"/>
        <v>53.4</v>
      </c>
      <c r="M872">
        <f t="shared" si="148"/>
        <v>1</v>
      </c>
      <c r="N872">
        <f t="shared" si="149"/>
        <v>0</v>
      </c>
    </row>
    <row r="873" spans="4:14" x14ac:dyDescent="0.2">
      <c r="D873">
        <f t="shared" si="151"/>
        <v>850</v>
      </c>
      <c r="E873" s="1">
        <f t="shared" si="152"/>
        <v>-98.360596636998906</v>
      </c>
      <c r="F873" s="1">
        <f t="shared" si="153"/>
        <v>-98.937210001302901</v>
      </c>
      <c r="G873" s="1">
        <f t="shared" si="150"/>
        <v>1.076751886994163E-43</v>
      </c>
      <c r="H873" s="1">
        <f t="shared" si="143"/>
        <v>1.1154921665262278E-44</v>
      </c>
      <c r="I873">
        <f t="shared" si="144"/>
        <v>8</v>
      </c>
      <c r="J873">
        <f t="shared" si="145"/>
        <v>840</v>
      </c>
      <c r="K873" s="5">
        <f t="shared" si="146"/>
        <v>0</v>
      </c>
      <c r="L873">
        <f t="shared" si="147"/>
        <v>53.4</v>
      </c>
      <c r="M873">
        <f t="shared" si="148"/>
        <v>1</v>
      </c>
      <c r="N873">
        <f t="shared" si="149"/>
        <v>0</v>
      </c>
    </row>
    <row r="874" spans="4:14" x14ac:dyDescent="0.2">
      <c r="D874">
        <f t="shared" si="151"/>
        <v>851</v>
      </c>
      <c r="E874" s="1">
        <f t="shared" si="152"/>
        <v>-98.477130453254858</v>
      </c>
      <c r="F874" s="1">
        <f t="shared" si="153"/>
        <v>-99.053743817558853</v>
      </c>
      <c r="G874" s="1">
        <f t="shared" si="150"/>
        <v>9.5830917942480448E-44</v>
      </c>
      <c r="H874" s="1">
        <f t="shared" si="143"/>
        <v>9.9278802820834215E-45</v>
      </c>
      <c r="I874">
        <f t="shared" si="144"/>
        <v>8</v>
      </c>
      <c r="J874">
        <f t="shared" si="145"/>
        <v>841</v>
      </c>
      <c r="K874" s="5">
        <f t="shared" si="146"/>
        <v>0</v>
      </c>
      <c r="L874">
        <f t="shared" si="147"/>
        <v>53.4</v>
      </c>
      <c r="M874">
        <f t="shared" si="148"/>
        <v>1</v>
      </c>
      <c r="N874">
        <f t="shared" si="149"/>
        <v>0</v>
      </c>
    </row>
    <row r="875" spans="4:14" x14ac:dyDescent="0.2">
      <c r="D875">
        <f t="shared" si="151"/>
        <v>852</v>
      </c>
      <c r="E875" s="1">
        <f t="shared" si="152"/>
        <v>-98.593664269510811</v>
      </c>
      <c r="F875" s="1">
        <f t="shared" si="153"/>
        <v>-99.170277633814806</v>
      </c>
      <c r="G875" s="1">
        <f t="shared" si="150"/>
        <v>8.5289516968807539E-44</v>
      </c>
      <c r="H875" s="1">
        <f t="shared" si="143"/>
        <v>8.8358134510542388E-45</v>
      </c>
      <c r="I875">
        <f t="shared" si="144"/>
        <v>8</v>
      </c>
      <c r="J875">
        <f t="shared" si="145"/>
        <v>842</v>
      </c>
      <c r="K875" s="5">
        <f t="shared" si="146"/>
        <v>0</v>
      </c>
      <c r="L875">
        <f t="shared" si="147"/>
        <v>53.4</v>
      </c>
      <c r="M875">
        <f t="shared" si="148"/>
        <v>1</v>
      </c>
      <c r="N875">
        <f t="shared" si="149"/>
        <v>0</v>
      </c>
    </row>
    <row r="876" spans="4:14" x14ac:dyDescent="0.2">
      <c r="D876">
        <f t="shared" si="151"/>
        <v>853</v>
      </c>
      <c r="E876" s="1">
        <f t="shared" si="152"/>
        <v>-98.710198085766763</v>
      </c>
      <c r="F876" s="1">
        <f t="shared" si="153"/>
        <v>-99.286811450070758</v>
      </c>
      <c r="G876" s="1">
        <f t="shared" si="150"/>
        <v>7.5907670102238667E-44</v>
      </c>
      <c r="H876" s="1">
        <f t="shared" si="143"/>
        <v>7.8638739714382685E-45</v>
      </c>
      <c r="I876">
        <f t="shared" si="144"/>
        <v>8</v>
      </c>
      <c r="J876">
        <f t="shared" si="145"/>
        <v>843</v>
      </c>
      <c r="K876" s="5">
        <f t="shared" si="146"/>
        <v>0</v>
      </c>
      <c r="L876">
        <f t="shared" si="147"/>
        <v>53.4</v>
      </c>
      <c r="M876">
        <f t="shared" si="148"/>
        <v>1</v>
      </c>
      <c r="N876">
        <f t="shared" si="149"/>
        <v>0</v>
      </c>
    </row>
    <row r="877" spans="4:14" x14ac:dyDescent="0.2">
      <c r="D877">
        <f t="shared" si="151"/>
        <v>854</v>
      </c>
      <c r="E877" s="1">
        <f t="shared" si="152"/>
        <v>-98.826731902022715</v>
      </c>
      <c r="F877" s="1">
        <f t="shared" si="153"/>
        <v>-99.40334526632671</v>
      </c>
      <c r="G877" s="1">
        <f t="shared" si="150"/>
        <v>6.7557826390992371E-44</v>
      </c>
      <c r="H877" s="1">
        <f t="shared" si="143"/>
        <v>6.9988478345800546E-45</v>
      </c>
      <c r="I877">
        <f t="shared" si="144"/>
        <v>8</v>
      </c>
      <c r="J877">
        <f t="shared" si="145"/>
        <v>844</v>
      </c>
      <c r="K877" s="5">
        <f t="shared" si="146"/>
        <v>0</v>
      </c>
      <c r="L877">
        <f t="shared" si="147"/>
        <v>53.4</v>
      </c>
      <c r="M877">
        <f t="shared" si="148"/>
        <v>1</v>
      </c>
      <c r="N877">
        <f t="shared" si="149"/>
        <v>0</v>
      </c>
    </row>
    <row r="878" spans="4:14" x14ac:dyDescent="0.2">
      <c r="D878">
        <f t="shared" si="151"/>
        <v>855</v>
      </c>
      <c r="E878" s="1">
        <f t="shared" si="152"/>
        <v>-98.943265718278667</v>
      </c>
      <c r="F878" s="1">
        <f t="shared" si="153"/>
        <v>-99.519879082582662</v>
      </c>
      <c r="G878" s="1">
        <f t="shared" si="150"/>
        <v>6.0126465487983166E-44</v>
      </c>
      <c r="H878" s="1">
        <f t="shared" si="143"/>
        <v>6.2289745727762434E-45</v>
      </c>
      <c r="I878">
        <f t="shared" si="144"/>
        <v>8</v>
      </c>
      <c r="J878">
        <f t="shared" si="145"/>
        <v>845</v>
      </c>
      <c r="K878" s="5">
        <f t="shared" si="146"/>
        <v>0</v>
      </c>
      <c r="L878">
        <f t="shared" si="147"/>
        <v>53.4</v>
      </c>
      <c r="M878">
        <f t="shared" si="148"/>
        <v>1</v>
      </c>
      <c r="N878">
        <f t="shared" si="149"/>
        <v>0</v>
      </c>
    </row>
    <row r="879" spans="4:14" x14ac:dyDescent="0.2">
      <c r="D879">
        <f t="shared" si="151"/>
        <v>856</v>
      </c>
      <c r="E879" s="1">
        <f t="shared" si="152"/>
        <v>-99.059799534534619</v>
      </c>
      <c r="F879" s="1">
        <f t="shared" si="153"/>
        <v>-99.636412898838614</v>
      </c>
      <c r="G879" s="1">
        <f t="shared" si="150"/>
        <v>5.351255428430499E-44</v>
      </c>
      <c r="H879" s="1">
        <f t="shared" si="143"/>
        <v>5.5437873697708541E-45</v>
      </c>
      <c r="I879">
        <f t="shared" si="144"/>
        <v>8</v>
      </c>
      <c r="J879">
        <f t="shared" si="145"/>
        <v>846</v>
      </c>
      <c r="K879" s="5">
        <f t="shared" si="146"/>
        <v>0</v>
      </c>
      <c r="L879">
        <f t="shared" si="147"/>
        <v>53.4</v>
      </c>
      <c r="M879">
        <f t="shared" si="148"/>
        <v>1</v>
      </c>
      <c r="N879">
        <f t="shared" si="149"/>
        <v>0</v>
      </c>
    </row>
    <row r="880" spans="4:14" x14ac:dyDescent="0.2">
      <c r="D880">
        <f t="shared" si="151"/>
        <v>857</v>
      </c>
      <c r="E880" s="1">
        <f t="shared" si="152"/>
        <v>-99.176333350790571</v>
      </c>
      <c r="F880" s="1">
        <f t="shared" si="153"/>
        <v>-99.752946715094566</v>
      </c>
      <c r="G880" s="1">
        <f t="shared" si="150"/>
        <v>4.7626173313031414E-44</v>
      </c>
      <c r="H880" s="1">
        <f t="shared" si="143"/>
        <v>4.9339707590960573E-45</v>
      </c>
      <c r="I880">
        <f t="shared" si="144"/>
        <v>8</v>
      </c>
      <c r="J880">
        <f t="shared" si="145"/>
        <v>847</v>
      </c>
      <c r="K880" s="5">
        <f t="shared" si="146"/>
        <v>0</v>
      </c>
      <c r="L880">
        <f t="shared" si="147"/>
        <v>53.4</v>
      </c>
      <c r="M880">
        <f t="shared" si="148"/>
        <v>1</v>
      </c>
      <c r="N880">
        <f t="shared" si="149"/>
        <v>0</v>
      </c>
    </row>
    <row r="881" spans="4:14" x14ac:dyDescent="0.2">
      <c r="D881">
        <f t="shared" si="151"/>
        <v>858</v>
      </c>
      <c r="E881" s="1">
        <f t="shared" si="152"/>
        <v>-99.292867167046523</v>
      </c>
      <c r="F881" s="1">
        <f t="shared" si="153"/>
        <v>-99.869480531350519</v>
      </c>
      <c r="G881" s="1">
        <f t="shared" si="150"/>
        <v>4.238729424859793E-44</v>
      </c>
      <c r="H881" s="1">
        <f t="shared" si="143"/>
        <v>4.3912339755954879E-45</v>
      </c>
      <c r="I881">
        <f t="shared" si="144"/>
        <v>8</v>
      </c>
      <c r="J881">
        <f t="shared" si="145"/>
        <v>848</v>
      </c>
      <c r="K881" s="5">
        <f t="shared" si="146"/>
        <v>0</v>
      </c>
      <c r="L881">
        <f t="shared" si="147"/>
        <v>53.4</v>
      </c>
      <c r="M881">
        <f t="shared" si="148"/>
        <v>1</v>
      </c>
      <c r="N881">
        <f t="shared" si="149"/>
        <v>0</v>
      </c>
    </row>
    <row r="882" spans="4:14" x14ac:dyDescent="0.2">
      <c r="D882">
        <f t="shared" si="151"/>
        <v>859</v>
      </c>
      <c r="E882" s="1">
        <f t="shared" si="152"/>
        <v>-99.409400983302476</v>
      </c>
      <c r="F882" s="1">
        <f t="shared" si="153"/>
        <v>-99.986014347606471</v>
      </c>
      <c r="G882" s="1">
        <f t="shared" si="150"/>
        <v>3.7724691881252133E-44</v>
      </c>
      <c r="H882" s="1">
        <f t="shared" si="143"/>
        <v>3.9081982382799817E-45</v>
      </c>
      <c r="I882">
        <f t="shared" si="144"/>
        <v>8</v>
      </c>
      <c r="J882">
        <f t="shared" si="145"/>
        <v>849</v>
      </c>
      <c r="K882" s="5">
        <f t="shared" si="146"/>
        <v>0</v>
      </c>
      <c r="L882">
        <f t="shared" si="147"/>
        <v>53.4</v>
      </c>
      <c r="M882">
        <f t="shared" si="148"/>
        <v>1</v>
      </c>
      <c r="N882">
        <f t="shared" si="149"/>
        <v>0</v>
      </c>
    </row>
    <row r="883" spans="4:14" x14ac:dyDescent="0.2">
      <c r="D883">
        <f t="shared" si="151"/>
        <v>860</v>
      </c>
      <c r="E883" s="1">
        <f t="shared" si="152"/>
        <v>-99.525934799558428</v>
      </c>
      <c r="F883" s="1">
        <f t="shared" si="153"/>
        <v>-100.10254816386242</v>
      </c>
      <c r="G883" s="1">
        <f t="shared" si="150"/>
        <v>3.3574975774314375E-44</v>
      </c>
      <c r="H883" s="1">
        <f t="shared" si="143"/>
        <v>3.4782964320691813E-45</v>
      </c>
      <c r="I883">
        <f t="shared" si="144"/>
        <v>8</v>
      </c>
      <c r="J883">
        <f t="shared" si="145"/>
        <v>850</v>
      </c>
      <c r="K883" s="5">
        <f t="shared" si="146"/>
        <v>0</v>
      </c>
      <c r="L883">
        <f t="shared" si="147"/>
        <v>53.4</v>
      </c>
      <c r="M883">
        <f t="shared" si="148"/>
        <v>1</v>
      </c>
      <c r="N883">
        <f t="shared" si="149"/>
        <v>0</v>
      </c>
    </row>
    <row r="884" spans="4:14" x14ac:dyDescent="0.2">
      <c r="D884">
        <f t="shared" si="151"/>
        <v>861</v>
      </c>
      <c r="E884" s="1">
        <f t="shared" si="152"/>
        <v>-99.64246861581438</v>
      </c>
      <c r="F884" s="1">
        <f t="shared" si="153"/>
        <v>-100.21908198011837</v>
      </c>
      <c r="G884" s="1">
        <f t="shared" si="150"/>
        <v>2.9881728439139775E-44</v>
      </c>
      <c r="H884" s="1">
        <f t="shared" si="143"/>
        <v>3.0956838245415696E-45</v>
      </c>
      <c r="I884">
        <f t="shared" si="144"/>
        <v>8</v>
      </c>
      <c r="J884">
        <f t="shared" si="145"/>
        <v>851</v>
      </c>
      <c r="K884" s="5">
        <f t="shared" si="146"/>
        <v>0</v>
      </c>
      <c r="L884">
        <f t="shared" si="147"/>
        <v>53.4</v>
      </c>
      <c r="M884">
        <f t="shared" si="148"/>
        <v>1</v>
      </c>
      <c r="N884">
        <f t="shared" si="149"/>
        <v>0</v>
      </c>
    </row>
    <row r="885" spans="4:14" x14ac:dyDescent="0.2">
      <c r="D885">
        <f t="shared" si="151"/>
        <v>862</v>
      </c>
      <c r="E885" s="1">
        <f t="shared" si="152"/>
        <v>-99.759002432070332</v>
      </c>
      <c r="F885" s="1">
        <f t="shared" si="153"/>
        <v>-100.33561579637433</v>
      </c>
      <c r="G885" s="1">
        <f t="shared" si="150"/>
        <v>2.6594738310834384E-44</v>
      </c>
      <c r="H885" s="1">
        <f t="shared" si="143"/>
        <v>2.7551586038419952E-45</v>
      </c>
      <c r="I885">
        <f t="shared" si="144"/>
        <v>8</v>
      </c>
      <c r="J885">
        <f t="shared" si="145"/>
        <v>852</v>
      </c>
      <c r="K885" s="5">
        <f t="shared" si="146"/>
        <v>0</v>
      </c>
      <c r="L885">
        <f t="shared" si="147"/>
        <v>53.4</v>
      </c>
      <c r="M885">
        <f t="shared" si="148"/>
        <v>1</v>
      </c>
      <c r="N885">
        <f t="shared" si="149"/>
        <v>0</v>
      </c>
    </row>
    <row r="886" spans="4:14" x14ac:dyDescent="0.2">
      <c r="D886">
        <f t="shared" si="151"/>
        <v>863</v>
      </c>
      <c r="E886" s="1">
        <f t="shared" si="152"/>
        <v>-99.875536248326284</v>
      </c>
      <c r="F886" s="1">
        <f t="shared" si="153"/>
        <v>-100.45214961263028</v>
      </c>
      <c r="G886" s="1">
        <f t="shared" si="150"/>
        <v>2.3669317096642587E-44</v>
      </c>
      <c r="H886" s="1">
        <f t="shared" si="143"/>
        <v>2.4520911574193742E-45</v>
      </c>
      <c r="I886">
        <f t="shared" si="144"/>
        <v>8</v>
      </c>
      <c r="J886">
        <f t="shared" si="145"/>
        <v>853</v>
      </c>
      <c r="K886" s="5">
        <f t="shared" si="146"/>
        <v>0</v>
      </c>
      <c r="L886">
        <f t="shared" si="147"/>
        <v>53.4</v>
      </c>
      <c r="M886">
        <f t="shared" si="148"/>
        <v>1</v>
      </c>
      <c r="N886">
        <f t="shared" si="149"/>
        <v>0</v>
      </c>
    </row>
    <row r="887" spans="4:14" x14ac:dyDescent="0.2">
      <c r="D887">
        <f t="shared" si="151"/>
        <v>864</v>
      </c>
      <c r="E887" s="1">
        <f t="shared" si="152"/>
        <v>-99.992070064582236</v>
      </c>
      <c r="F887" s="1">
        <f t="shared" si="153"/>
        <v>-100.56868342888623</v>
      </c>
      <c r="G887" s="1">
        <f t="shared" si="150"/>
        <v>2.1065692216011889E-44</v>
      </c>
      <c r="H887" s="1">
        <f t="shared" si="143"/>
        <v>2.1823611301032417E-45</v>
      </c>
      <c r="I887">
        <f t="shared" si="144"/>
        <v>8</v>
      </c>
      <c r="J887">
        <f t="shared" si="145"/>
        <v>854</v>
      </c>
      <c r="K887" s="5">
        <f t="shared" si="146"/>
        <v>0</v>
      </c>
      <c r="L887">
        <f t="shared" si="147"/>
        <v>53.4</v>
      </c>
      <c r="M887">
        <f t="shared" si="148"/>
        <v>1</v>
      </c>
      <c r="N887">
        <f t="shared" si="149"/>
        <v>0</v>
      </c>
    </row>
    <row r="888" spans="4:14" x14ac:dyDescent="0.2">
      <c r="D888">
        <f t="shared" si="151"/>
        <v>865</v>
      </c>
      <c r="E888" s="1">
        <f t="shared" si="152"/>
        <v>-100.10860388083819</v>
      </c>
      <c r="F888" s="1">
        <f t="shared" si="153"/>
        <v>-100.68521724514218</v>
      </c>
      <c r="G888" s="1">
        <f t="shared" si="150"/>
        <v>1.874846607225057E-44</v>
      </c>
      <c r="H888" s="1">
        <f t="shared" si="143"/>
        <v>1.942301405791884E-45</v>
      </c>
      <c r="I888">
        <f t="shared" si="144"/>
        <v>8</v>
      </c>
      <c r="J888">
        <f t="shared" si="145"/>
        <v>855</v>
      </c>
      <c r="K888" s="5">
        <f t="shared" si="146"/>
        <v>0</v>
      </c>
      <c r="L888">
        <f t="shared" si="147"/>
        <v>53.4</v>
      </c>
      <c r="M888">
        <f t="shared" si="148"/>
        <v>1</v>
      </c>
      <c r="N888">
        <f t="shared" si="149"/>
        <v>0</v>
      </c>
    </row>
    <row r="889" spans="4:14" x14ac:dyDescent="0.2">
      <c r="D889">
        <f t="shared" si="151"/>
        <v>866</v>
      </c>
      <c r="E889" s="1">
        <f t="shared" si="152"/>
        <v>-100.22513769709414</v>
      </c>
      <c r="F889" s="1">
        <f t="shared" si="153"/>
        <v>-100.80175106139814</v>
      </c>
      <c r="G889" s="1">
        <f t="shared" si="150"/>
        <v>1.6686134804302997E-44</v>
      </c>
      <c r="H889" s="1">
        <f t="shared" si="143"/>
        <v>1.7286482511547756E-45</v>
      </c>
      <c r="I889">
        <f t="shared" si="144"/>
        <v>8</v>
      </c>
      <c r="J889">
        <f t="shared" si="145"/>
        <v>856</v>
      </c>
      <c r="K889" s="5">
        <f t="shared" si="146"/>
        <v>0</v>
      </c>
      <c r="L889">
        <f t="shared" si="147"/>
        <v>53.4</v>
      </c>
      <c r="M889">
        <f t="shared" si="148"/>
        <v>1</v>
      </c>
      <c r="N889">
        <f t="shared" si="149"/>
        <v>0</v>
      </c>
    </row>
    <row r="890" spans="4:14" x14ac:dyDescent="0.2">
      <c r="D890">
        <f t="shared" si="151"/>
        <v>867</v>
      </c>
      <c r="E890" s="1">
        <f t="shared" si="152"/>
        <v>-100.34167151335009</v>
      </c>
      <c r="F890" s="1">
        <f t="shared" si="153"/>
        <v>-100.91828487765409</v>
      </c>
      <c r="G890" s="1">
        <f t="shared" si="150"/>
        <v>1.4850659975829656E-44</v>
      </c>
      <c r="H890" s="1">
        <f t="shared" si="143"/>
        <v>1.5384969435277492E-45</v>
      </c>
      <c r="I890">
        <f t="shared" si="144"/>
        <v>8</v>
      </c>
      <c r="J890">
        <f t="shared" si="145"/>
        <v>857</v>
      </c>
      <c r="K890" s="5">
        <f t="shared" si="146"/>
        <v>0</v>
      </c>
      <c r="L890">
        <f t="shared" si="147"/>
        <v>53.4</v>
      </c>
      <c r="M890">
        <f t="shared" si="148"/>
        <v>1</v>
      </c>
      <c r="N890">
        <f t="shared" si="149"/>
        <v>0</v>
      </c>
    </row>
    <row r="891" spans="4:14" x14ac:dyDescent="0.2">
      <c r="D891">
        <f t="shared" si="151"/>
        <v>868</v>
      </c>
      <c r="E891" s="1">
        <f t="shared" si="152"/>
        <v>-100.45820532960605</v>
      </c>
      <c r="F891" s="1">
        <f t="shared" si="153"/>
        <v>-101.03481869391004</v>
      </c>
      <c r="G891" s="1">
        <f t="shared" si="150"/>
        <v>1.3217087378488386E-44</v>
      </c>
      <c r="H891" s="1">
        <f t="shared" si="143"/>
        <v>1.369262279739696E-45</v>
      </c>
      <c r="I891">
        <f t="shared" si="144"/>
        <v>8</v>
      </c>
      <c r="J891">
        <f t="shared" si="145"/>
        <v>858</v>
      </c>
      <c r="K891" s="5">
        <f t="shared" si="146"/>
        <v>0</v>
      </c>
      <c r="L891">
        <f t="shared" si="147"/>
        <v>53.4</v>
      </c>
      <c r="M891">
        <f t="shared" si="148"/>
        <v>1</v>
      </c>
      <c r="N891">
        <f t="shared" si="149"/>
        <v>0</v>
      </c>
    </row>
    <row r="892" spans="4:14" x14ac:dyDescent="0.2">
      <c r="D892">
        <f t="shared" si="151"/>
        <v>869</v>
      </c>
      <c r="E892" s="1">
        <f t="shared" si="152"/>
        <v>-100.574739145862</v>
      </c>
      <c r="F892" s="1">
        <f t="shared" si="153"/>
        <v>-101.15135251016599</v>
      </c>
      <c r="G892" s="1">
        <f t="shared" si="150"/>
        <v>1.1763207766854658E-44</v>
      </c>
      <c r="H892" s="1">
        <f t="shared" si="143"/>
        <v>1.2186434289683288E-45</v>
      </c>
      <c r="I892">
        <f t="shared" si="144"/>
        <v>8</v>
      </c>
      <c r="J892">
        <f t="shared" si="145"/>
        <v>859</v>
      </c>
      <c r="K892" s="5">
        <f t="shared" si="146"/>
        <v>0</v>
      </c>
      <c r="L892">
        <f t="shared" si="147"/>
        <v>53.4</v>
      </c>
      <c r="M892">
        <f t="shared" si="148"/>
        <v>1</v>
      </c>
      <c r="N892">
        <f t="shared" si="149"/>
        <v>0</v>
      </c>
    </row>
    <row r="893" spans="4:14" x14ac:dyDescent="0.2">
      <c r="D893">
        <f t="shared" si="151"/>
        <v>870</v>
      </c>
      <c r="E893" s="1">
        <f t="shared" si="152"/>
        <v>-100.69127296211795</v>
      </c>
      <c r="F893" s="1">
        <f t="shared" si="153"/>
        <v>-101.26788632642194</v>
      </c>
      <c r="G893" s="1">
        <f t="shared" si="150"/>
        <v>1.0469254912500638E-44</v>
      </c>
      <c r="H893" s="1">
        <f t="shared" si="143"/>
        <v>1.0845926517818118E-45</v>
      </c>
      <c r="I893">
        <f t="shared" si="144"/>
        <v>8</v>
      </c>
      <c r="J893">
        <f t="shared" si="145"/>
        <v>860</v>
      </c>
      <c r="K893" s="5">
        <f t="shared" si="146"/>
        <v>0</v>
      </c>
      <c r="L893">
        <f t="shared" si="147"/>
        <v>53.4</v>
      </c>
      <c r="M893">
        <f t="shared" si="148"/>
        <v>1</v>
      </c>
      <c r="N893">
        <f t="shared" si="149"/>
        <v>0</v>
      </c>
    </row>
    <row r="894" spans="4:14" x14ac:dyDescent="0.2">
      <c r="D894">
        <f t="shared" si="151"/>
        <v>871</v>
      </c>
      <c r="E894" s="1">
        <f t="shared" si="152"/>
        <v>-100.8078067783739</v>
      </c>
      <c r="F894" s="1">
        <f t="shared" si="153"/>
        <v>-101.3844201426779</v>
      </c>
      <c r="G894" s="1">
        <f t="shared" si="150"/>
        <v>9.317636872125562E-45</v>
      </c>
      <c r="H894" s="1">
        <f t="shared" si="143"/>
        <v>9.6528746008581192E-46</v>
      </c>
      <c r="I894">
        <f t="shared" si="144"/>
        <v>8</v>
      </c>
      <c r="J894">
        <f t="shared" si="145"/>
        <v>861</v>
      </c>
      <c r="K894" s="5">
        <f t="shared" si="146"/>
        <v>0</v>
      </c>
      <c r="L894">
        <f t="shared" si="147"/>
        <v>53.4</v>
      </c>
      <c r="M894">
        <f t="shared" si="148"/>
        <v>1</v>
      </c>
      <c r="N894">
        <f t="shared" si="149"/>
        <v>0</v>
      </c>
    </row>
    <row r="895" spans="4:14" x14ac:dyDescent="0.2">
      <c r="D895">
        <f t="shared" si="151"/>
        <v>872</v>
      </c>
      <c r="E895" s="1">
        <f t="shared" si="152"/>
        <v>-100.92434059462985</v>
      </c>
      <c r="F895" s="1">
        <f t="shared" si="153"/>
        <v>-101.50095395893385</v>
      </c>
      <c r="G895" s="1">
        <f t="shared" si="150"/>
        <v>8.292696816191745E-45</v>
      </c>
      <c r="H895" s="1">
        <f t="shared" si="143"/>
        <v>8.5910583947637215E-46</v>
      </c>
      <c r="I895">
        <f t="shared" si="144"/>
        <v>8</v>
      </c>
      <c r="J895">
        <f t="shared" si="145"/>
        <v>862</v>
      </c>
      <c r="K895" s="5">
        <f t="shared" si="146"/>
        <v>0</v>
      </c>
      <c r="L895">
        <f t="shared" si="147"/>
        <v>53.4</v>
      </c>
      <c r="M895">
        <f t="shared" si="148"/>
        <v>1</v>
      </c>
      <c r="N895">
        <f t="shared" si="149"/>
        <v>0</v>
      </c>
    </row>
    <row r="896" spans="4:14" x14ac:dyDescent="0.2">
      <c r="D896">
        <f t="shared" si="151"/>
        <v>873</v>
      </c>
      <c r="E896" s="1">
        <f t="shared" si="152"/>
        <v>-101.04087441088581</v>
      </c>
      <c r="F896" s="1">
        <f t="shared" si="153"/>
        <v>-101.6174877751898</v>
      </c>
      <c r="G896" s="1">
        <f t="shared" si="150"/>
        <v>7.3805001664106486E-45</v>
      </c>
      <c r="H896" s="1">
        <f t="shared" si="143"/>
        <v>7.6460419713397065E-46</v>
      </c>
      <c r="I896">
        <f t="shared" si="144"/>
        <v>8</v>
      </c>
      <c r="J896">
        <f t="shared" si="145"/>
        <v>863</v>
      </c>
      <c r="K896" s="5">
        <f t="shared" si="146"/>
        <v>0</v>
      </c>
      <c r="L896">
        <f t="shared" si="147"/>
        <v>53.4</v>
      </c>
      <c r="M896">
        <f t="shared" si="148"/>
        <v>1</v>
      </c>
      <c r="N896">
        <f t="shared" si="149"/>
        <v>0</v>
      </c>
    </row>
    <row r="897" spans="4:14" x14ac:dyDescent="0.2">
      <c r="D897">
        <f t="shared" si="151"/>
        <v>874</v>
      </c>
      <c r="E897" s="1">
        <f t="shared" si="152"/>
        <v>-101.15740822714176</v>
      </c>
      <c r="F897" s="1">
        <f t="shared" si="153"/>
        <v>-101.73402159144575</v>
      </c>
      <c r="G897" s="1">
        <f t="shared" si="150"/>
        <v>6.5686451481054728E-45</v>
      </c>
      <c r="H897" s="1">
        <f t="shared" si="143"/>
        <v>6.8049773544923348E-46</v>
      </c>
      <c r="I897">
        <f t="shared" si="144"/>
        <v>8</v>
      </c>
      <c r="J897">
        <f t="shared" si="145"/>
        <v>864</v>
      </c>
      <c r="K897" s="5">
        <f t="shared" si="146"/>
        <v>0</v>
      </c>
      <c r="L897">
        <f t="shared" si="147"/>
        <v>53.4</v>
      </c>
      <c r="M897">
        <f t="shared" si="148"/>
        <v>1</v>
      </c>
      <c r="N897">
        <f t="shared" si="149"/>
        <v>0</v>
      </c>
    </row>
    <row r="898" spans="4:14" x14ac:dyDescent="0.2">
      <c r="D898">
        <f t="shared" si="151"/>
        <v>875</v>
      </c>
      <c r="E898" s="1">
        <f t="shared" si="152"/>
        <v>-101.27394204339771</v>
      </c>
      <c r="F898" s="1">
        <f t="shared" si="153"/>
        <v>-101.85055540770171</v>
      </c>
      <c r="G898" s="1">
        <f t="shared" si="150"/>
        <v>5.8460941818138674E-45</v>
      </c>
      <c r="H898" s="1">
        <f t="shared" si="143"/>
        <v>6.0564298454981744E-46</v>
      </c>
      <c r="I898">
        <f t="shared" si="144"/>
        <v>8</v>
      </c>
      <c r="J898">
        <f t="shared" si="145"/>
        <v>865</v>
      </c>
      <c r="K898" s="5">
        <f t="shared" si="146"/>
        <v>0</v>
      </c>
      <c r="L898">
        <f t="shared" si="147"/>
        <v>53.4</v>
      </c>
      <c r="M898">
        <f t="shared" si="148"/>
        <v>1</v>
      </c>
      <c r="N898">
        <f t="shared" si="149"/>
        <v>0</v>
      </c>
    </row>
    <row r="899" spans="4:14" x14ac:dyDescent="0.2">
      <c r="D899">
        <f t="shared" si="151"/>
        <v>876</v>
      </c>
      <c r="E899" s="1">
        <f t="shared" si="152"/>
        <v>-101.39047585965366</v>
      </c>
      <c r="F899" s="1">
        <f t="shared" si="153"/>
        <v>-101.96708922395766</v>
      </c>
      <c r="G899" s="1">
        <f t="shared" si="150"/>
        <v>5.2030238218143384E-45</v>
      </c>
      <c r="H899" s="1">
        <f t="shared" si="143"/>
        <v>5.3902225624933714E-46</v>
      </c>
      <c r="I899">
        <f t="shared" si="144"/>
        <v>8</v>
      </c>
      <c r="J899">
        <f t="shared" si="145"/>
        <v>866</v>
      </c>
      <c r="K899" s="5">
        <f t="shared" si="146"/>
        <v>0</v>
      </c>
      <c r="L899">
        <f t="shared" si="147"/>
        <v>53.4</v>
      </c>
      <c r="M899">
        <f t="shared" si="148"/>
        <v>1</v>
      </c>
      <c r="N899">
        <f t="shared" si="149"/>
        <v>0</v>
      </c>
    </row>
    <row r="900" spans="4:14" x14ac:dyDescent="0.2">
      <c r="D900">
        <f t="shared" si="151"/>
        <v>877</v>
      </c>
      <c r="E900" s="1">
        <f t="shared" si="152"/>
        <v>-101.50700967590961</v>
      </c>
      <c r="F900" s="1">
        <f t="shared" si="153"/>
        <v>-102.08362304021361</v>
      </c>
      <c r="G900" s="1">
        <f t="shared" si="150"/>
        <v>4.6306912014147585E-45</v>
      </c>
      <c r="H900" s="1">
        <f t="shared" si="143"/>
        <v>4.797298080619098E-46</v>
      </c>
      <c r="I900">
        <f t="shared" si="144"/>
        <v>8</v>
      </c>
      <c r="J900">
        <f t="shared" si="145"/>
        <v>867</v>
      </c>
      <c r="K900" s="5">
        <f t="shared" si="146"/>
        <v>0</v>
      </c>
      <c r="L900">
        <f t="shared" si="147"/>
        <v>53.4</v>
      </c>
      <c r="M900">
        <f t="shared" si="148"/>
        <v>1</v>
      </c>
      <c r="N900">
        <f t="shared" si="149"/>
        <v>0</v>
      </c>
    </row>
    <row r="901" spans="4:14" x14ac:dyDescent="0.2">
      <c r="D901">
        <f t="shared" si="151"/>
        <v>878</v>
      </c>
      <c r="E901" s="1">
        <f t="shared" si="152"/>
        <v>-101.62354349216557</v>
      </c>
      <c r="F901" s="1">
        <f t="shared" si="153"/>
        <v>-102.20015685646956</v>
      </c>
      <c r="G901" s="1">
        <f t="shared" si="150"/>
        <v>4.121315169259132E-45</v>
      </c>
      <c r="H901" s="1">
        <f t="shared" si="143"/>
        <v>4.2695952917509938E-46</v>
      </c>
      <c r="I901">
        <f t="shared" si="144"/>
        <v>8</v>
      </c>
      <c r="J901">
        <f t="shared" si="145"/>
        <v>868</v>
      </c>
      <c r="K901" s="5">
        <f t="shared" si="146"/>
        <v>0</v>
      </c>
      <c r="L901">
        <f t="shared" si="147"/>
        <v>53.4</v>
      </c>
      <c r="M901">
        <f t="shared" si="148"/>
        <v>1</v>
      </c>
      <c r="N901">
        <f t="shared" si="149"/>
        <v>0</v>
      </c>
    </row>
    <row r="902" spans="4:14" x14ac:dyDescent="0.2">
      <c r="D902">
        <f t="shared" si="151"/>
        <v>879</v>
      </c>
      <c r="E902" s="1">
        <f t="shared" si="152"/>
        <v>-101.74007730842152</v>
      </c>
      <c r="F902" s="1">
        <f t="shared" si="153"/>
        <v>-102.31669067272551</v>
      </c>
      <c r="G902" s="1">
        <f t="shared" si="150"/>
        <v>3.6679705006406254E-45</v>
      </c>
      <c r="H902" s="1">
        <f t="shared" si="143"/>
        <v>3.7999398096583827E-46</v>
      </c>
      <c r="I902">
        <f t="shared" si="144"/>
        <v>8</v>
      </c>
      <c r="J902">
        <f t="shared" si="145"/>
        <v>869</v>
      </c>
      <c r="K902" s="5">
        <f t="shared" si="146"/>
        <v>0</v>
      </c>
      <c r="L902">
        <f t="shared" si="147"/>
        <v>53.4</v>
      </c>
      <c r="M902">
        <f t="shared" si="148"/>
        <v>1</v>
      </c>
      <c r="N902">
        <f t="shared" si="149"/>
        <v>0</v>
      </c>
    </row>
    <row r="903" spans="4:14" x14ac:dyDescent="0.2">
      <c r="D903">
        <f t="shared" si="151"/>
        <v>880</v>
      </c>
      <c r="E903" s="1">
        <f t="shared" si="152"/>
        <v>-101.85661112467747</v>
      </c>
      <c r="F903" s="1">
        <f t="shared" si="153"/>
        <v>-102.43322448898147</v>
      </c>
      <c r="G903" s="1">
        <f t="shared" si="150"/>
        <v>3.2644937455701546E-45</v>
      </c>
      <c r="H903" s="1">
        <f t="shared" si="143"/>
        <v>3.3819464305959581E-46</v>
      </c>
      <c r="I903">
        <f t="shared" si="144"/>
        <v>8</v>
      </c>
      <c r="J903">
        <f t="shared" si="145"/>
        <v>870</v>
      </c>
      <c r="K903" s="5">
        <f t="shared" si="146"/>
        <v>0</v>
      </c>
      <c r="L903">
        <f t="shared" si="147"/>
        <v>53.4</v>
      </c>
      <c r="M903">
        <f t="shared" si="148"/>
        <v>1</v>
      </c>
      <c r="N903">
        <f t="shared" si="149"/>
        <v>0</v>
      </c>
    </row>
    <row r="904" spans="4:14" x14ac:dyDescent="0.2">
      <c r="D904">
        <f t="shared" si="151"/>
        <v>881</v>
      </c>
      <c r="E904" s="1">
        <f t="shared" si="152"/>
        <v>-101.97314494093342</v>
      </c>
      <c r="F904" s="1">
        <f t="shared" si="153"/>
        <v>-102.54975830523742</v>
      </c>
      <c r="G904" s="1">
        <f t="shared" si="150"/>
        <v>2.9053994335574358E-45</v>
      </c>
      <c r="H904" s="1">
        <f t="shared" si="143"/>
        <v>3.0099323232304009E-46</v>
      </c>
      <c r="I904">
        <f t="shared" si="144"/>
        <v>8</v>
      </c>
      <c r="J904">
        <f t="shared" si="145"/>
        <v>871</v>
      </c>
      <c r="K904" s="5">
        <f t="shared" si="146"/>
        <v>0</v>
      </c>
      <c r="L904">
        <f t="shared" si="147"/>
        <v>53.4</v>
      </c>
      <c r="M904">
        <f t="shared" si="148"/>
        <v>1</v>
      </c>
      <c r="N904">
        <f t="shared" si="149"/>
        <v>0</v>
      </c>
    </row>
    <row r="905" spans="4:14" x14ac:dyDescent="0.2">
      <c r="D905">
        <f t="shared" si="151"/>
        <v>882</v>
      </c>
      <c r="E905" s="1">
        <f t="shared" si="152"/>
        <v>-102.08967875718938</v>
      </c>
      <c r="F905" s="1">
        <f t="shared" si="153"/>
        <v>-102.66629212149337</v>
      </c>
      <c r="G905" s="1">
        <f t="shared" si="150"/>
        <v>2.585805495866116E-45</v>
      </c>
      <c r="H905" s="1">
        <f t="shared" si="143"/>
        <v>2.6788397676750549E-46</v>
      </c>
      <c r="I905">
        <f t="shared" si="144"/>
        <v>8</v>
      </c>
      <c r="J905">
        <f t="shared" si="145"/>
        <v>872</v>
      </c>
      <c r="K905" s="5">
        <f t="shared" si="146"/>
        <v>0</v>
      </c>
      <c r="L905">
        <f t="shared" si="147"/>
        <v>53.4</v>
      </c>
      <c r="M905">
        <f t="shared" si="148"/>
        <v>1</v>
      </c>
      <c r="N905">
        <f t="shared" si="149"/>
        <v>0</v>
      </c>
    </row>
    <row r="906" spans="4:14" x14ac:dyDescent="0.2">
      <c r="D906">
        <f t="shared" si="151"/>
        <v>883</v>
      </c>
      <c r="E906" s="1">
        <f t="shared" si="152"/>
        <v>-102.20621257344533</v>
      </c>
      <c r="F906" s="1">
        <f t="shared" si="153"/>
        <v>-102.78282593774932</v>
      </c>
      <c r="G906" s="1">
        <f t="shared" si="150"/>
        <v>2.301366891320842E-45</v>
      </c>
      <c r="H906" s="1">
        <f t="shared" si="143"/>
        <v>2.3841673932307973E-46</v>
      </c>
      <c r="I906">
        <f t="shared" si="144"/>
        <v>8</v>
      </c>
      <c r="J906">
        <f t="shared" si="145"/>
        <v>873</v>
      </c>
      <c r="K906" s="5">
        <f t="shared" si="146"/>
        <v>0</v>
      </c>
      <c r="L906">
        <f t="shared" si="147"/>
        <v>53.4</v>
      </c>
      <c r="M906">
        <f t="shared" si="148"/>
        <v>1</v>
      </c>
      <c r="N906">
        <f t="shared" si="149"/>
        <v>0</v>
      </c>
    </row>
    <row r="907" spans="4:14" x14ac:dyDescent="0.2">
      <c r="D907">
        <f t="shared" si="151"/>
        <v>884</v>
      </c>
      <c r="E907" s="1">
        <f t="shared" si="152"/>
        <v>-102.32274638970128</v>
      </c>
      <c r="F907" s="1">
        <f t="shared" si="153"/>
        <v>-102.89935975400527</v>
      </c>
      <c r="G907" s="1">
        <f t="shared" si="150"/>
        <v>2.0482165332755479E-45</v>
      </c>
      <c r="H907" s="1">
        <f t="shared" si="143"/>
        <v>2.1219089799754081E-46</v>
      </c>
      <c r="I907">
        <f t="shared" si="144"/>
        <v>8</v>
      </c>
      <c r="J907">
        <f t="shared" si="145"/>
        <v>874</v>
      </c>
      <c r="K907" s="5">
        <f t="shared" si="146"/>
        <v>0</v>
      </c>
      <c r="L907">
        <f t="shared" si="147"/>
        <v>53.4</v>
      </c>
      <c r="M907">
        <f t="shared" si="148"/>
        <v>1</v>
      </c>
      <c r="N907">
        <f t="shared" si="149"/>
        <v>0</v>
      </c>
    </row>
    <row r="908" spans="4:14" x14ac:dyDescent="0.2">
      <c r="D908">
        <f t="shared" si="151"/>
        <v>885</v>
      </c>
      <c r="E908" s="1">
        <f t="shared" si="152"/>
        <v>-102.43928020595723</v>
      </c>
      <c r="F908" s="1">
        <f t="shared" si="153"/>
        <v>-103.01589357026123</v>
      </c>
      <c r="G908" s="1">
        <f t="shared" si="150"/>
        <v>1.8229127146152365E-45</v>
      </c>
      <c r="H908" s="1">
        <f t="shared" si="143"/>
        <v>1.8884989921781123E-46</v>
      </c>
      <c r="I908">
        <f t="shared" si="144"/>
        <v>8</v>
      </c>
      <c r="J908">
        <f t="shared" si="145"/>
        <v>875</v>
      </c>
      <c r="K908" s="5">
        <f t="shared" si="146"/>
        <v>0</v>
      </c>
      <c r="L908">
        <f t="shared" si="147"/>
        <v>53.4</v>
      </c>
      <c r="M908">
        <f t="shared" si="148"/>
        <v>1</v>
      </c>
      <c r="N908">
        <f t="shared" si="149"/>
        <v>0</v>
      </c>
    </row>
    <row r="909" spans="4:14" x14ac:dyDescent="0.2">
      <c r="D909">
        <f t="shared" si="151"/>
        <v>886</v>
      </c>
      <c r="E909" s="1">
        <f t="shared" si="152"/>
        <v>-102.55581402221318</v>
      </c>
      <c r="F909" s="1">
        <f t="shared" si="153"/>
        <v>-103.13242738651718</v>
      </c>
      <c r="G909" s="1">
        <f t="shared" si="150"/>
        <v>1.6223923160075596E-45</v>
      </c>
      <c r="H909" s="1">
        <f t="shared" si="143"/>
        <v>1.680764103038519E-46</v>
      </c>
      <c r="I909">
        <f t="shared" si="144"/>
        <v>8</v>
      </c>
      <c r="J909">
        <f t="shared" si="145"/>
        <v>876</v>
      </c>
      <c r="K909" s="5">
        <f t="shared" si="146"/>
        <v>0</v>
      </c>
      <c r="L909">
        <f t="shared" si="147"/>
        <v>53.4</v>
      </c>
      <c r="M909">
        <f t="shared" si="148"/>
        <v>1</v>
      </c>
      <c r="N909">
        <f t="shared" si="149"/>
        <v>0</v>
      </c>
    </row>
    <row r="910" spans="4:14" x14ac:dyDescent="0.2">
      <c r="D910">
        <f t="shared" si="151"/>
        <v>887</v>
      </c>
      <c r="E910" s="1">
        <f t="shared" si="152"/>
        <v>-102.67234783846914</v>
      </c>
      <c r="F910" s="1">
        <f t="shared" si="153"/>
        <v>-103.24896120277313</v>
      </c>
      <c r="G910" s="1">
        <f t="shared" si="150"/>
        <v>1.4439291612467272E-45</v>
      </c>
      <c r="H910" s="1">
        <f t="shared" si="143"/>
        <v>1.4958800517042811E-46</v>
      </c>
      <c r="I910">
        <f t="shared" si="144"/>
        <v>8</v>
      </c>
      <c r="J910">
        <f t="shared" si="145"/>
        <v>877</v>
      </c>
      <c r="K910" s="5">
        <f t="shared" si="146"/>
        <v>0</v>
      </c>
      <c r="L910">
        <f t="shared" si="147"/>
        <v>53.4</v>
      </c>
      <c r="M910">
        <f t="shared" si="148"/>
        <v>1</v>
      </c>
      <c r="N910">
        <f t="shared" si="149"/>
        <v>0</v>
      </c>
    </row>
    <row r="911" spans="4:14" x14ac:dyDescent="0.2">
      <c r="D911">
        <f t="shared" si="151"/>
        <v>888</v>
      </c>
      <c r="E911" s="1">
        <f t="shared" si="152"/>
        <v>-102.78888165472509</v>
      </c>
      <c r="F911" s="1">
        <f t="shared" si="153"/>
        <v>-103.36549501902908</v>
      </c>
      <c r="G911" s="1">
        <f t="shared" si="150"/>
        <v>1.2850969535095862E-45</v>
      </c>
      <c r="H911" s="1">
        <f t="shared" si="143"/>
        <v>1.3313332460168091E-46</v>
      </c>
      <c r="I911">
        <f t="shared" si="144"/>
        <v>8</v>
      </c>
      <c r="J911">
        <f t="shared" si="145"/>
        <v>878</v>
      </c>
      <c r="K911" s="5">
        <f t="shared" si="146"/>
        <v>0</v>
      </c>
      <c r="L911">
        <f t="shared" si="147"/>
        <v>53.4</v>
      </c>
      <c r="M911">
        <f t="shared" si="148"/>
        <v>1</v>
      </c>
      <c r="N911">
        <f t="shared" si="149"/>
        <v>0</v>
      </c>
    </row>
    <row r="912" spans="4:14" x14ac:dyDescent="0.2">
      <c r="D912">
        <f t="shared" si="151"/>
        <v>889</v>
      </c>
      <c r="E912" s="1">
        <f t="shared" si="152"/>
        <v>-102.90541547098104</v>
      </c>
      <c r="F912" s="1">
        <f t="shared" si="153"/>
        <v>-103.48202883528504</v>
      </c>
      <c r="G912" s="1">
        <f t="shared" si="150"/>
        <v>1.143736288623531E-45</v>
      </c>
      <c r="H912" s="1">
        <f t="shared" si="143"/>
        <v>1.1848865889549593E-46</v>
      </c>
      <c r="I912">
        <f t="shared" si="144"/>
        <v>8</v>
      </c>
      <c r="J912">
        <f t="shared" si="145"/>
        <v>879</v>
      </c>
      <c r="K912" s="5">
        <f t="shared" si="146"/>
        <v>0</v>
      </c>
      <c r="L912">
        <f t="shared" si="147"/>
        <v>53.4</v>
      </c>
      <c r="M912">
        <f t="shared" si="148"/>
        <v>1</v>
      </c>
      <c r="N912">
        <f t="shared" si="149"/>
        <v>0</v>
      </c>
    </row>
    <row r="913" spans="4:14" x14ac:dyDescent="0.2">
      <c r="D913">
        <f t="shared" si="151"/>
        <v>890</v>
      </c>
      <c r="E913" s="1">
        <f t="shared" si="152"/>
        <v>-103.02194928723699</v>
      </c>
      <c r="F913" s="1">
        <f t="shared" si="153"/>
        <v>-103.59856265154099</v>
      </c>
      <c r="G913" s="1">
        <f t="shared" si="150"/>
        <v>1.0179252968749419E-45</v>
      </c>
      <c r="H913" s="1">
        <f t="shared" si="143"/>
        <v>1.054549064169913E-46</v>
      </c>
      <c r="I913">
        <f t="shared" si="144"/>
        <v>8</v>
      </c>
      <c r="J913">
        <f t="shared" si="145"/>
        <v>880</v>
      </c>
      <c r="K913" s="5">
        <f t="shared" si="146"/>
        <v>0</v>
      </c>
      <c r="L913">
        <f t="shared" si="147"/>
        <v>53.4</v>
      </c>
      <c r="M913">
        <f t="shared" si="148"/>
        <v>1</v>
      </c>
      <c r="N913">
        <f t="shared" si="149"/>
        <v>0</v>
      </c>
    </row>
    <row r="914" spans="4:14" x14ac:dyDescent="0.2">
      <c r="D914">
        <f t="shared" si="151"/>
        <v>891</v>
      </c>
      <c r="E914" s="1">
        <f t="shared" si="152"/>
        <v>-103.13848310349294</v>
      </c>
      <c r="F914" s="1">
        <f t="shared" si="153"/>
        <v>-103.71509646779694</v>
      </c>
      <c r="G914" s="1">
        <f t="shared" si="150"/>
        <v>9.0595351421869775E-46</v>
      </c>
      <c r="H914" s="1">
        <f t="shared" si="143"/>
        <v>9.3854866711122212E-47</v>
      </c>
      <c r="I914">
        <f t="shared" si="144"/>
        <v>8</v>
      </c>
      <c r="J914">
        <f t="shared" si="145"/>
        <v>881</v>
      </c>
      <c r="K914" s="5">
        <f t="shared" si="146"/>
        <v>0</v>
      </c>
      <c r="L914">
        <f t="shared" si="147"/>
        <v>53.4</v>
      </c>
      <c r="M914">
        <f t="shared" si="148"/>
        <v>1</v>
      </c>
      <c r="N914">
        <f t="shared" si="149"/>
        <v>0</v>
      </c>
    </row>
    <row r="915" spans="4:14" x14ac:dyDescent="0.2">
      <c r="D915">
        <f t="shared" si="151"/>
        <v>892</v>
      </c>
      <c r="E915" s="1">
        <f t="shared" si="152"/>
        <v>-103.2550169197489</v>
      </c>
      <c r="F915" s="1">
        <f t="shared" si="153"/>
        <v>-103.83163028405289</v>
      </c>
      <c r="G915" s="1">
        <f t="shared" si="150"/>
        <v>8.0629862765464061E-46</v>
      </c>
      <c r="H915" s="1">
        <f t="shared" si="143"/>
        <v>8.3530831372898729E-47</v>
      </c>
      <c r="I915">
        <f t="shared" si="144"/>
        <v>8</v>
      </c>
      <c r="J915">
        <f t="shared" si="145"/>
        <v>882</v>
      </c>
      <c r="K915" s="5">
        <f t="shared" si="146"/>
        <v>0</v>
      </c>
      <c r="L915">
        <f t="shared" si="147"/>
        <v>53.4</v>
      </c>
      <c r="M915">
        <f t="shared" si="148"/>
        <v>1</v>
      </c>
      <c r="N915">
        <f t="shared" si="149"/>
        <v>0</v>
      </c>
    </row>
    <row r="916" spans="4:14" x14ac:dyDescent="0.2">
      <c r="D916">
        <f t="shared" si="151"/>
        <v>893</v>
      </c>
      <c r="E916" s="1">
        <f t="shared" si="152"/>
        <v>-103.37155073600485</v>
      </c>
      <c r="F916" s="1">
        <f t="shared" si="153"/>
        <v>-103.94816410030884</v>
      </c>
      <c r="G916" s="1">
        <f t="shared" si="150"/>
        <v>7.1760577861262962E-46</v>
      </c>
      <c r="H916" s="1">
        <f t="shared" si="143"/>
        <v>7.4342439921879815E-47</v>
      </c>
      <c r="I916">
        <f t="shared" si="144"/>
        <v>8</v>
      </c>
      <c r="J916">
        <f t="shared" si="145"/>
        <v>883</v>
      </c>
      <c r="K916" s="5">
        <f t="shared" si="146"/>
        <v>0</v>
      </c>
      <c r="L916">
        <f t="shared" si="147"/>
        <v>53.4</v>
      </c>
      <c r="M916">
        <f t="shared" si="148"/>
        <v>1</v>
      </c>
      <c r="N916">
        <f t="shared" si="149"/>
        <v>0</v>
      </c>
    </row>
    <row r="917" spans="4:14" x14ac:dyDescent="0.2">
      <c r="D917">
        <f t="shared" si="151"/>
        <v>894</v>
      </c>
      <c r="E917" s="1">
        <f t="shared" si="152"/>
        <v>-103.4880845522608</v>
      </c>
      <c r="F917" s="1">
        <f t="shared" si="153"/>
        <v>-104.0646979165648</v>
      </c>
      <c r="G917" s="1">
        <f t="shared" si="150"/>
        <v>6.3866914296523994E-46</v>
      </c>
      <c r="H917" s="1">
        <f t="shared" si="143"/>
        <v>6.6164771530472991E-47</v>
      </c>
      <c r="I917">
        <f t="shared" si="144"/>
        <v>8</v>
      </c>
      <c r="J917">
        <f t="shared" si="145"/>
        <v>884</v>
      </c>
      <c r="K917" s="5">
        <f t="shared" si="146"/>
        <v>0</v>
      </c>
      <c r="L917">
        <f t="shared" si="147"/>
        <v>53.4</v>
      </c>
      <c r="M917">
        <f t="shared" si="148"/>
        <v>1</v>
      </c>
      <c r="N917">
        <f t="shared" si="149"/>
        <v>0</v>
      </c>
    </row>
    <row r="918" spans="4:14" x14ac:dyDescent="0.2">
      <c r="D918">
        <f t="shared" si="151"/>
        <v>895</v>
      </c>
      <c r="E918" s="1">
        <f t="shared" si="152"/>
        <v>-103.60461836851675</v>
      </c>
      <c r="F918" s="1">
        <f t="shared" si="153"/>
        <v>-104.18123173282075</v>
      </c>
      <c r="G918" s="1">
        <f t="shared" si="150"/>
        <v>5.6841553723906322E-46</v>
      </c>
      <c r="H918" s="1">
        <f t="shared" si="143"/>
        <v>5.8886646662120925E-47</v>
      </c>
      <c r="I918">
        <f t="shared" si="144"/>
        <v>8</v>
      </c>
      <c r="J918">
        <f t="shared" si="145"/>
        <v>885</v>
      </c>
      <c r="K918" s="5">
        <f t="shared" si="146"/>
        <v>0</v>
      </c>
      <c r="L918">
        <f t="shared" si="147"/>
        <v>53.4</v>
      </c>
      <c r="M918">
        <f t="shared" si="148"/>
        <v>1</v>
      </c>
      <c r="N918">
        <f t="shared" si="149"/>
        <v>0</v>
      </c>
    </row>
    <row r="919" spans="4:14" x14ac:dyDescent="0.2">
      <c r="D919">
        <f t="shared" si="151"/>
        <v>896</v>
      </c>
      <c r="E919" s="1">
        <f t="shared" si="152"/>
        <v>-103.72115218477271</v>
      </c>
      <c r="F919" s="1">
        <f t="shared" si="153"/>
        <v>-104.2977655490767</v>
      </c>
      <c r="G919" s="1">
        <f t="shared" si="150"/>
        <v>5.0588982814276594E-46</v>
      </c>
      <c r="H919" s="1">
        <f t="shared" ref="H919:H982" si="154">G919/$G$21</f>
        <v>5.2409115529287589E-47</v>
      </c>
      <c r="I919">
        <f t="shared" ref="I919:I982" si="155">IF($F$11&lt;=D919, IF(D919&lt;=$A$15,D919-$F$11,$C$11),0)</f>
        <v>8</v>
      </c>
      <c r="J919">
        <f t="shared" ref="J919:J982" si="156">IF(D919&lt;=$A$15,0,D919-$A$15)</f>
        <v>886</v>
      </c>
      <c r="K919" s="5">
        <f t="shared" ref="K919:K982" si="157">IF(D919&lt;$F$11,H919,0)</f>
        <v>0</v>
      </c>
      <c r="L919">
        <f t="shared" ref="L919:L982" si="158">IF(D919&lt;$A$15,$D$11,$D$11*(1-$H$11))</f>
        <v>53.4</v>
      </c>
      <c r="M919">
        <f t="shared" ref="M919:M982" si="159">IF(D919&lt;$A$15,0,1)</f>
        <v>1</v>
      </c>
      <c r="N919">
        <f t="shared" ref="N919:N982" si="160">IF(SUM(I919:J919)&lt;=($G$11/60*$F$11/($E$11/60)),1,0)</f>
        <v>0</v>
      </c>
    </row>
    <row r="920" spans="4:14" x14ac:dyDescent="0.2">
      <c r="D920">
        <f t="shared" si="151"/>
        <v>897</v>
      </c>
      <c r="E920" s="1">
        <f t="shared" si="152"/>
        <v>-103.83768600102866</v>
      </c>
      <c r="F920" s="1">
        <f t="shared" si="153"/>
        <v>-104.41429936533265</v>
      </c>
      <c r="G920" s="1">
        <f t="shared" ref="G920:G983" si="161">EXP(F920)</f>
        <v>4.5024194704706143E-46</v>
      </c>
      <c r="H920" s="1">
        <f t="shared" si="154"/>
        <v>4.6644112821065927E-47</v>
      </c>
      <c r="I920">
        <f t="shared" si="155"/>
        <v>8</v>
      </c>
      <c r="J920">
        <f t="shared" si="156"/>
        <v>887</v>
      </c>
      <c r="K920" s="5">
        <f t="shared" si="157"/>
        <v>0</v>
      </c>
      <c r="L920">
        <f t="shared" si="158"/>
        <v>53.4</v>
      </c>
      <c r="M920">
        <f t="shared" si="159"/>
        <v>1</v>
      </c>
      <c r="N920">
        <f t="shared" si="160"/>
        <v>0</v>
      </c>
    </row>
    <row r="921" spans="4:14" x14ac:dyDescent="0.2">
      <c r="D921">
        <f t="shared" ref="D921:D984" si="162">1+D920</f>
        <v>898</v>
      </c>
      <c r="E921" s="1">
        <f t="shared" ref="E921:E984" si="163">IF($H$11=1,IF(D921&lt;=$A$15, E920+LN($D$11)-LN(60/$E$11)-LN(MIN(D921,$F$11)), E920-LN(60/$E$11)-LN(MIN(D921,$F$11))), IF(D921&lt;=$A$15, E920+LN($D$11)-LN(60/$E$11)-LN(MIN(D921,$F$11)), E920+LN($D$11)+LN(1-$H$11)-LN(60/$E$11)-LN(MIN(D921,$F$11))))</f>
        <v>-103.95421981728461</v>
      </c>
      <c r="F921" s="1">
        <f t="shared" ref="F921:F984" si="164">E921-$E$21</f>
        <v>-104.5308331815886</v>
      </c>
      <c r="G921" s="1">
        <f t="shared" si="161"/>
        <v>4.0071533287188443E-46</v>
      </c>
      <c r="H921" s="1">
        <f t="shared" si="154"/>
        <v>4.1513260410748649E-47</v>
      </c>
      <c r="I921">
        <f t="shared" si="155"/>
        <v>8</v>
      </c>
      <c r="J921">
        <f t="shared" si="156"/>
        <v>888</v>
      </c>
      <c r="K921" s="5">
        <f t="shared" si="157"/>
        <v>0</v>
      </c>
      <c r="L921">
        <f t="shared" si="158"/>
        <v>53.4</v>
      </c>
      <c r="M921">
        <f t="shared" si="159"/>
        <v>1</v>
      </c>
      <c r="N921">
        <f t="shared" si="160"/>
        <v>0</v>
      </c>
    </row>
    <row r="922" spans="4:14" x14ac:dyDescent="0.2">
      <c r="D922">
        <f t="shared" si="162"/>
        <v>899</v>
      </c>
      <c r="E922" s="1">
        <f t="shared" si="163"/>
        <v>-104.07075363354056</v>
      </c>
      <c r="F922" s="1">
        <f t="shared" si="164"/>
        <v>-104.64736699784456</v>
      </c>
      <c r="G922" s="1">
        <f t="shared" si="161"/>
        <v>3.5663664625597691E-46</v>
      </c>
      <c r="H922" s="1">
        <f t="shared" si="154"/>
        <v>3.6946801765566276E-47</v>
      </c>
      <c r="I922">
        <f t="shared" si="155"/>
        <v>8</v>
      </c>
      <c r="J922">
        <f t="shared" si="156"/>
        <v>889</v>
      </c>
      <c r="K922" s="5">
        <f t="shared" si="157"/>
        <v>0</v>
      </c>
      <c r="L922">
        <f t="shared" si="158"/>
        <v>53.4</v>
      </c>
      <c r="M922">
        <f t="shared" si="159"/>
        <v>1</v>
      </c>
      <c r="N922">
        <f t="shared" si="160"/>
        <v>0</v>
      </c>
    </row>
    <row r="923" spans="4:14" x14ac:dyDescent="0.2">
      <c r="D923">
        <f t="shared" si="162"/>
        <v>900</v>
      </c>
      <c r="E923" s="1">
        <f t="shared" si="163"/>
        <v>-104.18728744979651</v>
      </c>
      <c r="F923" s="1">
        <f t="shared" si="164"/>
        <v>-104.76390081410051</v>
      </c>
      <c r="G923" s="1">
        <f t="shared" si="161"/>
        <v>3.1740661516781922E-46</v>
      </c>
      <c r="H923" s="1">
        <f t="shared" si="154"/>
        <v>3.2882653571353962E-47</v>
      </c>
      <c r="I923">
        <f t="shared" si="155"/>
        <v>8</v>
      </c>
      <c r="J923">
        <f t="shared" si="156"/>
        <v>890</v>
      </c>
      <c r="K923" s="5">
        <f t="shared" si="157"/>
        <v>0</v>
      </c>
      <c r="L923">
        <f t="shared" si="158"/>
        <v>53.4</v>
      </c>
      <c r="M923">
        <f t="shared" si="159"/>
        <v>1</v>
      </c>
      <c r="N923">
        <f t="shared" si="160"/>
        <v>0</v>
      </c>
    </row>
    <row r="924" spans="4:14" x14ac:dyDescent="0.2">
      <c r="D924">
        <f t="shared" si="162"/>
        <v>901</v>
      </c>
      <c r="E924" s="1">
        <f t="shared" si="163"/>
        <v>-104.30382126605247</v>
      </c>
      <c r="F924" s="1">
        <f t="shared" si="164"/>
        <v>-104.88043463035646</v>
      </c>
      <c r="G924" s="1">
        <f t="shared" si="161"/>
        <v>2.8249188749935894E-46</v>
      </c>
      <c r="H924" s="1">
        <f t="shared" si="154"/>
        <v>2.9265561678505006E-47</v>
      </c>
      <c r="I924">
        <f t="shared" si="155"/>
        <v>8</v>
      </c>
      <c r="J924">
        <f t="shared" si="156"/>
        <v>891</v>
      </c>
      <c r="K924" s="5">
        <f t="shared" si="157"/>
        <v>0</v>
      </c>
      <c r="L924">
        <f t="shared" si="158"/>
        <v>53.4</v>
      </c>
      <c r="M924">
        <f t="shared" si="159"/>
        <v>1</v>
      </c>
      <c r="N924">
        <f t="shared" si="160"/>
        <v>0</v>
      </c>
    </row>
    <row r="925" spans="4:14" x14ac:dyDescent="0.2">
      <c r="D925">
        <f t="shared" si="162"/>
        <v>902</v>
      </c>
      <c r="E925" s="1">
        <f t="shared" si="163"/>
        <v>-104.42035508230842</v>
      </c>
      <c r="F925" s="1">
        <f t="shared" si="164"/>
        <v>-104.99696844661241</v>
      </c>
      <c r="G925" s="1">
        <f t="shared" si="161"/>
        <v>2.514177798744293E-46</v>
      </c>
      <c r="H925" s="1">
        <f t="shared" si="154"/>
        <v>2.6046349893869443E-47</v>
      </c>
      <c r="I925">
        <f t="shared" si="155"/>
        <v>8</v>
      </c>
      <c r="J925">
        <f t="shared" si="156"/>
        <v>892</v>
      </c>
      <c r="K925" s="5">
        <f t="shared" si="157"/>
        <v>0</v>
      </c>
      <c r="L925">
        <f t="shared" si="158"/>
        <v>53.4</v>
      </c>
      <c r="M925">
        <f t="shared" si="159"/>
        <v>1</v>
      </c>
      <c r="N925">
        <f t="shared" si="160"/>
        <v>0</v>
      </c>
    </row>
    <row r="926" spans="4:14" x14ac:dyDescent="0.2">
      <c r="D926">
        <f t="shared" si="162"/>
        <v>903</v>
      </c>
      <c r="E926" s="1">
        <f t="shared" si="163"/>
        <v>-104.53688889856437</v>
      </c>
      <c r="F926" s="1">
        <f t="shared" si="164"/>
        <v>-105.11350226286837</v>
      </c>
      <c r="G926" s="1">
        <f t="shared" si="161"/>
        <v>2.2376182408824192E-46</v>
      </c>
      <c r="H926" s="1">
        <f t="shared" si="154"/>
        <v>2.3181251405543785E-47</v>
      </c>
      <c r="I926">
        <f t="shared" si="155"/>
        <v>8</v>
      </c>
      <c r="J926">
        <f t="shared" si="156"/>
        <v>893</v>
      </c>
      <c r="K926" s="5">
        <f t="shared" si="157"/>
        <v>0</v>
      </c>
      <c r="L926">
        <f t="shared" si="158"/>
        <v>53.4</v>
      </c>
      <c r="M926">
        <f t="shared" si="159"/>
        <v>1</v>
      </c>
      <c r="N926">
        <f t="shared" si="160"/>
        <v>0</v>
      </c>
    </row>
    <row r="927" spans="4:14" x14ac:dyDescent="0.2">
      <c r="D927">
        <f t="shared" si="162"/>
        <v>904</v>
      </c>
      <c r="E927" s="1">
        <f t="shared" si="163"/>
        <v>-104.65342271482032</v>
      </c>
      <c r="F927" s="1">
        <f t="shared" si="164"/>
        <v>-105.23003607912432</v>
      </c>
      <c r="G927" s="1">
        <f t="shared" si="161"/>
        <v>1.991480234385352E-46</v>
      </c>
      <c r="H927" s="1">
        <f t="shared" si="154"/>
        <v>2.063131375093396E-47</v>
      </c>
      <c r="I927">
        <f t="shared" si="155"/>
        <v>8</v>
      </c>
      <c r="J927">
        <f t="shared" si="156"/>
        <v>894</v>
      </c>
      <c r="K927" s="5">
        <f t="shared" si="157"/>
        <v>0</v>
      </c>
      <c r="L927">
        <f t="shared" si="158"/>
        <v>53.4</v>
      </c>
      <c r="M927">
        <f t="shared" si="159"/>
        <v>1</v>
      </c>
      <c r="N927">
        <f t="shared" si="160"/>
        <v>0</v>
      </c>
    </row>
    <row r="928" spans="4:14" x14ac:dyDescent="0.2">
      <c r="D928">
        <f t="shared" si="162"/>
        <v>905</v>
      </c>
      <c r="E928" s="1">
        <f t="shared" si="163"/>
        <v>-104.76995653107628</v>
      </c>
      <c r="F928" s="1">
        <f t="shared" si="164"/>
        <v>-105.34656989538027</v>
      </c>
      <c r="G928" s="1">
        <f t="shared" si="161"/>
        <v>1.7724174086029619E-46</v>
      </c>
      <c r="H928" s="1">
        <f t="shared" si="154"/>
        <v>1.836186923833121E-47</v>
      </c>
      <c r="I928">
        <f t="shared" si="155"/>
        <v>8</v>
      </c>
      <c r="J928">
        <f t="shared" si="156"/>
        <v>895</v>
      </c>
      <c r="K928" s="5">
        <f t="shared" si="157"/>
        <v>0</v>
      </c>
      <c r="L928">
        <f t="shared" si="158"/>
        <v>53.4</v>
      </c>
      <c r="M928">
        <f t="shared" si="159"/>
        <v>1</v>
      </c>
      <c r="N928">
        <f t="shared" si="160"/>
        <v>0</v>
      </c>
    </row>
    <row r="929" spans="4:14" x14ac:dyDescent="0.2">
      <c r="D929">
        <f t="shared" si="162"/>
        <v>906</v>
      </c>
      <c r="E929" s="1">
        <f t="shared" si="163"/>
        <v>-104.88649034733223</v>
      </c>
      <c r="F929" s="1">
        <f t="shared" si="164"/>
        <v>-105.46310371163622</v>
      </c>
      <c r="G929" s="1">
        <f t="shared" si="161"/>
        <v>1.5774514936566353E-46</v>
      </c>
      <c r="H929" s="1">
        <f t="shared" si="154"/>
        <v>1.6342063622114767E-47</v>
      </c>
      <c r="I929">
        <f t="shared" si="155"/>
        <v>8</v>
      </c>
      <c r="J929">
        <f t="shared" si="156"/>
        <v>896</v>
      </c>
      <c r="K929" s="5">
        <f t="shared" si="157"/>
        <v>0</v>
      </c>
      <c r="L929">
        <f t="shared" si="158"/>
        <v>53.4</v>
      </c>
      <c r="M929">
        <f t="shared" si="159"/>
        <v>1</v>
      </c>
      <c r="N929">
        <f t="shared" si="160"/>
        <v>0</v>
      </c>
    </row>
    <row r="930" spans="4:14" x14ac:dyDescent="0.2">
      <c r="D930">
        <f t="shared" si="162"/>
        <v>907</v>
      </c>
      <c r="E930" s="1">
        <f t="shared" si="163"/>
        <v>-105.00302416358818</v>
      </c>
      <c r="F930" s="1">
        <f t="shared" si="164"/>
        <v>-105.57963752789217</v>
      </c>
      <c r="G930" s="1">
        <f t="shared" si="161"/>
        <v>1.4039318293544044E-46</v>
      </c>
      <c r="H930" s="1">
        <f t="shared" si="154"/>
        <v>1.4544436623682132E-47</v>
      </c>
      <c r="I930">
        <f t="shared" si="155"/>
        <v>8</v>
      </c>
      <c r="J930">
        <f t="shared" si="156"/>
        <v>897</v>
      </c>
      <c r="K930" s="5">
        <f t="shared" si="157"/>
        <v>0</v>
      </c>
      <c r="L930">
        <f t="shared" si="158"/>
        <v>53.4</v>
      </c>
      <c r="M930">
        <f t="shared" si="159"/>
        <v>1</v>
      </c>
      <c r="N930">
        <f t="shared" si="160"/>
        <v>0</v>
      </c>
    </row>
    <row r="931" spans="4:14" x14ac:dyDescent="0.2">
      <c r="D931">
        <f t="shared" si="162"/>
        <v>908</v>
      </c>
      <c r="E931" s="1">
        <f t="shared" si="163"/>
        <v>-105.11955797984413</v>
      </c>
      <c r="F931" s="1">
        <f t="shared" si="164"/>
        <v>-105.69617134414813</v>
      </c>
      <c r="G931" s="1">
        <f t="shared" si="161"/>
        <v>1.2494993281254192E-46</v>
      </c>
      <c r="H931" s="1">
        <f t="shared" si="154"/>
        <v>1.2944548595077091E-47</v>
      </c>
      <c r="I931">
        <f t="shared" si="155"/>
        <v>8</v>
      </c>
      <c r="J931">
        <f t="shared" si="156"/>
        <v>898</v>
      </c>
      <c r="K931" s="5">
        <f t="shared" si="157"/>
        <v>0</v>
      </c>
      <c r="L931">
        <f t="shared" si="158"/>
        <v>53.4</v>
      </c>
      <c r="M931">
        <f t="shared" si="159"/>
        <v>1</v>
      </c>
      <c r="N931">
        <f t="shared" si="160"/>
        <v>0</v>
      </c>
    </row>
    <row r="932" spans="4:14" x14ac:dyDescent="0.2">
      <c r="D932">
        <f t="shared" si="162"/>
        <v>909</v>
      </c>
      <c r="E932" s="1">
        <f t="shared" si="163"/>
        <v>-105.23609179610008</v>
      </c>
      <c r="F932" s="1">
        <f t="shared" si="164"/>
        <v>-105.81270516040408</v>
      </c>
      <c r="G932" s="1">
        <f t="shared" si="161"/>
        <v>1.1120544020316224E-46</v>
      </c>
      <c r="H932" s="1">
        <f t="shared" si="154"/>
        <v>1.1520648249618604E-47</v>
      </c>
      <c r="I932">
        <f t="shared" si="155"/>
        <v>8</v>
      </c>
      <c r="J932">
        <f t="shared" si="156"/>
        <v>899</v>
      </c>
      <c r="K932" s="5">
        <f t="shared" si="157"/>
        <v>0</v>
      </c>
      <c r="L932">
        <f t="shared" si="158"/>
        <v>53.4</v>
      </c>
      <c r="M932">
        <f t="shared" si="159"/>
        <v>1</v>
      </c>
      <c r="N932">
        <f t="shared" si="160"/>
        <v>0</v>
      </c>
    </row>
    <row r="933" spans="4:14" x14ac:dyDescent="0.2">
      <c r="D933">
        <f t="shared" si="162"/>
        <v>910</v>
      </c>
      <c r="E933" s="1">
        <f t="shared" si="163"/>
        <v>-105.35262561235604</v>
      </c>
      <c r="F933" s="1">
        <f t="shared" si="164"/>
        <v>-105.92923897666003</v>
      </c>
      <c r="G933" s="1">
        <f t="shared" si="161"/>
        <v>9.8972841780814324E-47</v>
      </c>
      <c r="H933" s="1">
        <f t="shared" si="154"/>
        <v>1.0253376942160549E-47</v>
      </c>
      <c r="I933">
        <f t="shared" si="155"/>
        <v>8</v>
      </c>
      <c r="J933">
        <f t="shared" si="156"/>
        <v>900</v>
      </c>
      <c r="K933" s="5">
        <f t="shared" si="157"/>
        <v>0</v>
      </c>
      <c r="L933">
        <f t="shared" si="158"/>
        <v>53.4</v>
      </c>
      <c r="M933">
        <f t="shared" si="159"/>
        <v>1</v>
      </c>
      <c r="N933">
        <f t="shared" si="160"/>
        <v>0</v>
      </c>
    </row>
    <row r="934" spans="4:14" x14ac:dyDescent="0.2">
      <c r="D934">
        <f t="shared" si="162"/>
        <v>911</v>
      </c>
      <c r="E934" s="1">
        <f t="shared" si="163"/>
        <v>-105.46915942861199</v>
      </c>
      <c r="F934" s="1">
        <f t="shared" si="164"/>
        <v>-106.04577279291598</v>
      </c>
      <c r="G934" s="1">
        <f t="shared" si="161"/>
        <v>8.8085829184924694E-47</v>
      </c>
      <c r="H934" s="1">
        <f t="shared" si="154"/>
        <v>9.1255054785228835E-48</v>
      </c>
      <c r="I934">
        <f t="shared" si="155"/>
        <v>8</v>
      </c>
      <c r="J934">
        <f t="shared" si="156"/>
        <v>901</v>
      </c>
      <c r="K934" s="5">
        <f t="shared" si="157"/>
        <v>0</v>
      </c>
      <c r="L934">
        <f t="shared" si="158"/>
        <v>53.4</v>
      </c>
      <c r="M934">
        <f t="shared" si="159"/>
        <v>1</v>
      </c>
      <c r="N934">
        <f t="shared" si="160"/>
        <v>0</v>
      </c>
    </row>
    <row r="935" spans="4:14" x14ac:dyDescent="0.2">
      <c r="D935">
        <f t="shared" si="162"/>
        <v>912</v>
      </c>
      <c r="E935" s="1">
        <f t="shared" si="163"/>
        <v>-105.58569324486794</v>
      </c>
      <c r="F935" s="1">
        <f t="shared" si="164"/>
        <v>-106.16230660917194</v>
      </c>
      <c r="G935" s="1">
        <f t="shared" si="161"/>
        <v>7.8396387974582937E-47</v>
      </c>
      <c r="H935" s="1">
        <f t="shared" si="154"/>
        <v>8.1216998758853628E-48</v>
      </c>
      <c r="I935">
        <f t="shared" si="155"/>
        <v>8</v>
      </c>
      <c r="J935">
        <f t="shared" si="156"/>
        <v>902</v>
      </c>
      <c r="K935" s="5">
        <f t="shared" si="157"/>
        <v>0</v>
      </c>
      <c r="L935">
        <f t="shared" si="158"/>
        <v>53.4</v>
      </c>
      <c r="M935">
        <f t="shared" si="159"/>
        <v>1</v>
      </c>
      <c r="N935">
        <f t="shared" si="160"/>
        <v>0</v>
      </c>
    </row>
    <row r="936" spans="4:14" x14ac:dyDescent="0.2">
      <c r="D936">
        <f t="shared" si="162"/>
        <v>913</v>
      </c>
      <c r="E936" s="1">
        <f t="shared" si="163"/>
        <v>-105.70222706112389</v>
      </c>
      <c r="F936" s="1">
        <f t="shared" si="164"/>
        <v>-106.27884042542789</v>
      </c>
      <c r="G936" s="1">
        <f t="shared" si="161"/>
        <v>6.9772785297378766E-47</v>
      </c>
      <c r="H936" s="1">
        <f t="shared" si="154"/>
        <v>7.2283128895379682E-48</v>
      </c>
      <c r="I936">
        <f t="shared" si="155"/>
        <v>8</v>
      </c>
      <c r="J936">
        <f t="shared" si="156"/>
        <v>903</v>
      </c>
      <c r="K936" s="5">
        <f t="shared" si="157"/>
        <v>0</v>
      </c>
      <c r="L936">
        <f t="shared" si="158"/>
        <v>53.4</v>
      </c>
      <c r="M936">
        <f t="shared" si="159"/>
        <v>1</v>
      </c>
      <c r="N936">
        <f t="shared" si="160"/>
        <v>0</v>
      </c>
    </row>
    <row r="937" spans="4:14" x14ac:dyDescent="0.2">
      <c r="D937">
        <f t="shared" si="162"/>
        <v>914</v>
      </c>
      <c r="E937" s="1">
        <f t="shared" si="163"/>
        <v>-105.81876087737984</v>
      </c>
      <c r="F937" s="1">
        <f t="shared" si="164"/>
        <v>-106.39537424168384</v>
      </c>
      <c r="G937" s="1">
        <f t="shared" si="161"/>
        <v>6.2097778914667061E-47</v>
      </c>
      <c r="H937" s="1">
        <f t="shared" si="154"/>
        <v>6.4331984716887866E-48</v>
      </c>
      <c r="I937">
        <f t="shared" si="155"/>
        <v>8</v>
      </c>
      <c r="J937">
        <f t="shared" si="156"/>
        <v>904</v>
      </c>
      <c r="K937" s="5">
        <f t="shared" si="157"/>
        <v>0</v>
      </c>
      <c r="L937">
        <f t="shared" si="158"/>
        <v>53.4</v>
      </c>
      <c r="M937">
        <f t="shared" si="159"/>
        <v>1</v>
      </c>
      <c r="N937">
        <f t="shared" si="160"/>
        <v>0</v>
      </c>
    </row>
    <row r="938" spans="4:14" x14ac:dyDescent="0.2">
      <c r="D938">
        <f t="shared" si="162"/>
        <v>915</v>
      </c>
      <c r="E938" s="1">
        <f t="shared" si="163"/>
        <v>-105.9352946936358</v>
      </c>
      <c r="F938" s="1">
        <f t="shared" si="164"/>
        <v>-106.51190805793979</v>
      </c>
      <c r="G938" s="1">
        <f t="shared" si="161"/>
        <v>5.5267023234053647E-47</v>
      </c>
      <c r="H938" s="1">
        <f t="shared" si="154"/>
        <v>5.7255466398030169E-48</v>
      </c>
      <c r="I938">
        <f t="shared" si="155"/>
        <v>8</v>
      </c>
      <c r="J938">
        <f t="shared" si="156"/>
        <v>905</v>
      </c>
      <c r="K938" s="5">
        <f t="shared" si="157"/>
        <v>0</v>
      </c>
      <c r="L938">
        <f t="shared" si="158"/>
        <v>53.4</v>
      </c>
      <c r="M938">
        <f t="shared" si="159"/>
        <v>1</v>
      </c>
      <c r="N938">
        <f t="shared" si="160"/>
        <v>0</v>
      </c>
    </row>
    <row r="939" spans="4:14" x14ac:dyDescent="0.2">
      <c r="D939">
        <f t="shared" si="162"/>
        <v>916</v>
      </c>
      <c r="E939" s="1">
        <f t="shared" si="163"/>
        <v>-106.05182850989175</v>
      </c>
      <c r="F939" s="1">
        <f t="shared" si="164"/>
        <v>-106.62844187419574</v>
      </c>
      <c r="G939" s="1">
        <f t="shared" si="161"/>
        <v>4.9187650678307719E-47</v>
      </c>
      <c r="H939" s="1">
        <f t="shared" si="154"/>
        <v>5.095736509424682E-48</v>
      </c>
      <c r="I939">
        <f t="shared" si="155"/>
        <v>8</v>
      </c>
      <c r="J939">
        <f t="shared" si="156"/>
        <v>906</v>
      </c>
      <c r="K939" s="5">
        <f t="shared" si="157"/>
        <v>0</v>
      </c>
      <c r="L939">
        <f t="shared" si="158"/>
        <v>53.4</v>
      </c>
      <c r="M939">
        <f t="shared" si="159"/>
        <v>1</v>
      </c>
      <c r="N939">
        <f t="shared" si="160"/>
        <v>0</v>
      </c>
    </row>
    <row r="940" spans="4:14" x14ac:dyDescent="0.2">
      <c r="D940">
        <f t="shared" si="162"/>
        <v>917</v>
      </c>
      <c r="E940" s="1">
        <f t="shared" si="163"/>
        <v>-106.1683623261477</v>
      </c>
      <c r="F940" s="1">
        <f t="shared" si="164"/>
        <v>-106.7449756904517</v>
      </c>
      <c r="G940" s="1">
        <f t="shared" si="161"/>
        <v>4.3777009103693843E-47</v>
      </c>
      <c r="H940" s="1">
        <f t="shared" si="154"/>
        <v>4.5352054933879643E-48</v>
      </c>
      <c r="I940">
        <f t="shared" si="155"/>
        <v>8</v>
      </c>
      <c r="J940">
        <f t="shared" si="156"/>
        <v>907</v>
      </c>
      <c r="K940" s="5">
        <f t="shared" si="157"/>
        <v>0</v>
      </c>
      <c r="L940">
        <f t="shared" si="158"/>
        <v>53.4</v>
      </c>
      <c r="M940">
        <f t="shared" si="159"/>
        <v>1</v>
      </c>
      <c r="N940">
        <f t="shared" si="160"/>
        <v>0</v>
      </c>
    </row>
    <row r="941" spans="4:14" x14ac:dyDescent="0.2">
      <c r="D941">
        <f t="shared" si="162"/>
        <v>918</v>
      </c>
      <c r="E941" s="1">
        <f t="shared" si="163"/>
        <v>-106.28489614240365</v>
      </c>
      <c r="F941" s="1">
        <f t="shared" si="164"/>
        <v>-106.86150950670765</v>
      </c>
      <c r="G941" s="1">
        <f t="shared" si="161"/>
        <v>3.8961538102287496E-47</v>
      </c>
      <c r="H941" s="1">
        <f t="shared" si="154"/>
        <v>4.0363328891152858E-48</v>
      </c>
      <c r="I941">
        <f t="shared" si="155"/>
        <v>8</v>
      </c>
      <c r="J941">
        <f t="shared" si="156"/>
        <v>908</v>
      </c>
      <c r="K941" s="5">
        <f t="shared" si="157"/>
        <v>0</v>
      </c>
      <c r="L941">
        <f t="shared" si="158"/>
        <v>53.4</v>
      </c>
      <c r="M941">
        <f t="shared" si="159"/>
        <v>1</v>
      </c>
      <c r="N941">
        <f t="shared" si="160"/>
        <v>0</v>
      </c>
    </row>
    <row r="942" spans="4:14" x14ac:dyDescent="0.2">
      <c r="D942">
        <f t="shared" si="162"/>
        <v>919</v>
      </c>
      <c r="E942" s="1">
        <f t="shared" si="163"/>
        <v>-106.40142995865961</v>
      </c>
      <c r="F942" s="1">
        <f t="shared" si="164"/>
        <v>-106.9780433229636</v>
      </c>
      <c r="G942" s="1">
        <f t="shared" si="161"/>
        <v>3.4675768911035847E-47</v>
      </c>
      <c r="H942" s="1">
        <f t="shared" si="154"/>
        <v>3.5923362713126013E-48</v>
      </c>
      <c r="I942">
        <f t="shared" si="155"/>
        <v>8</v>
      </c>
      <c r="J942">
        <f t="shared" si="156"/>
        <v>909</v>
      </c>
      <c r="K942" s="5">
        <f t="shared" si="157"/>
        <v>0</v>
      </c>
      <c r="L942">
        <f t="shared" si="158"/>
        <v>53.4</v>
      </c>
      <c r="M942">
        <f t="shared" si="159"/>
        <v>1</v>
      </c>
      <c r="N942">
        <f t="shared" si="160"/>
        <v>0</v>
      </c>
    </row>
    <row r="943" spans="4:14" x14ac:dyDescent="0.2">
      <c r="D943">
        <f t="shared" si="162"/>
        <v>920</v>
      </c>
      <c r="E943" s="1">
        <f t="shared" si="163"/>
        <v>-106.51796377491556</v>
      </c>
      <c r="F943" s="1">
        <f t="shared" si="164"/>
        <v>-107.09457713921955</v>
      </c>
      <c r="G943" s="1">
        <f t="shared" si="161"/>
        <v>3.0861434330821885E-47</v>
      </c>
      <c r="H943" s="1">
        <f t="shared" si="154"/>
        <v>3.1971792814682133E-48</v>
      </c>
      <c r="I943">
        <f t="shared" si="155"/>
        <v>8</v>
      </c>
      <c r="J943">
        <f t="shared" si="156"/>
        <v>910</v>
      </c>
      <c r="K943" s="5">
        <f t="shared" si="157"/>
        <v>0</v>
      </c>
      <c r="L943">
        <f t="shared" si="158"/>
        <v>53.4</v>
      </c>
      <c r="M943">
        <f t="shared" si="159"/>
        <v>1</v>
      </c>
      <c r="N943">
        <f t="shared" si="160"/>
        <v>0</v>
      </c>
    </row>
    <row r="944" spans="4:14" x14ac:dyDescent="0.2">
      <c r="D944">
        <f t="shared" si="162"/>
        <v>921</v>
      </c>
      <c r="E944" s="1">
        <f t="shared" si="163"/>
        <v>-106.63449759117151</v>
      </c>
      <c r="F944" s="1">
        <f t="shared" si="164"/>
        <v>-107.2111109554755</v>
      </c>
      <c r="G944" s="1">
        <f t="shared" si="161"/>
        <v>2.746667655443146E-47</v>
      </c>
      <c r="H944" s="1">
        <f t="shared" si="154"/>
        <v>2.8454895605067082E-48</v>
      </c>
      <c r="I944">
        <f t="shared" si="155"/>
        <v>8</v>
      </c>
      <c r="J944">
        <f t="shared" si="156"/>
        <v>911</v>
      </c>
      <c r="K944" s="5">
        <f t="shared" si="157"/>
        <v>0</v>
      </c>
      <c r="L944">
        <f t="shared" si="158"/>
        <v>53.4</v>
      </c>
      <c r="M944">
        <f t="shared" si="159"/>
        <v>1</v>
      </c>
      <c r="N944">
        <f t="shared" si="160"/>
        <v>0</v>
      </c>
    </row>
    <row r="945" spans="4:14" x14ac:dyDescent="0.2">
      <c r="D945">
        <f t="shared" si="162"/>
        <v>922</v>
      </c>
      <c r="E945" s="1">
        <f t="shared" si="163"/>
        <v>-106.75103140742746</v>
      </c>
      <c r="F945" s="1">
        <f t="shared" si="164"/>
        <v>-107.32764477173146</v>
      </c>
      <c r="G945" s="1">
        <f t="shared" si="161"/>
        <v>2.4445342133443983E-47</v>
      </c>
      <c r="H945" s="1">
        <f t="shared" si="154"/>
        <v>2.5324857088509684E-48</v>
      </c>
      <c r="I945">
        <f t="shared" si="155"/>
        <v>8</v>
      </c>
      <c r="J945">
        <f t="shared" si="156"/>
        <v>912</v>
      </c>
      <c r="K945" s="5">
        <f t="shared" si="157"/>
        <v>0</v>
      </c>
      <c r="L945">
        <f t="shared" si="158"/>
        <v>53.4</v>
      </c>
      <c r="M945">
        <f t="shared" si="159"/>
        <v>1</v>
      </c>
      <c r="N945">
        <f t="shared" si="160"/>
        <v>0</v>
      </c>
    </row>
    <row r="946" spans="4:14" x14ac:dyDescent="0.2">
      <c r="D946">
        <f t="shared" si="162"/>
        <v>923</v>
      </c>
      <c r="E946" s="1">
        <f t="shared" si="163"/>
        <v>-106.86756522368341</v>
      </c>
      <c r="F946" s="1">
        <f t="shared" si="164"/>
        <v>-107.44417858798741</v>
      </c>
      <c r="G946" s="1">
        <f t="shared" si="161"/>
        <v>2.1756354498765132E-47</v>
      </c>
      <c r="H946" s="1">
        <f t="shared" si="154"/>
        <v>2.2539122808773606E-48</v>
      </c>
      <c r="I946">
        <f t="shared" si="155"/>
        <v>8</v>
      </c>
      <c r="J946">
        <f t="shared" si="156"/>
        <v>913</v>
      </c>
      <c r="K946" s="5">
        <f t="shared" si="157"/>
        <v>0</v>
      </c>
      <c r="L946">
        <f t="shared" si="158"/>
        <v>53.4</v>
      </c>
      <c r="M946">
        <f t="shared" si="159"/>
        <v>1</v>
      </c>
      <c r="N946">
        <f t="shared" si="160"/>
        <v>0</v>
      </c>
    </row>
    <row r="947" spans="4:14" x14ac:dyDescent="0.2">
      <c r="D947">
        <f t="shared" si="162"/>
        <v>924</v>
      </c>
      <c r="E947" s="1">
        <f t="shared" si="163"/>
        <v>-106.98409903993937</v>
      </c>
      <c r="F947" s="1">
        <f t="shared" si="164"/>
        <v>-107.56071240424336</v>
      </c>
      <c r="G947" s="1">
        <f t="shared" si="161"/>
        <v>1.9363155503900955E-47</v>
      </c>
      <c r="H947" s="1">
        <f t="shared" si="154"/>
        <v>2.0059819299808496E-48</v>
      </c>
      <c r="I947">
        <f t="shared" si="155"/>
        <v>8</v>
      </c>
      <c r="J947">
        <f t="shared" si="156"/>
        <v>914</v>
      </c>
      <c r="K947" s="5">
        <f t="shared" si="157"/>
        <v>0</v>
      </c>
      <c r="L947">
        <f t="shared" si="158"/>
        <v>53.4</v>
      </c>
      <c r="M947">
        <f t="shared" si="159"/>
        <v>1</v>
      </c>
      <c r="N947">
        <f t="shared" si="160"/>
        <v>0</v>
      </c>
    </row>
    <row r="948" spans="4:14" x14ac:dyDescent="0.2">
      <c r="D948">
        <f t="shared" si="162"/>
        <v>925</v>
      </c>
      <c r="E948" s="1">
        <f t="shared" si="163"/>
        <v>-107.10063285619532</v>
      </c>
      <c r="F948" s="1">
        <f t="shared" si="164"/>
        <v>-107.67724622049931</v>
      </c>
      <c r="G948" s="1">
        <f t="shared" si="161"/>
        <v>1.723320839847184E-47</v>
      </c>
      <c r="H948" s="1">
        <f t="shared" si="154"/>
        <v>1.7853239176829552E-48</v>
      </c>
      <c r="I948">
        <f t="shared" si="155"/>
        <v>8</v>
      </c>
      <c r="J948">
        <f t="shared" si="156"/>
        <v>915</v>
      </c>
      <c r="K948" s="5">
        <f t="shared" si="157"/>
        <v>0</v>
      </c>
      <c r="L948">
        <f t="shared" si="158"/>
        <v>53.4</v>
      </c>
      <c r="M948">
        <f t="shared" si="159"/>
        <v>1</v>
      </c>
      <c r="N948">
        <f t="shared" si="160"/>
        <v>0</v>
      </c>
    </row>
    <row r="949" spans="4:14" x14ac:dyDescent="0.2">
      <c r="D949">
        <f t="shared" si="162"/>
        <v>926</v>
      </c>
      <c r="E949" s="1">
        <f t="shared" si="163"/>
        <v>-107.21716667245127</v>
      </c>
      <c r="F949" s="1">
        <f t="shared" si="164"/>
        <v>-107.79378003675527</v>
      </c>
      <c r="G949" s="1">
        <f t="shared" si="161"/>
        <v>1.5337555474639929E-47</v>
      </c>
      <c r="H949" s="1">
        <f t="shared" si="154"/>
        <v>1.5889382867378291E-48</v>
      </c>
      <c r="I949">
        <f t="shared" si="155"/>
        <v>8</v>
      </c>
      <c r="J949">
        <f t="shared" si="156"/>
        <v>916</v>
      </c>
      <c r="K949" s="5">
        <f t="shared" si="157"/>
        <v>0</v>
      </c>
      <c r="L949">
        <f t="shared" si="158"/>
        <v>53.4</v>
      </c>
      <c r="M949">
        <f t="shared" si="159"/>
        <v>1</v>
      </c>
      <c r="N949">
        <f t="shared" si="160"/>
        <v>0</v>
      </c>
    </row>
    <row r="950" spans="4:14" x14ac:dyDescent="0.2">
      <c r="D950">
        <f t="shared" si="162"/>
        <v>927</v>
      </c>
      <c r="E950" s="1">
        <f t="shared" si="163"/>
        <v>-107.33370048870722</v>
      </c>
      <c r="F950" s="1">
        <f t="shared" si="164"/>
        <v>-107.91031385301122</v>
      </c>
      <c r="G950" s="1">
        <f t="shared" si="161"/>
        <v>1.3650424372429528E-47</v>
      </c>
      <c r="H950" s="1">
        <f t="shared" si="154"/>
        <v>1.4141550751966671E-48</v>
      </c>
      <c r="I950">
        <f t="shared" si="155"/>
        <v>8</v>
      </c>
      <c r="J950">
        <f t="shared" si="156"/>
        <v>917</v>
      </c>
      <c r="K950" s="5">
        <f t="shared" si="157"/>
        <v>0</v>
      </c>
      <c r="L950">
        <f t="shared" si="158"/>
        <v>53.4</v>
      </c>
      <c r="M950">
        <f t="shared" si="159"/>
        <v>1</v>
      </c>
      <c r="N950">
        <f t="shared" si="160"/>
        <v>0</v>
      </c>
    </row>
    <row r="951" spans="4:14" x14ac:dyDescent="0.2">
      <c r="D951">
        <f t="shared" si="162"/>
        <v>928</v>
      </c>
      <c r="E951" s="1">
        <f t="shared" si="163"/>
        <v>-107.45023430496317</v>
      </c>
      <c r="F951" s="1">
        <f t="shared" si="164"/>
        <v>-108.02684766926717</v>
      </c>
      <c r="G951" s="1">
        <f t="shared" si="161"/>
        <v>1.2148877691462271E-47</v>
      </c>
      <c r="H951" s="1">
        <f t="shared" si="154"/>
        <v>1.2585980169250329E-48</v>
      </c>
      <c r="I951">
        <f t="shared" si="155"/>
        <v>8</v>
      </c>
      <c r="J951">
        <f t="shared" si="156"/>
        <v>918</v>
      </c>
      <c r="K951" s="5">
        <f t="shared" si="157"/>
        <v>0</v>
      </c>
      <c r="L951">
        <f t="shared" si="158"/>
        <v>53.4</v>
      </c>
      <c r="M951">
        <f t="shared" si="159"/>
        <v>1</v>
      </c>
      <c r="N951">
        <f t="shared" si="160"/>
        <v>0</v>
      </c>
    </row>
    <row r="952" spans="4:14" x14ac:dyDescent="0.2">
      <c r="D952">
        <f t="shared" si="162"/>
        <v>929</v>
      </c>
      <c r="E952" s="1">
        <f t="shared" si="163"/>
        <v>-107.56676812121913</v>
      </c>
      <c r="F952" s="1">
        <f t="shared" si="164"/>
        <v>-108.14338148552312</v>
      </c>
      <c r="G952" s="1">
        <f t="shared" si="161"/>
        <v>1.0812501145401415E-47</v>
      </c>
      <c r="H952" s="1">
        <f t="shared" si="154"/>
        <v>1.1201522350632786E-48</v>
      </c>
      <c r="I952">
        <f t="shared" si="155"/>
        <v>8</v>
      </c>
      <c r="J952">
        <f t="shared" si="156"/>
        <v>919</v>
      </c>
      <c r="K952" s="5">
        <f t="shared" si="157"/>
        <v>0</v>
      </c>
      <c r="L952">
        <f t="shared" si="158"/>
        <v>53.4</v>
      </c>
      <c r="M952">
        <f t="shared" si="159"/>
        <v>1</v>
      </c>
      <c r="N952">
        <f t="shared" si="160"/>
        <v>0</v>
      </c>
    </row>
    <row r="953" spans="4:14" x14ac:dyDescent="0.2">
      <c r="D953">
        <f t="shared" si="162"/>
        <v>930</v>
      </c>
      <c r="E953" s="1">
        <f t="shared" si="163"/>
        <v>-107.68330193747508</v>
      </c>
      <c r="F953" s="1">
        <f t="shared" si="164"/>
        <v>-108.25991530177907</v>
      </c>
      <c r="G953" s="1">
        <f t="shared" si="161"/>
        <v>9.6231260194072533E-48</v>
      </c>
      <c r="H953" s="1">
        <f t="shared" si="154"/>
        <v>9.9693548920631737E-49</v>
      </c>
      <c r="I953">
        <f t="shared" si="155"/>
        <v>8</v>
      </c>
      <c r="J953">
        <f t="shared" si="156"/>
        <v>920</v>
      </c>
      <c r="K953" s="5">
        <f t="shared" si="157"/>
        <v>0</v>
      </c>
      <c r="L953">
        <f t="shared" si="158"/>
        <v>53.4</v>
      </c>
      <c r="M953">
        <f t="shared" si="159"/>
        <v>1</v>
      </c>
      <c r="N953">
        <f t="shared" si="160"/>
        <v>0</v>
      </c>
    </row>
    <row r="954" spans="4:14" x14ac:dyDescent="0.2">
      <c r="D954">
        <f t="shared" si="162"/>
        <v>931</v>
      </c>
      <c r="E954" s="1">
        <f t="shared" si="163"/>
        <v>-107.79983575373103</v>
      </c>
      <c r="F954" s="1">
        <f t="shared" si="164"/>
        <v>-108.37644911803503</v>
      </c>
      <c r="G954" s="1">
        <f t="shared" si="161"/>
        <v>8.5645821572724496E-48</v>
      </c>
      <c r="H954" s="1">
        <f t="shared" si="154"/>
        <v>8.8727258539362172E-49</v>
      </c>
      <c r="I954">
        <f t="shared" si="155"/>
        <v>8</v>
      </c>
      <c r="J954">
        <f t="shared" si="156"/>
        <v>921</v>
      </c>
      <c r="K954" s="5">
        <f t="shared" si="157"/>
        <v>0</v>
      </c>
      <c r="L954">
        <f t="shared" si="158"/>
        <v>53.4</v>
      </c>
      <c r="M954">
        <f t="shared" si="159"/>
        <v>1</v>
      </c>
      <c r="N954">
        <f t="shared" si="160"/>
        <v>0</v>
      </c>
    </row>
    <row r="955" spans="4:14" x14ac:dyDescent="0.2">
      <c r="D955">
        <f t="shared" si="162"/>
        <v>932</v>
      </c>
      <c r="E955" s="1">
        <f t="shared" si="163"/>
        <v>-107.91636956998698</v>
      </c>
      <c r="F955" s="1">
        <f t="shared" si="164"/>
        <v>-108.49298293429098</v>
      </c>
      <c r="G955" s="1">
        <f t="shared" si="161"/>
        <v>7.622478119972476E-48</v>
      </c>
      <c r="H955" s="1">
        <f t="shared" si="154"/>
        <v>7.8967260100032293E-49</v>
      </c>
      <c r="I955">
        <f t="shared" si="155"/>
        <v>8</v>
      </c>
      <c r="J955">
        <f t="shared" si="156"/>
        <v>922</v>
      </c>
      <c r="K955" s="5">
        <f t="shared" si="157"/>
        <v>0</v>
      </c>
      <c r="L955">
        <f t="shared" si="158"/>
        <v>53.4</v>
      </c>
      <c r="M955">
        <f t="shared" si="159"/>
        <v>1</v>
      </c>
      <c r="N955">
        <f t="shared" si="160"/>
        <v>0</v>
      </c>
    </row>
    <row r="956" spans="4:14" x14ac:dyDescent="0.2">
      <c r="D956">
        <f t="shared" si="162"/>
        <v>933</v>
      </c>
      <c r="E956" s="1">
        <f t="shared" si="163"/>
        <v>-108.03290338624294</v>
      </c>
      <c r="F956" s="1">
        <f t="shared" si="164"/>
        <v>-108.60951675054693</v>
      </c>
      <c r="G956" s="1">
        <f t="shared" si="161"/>
        <v>6.7840055267754986E-48</v>
      </c>
      <c r="H956" s="1">
        <f t="shared" si="154"/>
        <v>7.0280861489028689E-49</v>
      </c>
      <c r="I956">
        <f t="shared" si="155"/>
        <v>8</v>
      </c>
      <c r="J956">
        <f t="shared" si="156"/>
        <v>923</v>
      </c>
      <c r="K956" s="5">
        <f t="shared" si="157"/>
        <v>0</v>
      </c>
      <c r="L956">
        <f t="shared" si="158"/>
        <v>53.4</v>
      </c>
      <c r="M956">
        <f t="shared" si="159"/>
        <v>1</v>
      </c>
      <c r="N956">
        <f t="shared" si="160"/>
        <v>0</v>
      </c>
    </row>
    <row r="957" spans="4:14" x14ac:dyDescent="0.2">
      <c r="D957">
        <f t="shared" si="162"/>
        <v>934</v>
      </c>
      <c r="E957" s="1">
        <f t="shared" si="163"/>
        <v>-108.14943720249889</v>
      </c>
      <c r="F957" s="1">
        <f t="shared" si="164"/>
        <v>-108.72605056680288</v>
      </c>
      <c r="G957" s="1">
        <f t="shared" si="161"/>
        <v>6.0377649188301904E-48</v>
      </c>
      <c r="H957" s="1">
        <f t="shared" si="154"/>
        <v>6.2549966725235502E-49</v>
      </c>
      <c r="I957">
        <f t="shared" si="155"/>
        <v>8</v>
      </c>
      <c r="J957">
        <f t="shared" si="156"/>
        <v>924</v>
      </c>
      <c r="K957" s="5">
        <f t="shared" si="157"/>
        <v>0</v>
      </c>
      <c r="L957">
        <f t="shared" si="158"/>
        <v>53.4</v>
      </c>
      <c r="M957">
        <f t="shared" si="159"/>
        <v>1</v>
      </c>
      <c r="N957">
        <f t="shared" si="160"/>
        <v>0</v>
      </c>
    </row>
    <row r="958" spans="4:14" x14ac:dyDescent="0.2">
      <c r="D958">
        <f t="shared" si="162"/>
        <v>935</v>
      </c>
      <c r="E958" s="1">
        <f t="shared" si="163"/>
        <v>-108.26597101875484</v>
      </c>
      <c r="F958" s="1">
        <f t="shared" si="164"/>
        <v>-108.84258438305883</v>
      </c>
      <c r="G958" s="1">
        <f t="shared" si="161"/>
        <v>5.3736107777588657E-48</v>
      </c>
      <c r="H958" s="1">
        <f t="shared" si="154"/>
        <v>5.5669470385459554E-49</v>
      </c>
      <c r="I958">
        <f t="shared" si="155"/>
        <v>8</v>
      </c>
      <c r="J958">
        <f t="shared" si="156"/>
        <v>925</v>
      </c>
      <c r="K958" s="5">
        <f t="shared" si="157"/>
        <v>0</v>
      </c>
      <c r="L958">
        <f t="shared" si="158"/>
        <v>53.4</v>
      </c>
      <c r="M958">
        <f t="shared" si="159"/>
        <v>1</v>
      </c>
      <c r="N958">
        <f t="shared" si="160"/>
        <v>0</v>
      </c>
    </row>
    <row r="959" spans="4:14" x14ac:dyDescent="0.2">
      <c r="D959">
        <f t="shared" si="162"/>
        <v>936</v>
      </c>
      <c r="E959" s="1">
        <f t="shared" si="163"/>
        <v>-108.38250483501079</v>
      </c>
      <c r="F959" s="1">
        <f t="shared" si="164"/>
        <v>-108.95911819931479</v>
      </c>
      <c r="G959" s="1">
        <f t="shared" si="161"/>
        <v>4.7825135922053875E-48</v>
      </c>
      <c r="H959" s="1">
        <f t="shared" si="154"/>
        <v>4.9545828643058974E-49</v>
      </c>
      <c r="I959">
        <f t="shared" si="155"/>
        <v>8</v>
      </c>
      <c r="J959">
        <f t="shared" si="156"/>
        <v>926</v>
      </c>
      <c r="K959" s="5">
        <f t="shared" si="157"/>
        <v>0</v>
      </c>
      <c r="L959">
        <f t="shared" si="158"/>
        <v>53.4</v>
      </c>
      <c r="M959">
        <f t="shared" si="159"/>
        <v>1</v>
      </c>
      <c r="N959">
        <f t="shared" si="160"/>
        <v>0</v>
      </c>
    </row>
    <row r="960" spans="4:14" x14ac:dyDescent="0.2">
      <c r="D960">
        <f t="shared" si="162"/>
        <v>937</v>
      </c>
      <c r="E960" s="1">
        <f t="shared" si="163"/>
        <v>-108.49903865126674</v>
      </c>
      <c r="F960" s="1">
        <f t="shared" si="164"/>
        <v>-109.07565201557074</v>
      </c>
      <c r="G960" s="1">
        <f t="shared" si="161"/>
        <v>4.2564370970627921E-48</v>
      </c>
      <c r="H960" s="1">
        <f t="shared" si="154"/>
        <v>4.4095787492322456E-49</v>
      </c>
      <c r="I960">
        <f t="shared" si="155"/>
        <v>8</v>
      </c>
      <c r="J960">
        <f t="shared" si="156"/>
        <v>927</v>
      </c>
      <c r="K960" s="5">
        <f t="shared" si="157"/>
        <v>0</v>
      </c>
      <c r="L960">
        <f t="shared" si="158"/>
        <v>53.4</v>
      </c>
      <c r="M960">
        <f t="shared" si="159"/>
        <v>1</v>
      </c>
      <c r="N960">
        <f t="shared" si="160"/>
        <v>0</v>
      </c>
    </row>
    <row r="961" spans="4:14" x14ac:dyDescent="0.2">
      <c r="D961">
        <f t="shared" si="162"/>
        <v>938</v>
      </c>
      <c r="E961" s="1">
        <f t="shared" si="163"/>
        <v>-108.6155724675227</v>
      </c>
      <c r="F961" s="1">
        <f t="shared" si="164"/>
        <v>-109.19218583182669</v>
      </c>
      <c r="G961" s="1">
        <f t="shared" si="161"/>
        <v>3.7882290163858829E-48</v>
      </c>
      <c r="H961" s="1">
        <f t="shared" si="154"/>
        <v>3.9245250868166967E-49</v>
      </c>
      <c r="I961">
        <f t="shared" si="155"/>
        <v>8</v>
      </c>
      <c r="J961">
        <f t="shared" si="156"/>
        <v>928</v>
      </c>
      <c r="K961" s="5">
        <f t="shared" si="157"/>
        <v>0</v>
      </c>
      <c r="L961">
        <f t="shared" si="158"/>
        <v>53.4</v>
      </c>
      <c r="M961">
        <f t="shared" si="159"/>
        <v>1</v>
      </c>
      <c r="N961">
        <f t="shared" si="160"/>
        <v>0</v>
      </c>
    </row>
    <row r="962" spans="4:14" x14ac:dyDescent="0.2">
      <c r="D962">
        <f t="shared" si="162"/>
        <v>939</v>
      </c>
      <c r="E962" s="1">
        <f t="shared" si="163"/>
        <v>-108.73210628377865</v>
      </c>
      <c r="F962" s="1">
        <f t="shared" si="164"/>
        <v>-109.30871964808264</v>
      </c>
      <c r="G962" s="1">
        <f t="shared" si="161"/>
        <v>3.3715238245834333E-48</v>
      </c>
      <c r="H962" s="1">
        <f t="shared" si="154"/>
        <v>3.4928273272668573E-49</v>
      </c>
      <c r="I962">
        <f t="shared" si="155"/>
        <v>8</v>
      </c>
      <c r="J962">
        <f t="shared" si="156"/>
        <v>929</v>
      </c>
      <c r="K962" s="5">
        <f t="shared" si="157"/>
        <v>0</v>
      </c>
      <c r="L962">
        <f t="shared" si="158"/>
        <v>53.4</v>
      </c>
      <c r="M962">
        <f t="shared" si="159"/>
        <v>1</v>
      </c>
      <c r="N962">
        <f t="shared" si="160"/>
        <v>0</v>
      </c>
    </row>
    <row r="963" spans="4:14" x14ac:dyDescent="0.2">
      <c r="D963">
        <f t="shared" si="162"/>
        <v>940</v>
      </c>
      <c r="E963" s="1">
        <f t="shared" si="163"/>
        <v>-108.8486401000346</v>
      </c>
      <c r="F963" s="1">
        <f t="shared" si="164"/>
        <v>-109.4252534643386</v>
      </c>
      <c r="G963" s="1">
        <f t="shared" si="161"/>
        <v>3.0006562038792537E-48</v>
      </c>
      <c r="H963" s="1">
        <f t="shared" si="154"/>
        <v>3.1086163212675012E-49</v>
      </c>
      <c r="I963">
        <f t="shared" si="155"/>
        <v>8</v>
      </c>
      <c r="J963">
        <f t="shared" si="156"/>
        <v>930</v>
      </c>
      <c r="K963" s="5">
        <f t="shared" si="157"/>
        <v>0</v>
      </c>
      <c r="L963">
        <f t="shared" si="158"/>
        <v>53.4</v>
      </c>
      <c r="M963">
        <f t="shared" si="159"/>
        <v>1</v>
      </c>
      <c r="N963">
        <f t="shared" si="160"/>
        <v>0</v>
      </c>
    </row>
    <row r="964" spans="4:14" x14ac:dyDescent="0.2">
      <c r="D964">
        <f t="shared" si="162"/>
        <v>941</v>
      </c>
      <c r="E964" s="1">
        <f t="shared" si="163"/>
        <v>-108.96517391629055</v>
      </c>
      <c r="F964" s="1">
        <f t="shared" si="164"/>
        <v>-109.54178728059455</v>
      </c>
      <c r="G964" s="1">
        <f t="shared" si="161"/>
        <v>2.6705840214525345E-48</v>
      </c>
      <c r="H964" s="1">
        <f t="shared" si="154"/>
        <v>2.7666685259280746E-49</v>
      </c>
      <c r="I964">
        <f t="shared" si="155"/>
        <v>8</v>
      </c>
      <c r="J964">
        <f t="shared" si="156"/>
        <v>931</v>
      </c>
      <c r="K964" s="5">
        <f t="shared" si="157"/>
        <v>0</v>
      </c>
      <c r="L964">
        <f t="shared" si="158"/>
        <v>53.4</v>
      </c>
      <c r="M964">
        <f t="shared" si="159"/>
        <v>1</v>
      </c>
      <c r="N964">
        <f t="shared" si="160"/>
        <v>0</v>
      </c>
    </row>
    <row r="965" spans="4:14" x14ac:dyDescent="0.2">
      <c r="D965">
        <f t="shared" si="162"/>
        <v>942</v>
      </c>
      <c r="E965" s="1">
        <f t="shared" si="163"/>
        <v>-109.0817077325465</v>
      </c>
      <c r="F965" s="1">
        <f t="shared" si="164"/>
        <v>-109.6583210968505</v>
      </c>
      <c r="G965" s="1">
        <f t="shared" si="161"/>
        <v>2.3768197790927541E-48</v>
      </c>
      <c r="H965" s="1">
        <f t="shared" si="154"/>
        <v>2.4623349880759849E-49</v>
      </c>
      <c r="I965">
        <f t="shared" si="155"/>
        <v>8</v>
      </c>
      <c r="J965">
        <f t="shared" si="156"/>
        <v>932</v>
      </c>
      <c r="K965" s="5">
        <f t="shared" si="157"/>
        <v>0</v>
      </c>
      <c r="L965">
        <f t="shared" si="158"/>
        <v>53.4</v>
      </c>
      <c r="M965">
        <f t="shared" si="159"/>
        <v>1</v>
      </c>
      <c r="N965">
        <f t="shared" si="160"/>
        <v>0</v>
      </c>
    </row>
    <row r="966" spans="4:14" x14ac:dyDescent="0.2">
      <c r="D966">
        <f t="shared" si="162"/>
        <v>943</v>
      </c>
      <c r="E966" s="1">
        <f t="shared" si="163"/>
        <v>-109.19824154880246</v>
      </c>
      <c r="F966" s="1">
        <f t="shared" si="164"/>
        <v>-109.77485491310645</v>
      </c>
      <c r="G966" s="1">
        <f t="shared" si="161"/>
        <v>2.1153696033925499E-48</v>
      </c>
      <c r="H966" s="1">
        <f t="shared" si="154"/>
        <v>2.1914781393876251E-49</v>
      </c>
      <c r="I966">
        <f t="shared" si="155"/>
        <v>8</v>
      </c>
      <c r="J966">
        <f t="shared" si="156"/>
        <v>933</v>
      </c>
      <c r="K966" s="5">
        <f t="shared" si="157"/>
        <v>0</v>
      </c>
      <c r="L966">
        <f t="shared" si="158"/>
        <v>53.4</v>
      </c>
      <c r="M966">
        <f t="shared" si="159"/>
        <v>1</v>
      </c>
      <c r="N966">
        <f t="shared" si="160"/>
        <v>0</v>
      </c>
    </row>
    <row r="967" spans="4:14" x14ac:dyDescent="0.2">
      <c r="D967">
        <f t="shared" si="162"/>
        <v>944</v>
      </c>
      <c r="E967" s="1">
        <f t="shared" si="163"/>
        <v>-109.31477536505841</v>
      </c>
      <c r="F967" s="1">
        <f t="shared" si="164"/>
        <v>-109.8913887293624</v>
      </c>
      <c r="G967" s="1">
        <f t="shared" si="161"/>
        <v>1.882678947019368E-48</v>
      </c>
      <c r="H967" s="1">
        <f t="shared" si="154"/>
        <v>1.9504155440549851E-49</v>
      </c>
      <c r="I967">
        <f t="shared" si="155"/>
        <v>8</v>
      </c>
      <c r="J967">
        <f t="shared" si="156"/>
        <v>934</v>
      </c>
      <c r="K967" s="5">
        <f t="shared" si="157"/>
        <v>0</v>
      </c>
      <c r="L967">
        <f t="shared" si="158"/>
        <v>53.4</v>
      </c>
      <c r="M967">
        <f t="shared" si="159"/>
        <v>1</v>
      </c>
      <c r="N967">
        <f t="shared" si="160"/>
        <v>0</v>
      </c>
    </row>
    <row r="968" spans="4:14" x14ac:dyDescent="0.2">
      <c r="D968">
        <f t="shared" si="162"/>
        <v>945</v>
      </c>
      <c r="E968" s="1">
        <f t="shared" si="163"/>
        <v>-109.43130918131436</v>
      </c>
      <c r="F968" s="1">
        <f t="shared" si="164"/>
        <v>-110.00792254561836</v>
      </c>
      <c r="G968" s="1">
        <f t="shared" si="161"/>
        <v>1.6755842628472367E-48</v>
      </c>
      <c r="H968" s="1">
        <f t="shared" si="154"/>
        <v>1.7358698342089357E-49</v>
      </c>
      <c r="I968">
        <f t="shared" si="155"/>
        <v>8</v>
      </c>
      <c r="J968">
        <f t="shared" si="156"/>
        <v>935</v>
      </c>
      <c r="K968" s="5">
        <f t="shared" si="157"/>
        <v>0</v>
      </c>
      <c r="L968">
        <f t="shared" si="158"/>
        <v>53.4</v>
      </c>
      <c r="M968">
        <f t="shared" si="159"/>
        <v>1</v>
      </c>
      <c r="N968">
        <f t="shared" si="160"/>
        <v>0</v>
      </c>
    </row>
    <row r="969" spans="4:14" x14ac:dyDescent="0.2">
      <c r="D969">
        <f t="shared" si="162"/>
        <v>946</v>
      </c>
      <c r="E969" s="1">
        <f t="shared" si="163"/>
        <v>-109.54784299757031</v>
      </c>
      <c r="F969" s="1">
        <f t="shared" si="164"/>
        <v>-110.12445636187431</v>
      </c>
      <c r="G969" s="1">
        <f t="shared" si="161"/>
        <v>1.4912699939340396E-48</v>
      </c>
      <c r="H969" s="1">
        <f t="shared" si="154"/>
        <v>1.5449241524459518E-49</v>
      </c>
      <c r="I969">
        <f t="shared" si="155"/>
        <v>8</v>
      </c>
      <c r="J969">
        <f t="shared" si="156"/>
        <v>936</v>
      </c>
      <c r="K969" s="5">
        <f t="shared" si="157"/>
        <v>0</v>
      </c>
      <c r="L969">
        <f t="shared" si="158"/>
        <v>53.4</v>
      </c>
      <c r="M969">
        <f t="shared" si="159"/>
        <v>1</v>
      </c>
      <c r="N969">
        <f t="shared" si="160"/>
        <v>0</v>
      </c>
    </row>
    <row r="970" spans="4:14" x14ac:dyDescent="0.2">
      <c r="D970">
        <f t="shared" si="162"/>
        <v>947</v>
      </c>
      <c r="E970" s="1">
        <f t="shared" si="163"/>
        <v>-109.66437681382627</v>
      </c>
      <c r="F970" s="1">
        <f t="shared" si="164"/>
        <v>-110.24099017813026</v>
      </c>
      <c r="G970" s="1">
        <f t="shared" si="161"/>
        <v>1.3272302946012944E-48</v>
      </c>
      <c r="H970" s="1">
        <f t="shared" si="154"/>
        <v>1.3749824956768962E-49</v>
      </c>
      <c r="I970">
        <f t="shared" si="155"/>
        <v>8</v>
      </c>
      <c r="J970">
        <f t="shared" si="156"/>
        <v>937</v>
      </c>
      <c r="K970" s="5">
        <f t="shared" si="157"/>
        <v>0</v>
      </c>
      <c r="L970">
        <f t="shared" si="158"/>
        <v>53.4</v>
      </c>
      <c r="M970">
        <f t="shared" si="159"/>
        <v>1</v>
      </c>
      <c r="N970">
        <f t="shared" si="160"/>
        <v>0</v>
      </c>
    </row>
    <row r="971" spans="4:14" x14ac:dyDescent="0.2">
      <c r="D971">
        <f t="shared" si="162"/>
        <v>948</v>
      </c>
      <c r="E971" s="1">
        <f t="shared" si="163"/>
        <v>-109.78091063008222</v>
      </c>
      <c r="F971" s="1">
        <f t="shared" si="164"/>
        <v>-110.35752399438621</v>
      </c>
      <c r="G971" s="1">
        <f t="shared" si="161"/>
        <v>1.1812349621951513E-48</v>
      </c>
      <c r="H971" s="1">
        <f t="shared" si="154"/>
        <v>1.2237344211524368E-49</v>
      </c>
      <c r="I971">
        <f t="shared" si="155"/>
        <v>8</v>
      </c>
      <c r="J971">
        <f t="shared" si="156"/>
        <v>938</v>
      </c>
      <c r="K971" s="5">
        <f t="shared" si="157"/>
        <v>0</v>
      </c>
      <c r="L971">
        <f t="shared" si="158"/>
        <v>53.4</v>
      </c>
      <c r="M971">
        <f t="shared" si="159"/>
        <v>1</v>
      </c>
      <c r="N971">
        <f t="shared" si="160"/>
        <v>0</v>
      </c>
    </row>
    <row r="972" spans="4:14" x14ac:dyDescent="0.2">
      <c r="D972">
        <f t="shared" si="162"/>
        <v>949</v>
      </c>
      <c r="E972" s="1">
        <f t="shared" si="163"/>
        <v>-109.89744444633817</v>
      </c>
      <c r="F972" s="1">
        <f t="shared" si="164"/>
        <v>-110.47405781064217</v>
      </c>
      <c r="G972" s="1">
        <f t="shared" si="161"/>
        <v>1.0512991163536839E-48</v>
      </c>
      <c r="H972" s="1">
        <f t="shared" si="154"/>
        <v>1.089123634825668E-49</v>
      </c>
      <c r="I972">
        <f t="shared" si="155"/>
        <v>8</v>
      </c>
      <c r="J972">
        <f t="shared" si="156"/>
        <v>939</v>
      </c>
      <c r="K972" s="5">
        <f t="shared" si="157"/>
        <v>0</v>
      </c>
      <c r="L972">
        <f t="shared" si="158"/>
        <v>53.4</v>
      </c>
      <c r="M972">
        <f t="shared" si="159"/>
        <v>1</v>
      </c>
      <c r="N972">
        <f t="shared" si="160"/>
        <v>0</v>
      </c>
    </row>
    <row r="973" spans="4:14" x14ac:dyDescent="0.2">
      <c r="D973">
        <f t="shared" si="162"/>
        <v>950</v>
      </c>
      <c r="E973" s="1">
        <f t="shared" si="163"/>
        <v>-110.01397826259412</v>
      </c>
      <c r="F973" s="1">
        <f t="shared" si="164"/>
        <v>-110.59059162689812</v>
      </c>
      <c r="G973" s="1">
        <f t="shared" si="161"/>
        <v>9.3565621355477812E-49</v>
      </c>
      <c r="H973" s="1">
        <f t="shared" si="154"/>
        <v>9.693200349948439E-50</v>
      </c>
      <c r="I973">
        <f t="shared" si="155"/>
        <v>8</v>
      </c>
      <c r="J973">
        <f t="shared" si="156"/>
        <v>940</v>
      </c>
      <c r="K973" s="5">
        <f t="shared" si="157"/>
        <v>0</v>
      </c>
      <c r="L973">
        <f t="shared" si="158"/>
        <v>53.4</v>
      </c>
      <c r="M973">
        <f t="shared" si="159"/>
        <v>1</v>
      </c>
      <c r="N973">
        <f t="shared" si="160"/>
        <v>0</v>
      </c>
    </row>
    <row r="974" spans="4:14" x14ac:dyDescent="0.2">
      <c r="D974">
        <f t="shared" si="162"/>
        <v>951</v>
      </c>
      <c r="E974" s="1">
        <f t="shared" si="163"/>
        <v>-110.13051207885007</v>
      </c>
      <c r="F974" s="1">
        <f t="shared" si="164"/>
        <v>-110.70712544315407</v>
      </c>
      <c r="G974" s="1">
        <f t="shared" si="161"/>
        <v>8.3273403006375208E-49</v>
      </c>
      <c r="H974" s="1">
        <f t="shared" si="154"/>
        <v>8.6269483114541066E-50</v>
      </c>
      <c r="I974">
        <f t="shared" si="155"/>
        <v>8</v>
      </c>
      <c r="J974">
        <f t="shared" si="156"/>
        <v>941</v>
      </c>
      <c r="K974" s="5">
        <f t="shared" si="157"/>
        <v>0</v>
      </c>
      <c r="L974">
        <f t="shared" si="158"/>
        <v>53.4</v>
      </c>
      <c r="M974">
        <f t="shared" si="159"/>
        <v>1</v>
      </c>
      <c r="N974">
        <f t="shared" si="160"/>
        <v>0</v>
      </c>
    </row>
    <row r="975" spans="4:14" x14ac:dyDescent="0.2">
      <c r="D975">
        <f t="shared" si="162"/>
        <v>952</v>
      </c>
      <c r="E975" s="1">
        <f t="shared" si="163"/>
        <v>-110.24704589510603</v>
      </c>
      <c r="F975" s="1">
        <f t="shared" si="164"/>
        <v>-110.82365925941002</v>
      </c>
      <c r="G975" s="1">
        <f t="shared" si="161"/>
        <v>7.4113328675673884E-49</v>
      </c>
      <c r="H975" s="1">
        <f t="shared" si="154"/>
        <v>7.6779839971941492E-50</v>
      </c>
      <c r="I975">
        <f t="shared" si="155"/>
        <v>8</v>
      </c>
      <c r="J975">
        <f t="shared" si="156"/>
        <v>942</v>
      </c>
      <c r="K975" s="5">
        <f t="shared" si="157"/>
        <v>0</v>
      </c>
      <c r="L975">
        <f t="shared" si="158"/>
        <v>53.4</v>
      </c>
      <c r="M975">
        <f t="shared" si="159"/>
        <v>1</v>
      </c>
      <c r="N975">
        <f t="shared" si="160"/>
        <v>0</v>
      </c>
    </row>
    <row r="976" spans="4:14" x14ac:dyDescent="0.2">
      <c r="D976">
        <f t="shared" si="162"/>
        <v>953</v>
      </c>
      <c r="E976" s="1">
        <f t="shared" si="163"/>
        <v>-110.36357971136198</v>
      </c>
      <c r="F976" s="1">
        <f t="shared" si="164"/>
        <v>-110.94019307566597</v>
      </c>
      <c r="G976" s="1">
        <f t="shared" si="161"/>
        <v>6.5960862521349711E-49</v>
      </c>
      <c r="H976" s="1">
        <f t="shared" si="154"/>
        <v>6.8334057575027883E-50</v>
      </c>
      <c r="I976">
        <f t="shared" si="155"/>
        <v>8</v>
      </c>
      <c r="J976">
        <f t="shared" si="156"/>
        <v>943</v>
      </c>
      <c r="K976" s="5">
        <f t="shared" si="157"/>
        <v>0</v>
      </c>
      <c r="L976">
        <f t="shared" si="158"/>
        <v>53.4</v>
      </c>
      <c r="M976">
        <f t="shared" si="159"/>
        <v>1</v>
      </c>
      <c r="N976">
        <f t="shared" si="160"/>
        <v>0</v>
      </c>
    </row>
    <row r="977" spans="4:14" x14ac:dyDescent="0.2">
      <c r="D977">
        <f t="shared" si="162"/>
        <v>954</v>
      </c>
      <c r="E977" s="1">
        <f t="shared" si="163"/>
        <v>-110.48011352761793</v>
      </c>
      <c r="F977" s="1">
        <f t="shared" si="164"/>
        <v>-111.05672689192193</v>
      </c>
      <c r="G977" s="1">
        <f t="shared" si="161"/>
        <v>5.870516764400121E-49</v>
      </c>
      <c r="H977" s="1">
        <f t="shared" si="154"/>
        <v>6.0817311241774785E-50</v>
      </c>
      <c r="I977">
        <f t="shared" si="155"/>
        <v>8</v>
      </c>
      <c r="J977">
        <f t="shared" si="156"/>
        <v>944</v>
      </c>
      <c r="K977" s="5">
        <f t="shared" si="157"/>
        <v>0</v>
      </c>
      <c r="L977">
        <f t="shared" si="158"/>
        <v>53.4</v>
      </c>
      <c r="M977">
        <f t="shared" si="159"/>
        <v>1</v>
      </c>
      <c r="N977">
        <f t="shared" si="160"/>
        <v>0</v>
      </c>
    </row>
    <row r="978" spans="4:14" x14ac:dyDescent="0.2">
      <c r="D978">
        <f t="shared" si="162"/>
        <v>955</v>
      </c>
      <c r="E978" s="1">
        <f t="shared" si="163"/>
        <v>-110.59664734387388</v>
      </c>
      <c r="F978" s="1">
        <f t="shared" si="164"/>
        <v>-111.17326070817788</v>
      </c>
      <c r="G978" s="1">
        <f t="shared" si="161"/>
        <v>5.2247599203161045E-49</v>
      </c>
      <c r="H978" s="1">
        <f t="shared" si="154"/>
        <v>5.4127407005179519E-50</v>
      </c>
      <c r="I978">
        <f t="shared" si="155"/>
        <v>8</v>
      </c>
      <c r="J978">
        <f t="shared" si="156"/>
        <v>945</v>
      </c>
      <c r="K978" s="5">
        <f t="shared" si="157"/>
        <v>0</v>
      </c>
      <c r="L978">
        <f t="shared" si="158"/>
        <v>53.4</v>
      </c>
      <c r="M978">
        <f t="shared" si="159"/>
        <v>1</v>
      </c>
      <c r="N978">
        <f t="shared" si="160"/>
        <v>0</v>
      </c>
    </row>
    <row r="979" spans="4:14" x14ac:dyDescent="0.2">
      <c r="D979">
        <f t="shared" si="162"/>
        <v>956</v>
      </c>
      <c r="E979" s="1">
        <f t="shared" si="163"/>
        <v>-110.71318116012984</v>
      </c>
      <c r="F979" s="1">
        <f t="shared" si="164"/>
        <v>-111.28979452443383</v>
      </c>
      <c r="G979" s="1">
        <f t="shared" si="161"/>
        <v>4.6500363290813301E-49</v>
      </c>
      <c r="H979" s="1">
        <f t="shared" si="154"/>
        <v>4.8173392234609742E-50</v>
      </c>
      <c r="I979">
        <f t="shared" si="155"/>
        <v>8</v>
      </c>
      <c r="J979">
        <f t="shared" si="156"/>
        <v>946</v>
      </c>
      <c r="K979" s="5">
        <f t="shared" si="157"/>
        <v>0</v>
      </c>
      <c r="L979">
        <f t="shared" si="158"/>
        <v>53.4</v>
      </c>
      <c r="M979">
        <f t="shared" si="159"/>
        <v>1</v>
      </c>
      <c r="N979">
        <f t="shared" si="160"/>
        <v>0</v>
      </c>
    </row>
    <row r="980" spans="4:14" x14ac:dyDescent="0.2">
      <c r="D980">
        <f t="shared" si="162"/>
        <v>957</v>
      </c>
      <c r="E980" s="1">
        <f t="shared" si="163"/>
        <v>-110.82971497638579</v>
      </c>
      <c r="F980" s="1">
        <f t="shared" si="164"/>
        <v>-111.40632834068978</v>
      </c>
      <c r="G980" s="1">
        <f t="shared" si="161"/>
        <v>4.1385323328823807E-49</v>
      </c>
      <c r="H980" s="1">
        <f t="shared" si="154"/>
        <v>4.2874319088802644E-50</v>
      </c>
      <c r="I980">
        <f t="shared" si="155"/>
        <v>8</v>
      </c>
      <c r="J980">
        <f t="shared" si="156"/>
        <v>947</v>
      </c>
      <c r="K980" s="5">
        <f t="shared" si="157"/>
        <v>0</v>
      </c>
      <c r="L980">
        <f t="shared" si="158"/>
        <v>53.4</v>
      </c>
      <c r="M980">
        <f t="shared" si="159"/>
        <v>1</v>
      </c>
      <c r="N980">
        <f t="shared" si="160"/>
        <v>0</v>
      </c>
    </row>
    <row r="981" spans="4:14" x14ac:dyDescent="0.2">
      <c r="D981">
        <f t="shared" si="162"/>
        <v>958</v>
      </c>
      <c r="E981" s="1">
        <f t="shared" si="163"/>
        <v>-110.94624879264174</v>
      </c>
      <c r="F981" s="1">
        <f t="shared" si="164"/>
        <v>-111.52286215694573</v>
      </c>
      <c r="G981" s="1">
        <f t="shared" si="161"/>
        <v>3.683293776265317E-49</v>
      </c>
      <c r="H981" s="1">
        <f t="shared" si="154"/>
        <v>3.8158143989034329E-50</v>
      </c>
      <c r="I981">
        <f t="shared" si="155"/>
        <v>8</v>
      </c>
      <c r="J981">
        <f t="shared" si="156"/>
        <v>948</v>
      </c>
      <c r="K981" s="5">
        <f t="shared" si="157"/>
        <v>0</v>
      </c>
      <c r="L981">
        <f t="shared" si="158"/>
        <v>53.4</v>
      </c>
      <c r="M981">
        <f t="shared" si="159"/>
        <v>1</v>
      </c>
      <c r="N981">
        <f t="shared" si="160"/>
        <v>0</v>
      </c>
    </row>
    <row r="982" spans="4:14" x14ac:dyDescent="0.2">
      <c r="D982">
        <f t="shared" si="162"/>
        <v>959</v>
      </c>
      <c r="E982" s="1">
        <f t="shared" si="163"/>
        <v>-111.06278260889769</v>
      </c>
      <c r="F982" s="1">
        <f t="shared" si="164"/>
        <v>-111.63939597320169</v>
      </c>
      <c r="G982" s="1">
        <f t="shared" si="161"/>
        <v>3.2781314608761298E-49</v>
      </c>
      <c r="H982" s="1">
        <f t="shared" si="154"/>
        <v>3.3960748150240533E-50</v>
      </c>
      <c r="I982">
        <f t="shared" si="155"/>
        <v>8</v>
      </c>
      <c r="J982">
        <f t="shared" si="156"/>
        <v>949</v>
      </c>
      <c r="K982" s="5">
        <f t="shared" si="157"/>
        <v>0</v>
      </c>
      <c r="L982">
        <f t="shared" si="158"/>
        <v>53.4</v>
      </c>
      <c r="M982">
        <f t="shared" si="159"/>
        <v>1</v>
      </c>
      <c r="N982">
        <f t="shared" si="160"/>
        <v>0</v>
      </c>
    </row>
    <row r="983" spans="4:14" x14ac:dyDescent="0.2">
      <c r="D983">
        <f t="shared" si="162"/>
        <v>960</v>
      </c>
      <c r="E983" s="1">
        <f t="shared" si="163"/>
        <v>-111.17931642515364</v>
      </c>
      <c r="F983" s="1">
        <f t="shared" si="164"/>
        <v>-111.75592978945764</v>
      </c>
      <c r="G983" s="1">
        <f t="shared" si="161"/>
        <v>2.9175370001797537E-49</v>
      </c>
      <c r="H983" s="1">
        <f t="shared" ref="H983:H1046" si="165">G983/$G$21</f>
        <v>3.0225065853714055E-50</v>
      </c>
      <c r="I983">
        <f t="shared" ref="I983:I1046" si="166">IF($F$11&lt;=D983, IF(D983&lt;=$A$15,D983-$F$11,$C$11),0)</f>
        <v>8</v>
      </c>
      <c r="J983">
        <f t="shared" ref="J983:J1046" si="167">IF(D983&lt;=$A$15,0,D983-$A$15)</f>
        <v>950</v>
      </c>
      <c r="K983" s="5">
        <f t="shared" ref="K983:K1046" si="168">IF(D983&lt;$F$11,H983,0)</f>
        <v>0</v>
      </c>
      <c r="L983">
        <f t="shared" ref="L983:L1046" si="169">IF(D983&lt;$A$15,$D$11,$D$11*(1-$H$11))</f>
        <v>53.4</v>
      </c>
      <c r="M983">
        <f t="shared" ref="M983:M1046" si="170">IF(D983&lt;$A$15,0,1)</f>
        <v>1</v>
      </c>
      <c r="N983">
        <f t="shared" ref="N983:N1046" si="171">IF(SUM(I983:J983)&lt;=($G$11/60*$F$11/($E$11/60)),1,0)</f>
        <v>0</v>
      </c>
    </row>
    <row r="984" spans="4:14" x14ac:dyDescent="0.2">
      <c r="D984">
        <f t="shared" si="162"/>
        <v>961</v>
      </c>
      <c r="E984" s="1">
        <f t="shared" si="163"/>
        <v>-111.2958502414096</v>
      </c>
      <c r="F984" s="1">
        <f t="shared" si="164"/>
        <v>-111.87246360571359</v>
      </c>
      <c r="G984" s="1">
        <f t="shared" ref="G984:G1047" si="172">EXP(F984)</f>
        <v>2.596607930159979E-49</v>
      </c>
      <c r="H984" s="1">
        <f t="shared" si="165"/>
        <v>2.6900308609805491E-50</v>
      </c>
      <c r="I984">
        <f t="shared" si="166"/>
        <v>8</v>
      </c>
      <c r="J984">
        <f t="shared" si="167"/>
        <v>951</v>
      </c>
      <c r="K984" s="5">
        <f t="shared" si="168"/>
        <v>0</v>
      </c>
      <c r="L984">
        <f t="shared" si="169"/>
        <v>53.4</v>
      </c>
      <c r="M984">
        <f t="shared" si="170"/>
        <v>1</v>
      </c>
      <c r="N984">
        <f t="shared" si="171"/>
        <v>0</v>
      </c>
    </row>
    <row r="985" spans="4:14" x14ac:dyDescent="0.2">
      <c r="D985">
        <f t="shared" ref="D985:D1048" si="173">1+D984</f>
        <v>962</v>
      </c>
      <c r="E985" s="1">
        <f t="shared" ref="E985:E1048" si="174">IF($H$11=1,IF(D985&lt;=$A$15, E984+LN($D$11)-LN(60/$E$11)-LN(MIN(D985,$F$11)), E984-LN(60/$E$11)-LN(MIN(D985,$F$11))), IF(D985&lt;=$A$15, E984+LN($D$11)-LN(60/$E$11)-LN(MIN(D985,$F$11)), E984+LN($D$11)+LN(1-$H$11)-LN(60/$E$11)-LN(MIN(D985,$F$11))))</f>
        <v>-111.41238405766555</v>
      </c>
      <c r="F985" s="1">
        <f t="shared" ref="F985:F1048" si="175">E985-$E$21</f>
        <v>-111.98899742196954</v>
      </c>
      <c r="G985" s="1">
        <f t="shared" si="172"/>
        <v>2.3109810578423801E-49</v>
      </c>
      <c r="H985" s="1">
        <f t="shared" si="165"/>
        <v>2.3941274662726873E-50</v>
      </c>
      <c r="I985">
        <f t="shared" si="166"/>
        <v>8</v>
      </c>
      <c r="J985">
        <f t="shared" si="167"/>
        <v>952</v>
      </c>
      <c r="K985" s="5">
        <f t="shared" si="168"/>
        <v>0</v>
      </c>
      <c r="L985">
        <f t="shared" si="169"/>
        <v>53.4</v>
      </c>
      <c r="M985">
        <f t="shared" si="170"/>
        <v>1</v>
      </c>
      <c r="N985">
        <f t="shared" si="171"/>
        <v>0</v>
      </c>
    </row>
    <row r="986" spans="4:14" x14ac:dyDescent="0.2">
      <c r="D986">
        <f t="shared" si="173"/>
        <v>963</v>
      </c>
      <c r="E986" s="1">
        <f t="shared" si="174"/>
        <v>-111.5289178739215</v>
      </c>
      <c r="F986" s="1">
        <f t="shared" si="175"/>
        <v>-112.1055312382255</v>
      </c>
      <c r="G986" s="1">
        <f t="shared" si="172"/>
        <v>2.0567731414797171E-49</v>
      </c>
      <c r="H986" s="1">
        <f t="shared" si="165"/>
        <v>2.1307734449826903E-50</v>
      </c>
      <c r="I986">
        <f t="shared" si="166"/>
        <v>8</v>
      </c>
      <c r="J986">
        <f t="shared" si="167"/>
        <v>953</v>
      </c>
      <c r="K986" s="5">
        <f t="shared" si="168"/>
        <v>0</v>
      </c>
      <c r="L986">
        <f t="shared" si="169"/>
        <v>53.4</v>
      </c>
      <c r="M986">
        <f t="shared" si="170"/>
        <v>1</v>
      </c>
      <c r="N986">
        <f t="shared" si="171"/>
        <v>0</v>
      </c>
    </row>
    <row r="987" spans="4:14" x14ac:dyDescent="0.2">
      <c r="D987">
        <f t="shared" si="173"/>
        <v>964</v>
      </c>
      <c r="E987" s="1">
        <f t="shared" si="174"/>
        <v>-111.64545169017745</v>
      </c>
      <c r="F987" s="1">
        <f t="shared" si="175"/>
        <v>-112.22206505448145</v>
      </c>
      <c r="G987" s="1">
        <f t="shared" si="172"/>
        <v>1.8305280959169467E-49</v>
      </c>
      <c r="H987" s="1">
        <f t="shared" si="165"/>
        <v>1.896388366034593E-50</v>
      </c>
      <c r="I987">
        <f t="shared" si="166"/>
        <v>8</v>
      </c>
      <c r="J987">
        <f t="shared" si="167"/>
        <v>954</v>
      </c>
      <c r="K987" s="5">
        <f t="shared" si="168"/>
        <v>0</v>
      </c>
      <c r="L987">
        <f t="shared" si="169"/>
        <v>53.4</v>
      </c>
      <c r="M987">
        <f t="shared" si="170"/>
        <v>1</v>
      </c>
      <c r="N987">
        <f t="shared" si="171"/>
        <v>0</v>
      </c>
    </row>
    <row r="988" spans="4:14" x14ac:dyDescent="0.2">
      <c r="D988">
        <f t="shared" si="173"/>
        <v>965</v>
      </c>
      <c r="E988" s="1">
        <f t="shared" si="174"/>
        <v>-111.7619855064334</v>
      </c>
      <c r="F988" s="1">
        <f t="shared" si="175"/>
        <v>-112.3385988707374</v>
      </c>
      <c r="G988" s="1">
        <f t="shared" si="172"/>
        <v>1.6291700053660818E-49</v>
      </c>
      <c r="H988" s="1">
        <f t="shared" si="165"/>
        <v>1.6877856457707869E-50</v>
      </c>
      <c r="I988">
        <f t="shared" si="166"/>
        <v>8</v>
      </c>
      <c r="J988">
        <f t="shared" si="167"/>
        <v>955</v>
      </c>
      <c r="K988" s="5">
        <f t="shared" si="168"/>
        <v>0</v>
      </c>
      <c r="L988">
        <f t="shared" si="169"/>
        <v>53.4</v>
      </c>
      <c r="M988">
        <f t="shared" si="170"/>
        <v>1</v>
      </c>
      <c r="N988">
        <f t="shared" si="171"/>
        <v>0</v>
      </c>
    </row>
    <row r="989" spans="4:14" x14ac:dyDescent="0.2">
      <c r="D989">
        <f t="shared" si="173"/>
        <v>966</v>
      </c>
      <c r="E989" s="1">
        <f t="shared" si="174"/>
        <v>-111.87851932268936</v>
      </c>
      <c r="F989" s="1">
        <f t="shared" si="175"/>
        <v>-112.45513268699335</v>
      </c>
      <c r="G989" s="1">
        <f t="shared" si="172"/>
        <v>1.4499613047758119E-49</v>
      </c>
      <c r="H989" s="1">
        <f t="shared" si="165"/>
        <v>1.5021292247359993E-50</v>
      </c>
      <c r="I989">
        <f t="shared" si="166"/>
        <v>8</v>
      </c>
      <c r="J989">
        <f t="shared" si="167"/>
        <v>956</v>
      </c>
      <c r="K989" s="5">
        <f t="shared" si="168"/>
        <v>0</v>
      </c>
      <c r="L989">
        <f t="shared" si="169"/>
        <v>53.4</v>
      </c>
      <c r="M989">
        <f t="shared" si="170"/>
        <v>1</v>
      </c>
      <c r="N989">
        <f t="shared" si="171"/>
        <v>0</v>
      </c>
    </row>
    <row r="990" spans="4:14" x14ac:dyDescent="0.2">
      <c r="D990">
        <f t="shared" si="173"/>
        <v>967</v>
      </c>
      <c r="E990" s="1">
        <f t="shared" si="174"/>
        <v>-111.99505313894531</v>
      </c>
      <c r="F990" s="1">
        <f t="shared" si="175"/>
        <v>-112.5716665032493</v>
      </c>
      <c r="G990" s="1">
        <f t="shared" si="172"/>
        <v>1.2904655612504717E-49</v>
      </c>
      <c r="H990" s="1">
        <f t="shared" si="165"/>
        <v>1.3368950100150386E-50</v>
      </c>
      <c r="I990">
        <f t="shared" si="166"/>
        <v>8</v>
      </c>
      <c r="J990">
        <f t="shared" si="167"/>
        <v>957</v>
      </c>
      <c r="K990" s="5">
        <f t="shared" si="168"/>
        <v>0</v>
      </c>
      <c r="L990">
        <f t="shared" si="169"/>
        <v>53.4</v>
      </c>
      <c r="M990">
        <f t="shared" si="170"/>
        <v>1</v>
      </c>
      <c r="N990">
        <f t="shared" si="171"/>
        <v>0</v>
      </c>
    </row>
    <row r="991" spans="4:14" x14ac:dyDescent="0.2">
      <c r="D991">
        <f t="shared" si="173"/>
        <v>968</v>
      </c>
      <c r="E991" s="1">
        <f t="shared" si="174"/>
        <v>-112.11158695520126</v>
      </c>
      <c r="F991" s="1">
        <f t="shared" si="175"/>
        <v>-112.68820031950526</v>
      </c>
      <c r="G991" s="1">
        <f t="shared" si="172"/>
        <v>1.148514349512919E-49</v>
      </c>
      <c r="H991" s="1">
        <f t="shared" si="165"/>
        <v>1.1898365589133836E-50</v>
      </c>
      <c r="I991">
        <f t="shared" si="166"/>
        <v>8</v>
      </c>
      <c r="J991">
        <f t="shared" si="167"/>
        <v>958</v>
      </c>
      <c r="K991" s="5">
        <f t="shared" si="168"/>
        <v>0</v>
      </c>
      <c r="L991">
        <f t="shared" si="169"/>
        <v>53.4</v>
      </c>
      <c r="M991">
        <f t="shared" si="170"/>
        <v>1</v>
      </c>
      <c r="N991">
        <f t="shared" si="171"/>
        <v>0</v>
      </c>
    </row>
    <row r="992" spans="4:14" x14ac:dyDescent="0.2">
      <c r="D992">
        <f t="shared" si="173"/>
        <v>969</v>
      </c>
      <c r="E992" s="1">
        <f t="shared" si="174"/>
        <v>-112.22812077145721</v>
      </c>
      <c r="F992" s="1">
        <f t="shared" si="175"/>
        <v>-112.80473413576121</v>
      </c>
      <c r="G992" s="1">
        <f t="shared" si="172"/>
        <v>1.0221777710664973E-49</v>
      </c>
      <c r="H992" s="1">
        <f t="shared" si="165"/>
        <v>1.0589545374329107E-50</v>
      </c>
      <c r="I992">
        <f t="shared" si="166"/>
        <v>8</v>
      </c>
      <c r="J992">
        <f t="shared" si="167"/>
        <v>959</v>
      </c>
      <c r="K992" s="5">
        <f t="shared" si="168"/>
        <v>0</v>
      </c>
      <c r="L992">
        <f t="shared" si="169"/>
        <v>53.4</v>
      </c>
      <c r="M992">
        <f t="shared" si="170"/>
        <v>1</v>
      </c>
      <c r="N992">
        <f t="shared" si="171"/>
        <v>0</v>
      </c>
    </row>
    <row r="993" spans="4:14" x14ac:dyDescent="0.2">
      <c r="D993">
        <f t="shared" si="173"/>
        <v>970</v>
      </c>
      <c r="E993" s="1">
        <f t="shared" si="174"/>
        <v>-112.34465458771317</v>
      </c>
      <c r="F993" s="1">
        <f t="shared" si="175"/>
        <v>-112.92126795201716</v>
      </c>
      <c r="G993" s="1">
        <f t="shared" si="172"/>
        <v>9.0973821624918213E-50</v>
      </c>
      <c r="H993" s="1">
        <f t="shared" si="165"/>
        <v>9.4246953831528997E-51</v>
      </c>
      <c r="I993">
        <f t="shared" si="166"/>
        <v>8</v>
      </c>
      <c r="J993">
        <f t="shared" si="167"/>
        <v>960</v>
      </c>
      <c r="K993" s="5">
        <f t="shared" si="168"/>
        <v>0</v>
      </c>
      <c r="L993">
        <f t="shared" si="169"/>
        <v>53.4</v>
      </c>
      <c r="M993">
        <f t="shared" si="170"/>
        <v>1</v>
      </c>
      <c r="N993">
        <f t="shared" si="171"/>
        <v>0</v>
      </c>
    </row>
    <row r="994" spans="4:14" x14ac:dyDescent="0.2">
      <c r="D994">
        <f t="shared" si="173"/>
        <v>971</v>
      </c>
      <c r="E994" s="1">
        <f t="shared" si="174"/>
        <v>-112.46118840396912</v>
      </c>
      <c r="F994" s="1">
        <f t="shared" si="175"/>
        <v>-113.03780176827311</v>
      </c>
      <c r="G994" s="1">
        <f t="shared" si="172"/>
        <v>8.0966701246177153E-50</v>
      </c>
      <c r="H994" s="1">
        <f t="shared" si="165"/>
        <v>8.387978891006075E-51</v>
      </c>
      <c r="I994">
        <f t="shared" si="166"/>
        <v>8</v>
      </c>
      <c r="J994">
        <f t="shared" si="167"/>
        <v>961</v>
      </c>
      <c r="K994" s="5">
        <f t="shared" si="168"/>
        <v>0</v>
      </c>
      <c r="L994">
        <f t="shared" si="169"/>
        <v>53.4</v>
      </c>
      <c r="M994">
        <f t="shared" si="170"/>
        <v>1</v>
      </c>
      <c r="N994">
        <f t="shared" si="171"/>
        <v>0</v>
      </c>
    </row>
    <row r="995" spans="4:14" x14ac:dyDescent="0.2">
      <c r="D995">
        <f t="shared" si="173"/>
        <v>972</v>
      </c>
      <c r="E995" s="1">
        <f t="shared" si="174"/>
        <v>-112.57772222022507</v>
      </c>
      <c r="F995" s="1">
        <f t="shared" si="175"/>
        <v>-113.15433558452906</v>
      </c>
      <c r="G995" s="1">
        <f t="shared" si="172"/>
        <v>7.2060364109097624E-50</v>
      </c>
      <c r="H995" s="1">
        <f t="shared" si="165"/>
        <v>7.4653012129954029E-51</v>
      </c>
      <c r="I995">
        <f t="shared" si="166"/>
        <v>8</v>
      </c>
      <c r="J995">
        <f t="shared" si="167"/>
        <v>962</v>
      </c>
      <c r="K995" s="5">
        <f t="shared" si="168"/>
        <v>0</v>
      </c>
      <c r="L995">
        <f t="shared" si="169"/>
        <v>53.4</v>
      </c>
      <c r="M995">
        <f t="shared" si="170"/>
        <v>1</v>
      </c>
      <c r="N995">
        <f t="shared" si="171"/>
        <v>0</v>
      </c>
    </row>
    <row r="996" spans="4:14" x14ac:dyDescent="0.2">
      <c r="D996">
        <f t="shared" si="173"/>
        <v>973</v>
      </c>
      <c r="E996" s="1">
        <f t="shared" si="174"/>
        <v>-112.69425603648102</v>
      </c>
      <c r="F996" s="1">
        <f t="shared" si="175"/>
        <v>-113.27086940078502</v>
      </c>
      <c r="G996" s="1">
        <f t="shared" si="172"/>
        <v>6.4133724057096839E-50</v>
      </c>
      <c r="H996" s="1">
        <f t="shared" si="165"/>
        <v>6.6441180795659037E-51</v>
      </c>
      <c r="I996">
        <f t="shared" si="166"/>
        <v>8</v>
      </c>
      <c r="J996">
        <f t="shared" si="167"/>
        <v>963</v>
      </c>
      <c r="K996" s="5">
        <f t="shared" si="168"/>
        <v>0</v>
      </c>
      <c r="L996">
        <f t="shared" si="169"/>
        <v>53.4</v>
      </c>
      <c r="M996">
        <f t="shared" si="170"/>
        <v>1</v>
      </c>
      <c r="N996">
        <f t="shared" si="171"/>
        <v>0</v>
      </c>
    </row>
    <row r="997" spans="4:14" x14ac:dyDescent="0.2">
      <c r="D997">
        <f t="shared" si="173"/>
        <v>974</v>
      </c>
      <c r="E997" s="1">
        <f t="shared" si="174"/>
        <v>-112.81078985273697</v>
      </c>
      <c r="F997" s="1">
        <f t="shared" si="175"/>
        <v>-113.38740321704097</v>
      </c>
      <c r="G997" s="1">
        <f t="shared" si="172"/>
        <v>5.7079014410816157E-50</v>
      </c>
      <c r="H997" s="1">
        <f t="shared" si="165"/>
        <v>5.9132650908136509E-51</v>
      </c>
      <c r="I997">
        <f t="shared" si="166"/>
        <v>8</v>
      </c>
      <c r="J997">
        <f t="shared" si="167"/>
        <v>964</v>
      </c>
      <c r="K997" s="5">
        <f t="shared" si="168"/>
        <v>0</v>
      </c>
      <c r="L997">
        <f t="shared" si="169"/>
        <v>53.4</v>
      </c>
      <c r="M997">
        <f t="shared" si="170"/>
        <v>1</v>
      </c>
      <c r="N997">
        <f t="shared" si="171"/>
        <v>0</v>
      </c>
    </row>
    <row r="998" spans="4:14" x14ac:dyDescent="0.2">
      <c r="D998">
        <f t="shared" si="173"/>
        <v>975</v>
      </c>
      <c r="E998" s="1">
        <f t="shared" si="174"/>
        <v>-112.92732366899293</v>
      </c>
      <c r="F998" s="1">
        <f t="shared" si="175"/>
        <v>-113.50393703329692</v>
      </c>
      <c r="G998" s="1">
        <f t="shared" si="172"/>
        <v>5.0800322825626347E-50</v>
      </c>
      <c r="H998" s="1">
        <f t="shared" si="165"/>
        <v>5.262805930824146E-51</v>
      </c>
      <c r="I998">
        <f t="shared" si="166"/>
        <v>8</v>
      </c>
      <c r="J998">
        <f t="shared" si="167"/>
        <v>965</v>
      </c>
      <c r="K998" s="5">
        <f t="shared" si="168"/>
        <v>0</v>
      </c>
      <c r="L998">
        <f t="shared" si="169"/>
        <v>53.4</v>
      </c>
      <c r="M998">
        <f t="shared" si="170"/>
        <v>1</v>
      </c>
      <c r="N998">
        <f t="shared" si="171"/>
        <v>0</v>
      </c>
    </row>
    <row r="999" spans="4:14" x14ac:dyDescent="0.2">
      <c r="D999">
        <f t="shared" si="173"/>
        <v>976</v>
      </c>
      <c r="E999" s="1">
        <f t="shared" si="174"/>
        <v>-113.04385748524888</v>
      </c>
      <c r="F999" s="1">
        <f t="shared" si="175"/>
        <v>-113.62047084955287</v>
      </c>
      <c r="G999" s="1">
        <f t="shared" si="172"/>
        <v>4.5212287314807418E-50</v>
      </c>
      <c r="H999" s="1">
        <f t="shared" si="165"/>
        <v>4.6838972784334867E-51</v>
      </c>
      <c r="I999">
        <f t="shared" si="166"/>
        <v>8</v>
      </c>
      <c r="J999">
        <f t="shared" si="167"/>
        <v>966</v>
      </c>
      <c r="K999" s="5">
        <f t="shared" si="168"/>
        <v>0</v>
      </c>
      <c r="L999">
        <f t="shared" si="169"/>
        <v>53.4</v>
      </c>
      <c r="M999">
        <f t="shared" si="170"/>
        <v>1</v>
      </c>
      <c r="N999">
        <f t="shared" si="171"/>
        <v>0</v>
      </c>
    </row>
    <row r="1000" spans="4:14" x14ac:dyDescent="0.2">
      <c r="D1000">
        <f t="shared" si="173"/>
        <v>977</v>
      </c>
      <c r="E1000" s="1">
        <f t="shared" si="174"/>
        <v>-113.16039130150483</v>
      </c>
      <c r="F1000" s="1">
        <f t="shared" si="175"/>
        <v>-113.73700466580883</v>
      </c>
      <c r="G1000" s="1">
        <f t="shared" si="172"/>
        <v>4.0238935710178576E-50</v>
      </c>
      <c r="H1000" s="1">
        <f t="shared" si="165"/>
        <v>4.1686685778058005E-51</v>
      </c>
      <c r="I1000">
        <f t="shared" si="166"/>
        <v>8</v>
      </c>
      <c r="J1000">
        <f t="shared" si="167"/>
        <v>967</v>
      </c>
      <c r="K1000" s="5">
        <f t="shared" si="168"/>
        <v>0</v>
      </c>
      <c r="L1000">
        <f t="shared" si="169"/>
        <v>53.4</v>
      </c>
      <c r="M1000">
        <f t="shared" si="170"/>
        <v>1</v>
      </c>
      <c r="N1000">
        <f t="shared" si="171"/>
        <v>0</v>
      </c>
    </row>
    <row r="1001" spans="4:14" x14ac:dyDescent="0.2">
      <c r="D1001">
        <f t="shared" si="173"/>
        <v>978</v>
      </c>
      <c r="E1001" s="1">
        <f t="shared" si="174"/>
        <v>-113.27692511776078</v>
      </c>
      <c r="F1001" s="1">
        <f t="shared" si="175"/>
        <v>-113.85353848206478</v>
      </c>
      <c r="G1001" s="1">
        <f t="shared" si="172"/>
        <v>3.5812652782058911E-50</v>
      </c>
      <c r="H1001" s="1">
        <f t="shared" si="165"/>
        <v>3.7101150342471605E-51</v>
      </c>
      <c r="I1001">
        <f t="shared" si="166"/>
        <v>8</v>
      </c>
      <c r="J1001">
        <f t="shared" si="167"/>
        <v>968</v>
      </c>
      <c r="K1001" s="5">
        <f t="shared" si="168"/>
        <v>0</v>
      </c>
      <c r="L1001">
        <f t="shared" si="169"/>
        <v>53.4</v>
      </c>
      <c r="M1001">
        <f t="shared" si="170"/>
        <v>1</v>
      </c>
      <c r="N1001">
        <f t="shared" si="171"/>
        <v>0</v>
      </c>
    </row>
    <row r="1002" spans="4:14" x14ac:dyDescent="0.2">
      <c r="D1002">
        <f t="shared" si="173"/>
        <v>979</v>
      </c>
      <c r="E1002" s="1">
        <f t="shared" si="174"/>
        <v>-113.39345893401673</v>
      </c>
      <c r="F1002" s="1">
        <f t="shared" si="175"/>
        <v>-113.97007229832073</v>
      </c>
      <c r="G1002" s="1">
        <f t="shared" si="172"/>
        <v>3.1873260976032411E-50</v>
      </c>
      <c r="H1002" s="1">
        <f t="shared" si="165"/>
        <v>3.3020023804799707E-51</v>
      </c>
      <c r="I1002">
        <f t="shared" si="166"/>
        <v>8</v>
      </c>
      <c r="J1002">
        <f t="shared" si="167"/>
        <v>969</v>
      </c>
      <c r="K1002" s="5">
        <f t="shared" si="168"/>
        <v>0</v>
      </c>
      <c r="L1002">
        <f t="shared" si="169"/>
        <v>53.4</v>
      </c>
      <c r="M1002">
        <f t="shared" si="170"/>
        <v>1</v>
      </c>
      <c r="N1002">
        <f t="shared" si="171"/>
        <v>0</v>
      </c>
    </row>
    <row r="1003" spans="4:14" x14ac:dyDescent="0.2">
      <c r="D1003">
        <f t="shared" si="173"/>
        <v>980</v>
      </c>
      <c r="E1003" s="1">
        <f t="shared" si="174"/>
        <v>-113.50999275027269</v>
      </c>
      <c r="F1003" s="1">
        <f t="shared" si="175"/>
        <v>-114.08660611457668</v>
      </c>
      <c r="G1003" s="1">
        <f t="shared" si="172"/>
        <v>2.8367202268668826E-50</v>
      </c>
      <c r="H1003" s="1">
        <f t="shared" si="165"/>
        <v>2.9387821186271716E-51</v>
      </c>
      <c r="I1003">
        <f t="shared" si="166"/>
        <v>8</v>
      </c>
      <c r="J1003">
        <f t="shared" si="167"/>
        <v>970</v>
      </c>
      <c r="K1003" s="5">
        <f t="shared" si="168"/>
        <v>0</v>
      </c>
      <c r="L1003">
        <f t="shared" si="169"/>
        <v>53.4</v>
      </c>
      <c r="M1003">
        <f t="shared" si="170"/>
        <v>1</v>
      </c>
      <c r="N1003">
        <f t="shared" si="171"/>
        <v>0</v>
      </c>
    </row>
    <row r="1004" spans="4:14" x14ac:dyDescent="0.2">
      <c r="D1004">
        <f t="shared" si="173"/>
        <v>981</v>
      </c>
      <c r="E1004" s="1">
        <f t="shared" si="174"/>
        <v>-113.62652656652864</v>
      </c>
      <c r="F1004" s="1">
        <f t="shared" si="175"/>
        <v>-114.20313993083263</v>
      </c>
      <c r="G1004" s="1">
        <f t="shared" si="172"/>
        <v>2.524681001911524E-50</v>
      </c>
      <c r="H1004" s="1">
        <f t="shared" si="165"/>
        <v>2.6155160855781813E-51</v>
      </c>
      <c r="I1004">
        <f t="shared" si="166"/>
        <v>8</v>
      </c>
      <c r="J1004">
        <f t="shared" si="167"/>
        <v>971</v>
      </c>
      <c r="K1004" s="5">
        <f t="shared" si="168"/>
        <v>0</v>
      </c>
      <c r="L1004">
        <f t="shared" si="169"/>
        <v>53.4</v>
      </c>
      <c r="M1004">
        <f t="shared" si="170"/>
        <v>1</v>
      </c>
      <c r="N1004">
        <f t="shared" si="171"/>
        <v>0</v>
      </c>
    </row>
    <row r="1005" spans="4:14" x14ac:dyDescent="0.2">
      <c r="D1005">
        <f t="shared" si="173"/>
        <v>982</v>
      </c>
      <c r="E1005" s="1">
        <f t="shared" si="174"/>
        <v>-113.74306038278459</v>
      </c>
      <c r="F1005" s="1">
        <f t="shared" si="175"/>
        <v>-114.31967374708859</v>
      </c>
      <c r="G1005" s="1">
        <f t="shared" si="172"/>
        <v>2.2469660917012552E-50</v>
      </c>
      <c r="H1005" s="1">
        <f t="shared" si="165"/>
        <v>2.3278093161645801E-51</v>
      </c>
      <c r="I1005">
        <f t="shared" si="166"/>
        <v>8</v>
      </c>
      <c r="J1005">
        <f t="shared" si="167"/>
        <v>972</v>
      </c>
      <c r="K1005" s="5">
        <f t="shared" si="168"/>
        <v>0</v>
      </c>
      <c r="L1005">
        <f t="shared" si="169"/>
        <v>53.4</v>
      </c>
      <c r="M1005">
        <f t="shared" si="170"/>
        <v>1</v>
      </c>
      <c r="N1005">
        <f t="shared" si="171"/>
        <v>0</v>
      </c>
    </row>
    <row r="1006" spans="4:14" x14ac:dyDescent="0.2">
      <c r="D1006">
        <f t="shared" si="173"/>
        <v>983</v>
      </c>
      <c r="E1006" s="1">
        <f t="shared" si="174"/>
        <v>-113.85959419904054</v>
      </c>
      <c r="F1006" s="1">
        <f t="shared" si="175"/>
        <v>-114.43620756334454</v>
      </c>
      <c r="G1006" s="1">
        <f t="shared" si="172"/>
        <v>1.9997998216141156E-50</v>
      </c>
      <c r="H1006" s="1">
        <f t="shared" si="165"/>
        <v>2.0717502913864749E-51</v>
      </c>
      <c r="I1006">
        <f t="shared" si="166"/>
        <v>8</v>
      </c>
      <c r="J1006">
        <f t="shared" si="167"/>
        <v>973</v>
      </c>
      <c r="K1006" s="5">
        <f t="shared" si="168"/>
        <v>0</v>
      </c>
      <c r="L1006">
        <f t="shared" si="169"/>
        <v>53.4</v>
      </c>
      <c r="M1006">
        <f t="shared" si="170"/>
        <v>1</v>
      </c>
      <c r="N1006">
        <f t="shared" si="171"/>
        <v>0</v>
      </c>
    </row>
    <row r="1007" spans="4:14" x14ac:dyDescent="0.2">
      <c r="D1007">
        <f t="shared" si="173"/>
        <v>984</v>
      </c>
      <c r="E1007" s="1">
        <f t="shared" si="174"/>
        <v>-113.9761280152965</v>
      </c>
      <c r="F1007" s="1">
        <f t="shared" si="175"/>
        <v>-114.55274137960049</v>
      </c>
      <c r="G1007" s="1">
        <f t="shared" si="172"/>
        <v>1.7798218412365618E-50</v>
      </c>
      <c r="H1007" s="1">
        <f t="shared" si="165"/>
        <v>1.8438577593339614E-51</v>
      </c>
      <c r="I1007">
        <f t="shared" si="166"/>
        <v>8</v>
      </c>
      <c r="J1007">
        <f t="shared" si="167"/>
        <v>974</v>
      </c>
      <c r="K1007" s="5">
        <f t="shared" si="168"/>
        <v>0</v>
      </c>
      <c r="L1007">
        <f t="shared" si="169"/>
        <v>53.4</v>
      </c>
      <c r="M1007">
        <f t="shared" si="170"/>
        <v>1</v>
      </c>
      <c r="N1007">
        <f t="shared" si="171"/>
        <v>0</v>
      </c>
    </row>
    <row r="1008" spans="4:14" x14ac:dyDescent="0.2">
      <c r="D1008">
        <f t="shared" si="173"/>
        <v>985</v>
      </c>
      <c r="E1008" s="1">
        <f t="shared" si="174"/>
        <v>-114.09266183155245</v>
      </c>
      <c r="F1008" s="1">
        <f t="shared" si="175"/>
        <v>-114.66927519585644</v>
      </c>
      <c r="G1008" s="1">
        <f t="shared" si="172"/>
        <v>1.5840414387005391E-50</v>
      </c>
      <c r="H1008" s="1">
        <f t="shared" si="165"/>
        <v>1.6410334058072247E-51</v>
      </c>
      <c r="I1008">
        <f t="shared" si="166"/>
        <v>8</v>
      </c>
      <c r="J1008">
        <f t="shared" si="167"/>
        <v>975</v>
      </c>
      <c r="K1008" s="5">
        <f t="shared" si="168"/>
        <v>0</v>
      </c>
      <c r="L1008">
        <f t="shared" si="169"/>
        <v>53.4</v>
      </c>
      <c r="M1008">
        <f t="shared" si="170"/>
        <v>1</v>
      </c>
      <c r="N1008">
        <f t="shared" si="171"/>
        <v>0</v>
      </c>
    </row>
    <row r="1009" spans="4:14" x14ac:dyDescent="0.2">
      <c r="D1009">
        <f t="shared" si="173"/>
        <v>986</v>
      </c>
      <c r="E1009" s="1">
        <f t="shared" si="174"/>
        <v>-114.2091956478084</v>
      </c>
      <c r="F1009" s="1">
        <f t="shared" si="175"/>
        <v>-114.7858090121124</v>
      </c>
      <c r="G1009" s="1">
        <f t="shared" si="172"/>
        <v>1.4097968804434787E-50</v>
      </c>
      <c r="H1009" s="1">
        <f t="shared" si="165"/>
        <v>1.4605197311684289E-51</v>
      </c>
      <c r="I1009">
        <f t="shared" si="166"/>
        <v>8</v>
      </c>
      <c r="J1009">
        <f t="shared" si="167"/>
        <v>976</v>
      </c>
      <c r="K1009" s="5">
        <f t="shared" si="168"/>
        <v>0</v>
      </c>
      <c r="L1009">
        <f t="shared" si="169"/>
        <v>53.4</v>
      </c>
      <c r="M1009">
        <f t="shared" si="170"/>
        <v>1</v>
      </c>
      <c r="N1009">
        <f t="shared" si="171"/>
        <v>0</v>
      </c>
    </row>
    <row r="1010" spans="4:14" x14ac:dyDescent="0.2">
      <c r="D1010">
        <f t="shared" si="173"/>
        <v>987</v>
      </c>
      <c r="E1010" s="1">
        <f t="shared" si="174"/>
        <v>-114.32572946406435</v>
      </c>
      <c r="F1010" s="1">
        <f t="shared" si="175"/>
        <v>-114.90234282836835</v>
      </c>
      <c r="G1010" s="1">
        <f t="shared" si="172"/>
        <v>1.2547192235946953E-50</v>
      </c>
      <c r="H1010" s="1">
        <f t="shared" si="165"/>
        <v>1.2998625607399009E-51</v>
      </c>
      <c r="I1010">
        <f t="shared" si="166"/>
        <v>8</v>
      </c>
      <c r="J1010">
        <f t="shared" si="167"/>
        <v>977</v>
      </c>
      <c r="K1010" s="5">
        <f t="shared" si="168"/>
        <v>0</v>
      </c>
      <c r="L1010">
        <f t="shared" si="169"/>
        <v>53.4</v>
      </c>
      <c r="M1010">
        <f t="shared" si="170"/>
        <v>1</v>
      </c>
      <c r="N1010">
        <f t="shared" si="171"/>
        <v>0</v>
      </c>
    </row>
    <row r="1011" spans="4:14" x14ac:dyDescent="0.2">
      <c r="D1011">
        <f t="shared" si="173"/>
        <v>988</v>
      </c>
      <c r="E1011" s="1">
        <f t="shared" si="174"/>
        <v>-114.4422632803203</v>
      </c>
      <c r="F1011" s="1">
        <f t="shared" si="175"/>
        <v>-115.0188766446243</v>
      </c>
      <c r="G1011" s="1">
        <f t="shared" si="172"/>
        <v>1.1167001089992781E-50</v>
      </c>
      <c r="H1011" s="1">
        <f t="shared" si="165"/>
        <v>1.156877679058511E-51</v>
      </c>
      <c r="I1011">
        <f t="shared" si="166"/>
        <v>8</v>
      </c>
      <c r="J1011">
        <f t="shared" si="167"/>
        <v>978</v>
      </c>
      <c r="K1011" s="5">
        <f t="shared" si="168"/>
        <v>0</v>
      </c>
      <c r="L1011">
        <f t="shared" si="169"/>
        <v>53.4</v>
      </c>
      <c r="M1011">
        <f t="shared" si="170"/>
        <v>1</v>
      </c>
      <c r="N1011">
        <f t="shared" si="171"/>
        <v>0</v>
      </c>
    </row>
    <row r="1012" spans="4:14" x14ac:dyDescent="0.2">
      <c r="D1012">
        <f t="shared" si="173"/>
        <v>989</v>
      </c>
      <c r="E1012" s="1">
        <f t="shared" si="174"/>
        <v>-114.55879709657626</v>
      </c>
      <c r="F1012" s="1">
        <f t="shared" si="175"/>
        <v>-115.13541046088025</v>
      </c>
      <c r="G1012" s="1">
        <f t="shared" si="172"/>
        <v>9.93863097009357E-51</v>
      </c>
      <c r="H1012" s="1">
        <f t="shared" si="165"/>
        <v>1.0296211343620744E-51</v>
      </c>
      <c r="I1012">
        <f t="shared" si="166"/>
        <v>8</v>
      </c>
      <c r="J1012">
        <f t="shared" si="167"/>
        <v>979</v>
      </c>
      <c r="K1012" s="5">
        <f t="shared" si="168"/>
        <v>0</v>
      </c>
      <c r="L1012">
        <f t="shared" si="169"/>
        <v>53.4</v>
      </c>
      <c r="M1012">
        <f t="shared" si="170"/>
        <v>1</v>
      </c>
      <c r="N1012">
        <f t="shared" si="171"/>
        <v>0</v>
      </c>
    </row>
    <row r="1013" spans="4:14" x14ac:dyDescent="0.2">
      <c r="D1013">
        <f t="shared" si="173"/>
        <v>990</v>
      </c>
      <c r="E1013" s="1">
        <f t="shared" si="174"/>
        <v>-114.67533091283221</v>
      </c>
      <c r="F1013" s="1">
        <f t="shared" si="175"/>
        <v>-115.2519442771362</v>
      </c>
      <c r="G1013" s="1">
        <f t="shared" si="172"/>
        <v>8.8453815633832708E-51</v>
      </c>
      <c r="H1013" s="1">
        <f t="shared" si="165"/>
        <v>9.163628095822455E-52</v>
      </c>
      <c r="I1013">
        <f t="shared" si="166"/>
        <v>8</v>
      </c>
      <c r="J1013">
        <f t="shared" si="167"/>
        <v>980</v>
      </c>
      <c r="K1013" s="5">
        <f t="shared" si="168"/>
        <v>0</v>
      </c>
      <c r="L1013">
        <f t="shared" si="169"/>
        <v>53.4</v>
      </c>
      <c r="M1013">
        <f t="shared" si="170"/>
        <v>1</v>
      </c>
      <c r="N1013">
        <f t="shared" si="171"/>
        <v>0</v>
      </c>
    </row>
    <row r="1014" spans="4:14" x14ac:dyDescent="0.2">
      <c r="D1014">
        <f t="shared" si="173"/>
        <v>991</v>
      </c>
      <c r="E1014" s="1">
        <f t="shared" si="174"/>
        <v>-114.79186472908816</v>
      </c>
      <c r="F1014" s="1">
        <f t="shared" si="175"/>
        <v>-115.36847809339216</v>
      </c>
      <c r="G1014" s="1">
        <f t="shared" si="172"/>
        <v>7.8723895914111059E-51</v>
      </c>
      <c r="H1014" s="1">
        <f t="shared" si="165"/>
        <v>8.1556290052819798E-52</v>
      </c>
      <c r="I1014">
        <f t="shared" si="166"/>
        <v>8</v>
      </c>
      <c r="J1014">
        <f t="shared" si="167"/>
        <v>981</v>
      </c>
      <c r="K1014" s="5">
        <f t="shared" si="168"/>
        <v>0</v>
      </c>
      <c r="L1014">
        <f t="shared" si="169"/>
        <v>53.4</v>
      </c>
      <c r="M1014">
        <f t="shared" si="170"/>
        <v>1</v>
      </c>
      <c r="N1014">
        <f t="shared" si="171"/>
        <v>0</v>
      </c>
    </row>
    <row r="1015" spans="4:14" x14ac:dyDescent="0.2">
      <c r="D1015">
        <f t="shared" si="173"/>
        <v>992</v>
      </c>
      <c r="E1015" s="1">
        <f t="shared" si="174"/>
        <v>-114.90839854534411</v>
      </c>
      <c r="F1015" s="1">
        <f t="shared" si="175"/>
        <v>-115.48501190964811</v>
      </c>
      <c r="G1015" s="1">
        <f t="shared" si="172"/>
        <v>7.0064267363558808E-51</v>
      </c>
      <c r="H1015" s="1">
        <f t="shared" si="165"/>
        <v>7.2585098147009587E-52</v>
      </c>
      <c r="I1015">
        <f t="shared" si="166"/>
        <v>8</v>
      </c>
      <c r="J1015">
        <f t="shared" si="167"/>
        <v>982</v>
      </c>
      <c r="K1015" s="5">
        <f t="shared" si="168"/>
        <v>0</v>
      </c>
      <c r="L1015">
        <f t="shared" si="169"/>
        <v>53.4</v>
      </c>
      <c r="M1015">
        <f t="shared" si="170"/>
        <v>1</v>
      </c>
      <c r="N1015">
        <f t="shared" si="171"/>
        <v>0</v>
      </c>
    </row>
    <row r="1016" spans="4:14" x14ac:dyDescent="0.2">
      <c r="D1016">
        <f t="shared" si="173"/>
        <v>993</v>
      </c>
      <c r="E1016" s="1">
        <f t="shared" si="174"/>
        <v>-115.02493236160007</v>
      </c>
      <c r="F1016" s="1">
        <f t="shared" si="175"/>
        <v>-115.60154572590406</v>
      </c>
      <c r="G1016" s="1">
        <f t="shared" si="172"/>
        <v>6.2357197953567295E-51</v>
      </c>
      <c r="H1016" s="1">
        <f t="shared" si="165"/>
        <v>6.4600737350838483E-52</v>
      </c>
      <c r="I1016">
        <f t="shared" si="166"/>
        <v>8</v>
      </c>
      <c r="J1016">
        <f t="shared" si="167"/>
        <v>983</v>
      </c>
      <c r="K1016" s="5">
        <f t="shared" si="168"/>
        <v>0</v>
      </c>
      <c r="L1016">
        <f t="shared" si="169"/>
        <v>53.4</v>
      </c>
      <c r="M1016">
        <f t="shared" si="170"/>
        <v>1</v>
      </c>
      <c r="N1016">
        <f t="shared" si="171"/>
        <v>0</v>
      </c>
    </row>
    <row r="1017" spans="4:14" x14ac:dyDescent="0.2">
      <c r="D1017">
        <f t="shared" si="173"/>
        <v>994</v>
      </c>
      <c r="E1017" s="1">
        <f t="shared" si="174"/>
        <v>-115.14146617785602</v>
      </c>
      <c r="F1017" s="1">
        <f t="shared" si="175"/>
        <v>-115.71807954216001</v>
      </c>
      <c r="G1017" s="1">
        <f t="shared" si="172"/>
        <v>5.5497906178674859E-51</v>
      </c>
      <c r="H1017" s="1">
        <f t="shared" si="165"/>
        <v>5.7494656242246216E-52</v>
      </c>
      <c r="I1017">
        <f t="shared" si="166"/>
        <v>8</v>
      </c>
      <c r="J1017">
        <f t="shared" si="167"/>
        <v>984</v>
      </c>
      <c r="K1017" s="5">
        <f t="shared" si="168"/>
        <v>0</v>
      </c>
      <c r="L1017">
        <f t="shared" si="169"/>
        <v>53.4</v>
      </c>
      <c r="M1017">
        <f t="shared" si="170"/>
        <v>1</v>
      </c>
      <c r="N1017">
        <f t="shared" si="171"/>
        <v>0</v>
      </c>
    </row>
    <row r="1018" spans="4:14" x14ac:dyDescent="0.2">
      <c r="D1018">
        <f t="shared" si="173"/>
        <v>995</v>
      </c>
      <c r="E1018" s="1">
        <f t="shared" si="174"/>
        <v>-115.25799999411197</v>
      </c>
      <c r="F1018" s="1">
        <f t="shared" si="175"/>
        <v>-115.83461335841596</v>
      </c>
      <c r="G1018" s="1">
        <f t="shared" si="172"/>
        <v>4.9393136499020594E-51</v>
      </c>
      <c r="H1018" s="1">
        <f t="shared" si="165"/>
        <v>5.11702440555991E-52</v>
      </c>
      <c r="I1018">
        <f t="shared" si="166"/>
        <v>8</v>
      </c>
      <c r="J1018">
        <f t="shared" si="167"/>
        <v>985</v>
      </c>
      <c r="K1018" s="5">
        <f t="shared" si="168"/>
        <v>0</v>
      </c>
      <c r="L1018">
        <f t="shared" si="169"/>
        <v>53.4</v>
      </c>
      <c r="M1018">
        <f t="shared" si="170"/>
        <v>1</v>
      </c>
      <c r="N1018">
        <f t="shared" si="171"/>
        <v>0</v>
      </c>
    </row>
    <row r="1019" spans="4:14" x14ac:dyDescent="0.2">
      <c r="D1019">
        <f t="shared" si="173"/>
        <v>996</v>
      </c>
      <c r="E1019" s="1">
        <f t="shared" si="174"/>
        <v>-115.37453381036792</v>
      </c>
      <c r="F1019" s="1">
        <f t="shared" si="175"/>
        <v>-115.95114717467192</v>
      </c>
      <c r="G1019" s="1">
        <f t="shared" si="172"/>
        <v>4.3959891484128297E-51</v>
      </c>
      <c r="H1019" s="1">
        <f t="shared" si="165"/>
        <v>4.5541517209483166E-52</v>
      </c>
      <c r="I1019">
        <f t="shared" si="166"/>
        <v>8</v>
      </c>
      <c r="J1019">
        <f t="shared" si="167"/>
        <v>986</v>
      </c>
      <c r="K1019" s="5">
        <f t="shared" si="168"/>
        <v>0</v>
      </c>
      <c r="L1019">
        <f t="shared" si="169"/>
        <v>53.4</v>
      </c>
      <c r="M1019">
        <f t="shared" si="170"/>
        <v>1</v>
      </c>
      <c r="N1019">
        <f t="shared" si="171"/>
        <v>0</v>
      </c>
    </row>
    <row r="1020" spans="4:14" x14ac:dyDescent="0.2">
      <c r="D1020">
        <f t="shared" si="173"/>
        <v>997</v>
      </c>
      <c r="E1020" s="1">
        <f t="shared" si="174"/>
        <v>-115.49106762662387</v>
      </c>
      <c r="F1020" s="1">
        <f t="shared" si="175"/>
        <v>-116.06768099092787</v>
      </c>
      <c r="G1020" s="1">
        <f t="shared" si="172"/>
        <v>3.9124303420874161E-51</v>
      </c>
      <c r="H1020" s="1">
        <f t="shared" si="165"/>
        <v>4.0531950316439996E-52</v>
      </c>
      <c r="I1020">
        <f t="shared" si="166"/>
        <v>8</v>
      </c>
      <c r="J1020">
        <f t="shared" si="167"/>
        <v>987</v>
      </c>
      <c r="K1020" s="5">
        <f t="shared" si="168"/>
        <v>0</v>
      </c>
      <c r="L1020">
        <f t="shared" si="169"/>
        <v>53.4</v>
      </c>
      <c r="M1020">
        <f t="shared" si="170"/>
        <v>1</v>
      </c>
      <c r="N1020">
        <f t="shared" si="171"/>
        <v>0</v>
      </c>
    </row>
    <row r="1021" spans="4:14" x14ac:dyDescent="0.2">
      <c r="D1021">
        <f t="shared" si="173"/>
        <v>998</v>
      </c>
      <c r="E1021" s="1">
        <f t="shared" si="174"/>
        <v>-115.60760144287983</v>
      </c>
      <c r="F1021" s="1">
        <f t="shared" si="175"/>
        <v>-116.18421480718382</v>
      </c>
      <c r="G1021" s="1">
        <f t="shared" si="172"/>
        <v>3.4820630044577982E-51</v>
      </c>
      <c r="H1021" s="1">
        <f t="shared" si="165"/>
        <v>3.6073435781631574E-52</v>
      </c>
      <c r="I1021">
        <f t="shared" si="166"/>
        <v>8</v>
      </c>
      <c r="J1021">
        <f t="shared" si="167"/>
        <v>988</v>
      </c>
      <c r="K1021" s="5">
        <f t="shared" si="168"/>
        <v>0</v>
      </c>
      <c r="L1021">
        <f t="shared" si="169"/>
        <v>53.4</v>
      </c>
      <c r="M1021">
        <f t="shared" si="170"/>
        <v>1</v>
      </c>
      <c r="N1021">
        <f t="shared" si="171"/>
        <v>0</v>
      </c>
    </row>
    <row r="1022" spans="4:14" x14ac:dyDescent="0.2">
      <c r="D1022">
        <f t="shared" si="173"/>
        <v>999</v>
      </c>
      <c r="E1022" s="1">
        <f t="shared" si="174"/>
        <v>-115.72413525913578</v>
      </c>
      <c r="F1022" s="1">
        <f t="shared" si="175"/>
        <v>-116.30074862343977</v>
      </c>
      <c r="G1022" s="1">
        <f t="shared" si="172"/>
        <v>3.0990360739674385E-51</v>
      </c>
      <c r="H1022" s="1">
        <f t="shared" si="165"/>
        <v>3.2105357845652079E-52</v>
      </c>
      <c r="I1022">
        <f t="shared" si="166"/>
        <v>8</v>
      </c>
      <c r="J1022">
        <f t="shared" si="167"/>
        <v>989</v>
      </c>
      <c r="K1022" s="5">
        <f t="shared" si="168"/>
        <v>0</v>
      </c>
      <c r="L1022">
        <f t="shared" si="169"/>
        <v>53.4</v>
      </c>
      <c r="M1022">
        <f t="shared" si="170"/>
        <v>1</v>
      </c>
      <c r="N1022">
        <f t="shared" si="171"/>
        <v>0</v>
      </c>
    </row>
    <row r="1023" spans="4:14" x14ac:dyDescent="0.2">
      <c r="D1023">
        <f t="shared" si="173"/>
        <v>1000</v>
      </c>
      <c r="E1023" s="1">
        <f t="shared" si="174"/>
        <v>-115.84066907539173</v>
      </c>
      <c r="F1023" s="1">
        <f t="shared" si="175"/>
        <v>-116.41728243969573</v>
      </c>
      <c r="G1023" s="1">
        <f t="shared" si="172"/>
        <v>2.7581421058310186E-51</v>
      </c>
      <c r="H1023" s="1">
        <f t="shared" si="165"/>
        <v>2.8573768482630332E-52</v>
      </c>
      <c r="I1023">
        <f t="shared" si="166"/>
        <v>8</v>
      </c>
      <c r="J1023">
        <f t="shared" si="167"/>
        <v>990</v>
      </c>
      <c r="K1023" s="5">
        <f t="shared" si="168"/>
        <v>0</v>
      </c>
      <c r="L1023">
        <f t="shared" si="169"/>
        <v>53.4</v>
      </c>
      <c r="M1023">
        <f t="shared" si="170"/>
        <v>1</v>
      </c>
      <c r="N1023">
        <f t="shared" si="171"/>
        <v>0</v>
      </c>
    </row>
    <row r="1024" spans="4:14" x14ac:dyDescent="0.2">
      <c r="D1024">
        <f t="shared" si="173"/>
        <v>1001</v>
      </c>
      <c r="E1024" s="1">
        <f t="shared" si="174"/>
        <v>-115.95720289164768</v>
      </c>
      <c r="F1024" s="1">
        <f t="shared" si="175"/>
        <v>-116.53381625595168</v>
      </c>
      <c r="G1024" s="1">
        <f t="shared" si="172"/>
        <v>2.4547464741896049E-51</v>
      </c>
      <c r="H1024" s="1">
        <f t="shared" si="165"/>
        <v>2.543065394954098E-52</v>
      </c>
      <c r="I1024">
        <f t="shared" si="166"/>
        <v>8</v>
      </c>
      <c r="J1024">
        <f t="shared" si="167"/>
        <v>991</v>
      </c>
      <c r="K1024" s="5">
        <f t="shared" si="168"/>
        <v>0</v>
      </c>
      <c r="L1024">
        <f t="shared" si="169"/>
        <v>53.4</v>
      </c>
      <c r="M1024">
        <f t="shared" si="170"/>
        <v>1</v>
      </c>
      <c r="N1024">
        <f t="shared" si="171"/>
        <v>0</v>
      </c>
    </row>
    <row r="1025" spans="4:14" x14ac:dyDescent="0.2">
      <c r="D1025">
        <f t="shared" si="173"/>
        <v>1002</v>
      </c>
      <c r="E1025" s="1">
        <f t="shared" si="174"/>
        <v>-116.07373670790363</v>
      </c>
      <c r="F1025" s="1">
        <f t="shared" si="175"/>
        <v>-116.65035007220763</v>
      </c>
      <c r="G1025" s="1">
        <f t="shared" si="172"/>
        <v>2.1847243620287471E-51</v>
      </c>
      <c r="H1025" s="1">
        <f t="shared" si="165"/>
        <v>2.2633282015091459E-52</v>
      </c>
      <c r="I1025">
        <f t="shared" si="166"/>
        <v>8</v>
      </c>
      <c r="J1025">
        <f t="shared" si="167"/>
        <v>992</v>
      </c>
      <c r="K1025" s="5">
        <f t="shared" si="168"/>
        <v>0</v>
      </c>
      <c r="L1025">
        <f t="shared" si="169"/>
        <v>53.4</v>
      </c>
      <c r="M1025">
        <f t="shared" si="170"/>
        <v>1</v>
      </c>
      <c r="N1025">
        <f t="shared" si="171"/>
        <v>0</v>
      </c>
    </row>
    <row r="1026" spans="4:14" x14ac:dyDescent="0.2">
      <c r="D1026">
        <f t="shared" si="173"/>
        <v>1003</v>
      </c>
      <c r="E1026" s="1">
        <f t="shared" si="174"/>
        <v>-116.19027052415959</v>
      </c>
      <c r="F1026" s="1">
        <f t="shared" si="175"/>
        <v>-116.76688388846358</v>
      </c>
      <c r="G1026" s="1">
        <f t="shared" si="172"/>
        <v>1.9444046822055835E-51</v>
      </c>
      <c r="H1026" s="1">
        <f t="shared" si="165"/>
        <v>2.0143620993431384E-52</v>
      </c>
      <c r="I1026">
        <f t="shared" si="166"/>
        <v>8</v>
      </c>
      <c r="J1026">
        <f t="shared" si="167"/>
        <v>993</v>
      </c>
      <c r="K1026" s="5">
        <f t="shared" si="168"/>
        <v>0</v>
      </c>
      <c r="L1026">
        <f t="shared" si="169"/>
        <v>53.4</v>
      </c>
      <c r="M1026">
        <f t="shared" si="170"/>
        <v>1</v>
      </c>
      <c r="N1026">
        <f t="shared" si="171"/>
        <v>0</v>
      </c>
    </row>
    <row r="1027" spans="4:14" x14ac:dyDescent="0.2">
      <c r="D1027">
        <f t="shared" si="173"/>
        <v>1004</v>
      </c>
      <c r="E1027" s="1">
        <f t="shared" si="174"/>
        <v>-116.30680434041554</v>
      </c>
      <c r="F1027" s="1">
        <f t="shared" si="175"/>
        <v>-116.88341770471953</v>
      </c>
      <c r="G1027" s="1">
        <f t="shared" si="172"/>
        <v>1.7305201671629682E-51</v>
      </c>
      <c r="H1027" s="1">
        <f t="shared" si="165"/>
        <v>1.792782268415392E-52</v>
      </c>
      <c r="I1027">
        <f t="shared" si="166"/>
        <v>8</v>
      </c>
      <c r="J1027">
        <f t="shared" si="167"/>
        <v>994</v>
      </c>
      <c r="K1027" s="5">
        <f t="shared" si="168"/>
        <v>0</v>
      </c>
      <c r="L1027">
        <f t="shared" si="169"/>
        <v>53.4</v>
      </c>
      <c r="M1027">
        <f t="shared" si="170"/>
        <v>1</v>
      </c>
      <c r="N1027">
        <f t="shared" si="171"/>
        <v>0</v>
      </c>
    </row>
    <row r="1028" spans="4:14" x14ac:dyDescent="0.2">
      <c r="D1028">
        <f t="shared" si="173"/>
        <v>1005</v>
      </c>
      <c r="E1028" s="1">
        <f t="shared" si="174"/>
        <v>-116.42333815667149</v>
      </c>
      <c r="F1028" s="1">
        <f t="shared" si="175"/>
        <v>-116.99995152097549</v>
      </c>
      <c r="G1028" s="1">
        <f t="shared" si="172"/>
        <v>1.5401629487750407E-51</v>
      </c>
      <c r="H1028" s="1">
        <f t="shared" si="165"/>
        <v>1.5955762188896979E-52</v>
      </c>
      <c r="I1028">
        <f t="shared" si="166"/>
        <v>8</v>
      </c>
      <c r="J1028">
        <f t="shared" si="167"/>
        <v>995</v>
      </c>
      <c r="K1028" s="5">
        <f t="shared" si="168"/>
        <v>0</v>
      </c>
      <c r="L1028">
        <f t="shared" si="169"/>
        <v>53.4</v>
      </c>
      <c r="M1028">
        <f t="shared" si="170"/>
        <v>1</v>
      </c>
      <c r="N1028">
        <f t="shared" si="171"/>
        <v>0</v>
      </c>
    </row>
    <row r="1029" spans="4:14" x14ac:dyDescent="0.2">
      <c r="D1029">
        <f t="shared" si="173"/>
        <v>1006</v>
      </c>
      <c r="E1029" s="1">
        <f t="shared" si="174"/>
        <v>-116.53987197292744</v>
      </c>
      <c r="F1029" s="1">
        <f t="shared" si="175"/>
        <v>-117.11648533723144</v>
      </c>
      <c r="G1029" s="1">
        <f t="shared" si="172"/>
        <v>1.3707450244097855E-51</v>
      </c>
      <c r="H1029" s="1">
        <f t="shared" si="165"/>
        <v>1.4200628348118303E-52</v>
      </c>
      <c r="I1029">
        <f t="shared" si="166"/>
        <v>8</v>
      </c>
      <c r="J1029">
        <f t="shared" si="167"/>
        <v>996</v>
      </c>
      <c r="K1029" s="5">
        <f t="shared" si="168"/>
        <v>0</v>
      </c>
      <c r="L1029">
        <f t="shared" si="169"/>
        <v>53.4</v>
      </c>
      <c r="M1029">
        <f t="shared" si="170"/>
        <v>1</v>
      </c>
      <c r="N1029">
        <f t="shared" si="171"/>
        <v>0</v>
      </c>
    </row>
    <row r="1030" spans="4:14" x14ac:dyDescent="0.2">
      <c r="D1030">
        <f t="shared" si="173"/>
        <v>1007</v>
      </c>
      <c r="E1030" s="1">
        <f t="shared" si="174"/>
        <v>-116.6564057891834</v>
      </c>
      <c r="F1030" s="1">
        <f t="shared" si="175"/>
        <v>-117.23301915348739</v>
      </c>
      <c r="G1030" s="1">
        <f t="shared" si="172"/>
        <v>1.2199630717247084E-51</v>
      </c>
      <c r="H1030" s="1">
        <f t="shared" si="165"/>
        <v>1.2638559229825281E-52</v>
      </c>
      <c r="I1030">
        <f t="shared" si="166"/>
        <v>8</v>
      </c>
      <c r="J1030">
        <f t="shared" si="167"/>
        <v>997</v>
      </c>
      <c r="K1030" s="5">
        <f t="shared" si="168"/>
        <v>0</v>
      </c>
      <c r="L1030">
        <f t="shared" si="169"/>
        <v>53.4</v>
      </c>
      <c r="M1030">
        <f t="shared" si="170"/>
        <v>1</v>
      </c>
      <c r="N1030">
        <f t="shared" si="171"/>
        <v>0</v>
      </c>
    </row>
    <row r="1031" spans="4:14" x14ac:dyDescent="0.2">
      <c r="D1031">
        <f t="shared" si="173"/>
        <v>1008</v>
      </c>
      <c r="E1031" s="1">
        <f t="shared" si="174"/>
        <v>-116.77293960543935</v>
      </c>
      <c r="F1031" s="1">
        <f t="shared" si="175"/>
        <v>-117.34955296974334</v>
      </c>
      <c r="G1031" s="1">
        <f t="shared" si="172"/>
        <v>1.0857671338349897E-51</v>
      </c>
      <c r="H1031" s="1">
        <f t="shared" si="165"/>
        <v>1.1248317714544493E-52</v>
      </c>
      <c r="I1031">
        <f t="shared" si="166"/>
        <v>8</v>
      </c>
      <c r="J1031">
        <f t="shared" si="167"/>
        <v>998</v>
      </c>
      <c r="K1031" s="5">
        <f t="shared" si="168"/>
        <v>0</v>
      </c>
      <c r="L1031">
        <f t="shared" si="169"/>
        <v>53.4</v>
      </c>
      <c r="M1031">
        <f t="shared" si="170"/>
        <v>1</v>
      </c>
      <c r="N1031">
        <f t="shared" si="171"/>
        <v>0</v>
      </c>
    </row>
    <row r="1032" spans="4:14" x14ac:dyDescent="0.2">
      <c r="D1032">
        <f t="shared" si="173"/>
        <v>1009</v>
      </c>
      <c r="E1032" s="1">
        <f t="shared" si="174"/>
        <v>-116.8894734216953</v>
      </c>
      <c r="F1032" s="1">
        <f t="shared" si="175"/>
        <v>-117.46608678599929</v>
      </c>
      <c r="G1032" s="1">
        <f t="shared" si="172"/>
        <v>9.6633274911314022E-52</v>
      </c>
      <c r="H1032" s="1">
        <f t="shared" si="165"/>
        <v>1.0011002765944592E-52</v>
      </c>
      <c r="I1032">
        <f t="shared" si="166"/>
        <v>8</v>
      </c>
      <c r="J1032">
        <f t="shared" si="167"/>
        <v>999</v>
      </c>
      <c r="K1032" s="5">
        <f t="shared" si="168"/>
        <v>0</v>
      </c>
      <c r="L1032">
        <f t="shared" si="169"/>
        <v>53.4</v>
      </c>
      <c r="M1032">
        <f t="shared" si="170"/>
        <v>1</v>
      </c>
      <c r="N1032">
        <f t="shared" si="171"/>
        <v>0</v>
      </c>
    </row>
    <row r="1033" spans="4:14" x14ac:dyDescent="0.2">
      <c r="D1033">
        <f t="shared" si="173"/>
        <v>1010</v>
      </c>
      <c r="E1033" s="1">
        <f t="shared" si="174"/>
        <v>-117.00600723795125</v>
      </c>
      <c r="F1033" s="1">
        <f t="shared" si="175"/>
        <v>-117.58262060225525</v>
      </c>
      <c r="G1033" s="1">
        <f t="shared" si="172"/>
        <v>8.6003614671069425E-52</v>
      </c>
      <c r="H1033" s="1">
        <f t="shared" si="165"/>
        <v>8.9097924616906821E-53</v>
      </c>
      <c r="I1033">
        <f t="shared" si="166"/>
        <v>8</v>
      </c>
      <c r="J1033">
        <f t="shared" si="167"/>
        <v>1000</v>
      </c>
      <c r="K1033" s="5">
        <f t="shared" si="168"/>
        <v>0</v>
      </c>
      <c r="L1033">
        <f t="shared" si="169"/>
        <v>53.4</v>
      </c>
      <c r="M1033">
        <f t="shared" si="170"/>
        <v>1</v>
      </c>
      <c r="N1033">
        <f t="shared" si="171"/>
        <v>0</v>
      </c>
    </row>
    <row r="1034" spans="4:14" x14ac:dyDescent="0.2">
      <c r="D1034">
        <f t="shared" si="173"/>
        <v>1011</v>
      </c>
      <c r="E1034" s="1">
        <f t="shared" si="174"/>
        <v>-117.1225410542072</v>
      </c>
      <c r="F1034" s="1">
        <f t="shared" si="175"/>
        <v>-117.6991544185112</v>
      </c>
      <c r="G1034" s="1">
        <f t="shared" si="172"/>
        <v>7.6543217057251738E-52</v>
      </c>
      <c r="H1034" s="1">
        <f t="shared" si="165"/>
        <v>7.9297152909047016E-53</v>
      </c>
      <c r="I1034">
        <f t="shared" si="166"/>
        <v>8</v>
      </c>
      <c r="J1034">
        <f t="shared" si="167"/>
        <v>1001</v>
      </c>
      <c r="K1034" s="5">
        <f t="shared" si="168"/>
        <v>0</v>
      </c>
      <c r="L1034">
        <f t="shared" si="169"/>
        <v>53.4</v>
      </c>
      <c r="M1034">
        <f t="shared" si="170"/>
        <v>1</v>
      </c>
      <c r="N1034">
        <f t="shared" si="171"/>
        <v>0</v>
      </c>
    </row>
    <row r="1035" spans="4:14" x14ac:dyDescent="0.2">
      <c r="D1035">
        <f t="shared" si="173"/>
        <v>1012</v>
      </c>
      <c r="E1035" s="1">
        <f t="shared" si="174"/>
        <v>-117.23907487046316</v>
      </c>
      <c r="F1035" s="1">
        <f t="shared" si="175"/>
        <v>-117.81568823476715</v>
      </c>
      <c r="G1035" s="1">
        <f t="shared" si="172"/>
        <v>6.8123463180954011E-52</v>
      </c>
      <c r="H1035" s="1">
        <f t="shared" si="165"/>
        <v>7.0574466089051812E-53</v>
      </c>
      <c r="I1035">
        <f t="shared" si="166"/>
        <v>8</v>
      </c>
      <c r="J1035">
        <f t="shared" si="167"/>
        <v>1002</v>
      </c>
      <c r="K1035" s="5">
        <f t="shared" si="168"/>
        <v>0</v>
      </c>
      <c r="L1035">
        <f t="shared" si="169"/>
        <v>53.4</v>
      </c>
      <c r="M1035">
        <f t="shared" si="170"/>
        <v>1</v>
      </c>
      <c r="N1035">
        <f t="shared" si="171"/>
        <v>0</v>
      </c>
    </row>
    <row r="1036" spans="4:14" x14ac:dyDescent="0.2">
      <c r="D1036">
        <f t="shared" si="173"/>
        <v>1013</v>
      </c>
      <c r="E1036" s="1">
        <f t="shared" si="174"/>
        <v>-117.35560868671911</v>
      </c>
      <c r="F1036" s="1">
        <f t="shared" si="175"/>
        <v>-117.9322220510231</v>
      </c>
      <c r="G1036" s="1">
        <f t="shared" si="172"/>
        <v>6.0629882231049027E-52</v>
      </c>
      <c r="H1036" s="1">
        <f t="shared" si="165"/>
        <v>6.2811274819256067E-53</v>
      </c>
      <c r="I1036">
        <f t="shared" si="166"/>
        <v>8</v>
      </c>
      <c r="J1036">
        <f t="shared" si="167"/>
        <v>1003</v>
      </c>
      <c r="K1036" s="5">
        <f t="shared" si="168"/>
        <v>0</v>
      </c>
      <c r="L1036">
        <f t="shared" si="169"/>
        <v>53.4</v>
      </c>
      <c r="M1036">
        <f t="shared" si="170"/>
        <v>1</v>
      </c>
      <c r="N1036">
        <f t="shared" si="171"/>
        <v>0</v>
      </c>
    </row>
    <row r="1037" spans="4:14" x14ac:dyDescent="0.2">
      <c r="D1037">
        <f t="shared" si="173"/>
        <v>1014</v>
      </c>
      <c r="E1037" s="1">
        <f t="shared" si="174"/>
        <v>-117.47214250297506</v>
      </c>
      <c r="F1037" s="1">
        <f t="shared" si="175"/>
        <v>-118.04875586727906</v>
      </c>
      <c r="G1037" s="1">
        <f t="shared" si="172"/>
        <v>5.3960595185633599E-52</v>
      </c>
      <c r="H1037" s="1">
        <f t="shared" si="165"/>
        <v>5.5902034589137859E-53</v>
      </c>
      <c r="I1037">
        <f t="shared" si="166"/>
        <v>8</v>
      </c>
      <c r="J1037">
        <f t="shared" si="167"/>
        <v>1004</v>
      </c>
      <c r="K1037" s="5">
        <f t="shared" si="168"/>
        <v>0</v>
      </c>
      <c r="L1037">
        <f t="shared" si="169"/>
        <v>53.4</v>
      </c>
      <c r="M1037">
        <f t="shared" si="170"/>
        <v>1</v>
      </c>
      <c r="N1037">
        <f t="shared" si="171"/>
        <v>0</v>
      </c>
    </row>
    <row r="1038" spans="4:14" x14ac:dyDescent="0.2">
      <c r="D1038">
        <f t="shared" si="173"/>
        <v>1015</v>
      </c>
      <c r="E1038" s="1">
        <f t="shared" si="174"/>
        <v>-117.58867631923101</v>
      </c>
      <c r="F1038" s="1">
        <f t="shared" si="175"/>
        <v>-118.16528968353501</v>
      </c>
      <c r="G1038" s="1">
        <f t="shared" si="172"/>
        <v>4.8024929715213874E-52</v>
      </c>
      <c r="H1038" s="1">
        <f t="shared" si="165"/>
        <v>4.9752810784332662E-53</v>
      </c>
      <c r="I1038">
        <f t="shared" si="166"/>
        <v>8</v>
      </c>
      <c r="J1038">
        <f t="shared" si="167"/>
        <v>1005</v>
      </c>
      <c r="K1038" s="5">
        <f t="shared" si="168"/>
        <v>0</v>
      </c>
      <c r="L1038">
        <f t="shared" si="169"/>
        <v>53.4</v>
      </c>
      <c r="M1038">
        <f t="shared" si="170"/>
        <v>1</v>
      </c>
      <c r="N1038">
        <f t="shared" si="171"/>
        <v>0</v>
      </c>
    </row>
    <row r="1039" spans="4:14" x14ac:dyDescent="0.2">
      <c r="D1039">
        <f t="shared" si="173"/>
        <v>1016</v>
      </c>
      <c r="E1039" s="1">
        <f t="shared" si="174"/>
        <v>-117.70521013548696</v>
      </c>
      <c r="F1039" s="1">
        <f t="shared" si="175"/>
        <v>-118.28182349979096</v>
      </c>
      <c r="G1039" s="1">
        <f t="shared" si="172"/>
        <v>4.2742187446540319E-52</v>
      </c>
      <c r="H1039" s="1">
        <f t="shared" si="165"/>
        <v>4.4280001598056042E-53</v>
      </c>
      <c r="I1039">
        <f t="shared" si="166"/>
        <v>8</v>
      </c>
      <c r="J1039">
        <f t="shared" si="167"/>
        <v>1006</v>
      </c>
      <c r="K1039" s="5">
        <f t="shared" si="168"/>
        <v>0</v>
      </c>
      <c r="L1039">
        <f t="shared" si="169"/>
        <v>53.4</v>
      </c>
      <c r="M1039">
        <f t="shared" si="170"/>
        <v>1</v>
      </c>
      <c r="N1039">
        <f t="shared" si="171"/>
        <v>0</v>
      </c>
    </row>
    <row r="1040" spans="4:14" x14ac:dyDescent="0.2">
      <c r="D1040">
        <f t="shared" si="173"/>
        <v>1017</v>
      </c>
      <c r="E1040" s="1">
        <f t="shared" si="174"/>
        <v>-117.82174395174292</v>
      </c>
      <c r="F1040" s="1">
        <f t="shared" si="175"/>
        <v>-118.39835731604691</v>
      </c>
      <c r="G1040" s="1">
        <f t="shared" si="172"/>
        <v>3.8040546827420858E-52</v>
      </c>
      <c r="H1040" s="1">
        <f t="shared" si="165"/>
        <v>3.9409201422269853E-53</v>
      </c>
      <c r="I1040">
        <f t="shared" si="166"/>
        <v>8</v>
      </c>
      <c r="J1040">
        <f t="shared" si="167"/>
        <v>1007</v>
      </c>
      <c r="K1040" s="5">
        <f t="shared" si="168"/>
        <v>0</v>
      </c>
      <c r="L1040">
        <f t="shared" si="169"/>
        <v>53.4</v>
      </c>
      <c r="M1040">
        <f t="shared" si="170"/>
        <v>1</v>
      </c>
      <c r="N1040">
        <f t="shared" si="171"/>
        <v>0</v>
      </c>
    </row>
    <row r="1041" spans="4:14" x14ac:dyDescent="0.2">
      <c r="D1041">
        <f t="shared" si="173"/>
        <v>1018</v>
      </c>
      <c r="E1041" s="1">
        <f t="shared" si="174"/>
        <v>-117.93827776799887</v>
      </c>
      <c r="F1041" s="1">
        <f t="shared" si="175"/>
        <v>-118.51489113230286</v>
      </c>
      <c r="G1041" s="1">
        <f t="shared" si="172"/>
        <v>3.3856086676404541E-52</v>
      </c>
      <c r="H1041" s="1">
        <f t="shared" si="165"/>
        <v>3.5074189265820147E-53</v>
      </c>
      <c r="I1041">
        <f t="shared" si="166"/>
        <v>8</v>
      </c>
      <c r="J1041">
        <f t="shared" si="167"/>
        <v>1008</v>
      </c>
      <c r="K1041" s="5">
        <f t="shared" si="168"/>
        <v>0</v>
      </c>
      <c r="L1041">
        <f t="shared" si="169"/>
        <v>53.4</v>
      </c>
      <c r="M1041">
        <f t="shared" si="170"/>
        <v>1</v>
      </c>
      <c r="N1041">
        <f t="shared" si="171"/>
        <v>0</v>
      </c>
    </row>
    <row r="1042" spans="4:14" x14ac:dyDescent="0.2">
      <c r="D1042">
        <f t="shared" si="173"/>
        <v>1019</v>
      </c>
      <c r="E1042" s="1">
        <f t="shared" si="174"/>
        <v>-118.05481158425482</v>
      </c>
      <c r="F1042" s="1">
        <f t="shared" si="175"/>
        <v>-118.63142494855882</v>
      </c>
      <c r="G1042" s="1">
        <f t="shared" si="172"/>
        <v>3.0131917142000025E-52</v>
      </c>
      <c r="H1042" s="1">
        <f t="shared" si="165"/>
        <v>3.1216028446579911E-53</v>
      </c>
      <c r="I1042">
        <f t="shared" si="166"/>
        <v>8</v>
      </c>
      <c r="J1042">
        <f t="shared" si="167"/>
        <v>1009</v>
      </c>
      <c r="K1042" s="5">
        <f t="shared" si="168"/>
        <v>0</v>
      </c>
      <c r="L1042">
        <f t="shared" si="169"/>
        <v>53.4</v>
      </c>
      <c r="M1042">
        <f t="shared" si="170"/>
        <v>1</v>
      </c>
      <c r="N1042">
        <f t="shared" si="171"/>
        <v>0</v>
      </c>
    </row>
    <row r="1043" spans="4:14" x14ac:dyDescent="0.2">
      <c r="D1043">
        <f t="shared" si="173"/>
        <v>1020</v>
      </c>
      <c r="E1043" s="1">
        <f t="shared" si="174"/>
        <v>-118.17134540051077</v>
      </c>
      <c r="F1043" s="1">
        <f t="shared" si="175"/>
        <v>-118.74795876481477</v>
      </c>
      <c r="G1043" s="1">
        <f t="shared" si="172"/>
        <v>2.6817406256380008E-52</v>
      </c>
      <c r="H1043" s="1">
        <f t="shared" si="165"/>
        <v>2.7782265317456104E-53</v>
      </c>
      <c r="I1043">
        <f t="shared" si="166"/>
        <v>8</v>
      </c>
      <c r="J1043">
        <f t="shared" si="167"/>
        <v>1010</v>
      </c>
      <c r="K1043" s="5">
        <f t="shared" si="168"/>
        <v>0</v>
      </c>
      <c r="L1043">
        <f t="shared" si="169"/>
        <v>53.4</v>
      </c>
      <c r="M1043">
        <f t="shared" si="170"/>
        <v>1</v>
      </c>
      <c r="N1043">
        <f t="shared" si="171"/>
        <v>0</v>
      </c>
    </row>
    <row r="1044" spans="4:14" x14ac:dyDescent="0.2">
      <c r="D1044">
        <f t="shared" si="173"/>
        <v>1021</v>
      </c>
      <c r="E1044" s="1">
        <f t="shared" si="174"/>
        <v>-118.28787921676673</v>
      </c>
      <c r="F1044" s="1">
        <f t="shared" si="175"/>
        <v>-118.86449258107072</v>
      </c>
      <c r="G1044" s="1">
        <f t="shared" si="172"/>
        <v>2.386749156817819E-52</v>
      </c>
      <c r="H1044" s="1">
        <f t="shared" si="165"/>
        <v>2.4726216132535919E-53</v>
      </c>
      <c r="I1044">
        <f t="shared" si="166"/>
        <v>8</v>
      </c>
      <c r="J1044">
        <f t="shared" si="167"/>
        <v>1011</v>
      </c>
      <c r="K1044" s="5">
        <f t="shared" si="168"/>
        <v>0</v>
      </c>
      <c r="L1044">
        <f t="shared" si="169"/>
        <v>53.4</v>
      </c>
      <c r="M1044">
        <f t="shared" si="170"/>
        <v>1</v>
      </c>
      <c r="N1044">
        <f t="shared" si="171"/>
        <v>0</v>
      </c>
    </row>
    <row r="1045" spans="4:14" x14ac:dyDescent="0.2">
      <c r="D1045">
        <f t="shared" si="173"/>
        <v>1022</v>
      </c>
      <c r="E1045" s="1">
        <f t="shared" si="174"/>
        <v>-118.40441303302268</v>
      </c>
      <c r="F1045" s="1">
        <f t="shared" si="175"/>
        <v>-118.98102639732667</v>
      </c>
      <c r="G1045" s="1">
        <f t="shared" si="172"/>
        <v>2.1242067495678577E-52</v>
      </c>
      <c r="H1045" s="1">
        <f t="shared" si="165"/>
        <v>2.2006332357956954E-53</v>
      </c>
      <c r="I1045">
        <f t="shared" si="166"/>
        <v>8</v>
      </c>
      <c r="J1045">
        <f t="shared" si="167"/>
        <v>1012</v>
      </c>
      <c r="K1045" s="5">
        <f t="shared" si="168"/>
        <v>0</v>
      </c>
      <c r="L1045">
        <f t="shared" si="169"/>
        <v>53.4</v>
      </c>
      <c r="M1045">
        <f t="shared" si="170"/>
        <v>1</v>
      </c>
      <c r="N1045">
        <f t="shared" si="171"/>
        <v>0</v>
      </c>
    </row>
    <row r="1046" spans="4:14" x14ac:dyDescent="0.2">
      <c r="D1046">
        <f t="shared" si="173"/>
        <v>1023</v>
      </c>
      <c r="E1046" s="1">
        <f t="shared" si="174"/>
        <v>-118.52094684927863</v>
      </c>
      <c r="F1046" s="1">
        <f t="shared" si="175"/>
        <v>-119.09756021358263</v>
      </c>
      <c r="G1046" s="1">
        <f t="shared" si="172"/>
        <v>1.8905440071153921E-52</v>
      </c>
      <c r="H1046" s="1">
        <f t="shared" si="165"/>
        <v>1.9585635798581676E-53</v>
      </c>
      <c r="I1046">
        <f t="shared" si="166"/>
        <v>8</v>
      </c>
      <c r="J1046">
        <f t="shared" si="167"/>
        <v>1013</v>
      </c>
      <c r="K1046" s="5">
        <f t="shared" si="168"/>
        <v>0</v>
      </c>
      <c r="L1046">
        <f t="shared" si="169"/>
        <v>53.4</v>
      </c>
      <c r="M1046">
        <f t="shared" si="170"/>
        <v>1</v>
      </c>
      <c r="N1046">
        <f t="shared" si="171"/>
        <v>0</v>
      </c>
    </row>
    <row r="1047" spans="4:14" x14ac:dyDescent="0.2">
      <c r="D1047">
        <f t="shared" si="173"/>
        <v>1024</v>
      </c>
      <c r="E1047" s="1">
        <f t="shared" si="174"/>
        <v>-118.63748066553458</v>
      </c>
      <c r="F1047" s="1">
        <f t="shared" si="175"/>
        <v>-119.21409402983858</v>
      </c>
      <c r="G1047" s="1">
        <f t="shared" si="172"/>
        <v>1.682584166332698E-52</v>
      </c>
      <c r="H1047" s="1">
        <f t="shared" ref="H1047:H1110" si="176">G1047/$G$21</f>
        <v>1.7431215860737682E-53</v>
      </c>
      <c r="I1047">
        <f t="shared" ref="I1047:I1110" si="177">IF($F$11&lt;=D1047, IF(D1047&lt;=$A$15,D1047-$F$11,$C$11),0)</f>
        <v>8</v>
      </c>
      <c r="J1047">
        <f t="shared" ref="J1047:J1110" si="178">IF(D1047&lt;=$A$15,0,D1047-$A$15)</f>
        <v>1014</v>
      </c>
      <c r="K1047" s="5">
        <f t="shared" ref="K1047:K1110" si="179">IF(D1047&lt;$F$11,H1047,0)</f>
        <v>0</v>
      </c>
      <c r="L1047">
        <f t="shared" ref="L1047:L1110" si="180">IF(D1047&lt;$A$15,$D$11,$D$11*(1-$H$11))</f>
        <v>53.4</v>
      </c>
      <c r="M1047">
        <f t="shared" ref="M1047:M1110" si="181">IF(D1047&lt;$A$15,0,1)</f>
        <v>1</v>
      </c>
      <c r="N1047">
        <f t="shared" ref="N1047:N1110" si="182">IF(SUM(I1047:J1047)&lt;=($G$11/60*$F$11/($E$11/60)),1,0)</f>
        <v>0</v>
      </c>
    </row>
    <row r="1048" spans="4:14" x14ac:dyDescent="0.2">
      <c r="D1048">
        <f t="shared" si="173"/>
        <v>1025</v>
      </c>
      <c r="E1048" s="1">
        <f t="shared" si="174"/>
        <v>-118.75401448179053</v>
      </c>
      <c r="F1048" s="1">
        <f t="shared" si="175"/>
        <v>-119.33062784609453</v>
      </c>
      <c r="G1048" s="1">
        <f t="shared" ref="G1048:G1111" si="183">EXP(F1048)</f>
        <v>1.4974999080361002E-52</v>
      </c>
      <c r="H1048" s="1">
        <f t="shared" si="176"/>
        <v>1.5513782116056527E-53</v>
      </c>
      <c r="I1048">
        <f t="shared" si="177"/>
        <v>8</v>
      </c>
      <c r="J1048">
        <f t="shared" si="178"/>
        <v>1015</v>
      </c>
      <c r="K1048" s="5">
        <f t="shared" si="179"/>
        <v>0</v>
      </c>
      <c r="L1048">
        <f t="shared" si="180"/>
        <v>53.4</v>
      </c>
      <c r="M1048">
        <f t="shared" si="181"/>
        <v>1</v>
      </c>
      <c r="N1048">
        <f t="shared" si="182"/>
        <v>0</v>
      </c>
    </row>
    <row r="1049" spans="4:14" x14ac:dyDescent="0.2">
      <c r="D1049">
        <f t="shared" ref="D1049:D1112" si="184">1+D1048</f>
        <v>1026</v>
      </c>
      <c r="E1049" s="1">
        <f t="shared" ref="E1049:E1112" si="185">IF($H$11=1,IF(D1049&lt;=$A$15, E1048+LN($D$11)-LN(60/$E$11)-LN(MIN(D1049,$F$11)), E1048-LN(60/$E$11)-LN(MIN(D1049,$F$11))), IF(D1049&lt;=$A$15, E1048+LN($D$11)-LN(60/$E$11)-LN(MIN(D1049,$F$11)), E1048+LN($D$11)+LN(1-$H$11)-LN(60/$E$11)-LN(MIN(D1049,$F$11))))</f>
        <v>-118.87054829804649</v>
      </c>
      <c r="F1049" s="1">
        <f t="shared" ref="F1049:F1112" si="186">E1049-$E$21</f>
        <v>-119.44716166235048</v>
      </c>
      <c r="G1049" s="1">
        <f t="shared" si="183"/>
        <v>1.3327749181521284E-52</v>
      </c>
      <c r="H1049" s="1">
        <f t="shared" si="176"/>
        <v>1.3807266083290299E-53</v>
      </c>
      <c r="I1049">
        <f t="shared" si="177"/>
        <v>8</v>
      </c>
      <c r="J1049">
        <f t="shared" si="178"/>
        <v>1016</v>
      </c>
      <c r="K1049" s="5">
        <f t="shared" si="179"/>
        <v>0</v>
      </c>
      <c r="L1049">
        <f t="shared" si="180"/>
        <v>53.4</v>
      </c>
      <c r="M1049">
        <f t="shared" si="181"/>
        <v>1</v>
      </c>
      <c r="N1049">
        <f t="shared" si="182"/>
        <v>0</v>
      </c>
    </row>
    <row r="1050" spans="4:14" x14ac:dyDescent="0.2">
      <c r="D1050">
        <f t="shared" si="184"/>
        <v>1027</v>
      </c>
      <c r="E1050" s="1">
        <f t="shared" si="185"/>
        <v>-118.98708211430244</v>
      </c>
      <c r="F1050" s="1">
        <f t="shared" si="186"/>
        <v>-119.56369547860643</v>
      </c>
      <c r="G1050" s="1">
        <f t="shared" si="183"/>
        <v>1.1861696771553934E-52</v>
      </c>
      <c r="H1050" s="1">
        <f t="shared" si="176"/>
        <v>1.2288466814128358E-53</v>
      </c>
      <c r="I1050">
        <f t="shared" si="177"/>
        <v>8</v>
      </c>
      <c r="J1050">
        <f t="shared" si="178"/>
        <v>1017</v>
      </c>
      <c r="K1050" s="5">
        <f t="shared" si="179"/>
        <v>0</v>
      </c>
      <c r="L1050">
        <f t="shared" si="180"/>
        <v>53.4</v>
      </c>
      <c r="M1050">
        <f t="shared" si="181"/>
        <v>1</v>
      </c>
      <c r="N1050">
        <f t="shared" si="182"/>
        <v>0</v>
      </c>
    </row>
    <row r="1051" spans="4:14" x14ac:dyDescent="0.2">
      <c r="D1051">
        <f t="shared" si="184"/>
        <v>1028</v>
      </c>
      <c r="E1051" s="1">
        <f t="shared" si="185"/>
        <v>-119.10361593055839</v>
      </c>
      <c r="F1051" s="1">
        <f t="shared" si="186"/>
        <v>-119.68022929486239</v>
      </c>
      <c r="G1051" s="1">
        <f t="shared" si="183"/>
        <v>1.0556910126682995E-52</v>
      </c>
      <c r="H1051" s="1">
        <f t="shared" si="176"/>
        <v>1.0936735464574231E-53</v>
      </c>
      <c r="I1051">
        <f t="shared" si="177"/>
        <v>8</v>
      </c>
      <c r="J1051">
        <f t="shared" si="178"/>
        <v>1018</v>
      </c>
      <c r="K1051" s="5">
        <f t="shared" si="179"/>
        <v>0</v>
      </c>
      <c r="L1051">
        <f t="shared" si="180"/>
        <v>53.4</v>
      </c>
      <c r="M1051">
        <f t="shared" si="181"/>
        <v>1</v>
      </c>
      <c r="N1051">
        <f t="shared" si="182"/>
        <v>0</v>
      </c>
    </row>
    <row r="1052" spans="4:14" x14ac:dyDescent="0.2">
      <c r="D1052">
        <f t="shared" si="184"/>
        <v>1029</v>
      </c>
      <c r="E1052" s="1">
        <f t="shared" si="185"/>
        <v>-119.22014974681434</v>
      </c>
      <c r="F1052" s="1">
        <f t="shared" si="186"/>
        <v>-119.79676311111834</v>
      </c>
      <c r="G1052" s="1">
        <f t="shared" si="183"/>
        <v>9.3956500127478606E-53</v>
      </c>
      <c r="H1052" s="1">
        <f t="shared" si="176"/>
        <v>9.7336945634710612E-54</v>
      </c>
      <c r="I1052">
        <f t="shared" si="177"/>
        <v>8</v>
      </c>
      <c r="J1052">
        <f t="shared" si="178"/>
        <v>1019</v>
      </c>
      <c r="K1052" s="5">
        <f t="shared" si="179"/>
        <v>0</v>
      </c>
      <c r="L1052">
        <f t="shared" si="180"/>
        <v>53.4</v>
      </c>
      <c r="M1052">
        <f t="shared" si="181"/>
        <v>1</v>
      </c>
      <c r="N1052">
        <f t="shared" si="182"/>
        <v>0</v>
      </c>
    </row>
    <row r="1053" spans="4:14" x14ac:dyDescent="0.2">
      <c r="D1053">
        <f t="shared" si="184"/>
        <v>1030</v>
      </c>
      <c r="E1053" s="1">
        <f t="shared" si="185"/>
        <v>-119.3366835630703</v>
      </c>
      <c r="F1053" s="1">
        <f t="shared" si="186"/>
        <v>-119.91329692737429</v>
      </c>
      <c r="G1053" s="1">
        <f t="shared" si="183"/>
        <v>8.3621285113455907E-53</v>
      </c>
      <c r="H1053" s="1">
        <f t="shared" si="176"/>
        <v>8.6629881614892387E-54</v>
      </c>
      <c r="I1053">
        <f t="shared" si="177"/>
        <v>8</v>
      </c>
      <c r="J1053">
        <f t="shared" si="178"/>
        <v>1020</v>
      </c>
      <c r="K1053" s="5">
        <f t="shared" si="179"/>
        <v>0</v>
      </c>
      <c r="L1053">
        <f t="shared" si="180"/>
        <v>53.4</v>
      </c>
      <c r="M1053">
        <f t="shared" si="181"/>
        <v>1</v>
      </c>
      <c r="N1053">
        <f t="shared" si="182"/>
        <v>0</v>
      </c>
    </row>
    <row r="1054" spans="4:14" x14ac:dyDescent="0.2">
      <c r="D1054">
        <f t="shared" si="184"/>
        <v>1031</v>
      </c>
      <c r="E1054" s="1">
        <f t="shared" si="185"/>
        <v>-119.45321737932625</v>
      </c>
      <c r="F1054" s="1">
        <f t="shared" si="186"/>
        <v>-120.02983074363024</v>
      </c>
      <c r="G1054" s="1">
        <f t="shared" si="183"/>
        <v>7.4422943750975705E-53</v>
      </c>
      <c r="H1054" s="1">
        <f t="shared" si="176"/>
        <v>7.7100594637254173E-54</v>
      </c>
      <c r="I1054">
        <f t="shared" si="177"/>
        <v>8</v>
      </c>
      <c r="J1054">
        <f t="shared" si="178"/>
        <v>1021</v>
      </c>
      <c r="K1054" s="5">
        <f t="shared" si="179"/>
        <v>0</v>
      </c>
      <c r="L1054">
        <f t="shared" si="180"/>
        <v>53.4</v>
      </c>
      <c r="M1054">
        <f t="shared" si="181"/>
        <v>1</v>
      </c>
      <c r="N1054">
        <f t="shared" si="182"/>
        <v>0</v>
      </c>
    </row>
    <row r="1055" spans="4:14" x14ac:dyDescent="0.2">
      <c r="D1055">
        <f t="shared" si="184"/>
        <v>1032</v>
      </c>
      <c r="E1055" s="1">
        <f t="shared" si="185"/>
        <v>-119.5697511955822</v>
      </c>
      <c r="F1055" s="1">
        <f t="shared" si="186"/>
        <v>-120.14636455988619</v>
      </c>
      <c r="G1055" s="1">
        <f t="shared" si="183"/>
        <v>6.6236419938368332E-53</v>
      </c>
      <c r="H1055" s="1">
        <f t="shared" si="176"/>
        <v>6.8619529227156174E-54</v>
      </c>
      <c r="I1055">
        <f t="shared" si="177"/>
        <v>8</v>
      </c>
      <c r="J1055">
        <f t="shared" si="178"/>
        <v>1022</v>
      </c>
      <c r="K1055" s="5">
        <f t="shared" si="179"/>
        <v>0</v>
      </c>
      <c r="L1055">
        <f t="shared" si="180"/>
        <v>53.4</v>
      </c>
      <c r="M1055">
        <f t="shared" si="181"/>
        <v>1</v>
      </c>
      <c r="N1055">
        <f t="shared" si="182"/>
        <v>0</v>
      </c>
    </row>
    <row r="1056" spans="4:14" x14ac:dyDescent="0.2">
      <c r="D1056">
        <f t="shared" si="184"/>
        <v>1033</v>
      </c>
      <c r="E1056" s="1">
        <f t="shared" si="185"/>
        <v>-119.68628501183815</v>
      </c>
      <c r="F1056" s="1">
        <f t="shared" si="186"/>
        <v>-120.26289837614215</v>
      </c>
      <c r="G1056" s="1">
        <f t="shared" si="183"/>
        <v>5.8950413745147783E-53</v>
      </c>
      <c r="H1056" s="1">
        <f t="shared" si="176"/>
        <v>6.1071381012168954E-54</v>
      </c>
      <c r="I1056">
        <f t="shared" si="177"/>
        <v>8</v>
      </c>
      <c r="J1056">
        <f t="shared" si="178"/>
        <v>1023</v>
      </c>
      <c r="K1056" s="5">
        <f t="shared" si="179"/>
        <v>0</v>
      </c>
      <c r="L1056">
        <f t="shared" si="180"/>
        <v>53.4</v>
      </c>
      <c r="M1056">
        <f t="shared" si="181"/>
        <v>1</v>
      </c>
      <c r="N1056">
        <f t="shared" si="182"/>
        <v>0</v>
      </c>
    </row>
    <row r="1057" spans="4:14" x14ac:dyDescent="0.2">
      <c r="D1057">
        <f t="shared" si="184"/>
        <v>1034</v>
      </c>
      <c r="E1057" s="1">
        <f t="shared" si="185"/>
        <v>-119.8028188280941</v>
      </c>
      <c r="F1057" s="1">
        <f t="shared" si="186"/>
        <v>-120.3794321923981</v>
      </c>
      <c r="G1057" s="1">
        <f t="shared" si="183"/>
        <v>5.2465868233181492E-53</v>
      </c>
      <c r="H1057" s="1">
        <f t="shared" si="176"/>
        <v>5.4353529100830341E-54</v>
      </c>
      <c r="I1057">
        <f t="shared" si="177"/>
        <v>8</v>
      </c>
      <c r="J1057">
        <f t="shared" si="178"/>
        <v>1024</v>
      </c>
      <c r="K1057" s="5">
        <f t="shared" si="179"/>
        <v>0</v>
      </c>
      <c r="L1057">
        <f t="shared" si="180"/>
        <v>53.4</v>
      </c>
      <c r="M1057">
        <f t="shared" si="181"/>
        <v>1</v>
      </c>
      <c r="N1057">
        <f t="shared" si="182"/>
        <v>0</v>
      </c>
    </row>
    <row r="1058" spans="4:14" x14ac:dyDescent="0.2">
      <c r="D1058">
        <f t="shared" si="184"/>
        <v>1035</v>
      </c>
      <c r="E1058" s="1">
        <f t="shared" si="185"/>
        <v>-119.91935264435006</v>
      </c>
      <c r="F1058" s="1">
        <f t="shared" si="186"/>
        <v>-120.49596600865405</v>
      </c>
      <c r="G1058" s="1">
        <f t="shared" si="183"/>
        <v>4.6694622727531495E-53</v>
      </c>
      <c r="H1058" s="1">
        <f t="shared" si="176"/>
        <v>4.8374640899738966E-54</v>
      </c>
      <c r="I1058">
        <f t="shared" si="177"/>
        <v>8</v>
      </c>
      <c r="J1058">
        <f t="shared" si="178"/>
        <v>1025</v>
      </c>
      <c r="K1058" s="5">
        <f t="shared" si="179"/>
        <v>0</v>
      </c>
      <c r="L1058">
        <f t="shared" si="180"/>
        <v>53.4</v>
      </c>
      <c r="M1058">
        <f t="shared" si="181"/>
        <v>1</v>
      </c>
      <c r="N1058">
        <f t="shared" si="182"/>
        <v>0</v>
      </c>
    </row>
    <row r="1059" spans="4:14" x14ac:dyDescent="0.2">
      <c r="D1059">
        <f t="shared" si="184"/>
        <v>1036</v>
      </c>
      <c r="E1059" s="1">
        <f t="shared" si="185"/>
        <v>-120.03588646060601</v>
      </c>
      <c r="F1059" s="1">
        <f t="shared" si="186"/>
        <v>-120.61249982491</v>
      </c>
      <c r="G1059" s="1">
        <f t="shared" si="183"/>
        <v>4.1558214227503007E-53</v>
      </c>
      <c r="H1059" s="1">
        <f t="shared" si="176"/>
        <v>4.3053430400767655E-54</v>
      </c>
      <c r="I1059">
        <f t="shared" si="177"/>
        <v>8</v>
      </c>
      <c r="J1059">
        <f t="shared" si="178"/>
        <v>1026</v>
      </c>
      <c r="K1059" s="5">
        <f t="shared" si="179"/>
        <v>0</v>
      </c>
      <c r="L1059">
        <f t="shared" si="180"/>
        <v>53.4</v>
      </c>
      <c r="M1059">
        <f t="shared" si="181"/>
        <v>1</v>
      </c>
      <c r="N1059">
        <f t="shared" si="182"/>
        <v>0</v>
      </c>
    </row>
    <row r="1060" spans="4:14" x14ac:dyDescent="0.2">
      <c r="D1060">
        <f t="shared" si="184"/>
        <v>1037</v>
      </c>
      <c r="E1060" s="1">
        <f t="shared" si="185"/>
        <v>-120.15242027686196</v>
      </c>
      <c r="F1060" s="1">
        <f t="shared" si="186"/>
        <v>-120.72903364116596</v>
      </c>
      <c r="G1060" s="1">
        <f t="shared" si="183"/>
        <v>3.6986810662477652E-53</v>
      </c>
      <c r="H1060" s="1">
        <f t="shared" si="176"/>
        <v>3.8317553056683189E-54</v>
      </c>
      <c r="I1060">
        <f t="shared" si="177"/>
        <v>8</v>
      </c>
      <c r="J1060">
        <f t="shared" si="178"/>
        <v>1027</v>
      </c>
      <c r="K1060" s="5">
        <f t="shared" si="179"/>
        <v>0</v>
      </c>
      <c r="L1060">
        <f t="shared" si="180"/>
        <v>53.4</v>
      </c>
      <c r="M1060">
        <f t="shared" si="181"/>
        <v>1</v>
      </c>
      <c r="N1060">
        <f t="shared" si="182"/>
        <v>0</v>
      </c>
    </row>
    <row r="1061" spans="4:14" x14ac:dyDescent="0.2">
      <c r="D1061">
        <f t="shared" si="184"/>
        <v>1038</v>
      </c>
      <c r="E1061" s="1">
        <f t="shared" si="185"/>
        <v>-120.26895409311791</v>
      </c>
      <c r="F1061" s="1">
        <f t="shared" si="186"/>
        <v>-120.84556745742191</v>
      </c>
      <c r="G1061" s="1">
        <f t="shared" si="183"/>
        <v>3.291826148960509E-53</v>
      </c>
      <c r="H1061" s="1">
        <f t="shared" si="176"/>
        <v>3.4102622220448016E-54</v>
      </c>
      <c r="I1061">
        <f t="shared" si="177"/>
        <v>8</v>
      </c>
      <c r="J1061">
        <f t="shared" si="178"/>
        <v>1028</v>
      </c>
      <c r="K1061" s="5">
        <f t="shared" si="179"/>
        <v>0</v>
      </c>
      <c r="L1061">
        <f t="shared" si="180"/>
        <v>53.4</v>
      </c>
      <c r="M1061">
        <f t="shared" si="181"/>
        <v>1</v>
      </c>
      <c r="N1061">
        <f t="shared" si="182"/>
        <v>0</v>
      </c>
    </row>
    <row r="1062" spans="4:14" x14ac:dyDescent="0.2">
      <c r="D1062">
        <f t="shared" si="184"/>
        <v>1039</v>
      </c>
      <c r="E1062" s="1">
        <f t="shared" si="185"/>
        <v>-120.38548790937386</v>
      </c>
      <c r="F1062" s="1">
        <f t="shared" si="186"/>
        <v>-120.96210127367786</v>
      </c>
      <c r="G1062" s="1">
        <f t="shared" si="183"/>
        <v>2.9297252725748513E-53</v>
      </c>
      <c r="H1062" s="1">
        <f t="shared" si="176"/>
        <v>3.0351333776198714E-54</v>
      </c>
      <c r="I1062">
        <f t="shared" si="177"/>
        <v>8</v>
      </c>
      <c r="J1062">
        <f t="shared" si="178"/>
        <v>1029</v>
      </c>
      <c r="K1062" s="5">
        <f t="shared" si="179"/>
        <v>0</v>
      </c>
      <c r="L1062">
        <f t="shared" si="180"/>
        <v>53.4</v>
      </c>
      <c r="M1062">
        <f t="shared" si="181"/>
        <v>1</v>
      </c>
      <c r="N1062">
        <f t="shared" si="182"/>
        <v>0</v>
      </c>
    </row>
    <row r="1063" spans="4:14" x14ac:dyDescent="0.2">
      <c r="D1063">
        <f t="shared" si="184"/>
        <v>1040</v>
      </c>
      <c r="E1063" s="1">
        <f t="shared" si="185"/>
        <v>-120.50202172562982</v>
      </c>
      <c r="F1063" s="1">
        <f t="shared" si="186"/>
        <v>-121.07863508993381</v>
      </c>
      <c r="G1063" s="1">
        <f t="shared" si="183"/>
        <v>2.6074554925916158E-53</v>
      </c>
      <c r="H1063" s="1">
        <f t="shared" si="176"/>
        <v>2.701268706081684E-54</v>
      </c>
      <c r="I1063">
        <f t="shared" si="177"/>
        <v>8</v>
      </c>
      <c r="J1063">
        <f t="shared" si="178"/>
        <v>1030</v>
      </c>
      <c r="K1063" s="5">
        <f t="shared" si="179"/>
        <v>0</v>
      </c>
      <c r="L1063">
        <f t="shared" si="180"/>
        <v>53.4</v>
      </c>
      <c r="M1063">
        <f t="shared" si="181"/>
        <v>1</v>
      </c>
      <c r="N1063">
        <f t="shared" si="182"/>
        <v>0</v>
      </c>
    </row>
    <row r="1064" spans="4:14" x14ac:dyDescent="0.2">
      <c r="D1064">
        <f t="shared" si="184"/>
        <v>1041</v>
      </c>
      <c r="E1064" s="1">
        <f t="shared" si="185"/>
        <v>-120.61855554188577</v>
      </c>
      <c r="F1064" s="1">
        <f t="shared" si="186"/>
        <v>-121.19516890618976</v>
      </c>
      <c r="G1064" s="1">
        <f t="shared" si="183"/>
        <v>2.3206353884065366E-53</v>
      </c>
      <c r="H1064" s="1">
        <f t="shared" si="176"/>
        <v>2.4041291484126972E-54</v>
      </c>
      <c r="I1064">
        <f t="shared" si="177"/>
        <v>8</v>
      </c>
      <c r="J1064">
        <f t="shared" si="178"/>
        <v>1031</v>
      </c>
      <c r="K1064" s="5">
        <f t="shared" si="179"/>
        <v>0</v>
      </c>
      <c r="L1064">
        <f t="shared" si="180"/>
        <v>53.4</v>
      </c>
      <c r="M1064">
        <f t="shared" si="181"/>
        <v>1</v>
      </c>
      <c r="N1064">
        <f t="shared" si="182"/>
        <v>0</v>
      </c>
    </row>
    <row r="1065" spans="4:14" x14ac:dyDescent="0.2">
      <c r="D1065">
        <f t="shared" si="184"/>
        <v>1042</v>
      </c>
      <c r="E1065" s="1">
        <f t="shared" si="185"/>
        <v>-120.73508935814172</v>
      </c>
      <c r="F1065" s="1">
        <f t="shared" si="186"/>
        <v>-121.31170272244572</v>
      </c>
      <c r="G1065" s="1">
        <f t="shared" si="183"/>
        <v>2.0653654956818163E-53</v>
      </c>
      <c r="H1065" s="1">
        <f t="shared" si="176"/>
        <v>2.1396749420872991E-54</v>
      </c>
      <c r="I1065">
        <f t="shared" si="177"/>
        <v>8</v>
      </c>
      <c r="J1065">
        <f t="shared" si="178"/>
        <v>1032</v>
      </c>
      <c r="K1065" s="5">
        <f t="shared" si="179"/>
        <v>0</v>
      </c>
      <c r="L1065">
        <f t="shared" si="180"/>
        <v>53.4</v>
      </c>
      <c r="M1065">
        <f t="shared" si="181"/>
        <v>1</v>
      </c>
      <c r="N1065">
        <f t="shared" si="182"/>
        <v>0</v>
      </c>
    </row>
    <row r="1066" spans="4:14" x14ac:dyDescent="0.2">
      <c r="D1066">
        <f t="shared" si="184"/>
        <v>1043</v>
      </c>
      <c r="E1066" s="1">
        <f t="shared" si="185"/>
        <v>-120.85162317439767</v>
      </c>
      <c r="F1066" s="1">
        <f t="shared" si="186"/>
        <v>-121.42823653870167</v>
      </c>
      <c r="G1066" s="1">
        <f t="shared" si="183"/>
        <v>1.8381752911568155E-53</v>
      </c>
      <c r="H1066" s="1">
        <f t="shared" si="176"/>
        <v>1.9043106984576951E-54</v>
      </c>
      <c r="I1066">
        <f t="shared" si="177"/>
        <v>8</v>
      </c>
      <c r="J1066">
        <f t="shared" si="178"/>
        <v>1033</v>
      </c>
      <c r="K1066" s="5">
        <f t="shared" si="179"/>
        <v>0</v>
      </c>
      <c r="L1066">
        <f t="shared" si="180"/>
        <v>53.4</v>
      </c>
      <c r="M1066">
        <f t="shared" si="181"/>
        <v>1</v>
      </c>
      <c r="N1066">
        <f t="shared" si="182"/>
        <v>0</v>
      </c>
    </row>
    <row r="1067" spans="4:14" x14ac:dyDescent="0.2">
      <c r="D1067">
        <f t="shared" si="184"/>
        <v>1044</v>
      </c>
      <c r="E1067" s="1">
        <f t="shared" si="185"/>
        <v>-120.96815699065363</v>
      </c>
      <c r="F1067" s="1">
        <f t="shared" si="186"/>
        <v>-121.54477035495762</v>
      </c>
      <c r="G1067" s="1">
        <f t="shared" si="183"/>
        <v>1.6359760091295647E-53</v>
      </c>
      <c r="H1067" s="1">
        <f t="shared" si="176"/>
        <v>1.6948365216273475E-54</v>
      </c>
      <c r="I1067">
        <f t="shared" si="177"/>
        <v>8</v>
      </c>
      <c r="J1067">
        <f t="shared" si="178"/>
        <v>1034</v>
      </c>
      <c r="K1067" s="5">
        <f t="shared" si="179"/>
        <v>0</v>
      </c>
      <c r="L1067">
        <f t="shared" si="180"/>
        <v>53.4</v>
      </c>
      <c r="M1067">
        <f t="shared" si="181"/>
        <v>1</v>
      </c>
      <c r="N1067">
        <f t="shared" si="182"/>
        <v>0</v>
      </c>
    </row>
    <row r="1068" spans="4:14" x14ac:dyDescent="0.2">
      <c r="D1068">
        <f t="shared" si="184"/>
        <v>1045</v>
      </c>
      <c r="E1068" s="1">
        <f t="shared" si="185"/>
        <v>-121.08469080690958</v>
      </c>
      <c r="F1068" s="1">
        <f t="shared" si="186"/>
        <v>-121.66130417121357</v>
      </c>
      <c r="G1068" s="1">
        <f t="shared" si="183"/>
        <v>1.4560186481253116E-53</v>
      </c>
      <c r="H1068" s="1">
        <f t="shared" si="176"/>
        <v>1.5084045042483383E-54</v>
      </c>
      <c r="I1068">
        <f t="shared" si="177"/>
        <v>8</v>
      </c>
      <c r="J1068">
        <f t="shared" si="178"/>
        <v>1035</v>
      </c>
      <c r="K1068" s="5">
        <f t="shared" si="179"/>
        <v>0</v>
      </c>
      <c r="L1068">
        <f t="shared" si="180"/>
        <v>53.4</v>
      </c>
      <c r="M1068">
        <f t="shared" si="181"/>
        <v>1</v>
      </c>
      <c r="N1068">
        <f t="shared" si="182"/>
        <v>0</v>
      </c>
    </row>
    <row r="1069" spans="4:14" x14ac:dyDescent="0.2">
      <c r="D1069">
        <f t="shared" si="184"/>
        <v>1046</v>
      </c>
      <c r="E1069" s="1">
        <f t="shared" si="185"/>
        <v>-121.20122462316553</v>
      </c>
      <c r="F1069" s="1">
        <f t="shared" si="186"/>
        <v>-121.77783798746952</v>
      </c>
      <c r="G1069" s="1">
        <f t="shared" si="183"/>
        <v>1.2958565968315264E-53</v>
      </c>
      <c r="H1069" s="1">
        <f t="shared" si="176"/>
        <v>1.3424800087810202E-54</v>
      </c>
      <c r="I1069">
        <f t="shared" si="177"/>
        <v>8</v>
      </c>
      <c r="J1069">
        <f t="shared" si="178"/>
        <v>1036</v>
      </c>
      <c r="K1069" s="5">
        <f t="shared" si="179"/>
        <v>0</v>
      </c>
      <c r="L1069">
        <f t="shared" si="180"/>
        <v>53.4</v>
      </c>
      <c r="M1069">
        <f t="shared" si="181"/>
        <v>1</v>
      </c>
      <c r="N1069">
        <f t="shared" si="182"/>
        <v>0</v>
      </c>
    </row>
    <row r="1070" spans="4:14" x14ac:dyDescent="0.2">
      <c r="D1070">
        <f t="shared" si="184"/>
        <v>1047</v>
      </c>
      <c r="E1070" s="1">
        <f t="shared" si="185"/>
        <v>-121.31775843942148</v>
      </c>
      <c r="F1070" s="1">
        <f t="shared" si="186"/>
        <v>-121.89437180372548</v>
      </c>
      <c r="G1070" s="1">
        <f t="shared" si="183"/>
        <v>1.1533123711800578E-53</v>
      </c>
      <c r="H1070" s="1">
        <f t="shared" si="176"/>
        <v>1.1948072078151072E-54</v>
      </c>
      <c r="I1070">
        <f t="shared" si="177"/>
        <v>8</v>
      </c>
      <c r="J1070">
        <f t="shared" si="178"/>
        <v>1037</v>
      </c>
      <c r="K1070" s="5">
        <f t="shared" si="179"/>
        <v>0</v>
      </c>
      <c r="L1070">
        <f t="shared" si="180"/>
        <v>53.4</v>
      </c>
      <c r="M1070">
        <f t="shared" si="181"/>
        <v>1</v>
      </c>
      <c r="N1070">
        <f t="shared" si="182"/>
        <v>0</v>
      </c>
    </row>
    <row r="1071" spans="4:14" x14ac:dyDescent="0.2">
      <c r="D1071">
        <f t="shared" si="184"/>
        <v>1048</v>
      </c>
      <c r="E1071" s="1">
        <f t="shared" si="185"/>
        <v>-121.43429225567743</v>
      </c>
      <c r="F1071" s="1">
        <f t="shared" si="186"/>
        <v>-122.01090561998143</v>
      </c>
      <c r="G1071" s="1">
        <f t="shared" si="183"/>
        <v>1.0264480103502508E-53</v>
      </c>
      <c r="H1071" s="1">
        <f t="shared" si="176"/>
        <v>1.0633784149554447E-54</v>
      </c>
      <c r="I1071">
        <f t="shared" si="177"/>
        <v>8</v>
      </c>
      <c r="J1071">
        <f t="shared" si="178"/>
        <v>1038</v>
      </c>
      <c r="K1071" s="5">
        <f t="shared" si="179"/>
        <v>0</v>
      </c>
      <c r="L1071">
        <f t="shared" si="180"/>
        <v>53.4</v>
      </c>
      <c r="M1071">
        <f t="shared" si="181"/>
        <v>1</v>
      </c>
      <c r="N1071">
        <f t="shared" si="182"/>
        <v>0</v>
      </c>
    </row>
    <row r="1072" spans="4:14" x14ac:dyDescent="0.2">
      <c r="D1072">
        <f t="shared" si="184"/>
        <v>1049</v>
      </c>
      <c r="E1072" s="1">
        <f t="shared" si="185"/>
        <v>-121.55082607193339</v>
      </c>
      <c r="F1072" s="1">
        <f t="shared" si="186"/>
        <v>-122.12743943623738</v>
      </c>
      <c r="G1072" s="1">
        <f t="shared" si="183"/>
        <v>9.1353872921172275E-54</v>
      </c>
      <c r="H1072" s="1">
        <f t="shared" si="176"/>
        <v>9.4640678931034538E-55</v>
      </c>
      <c r="I1072">
        <f t="shared" si="177"/>
        <v>8</v>
      </c>
      <c r="J1072">
        <f t="shared" si="178"/>
        <v>1039</v>
      </c>
      <c r="K1072" s="5">
        <f t="shared" si="179"/>
        <v>0</v>
      </c>
      <c r="L1072">
        <f t="shared" si="180"/>
        <v>53.4</v>
      </c>
      <c r="M1072">
        <f t="shared" si="181"/>
        <v>1</v>
      </c>
      <c r="N1072">
        <f t="shared" si="182"/>
        <v>0</v>
      </c>
    </row>
    <row r="1073" spans="4:14" x14ac:dyDescent="0.2">
      <c r="D1073">
        <f t="shared" si="184"/>
        <v>1050</v>
      </c>
      <c r="E1073" s="1">
        <f t="shared" si="185"/>
        <v>-121.66735988818934</v>
      </c>
      <c r="F1073" s="1">
        <f t="shared" si="186"/>
        <v>-122.24397325249333</v>
      </c>
      <c r="G1073" s="1">
        <f t="shared" si="183"/>
        <v>8.1304946899843272E-54</v>
      </c>
      <c r="H1073" s="1">
        <f t="shared" si="176"/>
        <v>8.423020424862068E-55</v>
      </c>
      <c r="I1073">
        <f t="shared" si="177"/>
        <v>8</v>
      </c>
      <c r="J1073">
        <f t="shared" si="178"/>
        <v>1040</v>
      </c>
      <c r="K1073" s="5">
        <f t="shared" si="179"/>
        <v>0</v>
      </c>
      <c r="L1073">
        <f t="shared" si="180"/>
        <v>53.4</v>
      </c>
      <c r="M1073">
        <f t="shared" si="181"/>
        <v>1</v>
      </c>
      <c r="N1073">
        <f t="shared" si="182"/>
        <v>0</v>
      </c>
    </row>
    <row r="1074" spans="4:14" x14ac:dyDescent="0.2">
      <c r="D1074">
        <f t="shared" si="184"/>
        <v>1051</v>
      </c>
      <c r="E1074" s="1">
        <f t="shared" si="185"/>
        <v>-121.78389370444529</v>
      </c>
      <c r="F1074" s="1">
        <f t="shared" si="186"/>
        <v>-122.36050706874929</v>
      </c>
      <c r="G1074" s="1">
        <f t="shared" si="183"/>
        <v>7.2361402740860464E-54</v>
      </c>
      <c r="H1074" s="1">
        <f t="shared" si="176"/>
        <v>7.496488178127236E-55</v>
      </c>
      <c r="I1074">
        <f t="shared" si="177"/>
        <v>8</v>
      </c>
      <c r="J1074">
        <f t="shared" si="178"/>
        <v>1041</v>
      </c>
      <c r="K1074" s="5">
        <f t="shared" si="179"/>
        <v>0</v>
      </c>
      <c r="L1074">
        <f t="shared" si="180"/>
        <v>53.4</v>
      </c>
      <c r="M1074">
        <f t="shared" si="181"/>
        <v>1</v>
      </c>
      <c r="N1074">
        <f t="shared" si="182"/>
        <v>0</v>
      </c>
    </row>
    <row r="1075" spans="4:14" x14ac:dyDescent="0.2">
      <c r="D1075">
        <f t="shared" si="184"/>
        <v>1052</v>
      </c>
      <c r="E1075" s="1">
        <f t="shared" si="185"/>
        <v>-121.90042752070124</v>
      </c>
      <c r="F1075" s="1">
        <f t="shared" si="186"/>
        <v>-122.47704088500524</v>
      </c>
      <c r="G1075" s="1">
        <f t="shared" si="183"/>
        <v>6.4401648439365776E-54</v>
      </c>
      <c r="H1075" s="1">
        <f t="shared" si="176"/>
        <v>6.6718744785332361E-55</v>
      </c>
      <c r="I1075">
        <f t="shared" si="177"/>
        <v>8</v>
      </c>
      <c r="J1075">
        <f t="shared" si="178"/>
        <v>1042</v>
      </c>
      <c r="K1075" s="5">
        <f t="shared" si="179"/>
        <v>0</v>
      </c>
      <c r="L1075">
        <f t="shared" si="180"/>
        <v>53.4</v>
      </c>
      <c r="M1075">
        <f t="shared" si="181"/>
        <v>1</v>
      </c>
      <c r="N1075">
        <f t="shared" si="182"/>
        <v>0</v>
      </c>
    </row>
    <row r="1076" spans="4:14" x14ac:dyDescent="0.2">
      <c r="D1076">
        <f t="shared" si="184"/>
        <v>1053</v>
      </c>
      <c r="E1076" s="1">
        <f t="shared" si="185"/>
        <v>-122.01696133695719</v>
      </c>
      <c r="F1076" s="1">
        <f t="shared" si="186"/>
        <v>-122.59357470126119</v>
      </c>
      <c r="G1076" s="1">
        <f t="shared" si="183"/>
        <v>5.7317467111035495E-54</v>
      </c>
      <c r="H1076" s="1">
        <f t="shared" si="176"/>
        <v>5.9379682858945751E-55</v>
      </c>
      <c r="I1076">
        <f t="shared" si="177"/>
        <v>8</v>
      </c>
      <c r="J1076">
        <f t="shared" si="178"/>
        <v>1043</v>
      </c>
      <c r="K1076" s="5">
        <f t="shared" si="179"/>
        <v>0</v>
      </c>
      <c r="L1076">
        <f t="shared" si="180"/>
        <v>53.4</v>
      </c>
      <c r="M1076">
        <f t="shared" si="181"/>
        <v>1</v>
      </c>
      <c r="N1076">
        <f t="shared" si="182"/>
        <v>0</v>
      </c>
    </row>
    <row r="1077" spans="4:14" x14ac:dyDescent="0.2">
      <c r="D1077">
        <f t="shared" si="184"/>
        <v>1054</v>
      </c>
      <c r="E1077" s="1">
        <f t="shared" si="185"/>
        <v>-122.13349515321315</v>
      </c>
      <c r="F1077" s="1">
        <f t="shared" si="186"/>
        <v>-122.71010851751714</v>
      </c>
      <c r="G1077" s="1">
        <f t="shared" si="183"/>
        <v>5.1012545728821563E-54</v>
      </c>
      <c r="H1077" s="1">
        <f t="shared" si="176"/>
        <v>5.2847917744461693E-55</v>
      </c>
      <c r="I1077">
        <f t="shared" si="177"/>
        <v>8</v>
      </c>
      <c r="J1077">
        <f t="shared" si="178"/>
        <v>1044</v>
      </c>
      <c r="K1077" s="5">
        <f t="shared" si="179"/>
        <v>0</v>
      </c>
      <c r="L1077">
        <f t="shared" si="180"/>
        <v>53.4</v>
      </c>
      <c r="M1077">
        <f t="shared" si="181"/>
        <v>1</v>
      </c>
      <c r="N1077">
        <f t="shared" si="182"/>
        <v>0</v>
      </c>
    </row>
    <row r="1078" spans="4:14" x14ac:dyDescent="0.2">
      <c r="D1078">
        <f t="shared" si="184"/>
        <v>1055</v>
      </c>
      <c r="E1078" s="1">
        <f t="shared" si="185"/>
        <v>-122.2500289694691</v>
      </c>
      <c r="F1078" s="1">
        <f t="shared" si="186"/>
        <v>-122.82664233377309</v>
      </c>
      <c r="G1078" s="1">
        <f t="shared" si="183"/>
        <v>4.5401165698651163E-54</v>
      </c>
      <c r="H1078" s="1">
        <f t="shared" si="176"/>
        <v>4.7034646792570876E-55</v>
      </c>
      <c r="I1078">
        <f t="shared" si="177"/>
        <v>8</v>
      </c>
      <c r="J1078">
        <f t="shared" si="178"/>
        <v>1045</v>
      </c>
      <c r="K1078" s="5">
        <f t="shared" si="179"/>
        <v>0</v>
      </c>
      <c r="L1078">
        <f t="shared" si="180"/>
        <v>53.4</v>
      </c>
      <c r="M1078">
        <f t="shared" si="181"/>
        <v>1</v>
      </c>
      <c r="N1078">
        <f t="shared" si="182"/>
        <v>0</v>
      </c>
    </row>
    <row r="1079" spans="4:14" x14ac:dyDescent="0.2">
      <c r="D1079">
        <f t="shared" si="184"/>
        <v>1056</v>
      </c>
      <c r="E1079" s="1">
        <f t="shared" si="185"/>
        <v>-122.36656278572505</v>
      </c>
      <c r="F1079" s="1">
        <f t="shared" si="186"/>
        <v>-122.94317615002905</v>
      </c>
      <c r="G1079" s="1">
        <f t="shared" si="183"/>
        <v>4.0407037471799509E-54</v>
      </c>
      <c r="H1079" s="1">
        <f t="shared" si="176"/>
        <v>4.1860835645388052E-55</v>
      </c>
      <c r="I1079">
        <f t="shared" si="177"/>
        <v>8</v>
      </c>
      <c r="J1079">
        <f t="shared" si="178"/>
        <v>1046</v>
      </c>
      <c r="K1079" s="5">
        <f t="shared" si="179"/>
        <v>0</v>
      </c>
      <c r="L1079">
        <f t="shared" si="180"/>
        <v>53.4</v>
      </c>
      <c r="M1079">
        <f t="shared" si="181"/>
        <v>1</v>
      </c>
      <c r="N1079">
        <f t="shared" si="182"/>
        <v>0</v>
      </c>
    </row>
    <row r="1080" spans="4:14" x14ac:dyDescent="0.2">
      <c r="D1080">
        <f t="shared" si="184"/>
        <v>1057</v>
      </c>
      <c r="E1080" s="1">
        <f t="shared" si="185"/>
        <v>-122.483096601981</v>
      </c>
      <c r="F1080" s="1">
        <f t="shared" si="186"/>
        <v>-123.059709966285</v>
      </c>
      <c r="G1080" s="1">
        <f t="shared" si="183"/>
        <v>3.5962263349901543E-54</v>
      </c>
      <c r="H1080" s="1">
        <f t="shared" si="176"/>
        <v>3.7256143724395343E-55</v>
      </c>
      <c r="I1080">
        <f t="shared" si="177"/>
        <v>8</v>
      </c>
      <c r="J1080">
        <f t="shared" si="178"/>
        <v>1047</v>
      </c>
      <c r="K1080" s="5">
        <f t="shared" si="179"/>
        <v>0</v>
      </c>
      <c r="L1080">
        <f t="shared" si="180"/>
        <v>53.4</v>
      </c>
      <c r="M1080">
        <f t="shared" si="181"/>
        <v>1</v>
      </c>
      <c r="N1080">
        <f t="shared" si="182"/>
        <v>0</v>
      </c>
    </row>
    <row r="1081" spans="4:14" x14ac:dyDescent="0.2">
      <c r="D1081">
        <f t="shared" si="184"/>
        <v>1058</v>
      </c>
      <c r="E1081" s="1">
        <f t="shared" si="185"/>
        <v>-122.59963041823696</v>
      </c>
      <c r="F1081" s="1">
        <f t="shared" si="186"/>
        <v>-123.17624378254095</v>
      </c>
      <c r="G1081" s="1">
        <f t="shared" si="183"/>
        <v>3.2006414381412349E-54</v>
      </c>
      <c r="H1081" s="1">
        <f t="shared" si="176"/>
        <v>3.315796791471183E-55</v>
      </c>
      <c r="I1081">
        <f t="shared" si="177"/>
        <v>8</v>
      </c>
      <c r="J1081">
        <f t="shared" si="178"/>
        <v>1048</v>
      </c>
      <c r="K1081" s="5">
        <f t="shared" si="179"/>
        <v>0</v>
      </c>
      <c r="L1081">
        <f t="shared" si="180"/>
        <v>53.4</v>
      </c>
      <c r="M1081">
        <f t="shared" si="181"/>
        <v>1</v>
      </c>
      <c r="N1081">
        <f t="shared" si="182"/>
        <v>0</v>
      </c>
    </row>
    <row r="1082" spans="4:14" x14ac:dyDescent="0.2">
      <c r="D1082">
        <f t="shared" si="184"/>
        <v>1059</v>
      </c>
      <c r="E1082" s="1">
        <f t="shared" si="185"/>
        <v>-122.71616423449291</v>
      </c>
      <c r="F1082" s="1">
        <f t="shared" si="186"/>
        <v>-123.2927775987969</v>
      </c>
      <c r="G1082" s="1">
        <f t="shared" si="183"/>
        <v>2.8485708799456976E-54</v>
      </c>
      <c r="H1082" s="1">
        <f t="shared" si="176"/>
        <v>2.9510591444093513E-55</v>
      </c>
      <c r="I1082">
        <f t="shared" si="177"/>
        <v>8</v>
      </c>
      <c r="J1082">
        <f t="shared" si="178"/>
        <v>1049</v>
      </c>
      <c r="K1082" s="5">
        <f t="shared" si="179"/>
        <v>0</v>
      </c>
      <c r="L1082">
        <f t="shared" si="180"/>
        <v>53.4</v>
      </c>
      <c r="M1082">
        <f t="shared" si="181"/>
        <v>1</v>
      </c>
      <c r="N1082">
        <f t="shared" si="182"/>
        <v>0</v>
      </c>
    </row>
    <row r="1083" spans="4:14" x14ac:dyDescent="0.2">
      <c r="D1083">
        <f t="shared" si="184"/>
        <v>1060</v>
      </c>
      <c r="E1083" s="1">
        <f t="shared" si="185"/>
        <v>-122.83269805074886</v>
      </c>
      <c r="F1083" s="1">
        <f t="shared" si="186"/>
        <v>-123.40931141505285</v>
      </c>
      <c r="G1083" s="1">
        <f t="shared" si="183"/>
        <v>2.5352280831516691E-54</v>
      </c>
      <c r="H1083" s="1">
        <f t="shared" si="176"/>
        <v>2.6264426385243211E-55</v>
      </c>
      <c r="I1083">
        <f t="shared" si="177"/>
        <v>8</v>
      </c>
      <c r="J1083">
        <f t="shared" si="178"/>
        <v>1050</v>
      </c>
      <c r="K1083" s="5">
        <f t="shared" si="179"/>
        <v>0</v>
      </c>
      <c r="L1083">
        <f t="shared" si="180"/>
        <v>53.4</v>
      </c>
      <c r="M1083">
        <f t="shared" si="181"/>
        <v>1</v>
      </c>
      <c r="N1083">
        <f t="shared" si="182"/>
        <v>0</v>
      </c>
    </row>
    <row r="1084" spans="4:14" x14ac:dyDescent="0.2">
      <c r="D1084">
        <f t="shared" si="184"/>
        <v>1061</v>
      </c>
      <c r="E1084" s="1">
        <f t="shared" si="185"/>
        <v>-122.94923186700481</v>
      </c>
      <c r="F1084" s="1">
        <f t="shared" si="186"/>
        <v>-123.52584523130881</v>
      </c>
      <c r="G1084" s="1">
        <f t="shared" si="183"/>
        <v>2.2563529940049841E-54</v>
      </c>
      <c r="H1084" s="1">
        <f t="shared" si="176"/>
        <v>2.3375339482866443E-55</v>
      </c>
      <c r="I1084">
        <f t="shared" si="177"/>
        <v>8</v>
      </c>
      <c r="J1084">
        <f t="shared" si="178"/>
        <v>1051</v>
      </c>
      <c r="K1084" s="5">
        <f t="shared" si="179"/>
        <v>0</v>
      </c>
      <c r="L1084">
        <f t="shared" si="180"/>
        <v>53.4</v>
      </c>
      <c r="M1084">
        <f t="shared" si="181"/>
        <v>1</v>
      </c>
      <c r="N1084">
        <f t="shared" si="182"/>
        <v>0</v>
      </c>
    </row>
    <row r="1085" spans="4:14" x14ac:dyDescent="0.2">
      <c r="D1085">
        <f t="shared" si="184"/>
        <v>1062</v>
      </c>
      <c r="E1085" s="1">
        <f t="shared" si="185"/>
        <v>-123.06576568326076</v>
      </c>
      <c r="F1085" s="1">
        <f t="shared" si="186"/>
        <v>-123.64237904756476</v>
      </c>
      <c r="G1085" s="1">
        <f t="shared" si="183"/>
        <v>2.0081541646644346E-54</v>
      </c>
      <c r="H1085" s="1">
        <f t="shared" si="176"/>
        <v>2.0804052139751123E-55</v>
      </c>
      <c r="I1085">
        <f t="shared" si="177"/>
        <v>8</v>
      </c>
      <c r="J1085">
        <f t="shared" si="178"/>
        <v>1052</v>
      </c>
      <c r="K1085" s="5">
        <f t="shared" si="179"/>
        <v>0</v>
      </c>
      <c r="L1085">
        <f t="shared" si="180"/>
        <v>53.4</v>
      </c>
      <c r="M1085">
        <f t="shared" si="181"/>
        <v>1</v>
      </c>
      <c r="N1085">
        <f t="shared" si="182"/>
        <v>0</v>
      </c>
    </row>
    <row r="1086" spans="4:14" x14ac:dyDescent="0.2">
      <c r="D1086">
        <f t="shared" si="184"/>
        <v>1063</v>
      </c>
      <c r="E1086" s="1">
        <f t="shared" si="185"/>
        <v>-123.18229949951672</v>
      </c>
      <c r="F1086" s="1">
        <f t="shared" si="186"/>
        <v>-123.75891286382071</v>
      </c>
      <c r="G1086" s="1">
        <f t="shared" si="183"/>
        <v>1.7872572065513457E-54</v>
      </c>
      <c r="H1086" s="1">
        <f t="shared" si="176"/>
        <v>1.8515606404378485E-55</v>
      </c>
      <c r="I1086">
        <f t="shared" si="177"/>
        <v>8</v>
      </c>
      <c r="J1086">
        <f t="shared" si="178"/>
        <v>1053</v>
      </c>
      <c r="K1086" s="5">
        <f t="shared" si="179"/>
        <v>0</v>
      </c>
      <c r="L1086">
        <f t="shared" si="180"/>
        <v>53.4</v>
      </c>
      <c r="M1086">
        <f t="shared" si="181"/>
        <v>1</v>
      </c>
      <c r="N1086">
        <f t="shared" si="182"/>
        <v>0</v>
      </c>
    </row>
    <row r="1087" spans="4:14" x14ac:dyDescent="0.2">
      <c r="D1087">
        <f t="shared" si="184"/>
        <v>1064</v>
      </c>
      <c r="E1087" s="1">
        <f t="shared" si="185"/>
        <v>-123.29883331577267</v>
      </c>
      <c r="F1087" s="1">
        <f t="shared" si="186"/>
        <v>-123.87544668007666</v>
      </c>
      <c r="G1087" s="1">
        <f t="shared" si="183"/>
        <v>1.5906589138306965E-54</v>
      </c>
      <c r="H1087" s="1">
        <f t="shared" si="176"/>
        <v>1.6478889699896841E-55</v>
      </c>
      <c r="I1087">
        <f t="shared" si="177"/>
        <v>8</v>
      </c>
      <c r="J1087">
        <f t="shared" si="178"/>
        <v>1054</v>
      </c>
      <c r="K1087" s="5">
        <f t="shared" si="179"/>
        <v>0</v>
      </c>
      <c r="L1087">
        <f t="shared" si="180"/>
        <v>53.4</v>
      </c>
      <c r="M1087">
        <f t="shared" si="181"/>
        <v>1</v>
      </c>
      <c r="N1087">
        <f t="shared" si="182"/>
        <v>0</v>
      </c>
    </row>
    <row r="1088" spans="4:14" x14ac:dyDescent="0.2">
      <c r="D1088">
        <f t="shared" si="184"/>
        <v>1065</v>
      </c>
      <c r="E1088" s="1">
        <f t="shared" si="185"/>
        <v>-123.41536713202862</v>
      </c>
      <c r="F1088" s="1">
        <f t="shared" si="186"/>
        <v>-123.99198049633262</v>
      </c>
      <c r="G1088" s="1">
        <f t="shared" si="183"/>
        <v>1.4156864333093191E-54</v>
      </c>
      <c r="H1088" s="1">
        <f t="shared" si="176"/>
        <v>1.4666211832908179E-55</v>
      </c>
      <c r="I1088">
        <f t="shared" si="177"/>
        <v>8</v>
      </c>
      <c r="J1088">
        <f t="shared" si="178"/>
        <v>1055</v>
      </c>
      <c r="K1088" s="5">
        <f t="shared" si="179"/>
        <v>0</v>
      </c>
      <c r="L1088">
        <f t="shared" si="180"/>
        <v>53.4</v>
      </c>
      <c r="M1088">
        <f t="shared" si="181"/>
        <v>1</v>
      </c>
      <c r="N1088">
        <f t="shared" si="182"/>
        <v>0</v>
      </c>
    </row>
    <row r="1089" spans="4:14" x14ac:dyDescent="0.2">
      <c r="D1089">
        <f t="shared" si="184"/>
        <v>1066</v>
      </c>
      <c r="E1089" s="1">
        <f t="shared" si="185"/>
        <v>-123.53190094828457</v>
      </c>
      <c r="F1089" s="1">
        <f t="shared" si="186"/>
        <v>-124.10851431258857</v>
      </c>
      <c r="G1089" s="1">
        <f t="shared" si="183"/>
        <v>1.2599609256452933E-54</v>
      </c>
      <c r="H1089" s="1">
        <f t="shared" si="176"/>
        <v>1.3052928531288272E-55</v>
      </c>
      <c r="I1089">
        <f t="shared" si="177"/>
        <v>8</v>
      </c>
      <c r="J1089">
        <f t="shared" si="178"/>
        <v>1056</v>
      </c>
      <c r="K1089" s="5">
        <f t="shared" si="179"/>
        <v>0</v>
      </c>
      <c r="L1089">
        <f t="shared" si="180"/>
        <v>53.4</v>
      </c>
      <c r="M1089">
        <f t="shared" si="181"/>
        <v>1</v>
      </c>
      <c r="N1089">
        <f t="shared" si="182"/>
        <v>0</v>
      </c>
    </row>
    <row r="1090" spans="4:14" x14ac:dyDescent="0.2">
      <c r="D1090">
        <f t="shared" si="184"/>
        <v>1067</v>
      </c>
      <c r="E1090" s="1">
        <f t="shared" si="185"/>
        <v>-123.64843476454053</v>
      </c>
      <c r="F1090" s="1">
        <f t="shared" si="186"/>
        <v>-124.22504812884452</v>
      </c>
      <c r="G1090" s="1">
        <f t="shared" si="183"/>
        <v>1.1213652238243102E-54</v>
      </c>
      <c r="H1090" s="1">
        <f t="shared" si="176"/>
        <v>1.1617106392846555E-55</v>
      </c>
      <c r="I1090">
        <f t="shared" si="177"/>
        <v>8</v>
      </c>
      <c r="J1090">
        <f t="shared" si="178"/>
        <v>1057</v>
      </c>
      <c r="K1090" s="5">
        <f t="shared" si="179"/>
        <v>0</v>
      </c>
      <c r="L1090">
        <f t="shared" si="180"/>
        <v>53.4</v>
      </c>
      <c r="M1090">
        <f t="shared" si="181"/>
        <v>1</v>
      </c>
      <c r="N1090">
        <f t="shared" si="182"/>
        <v>0</v>
      </c>
    </row>
    <row r="1091" spans="4:14" x14ac:dyDescent="0.2">
      <c r="D1091">
        <f t="shared" si="184"/>
        <v>1068</v>
      </c>
      <c r="E1091" s="1">
        <f t="shared" si="185"/>
        <v>-123.76496858079648</v>
      </c>
      <c r="F1091" s="1">
        <f t="shared" si="186"/>
        <v>-124.34158194510047</v>
      </c>
      <c r="G1091" s="1">
        <f t="shared" si="183"/>
        <v>9.9801504920363549E-55</v>
      </c>
      <c r="H1091" s="1">
        <f t="shared" si="176"/>
        <v>1.0339224689633428E-55</v>
      </c>
      <c r="I1091">
        <f t="shared" si="177"/>
        <v>8</v>
      </c>
      <c r="J1091">
        <f t="shared" si="178"/>
        <v>1058</v>
      </c>
      <c r="K1091" s="5">
        <f t="shared" si="179"/>
        <v>0</v>
      </c>
      <c r="L1091">
        <f t="shared" si="180"/>
        <v>53.4</v>
      </c>
      <c r="M1091">
        <f t="shared" si="181"/>
        <v>1</v>
      </c>
      <c r="N1091">
        <f t="shared" si="182"/>
        <v>0</v>
      </c>
    </row>
    <row r="1092" spans="4:14" x14ac:dyDescent="0.2">
      <c r="D1092">
        <f t="shared" si="184"/>
        <v>1069</v>
      </c>
      <c r="E1092" s="1">
        <f t="shared" si="185"/>
        <v>-123.88150239705243</v>
      </c>
      <c r="F1092" s="1">
        <f t="shared" si="186"/>
        <v>-124.45811576135642</v>
      </c>
      <c r="G1092" s="1">
        <f t="shared" si="183"/>
        <v>8.8823339379123509E-55</v>
      </c>
      <c r="H1092" s="1">
        <f t="shared" si="176"/>
        <v>9.2019099737737454E-56</v>
      </c>
      <c r="I1092">
        <f t="shared" si="177"/>
        <v>8</v>
      </c>
      <c r="J1092">
        <f t="shared" si="178"/>
        <v>1059</v>
      </c>
      <c r="K1092" s="5">
        <f t="shared" si="179"/>
        <v>0</v>
      </c>
      <c r="L1092">
        <f t="shared" si="180"/>
        <v>53.4</v>
      </c>
      <c r="M1092">
        <f t="shared" si="181"/>
        <v>1</v>
      </c>
      <c r="N1092">
        <f t="shared" si="182"/>
        <v>0</v>
      </c>
    </row>
    <row r="1093" spans="4:14" x14ac:dyDescent="0.2">
      <c r="D1093">
        <f t="shared" si="184"/>
        <v>1070</v>
      </c>
      <c r="E1093" s="1">
        <f t="shared" si="185"/>
        <v>-123.99803621330838</v>
      </c>
      <c r="F1093" s="1">
        <f t="shared" si="186"/>
        <v>-124.57464957761238</v>
      </c>
      <c r="G1093" s="1">
        <f t="shared" si="183"/>
        <v>7.9052772047419872E-55</v>
      </c>
      <c r="H1093" s="1">
        <f t="shared" si="176"/>
        <v>8.1896998766586274E-56</v>
      </c>
      <c r="I1093">
        <f t="shared" si="177"/>
        <v>8</v>
      </c>
      <c r="J1093">
        <f t="shared" si="178"/>
        <v>1060</v>
      </c>
      <c r="K1093" s="5">
        <f t="shared" si="179"/>
        <v>0</v>
      </c>
      <c r="L1093">
        <f t="shared" si="180"/>
        <v>53.4</v>
      </c>
      <c r="M1093">
        <f t="shared" si="181"/>
        <v>1</v>
      </c>
      <c r="N1093">
        <f t="shared" si="182"/>
        <v>0</v>
      </c>
    </row>
    <row r="1094" spans="4:14" x14ac:dyDescent="0.2">
      <c r="D1094">
        <f t="shared" si="184"/>
        <v>1071</v>
      </c>
      <c r="E1094" s="1">
        <f t="shared" si="185"/>
        <v>-124.11457002956433</v>
      </c>
      <c r="F1094" s="1">
        <f t="shared" si="186"/>
        <v>-124.69118339386833</v>
      </c>
      <c r="G1094" s="1">
        <f t="shared" si="183"/>
        <v>7.0356967122203643E-55</v>
      </c>
      <c r="H1094" s="1">
        <f t="shared" si="176"/>
        <v>7.2888328902261745E-56</v>
      </c>
      <c r="I1094">
        <f t="shared" si="177"/>
        <v>8</v>
      </c>
      <c r="J1094">
        <f t="shared" si="178"/>
        <v>1061</v>
      </c>
      <c r="K1094" s="5">
        <f t="shared" si="179"/>
        <v>0</v>
      </c>
      <c r="L1094">
        <f t="shared" si="180"/>
        <v>53.4</v>
      </c>
      <c r="M1094">
        <f t="shared" si="181"/>
        <v>1</v>
      </c>
      <c r="N1094">
        <f t="shared" si="182"/>
        <v>0</v>
      </c>
    </row>
    <row r="1095" spans="4:14" x14ac:dyDescent="0.2">
      <c r="D1095">
        <f t="shared" si="184"/>
        <v>1072</v>
      </c>
      <c r="E1095" s="1">
        <f t="shared" si="185"/>
        <v>-124.23110384582029</v>
      </c>
      <c r="F1095" s="1">
        <f t="shared" si="186"/>
        <v>-124.80771721012428</v>
      </c>
      <c r="G1095" s="1">
        <f t="shared" si="183"/>
        <v>6.26177007387612E-55</v>
      </c>
      <c r="H1095" s="1">
        <f t="shared" si="176"/>
        <v>6.4870612723012909E-56</v>
      </c>
      <c r="I1095">
        <f t="shared" si="177"/>
        <v>8</v>
      </c>
      <c r="J1095">
        <f t="shared" si="178"/>
        <v>1062</v>
      </c>
      <c r="K1095" s="5">
        <f t="shared" si="179"/>
        <v>0</v>
      </c>
      <c r="L1095">
        <f t="shared" si="180"/>
        <v>53.4</v>
      </c>
      <c r="M1095">
        <f t="shared" si="181"/>
        <v>1</v>
      </c>
      <c r="N1095">
        <f t="shared" si="182"/>
        <v>0</v>
      </c>
    </row>
    <row r="1096" spans="4:14" x14ac:dyDescent="0.2">
      <c r="D1096">
        <f t="shared" si="184"/>
        <v>1073</v>
      </c>
      <c r="E1096" s="1">
        <f t="shared" si="185"/>
        <v>-124.34763766207624</v>
      </c>
      <c r="F1096" s="1">
        <f t="shared" si="186"/>
        <v>-124.92425102638023</v>
      </c>
      <c r="G1096" s="1">
        <f t="shared" si="183"/>
        <v>5.572975365749743E-55</v>
      </c>
      <c r="H1096" s="1">
        <f t="shared" si="176"/>
        <v>5.7734845323481452E-56</v>
      </c>
      <c r="I1096">
        <f t="shared" si="177"/>
        <v>8</v>
      </c>
      <c r="J1096">
        <f t="shared" si="178"/>
        <v>1063</v>
      </c>
      <c r="K1096" s="5">
        <f t="shared" si="179"/>
        <v>0</v>
      </c>
      <c r="L1096">
        <f t="shared" si="180"/>
        <v>53.4</v>
      </c>
      <c r="M1096">
        <f t="shared" si="181"/>
        <v>1</v>
      </c>
      <c r="N1096">
        <f t="shared" si="182"/>
        <v>0</v>
      </c>
    </row>
    <row r="1097" spans="4:14" x14ac:dyDescent="0.2">
      <c r="D1097">
        <f t="shared" si="184"/>
        <v>1074</v>
      </c>
      <c r="E1097" s="1">
        <f t="shared" si="185"/>
        <v>-124.46417147833219</v>
      </c>
      <c r="F1097" s="1">
        <f t="shared" si="186"/>
        <v>-125.04078484263619</v>
      </c>
      <c r="G1097" s="1">
        <f t="shared" si="183"/>
        <v>4.9599480755172685E-55</v>
      </c>
      <c r="H1097" s="1">
        <f t="shared" si="176"/>
        <v>5.1384012337898458E-56</v>
      </c>
      <c r="I1097">
        <f t="shared" si="177"/>
        <v>8</v>
      </c>
      <c r="J1097">
        <f t="shared" si="178"/>
        <v>1064</v>
      </c>
      <c r="K1097" s="5">
        <f t="shared" si="179"/>
        <v>0</v>
      </c>
      <c r="L1097">
        <f t="shared" si="180"/>
        <v>53.4</v>
      </c>
      <c r="M1097">
        <f t="shared" si="181"/>
        <v>1</v>
      </c>
      <c r="N1097">
        <f t="shared" si="182"/>
        <v>0</v>
      </c>
    </row>
    <row r="1098" spans="4:14" x14ac:dyDescent="0.2">
      <c r="D1098">
        <f t="shared" si="184"/>
        <v>1075</v>
      </c>
      <c r="E1098" s="1">
        <f t="shared" si="185"/>
        <v>-124.58070529458814</v>
      </c>
      <c r="F1098" s="1">
        <f t="shared" si="186"/>
        <v>-125.15731865889214</v>
      </c>
      <c r="G1098" s="1">
        <f t="shared" si="183"/>
        <v>4.4143537872103662E-55</v>
      </c>
      <c r="H1098" s="1">
        <f t="shared" si="176"/>
        <v>4.5731770980729602E-56</v>
      </c>
      <c r="I1098">
        <f t="shared" si="177"/>
        <v>8</v>
      </c>
      <c r="J1098">
        <f t="shared" si="178"/>
        <v>1065</v>
      </c>
      <c r="K1098" s="5">
        <f t="shared" si="179"/>
        <v>0</v>
      </c>
      <c r="L1098">
        <f t="shared" si="180"/>
        <v>53.4</v>
      </c>
      <c r="M1098">
        <f t="shared" si="181"/>
        <v>1</v>
      </c>
      <c r="N1098">
        <f t="shared" si="182"/>
        <v>0</v>
      </c>
    </row>
    <row r="1099" spans="4:14" x14ac:dyDescent="0.2">
      <c r="D1099">
        <f t="shared" si="184"/>
        <v>1076</v>
      </c>
      <c r="E1099" s="1">
        <f t="shared" si="185"/>
        <v>-124.69723911084409</v>
      </c>
      <c r="F1099" s="1">
        <f t="shared" si="186"/>
        <v>-125.27385247514809</v>
      </c>
      <c r="G1099" s="1">
        <f t="shared" si="183"/>
        <v>3.9287748706172232E-55</v>
      </c>
      <c r="H1099" s="1">
        <f t="shared" si="176"/>
        <v>4.0701276172849317E-56</v>
      </c>
      <c r="I1099">
        <f t="shared" si="177"/>
        <v>8</v>
      </c>
      <c r="J1099">
        <f t="shared" si="178"/>
        <v>1066</v>
      </c>
      <c r="K1099" s="5">
        <f t="shared" si="179"/>
        <v>0</v>
      </c>
      <c r="L1099">
        <f t="shared" si="180"/>
        <v>53.4</v>
      </c>
      <c r="M1099">
        <f t="shared" si="181"/>
        <v>1</v>
      </c>
      <c r="N1099">
        <f t="shared" si="182"/>
        <v>0</v>
      </c>
    </row>
    <row r="1100" spans="4:14" x14ac:dyDescent="0.2">
      <c r="D1100">
        <f t="shared" si="184"/>
        <v>1077</v>
      </c>
      <c r="E1100" s="1">
        <f t="shared" si="185"/>
        <v>-124.81377292710005</v>
      </c>
      <c r="F1100" s="1">
        <f t="shared" si="186"/>
        <v>-125.39038629140404</v>
      </c>
      <c r="G1100" s="1">
        <f t="shared" si="183"/>
        <v>3.4966096348493263E-55</v>
      </c>
      <c r="H1100" s="1">
        <f t="shared" si="176"/>
        <v>3.6224135793835868E-56</v>
      </c>
      <c r="I1100">
        <f t="shared" si="177"/>
        <v>8</v>
      </c>
      <c r="J1100">
        <f t="shared" si="178"/>
        <v>1067</v>
      </c>
      <c r="K1100" s="5">
        <f t="shared" si="179"/>
        <v>0</v>
      </c>
      <c r="L1100">
        <f t="shared" si="180"/>
        <v>53.4</v>
      </c>
      <c r="M1100">
        <f t="shared" si="181"/>
        <v>1</v>
      </c>
      <c r="N1100">
        <f t="shared" si="182"/>
        <v>0</v>
      </c>
    </row>
    <row r="1101" spans="4:14" x14ac:dyDescent="0.2">
      <c r="D1101">
        <f t="shared" si="184"/>
        <v>1078</v>
      </c>
      <c r="E1101" s="1">
        <f t="shared" si="185"/>
        <v>-124.930306743356</v>
      </c>
      <c r="F1101" s="1">
        <f t="shared" si="186"/>
        <v>-125.50692010765999</v>
      </c>
      <c r="G1101" s="1">
        <f t="shared" si="183"/>
        <v>3.1119825750158986E-55</v>
      </c>
      <c r="H1101" s="1">
        <f t="shared" si="176"/>
        <v>3.2239480856513904E-56</v>
      </c>
      <c r="I1101">
        <f t="shared" si="177"/>
        <v>8</v>
      </c>
      <c r="J1101">
        <f t="shared" si="178"/>
        <v>1068</v>
      </c>
      <c r="K1101" s="5">
        <f t="shared" si="179"/>
        <v>0</v>
      </c>
      <c r="L1101">
        <f t="shared" si="180"/>
        <v>53.4</v>
      </c>
      <c r="M1101">
        <f t="shared" si="181"/>
        <v>1</v>
      </c>
      <c r="N1101">
        <f t="shared" si="182"/>
        <v>0</v>
      </c>
    </row>
    <row r="1102" spans="4:14" x14ac:dyDescent="0.2">
      <c r="D1102">
        <f t="shared" si="184"/>
        <v>1079</v>
      </c>
      <c r="E1102" s="1">
        <f t="shared" si="185"/>
        <v>-125.04684055961195</v>
      </c>
      <c r="F1102" s="1">
        <f t="shared" si="186"/>
        <v>-125.62345392391595</v>
      </c>
      <c r="G1102" s="1">
        <f t="shared" si="183"/>
        <v>2.7696644917641481E-55</v>
      </c>
      <c r="H1102" s="1">
        <f t="shared" si="176"/>
        <v>2.8693137962297359E-56</v>
      </c>
      <c r="I1102">
        <f t="shared" si="177"/>
        <v>8</v>
      </c>
      <c r="J1102">
        <f t="shared" si="178"/>
        <v>1069</v>
      </c>
      <c r="K1102" s="5">
        <f t="shared" si="179"/>
        <v>0</v>
      </c>
      <c r="L1102">
        <f t="shared" si="180"/>
        <v>53.4</v>
      </c>
      <c r="M1102">
        <f t="shared" si="181"/>
        <v>1</v>
      </c>
      <c r="N1102">
        <f t="shared" si="182"/>
        <v>0</v>
      </c>
    </row>
    <row r="1103" spans="4:14" x14ac:dyDescent="0.2">
      <c r="D1103">
        <f t="shared" si="184"/>
        <v>1080</v>
      </c>
      <c r="E1103" s="1">
        <f t="shared" si="185"/>
        <v>-125.1633743758679</v>
      </c>
      <c r="F1103" s="1">
        <f t="shared" si="186"/>
        <v>-125.7399877401719</v>
      </c>
      <c r="G1103" s="1">
        <f t="shared" si="183"/>
        <v>2.46500139767009E-55</v>
      </c>
      <c r="H1103" s="1">
        <f t="shared" si="176"/>
        <v>2.5536892786444631E-56</v>
      </c>
      <c r="I1103">
        <f t="shared" si="177"/>
        <v>8</v>
      </c>
      <c r="J1103">
        <f t="shared" si="178"/>
        <v>1070</v>
      </c>
      <c r="K1103" s="5">
        <f t="shared" si="179"/>
        <v>0</v>
      </c>
      <c r="L1103">
        <f t="shared" si="180"/>
        <v>53.4</v>
      </c>
      <c r="M1103">
        <f t="shared" si="181"/>
        <v>1</v>
      </c>
      <c r="N1103">
        <f t="shared" si="182"/>
        <v>0</v>
      </c>
    </row>
    <row r="1104" spans="4:14" x14ac:dyDescent="0.2">
      <c r="D1104">
        <f t="shared" si="184"/>
        <v>1081</v>
      </c>
      <c r="E1104" s="1">
        <f t="shared" si="185"/>
        <v>-125.27990819212386</v>
      </c>
      <c r="F1104" s="1">
        <f t="shared" si="186"/>
        <v>-125.85652155642785</v>
      </c>
      <c r="G1104" s="1">
        <f t="shared" si="183"/>
        <v>2.193851243926379E-55</v>
      </c>
      <c r="H1104" s="1">
        <f t="shared" si="176"/>
        <v>2.272783457993571E-56</v>
      </c>
      <c r="I1104">
        <f t="shared" si="177"/>
        <v>8</v>
      </c>
      <c r="J1104">
        <f t="shared" si="178"/>
        <v>1071</v>
      </c>
      <c r="K1104" s="5">
        <f t="shared" si="179"/>
        <v>0</v>
      </c>
      <c r="L1104">
        <f t="shared" si="180"/>
        <v>53.4</v>
      </c>
      <c r="M1104">
        <f t="shared" si="181"/>
        <v>1</v>
      </c>
      <c r="N1104">
        <f t="shared" si="182"/>
        <v>0</v>
      </c>
    </row>
    <row r="1105" spans="4:14" x14ac:dyDescent="0.2">
      <c r="D1105">
        <f t="shared" si="184"/>
        <v>1082</v>
      </c>
      <c r="E1105" s="1">
        <f t="shared" si="185"/>
        <v>-125.39644200837981</v>
      </c>
      <c r="F1105" s="1">
        <f t="shared" si="186"/>
        <v>-125.9730553726838</v>
      </c>
      <c r="G1105" s="1">
        <f t="shared" si="183"/>
        <v>1.9525276070944759E-55</v>
      </c>
      <c r="H1105" s="1">
        <f t="shared" si="176"/>
        <v>2.0227772776142766E-56</v>
      </c>
      <c r="I1105">
        <f t="shared" si="177"/>
        <v>8</v>
      </c>
      <c r="J1105">
        <f t="shared" si="178"/>
        <v>1072</v>
      </c>
      <c r="K1105" s="5">
        <f t="shared" si="179"/>
        <v>0</v>
      </c>
      <c r="L1105">
        <f t="shared" si="180"/>
        <v>53.4</v>
      </c>
      <c r="M1105">
        <f t="shared" si="181"/>
        <v>1</v>
      </c>
      <c r="N1105">
        <f t="shared" si="182"/>
        <v>0</v>
      </c>
    </row>
    <row r="1106" spans="4:14" x14ac:dyDescent="0.2">
      <c r="D1106">
        <f t="shared" si="184"/>
        <v>1083</v>
      </c>
      <c r="E1106" s="1">
        <f t="shared" si="185"/>
        <v>-125.51297582463576</v>
      </c>
      <c r="F1106" s="1">
        <f t="shared" si="186"/>
        <v>-126.08958918893975</v>
      </c>
      <c r="G1106" s="1">
        <f t="shared" si="183"/>
        <v>1.7377495703140824E-55</v>
      </c>
      <c r="H1106" s="1">
        <f t="shared" si="176"/>
        <v>1.800271777076705E-56</v>
      </c>
      <c r="I1106">
        <f t="shared" si="177"/>
        <v>8</v>
      </c>
      <c r="J1106">
        <f t="shared" si="178"/>
        <v>1073</v>
      </c>
      <c r="K1106" s="5">
        <f t="shared" si="179"/>
        <v>0</v>
      </c>
      <c r="L1106">
        <f t="shared" si="180"/>
        <v>53.4</v>
      </c>
      <c r="M1106">
        <f t="shared" si="181"/>
        <v>1</v>
      </c>
      <c r="N1106">
        <f t="shared" si="182"/>
        <v>0</v>
      </c>
    </row>
    <row r="1107" spans="4:14" x14ac:dyDescent="0.2">
      <c r="D1107">
        <f t="shared" si="184"/>
        <v>1084</v>
      </c>
      <c r="E1107" s="1">
        <f t="shared" si="185"/>
        <v>-125.62950964089171</v>
      </c>
      <c r="F1107" s="1">
        <f t="shared" si="186"/>
        <v>-126.20612300519571</v>
      </c>
      <c r="G1107" s="1">
        <f t="shared" si="183"/>
        <v>1.5465971175795324E-55</v>
      </c>
      <c r="H1107" s="1">
        <f t="shared" si="176"/>
        <v>1.6022418815982665E-56</v>
      </c>
      <c r="I1107">
        <f t="shared" si="177"/>
        <v>8</v>
      </c>
      <c r="J1107">
        <f t="shared" si="178"/>
        <v>1074</v>
      </c>
      <c r="K1107" s="5">
        <f t="shared" si="179"/>
        <v>0</v>
      </c>
      <c r="L1107">
        <f t="shared" si="180"/>
        <v>53.4</v>
      </c>
      <c r="M1107">
        <f t="shared" si="181"/>
        <v>1</v>
      </c>
      <c r="N1107">
        <f t="shared" si="182"/>
        <v>0</v>
      </c>
    </row>
    <row r="1108" spans="4:14" x14ac:dyDescent="0.2">
      <c r="D1108">
        <f t="shared" si="184"/>
        <v>1085</v>
      </c>
      <c r="E1108" s="1">
        <f t="shared" si="185"/>
        <v>-125.74604345714766</v>
      </c>
      <c r="F1108" s="1">
        <f t="shared" si="186"/>
        <v>-126.32265682145166</v>
      </c>
      <c r="G1108" s="1">
        <f t="shared" si="183"/>
        <v>1.3764714346457829E-55</v>
      </c>
      <c r="H1108" s="1">
        <f t="shared" si="176"/>
        <v>1.4259952746224562E-56</v>
      </c>
      <c r="I1108">
        <f t="shared" si="177"/>
        <v>8</v>
      </c>
      <c r="J1108">
        <f t="shared" si="178"/>
        <v>1075</v>
      </c>
      <c r="K1108" s="5">
        <f t="shared" si="179"/>
        <v>0</v>
      </c>
      <c r="L1108">
        <f t="shared" si="180"/>
        <v>53.4</v>
      </c>
      <c r="M1108">
        <f t="shared" si="181"/>
        <v>1</v>
      </c>
      <c r="N1108">
        <f t="shared" si="182"/>
        <v>0</v>
      </c>
    </row>
    <row r="1109" spans="4:14" x14ac:dyDescent="0.2">
      <c r="D1109">
        <f t="shared" si="184"/>
        <v>1086</v>
      </c>
      <c r="E1109" s="1">
        <f t="shared" si="185"/>
        <v>-125.86257727340362</v>
      </c>
      <c r="F1109" s="1">
        <f t="shared" si="186"/>
        <v>-126.43919063770761</v>
      </c>
      <c r="G1109" s="1">
        <f t="shared" si="183"/>
        <v>1.225059576834746E-55</v>
      </c>
      <c r="H1109" s="1">
        <f t="shared" si="176"/>
        <v>1.2691357944139852E-56</v>
      </c>
      <c r="I1109">
        <f t="shared" si="177"/>
        <v>8</v>
      </c>
      <c r="J1109">
        <f t="shared" si="178"/>
        <v>1076</v>
      </c>
      <c r="K1109" s="5">
        <f t="shared" si="179"/>
        <v>0</v>
      </c>
      <c r="L1109">
        <f t="shared" si="180"/>
        <v>53.4</v>
      </c>
      <c r="M1109">
        <f t="shared" si="181"/>
        <v>1</v>
      </c>
      <c r="N1109">
        <f t="shared" si="182"/>
        <v>0</v>
      </c>
    </row>
    <row r="1110" spans="4:14" x14ac:dyDescent="0.2">
      <c r="D1110">
        <f t="shared" si="184"/>
        <v>1087</v>
      </c>
      <c r="E1110" s="1">
        <f t="shared" si="185"/>
        <v>-125.97911108965957</v>
      </c>
      <c r="F1110" s="1">
        <f t="shared" si="186"/>
        <v>-126.55572445396356</v>
      </c>
      <c r="G1110" s="1">
        <f t="shared" si="183"/>
        <v>1.0903030233829233E-55</v>
      </c>
      <c r="H1110" s="1">
        <f t="shared" si="176"/>
        <v>1.1295308570284461E-56</v>
      </c>
      <c r="I1110">
        <f t="shared" si="177"/>
        <v>8</v>
      </c>
      <c r="J1110">
        <f t="shared" si="178"/>
        <v>1077</v>
      </c>
      <c r="K1110" s="5">
        <f t="shared" si="179"/>
        <v>0</v>
      </c>
      <c r="L1110">
        <f t="shared" si="180"/>
        <v>53.4</v>
      </c>
      <c r="M1110">
        <f t="shared" si="181"/>
        <v>1</v>
      </c>
      <c r="N1110">
        <f t="shared" si="182"/>
        <v>0</v>
      </c>
    </row>
    <row r="1111" spans="4:14" x14ac:dyDescent="0.2">
      <c r="D1111">
        <f t="shared" si="184"/>
        <v>1088</v>
      </c>
      <c r="E1111" s="1">
        <f t="shared" si="185"/>
        <v>-126.09564490591552</v>
      </c>
      <c r="F1111" s="1">
        <f t="shared" si="186"/>
        <v>-126.67225827021952</v>
      </c>
      <c r="G1111" s="1">
        <f t="shared" si="183"/>
        <v>9.7036969081080122E-56</v>
      </c>
      <c r="H1111" s="1">
        <f t="shared" ref="H1111:H1174" si="187">G1111/$G$21</f>
        <v>1.0052824627553166E-56</v>
      </c>
      <c r="I1111">
        <f t="shared" ref="I1111:I1174" si="188">IF($F$11&lt;=D1111, IF(D1111&lt;=$A$15,D1111-$F$11,$C$11),0)</f>
        <v>8</v>
      </c>
      <c r="J1111">
        <f t="shared" ref="J1111:J1174" si="189">IF(D1111&lt;=$A$15,0,D1111-$A$15)</f>
        <v>1078</v>
      </c>
      <c r="K1111" s="5">
        <f t="shared" ref="K1111:K1174" si="190">IF(D1111&lt;$F$11,H1111,0)</f>
        <v>0</v>
      </c>
      <c r="L1111">
        <f t="shared" ref="L1111:L1174" si="191">IF(D1111&lt;$A$15,$D$11,$D$11*(1-$H$11))</f>
        <v>53.4</v>
      </c>
      <c r="M1111">
        <f t="shared" ref="M1111:M1174" si="192">IF(D1111&lt;$A$15,0,1)</f>
        <v>1</v>
      </c>
      <c r="N1111">
        <f t="shared" ref="N1111:N1174" si="193">IF(SUM(I1111:J1111)&lt;=($G$11/60*$F$11/($E$11/60)),1,0)</f>
        <v>0</v>
      </c>
    </row>
    <row r="1112" spans="4:14" x14ac:dyDescent="0.2">
      <c r="D1112">
        <f t="shared" si="184"/>
        <v>1089</v>
      </c>
      <c r="E1112" s="1">
        <f t="shared" si="185"/>
        <v>-126.21217872217147</v>
      </c>
      <c r="F1112" s="1">
        <f t="shared" si="186"/>
        <v>-126.78879208647547</v>
      </c>
      <c r="G1112" s="1">
        <f t="shared" ref="G1112:G1175" si="194">EXP(F1112)</f>
        <v>8.6362902482161251E-56</v>
      </c>
      <c r="H1112" s="1">
        <f t="shared" si="187"/>
        <v>8.9470139185223111E-57</v>
      </c>
      <c r="I1112">
        <f t="shared" si="188"/>
        <v>8</v>
      </c>
      <c r="J1112">
        <f t="shared" si="189"/>
        <v>1079</v>
      </c>
      <c r="K1112" s="5">
        <f t="shared" si="190"/>
        <v>0</v>
      </c>
      <c r="L1112">
        <f t="shared" si="191"/>
        <v>53.4</v>
      </c>
      <c r="M1112">
        <f t="shared" si="192"/>
        <v>1</v>
      </c>
      <c r="N1112">
        <f t="shared" si="193"/>
        <v>0</v>
      </c>
    </row>
    <row r="1113" spans="4:14" x14ac:dyDescent="0.2">
      <c r="D1113">
        <f t="shared" ref="D1113:D1176" si="195">1+D1112</f>
        <v>1090</v>
      </c>
      <c r="E1113" s="1">
        <f t="shared" ref="E1113:E1176" si="196">IF($H$11=1,IF(D1113&lt;=$A$15, E1112+LN($D$11)-LN(60/$E$11)-LN(MIN(D1113,$F$11)), E1112-LN(60/$E$11)-LN(MIN(D1113,$F$11))), IF(D1113&lt;=$A$15, E1112+LN($D$11)-LN(60/$E$11)-LN(MIN(D1113,$F$11)), E1112+LN($D$11)+LN(1-$H$11)-LN(60/$E$11)-LN(MIN(D1113,$F$11))))</f>
        <v>-126.32871253842742</v>
      </c>
      <c r="F1113" s="1">
        <f t="shared" ref="F1113:F1176" si="197">E1113-$E$21</f>
        <v>-126.90532590273142</v>
      </c>
      <c r="G1113" s="1">
        <f t="shared" si="194"/>
        <v>7.6862983209123464E-56</v>
      </c>
      <c r="H1113" s="1">
        <f t="shared" si="187"/>
        <v>7.9628423874848515E-57</v>
      </c>
      <c r="I1113">
        <f t="shared" si="188"/>
        <v>8</v>
      </c>
      <c r="J1113">
        <f t="shared" si="189"/>
        <v>1080</v>
      </c>
      <c r="K1113" s="5">
        <f t="shared" si="190"/>
        <v>0</v>
      </c>
      <c r="L1113">
        <f t="shared" si="191"/>
        <v>53.4</v>
      </c>
      <c r="M1113">
        <f t="shared" si="192"/>
        <v>1</v>
      </c>
      <c r="N1113">
        <f t="shared" si="193"/>
        <v>0</v>
      </c>
    </row>
    <row r="1114" spans="4:14" x14ac:dyDescent="0.2">
      <c r="D1114">
        <f t="shared" si="195"/>
        <v>1091</v>
      </c>
      <c r="E1114" s="1">
        <f t="shared" si="196"/>
        <v>-126.44524635468338</v>
      </c>
      <c r="F1114" s="1">
        <f t="shared" si="197"/>
        <v>-127.02185971898737</v>
      </c>
      <c r="G1114" s="1">
        <f t="shared" si="194"/>
        <v>6.8408055056119842E-56</v>
      </c>
      <c r="H1114" s="1">
        <f t="shared" si="187"/>
        <v>7.0869297248615135E-57</v>
      </c>
      <c r="I1114">
        <f t="shared" si="188"/>
        <v>8</v>
      </c>
      <c r="J1114">
        <f t="shared" si="189"/>
        <v>1081</v>
      </c>
      <c r="K1114" s="5">
        <f t="shared" si="190"/>
        <v>0</v>
      </c>
      <c r="L1114">
        <f t="shared" si="191"/>
        <v>53.4</v>
      </c>
      <c r="M1114">
        <f t="shared" si="192"/>
        <v>1</v>
      </c>
      <c r="N1114">
        <f t="shared" si="193"/>
        <v>0</v>
      </c>
    </row>
    <row r="1115" spans="4:14" x14ac:dyDescent="0.2">
      <c r="D1115">
        <f t="shared" si="195"/>
        <v>1092</v>
      </c>
      <c r="E1115" s="1">
        <f t="shared" si="196"/>
        <v>-126.56178017093933</v>
      </c>
      <c r="F1115" s="1">
        <f t="shared" si="197"/>
        <v>-127.13839353524332</v>
      </c>
      <c r="G1115" s="1">
        <f t="shared" si="194"/>
        <v>6.0883168999946616E-56</v>
      </c>
      <c r="H1115" s="1">
        <f t="shared" si="187"/>
        <v>6.3073674551267432E-57</v>
      </c>
      <c r="I1115">
        <f t="shared" si="188"/>
        <v>8</v>
      </c>
      <c r="J1115">
        <f t="shared" si="189"/>
        <v>1082</v>
      </c>
      <c r="K1115" s="5">
        <f t="shared" si="190"/>
        <v>0</v>
      </c>
      <c r="L1115">
        <f t="shared" si="191"/>
        <v>53.4</v>
      </c>
      <c r="M1115">
        <f t="shared" si="192"/>
        <v>1</v>
      </c>
      <c r="N1115">
        <f t="shared" si="193"/>
        <v>0</v>
      </c>
    </row>
    <row r="1116" spans="4:14" x14ac:dyDescent="0.2">
      <c r="D1116">
        <f t="shared" si="195"/>
        <v>1093</v>
      </c>
      <c r="E1116" s="1">
        <f t="shared" si="196"/>
        <v>-126.67831398719528</v>
      </c>
      <c r="F1116" s="1">
        <f t="shared" si="197"/>
        <v>-127.25492735149928</v>
      </c>
      <c r="G1116" s="1">
        <f t="shared" si="194"/>
        <v>5.4186020409952459E-56</v>
      </c>
      <c r="H1116" s="1">
        <f t="shared" si="187"/>
        <v>5.6135570350627977E-57</v>
      </c>
      <c r="I1116">
        <f t="shared" si="188"/>
        <v>8</v>
      </c>
      <c r="J1116">
        <f t="shared" si="189"/>
        <v>1083</v>
      </c>
      <c r="K1116" s="5">
        <f t="shared" si="190"/>
        <v>0</v>
      </c>
      <c r="L1116">
        <f t="shared" si="191"/>
        <v>53.4</v>
      </c>
      <c r="M1116">
        <f t="shared" si="192"/>
        <v>1</v>
      </c>
      <c r="N1116">
        <f t="shared" si="193"/>
        <v>0</v>
      </c>
    </row>
    <row r="1117" spans="4:14" x14ac:dyDescent="0.2">
      <c r="D1117">
        <f t="shared" si="195"/>
        <v>1094</v>
      </c>
      <c r="E1117" s="1">
        <f t="shared" si="196"/>
        <v>-126.79484780345123</v>
      </c>
      <c r="F1117" s="1">
        <f t="shared" si="197"/>
        <v>-127.37146116775523</v>
      </c>
      <c r="G1117" s="1">
        <f t="shared" si="194"/>
        <v>4.8225558164857658E-56</v>
      </c>
      <c r="H1117" s="1">
        <f t="shared" si="187"/>
        <v>4.9960657612058871E-57</v>
      </c>
      <c r="I1117">
        <f t="shared" si="188"/>
        <v>8</v>
      </c>
      <c r="J1117">
        <f t="shared" si="189"/>
        <v>1084</v>
      </c>
      <c r="K1117" s="5">
        <f t="shared" si="190"/>
        <v>0</v>
      </c>
      <c r="L1117">
        <f t="shared" si="191"/>
        <v>53.4</v>
      </c>
      <c r="M1117">
        <f t="shared" si="192"/>
        <v>1</v>
      </c>
      <c r="N1117">
        <f t="shared" si="193"/>
        <v>0</v>
      </c>
    </row>
    <row r="1118" spans="4:14" x14ac:dyDescent="0.2">
      <c r="D1118">
        <f t="shared" si="195"/>
        <v>1095</v>
      </c>
      <c r="E1118" s="1">
        <f t="shared" si="196"/>
        <v>-126.91138161970719</v>
      </c>
      <c r="F1118" s="1">
        <f t="shared" si="197"/>
        <v>-127.48799498401118</v>
      </c>
      <c r="G1118" s="1">
        <f t="shared" si="194"/>
        <v>4.2920746766723291E-56</v>
      </c>
      <c r="H1118" s="1">
        <f t="shared" si="187"/>
        <v>4.4464985274732371E-57</v>
      </c>
      <c r="I1118">
        <f t="shared" si="188"/>
        <v>8</v>
      </c>
      <c r="J1118">
        <f t="shared" si="189"/>
        <v>1085</v>
      </c>
      <c r="K1118" s="5">
        <f t="shared" si="190"/>
        <v>0</v>
      </c>
      <c r="L1118">
        <f t="shared" si="191"/>
        <v>53.4</v>
      </c>
      <c r="M1118">
        <f t="shared" si="192"/>
        <v>1</v>
      </c>
      <c r="N1118">
        <f t="shared" si="193"/>
        <v>0</v>
      </c>
    </row>
    <row r="1119" spans="4:14" x14ac:dyDescent="0.2">
      <c r="D1119">
        <f t="shared" si="195"/>
        <v>1096</v>
      </c>
      <c r="E1119" s="1">
        <f t="shared" si="196"/>
        <v>-127.02791543596314</v>
      </c>
      <c r="F1119" s="1">
        <f t="shared" si="197"/>
        <v>-127.60452880026713</v>
      </c>
      <c r="G1119" s="1">
        <f t="shared" si="194"/>
        <v>3.8199464622383701E-56</v>
      </c>
      <c r="H1119" s="1">
        <f t="shared" si="187"/>
        <v>3.957383689451178E-57</v>
      </c>
      <c r="I1119">
        <f t="shared" si="188"/>
        <v>8</v>
      </c>
      <c r="J1119">
        <f t="shared" si="189"/>
        <v>1086</v>
      </c>
      <c r="K1119" s="5">
        <f t="shared" si="190"/>
        <v>0</v>
      </c>
      <c r="L1119">
        <f t="shared" si="191"/>
        <v>53.4</v>
      </c>
      <c r="M1119">
        <f t="shared" si="192"/>
        <v>1</v>
      </c>
      <c r="N1119">
        <f t="shared" si="193"/>
        <v>0</v>
      </c>
    </row>
    <row r="1120" spans="4:14" x14ac:dyDescent="0.2">
      <c r="D1120">
        <f t="shared" si="195"/>
        <v>1097</v>
      </c>
      <c r="E1120" s="1">
        <f t="shared" si="196"/>
        <v>-127.14444925221909</v>
      </c>
      <c r="F1120" s="1">
        <f t="shared" si="197"/>
        <v>-127.72106261652308</v>
      </c>
      <c r="G1120" s="1">
        <f t="shared" si="194"/>
        <v>3.3997523513921472E-56</v>
      </c>
      <c r="H1120" s="1">
        <f t="shared" si="187"/>
        <v>3.5220714836115463E-57</v>
      </c>
      <c r="I1120">
        <f t="shared" si="188"/>
        <v>8</v>
      </c>
      <c r="J1120">
        <f t="shared" si="189"/>
        <v>1087</v>
      </c>
      <c r="K1120" s="5">
        <f t="shared" si="190"/>
        <v>0</v>
      </c>
      <c r="L1120">
        <f t="shared" si="191"/>
        <v>53.4</v>
      </c>
      <c r="M1120">
        <f t="shared" si="192"/>
        <v>1</v>
      </c>
      <c r="N1120">
        <f t="shared" si="193"/>
        <v>0</v>
      </c>
    </row>
    <row r="1121" spans="4:14" x14ac:dyDescent="0.2">
      <c r="D1121">
        <f t="shared" si="195"/>
        <v>1098</v>
      </c>
      <c r="E1121" s="1">
        <f t="shared" si="196"/>
        <v>-127.26098306847504</v>
      </c>
      <c r="F1121" s="1">
        <f t="shared" si="197"/>
        <v>-127.83759643277904</v>
      </c>
      <c r="G1121" s="1">
        <f t="shared" si="194"/>
        <v>3.0257795927390092E-56</v>
      </c>
      <c r="H1121" s="1">
        <f t="shared" si="187"/>
        <v>3.1346436204142746E-57</v>
      </c>
      <c r="I1121">
        <f t="shared" si="188"/>
        <v>8</v>
      </c>
      <c r="J1121">
        <f t="shared" si="189"/>
        <v>1088</v>
      </c>
      <c r="K1121" s="5">
        <f t="shared" si="190"/>
        <v>0</v>
      </c>
      <c r="L1121">
        <f t="shared" si="191"/>
        <v>53.4</v>
      </c>
      <c r="M1121">
        <f t="shared" si="192"/>
        <v>1</v>
      </c>
      <c r="N1121">
        <f t="shared" si="193"/>
        <v>0</v>
      </c>
    </row>
    <row r="1122" spans="4:14" x14ac:dyDescent="0.2">
      <c r="D1122">
        <f t="shared" si="195"/>
        <v>1099</v>
      </c>
      <c r="E1122" s="1">
        <f t="shared" si="196"/>
        <v>-127.37751688473099</v>
      </c>
      <c r="F1122" s="1">
        <f t="shared" si="197"/>
        <v>-127.95413024903499</v>
      </c>
      <c r="G1122" s="1">
        <f t="shared" si="194"/>
        <v>2.6929438375377166E-56</v>
      </c>
      <c r="H1122" s="1">
        <f t="shared" si="187"/>
        <v>2.7898328221687023E-57</v>
      </c>
      <c r="I1122">
        <f t="shared" si="188"/>
        <v>8</v>
      </c>
      <c r="J1122">
        <f t="shared" si="189"/>
        <v>1089</v>
      </c>
      <c r="K1122" s="5">
        <f t="shared" si="190"/>
        <v>0</v>
      </c>
      <c r="L1122">
        <f t="shared" si="191"/>
        <v>53.4</v>
      </c>
      <c r="M1122">
        <f t="shared" si="192"/>
        <v>1</v>
      </c>
      <c r="N1122">
        <f t="shared" si="193"/>
        <v>0</v>
      </c>
    </row>
    <row r="1123" spans="4:14" x14ac:dyDescent="0.2">
      <c r="D1123">
        <f t="shared" si="195"/>
        <v>1100</v>
      </c>
      <c r="E1123" s="1">
        <f t="shared" si="196"/>
        <v>-127.49405070098695</v>
      </c>
      <c r="F1123" s="1">
        <f t="shared" si="197"/>
        <v>-128.07066406529094</v>
      </c>
      <c r="G1123" s="1">
        <f t="shared" si="194"/>
        <v>2.3967200154085659E-56</v>
      </c>
      <c r="H1123" s="1">
        <f t="shared" si="187"/>
        <v>2.4829512117301434E-57</v>
      </c>
      <c r="I1123">
        <f t="shared" si="188"/>
        <v>8</v>
      </c>
      <c r="J1123">
        <f t="shared" si="189"/>
        <v>1090</v>
      </c>
      <c r="K1123" s="5">
        <f t="shared" si="190"/>
        <v>0</v>
      </c>
      <c r="L1123">
        <f t="shared" si="191"/>
        <v>53.4</v>
      </c>
      <c r="M1123">
        <f t="shared" si="192"/>
        <v>1</v>
      </c>
      <c r="N1123">
        <f t="shared" si="193"/>
        <v>0</v>
      </c>
    </row>
    <row r="1124" spans="4:14" x14ac:dyDescent="0.2">
      <c r="D1124">
        <f t="shared" si="195"/>
        <v>1101</v>
      </c>
      <c r="E1124" s="1">
        <f t="shared" si="196"/>
        <v>-127.6105845172429</v>
      </c>
      <c r="F1124" s="1">
        <f t="shared" si="197"/>
        <v>-128.18719788154689</v>
      </c>
      <c r="G1124" s="1">
        <f t="shared" si="194"/>
        <v>2.1330808137136225E-56</v>
      </c>
      <c r="H1124" s="1">
        <f t="shared" si="187"/>
        <v>2.2098265784398265E-57</v>
      </c>
      <c r="I1124">
        <f t="shared" si="188"/>
        <v>8</v>
      </c>
      <c r="J1124">
        <f t="shared" si="189"/>
        <v>1091</v>
      </c>
      <c r="K1124" s="5">
        <f t="shared" si="190"/>
        <v>0</v>
      </c>
      <c r="L1124">
        <f t="shared" si="191"/>
        <v>53.4</v>
      </c>
      <c r="M1124">
        <f t="shared" si="192"/>
        <v>1</v>
      </c>
      <c r="N1124">
        <f t="shared" si="193"/>
        <v>0</v>
      </c>
    </row>
    <row r="1125" spans="4:14" x14ac:dyDescent="0.2">
      <c r="D1125">
        <f t="shared" si="195"/>
        <v>1102</v>
      </c>
      <c r="E1125" s="1">
        <f t="shared" si="196"/>
        <v>-127.72711833349885</v>
      </c>
      <c r="F1125" s="1">
        <f t="shared" si="197"/>
        <v>-128.30373169780285</v>
      </c>
      <c r="G1125" s="1">
        <f t="shared" si="194"/>
        <v>1.8984419242051228E-56</v>
      </c>
      <c r="H1125" s="1">
        <f t="shared" si="187"/>
        <v>1.9667456548114441E-57</v>
      </c>
      <c r="I1125">
        <f t="shared" si="188"/>
        <v>8</v>
      </c>
      <c r="J1125">
        <f t="shared" si="189"/>
        <v>1092</v>
      </c>
      <c r="K1125" s="5">
        <f t="shared" si="190"/>
        <v>0</v>
      </c>
      <c r="L1125">
        <f t="shared" si="191"/>
        <v>53.4</v>
      </c>
      <c r="M1125">
        <f t="shared" si="192"/>
        <v>1</v>
      </c>
      <c r="N1125">
        <f t="shared" si="193"/>
        <v>0</v>
      </c>
    </row>
    <row r="1126" spans="4:14" x14ac:dyDescent="0.2">
      <c r="D1126">
        <f t="shared" si="195"/>
        <v>1103</v>
      </c>
      <c r="E1126" s="1">
        <f t="shared" si="196"/>
        <v>-127.8436521497548</v>
      </c>
      <c r="F1126" s="1">
        <f t="shared" si="197"/>
        <v>-128.4202655140588</v>
      </c>
      <c r="G1126" s="1">
        <f t="shared" si="194"/>
        <v>1.6896133125425583E-56</v>
      </c>
      <c r="H1126" s="1">
        <f t="shared" si="187"/>
        <v>1.7504036327821842E-57</v>
      </c>
      <c r="I1126">
        <f t="shared" si="188"/>
        <v>8</v>
      </c>
      <c r="J1126">
        <f t="shared" si="189"/>
        <v>1093</v>
      </c>
      <c r="K1126" s="5">
        <f t="shared" si="190"/>
        <v>0</v>
      </c>
      <c r="L1126">
        <f t="shared" si="191"/>
        <v>53.4</v>
      </c>
      <c r="M1126">
        <f t="shared" si="192"/>
        <v>1</v>
      </c>
      <c r="N1126">
        <f t="shared" si="193"/>
        <v>0</v>
      </c>
    </row>
    <row r="1127" spans="4:14" x14ac:dyDescent="0.2">
      <c r="D1127">
        <f t="shared" si="195"/>
        <v>1104</v>
      </c>
      <c r="E1127" s="1">
        <f t="shared" si="196"/>
        <v>-127.96018596601076</v>
      </c>
      <c r="F1127" s="1">
        <f t="shared" si="197"/>
        <v>-128.53679933031475</v>
      </c>
      <c r="G1127" s="1">
        <f t="shared" si="194"/>
        <v>1.503755848162876E-56</v>
      </c>
      <c r="H1127" s="1">
        <f t="shared" si="187"/>
        <v>1.5578592331761431E-57</v>
      </c>
      <c r="I1127">
        <f t="shared" si="188"/>
        <v>8</v>
      </c>
      <c r="J1127">
        <f t="shared" si="189"/>
        <v>1094</v>
      </c>
      <c r="K1127" s="5">
        <f t="shared" si="190"/>
        <v>0</v>
      </c>
      <c r="L1127">
        <f t="shared" si="191"/>
        <v>53.4</v>
      </c>
      <c r="M1127">
        <f t="shared" si="192"/>
        <v>1</v>
      </c>
      <c r="N1127">
        <f t="shared" si="193"/>
        <v>0</v>
      </c>
    </row>
    <row r="1128" spans="4:14" x14ac:dyDescent="0.2">
      <c r="D1128">
        <f t="shared" si="195"/>
        <v>1105</v>
      </c>
      <c r="E1128" s="1">
        <f t="shared" si="196"/>
        <v>-128.07671978226671</v>
      </c>
      <c r="F1128" s="1">
        <f t="shared" si="197"/>
        <v>-128.6533331465707</v>
      </c>
      <c r="G1128" s="1">
        <f t="shared" si="194"/>
        <v>1.3383427048649586E-56</v>
      </c>
      <c r="H1128" s="1">
        <f t="shared" si="187"/>
        <v>1.3864947175267662E-57</v>
      </c>
      <c r="I1128">
        <f t="shared" si="188"/>
        <v>8</v>
      </c>
      <c r="J1128">
        <f t="shared" si="189"/>
        <v>1095</v>
      </c>
      <c r="K1128" s="5">
        <f t="shared" si="190"/>
        <v>0</v>
      </c>
      <c r="L1128">
        <f t="shared" si="191"/>
        <v>53.4</v>
      </c>
      <c r="M1128">
        <f t="shared" si="192"/>
        <v>1</v>
      </c>
      <c r="N1128">
        <f t="shared" si="193"/>
        <v>0</v>
      </c>
    </row>
    <row r="1129" spans="4:14" x14ac:dyDescent="0.2">
      <c r="D1129">
        <f t="shared" si="195"/>
        <v>1106</v>
      </c>
      <c r="E1129" s="1">
        <f t="shared" si="196"/>
        <v>-128.19325359852266</v>
      </c>
      <c r="F1129" s="1">
        <f t="shared" si="197"/>
        <v>-128.76986696282665</v>
      </c>
      <c r="G1129" s="1">
        <f t="shared" si="194"/>
        <v>1.1911250073298125E-56</v>
      </c>
      <c r="H1129" s="1">
        <f t="shared" si="187"/>
        <v>1.2339802985988214E-57</v>
      </c>
      <c r="I1129">
        <f t="shared" si="188"/>
        <v>8</v>
      </c>
      <c r="J1129">
        <f t="shared" si="189"/>
        <v>1096</v>
      </c>
      <c r="K1129" s="5">
        <f t="shared" si="190"/>
        <v>0</v>
      </c>
      <c r="L1129">
        <f t="shared" si="191"/>
        <v>53.4</v>
      </c>
      <c r="M1129">
        <f t="shared" si="192"/>
        <v>1</v>
      </c>
      <c r="N1129">
        <f t="shared" si="193"/>
        <v>0</v>
      </c>
    </row>
    <row r="1130" spans="4:14" x14ac:dyDescent="0.2">
      <c r="D1130">
        <f t="shared" si="195"/>
        <v>1107</v>
      </c>
      <c r="E1130" s="1">
        <f t="shared" si="196"/>
        <v>-128.30978741477861</v>
      </c>
      <c r="F1130" s="1">
        <f t="shared" si="197"/>
        <v>-128.88640077908261</v>
      </c>
      <c r="G1130" s="1">
        <f t="shared" si="194"/>
        <v>1.0601012565235325E-56</v>
      </c>
      <c r="H1130" s="1">
        <f t="shared" si="187"/>
        <v>1.0982424657529503E-57</v>
      </c>
      <c r="I1130">
        <f t="shared" si="188"/>
        <v>8</v>
      </c>
      <c r="J1130">
        <f t="shared" si="189"/>
        <v>1097</v>
      </c>
      <c r="K1130" s="5">
        <f t="shared" si="190"/>
        <v>0</v>
      </c>
      <c r="L1130">
        <f t="shared" si="191"/>
        <v>53.4</v>
      </c>
      <c r="M1130">
        <f t="shared" si="192"/>
        <v>1</v>
      </c>
      <c r="N1130">
        <f t="shared" si="193"/>
        <v>0</v>
      </c>
    </row>
    <row r="1131" spans="4:14" x14ac:dyDescent="0.2">
      <c r="D1131">
        <f t="shared" si="195"/>
        <v>1108</v>
      </c>
      <c r="E1131" s="1">
        <f t="shared" si="196"/>
        <v>-128.42632123103456</v>
      </c>
      <c r="F1131" s="1">
        <f t="shared" si="197"/>
        <v>-129.00293459533856</v>
      </c>
      <c r="G1131" s="1">
        <f t="shared" si="194"/>
        <v>9.4349011830594325E-57</v>
      </c>
      <c r="H1131" s="1">
        <f t="shared" si="187"/>
        <v>9.7743579452012508E-58</v>
      </c>
      <c r="I1131">
        <f t="shared" si="188"/>
        <v>8</v>
      </c>
      <c r="J1131">
        <f t="shared" si="189"/>
        <v>1098</v>
      </c>
      <c r="K1131" s="5">
        <f t="shared" si="190"/>
        <v>0</v>
      </c>
      <c r="L1131">
        <f t="shared" si="191"/>
        <v>53.4</v>
      </c>
      <c r="M1131">
        <f t="shared" si="192"/>
        <v>1</v>
      </c>
      <c r="N1131">
        <f t="shared" si="193"/>
        <v>0</v>
      </c>
    </row>
    <row r="1132" spans="4:14" x14ac:dyDescent="0.2">
      <c r="D1132">
        <f t="shared" si="195"/>
        <v>1109</v>
      </c>
      <c r="E1132" s="1">
        <f t="shared" si="196"/>
        <v>-128.54285504729052</v>
      </c>
      <c r="F1132" s="1">
        <f t="shared" si="197"/>
        <v>-129.11946841159451</v>
      </c>
      <c r="G1132" s="1">
        <f t="shared" si="194"/>
        <v>8.3970620529228898E-57</v>
      </c>
      <c r="H1132" s="1">
        <f t="shared" si="187"/>
        <v>8.6991785712291074E-58</v>
      </c>
      <c r="I1132">
        <f t="shared" si="188"/>
        <v>8</v>
      </c>
      <c r="J1132">
        <f t="shared" si="189"/>
        <v>1099</v>
      </c>
      <c r="K1132" s="5">
        <f t="shared" si="190"/>
        <v>0</v>
      </c>
      <c r="L1132">
        <f t="shared" si="191"/>
        <v>53.4</v>
      </c>
      <c r="M1132">
        <f t="shared" si="192"/>
        <v>1</v>
      </c>
      <c r="N1132">
        <f t="shared" si="193"/>
        <v>0</v>
      </c>
    </row>
    <row r="1133" spans="4:14" x14ac:dyDescent="0.2">
      <c r="D1133">
        <f t="shared" si="195"/>
        <v>1110</v>
      </c>
      <c r="E1133" s="1">
        <f t="shared" si="196"/>
        <v>-128.65938886354647</v>
      </c>
      <c r="F1133" s="1">
        <f t="shared" si="197"/>
        <v>-129.23600222785046</v>
      </c>
      <c r="G1133" s="1">
        <f t="shared" si="194"/>
        <v>7.4733852271013673E-57</v>
      </c>
      <c r="H1133" s="1">
        <f t="shared" si="187"/>
        <v>7.7422689283939018E-58</v>
      </c>
      <c r="I1133">
        <f t="shared" si="188"/>
        <v>8</v>
      </c>
      <c r="J1133">
        <f t="shared" si="189"/>
        <v>1100</v>
      </c>
      <c r="K1133" s="5">
        <f t="shared" si="190"/>
        <v>0</v>
      </c>
      <c r="L1133">
        <f t="shared" si="191"/>
        <v>53.4</v>
      </c>
      <c r="M1133">
        <f t="shared" si="192"/>
        <v>1</v>
      </c>
      <c r="N1133">
        <f t="shared" si="193"/>
        <v>0</v>
      </c>
    </row>
    <row r="1134" spans="4:14" x14ac:dyDescent="0.2">
      <c r="D1134">
        <f t="shared" si="195"/>
        <v>1111</v>
      </c>
      <c r="E1134" s="1">
        <f t="shared" si="196"/>
        <v>-128.77592267980242</v>
      </c>
      <c r="F1134" s="1">
        <f t="shared" si="197"/>
        <v>-129.35253604410642</v>
      </c>
      <c r="G1134" s="1">
        <f t="shared" si="194"/>
        <v>6.6513128521202129E-57</v>
      </c>
      <c r="H1134" s="1">
        <f t="shared" si="187"/>
        <v>6.890619346270568E-58</v>
      </c>
      <c r="I1134">
        <f t="shared" si="188"/>
        <v>8</v>
      </c>
      <c r="J1134">
        <f t="shared" si="189"/>
        <v>1101</v>
      </c>
      <c r="K1134" s="5">
        <f t="shared" si="190"/>
        <v>0</v>
      </c>
      <c r="L1134">
        <f t="shared" si="191"/>
        <v>53.4</v>
      </c>
      <c r="M1134">
        <f t="shared" si="192"/>
        <v>1</v>
      </c>
      <c r="N1134">
        <f t="shared" si="193"/>
        <v>0</v>
      </c>
    </row>
    <row r="1135" spans="4:14" x14ac:dyDescent="0.2">
      <c r="D1135">
        <f t="shared" si="195"/>
        <v>1112</v>
      </c>
      <c r="E1135" s="1">
        <f t="shared" si="196"/>
        <v>-128.89245649605837</v>
      </c>
      <c r="F1135" s="1">
        <f t="shared" si="197"/>
        <v>-129.46906986036237</v>
      </c>
      <c r="G1135" s="1">
        <f t="shared" si="194"/>
        <v>5.9196684383869859E-57</v>
      </c>
      <c r="H1135" s="1">
        <f t="shared" si="187"/>
        <v>6.1326512181808017E-58</v>
      </c>
      <c r="I1135">
        <f t="shared" si="188"/>
        <v>8</v>
      </c>
      <c r="J1135">
        <f t="shared" si="189"/>
        <v>1102</v>
      </c>
      <c r="K1135" s="5">
        <f t="shared" si="190"/>
        <v>0</v>
      </c>
      <c r="L1135">
        <f t="shared" si="191"/>
        <v>53.4</v>
      </c>
      <c r="M1135">
        <f t="shared" si="192"/>
        <v>1</v>
      </c>
      <c r="N1135">
        <f t="shared" si="193"/>
        <v>0</v>
      </c>
    </row>
    <row r="1136" spans="4:14" x14ac:dyDescent="0.2">
      <c r="D1136">
        <f t="shared" si="195"/>
        <v>1113</v>
      </c>
      <c r="E1136" s="1">
        <f t="shared" si="196"/>
        <v>-129.00899031231432</v>
      </c>
      <c r="F1136" s="1">
        <f t="shared" si="197"/>
        <v>-129.58560367661832</v>
      </c>
      <c r="G1136" s="1">
        <f t="shared" si="194"/>
        <v>5.2685049101644138E-57</v>
      </c>
      <c r="H1136" s="1">
        <f t="shared" si="187"/>
        <v>5.4580595841809094E-58</v>
      </c>
      <c r="I1136">
        <f t="shared" si="188"/>
        <v>8</v>
      </c>
      <c r="J1136">
        <f t="shared" si="189"/>
        <v>1103</v>
      </c>
      <c r="K1136" s="5">
        <f t="shared" si="190"/>
        <v>0</v>
      </c>
      <c r="L1136">
        <f t="shared" si="191"/>
        <v>53.4</v>
      </c>
      <c r="M1136">
        <f t="shared" si="192"/>
        <v>1</v>
      </c>
      <c r="N1136">
        <f t="shared" si="193"/>
        <v>0</v>
      </c>
    </row>
    <row r="1137" spans="4:14" x14ac:dyDescent="0.2">
      <c r="D1137">
        <f t="shared" si="195"/>
        <v>1114</v>
      </c>
      <c r="E1137" s="1">
        <f t="shared" si="196"/>
        <v>-129.12552412857028</v>
      </c>
      <c r="F1137" s="1">
        <f t="shared" si="197"/>
        <v>-129.70213749287427</v>
      </c>
      <c r="G1137" s="1">
        <f t="shared" si="194"/>
        <v>4.6889693700463255E-57</v>
      </c>
      <c r="H1137" s="1">
        <f t="shared" si="187"/>
        <v>4.8576730299210066E-58</v>
      </c>
      <c r="I1137">
        <f t="shared" si="188"/>
        <v>8</v>
      </c>
      <c r="J1137">
        <f t="shared" si="189"/>
        <v>1104</v>
      </c>
      <c r="K1137" s="5">
        <f t="shared" si="190"/>
        <v>0</v>
      </c>
      <c r="L1137">
        <f t="shared" si="191"/>
        <v>53.4</v>
      </c>
      <c r="M1137">
        <f t="shared" si="192"/>
        <v>1</v>
      </c>
      <c r="N1137">
        <f t="shared" si="193"/>
        <v>0</v>
      </c>
    </row>
    <row r="1138" spans="4:14" x14ac:dyDescent="0.2">
      <c r="D1138">
        <f t="shared" si="195"/>
        <v>1115</v>
      </c>
      <c r="E1138" s="1">
        <f t="shared" si="196"/>
        <v>-129.24205794482623</v>
      </c>
      <c r="F1138" s="1">
        <f t="shared" si="197"/>
        <v>-129.81867130913022</v>
      </c>
      <c r="G1138" s="1">
        <f t="shared" si="194"/>
        <v>4.1731827393412268E-57</v>
      </c>
      <c r="H1138" s="1">
        <f t="shared" si="187"/>
        <v>4.3233289966296934E-58</v>
      </c>
      <c r="I1138">
        <f t="shared" si="188"/>
        <v>8</v>
      </c>
      <c r="J1138">
        <f t="shared" si="189"/>
        <v>1105</v>
      </c>
      <c r="K1138" s="5">
        <f t="shared" si="190"/>
        <v>0</v>
      </c>
      <c r="L1138">
        <f t="shared" si="191"/>
        <v>53.4</v>
      </c>
      <c r="M1138">
        <f t="shared" si="192"/>
        <v>1</v>
      </c>
      <c r="N1138">
        <f t="shared" si="193"/>
        <v>0</v>
      </c>
    </row>
    <row r="1139" spans="4:14" x14ac:dyDescent="0.2">
      <c r="D1139">
        <f t="shared" si="195"/>
        <v>1116</v>
      </c>
      <c r="E1139" s="1">
        <f t="shared" si="196"/>
        <v>-129.35859176108218</v>
      </c>
      <c r="F1139" s="1">
        <f t="shared" si="197"/>
        <v>-129.93520512538618</v>
      </c>
      <c r="G1139" s="1">
        <f t="shared" si="194"/>
        <v>3.7141326380136897E-57</v>
      </c>
      <c r="H1139" s="1">
        <f t="shared" si="187"/>
        <v>3.8477628070004248E-58</v>
      </c>
      <c r="I1139">
        <f t="shared" si="188"/>
        <v>8</v>
      </c>
      <c r="J1139">
        <f t="shared" si="189"/>
        <v>1106</v>
      </c>
      <c r="K1139" s="5">
        <f t="shared" si="190"/>
        <v>0</v>
      </c>
      <c r="L1139">
        <f t="shared" si="191"/>
        <v>53.4</v>
      </c>
      <c r="M1139">
        <f t="shared" si="192"/>
        <v>1</v>
      </c>
      <c r="N1139">
        <f t="shared" si="193"/>
        <v>0</v>
      </c>
    </row>
    <row r="1140" spans="4:14" x14ac:dyDescent="0.2">
      <c r="D1140">
        <f t="shared" si="195"/>
        <v>1117</v>
      </c>
      <c r="E1140" s="1">
        <f t="shared" si="196"/>
        <v>-129.47512557733813</v>
      </c>
      <c r="F1140" s="1">
        <f t="shared" si="197"/>
        <v>-130.05173894164213</v>
      </c>
      <c r="G1140" s="1">
        <f t="shared" si="194"/>
        <v>3.3055780478321817E-57</v>
      </c>
      <c r="H1140" s="1">
        <f t="shared" si="187"/>
        <v>3.424508898230376E-58</v>
      </c>
      <c r="I1140">
        <f t="shared" si="188"/>
        <v>8</v>
      </c>
      <c r="J1140">
        <f t="shared" si="189"/>
        <v>1107</v>
      </c>
      <c r="K1140" s="5">
        <f t="shared" si="190"/>
        <v>0</v>
      </c>
      <c r="L1140">
        <f t="shared" si="191"/>
        <v>53.4</v>
      </c>
      <c r="M1140">
        <f t="shared" si="192"/>
        <v>1</v>
      </c>
      <c r="N1140">
        <f t="shared" si="193"/>
        <v>0</v>
      </c>
    </row>
    <row r="1141" spans="4:14" x14ac:dyDescent="0.2">
      <c r="D1141">
        <f t="shared" si="195"/>
        <v>1118</v>
      </c>
      <c r="E1141" s="1">
        <f t="shared" si="196"/>
        <v>-129.59165939359409</v>
      </c>
      <c r="F1141" s="1">
        <f t="shared" si="197"/>
        <v>-130.16827275789808</v>
      </c>
      <c r="G1141" s="1">
        <f t="shared" si="194"/>
        <v>2.9419644625706399E-57</v>
      </c>
      <c r="H1141" s="1">
        <f t="shared" si="187"/>
        <v>3.0478129194250324E-58</v>
      </c>
      <c r="I1141">
        <f t="shared" si="188"/>
        <v>8</v>
      </c>
      <c r="J1141">
        <f t="shared" si="189"/>
        <v>1108</v>
      </c>
      <c r="K1141" s="5">
        <f t="shared" si="190"/>
        <v>0</v>
      </c>
      <c r="L1141">
        <f t="shared" si="191"/>
        <v>53.4</v>
      </c>
      <c r="M1141">
        <f t="shared" si="192"/>
        <v>1</v>
      </c>
      <c r="N1141">
        <f t="shared" si="193"/>
        <v>0</v>
      </c>
    </row>
    <row r="1142" spans="4:14" x14ac:dyDescent="0.2">
      <c r="D1142">
        <f t="shared" si="195"/>
        <v>1119</v>
      </c>
      <c r="E1142" s="1">
        <f t="shared" si="196"/>
        <v>-129.70819320985004</v>
      </c>
      <c r="F1142" s="1">
        <f t="shared" si="197"/>
        <v>-130.28480657415403</v>
      </c>
      <c r="G1142" s="1">
        <f t="shared" si="194"/>
        <v>2.6183483716878676E-57</v>
      </c>
      <c r="H1142" s="1">
        <f t="shared" si="187"/>
        <v>2.7125534982882768E-58</v>
      </c>
      <c r="I1142">
        <f t="shared" si="188"/>
        <v>8</v>
      </c>
      <c r="J1142">
        <f t="shared" si="189"/>
        <v>1109</v>
      </c>
      <c r="K1142" s="5">
        <f t="shared" si="190"/>
        <v>0</v>
      </c>
      <c r="L1142">
        <f t="shared" si="191"/>
        <v>53.4</v>
      </c>
      <c r="M1142">
        <f t="shared" si="192"/>
        <v>1</v>
      </c>
      <c r="N1142">
        <f t="shared" si="193"/>
        <v>0</v>
      </c>
    </row>
    <row r="1143" spans="4:14" x14ac:dyDescent="0.2">
      <c r="D1143">
        <f t="shared" si="195"/>
        <v>1120</v>
      </c>
      <c r="E1143" s="1">
        <f t="shared" si="196"/>
        <v>-129.82472702610599</v>
      </c>
      <c r="F1143" s="1">
        <f t="shared" si="197"/>
        <v>-130.40134039040998</v>
      </c>
      <c r="G1143" s="1">
        <f t="shared" si="194"/>
        <v>2.330330050802201E-57</v>
      </c>
      <c r="H1143" s="1">
        <f t="shared" si="187"/>
        <v>2.4141726134765651E-58</v>
      </c>
      <c r="I1143">
        <f t="shared" si="188"/>
        <v>8</v>
      </c>
      <c r="J1143">
        <f t="shared" si="189"/>
        <v>1110</v>
      </c>
      <c r="K1143" s="5">
        <f t="shared" si="190"/>
        <v>0</v>
      </c>
      <c r="L1143">
        <f t="shared" si="191"/>
        <v>53.4</v>
      </c>
      <c r="M1143">
        <f t="shared" si="192"/>
        <v>1</v>
      </c>
      <c r="N1143">
        <f t="shared" si="193"/>
        <v>0</v>
      </c>
    </row>
    <row r="1144" spans="4:14" x14ac:dyDescent="0.2">
      <c r="D1144">
        <f t="shared" si="195"/>
        <v>1121</v>
      </c>
      <c r="E1144" s="1">
        <f t="shared" si="196"/>
        <v>-129.94126084236194</v>
      </c>
      <c r="F1144" s="1">
        <f t="shared" si="197"/>
        <v>-130.51787420666594</v>
      </c>
      <c r="G1144" s="1">
        <f t="shared" si="194"/>
        <v>2.0739937452139574E-57</v>
      </c>
      <c r="H1144" s="1">
        <f t="shared" si="187"/>
        <v>2.1486136259941414E-58</v>
      </c>
      <c r="I1144">
        <f t="shared" si="188"/>
        <v>8</v>
      </c>
      <c r="J1144">
        <f t="shared" si="189"/>
        <v>1111</v>
      </c>
      <c r="K1144" s="5">
        <f t="shared" si="190"/>
        <v>0</v>
      </c>
      <c r="L1144">
        <f t="shared" si="191"/>
        <v>53.4</v>
      </c>
      <c r="M1144">
        <f t="shared" si="192"/>
        <v>1</v>
      </c>
      <c r="N1144">
        <f t="shared" si="193"/>
        <v>0</v>
      </c>
    </row>
    <row r="1145" spans="4:14" x14ac:dyDescent="0.2">
      <c r="D1145">
        <f t="shared" si="195"/>
        <v>1122</v>
      </c>
      <c r="E1145" s="1">
        <f t="shared" si="196"/>
        <v>-130.05779465861789</v>
      </c>
      <c r="F1145" s="1">
        <f t="shared" si="197"/>
        <v>-130.63440802292189</v>
      </c>
      <c r="G1145" s="1">
        <f t="shared" si="194"/>
        <v>1.845854433240421E-57</v>
      </c>
      <c r="H1145" s="1">
        <f t="shared" si="187"/>
        <v>1.9122661271347847E-58</v>
      </c>
      <c r="I1145">
        <f t="shared" si="188"/>
        <v>8</v>
      </c>
      <c r="J1145">
        <f t="shared" si="189"/>
        <v>1112</v>
      </c>
      <c r="K1145" s="5">
        <f t="shared" si="190"/>
        <v>0</v>
      </c>
      <c r="L1145">
        <f t="shared" si="191"/>
        <v>53.4</v>
      </c>
      <c r="M1145">
        <f t="shared" si="192"/>
        <v>1</v>
      </c>
      <c r="N1145">
        <f t="shared" si="193"/>
        <v>0</v>
      </c>
    </row>
    <row r="1146" spans="4:14" x14ac:dyDescent="0.2">
      <c r="D1146">
        <f t="shared" si="195"/>
        <v>1123</v>
      </c>
      <c r="E1146" s="1">
        <f t="shared" si="196"/>
        <v>-130.17432847487385</v>
      </c>
      <c r="F1146" s="1">
        <f t="shared" si="197"/>
        <v>-130.75094183917784</v>
      </c>
      <c r="G1146" s="1">
        <f t="shared" si="194"/>
        <v>1.6428104455839736E-57</v>
      </c>
      <c r="H1146" s="1">
        <f t="shared" si="187"/>
        <v>1.7019168531499574E-58</v>
      </c>
      <c r="I1146">
        <f t="shared" si="188"/>
        <v>8</v>
      </c>
      <c r="J1146">
        <f t="shared" si="189"/>
        <v>1113</v>
      </c>
      <c r="K1146" s="5">
        <f t="shared" si="190"/>
        <v>0</v>
      </c>
      <c r="L1146">
        <f t="shared" si="191"/>
        <v>53.4</v>
      </c>
      <c r="M1146">
        <f t="shared" si="192"/>
        <v>1</v>
      </c>
      <c r="N1146">
        <f t="shared" si="193"/>
        <v>0</v>
      </c>
    </row>
    <row r="1147" spans="4:14" x14ac:dyDescent="0.2">
      <c r="D1147">
        <f t="shared" si="195"/>
        <v>1124</v>
      </c>
      <c r="E1147" s="1">
        <f t="shared" si="196"/>
        <v>-130.2908622911298</v>
      </c>
      <c r="F1147" s="1">
        <f t="shared" si="197"/>
        <v>-130.86747565543379</v>
      </c>
      <c r="G1147" s="1">
        <f t="shared" si="194"/>
        <v>1.4621012965697357E-57</v>
      </c>
      <c r="H1147" s="1">
        <f t="shared" si="187"/>
        <v>1.5147059993034613E-58</v>
      </c>
      <c r="I1147">
        <f t="shared" si="188"/>
        <v>8</v>
      </c>
      <c r="J1147">
        <f t="shared" si="189"/>
        <v>1114</v>
      </c>
      <c r="K1147" s="5">
        <f t="shared" si="190"/>
        <v>0</v>
      </c>
      <c r="L1147">
        <f t="shared" si="191"/>
        <v>53.4</v>
      </c>
      <c r="M1147">
        <f t="shared" si="192"/>
        <v>1</v>
      </c>
      <c r="N1147">
        <f t="shared" si="193"/>
        <v>0</v>
      </c>
    </row>
    <row r="1148" spans="4:14" x14ac:dyDescent="0.2">
      <c r="D1148">
        <f t="shared" si="195"/>
        <v>1125</v>
      </c>
      <c r="E1148" s="1">
        <f t="shared" si="196"/>
        <v>-130.40739610738575</v>
      </c>
      <c r="F1148" s="1">
        <f t="shared" si="197"/>
        <v>-130.98400947168975</v>
      </c>
      <c r="G1148" s="1">
        <f t="shared" si="194"/>
        <v>1.3012701539470638E-57</v>
      </c>
      <c r="H1148" s="1">
        <f t="shared" si="187"/>
        <v>1.3480883393800796E-58</v>
      </c>
      <c r="I1148">
        <f t="shared" si="188"/>
        <v>8</v>
      </c>
      <c r="J1148">
        <f t="shared" si="189"/>
        <v>1115</v>
      </c>
      <c r="K1148" s="5">
        <f t="shared" si="190"/>
        <v>0</v>
      </c>
      <c r="L1148">
        <f t="shared" si="191"/>
        <v>53.4</v>
      </c>
      <c r="M1148">
        <f t="shared" si="192"/>
        <v>1</v>
      </c>
      <c r="N1148">
        <f t="shared" si="193"/>
        <v>0</v>
      </c>
    </row>
    <row r="1149" spans="4:14" x14ac:dyDescent="0.2">
      <c r="D1149">
        <f t="shared" si="195"/>
        <v>1126</v>
      </c>
      <c r="E1149" s="1">
        <f t="shared" si="196"/>
        <v>-130.5239299236417</v>
      </c>
      <c r="F1149" s="1">
        <f t="shared" si="197"/>
        <v>-131.1005432879457</v>
      </c>
      <c r="G1149" s="1">
        <f t="shared" si="194"/>
        <v>1.1581304370128861E-57</v>
      </c>
      <c r="H1149" s="1">
        <f t="shared" si="187"/>
        <v>1.19979862204827E-58</v>
      </c>
      <c r="I1149">
        <f t="shared" si="188"/>
        <v>8</v>
      </c>
      <c r="J1149">
        <f t="shared" si="189"/>
        <v>1116</v>
      </c>
      <c r="K1149" s="5">
        <f t="shared" si="190"/>
        <v>0</v>
      </c>
      <c r="L1149">
        <f t="shared" si="191"/>
        <v>53.4</v>
      </c>
      <c r="M1149">
        <f t="shared" si="192"/>
        <v>1</v>
      </c>
      <c r="N1149">
        <f t="shared" si="193"/>
        <v>0</v>
      </c>
    </row>
    <row r="1150" spans="4:14" x14ac:dyDescent="0.2">
      <c r="D1150">
        <f t="shared" si="195"/>
        <v>1127</v>
      </c>
      <c r="E1150" s="1">
        <f t="shared" si="196"/>
        <v>-130.64046373989765</v>
      </c>
      <c r="F1150" s="1">
        <f t="shared" si="197"/>
        <v>-131.21707710420165</v>
      </c>
      <c r="G1150" s="1">
        <f t="shared" si="194"/>
        <v>1.030736088941468E-57</v>
      </c>
      <c r="H1150" s="1">
        <f t="shared" si="187"/>
        <v>1.0678207736229597E-58</v>
      </c>
      <c r="I1150">
        <f t="shared" si="188"/>
        <v>8</v>
      </c>
      <c r="J1150">
        <f t="shared" si="189"/>
        <v>1117</v>
      </c>
      <c r="K1150" s="5">
        <f t="shared" si="190"/>
        <v>0</v>
      </c>
      <c r="L1150">
        <f t="shared" si="191"/>
        <v>53.4</v>
      </c>
      <c r="M1150">
        <f t="shared" si="192"/>
        <v>1</v>
      </c>
      <c r="N1150">
        <f t="shared" si="193"/>
        <v>0</v>
      </c>
    </row>
    <row r="1151" spans="4:14" x14ac:dyDescent="0.2">
      <c r="D1151">
        <f t="shared" si="195"/>
        <v>1128</v>
      </c>
      <c r="E1151" s="1">
        <f t="shared" si="196"/>
        <v>-130.75699755615361</v>
      </c>
      <c r="F1151" s="1">
        <f t="shared" si="197"/>
        <v>-131.3336109204576</v>
      </c>
      <c r="G1151" s="1">
        <f t="shared" si="194"/>
        <v>9.1735511915790588E-58</v>
      </c>
      <c r="H1151" s="1">
        <f t="shared" si="187"/>
        <v>9.503604885244334E-59</v>
      </c>
      <c r="I1151">
        <f t="shared" si="188"/>
        <v>8</v>
      </c>
      <c r="J1151">
        <f t="shared" si="189"/>
        <v>1118</v>
      </c>
      <c r="K1151" s="5">
        <f t="shared" si="190"/>
        <v>0</v>
      </c>
      <c r="L1151">
        <f t="shared" si="191"/>
        <v>53.4</v>
      </c>
      <c r="M1151">
        <f t="shared" si="192"/>
        <v>1</v>
      </c>
      <c r="N1151">
        <f t="shared" si="193"/>
        <v>0</v>
      </c>
    </row>
    <row r="1152" spans="4:14" x14ac:dyDescent="0.2">
      <c r="D1152">
        <f t="shared" si="195"/>
        <v>1129</v>
      </c>
      <c r="E1152" s="1">
        <f t="shared" si="196"/>
        <v>-130.87353137240956</v>
      </c>
      <c r="F1152" s="1">
        <f t="shared" si="197"/>
        <v>-131.45014473671355</v>
      </c>
      <c r="G1152" s="1">
        <f t="shared" si="194"/>
        <v>8.164460560505357E-58</v>
      </c>
      <c r="H1152" s="1">
        <f t="shared" si="187"/>
        <v>8.4582083478674516E-59</v>
      </c>
      <c r="I1152">
        <f t="shared" si="188"/>
        <v>8</v>
      </c>
      <c r="J1152">
        <f t="shared" si="189"/>
        <v>1119</v>
      </c>
      <c r="K1152" s="5">
        <f t="shared" si="190"/>
        <v>0</v>
      </c>
      <c r="L1152">
        <f t="shared" si="191"/>
        <v>53.4</v>
      </c>
      <c r="M1152">
        <f t="shared" si="192"/>
        <v>1</v>
      </c>
      <c r="N1152">
        <f t="shared" si="193"/>
        <v>0</v>
      </c>
    </row>
    <row r="1153" spans="4:14" x14ac:dyDescent="0.2">
      <c r="D1153">
        <f t="shared" si="195"/>
        <v>1130</v>
      </c>
      <c r="E1153" s="1">
        <f t="shared" si="196"/>
        <v>-130.99006518866551</v>
      </c>
      <c r="F1153" s="1">
        <f t="shared" si="197"/>
        <v>-131.56667855296951</v>
      </c>
      <c r="G1153" s="1">
        <f t="shared" si="194"/>
        <v>7.2663698988497635E-58</v>
      </c>
      <c r="H1153" s="1">
        <f t="shared" si="187"/>
        <v>7.5278054296020283E-59</v>
      </c>
      <c r="I1153">
        <f t="shared" si="188"/>
        <v>8</v>
      </c>
      <c r="J1153">
        <f t="shared" si="189"/>
        <v>1120</v>
      </c>
      <c r="K1153" s="5">
        <f t="shared" si="190"/>
        <v>0</v>
      </c>
      <c r="L1153">
        <f t="shared" si="191"/>
        <v>53.4</v>
      </c>
      <c r="M1153">
        <f t="shared" si="192"/>
        <v>1</v>
      </c>
      <c r="N1153">
        <f t="shared" si="193"/>
        <v>0</v>
      </c>
    </row>
    <row r="1154" spans="4:14" x14ac:dyDescent="0.2">
      <c r="D1154">
        <f t="shared" si="195"/>
        <v>1131</v>
      </c>
      <c r="E1154" s="1">
        <f t="shared" si="196"/>
        <v>-131.10659900492146</v>
      </c>
      <c r="F1154" s="1">
        <f t="shared" si="197"/>
        <v>-131.68321236922546</v>
      </c>
      <c r="G1154" s="1">
        <f t="shared" si="194"/>
        <v>6.4670692099762856E-58</v>
      </c>
      <c r="H1154" s="1">
        <f t="shared" si="187"/>
        <v>6.6997468323458008E-59</v>
      </c>
      <c r="I1154">
        <f t="shared" si="188"/>
        <v>8</v>
      </c>
      <c r="J1154">
        <f t="shared" si="189"/>
        <v>1121</v>
      </c>
      <c r="K1154" s="5">
        <f t="shared" si="190"/>
        <v>0</v>
      </c>
      <c r="L1154">
        <f t="shared" si="191"/>
        <v>53.4</v>
      </c>
      <c r="M1154">
        <f t="shared" si="192"/>
        <v>1</v>
      </c>
      <c r="N1154">
        <f t="shared" si="193"/>
        <v>0</v>
      </c>
    </row>
    <row r="1155" spans="4:14" x14ac:dyDescent="0.2">
      <c r="D1155">
        <f t="shared" si="195"/>
        <v>1132</v>
      </c>
      <c r="E1155" s="1">
        <f t="shared" si="196"/>
        <v>-131.22313282117742</v>
      </c>
      <c r="F1155" s="1">
        <f t="shared" si="197"/>
        <v>-131.79974618548141</v>
      </c>
      <c r="G1155" s="1">
        <f t="shared" si="194"/>
        <v>5.7556915968788908E-58</v>
      </c>
      <c r="H1155" s="1">
        <f t="shared" si="187"/>
        <v>5.9627746807877594E-59</v>
      </c>
      <c r="I1155">
        <f t="shared" si="188"/>
        <v>8</v>
      </c>
      <c r="J1155">
        <f t="shared" si="189"/>
        <v>1122</v>
      </c>
      <c r="K1155" s="5">
        <f t="shared" si="190"/>
        <v>0</v>
      </c>
      <c r="L1155">
        <f t="shared" si="191"/>
        <v>53.4</v>
      </c>
      <c r="M1155">
        <f t="shared" si="192"/>
        <v>1</v>
      </c>
      <c r="N1155">
        <f t="shared" si="193"/>
        <v>0</v>
      </c>
    </row>
    <row r="1156" spans="4:14" x14ac:dyDescent="0.2">
      <c r="D1156">
        <f t="shared" si="195"/>
        <v>1133</v>
      </c>
      <c r="E1156" s="1">
        <f t="shared" si="196"/>
        <v>-131.33966663743337</v>
      </c>
      <c r="F1156" s="1">
        <f t="shared" si="197"/>
        <v>-131.91628000173736</v>
      </c>
      <c r="G1156" s="1">
        <f t="shared" si="194"/>
        <v>5.1225655212222093E-58</v>
      </c>
      <c r="H1156" s="1">
        <f t="shared" si="187"/>
        <v>5.3068694659011026E-59</v>
      </c>
      <c r="I1156">
        <f t="shared" si="188"/>
        <v>8</v>
      </c>
      <c r="J1156">
        <f t="shared" si="189"/>
        <v>1123</v>
      </c>
      <c r="K1156" s="5">
        <f t="shared" si="190"/>
        <v>0</v>
      </c>
      <c r="L1156">
        <f t="shared" si="191"/>
        <v>53.4</v>
      </c>
      <c r="M1156">
        <f t="shared" si="192"/>
        <v>1</v>
      </c>
      <c r="N1156">
        <f t="shared" si="193"/>
        <v>0</v>
      </c>
    </row>
    <row r="1157" spans="4:14" x14ac:dyDescent="0.2">
      <c r="D1157">
        <f t="shared" si="195"/>
        <v>1134</v>
      </c>
      <c r="E1157" s="1">
        <f t="shared" si="196"/>
        <v>-131.45620045368932</v>
      </c>
      <c r="F1157" s="1">
        <f t="shared" si="197"/>
        <v>-132.03281381799331</v>
      </c>
      <c r="G1157" s="1">
        <f t="shared" si="194"/>
        <v>4.5590833138877639E-58</v>
      </c>
      <c r="H1157" s="1">
        <f t="shared" si="187"/>
        <v>4.7231138246519782E-59</v>
      </c>
      <c r="I1157">
        <f t="shared" si="188"/>
        <v>8</v>
      </c>
      <c r="J1157">
        <f t="shared" si="189"/>
        <v>1124</v>
      </c>
      <c r="K1157" s="5">
        <f t="shared" si="190"/>
        <v>0</v>
      </c>
      <c r="L1157">
        <f t="shared" si="191"/>
        <v>53.4</v>
      </c>
      <c r="M1157">
        <f t="shared" si="192"/>
        <v>1</v>
      </c>
      <c r="N1157">
        <f t="shared" si="193"/>
        <v>0</v>
      </c>
    </row>
    <row r="1158" spans="4:14" x14ac:dyDescent="0.2">
      <c r="D1158">
        <f t="shared" si="195"/>
        <v>1135</v>
      </c>
      <c r="E1158" s="1">
        <f t="shared" si="196"/>
        <v>-131.57273426994527</v>
      </c>
      <c r="F1158" s="1">
        <f t="shared" si="197"/>
        <v>-132.14934763424927</v>
      </c>
      <c r="G1158" s="1">
        <f t="shared" si="194"/>
        <v>4.057584149360107E-58</v>
      </c>
      <c r="H1158" s="1">
        <f t="shared" si="187"/>
        <v>4.2035713039402581E-59</v>
      </c>
      <c r="I1158">
        <f t="shared" si="188"/>
        <v>8</v>
      </c>
      <c r="J1158">
        <f t="shared" si="189"/>
        <v>1125</v>
      </c>
      <c r="K1158" s="5">
        <f t="shared" si="190"/>
        <v>0</v>
      </c>
      <c r="L1158">
        <f t="shared" si="191"/>
        <v>53.4</v>
      </c>
      <c r="M1158">
        <f t="shared" si="192"/>
        <v>1</v>
      </c>
      <c r="N1158">
        <f t="shared" si="193"/>
        <v>0</v>
      </c>
    </row>
    <row r="1159" spans="4:14" x14ac:dyDescent="0.2">
      <c r="D1159">
        <f t="shared" si="195"/>
        <v>1136</v>
      </c>
      <c r="E1159" s="1">
        <f t="shared" si="196"/>
        <v>-131.68926808620122</v>
      </c>
      <c r="F1159" s="1">
        <f t="shared" si="197"/>
        <v>-132.26588145050522</v>
      </c>
      <c r="G1159" s="1">
        <f t="shared" si="194"/>
        <v>3.611249892930493E-58</v>
      </c>
      <c r="H1159" s="1">
        <f t="shared" si="187"/>
        <v>3.7411784605068272E-59</v>
      </c>
      <c r="I1159">
        <f t="shared" si="188"/>
        <v>8</v>
      </c>
      <c r="J1159">
        <f t="shared" si="189"/>
        <v>1126</v>
      </c>
      <c r="K1159" s="5">
        <f t="shared" si="190"/>
        <v>0</v>
      </c>
      <c r="L1159">
        <f t="shared" si="191"/>
        <v>53.4</v>
      </c>
      <c r="M1159">
        <f t="shared" si="192"/>
        <v>1</v>
      </c>
      <c r="N1159">
        <f t="shared" si="193"/>
        <v>0</v>
      </c>
    </row>
    <row r="1160" spans="4:14" x14ac:dyDescent="0.2">
      <c r="D1160">
        <f t="shared" si="195"/>
        <v>1137</v>
      </c>
      <c r="E1160" s="1">
        <f t="shared" si="196"/>
        <v>-131.80580190245718</v>
      </c>
      <c r="F1160" s="1">
        <f t="shared" si="197"/>
        <v>-132.38241526676117</v>
      </c>
      <c r="G1160" s="1">
        <f t="shared" si="194"/>
        <v>3.2140124047081364E-58</v>
      </c>
      <c r="H1160" s="1">
        <f t="shared" si="187"/>
        <v>3.3296488298510737E-59</v>
      </c>
      <c r="I1160">
        <f t="shared" si="188"/>
        <v>8</v>
      </c>
      <c r="J1160">
        <f t="shared" si="189"/>
        <v>1127</v>
      </c>
      <c r="K1160" s="5">
        <f t="shared" si="190"/>
        <v>0</v>
      </c>
      <c r="L1160">
        <f t="shared" si="191"/>
        <v>53.4</v>
      </c>
      <c r="M1160">
        <f t="shared" si="192"/>
        <v>1</v>
      </c>
      <c r="N1160">
        <f t="shared" si="193"/>
        <v>0</v>
      </c>
    </row>
    <row r="1161" spans="4:14" x14ac:dyDescent="0.2">
      <c r="D1161">
        <f t="shared" si="195"/>
        <v>1138</v>
      </c>
      <c r="E1161" s="1">
        <f t="shared" si="196"/>
        <v>-131.92233571871313</v>
      </c>
      <c r="F1161" s="1">
        <f t="shared" si="197"/>
        <v>-132.49894908301712</v>
      </c>
      <c r="G1161" s="1">
        <f t="shared" si="194"/>
        <v>2.8604710401902397E-58</v>
      </c>
      <c r="H1161" s="1">
        <f t="shared" si="187"/>
        <v>2.963387458567454E-59</v>
      </c>
      <c r="I1161">
        <f t="shared" si="188"/>
        <v>8</v>
      </c>
      <c r="J1161">
        <f t="shared" si="189"/>
        <v>1128</v>
      </c>
      <c r="K1161" s="5">
        <f t="shared" si="190"/>
        <v>0</v>
      </c>
      <c r="L1161">
        <f t="shared" si="191"/>
        <v>53.4</v>
      </c>
      <c r="M1161">
        <f t="shared" si="192"/>
        <v>1</v>
      </c>
      <c r="N1161">
        <f t="shared" si="193"/>
        <v>0</v>
      </c>
    </row>
    <row r="1162" spans="4:14" x14ac:dyDescent="0.2">
      <c r="D1162">
        <f t="shared" si="195"/>
        <v>1139</v>
      </c>
      <c r="E1162" s="1">
        <f t="shared" si="196"/>
        <v>-132.03886953496908</v>
      </c>
      <c r="F1162" s="1">
        <f t="shared" si="197"/>
        <v>-132.61548289927308</v>
      </c>
      <c r="G1162" s="1">
        <f t="shared" si="194"/>
        <v>2.5458192257693118E-58</v>
      </c>
      <c r="H1162" s="1">
        <f t="shared" si="187"/>
        <v>2.6374148381250324E-59</v>
      </c>
      <c r="I1162">
        <f t="shared" si="188"/>
        <v>8</v>
      </c>
      <c r="J1162">
        <f t="shared" si="189"/>
        <v>1129</v>
      </c>
      <c r="K1162" s="5">
        <f t="shared" si="190"/>
        <v>0</v>
      </c>
      <c r="L1162">
        <f t="shared" si="191"/>
        <v>53.4</v>
      </c>
      <c r="M1162">
        <f t="shared" si="192"/>
        <v>1</v>
      </c>
      <c r="N1162">
        <f t="shared" si="193"/>
        <v>0</v>
      </c>
    </row>
    <row r="1163" spans="4:14" x14ac:dyDescent="0.2">
      <c r="D1163">
        <f t="shared" si="195"/>
        <v>1140</v>
      </c>
      <c r="E1163" s="1">
        <f t="shared" si="196"/>
        <v>-132.15540335122503</v>
      </c>
      <c r="F1163" s="1">
        <f t="shared" si="197"/>
        <v>-132.73201671552903</v>
      </c>
      <c r="G1163" s="1">
        <f t="shared" si="194"/>
        <v>2.2657791109346862E-58</v>
      </c>
      <c r="H1163" s="1">
        <f t="shared" si="187"/>
        <v>2.3472992059312776E-59</v>
      </c>
      <c r="I1163">
        <f t="shared" si="188"/>
        <v>8</v>
      </c>
      <c r="J1163">
        <f t="shared" si="189"/>
        <v>1130</v>
      </c>
      <c r="K1163" s="5">
        <f t="shared" si="190"/>
        <v>0</v>
      </c>
      <c r="L1163">
        <f t="shared" si="191"/>
        <v>53.4</v>
      </c>
      <c r="M1163">
        <f t="shared" si="192"/>
        <v>1</v>
      </c>
      <c r="N1163">
        <f t="shared" si="193"/>
        <v>0</v>
      </c>
    </row>
    <row r="1164" spans="4:14" x14ac:dyDescent="0.2">
      <c r="D1164">
        <f t="shared" si="195"/>
        <v>1141</v>
      </c>
      <c r="E1164" s="1">
        <f t="shared" si="196"/>
        <v>-132.27193716748098</v>
      </c>
      <c r="F1164" s="1">
        <f t="shared" si="197"/>
        <v>-132.84855053178498</v>
      </c>
      <c r="G1164" s="1">
        <f t="shared" si="194"/>
        <v>2.0165434087318694E-58</v>
      </c>
      <c r="H1164" s="1">
        <f t="shared" si="187"/>
        <v>2.0890962932788355E-59</v>
      </c>
      <c r="I1164">
        <f t="shared" si="188"/>
        <v>8</v>
      </c>
      <c r="J1164">
        <f t="shared" si="189"/>
        <v>1131</v>
      </c>
      <c r="K1164" s="5">
        <f t="shared" si="190"/>
        <v>0</v>
      </c>
      <c r="L1164">
        <f t="shared" si="191"/>
        <v>53.4</v>
      </c>
      <c r="M1164">
        <f t="shared" si="192"/>
        <v>1</v>
      </c>
      <c r="N1164">
        <f t="shared" si="193"/>
        <v>0</v>
      </c>
    </row>
    <row r="1165" spans="4:14" x14ac:dyDescent="0.2">
      <c r="D1165">
        <f t="shared" si="195"/>
        <v>1142</v>
      </c>
      <c r="E1165" s="1">
        <f t="shared" si="196"/>
        <v>-132.38847098373694</v>
      </c>
      <c r="F1165" s="1">
        <f t="shared" si="197"/>
        <v>-132.96508434804093</v>
      </c>
      <c r="G1165" s="1">
        <f t="shared" si="194"/>
        <v>1.7947236337713627E-58</v>
      </c>
      <c r="H1165" s="1">
        <f t="shared" si="187"/>
        <v>1.8592957010181626E-59</v>
      </c>
      <c r="I1165">
        <f t="shared" si="188"/>
        <v>8</v>
      </c>
      <c r="J1165">
        <f t="shared" si="189"/>
        <v>1132</v>
      </c>
      <c r="K1165" s="5">
        <f t="shared" si="190"/>
        <v>0</v>
      </c>
      <c r="L1165">
        <f t="shared" si="191"/>
        <v>53.4</v>
      </c>
      <c r="M1165">
        <f t="shared" si="192"/>
        <v>1</v>
      </c>
      <c r="N1165">
        <f t="shared" si="193"/>
        <v>0</v>
      </c>
    </row>
    <row r="1166" spans="4:14" x14ac:dyDescent="0.2">
      <c r="D1166">
        <f t="shared" si="195"/>
        <v>1143</v>
      </c>
      <c r="E1166" s="1">
        <f t="shared" si="196"/>
        <v>-132.50500479999289</v>
      </c>
      <c r="F1166" s="1">
        <f t="shared" si="197"/>
        <v>-133.08161816429688</v>
      </c>
      <c r="G1166" s="1">
        <f t="shared" si="194"/>
        <v>1.5973040340565116E-58</v>
      </c>
      <c r="H1166" s="1">
        <f t="shared" si="187"/>
        <v>1.6547731739061633E-59</v>
      </c>
      <c r="I1166">
        <f t="shared" si="188"/>
        <v>8</v>
      </c>
      <c r="J1166">
        <f t="shared" si="189"/>
        <v>1133</v>
      </c>
      <c r="K1166" s="5">
        <f t="shared" si="190"/>
        <v>0</v>
      </c>
      <c r="L1166">
        <f t="shared" si="191"/>
        <v>53.4</v>
      </c>
      <c r="M1166">
        <f t="shared" si="192"/>
        <v>1</v>
      </c>
      <c r="N1166">
        <f t="shared" si="193"/>
        <v>0</v>
      </c>
    </row>
    <row r="1167" spans="4:14" x14ac:dyDescent="0.2">
      <c r="D1167">
        <f t="shared" si="195"/>
        <v>1144</v>
      </c>
      <c r="E1167" s="1">
        <f t="shared" si="196"/>
        <v>-132.62153861624884</v>
      </c>
      <c r="F1167" s="1">
        <f t="shared" si="197"/>
        <v>-133.19815198055284</v>
      </c>
      <c r="G1167" s="1">
        <f t="shared" si="194"/>
        <v>1.4216005903102946E-58</v>
      </c>
      <c r="H1167" s="1">
        <f t="shared" si="187"/>
        <v>1.4727481247764846E-59</v>
      </c>
      <c r="I1167">
        <f t="shared" si="188"/>
        <v>8</v>
      </c>
      <c r="J1167">
        <f t="shared" si="189"/>
        <v>1134</v>
      </c>
      <c r="K1167" s="5">
        <f t="shared" si="190"/>
        <v>0</v>
      </c>
      <c r="L1167">
        <f t="shared" si="191"/>
        <v>53.4</v>
      </c>
      <c r="M1167">
        <f t="shared" si="192"/>
        <v>1</v>
      </c>
      <c r="N1167">
        <f t="shared" si="193"/>
        <v>0</v>
      </c>
    </row>
    <row r="1168" spans="4:14" x14ac:dyDescent="0.2">
      <c r="D1168">
        <f t="shared" si="195"/>
        <v>1145</v>
      </c>
      <c r="E1168" s="1">
        <f t="shared" si="196"/>
        <v>-132.73807243250479</v>
      </c>
      <c r="F1168" s="1">
        <f t="shared" si="197"/>
        <v>-133.31468579680879</v>
      </c>
      <c r="G1168" s="1">
        <f t="shared" si="194"/>
        <v>1.2652245253761613E-58</v>
      </c>
      <c r="H1168" s="1">
        <f t="shared" si="187"/>
        <v>1.3107458310510705E-59</v>
      </c>
      <c r="I1168">
        <f t="shared" si="188"/>
        <v>8</v>
      </c>
      <c r="J1168">
        <f t="shared" si="189"/>
        <v>1135</v>
      </c>
      <c r="K1168" s="5">
        <f t="shared" si="190"/>
        <v>0</v>
      </c>
      <c r="L1168">
        <f t="shared" si="191"/>
        <v>53.4</v>
      </c>
      <c r="M1168">
        <f t="shared" si="192"/>
        <v>1</v>
      </c>
      <c r="N1168">
        <f t="shared" si="193"/>
        <v>0</v>
      </c>
    </row>
    <row r="1169" spans="4:14" x14ac:dyDescent="0.2">
      <c r="D1169">
        <f t="shared" si="195"/>
        <v>1146</v>
      </c>
      <c r="E1169" s="1">
        <f t="shared" si="196"/>
        <v>-132.85460624876075</v>
      </c>
      <c r="F1169" s="1">
        <f t="shared" si="197"/>
        <v>-133.43121961306474</v>
      </c>
      <c r="G1169" s="1">
        <f t="shared" si="194"/>
        <v>1.1260498275847829E-58</v>
      </c>
      <c r="H1169" s="1">
        <f t="shared" si="187"/>
        <v>1.1665637896354519E-59</v>
      </c>
      <c r="I1169">
        <f t="shared" si="188"/>
        <v>8</v>
      </c>
      <c r="J1169">
        <f t="shared" si="189"/>
        <v>1136</v>
      </c>
      <c r="K1169" s="5">
        <f t="shared" si="190"/>
        <v>0</v>
      </c>
      <c r="L1169">
        <f t="shared" si="191"/>
        <v>53.4</v>
      </c>
      <c r="M1169">
        <f t="shared" si="192"/>
        <v>1</v>
      </c>
      <c r="N1169">
        <f t="shared" si="193"/>
        <v>0</v>
      </c>
    </row>
    <row r="1170" spans="4:14" x14ac:dyDescent="0.2">
      <c r="D1170">
        <f t="shared" si="195"/>
        <v>1147</v>
      </c>
      <c r="E1170" s="1">
        <f t="shared" si="196"/>
        <v>-132.9711400650167</v>
      </c>
      <c r="F1170" s="1">
        <f t="shared" si="197"/>
        <v>-133.54775342932069</v>
      </c>
      <c r="G1170" s="1">
        <f t="shared" si="194"/>
        <v>1.0021843465504561E-58</v>
      </c>
      <c r="H1170" s="1">
        <f t="shared" si="187"/>
        <v>1.0382417727755517E-59</v>
      </c>
      <c r="I1170">
        <f t="shared" si="188"/>
        <v>8</v>
      </c>
      <c r="J1170">
        <f t="shared" si="189"/>
        <v>1137</v>
      </c>
      <c r="K1170" s="5">
        <f t="shared" si="190"/>
        <v>0</v>
      </c>
      <c r="L1170">
        <f t="shared" si="191"/>
        <v>53.4</v>
      </c>
      <c r="M1170">
        <f t="shared" si="192"/>
        <v>1</v>
      </c>
      <c r="N1170">
        <f t="shared" si="193"/>
        <v>0</v>
      </c>
    </row>
    <row r="1171" spans="4:14" x14ac:dyDescent="0.2">
      <c r="D1171">
        <f t="shared" si="195"/>
        <v>1148</v>
      </c>
      <c r="E1171" s="1">
        <f t="shared" si="196"/>
        <v>-133.08767388127265</v>
      </c>
      <c r="F1171" s="1">
        <f t="shared" si="197"/>
        <v>-133.66428724557665</v>
      </c>
      <c r="G1171" s="1">
        <f t="shared" si="194"/>
        <v>8.9194406842990541E-59</v>
      </c>
      <c r="H1171" s="1">
        <f t="shared" si="187"/>
        <v>9.2403517777024043E-60</v>
      </c>
      <c r="I1171">
        <f t="shared" si="188"/>
        <v>8</v>
      </c>
      <c r="J1171">
        <f t="shared" si="189"/>
        <v>1138</v>
      </c>
      <c r="K1171" s="5">
        <f t="shared" si="190"/>
        <v>0</v>
      </c>
      <c r="L1171">
        <f t="shared" si="191"/>
        <v>53.4</v>
      </c>
      <c r="M1171">
        <f t="shared" si="192"/>
        <v>1</v>
      </c>
      <c r="N1171">
        <f t="shared" si="193"/>
        <v>0</v>
      </c>
    </row>
    <row r="1172" spans="4:14" x14ac:dyDescent="0.2">
      <c r="D1172">
        <f t="shared" si="195"/>
        <v>1149</v>
      </c>
      <c r="E1172" s="1">
        <f t="shared" si="196"/>
        <v>-133.2042076975286</v>
      </c>
      <c r="F1172" s="1">
        <f t="shared" si="197"/>
        <v>-133.7808210618326</v>
      </c>
      <c r="G1172" s="1">
        <f t="shared" si="194"/>
        <v>7.9383022090261525E-59</v>
      </c>
      <c r="H1172" s="1">
        <f t="shared" si="187"/>
        <v>8.2239130821551335E-60</v>
      </c>
      <c r="I1172">
        <f t="shared" si="188"/>
        <v>8</v>
      </c>
      <c r="J1172">
        <f t="shared" si="189"/>
        <v>1139</v>
      </c>
      <c r="K1172" s="5">
        <f t="shared" si="190"/>
        <v>0</v>
      </c>
      <c r="L1172">
        <f t="shared" si="191"/>
        <v>53.4</v>
      </c>
      <c r="M1172">
        <f t="shared" si="192"/>
        <v>1</v>
      </c>
      <c r="N1172">
        <f t="shared" si="193"/>
        <v>0</v>
      </c>
    </row>
    <row r="1173" spans="4:14" x14ac:dyDescent="0.2">
      <c r="D1173">
        <f t="shared" si="195"/>
        <v>1150</v>
      </c>
      <c r="E1173" s="1">
        <f t="shared" si="196"/>
        <v>-133.32074151378455</v>
      </c>
      <c r="F1173" s="1">
        <f t="shared" si="197"/>
        <v>-133.89735487808855</v>
      </c>
      <c r="G1173" s="1">
        <f t="shared" si="194"/>
        <v>7.0650889660332715E-59</v>
      </c>
      <c r="H1173" s="1">
        <f t="shared" si="187"/>
        <v>7.3192826431180647E-60</v>
      </c>
      <c r="I1173">
        <f t="shared" si="188"/>
        <v>8</v>
      </c>
      <c r="J1173">
        <f t="shared" si="189"/>
        <v>1140</v>
      </c>
      <c r="K1173" s="5">
        <f t="shared" si="190"/>
        <v>0</v>
      </c>
      <c r="L1173">
        <f t="shared" si="191"/>
        <v>53.4</v>
      </c>
      <c r="M1173">
        <f t="shared" si="192"/>
        <v>1</v>
      </c>
      <c r="N1173">
        <f t="shared" si="193"/>
        <v>0</v>
      </c>
    </row>
    <row r="1174" spans="4:14" x14ac:dyDescent="0.2">
      <c r="D1174">
        <f t="shared" si="195"/>
        <v>1151</v>
      </c>
      <c r="E1174" s="1">
        <f t="shared" si="196"/>
        <v>-133.43727533004051</v>
      </c>
      <c r="F1174" s="1">
        <f t="shared" si="197"/>
        <v>-134.0138886943445</v>
      </c>
      <c r="G1174" s="1">
        <f t="shared" si="194"/>
        <v>6.2879291797696082E-59</v>
      </c>
      <c r="H1174" s="1">
        <f t="shared" si="187"/>
        <v>6.5141615523750743E-60</v>
      </c>
      <c r="I1174">
        <f t="shared" si="188"/>
        <v>8</v>
      </c>
      <c r="J1174">
        <f t="shared" si="189"/>
        <v>1141</v>
      </c>
      <c r="K1174" s="5">
        <f t="shared" si="190"/>
        <v>0</v>
      </c>
      <c r="L1174">
        <f t="shared" si="191"/>
        <v>53.4</v>
      </c>
      <c r="M1174">
        <f t="shared" si="192"/>
        <v>1</v>
      </c>
      <c r="N1174">
        <f t="shared" si="193"/>
        <v>0</v>
      </c>
    </row>
    <row r="1175" spans="4:14" x14ac:dyDescent="0.2">
      <c r="D1175">
        <f t="shared" si="195"/>
        <v>1152</v>
      </c>
      <c r="E1175" s="1">
        <f t="shared" si="196"/>
        <v>-133.55380914629646</v>
      </c>
      <c r="F1175" s="1">
        <f t="shared" si="197"/>
        <v>-134.13042251060045</v>
      </c>
      <c r="G1175" s="1">
        <f t="shared" si="194"/>
        <v>5.596256969994947E-59</v>
      </c>
      <c r="H1175" s="1">
        <f t="shared" ref="H1175:H1238" si="198">G1175/$G$21</f>
        <v>5.7976037816138114E-60</v>
      </c>
      <c r="I1175">
        <f t="shared" ref="I1175:I1238" si="199">IF($F$11&lt;=D1175, IF(D1175&lt;=$A$15,D1175-$F$11,$C$11),0)</f>
        <v>8</v>
      </c>
      <c r="J1175">
        <f t="shared" ref="J1175:J1238" si="200">IF(D1175&lt;=$A$15,0,D1175-$A$15)</f>
        <v>1142</v>
      </c>
      <c r="K1175" s="5">
        <f t="shared" ref="K1175:K1238" si="201">IF(D1175&lt;$F$11,H1175,0)</f>
        <v>0</v>
      </c>
      <c r="L1175">
        <f t="shared" ref="L1175:L1238" si="202">IF(D1175&lt;$A$15,$D$11,$D$11*(1-$H$11))</f>
        <v>53.4</v>
      </c>
      <c r="M1175">
        <f t="shared" ref="M1175:M1238" si="203">IF(D1175&lt;$A$15,0,1)</f>
        <v>1</v>
      </c>
      <c r="N1175">
        <f t="shared" ref="N1175:N1238" si="204">IF(SUM(I1175:J1175)&lt;=($G$11/60*$F$11/($E$11/60)),1,0)</f>
        <v>0</v>
      </c>
    </row>
    <row r="1176" spans="4:14" x14ac:dyDescent="0.2">
      <c r="D1176">
        <f t="shared" si="195"/>
        <v>1153</v>
      </c>
      <c r="E1176" s="1">
        <f t="shared" si="196"/>
        <v>-133.67034296255241</v>
      </c>
      <c r="F1176" s="1">
        <f t="shared" si="197"/>
        <v>-134.24695632685641</v>
      </c>
      <c r="G1176" s="1">
        <f t="shared" ref="G1176:G1239" si="205">EXP(F1176)</f>
        <v>4.9806687032954999E-59</v>
      </c>
      <c r="H1176" s="1">
        <f t="shared" si="198"/>
        <v>5.1598673656362892E-60</v>
      </c>
      <c r="I1176">
        <f t="shared" si="199"/>
        <v>8</v>
      </c>
      <c r="J1176">
        <f t="shared" si="200"/>
        <v>1143</v>
      </c>
      <c r="K1176" s="5">
        <f t="shared" si="201"/>
        <v>0</v>
      </c>
      <c r="L1176">
        <f t="shared" si="202"/>
        <v>53.4</v>
      </c>
      <c r="M1176">
        <f t="shared" si="203"/>
        <v>1</v>
      </c>
      <c r="N1176">
        <f t="shared" si="204"/>
        <v>0</v>
      </c>
    </row>
    <row r="1177" spans="4:14" x14ac:dyDescent="0.2">
      <c r="D1177">
        <f t="shared" ref="D1177:D1240" si="206">1+D1176</f>
        <v>1154</v>
      </c>
      <c r="E1177" s="1">
        <f t="shared" ref="E1177:E1240" si="207">IF($H$11=1,IF(D1177&lt;=$A$15, E1176+LN($D$11)-LN(60/$E$11)-LN(MIN(D1177,$F$11)), E1176-LN(60/$E$11)-LN(MIN(D1177,$F$11))), IF(D1177&lt;=$A$15, E1176+LN($D$11)-LN(60/$E$11)-LN(MIN(D1177,$F$11)), E1176+LN($D$11)+LN(1-$H$11)-LN(60/$E$11)-LN(MIN(D1177,$F$11))))</f>
        <v>-133.78687677880836</v>
      </c>
      <c r="F1177" s="1">
        <f t="shared" ref="F1177:F1240" si="208">E1177-$E$21</f>
        <v>-134.36349014311236</v>
      </c>
      <c r="G1177" s="1">
        <f t="shared" si="205"/>
        <v>4.4327951459329919E-59</v>
      </c>
      <c r="H1177" s="1">
        <f t="shared" si="198"/>
        <v>4.5922819554162942E-60</v>
      </c>
      <c r="I1177">
        <f t="shared" si="199"/>
        <v>8</v>
      </c>
      <c r="J1177">
        <f t="shared" si="200"/>
        <v>1144</v>
      </c>
      <c r="K1177" s="5">
        <f t="shared" si="201"/>
        <v>0</v>
      </c>
      <c r="L1177">
        <f t="shared" si="202"/>
        <v>53.4</v>
      </c>
      <c r="M1177">
        <f t="shared" si="203"/>
        <v>1</v>
      </c>
      <c r="N1177">
        <f t="shared" si="204"/>
        <v>0</v>
      </c>
    </row>
    <row r="1178" spans="4:14" x14ac:dyDescent="0.2">
      <c r="D1178">
        <f t="shared" si="206"/>
        <v>1155</v>
      </c>
      <c r="E1178" s="1">
        <f t="shared" si="207"/>
        <v>-133.90341059506432</v>
      </c>
      <c r="F1178" s="1">
        <f t="shared" si="208"/>
        <v>-134.48002395936831</v>
      </c>
      <c r="G1178" s="1">
        <f t="shared" si="205"/>
        <v>3.9451876798803607E-59</v>
      </c>
      <c r="H1178" s="1">
        <f t="shared" si="198"/>
        <v>4.0871309403204995E-60</v>
      </c>
      <c r="I1178">
        <f t="shared" si="199"/>
        <v>8</v>
      </c>
      <c r="J1178">
        <f t="shared" si="200"/>
        <v>1145</v>
      </c>
      <c r="K1178" s="5">
        <f t="shared" si="201"/>
        <v>0</v>
      </c>
      <c r="L1178">
        <f t="shared" si="202"/>
        <v>53.4</v>
      </c>
      <c r="M1178">
        <f t="shared" si="203"/>
        <v>1</v>
      </c>
      <c r="N1178">
        <f t="shared" si="204"/>
        <v>0</v>
      </c>
    </row>
    <row r="1179" spans="4:14" x14ac:dyDescent="0.2">
      <c r="D1179">
        <f t="shared" si="206"/>
        <v>1156</v>
      </c>
      <c r="E1179" s="1">
        <f t="shared" si="207"/>
        <v>-134.01994441132027</v>
      </c>
      <c r="F1179" s="1">
        <f t="shared" si="208"/>
        <v>-134.59655777562426</v>
      </c>
      <c r="G1179" s="1">
        <f t="shared" si="205"/>
        <v>3.5112170350935185E-59</v>
      </c>
      <c r="H1179" s="1">
        <f t="shared" si="198"/>
        <v>3.637546536885242E-60</v>
      </c>
      <c r="I1179">
        <f t="shared" si="199"/>
        <v>8</v>
      </c>
      <c r="J1179">
        <f t="shared" si="200"/>
        <v>1146</v>
      </c>
      <c r="K1179" s="5">
        <f t="shared" si="201"/>
        <v>0</v>
      </c>
      <c r="L1179">
        <f t="shared" si="202"/>
        <v>53.4</v>
      </c>
      <c r="M1179">
        <f t="shared" si="203"/>
        <v>1</v>
      </c>
      <c r="N1179">
        <f t="shared" si="204"/>
        <v>0</v>
      </c>
    </row>
    <row r="1180" spans="4:14" x14ac:dyDescent="0.2">
      <c r="D1180">
        <f t="shared" si="206"/>
        <v>1157</v>
      </c>
      <c r="E1180" s="1">
        <f t="shared" si="207"/>
        <v>-134.13647822757622</v>
      </c>
      <c r="F1180" s="1">
        <f t="shared" si="208"/>
        <v>-134.71309159188021</v>
      </c>
      <c r="G1180" s="1">
        <f t="shared" si="205"/>
        <v>3.1249831612332298E-59</v>
      </c>
      <c r="H1180" s="1">
        <f t="shared" si="198"/>
        <v>3.2374164178278638E-60</v>
      </c>
      <c r="I1180">
        <f t="shared" si="199"/>
        <v>8</v>
      </c>
      <c r="J1180">
        <f t="shared" si="200"/>
        <v>1147</v>
      </c>
      <c r="K1180" s="5">
        <f t="shared" si="201"/>
        <v>0</v>
      </c>
      <c r="L1180">
        <f t="shared" si="202"/>
        <v>53.4</v>
      </c>
      <c r="M1180">
        <f t="shared" si="203"/>
        <v>1</v>
      </c>
      <c r="N1180">
        <f t="shared" si="204"/>
        <v>0</v>
      </c>
    </row>
    <row r="1181" spans="4:14" x14ac:dyDescent="0.2">
      <c r="D1181">
        <f t="shared" si="206"/>
        <v>1158</v>
      </c>
      <c r="E1181" s="1">
        <f t="shared" si="207"/>
        <v>-134.25301204383217</v>
      </c>
      <c r="F1181" s="1">
        <f t="shared" si="208"/>
        <v>-134.82962540813617</v>
      </c>
      <c r="G1181" s="1">
        <f t="shared" si="205"/>
        <v>2.7812350134975726E-59</v>
      </c>
      <c r="H1181" s="1">
        <f t="shared" si="198"/>
        <v>2.8813006118667968E-60</v>
      </c>
      <c r="I1181">
        <f t="shared" si="199"/>
        <v>8</v>
      </c>
      <c r="J1181">
        <f t="shared" si="200"/>
        <v>1148</v>
      </c>
      <c r="K1181" s="5">
        <f t="shared" si="201"/>
        <v>0</v>
      </c>
      <c r="L1181">
        <f t="shared" si="202"/>
        <v>53.4</v>
      </c>
      <c r="M1181">
        <f t="shared" si="203"/>
        <v>1</v>
      </c>
      <c r="N1181">
        <f t="shared" si="204"/>
        <v>0</v>
      </c>
    </row>
    <row r="1182" spans="4:14" x14ac:dyDescent="0.2">
      <c r="D1182">
        <f t="shared" si="206"/>
        <v>1159</v>
      </c>
      <c r="E1182" s="1">
        <f t="shared" si="207"/>
        <v>-134.36954586008812</v>
      </c>
      <c r="F1182" s="1">
        <f t="shared" si="208"/>
        <v>-134.94615922439212</v>
      </c>
      <c r="G1182" s="1">
        <f t="shared" si="205"/>
        <v>2.4752991620128381E-59</v>
      </c>
      <c r="H1182" s="1">
        <f t="shared" si="198"/>
        <v>2.5643575445614474E-60</v>
      </c>
      <c r="I1182">
        <f t="shared" si="199"/>
        <v>8</v>
      </c>
      <c r="J1182">
        <f t="shared" si="200"/>
        <v>1149</v>
      </c>
      <c r="K1182" s="5">
        <f t="shared" si="201"/>
        <v>0</v>
      </c>
      <c r="L1182">
        <f t="shared" si="202"/>
        <v>53.4</v>
      </c>
      <c r="M1182">
        <f t="shared" si="203"/>
        <v>1</v>
      </c>
      <c r="N1182">
        <f t="shared" si="204"/>
        <v>0</v>
      </c>
    </row>
    <row r="1183" spans="4:14" x14ac:dyDescent="0.2">
      <c r="D1183">
        <f t="shared" si="206"/>
        <v>1160</v>
      </c>
      <c r="E1183" s="1">
        <f t="shared" si="207"/>
        <v>-134.48607967634408</v>
      </c>
      <c r="F1183" s="1">
        <f t="shared" si="208"/>
        <v>-135.06269304064807</v>
      </c>
      <c r="G1183" s="1">
        <f t="shared" si="205"/>
        <v>2.2030162541914248E-59</v>
      </c>
      <c r="H1183" s="1">
        <f t="shared" si="198"/>
        <v>2.2822782146596872E-60</v>
      </c>
      <c r="I1183">
        <f t="shared" si="199"/>
        <v>8</v>
      </c>
      <c r="J1183">
        <f t="shared" si="200"/>
        <v>1150</v>
      </c>
      <c r="K1183" s="5">
        <f t="shared" si="201"/>
        <v>0</v>
      </c>
      <c r="L1183">
        <f t="shared" si="202"/>
        <v>53.4</v>
      </c>
      <c r="M1183">
        <f t="shared" si="203"/>
        <v>1</v>
      </c>
      <c r="N1183">
        <f t="shared" si="204"/>
        <v>0</v>
      </c>
    </row>
    <row r="1184" spans="4:14" x14ac:dyDescent="0.2">
      <c r="D1184">
        <f t="shared" si="206"/>
        <v>1161</v>
      </c>
      <c r="E1184" s="1">
        <f t="shared" si="207"/>
        <v>-134.60261349260003</v>
      </c>
      <c r="F1184" s="1">
        <f t="shared" si="208"/>
        <v>-135.17922685690402</v>
      </c>
      <c r="G1184" s="1">
        <f t="shared" si="205"/>
        <v>1.9606844662303666E-59</v>
      </c>
      <c r="H1184" s="1">
        <f t="shared" si="198"/>
        <v>2.0312276110471199E-60</v>
      </c>
      <c r="I1184">
        <f t="shared" si="199"/>
        <v>8</v>
      </c>
      <c r="J1184">
        <f t="shared" si="200"/>
        <v>1151</v>
      </c>
      <c r="K1184" s="5">
        <f t="shared" si="201"/>
        <v>0</v>
      </c>
      <c r="L1184">
        <f t="shared" si="202"/>
        <v>53.4</v>
      </c>
      <c r="M1184">
        <f t="shared" si="203"/>
        <v>1</v>
      </c>
      <c r="N1184">
        <f t="shared" si="204"/>
        <v>0</v>
      </c>
    </row>
    <row r="1185" spans="4:14" x14ac:dyDescent="0.2">
      <c r="D1185">
        <f t="shared" si="206"/>
        <v>1162</v>
      </c>
      <c r="E1185" s="1">
        <f t="shared" si="207"/>
        <v>-134.71914730885598</v>
      </c>
      <c r="F1185" s="1">
        <f t="shared" si="208"/>
        <v>-135.29576067315998</v>
      </c>
      <c r="G1185" s="1">
        <f t="shared" si="205"/>
        <v>1.7450091749450252E-59</v>
      </c>
      <c r="H1185" s="1">
        <f t="shared" si="198"/>
        <v>1.8077925738319357E-60</v>
      </c>
      <c r="I1185">
        <f t="shared" si="199"/>
        <v>8</v>
      </c>
      <c r="J1185">
        <f t="shared" si="200"/>
        <v>1152</v>
      </c>
      <c r="K1185" s="5">
        <f t="shared" si="201"/>
        <v>0</v>
      </c>
      <c r="L1185">
        <f t="shared" si="202"/>
        <v>53.4</v>
      </c>
      <c r="M1185">
        <f t="shared" si="203"/>
        <v>1</v>
      </c>
      <c r="N1185">
        <f t="shared" si="204"/>
        <v>0</v>
      </c>
    </row>
    <row r="1186" spans="4:14" x14ac:dyDescent="0.2">
      <c r="D1186">
        <f t="shared" si="206"/>
        <v>1163</v>
      </c>
      <c r="E1186" s="1">
        <f t="shared" si="207"/>
        <v>-134.83568112511193</v>
      </c>
      <c r="F1186" s="1">
        <f t="shared" si="208"/>
        <v>-135.41229448941593</v>
      </c>
      <c r="G1186" s="1">
        <f t="shared" si="205"/>
        <v>1.5530581657010715E-59</v>
      </c>
      <c r="H1186" s="1">
        <f t="shared" si="198"/>
        <v>1.6089353907104217E-60</v>
      </c>
      <c r="I1186">
        <f t="shared" si="199"/>
        <v>8</v>
      </c>
      <c r="J1186">
        <f t="shared" si="200"/>
        <v>1153</v>
      </c>
      <c r="K1186" s="5">
        <f t="shared" si="201"/>
        <v>0</v>
      </c>
      <c r="L1186">
        <f t="shared" si="202"/>
        <v>53.4</v>
      </c>
      <c r="M1186">
        <f t="shared" si="203"/>
        <v>1</v>
      </c>
      <c r="N1186">
        <f t="shared" si="204"/>
        <v>0</v>
      </c>
    </row>
    <row r="1187" spans="4:14" x14ac:dyDescent="0.2">
      <c r="D1187">
        <f t="shared" si="206"/>
        <v>1164</v>
      </c>
      <c r="E1187" s="1">
        <f t="shared" si="207"/>
        <v>-134.95221494136788</v>
      </c>
      <c r="F1187" s="1">
        <f t="shared" si="208"/>
        <v>-135.52882830567188</v>
      </c>
      <c r="G1187" s="1">
        <f t="shared" si="205"/>
        <v>1.3822217674739527E-59</v>
      </c>
      <c r="H1187" s="1">
        <f t="shared" si="198"/>
        <v>1.4319524977322745E-60</v>
      </c>
      <c r="I1187">
        <f t="shared" si="199"/>
        <v>8</v>
      </c>
      <c r="J1187">
        <f t="shared" si="200"/>
        <v>1154</v>
      </c>
      <c r="K1187" s="5">
        <f t="shared" si="201"/>
        <v>0</v>
      </c>
      <c r="L1187">
        <f t="shared" si="202"/>
        <v>53.4</v>
      </c>
      <c r="M1187">
        <f t="shared" si="203"/>
        <v>1</v>
      </c>
      <c r="N1187">
        <f t="shared" si="204"/>
        <v>0</v>
      </c>
    </row>
    <row r="1188" spans="4:14" x14ac:dyDescent="0.2">
      <c r="D1188">
        <f t="shared" si="206"/>
        <v>1165</v>
      </c>
      <c r="E1188" s="1">
        <f t="shared" si="207"/>
        <v>-135.06874875762384</v>
      </c>
      <c r="F1188" s="1">
        <f t="shared" si="208"/>
        <v>-135.64536212192783</v>
      </c>
      <c r="G1188" s="1">
        <f t="shared" si="205"/>
        <v>1.2301773730518172E-59</v>
      </c>
      <c r="H1188" s="1">
        <f t="shared" si="198"/>
        <v>1.2744377229817236E-60</v>
      </c>
      <c r="I1188">
        <f t="shared" si="199"/>
        <v>8</v>
      </c>
      <c r="J1188">
        <f t="shared" si="200"/>
        <v>1155</v>
      </c>
      <c r="K1188" s="5">
        <f t="shared" si="201"/>
        <v>0</v>
      </c>
      <c r="L1188">
        <f t="shared" si="202"/>
        <v>53.4</v>
      </c>
      <c r="M1188">
        <f t="shared" si="203"/>
        <v>1</v>
      </c>
      <c r="N1188">
        <f t="shared" si="204"/>
        <v>0</v>
      </c>
    </row>
    <row r="1189" spans="4:14" x14ac:dyDescent="0.2">
      <c r="D1189">
        <f t="shared" si="206"/>
        <v>1166</v>
      </c>
      <c r="E1189" s="1">
        <f t="shared" si="207"/>
        <v>-135.18528257387979</v>
      </c>
      <c r="F1189" s="1">
        <f t="shared" si="208"/>
        <v>-135.76189593818378</v>
      </c>
      <c r="G1189" s="1">
        <f t="shared" si="205"/>
        <v>1.0948578620161166E-59</v>
      </c>
      <c r="H1189" s="1">
        <f t="shared" si="198"/>
        <v>1.1342495734537331E-60</v>
      </c>
      <c r="I1189">
        <f t="shared" si="199"/>
        <v>8</v>
      </c>
      <c r="J1189">
        <f t="shared" si="200"/>
        <v>1156</v>
      </c>
      <c r="K1189" s="5">
        <f t="shared" si="201"/>
        <v>0</v>
      </c>
      <c r="L1189">
        <f t="shared" si="202"/>
        <v>53.4</v>
      </c>
      <c r="M1189">
        <f t="shared" si="203"/>
        <v>1</v>
      </c>
      <c r="N1189">
        <f t="shared" si="204"/>
        <v>0</v>
      </c>
    </row>
    <row r="1190" spans="4:14" x14ac:dyDescent="0.2">
      <c r="D1190">
        <f t="shared" si="206"/>
        <v>1167</v>
      </c>
      <c r="E1190" s="1">
        <f t="shared" si="207"/>
        <v>-135.30181639013574</v>
      </c>
      <c r="F1190" s="1">
        <f t="shared" si="208"/>
        <v>-135.87842975443974</v>
      </c>
      <c r="G1190" s="1">
        <f t="shared" si="205"/>
        <v>9.7442349719434308E-60</v>
      </c>
      <c r="H1190" s="1">
        <f t="shared" si="198"/>
        <v>1.0094821203738219E-60</v>
      </c>
      <c r="I1190">
        <f t="shared" si="199"/>
        <v>8</v>
      </c>
      <c r="J1190">
        <f t="shared" si="200"/>
        <v>1157</v>
      </c>
      <c r="K1190" s="5">
        <f t="shared" si="201"/>
        <v>0</v>
      </c>
      <c r="L1190">
        <f t="shared" si="202"/>
        <v>53.4</v>
      </c>
      <c r="M1190">
        <f t="shared" si="203"/>
        <v>1</v>
      </c>
      <c r="N1190">
        <f t="shared" si="204"/>
        <v>0</v>
      </c>
    </row>
    <row r="1191" spans="4:14" x14ac:dyDescent="0.2">
      <c r="D1191">
        <f t="shared" si="206"/>
        <v>1168</v>
      </c>
      <c r="E1191" s="1">
        <f t="shared" si="207"/>
        <v>-135.41835020639169</v>
      </c>
      <c r="F1191" s="1">
        <f t="shared" si="208"/>
        <v>-135.99496357069569</v>
      </c>
      <c r="G1191" s="1">
        <f t="shared" si="205"/>
        <v>8.6723691250296478E-60</v>
      </c>
      <c r="H1191" s="1">
        <f t="shared" si="198"/>
        <v>8.984390871327008E-61</v>
      </c>
      <c r="I1191">
        <f t="shared" si="199"/>
        <v>8</v>
      </c>
      <c r="J1191">
        <f t="shared" si="200"/>
        <v>1158</v>
      </c>
      <c r="K1191" s="5">
        <f t="shared" si="201"/>
        <v>0</v>
      </c>
      <c r="L1191">
        <f t="shared" si="202"/>
        <v>53.4</v>
      </c>
      <c r="M1191">
        <f t="shared" si="203"/>
        <v>1</v>
      </c>
      <c r="N1191">
        <f t="shared" si="204"/>
        <v>0</v>
      </c>
    </row>
    <row r="1192" spans="4:14" x14ac:dyDescent="0.2">
      <c r="D1192">
        <f t="shared" si="206"/>
        <v>1169</v>
      </c>
      <c r="E1192" s="1">
        <f t="shared" si="207"/>
        <v>-135.53488402264765</v>
      </c>
      <c r="F1192" s="1">
        <f t="shared" si="208"/>
        <v>-136.11149738695164</v>
      </c>
      <c r="G1192" s="1">
        <f t="shared" si="205"/>
        <v>7.7184085212763816E-60</v>
      </c>
      <c r="H1192" s="1">
        <f t="shared" si="198"/>
        <v>7.9961078754810327E-61</v>
      </c>
      <c r="I1192">
        <f t="shared" si="199"/>
        <v>8</v>
      </c>
      <c r="J1192">
        <f t="shared" si="200"/>
        <v>1159</v>
      </c>
      <c r="K1192" s="5">
        <f t="shared" si="201"/>
        <v>0</v>
      </c>
      <c r="L1192">
        <f t="shared" si="202"/>
        <v>53.4</v>
      </c>
      <c r="M1192">
        <f t="shared" si="203"/>
        <v>1</v>
      </c>
      <c r="N1192">
        <f t="shared" si="204"/>
        <v>0</v>
      </c>
    </row>
    <row r="1193" spans="4:14" x14ac:dyDescent="0.2">
      <c r="D1193">
        <f t="shared" si="206"/>
        <v>1170</v>
      </c>
      <c r="E1193" s="1">
        <f t="shared" si="207"/>
        <v>-135.6514178389036</v>
      </c>
      <c r="F1193" s="1">
        <f t="shared" si="208"/>
        <v>-136.22803120320759</v>
      </c>
      <c r="G1193" s="1">
        <f t="shared" si="205"/>
        <v>6.8693835839359762E-60</v>
      </c>
      <c r="H1193" s="1">
        <f t="shared" si="198"/>
        <v>7.1165360091781154E-61</v>
      </c>
      <c r="I1193">
        <f t="shared" si="199"/>
        <v>8</v>
      </c>
      <c r="J1193">
        <f t="shared" si="200"/>
        <v>1160</v>
      </c>
      <c r="K1193" s="5">
        <f t="shared" si="201"/>
        <v>0</v>
      </c>
      <c r="L1193">
        <f t="shared" si="202"/>
        <v>53.4</v>
      </c>
      <c r="M1193">
        <f t="shared" si="203"/>
        <v>1</v>
      </c>
      <c r="N1193">
        <f t="shared" si="204"/>
        <v>0</v>
      </c>
    </row>
    <row r="1194" spans="4:14" x14ac:dyDescent="0.2">
      <c r="D1194">
        <f t="shared" si="206"/>
        <v>1171</v>
      </c>
      <c r="E1194" s="1">
        <f t="shared" si="207"/>
        <v>-135.76795165515955</v>
      </c>
      <c r="F1194" s="1">
        <f t="shared" si="208"/>
        <v>-136.34456501946354</v>
      </c>
      <c r="G1194" s="1">
        <f t="shared" si="205"/>
        <v>6.1137513897030144E-60</v>
      </c>
      <c r="H1194" s="1">
        <f t="shared" si="198"/>
        <v>6.3337170481685184E-61</v>
      </c>
      <c r="I1194">
        <f t="shared" si="199"/>
        <v>8</v>
      </c>
      <c r="J1194">
        <f t="shared" si="200"/>
        <v>1161</v>
      </c>
      <c r="K1194" s="5">
        <f t="shared" si="201"/>
        <v>0</v>
      </c>
      <c r="L1194">
        <f t="shared" si="202"/>
        <v>53.4</v>
      </c>
      <c r="M1194">
        <f t="shared" si="203"/>
        <v>1</v>
      </c>
      <c r="N1194">
        <f t="shared" si="204"/>
        <v>0</v>
      </c>
    </row>
    <row r="1195" spans="4:14" x14ac:dyDescent="0.2">
      <c r="D1195">
        <f t="shared" si="206"/>
        <v>1172</v>
      </c>
      <c r="E1195" s="1">
        <f t="shared" si="207"/>
        <v>-135.8844854714155</v>
      </c>
      <c r="F1195" s="1">
        <f t="shared" si="208"/>
        <v>-136.4610988357195</v>
      </c>
      <c r="G1195" s="1">
        <f t="shared" si="205"/>
        <v>5.4412387368356798E-60</v>
      </c>
      <c r="H1195" s="1">
        <f t="shared" si="198"/>
        <v>5.6370081728699779E-61</v>
      </c>
      <c r="I1195">
        <f t="shared" si="199"/>
        <v>8</v>
      </c>
      <c r="J1195">
        <f t="shared" si="200"/>
        <v>1162</v>
      </c>
      <c r="K1195" s="5">
        <f t="shared" si="201"/>
        <v>0</v>
      </c>
      <c r="L1195">
        <f t="shared" si="202"/>
        <v>53.4</v>
      </c>
      <c r="M1195">
        <f t="shared" si="203"/>
        <v>1</v>
      </c>
      <c r="N1195">
        <f t="shared" si="204"/>
        <v>0</v>
      </c>
    </row>
    <row r="1196" spans="4:14" x14ac:dyDescent="0.2">
      <c r="D1196">
        <f t="shared" si="206"/>
        <v>1173</v>
      </c>
      <c r="E1196" s="1">
        <f t="shared" si="207"/>
        <v>-136.00101928767145</v>
      </c>
      <c r="F1196" s="1">
        <f t="shared" si="208"/>
        <v>-136.57763265197545</v>
      </c>
      <c r="G1196" s="1">
        <f t="shared" si="205"/>
        <v>4.8427024757837515E-60</v>
      </c>
      <c r="H1196" s="1">
        <f t="shared" si="198"/>
        <v>5.0169372738542766E-61</v>
      </c>
      <c r="I1196">
        <f t="shared" si="199"/>
        <v>8</v>
      </c>
      <c r="J1196">
        <f t="shared" si="200"/>
        <v>1163</v>
      </c>
      <c r="K1196" s="5">
        <f t="shared" si="201"/>
        <v>0</v>
      </c>
      <c r="L1196">
        <f t="shared" si="202"/>
        <v>53.4</v>
      </c>
      <c r="M1196">
        <f t="shared" si="203"/>
        <v>1</v>
      </c>
      <c r="N1196">
        <f t="shared" si="204"/>
        <v>0</v>
      </c>
    </row>
    <row r="1197" spans="4:14" x14ac:dyDescent="0.2">
      <c r="D1197">
        <f t="shared" si="206"/>
        <v>1174</v>
      </c>
      <c r="E1197" s="1">
        <f t="shared" si="207"/>
        <v>-136.11755310392741</v>
      </c>
      <c r="F1197" s="1">
        <f t="shared" si="208"/>
        <v>-136.6941664682314</v>
      </c>
      <c r="G1197" s="1">
        <f t="shared" si="205"/>
        <v>4.3100052034475363E-60</v>
      </c>
      <c r="H1197" s="1">
        <f t="shared" si="198"/>
        <v>4.4650741737303037E-61</v>
      </c>
      <c r="I1197">
        <f t="shared" si="199"/>
        <v>8</v>
      </c>
      <c r="J1197">
        <f t="shared" si="200"/>
        <v>1164</v>
      </c>
      <c r="K1197" s="5">
        <f t="shared" si="201"/>
        <v>0</v>
      </c>
      <c r="L1197">
        <f t="shared" si="202"/>
        <v>53.4</v>
      </c>
      <c r="M1197">
        <f t="shared" si="203"/>
        <v>1</v>
      </c>
      <c r="N1197">
        <f t="shared" si="204"/>
        <v>0</v>
      </c>
    </row>
    <row r="1198" spans="4:14" x14ac:dyDescent="0.2">
      <c r="D1198">
        <f t="shared" si="206"/>
        <v>1175</v>
      </c>
      <c r="E1198" s="1">
        <f t="shared" si="207"/>
        <v>-136.23408692018336</v>
      </c>
      <c r="F1198" s="1">
        <f t="shared" si="208"/>
        <v>-136.81070028448735</v>
      </c>
      <c r="G1198" s="1">
        <f t="shared" si="205"/>
        <v>3.8359046310683049E-60</v>
      </c>
      <c r="H1198" s="1">
        <f t="shared" si="198"/>
        <v>3.9739160146199674E-61</v>
      </c>
      <c r="I1198">
        <f t="shared" si="199"/>
        <v>8</v>
      </c>
      <c r="J1198">
        <f t="shared" si="200"/>
        <v>1165</v>
      </c>
      <c r="K1198" s="5">
        <f t="shared" si="201"/>
        <v>0</v>
      </c>
      <c r="L1198">
        <f t="shared" si="202"/>
        <v>53.4</v>
      </c>
      <c r="M1198">
        <f t="shared" si="203"/>
        <v>1</v>
      </c>
      <c r="N1198">
        <f t="shared" si="204"/>
        <v>0</v>
      </c>
    </row>
    <row r="1199" spans="4:14" x14ac:dyDescent="0.2">
      <c r="D1199">
        <f t="shared" si="206"/>
        <v>1176</v>
      </c>
      <c r="E1199" s="1">
        <f t="shared" si="207"/>
        <v>-136.35062073643931</v>
      </c>
      <c r="F1199" s="1">
        <f t="shared" si="208"/>
        <v>-136.92723410074331</v>
      </c>
      <c r="G1199" s="1">
        <f t="shared" si="205"/>
        <v>3.4139551216507893E-60</v>
      </c>
      <c r="H1199" s="1">
        <f t="shared" si="198"/>
        <v>3.5367852530117692E-61</v>
      </c>
      <c r="I1199">
        <f t="shared" si="199"/>
        <v>8</v>
      </c>
      <c r="J1199">
        <f t="shared" si="200"/>
        <v>1166</v>
      </c>
      <c r="K1199" s="5">
        <f t="shared" si="201"/>
        <v>0</v>
      </c>
      <c r="L1199">
        <f t="shared" si="202"/>
        <v>53.4</v>
      </c>
      <c r="M1199">
        <f t="shared" si="203"/>
        <v>1</v>
      </c>
      <c r="N1199">
        <f t="shared" si="204"/>
        <v>0</v>
      </c>
    </row>
    <row r="1200" spans="4:14" x14ac:dyDescent="0.2">
      <c r="D1200">
        <f t="shared" si="206"/>
        <v>1177</v>
      </c>
      <c r="E1200" s="1">
        <f t="shared" si="207"/>
        <v>-136.46715455269526</v>
      </c>
      <c r="F1200" s="1">
        <f t="shared" si="208"/>
        <v>-137.04376791699926</v>
      </c>
      <c r="G1200" s="1">
        <f t="shared" si="205"/>
        <v>3.0384200582692003E-60</v>
      </c>
      <c r="H1200" s="1">
        <f t="shared" si="198"/>
        <v>3.1477388751804724E-61</v>
      </c>
      <c r="I1200">
        <f t="shared" si="199"/>
        <v>8</v>
      </c>
      <c r="J1200">
        <f t="shared" si="200"/>
        <v>1167</v>
      </c>
      <c r="K1200" s="5">
        <f t="shared" si="201"/>
        <v>0</v>
      </c>
      <c r="L1200">
        <f t="shared" si="202"/>
        <v>53.4</v>
      </c>
      <c r="M1200">
        <f t="shared" si="203"/>
        <v>1</v>
      </c>
      <c r="N1200">
        <f t="shared" si="204"/>
        <v>0</v>
      </c>
    </row>
    <row r="1201" spans="4:14" x14ac:dyDescent="0.2">
      <c r="D1201">
        <f t="shared" si="206"/>
        <v>1178</v>
      </c>
      <c r="E1201" s="1">
        <f t="shared" si="207"/>
        <v>-136.58368836895121</v>
      </c>
      <c r="F1201" s="1">
        <f t="shared" si="208"/>
        <v>-137.16030173325521</v>
      </c>
      <c r="G1201" s="1">
        <f t="shared" si="205"/>
        <v>2.7041938518595869E-60</v>
      </c>
      <c r="H1201" s="1">
        <f t="shared" si="198"/>
        <v>2.801487598910619E-61</v>
      </c>
      <c r="I1201">
        <f t="shared" si="199"/>
        <v>8</v>
      </c>
      <c r="J1201">
        <f t="shared" si="200"/>
        <v>1168</v>
      </c>
      <c r="K1201" s="5">
        <f t="shared" si="201"/>
        <v>0</v>
      </c>
      <c r="L1201">
        <f t="shared" si="202"/>
        <v>53.4</v>
      </c>
      <c r="M1201">
        <f t="shared" si="203"/>
        <v>1</v>
      </c>
      <c r="N1201">
        <f t="shared" si="204"/>
        <v>0</v>
      </c>
    </row>
    <row r="1202" spans="4:14" x14ac:dyDescent="0.2">
      <c r="D1202">
        <f t="shared" si="206"/>
        <v>1179</v>
      </c>
      <c r="E1202" s="1">
        <f t="shared" si="207"/>
        <v>-136.70022218520717</v>
      </c>
      <c r="F1202" s="1">
        <f t="shared" si="208"/>
        <v>-137.27683554951116</v>
      </c>
      <c r="G1202" s="1">
        <f t="shared" si="205"/>
        <v>2.4067325281550306E-60</v>
      </c>
      <c r="H1202" s="1">
        <f t="shared" si="198"/>
        <v>2.4933239630304489E-61</v>
      </c>
      <c r="I1202">
        <f t="shared" si="199"/>
        <v>8</v>
      </c>
      <c r="J1202">
        <f t="shared" si="200"/>
        <v>1169</v>
      </c>
      <c r="K1202" s="5">
        <f t="shared" si="201"/>
        <v>0</v>
      </c>
      <c r="L1202">
        <f t="shared" si="202"/>
        <v>53.4</v>
      </c>
      <c r="M1202">
        <f t="shared" si="203"/>
        <v>1</v>
      </c>
      <c r="N1202">
        <f t="shared" si="204"/>
        <v>0</v>
      </c>
    </row>
    <row r="1203" spans="4:14" x14ac:dyDescent="0.2">
      <c r="D1203">
        <f t="shared" si="206"/>
        <v>1180</v>
      </c>
      <c r="E1203" s="1">
        <f t="shared" si="207"/>
        <v>-136.81675600146312</v>
      </c>
      <c r="F1203" s="1">
        <f t="shared" si="208"/>
        <v>-137.39336936576711</v>
      </c>
      <c r="G1203" s="1">
        <f t="shared" si="205"/>
        <v>2.1419919500579759E-60</v>
      </c>
      <c r="H1203" s="1">
        <f t="shared" si="198"/>
        <v>2.2190583270970983E-61</v>
      </c>
      <c r="I1203">
        <f t="shared" si="199"/>
        <v>8</v>
      </c>
      <c r="J1203">
        <f t="shared" si="200"/>
        <v>1170</v>
      </c>
      <c r="K1203" s="5">
        <f t="shared" si="201"/>
        <v>0</v>
      </c>
      <c r="L1203">
        <f t="shared" si="202"/>
        <v>53.4</v>
      </c>
      <c r="M1203">
        <f t="shared" si="203"/>
        <v>1</v>
      </c>
      <c r="N1203">
        <f t="shared" si="204"/>
        <v>0</v>
      </c>
    </row>
    <row r="1204" spans="4:14" x14ac:dyDescent="0.2">
      <c r="D1204">
        <f t="shared" si="206"/>
        <v>1181</v>
      </c>
      <c r="E1204" s="1">
        <f t="shared" si="207"/>
        <v>-136.93328981771907</v>
      </c>
      <c r="F1204" s="1">
        <f t="shared" si="208"/>
        <v>-137.50990318202307</v>
      </c>
      <c r="G1204" s="1">
        <f t="shared" si="205"/>
        <v>1.9063728355515974E-60</v>
      </c>
      <c r="H1204" s="1">
        <f t="shared" si="198"/>
        <v>1.9749619111164162E-61</v>
      </c>
      <c r="I1204">
        <f t="shared" si="199"/>
        <v>8</v>
      </c>
      <c r="J1204">
        <f t="shared" si="200"/>
        <v>1171</v>
      </c>
      <c r="K1204" s="5">
        <f t="shared" si="201"/>
        <v>0</v>
      </c>
      <c r="L1204">
        <f t="shared" si="202"/>
        <v>53.4</v>
      </c>
      <c r="M1204">
        <f t="shared" si="203"/>
        <v>1</v>
      </c>
      <c r="N1204">
        <f t="shared" si="204"/>
        <v>0</v>
      </c>
    </row>
    <row r="1205" spans="4:14" x14ac:dyDescent="0.2">
      <c r="D1205">
        <f t="shared" si="206"/>
        <v>1182</v>
      </c>
      <c r="E1205" s="1">
        <f t="shared" si="207"/>
        <v>-137.04982363397502</v>
      </c>
      <c r="F1205" s="1">
        <f t="shared" si="208"/>
        <v>-137.62643699827902</v>
      </c>
      <c r="G1205" s="1">
        <f t="shared" si="205"/>
        <v>1.6966718236409205E-60</v>
      </c>
      <c r="H1205" s="1">
        <f t="shared" si="198"/>
        <v>1.7577161008936093E-61</v>
      </c>
      <c r="I1205">
        <f t="shared" si="199"/>
        <v>8</v>
      </c>
      <c r="J1205">
        <f t="shared" si="200"/>
        <v>1172</v>
      </c>
      <c r="K1205" s="5">
        <f t="shared" si="201"/>
        <v>0</v>
      </c>
      <c r="L1205">
        <f t="shared" si="202"/>
        <v>53.4</v>
      </c>
      <c r="M1205">
        <f t="shared" si="203"/>
        <v>1</v>
      </c>
      <c r="N1205">
        <f t="shared" si="204"/>
        <v>0</v>
      </c>
    </row>
    <row r="1206" spans="4:14" x14ac:dyDescent="0.2">
      <c r="D1206">
        <f t="shared" si="206"/>
        <v>1183</v>
      </c>
      <c r="E1206" s="1">
        <f t="shared" si="207"/>
        <v>-137.16635745023098</v>
      </c>
      <c r="F1206" s="1">
        <f t="shared" si="208"/>
        <v>-137.74297081453497</v>
      </c>
      <c r="G1206" s="1">
        <f t="shared" si="205"/>
        <v>1.5100379230404185E-60</v>
      </c>
      <c r="H1206" s="1">
        <f t="shared" si="198"/>
        <v>1.5643673297953115E-61</v>
      </c>
      <c r="I1206">
        <f t="shared" si="199"/>
        <v>8</v>
      </c>
      <c r="J1206">
        <f t="shared" si="200"/>
        <v>1173</v>
      </c>
      <c r="K1206" s="5">
        <f t="shared" si="201"/>
        <v>0</v>
      </c>
      <c r="L1206">
        <f t="shared" si="202"/>
        <v>53.4</v>
      </c>
      <c r="M1206">
        <f t="shared" si="203"/>
        <v>1</v>
      </c>
      <c r="N1206">
        <f t="shared" si="204"/>
        <v>0</v>
      </c>
    </row>
    <row r="1207" spans="4:14" x14ac:dyDescent="0.2">
      <c r="D1207">
        <f t="shared" si="206"/>
        <v>1184</v>
      </c>
      <c r="E1207" s="1">
        <f t="shared" si="207"/>
        <v>-137.28289126648693</v>
      </c>
      <c r="F1207" s="1">
        <f t="shared" si="208"/>
        <v>-137.85950463079092</v>
      </c>
      <c r="G1207" s="1">
        <f t="shared" si="205"/>
        <v>1.3439337515059715E-60</v>
      </c>
      <c r="H1207" s="1">
        <f t="shared" si="198"/>
        <v>1.3922869235178262E-61</v>
      </c>
      <c r="I1207">
        <f t="shared" si="199"/>
        <v>8</v>
      </c>
      <c r="J1207">
        <f t="shared" si="200"/>
        <v>1174</v>
      </c>
      <c r="K1207" s="5">
        <f t="shared" si="201"/>
        <v>0</v>
      </c>
      <c r="L1207">
        <f t="shared" si="202"/>
        <v>53.4</v>
      </c>
      <c r="M1207">
        <f t="shared" si="203"/>
        <v>1</v>
      </c>
      <c r="N1207">
        <f t="shared" si="204"/>
        <v>0</v>
      </c>
    </row>
    <row r="1208" spans="4:14" x14ac:dyDescent="0.2">
      <c r="D1208">
        <f t="shared" si="206"/>
        <v>1185</v>
      </c>
      <c r="E1208" s="1">
        <f t="shared" si="207"/>
        <v>-137.39942508274288</v>
      </c>
      <c r="F1208" s="1">
        <f t="shared" si="208"/>
        <v>-137.97603844704688</v>
      </c>
      <c r="G1208" s="1">
        <f t="shared" si="205"/>
        <v>1.1961010388403138E-60</v>
      </c>
      <c r="H1208" s="1">
        <f t="shared" si="198"/>
        <v>1.2391353619308645E-61</v>
      </c>
      <c r="I1208">
        <f t="shared" si="199"/>
        <v>8</v>
      </c>
      <c r="J1208">
        <f t="shared" si="200"/>
        <v>1175</v>
      </c>
      <c r="K1208" s="5">
        <f t="shared" si="201"/>
        <v>0</v>
      </c>
      <c r="L1208">
        <f t="shared" si="202"/>
        <v>53.4</v>
      </c>
      <c r="M1208">
        <f t="shared" si="203"/>
        <v>1</v>
      </c>
      <c r="N1208">
        <f t="shared" si="204"/>
        <v>0</v>
      </c>
    </row>
    <row r="1209" spans="4:14" x14ac:dyDescent="0.2">
      <c r="D1209">
        <f t="shared" si="206"/>
        <v>1186</v>
      </c>
      <c r="E1209" s="1">
        <f t="shared" si="207"/>
        <v>-137.51595889899883</v>
      </c>
      <c r="F1209" s="1">
        <f t="shared" si="208"/>
        <v>-138.09257226330283</v>
      </c>
      <c r="G1209" s="1">
        <f t="shared" si="205"/>
        <v>1.0645299245678786E-60</v>
      </c>
      <c r="H1209" s="1">
        <f t="shared" si="198"/>
        <v>1.1028304721184687E-61</v>
      </c>
      <c r="I1209">
        <f t="shared" si="199"/>
        <v>8</v>
      </c>
      <c r="J1209">
        <f t="shared" si="200"/>
        <v>1176</v>
      </c>
      <c r="K1209" s="5">
        <f t="shared" si="201"/>
        <v>0</v>
      </c>
      <c r="L1209">
        <f t="shared" si="202"/>
        <v>53.4</v>
      </c>
      <c r="M1209">
        <f t="shared" si="203"/>
        <v>1</v>
      </c>
      <c r="N1209">
        <f t="shared" si="204"/>
        <v>0</v>
      </c>
    </row>
    <row r="1210" spans="4:14" x14ac:dyDescent="0.2">
      <c r="D1210">
        <f t="shared" si="206"/>
        <v>1187</v>
      </c>
      <c r="E1210" s="1">
        <f t="shared" si="207"/>
        <v>-137.63249271525478</v>
      </c>
      <c r="F1210" s="1">
        <f t="shared" si="208"/>
        <v>-138.20910607955878</v>
      </c>
      <c r="G1210" s="1">
        <f t="shared" si="205"/>
        <v>9.4743163286541147E-61</v>
      </c>
      <c r="H1210" s="1">
        <f t="shared" si="198"/>
        <v>9.8151912018543665E-62</v>
      </c>
      <c r="I1210">
        <f t="shared" si="199"/>
        <v>8</v>
      </c>
      <c r="J1210">
        <f t="shared" si="200"/>
        <v>1177</v>
      </c>
      <c r="K1210" s="5">
        <f t="shared" si="201"/>
        <v>0</v>
      </c>
      <c r="L1210">
        <f t="shared" si="202"/>
        <v>53.4</v>
      </c>
      <c r="M1210">
        <f t="shared" si="203"/>
        <v>1</v>
      </c>
      <c r="N1210">
        <f t="shared" si="204"/>
        <v>0</v>
      </c>
    </row>
    <row r="1211" spans="4:14" x14ac:dyDescent="0.2">
      <c r="D1211">
        <f t="shared" si="206"/>
        <v>1188</v>
      </c>
      <c r="E1211" s="1">
        <f t="shared" si="207"/>
        <v>-137.74902653151074</v>
      </c>
      <c r="F1211" s="1">
        <f t="shared" si="208"/>
        <v>-138.32563989581473</v>
      </c>
      <c r="G1211" s="1">
        <f t="shared" si="205"/>
        <v>8.4321415325021558E-61</v>
      </c>
      <c r="H1211" s="1">
        <f t="shared" si="198"/>
        <v>8.735520169650379E-62</v>
      </c>
      <c r="I1211">
        <f t="shared" si="199"/>
        <v>8</v>
      </c>
      <c r="J1211">
        <f t="shared" si="200"/>
        <v>1178</v>
      </c>
      <c r="K1211" s="5">
        <f t="shared" si="201"/>
        <v>0</v>
      </c>
      <c r="L1211">
        <f t="shared" si="202"/>
        <v>53.4</v>
      </c>
      <c r="M1211">
        <f t="shared" si="203"/>
        <v>1</v>
      </c>
      <c r="N1211">
        <f t="shared" si="204"/>
        <v>0</v>
      </c>
    </row>
    <row r="1212" spans="4:14" x14ac:dyDescent="0.2">
      <c r="D1212">
        <f t="shared" si="206"/>
        <v>1189</v>
      </c>
      <c r="E1212" s="1">
        <f t="shared" si="207"/>
        <v>-137.86556034776669</v>
      </c>
      <c r="F1212" s="1">
        <f t="shared" si="208"/>
        <v>-138.44217371207068</v>
      </c>
      <c r="G1212" s="1">
        <f t="shared" si="205"/>
        <v>7.5046059639269148E-61</v>
      </c>
      <c r="H1212" s="1">
        <f t="shared" si="198"/>
        <v>7.7746129509888334E-62</v>
      </c>
      <c r="I1212">
        <f t="shared" si="199"/>
        <v>8</v>
      </c>
      <c r="J1212">
        <f t="shared" si="200"/>
        <v>1179</v>
      </c>
      <c r="K1212" s="5">
        <f t="shared" si="201"/>
        <v>0</v>
      </c>
      <c r="L1212">
        <f t="shared" si="202"/>
        <v>53.4</v>
      </c>
      <c r="M1212">
        <f t="shared" si="203"/>
        <v>1</v>
      </c>
      <c r="N1212">
        <f t="shared" si="204"/>
        <v>0</v>
      </c>
    </row>
    <row r="1213" spans="4:14" x14ac:dyDescent="0.2">
      <c r="D1213">
        <f t="shared" si="206"/>
        <v>1190</v>
      </c>
      <c r="E1213" s="1">
        <f t="shared" si="207"/>
        <v>-137.98209416402264</v>
      </c>
      <c r="F1213" s="1">
        <f t="shared" si="208"/>
        <v>-138.55870752832664</v>
      </c>
      <c r="G1213" s="1">
        <f t="shared" si="205"/>
        <v>6.6790993078949492E-61</v>
      </c>
      <c r="H1213" s="1">
        <f t="shared" si="198"/>
        <v>6.919405526380057E-62</v>
      </c>
      <c r="I1213">
        <f t="shared" si="199"/>
        <v>8</v>
      </c>
      <c r="J1213">
        <f t="shared" si="200"/>
        <v>1180</v>
      </c>
      <c r="K1213" s="5">
        <f t="shared" si="201"/>
        <v>0</v>
      </c>
      <c r="L1213">
        <f t="shared" si="202"/>
        <v>53.4</v>
      </c>
      <c r="M1213">
        <f t="shared" si="203"/>
        <v>1</v>
      </c>
      <c r="N1213">
        <f t="shared" si="204"/>
        <v>0</v>
      </c>
    </row>
    <row r="1214" spans="4:14" x14ac:dyDescent="0.2">
      <c r="D1214">
        <f t="shared" si="206"/>
        <v>1191</v>
      </c>
      <c r="E1214" s="1">
        <f t="shared" si="207"/>
        <v>-138.09862798027859</v>
      </c>
      <c r="F1214" s="1">
        <f t="shared" si="208"/>
        <v>-138.67524134458259</v>
      </c>
      <c r="G1214" s="1">
        <f t="shared" si="205"/>
        <v>5.9443983840265018E-61</v>
      </c>
      <c r="H1214" s="1">
        <f t="shared" si="198"/>
        <v>6.1582709184782475E-62</v>
      </c>
      <c r="I1214">
        <f t="shared" si="199"/>
        <v>8</v>
      </c>
      <c r="J1214">
        <f t="shared" si="200"/>
        <v>1181</v>
      </c>
      <c r="K1214" s="5">
        <f t="shared" si="201"/>
        <v>0</v>
      </c>
      <c r="L1214">
        <f t="shared" si="202"/>
        <v>53.4</v>
      </c>
      <c r="M1214">
        <f t="shared" si="203"/>
        <v>1</v>
      </c>
      <c r="N1214">
        <f t="shared" si="204"/>
        <v>0</v>
      </c>
    </row>
    <row r="1215" spans="4:14" x14ac:dyDescent="0.2">
      <c r="D1215">
        <f t="shared" si="206"/>
        <v>1192</v>
      </c>
      <c r="E1215" s="1">
        <f t="shared" si="207"/>
        <v>-138.21516179653455</v>
      </c>
      <c r="F1215" s="1">
        <f t="shared" si="208"/>
        <v>-138.79177516083854</v>
      </c>
      <c r="G1215" s="1">
        <f t="shared" si="205"/>
        <v>5.2905145617835831E-61</v>
      </c>
      <c r="H1215" s="1">
        <f t="shared" si="198"/>
        <v>5.4808611174456365E-62</v>
      </c>
      <c r="I1215">
        <f t="shared" si="199"/>
        <v>8</v>
      </c>
      <c r="J1215">
        <f t="shared" si="200"/>
        <v>1182</v>
      </c>
      <c r="K1215" s="5">
        <f t="shared" si="201"/>
        <v>0</v>
      </c>
      <c r="L1215">
        <f t="shared" si="202"/>
        <v>53.4</v>
      </c>
      <c r="M1215">
        <f t="shared" si="203"/>
        <v>1</v>
      </c>
      <c r="N1215">
        <f t="shared" si="204"/>
        <v>0</v>
      </c>
    </row>
    <row r="1216" spans="4:14" x14ac:dyDescent="0.2">
      <c r="D1216">
        <f t="shared" si="206"/>
        <v>1193</v>
      </c>
      <c r="E1216" s="1">
        <f t="shared" si="207"/>
        <v>-138.3316956127905</v>
      </c>
      <c r="F1216" s="1">
        <f t="shared" si="208"/>
        <v>-138.90830897709449</v>
      </c>
      <c r="G1216" s="1">
        <f t="shared" si="205"/>
        <v>4.7085579599873858E-61</v>
      </c>
      <c r="H1216" s="1">
        <f t="shared" si="198"/>
        <v>4.8779663945266129E-62</v>
      </c>
      <c r="I1216">
        <f t="shared" si="199"/>
        <v>8</v>
      </c>
      <c r="J1216">
        <f t="shared" si="200"/>
        <v>1183</v>
      </c>
      <c r="K1216" s="5">
        <f t="shared" si="201"/>
        <v>0</v>
      </c>
      <c r="L1216">
        <f t="shared" si="202"/>
        <v>53.4</v>
      </c>
      <c r="M1216">
        <f t="shared" si="203"/>
        <v>1</v>
      </c>
      <c r="N1216">
        <f t="shared" si="204"/>
        <v>0</v>
      </c>
    </row>
    <row r="1217" spans="4:14" x14ac:dyDescent="0.2">
      <c r="D1217">
        <f t="shared" si="206"/>
        <v>1194</v>
      </c>
      <c r="E1217" s="1">
        <f t="shared" si="207"/>
        <v>-138.44822942904645</v>
      </c>
      <c r="F1217" s="1">
        <f t="shared" si="208"/>
        <v>-139.02484279335044</v>
      </c>
      <c r="G1217" s="1">
        <f t="shared" si="205"/>
        <v>4.1906165843887709E-61</v>
      </c>
      <c r="H1217" s="1">
        <f t="shared" si="198"/>
        <v>4.3413900911286834E-62</v>
      </c>
      <c r="I1217">
        <f t="shared" si="199"/>
        <v>8</v>
      </c>
      <c r="J1217">
        <f t="shared" si="200"/>
        <v>1184</v>
      </c>
      <c r="K1217" s="5">
        <f t="shared" si="201"/>
        <v>0</v>
      </c>
      <c r="L1217">
        <f t="shared" si="202"/>
        <v>53.4</v>
      </c>
      <c r="M1217">
        <f t="shared" si="203"/>
        <v>1</v>
      </c>
      <c r="N1217">
        <f t="shared" si="204"/>
        <v>0</v>
      </c>
    </row>
    <row r="1218" spans="4:14" x14ac:dyDescent="0.2">
      <c r="D1218">
        <f t="shared" si="206"/>
        <v>1195</v>
      </c>
      <c r="E1218" s="1">
        <f t="shared" si="207"/>
        <v>-138.5647632453024</v>
      </c>
      <c r="F1218" s="1">
        <f t="shared" si="208"/>
        <v>-139.1413766096064</v>
      </c>
      <c r="G1218" s="1">
        <f t="shared" si="205"/>
        <v>3.7296487601060037E-61</v>
      </c>
      <c r="H1218" s="1">
        <f t="shared" si="198"/>
        <v>3.8638371811045253E-62</v>
      </c>
      <c r="I1218">
        <f t="shared" si="199"/>
        <v>8</v>
      </c>
      <c r="J1218">
        <f t="shared" si="200"/>
        <v>1185</v>
      </c>
      <c r="K1218" s="5">
        <f t="shared" si="201"/>
        <v>0</v>
      </c>
      <c r="L1218">
        <f t="shared" si="202"/>
        <v>53.4</v>
      </c>
      <c r="M1218">
        <f t="shared" si="203"/>
        <v>1</v>
      </c>
      <c r="N1218">
        <f t="shared" si="204"/>
        <v>0</v>
      </c>
    </row>
    <row r="1219" spans="4:14" x14ac:dyDescent="0.2">
      <c r="D1219">
        <f t="shared" si="206"/>
        <v>1196</v>
      </c>
      <c r="E1219" s="1">
        <f t="shared" si="207"/>
        <v>-138.68129706155835</v>
      </c>
      <c r="F1219" s="1">
        <f t="shared" si="208"/>
        <v>-139.25791042586235</v>
      </c>
      <c r="G1219" s="1">
        <f t="shared" si="205"/>
        <v>3.3193873964943413E-61</v>
      </c>
      <c r="H1219" s="1">
        <f t="shared" si="198"/>
        <v>3.4388150911830258E-62</v>
      </c>
      <c r="I1219">
        <f t="shared" si="199"/>
        <v>8</v>
      </c>
      <c r="J1219">
        <f t="shared" si="200"/>
        <v>1186</v>
      </c>
      <c r="K1219" s="5">
        <f t="shared" si="201"/>
        <v>0</v>
      </c>
      <c r="L1219">
        <f t="shared" si="202"/>
        <v>53.4</v>
      </c>
      <c r="M1219">
        <f t="shared" si="203"/>
        <v>1</v>
      </c>
      <c r="N1219">
        <f t="shared" si="204"/>
        <v>0</v>
      </c>
    </row>
    <row r="1220" spans="4:14" x14ac:dyDescent="0.2">
      <c r="D1220">
        <f t="shared" si="206"/>
        <v>1197</v>
      </c>
      <c r="E1220" s="1">
        <f t="shared" si="207"/>
        <v>-138.79783087781431</v>
      </c>
      <c r="F1220" s="1">
        <f t="shared" si="208"/>
        <v>-139.3744442421183</v>
      </c>
      <c r="G1220" s="1">
        <f t="shared" si="205"/>
        <v>2.9542547828799618E-61</v>
      </c>
      <c r="H1220" s="1">
        <f t="shared" si="198"/>
        <v>3.0605454311528908E-62</v>
      </c>
      <c r="I1220">
        <f t="shared" si="199"/>
        <v>8</v>
      </c>
      <c r="J1220">
        <f t="shared" si="200"/>
        <v>1187</v>
      </c>
      <c r="K1220" s="5">
        <f t="shared" si="201"/>
        <v>0</v>
      </c>
      <c r="L1220">
        <f t="shared" si="202"/>
        <v>53.4</v>
      </c>
      <c r="M1220">
        <f t="shared" si="203"/>
        <v>1</v>
      </c>
      <c r="N1220">
        <f t="shared" si="204"/>
        <v>0</v>
      </c>
    </row>
    <row r="1221" spans="4:14" x14ac:dyDescent="0.2">
      <c r="D1221">
        <f t="shared" si="206"/>
        <v>1198</v>
      </c>
      <c r="E1221" s="1">
        <f t="shared" si="207"/>
        <v>-138.91436469407026</v>
      </c>
      <c r="F1221" s="1">
        <f t="shared" si="208"/>
        <v>-139.49097805837425</v>
      </c>
      <c r="G1221" s="1">
        <f t="shared" si="205"/>
        <v>2.6292867567631643E-61</v>
      </c>
      <c r="H1221" s="1">
        <f t="shared" si="198"/>
        <v>2.7238854337260711E-62</v>
      </c>
      <c r="I1221">
        <f t="shared" si="199"/>
        <v>8</v>
      </c>
      <c r="J1221">
        <f t="shared" si="200"/>
        <v>1188</v>
      </c>
      <c r="K1221" s="5">
        <f t="shared" si="201"/>
        <v>0</v>
      </c>
      <c r="L1221">
        <f t="shared" si="202"/>
        <v>53.4</v>
      </c>
      <c r="M1221">
        <f t="shared" si="203"/>
        <v>1</v>
      </c>
      <c r="N1221">
        <f t="shared" si="204"/>
        <v>0</v>
      </c>
    </row>
    <row r="1222" spans="4:14" x14ac:dyDescent="0.2">
      <c r="D1222">
        <f t="shared" si="206"/>
        <v>1199</v>
      </c>
      <c r="E1222" s="1">
        <f t="shared" si="207"/>
        <v>-139.03089851032621</v>
      </c>
      <c r="F1222" s="1">
        <f t="shared" si="208"/>
        <v>-139.60751187463021</v>
      </c>
      <c r="G1222" s="1">
        <f t="shared" si="205"/>
        <v>2.3400652135192147E-61</v>
      </c>
      <c r="H1222" s="1">
        <f t="shared" si="198"/>
        <v>2.4242580360162015E-62</v>
      </c>
      <c r="I1222">
        <f t="shared" si="199"/>
        <v>8</v>
      </c>
      <c r="J1222">
        <f t="shared" si="200"/>
        <v>1189</v>
      </c>
      <c r="K1222" s="5">
        <f t="shared" si="201"/>
        <v>0</v>
      </c>
      <c r="L1222">
        <f t="shared" si="202"/>
        <v>53.4</v>
      </c>
      <c r="M1222">
        <f t="shared" si="203"/>
        <v>1</v>
      </c>
      <c r="N1222">
        <f t="shared" si="204"/>
        <v>0</v>
      </c>
    </row>
    <row r="1223" spans="4:14" x14ac:dyDescent="0.2">
      <c r="D1223">
        <f t="shared" si="206"/>
        <v>1200</v>
      </c>
      <c r="E1223" s="1">
        <f t="shared" si="207"/>
        <v>-139.14743232658216</v>
      </c>
      <c r="F1223" s="1">
        <f t="shared" si="208"/>
        <v>-139.72404569088616</v>
      </c>
      <c r="G1223" s="1">
        <f t="shared" si="205"/>
        <v>2.0826580400320999E-61</v>
      </c>
      <c r="H1223" s="1">
        <f t="shared" si="198"/>
        <v>2.1575896520544183E-62</v>
      </c>
      <c r="I1223">
        <f t="shared" si="199"/>
        <v>8</v>
      </c>
      <c r="J1223">
        <f t="shared" si="200"/>
        <v>1190</v>
      </c>
      <c r="K1223" s="5">
        <f t="shared" si="201"/>
        <v>0</v>
      </c>
      <c r="L1223">
        <f t="shared" si="202"/>
        <v>53.4</v>
      </c>
      <c r="M1223">
        <f t="shared" si="203"/>
        <v>1</v>
      </c>
      <c r="N1223">
        <f t="shared" si="204"/>
        <v>0</v>
      </c>
    </row>
    <row r="1224" spans="4:14" x14ac:dyDescent="0.2">
      <c r="D1224">
        <f t="shared" si="206"/>
        <v>1201</v>
      </c>
      <c r="E1224" s="1">
        <f t="shared" si="207"/>
        <v>-139.26396614283811</v>
      </c>
      <c r="F1224" s="1">
        <f t="shared" si="208"/>
        <v>-139.84057950714211</v>
      </c>
      <c r="G1224" s="1">
        <f t="shared" si="205"/>
        <v>1.8535656556285676E-61</v>
      </c>
      <c r="H1224" s="1">
        <f t="shared" si="198"/>
        <v>1.9202547903284309E-62</v>
      </c>
      <c r="I1224">
        <f t="shared" si="199"/>
        <v>8</v>
      </c>
      <c r="J1224">
        <f t="shared" si="200"/>
        <v>1191</v>
      </c>
      <c r="K1224" s="5">
        <f t="shared" si="201"/>
        <v>0</v>
      </c>
      <c r="L1224">
        <f t="shared" si="202"/>
        <v>53.4</v>
      </c>
      <c r="M1224">
        <f t="shared" si="203"/>
        <v>1</v>
      </c>
      <c r="N1224">
        <f t="shared" si="204"/>
        <v>0</v>
      </c>
    </row>
    <row r="1225" spans="4:14" x14ac:dyDescent="0.2">
      <c r="D1225">
        <f t="shared" si="206"/>
        <v>1202</v>
      </c>
      <c r="E1225" s="1">
        <f t="shared" si="207"/>
        <v>-139.38049995909407</v>
      </c>
      <c r="F1225" s="1">
        <f t="shared" si="208"/>
        <v>-139.95711332339806</v>
      </c>
      <c r="G1225" s="1">
        <f t="shared" si="205"/>
        <v>1.6496734335094241E-61</v>
      </c>
      <c r="H1225" s="1">
        <f t="shared" si="198"/>
        <v>1.7090267633923024E-62</v>
      </c>
      <c r="I1225">
        <f t="shared" si="199"/>
        <v>8</v>
      </c>
      <c r="J1225">
        <f t="shared" si="200"/>
        <v>1192</v>
      </c>
      <c r="K1225" s="5">
        <f t="shared" si="201"/>
        <v>0</v>
      </c>
      <c r="L1225">
        <f t="shared" si="202"/>
        <v>53.4</v>
      </c>
      <c r="M1225">
        <f t="shared" si="203"/>
        <v>1</v>
      </c>
      <c r="N1225">
        <f t="shared" si="204"/>
        <v>0</v>
      </c>
    </row>
    <row r="1226" spans="4:14" x14ac:dyDescent="0.2">
      <c r="D1226">
        <f t="shared" si="206"/>
        <v>1203</v>
      </c>
      <c r="E1226" s="1">
        <f t="shared" si="207"/>
        <v>-139.49703377535002</v>
      </c>
      <c r="F1226" s="1">
        <f t="shared" si="208"/>
        <v>-140.07364713965401</v>
      </c>
      <c r="G1226" s="1">
        <f t="shared" si="205"/>
        <v>1.4682093558233865E-61</v>
      </c>
      <c r="H1226" s="1">
        <f t="shared" si="198"/>
        <v>1.5210338194191482E-62</v>
      </c>
      <c r="I1226">
        <f t="shared" si="199"/>
        <v>8</v>
      </c>
      <c r="J1226">
        <f t="shared" si="200"/>
        <v>1193</v>
      </c>
      <c r="K1226" s="5">
        <f t="shared" si="201"/>
        <v>0</v>
      </c>
      <c r="L1226">
        <f t="shared" si="202"/>
        <v>53.4</v>
      </c>
      <c r="M1226">
        <f t="shared" si="203"/>
        <v>1</v>
      </c>
      <c r="N1226">
        <f t="shared" si="204"/>
        <v>0</v>
      </c>
    </row>
    <row r="1227" spans="4:14" x14ac:dyDescent="0.2">
      <c r="D1227">
        <f t="shared" si="206"/>
        <v>1204</v>
      </c>
      <c r="E1227" s="1">
        <f t="shared" si="207"/>
        <v>-139.61356759160597</v>
      </c>
      <c r="F1227" s="1">
        <f t="shared" si="208"/>
        <v>-140.19018095590997</v>
      </c>
      <c r="G1227" s="1">
        <f t="shared" si="205"/>
        <v>1.3067063266828132E-61</v>
      </c>
      <c r="H1227" s="1">
        <f t="shared" si="198"/>
        <v>1.353720099283041E-62</v>
      </c>
      <c r="I1227">
        <f t="shared" si="199"/>
        <v>8</v>
      </c>
      <c r="J1227">
        <f t="shared" si="200"/>
        <v>1194</v>
      </c>
      <c r="K1227" s="5">
        <f t="shared" si="201"/>
        <v>0</v>
      </c>
      <c r="L1227">
        <f t="shared" si="202"/>
        <v>53.4</v>
      </c>
      <c r="M1227">
        <f t="shared" si="203"/>
        <v>1</v>
      </c>
      <c r="N1227">
        <f t="shared" si="204"/>
        <v>0</v>
      </c>
    </row>
    <row r="1228" spans="4:14" x14ac:dyDescent="0.2">
      <c r="D1228">
        <f t="shared" si="206"/>
        <v>1205</v>
      </c>
      <c r="E1228" s="1">
        <f t="shared" si="207"/>
        <v>-139.73010140786192</v>
      </c>
      <c r="F1228" s="1">
        <f t="shared" si="208"/>
        <v>-140.30671477216592</v>
      </c>
      <c r="G1228" s="1">
        <f t="shared" si="205"/>
        <v>1.1629686307477031E-61</v>
      </c>
      <c r="H1228" s="1">
        <f t="shared" si="198"/>
        <v>1.2048108883619058E-62</v>
      </c>
      <c r="I1228">
        <f t="shared" si="199"/>
        <v>8</v>
      </c>
      <c r="J1228">
        <f t="shared" si="200"/>
        <v>1195</v>
      </c>
      <c r="K1228" s="5">
        <f t="shared" si="201"/>
        <v>0</v>
      </c>
      <c r="L1228">
        <f t="shared" si="202"/>
        <v>53.4</v>
      </c>
      <c r="M1228">
        <f t="shared" si="203"/>
        <v>1</v>
      </c>
      <c r="N1228">
        <f t="shared" si="204"/>
        <v>0</v>
      </c>
    </row>
    <row r="1229" spans="4:14" x14ac:dyDescent="0.2">
      <c r="D1229">
        <f t="shared" si="206"/>
        <v>1206</v>
      </c>
      <c r="E1229" s="1">
        <f t="shared" si="207"/>
        <v>-139.84663522411788</v>
      </c>
      <c r="F1229" s="1">
        <f t="shared" si="208"/>
        <v>-140.42324858842187</v>
      </c>
      <c r="G1229" s="1">
        <f t="shared" si="205"/>
        <v>1.035042081365455E-61</v>
      </c>
      <c r="H1229" s="1">
        <f t="shared" si="198"/>
        <v>1.0722816906420955E-62</v>
      </c>
      <c r="I1229">
        <f t="shared" si="199"/>
        <v>8</v>
      </c>
      <c r="J1229">
        <f t="shared" si="200"/>
        <v>1196</v>
      </c>
      <c r="K1229" s="5">
        <f t="shared" si="201"/>
        <v>0</v>
      </c>
      <c r="L1229">
        <f t="shared" si="202"/>
        <v>53.4</v>
      </c>
      <c r="M1229">
        <f t="shared" si="203"/>
        <v>1</v>
      </c>
      <c r="N1229">
        <f t="shared" si="204"/>
        <v>0</v>
      </c>
    </row>
    <row r="1230" spans="4:14" x14ac:dyDescent="0.2">
      <c r="D1230">
        <f t="shared" si="206"/>
        <v>1207</v>
      </c>
      <c r="E1230" s="1">
        <f t="shared" si="207"/>
        <v>-139.96316904037383</v>
      </c>
      <c r="F1230" s="1">
        <f t="shared" si="208"/>
        <v>-140.53978240467782</v>
      </c>
      <c r="G1230" s="1">
        <f t="shared" si="205"/>
        <v>9.2118745241525437E-62</v>
      </c>
      <c r="H1230" s="1">
        <f t="shared" si="198"/>
        <v>9.5433070467146437E-63</v>
      </c>
      <c r="I1230">
        <f t="shared" si="199"/>
        <v>8</v>
      </c>
      <c r="J1230">
        <f t="shared" si="200"/>
        <v>1197</v>
      </c>
      <c r="K1230" s="5">
        <f t="shared" si="201"/>
        <v>0</v>
      </c>
      <c r="L1230">
        <f t="shared" si="202"/>
        <v>53.4</v>
      </c>
      <c r="M1230">
        <f t="shared" si="203"/>
        <v>1</v>
      </c>
      <c r="N1230">
        <f t="shared" si="204"/>
        <v>0</v>
      </c>
    </row>
    <row r="1231" spans="4:14" x14ac:dyDescent="0.2">
      <c r="D1231">
        <f t="shared" si="206"/>
        <v>1208</v>
      </c>
      <c r="E1231" s="1">
        <f t="shared" si="207"/>
        <v>-140.07970285662978</v>
      </c>
      <c r="F1231" s="1">
        <f t="shared" si="208"/>
        <v>-140.65631622093377</v>
      </c>
      <c r="G1231" s="1">
        <f t="shared" si="205"/>
        <v>8.1985683264957588E-62</v>
      </c>
      <c r="H1231" s="1">
        <f t="shared" si="198"/>
        <v>8.4935432715760271E-63</v>
      </c>
      <c r="I1231">
        <f t="shared" si="199"/>
        <v>8</v>
      </c>
      <c r="J1231">
        <f t="shared" si="200"/>
        <v>1198</v>
      </c>
      <c r="K1231" s="5">
        <f t="shared" si="201"/>
        <v>0</v>
      </c>
      <c r="L1231">
        <f t="shared" si="202"/>
        <v>53.4</v>
      </c>
      <c r="M1231">
        <f t="shared" si="203"/>
        <v>1</v>
      </c>
      <c r="N1231">
        <f t="shared" si="204"/>
        <v>0</v>
      </c>
    </row>
    <row r="1232" spans="4:14" x14ac:dyDescent="0.2">
      <c r="D1232">
        <f t="shared" si="206"/>
        <v>1209</v>
      </c>
      <c r="E1232" s="1">
        <f t="shared" si="207"/>
        <v>-140.19623667288573</v>
      </c>
      <c r="F1232" s="1">
        <f t="shared" si="208"/>
        <v>-140.77285003718973</v>
      </c>
      <c r="G1232" s="1">
        <f t="shared" si="205"/>
        <v>7.2967258105812211E-62</v>
      </c>
      <c r="H1232" s="1">
        <f t="shared" si="198"/>
        <v>7.5592535117026602E-63</v>
      </c>
      <c r="I1232">
        <f t="shared" si="199"/>
        <v>8</v>
      </c>
      <c r="J1232">
        <f t="shared" si="200"/>
        <v>1199</v>
      </c>
      <c r="K1232" s="5">
        <f t="shared" si="201"/>
        <v>0</v>
      </c>
      <c r="L1232">
        <f t="shared" si="202"/>
        <v>53.4</v>
      </c>
      <c r="M1232">
        <f t="shared" si="203"/>
        <v>1</v>
      </c>
      <c r="N1232">
        <f t="shared" si="204"/>
        <v>0</v>
      </c>
    </row>
    <row r="1233" spans="4:14" x14ac:dyDescent="0.2">
      <c r="D1233">
        <f t="shared" si="206"/>
        <v>1210</v>
      </c>
      <c r="E1233" s="1">
        <f t="shared" si="207"/>
        <v>-140.31277048914168</v>
      </c>
      <c r="F1233" s="1">
        <f t="shared" si="208"/>
        <v>-140.88938385344568</v>
      </c>
      <c r="G1233" s="1">
        <f t="shared" si="205"/>
        <v>6.4940859714172824E-62</v>
      </c>
      <c r="H1233" s="1">
        <f t="shared" si="198"/>
        <v>6.727735625415363E-63</v>
      </c>
      <c r="I1233">
        <f t="shared" si="199"/>
        <v>8</v>
      </c>
      <c r="J1233">
        <f t="shared" si="200"/>
        <v>1200</v>
      </c>
      <c r="K1233" s="5">
        <f t="shared" si="201"/>
        <v>0</v>
      </c>
      <c r="L1233">
        <f t="shared" si="202"/>
        <v>53.4</v>
      </c>
      <c r="M1233">
        <f t="shared" si="203"/>
        <v>1</v>
      </c>
      <c r="N1233">
        <f t="shared" si="204"/>
        <v>0</v>
      </c>
    </row>
    <row r="1234" spans="4:14" x14ac:dyDescent="0.2">
      <c r="D1234">
        <f t="shared" si="206"/>
        <v>1211</v>
      </c>
      <c r="E1234" s="1">
        <f t="shared" si="207"/>
        <v>-140.42930430539764</v>
      </c>
      <c r="F1234" s="1">
        <f t="shared" si="208"/>
        <v>-141.00591766970163</v>
      </c>
      <c r="G1234" s="1">
        <f t="shared" si="205"/>
        <v>5.7797365145613784E-62</v>
      </c>
      <c r="H1234" s="1">
        <f t="shared" si="198"/>
        <v>5.9876847066196698E-63</v>
      </c>
      <c r="I1234">
        <f t="shared" si="199"/>
        <v>8</v>
      </c>
      <c r="J1234">
        <f t="shared" si="200"/>
        <v>1201</v>
      </c>
      <c r="K1234" s="5">
        <f t="shared" si="201"/>
        <v>0</v>
      </c>
      <c r="L1234">
        <f t="shared" si="202"/>
        <v>53.4</v>
      </c>
      <c r="M1234">
        <f t="shared" si="203"/>
        <v>1</v>
      </c>
      <c r="N1234">
        <f t="shared" si="204"/>
        <v>0</v>
      </c>
    </row>
    <row r="1235" spans="4:14" x14ac:dyDescent="0.2">
      <c r="D1235">
        <f t="shared" si="206"/>
        <v>1212</v>
      </c>
      <c r="E1235" s="1">
        <f t="shared" si="207"/>
        <v>-140.54583812165359</v>
      </c>
      <c r="F1235" s="1">
        <f t="shared" si="208"/>
        <v>-141.12245148595758</v>
      </c>
      <c r="G1235" s="1">
        <f t="shared" si="205"/>
        <v>5.1439654979596229E-62</v>
      </c>
      <c r="H1235" s="1">
        <f t="shared" si="198"/>
        <v>5.3290393888915019E-63</v>
      </c>
      <c r="I1235">
        <f t="shared" si="199"/>
        <v>8</v>
      </c>
      <c r="J1235">
        <f t="shared" si="200"/>
        <v>1202</v>
      </c>
      <c r="K1235" s="5">
        <f t="shared" si="201"/>
        <v>0</v>
      </c>
      <c r="L1235">
        <f t="shared" si="202"/>
        <v>53.4</v>
      </c>
      <c r="M1235">
        <f t="shared" si="203"/>
        <v>1</v>
      </c>
      <c r="N1235">
        <f t="shared" si="204"/>
        <v>0</v>
      </c>
    </row>
    <row r="1236" spans="4:14" x14ac:dyDescent="0.2">
      <c r="D1236">
        <f t="shared" si="206"/>
        <v>1213</v>
      </c>
      <c r="E1236" s="1">
        <f t="shared" si="207"/>
        <v>-140.66237193790954</v>
      </c>
      <c r="F1236" s="1">
        <f t="shared" si="208"/>
        <v>-141.23898530221354</v>
      </c>
      <c r="G1236" s="1">
        <f t="shared" si="205"/>
        <v>4.5781292931840618E-62</v>
      </c>
      <c r="H1236" s="1">
        <f t="shared" si="198"/>
        <v>4.742845056113434E-63</v>
      </c>
      <c r="I1236">
        <f t="shared" si="199"/>
        <v>8</v>
      </c>
      <c r="J1236">
        <f t="shared" si="200"/>
        <v>1203</v>
      </c>
      <c r="K1236" s="5">
        <f t="shared" si="201"/>
        <v>0</v>
      </c>
      <c r="L1236">
        <f t="shared" si="202"/>
        <v>53.4</v>
      </c>
      <c r="M1236">
        <f t="shared" si="203"/>
        <v>1</v>
      </c>
      <c r="N1236">
        <f t="shared" si="204"/>
        <v>0</v>
      </c>
    </row>
    <row r="1237" spans="4:14" x14ac:dyDescent="0.2">
      <c r="D1237">
        <f t="shared" si="206"/>
        <v>1214</v>
      </c>
      <c r="E1237" s="1">
        <f t="shared" si="207"/>
        <v>-140.77890575416549</v>
      </c>
      <c r="F1237" s="1">
        <f t="shared" si="208"/>
        <v>-141.35551911846949</v>
      </c>
      <c r="G1237" s="1">
        <f t="shared" si="205"/>
        <v>4.0745350709338126E-62</v>
      </c>
      <c r="H1237" s="1">
        <f t="shared" si="198"/>
        <v>4.2211320999409537E-63</v>
      </c>
      <c r="I1237">
        <f t="shared" si="199"/>
        <v>8</v>
      </c>
      <c r="J1237">
        <f t="shared" si="200"/>
        <v>1204</v>
      </c>
      <c r="K1237" s="5">
        <f t="shared" si="201"/>
        <v>0</v>
      </c>
      <c r="L1237">
        <f t="shared" si="202"/>
        <v>53.4</v>
      </c>
      <c r="M1237">
        <f t="shared" si="203"/>
        <v>1</v>
      </c>
      <c r="N1237">
        <f t="shared" si="204"/>
        <v>0</v>
      </c>
    </row>
    <row r="1238" spans="4:14" x14ac:dyDescent="0.2">
      <c r="D1238">
        <f t="shared" si="206"/>
        <v>1215</v>
      </c>
      <c r="E1238" s="1">
        <f t="shared" si="207"/>
        <v>-140.89543957042144</v>
      </c>
      <c r="F1238" s="1">
        <f t="shared" si="208"/>
        <v>-141.47205293472544</v>
      </c>
      <c r="G1238" s="1">
        <f t="shared" si="205"/>
        <v>3.6263362131310908E-62</v>
      </c>
      <c r="H1238" s="1">
        <f t="shared" si="198"/>
        <v>3.7568075689474464E-63</v>
      </c>
      <c r="I1238">
        <f t="shared" si="199"/>
        <v>8</v>
      </c>
      <c r="J1238">
        <f t="shared" si="200"/>
        <v>1205</v>
      </c>
      <c r="K1238" s="5">
        <f t="shared" si="201"/>
        <v>0</v>
      </c>
      <c r="L1238">
        <f t="shared" si="202"/>
        <v>53.4</v>
      </c>
      <c r="M1238">
        <f t="shared" si="203"/>
        <v>1</v>
      </c>
      <c r="N1238">
        <f t="shared" si="204"/>
        <v>0</v>
      </c>
    </row>
    <row r="1239" spans="4:14" x14ac:dyDescent="0.2">
      <c r="D1239">
        <f t="shared" si="206"/>
        <v>1216</v>
      </c>
      <c r="E1239" s="1">
        <f t="shared" si="207"/>
        <v>-141.0119733866774</v>
      </c>
      <c r="F1239" s="1">
        <f t="shared" si="208"/>
        <v>-141.58858675098139</v>
      </c>
      <c r="G1239" s="1">
        <f t="shared" si="205"/>
        <v>3.2274392296866688E-62</v>
      </c>
      <c r="H1239" s="1">
        <f t="shared" ref="H1239:H1302" si="209">G1239/$G$21</f>
        <v>3.3435587363632252E-63</v>
      </c>
      <c r="I1239">
        <f t="shared" ref="I1239:I1302" si="210">IF($F$11&lt;=D1239, IF(D1239&lt;=$A$15,D1239-$F$11,$C$11),0)</f>
        <v>8</v>
      </c>
      <c r="J1239">
        <f t="shared" ref="J1239:J1302" si="211">IF(D1239&lt;=$A$15,0,D1239-$A$15)</f>
        <v>1206</v>
      </c>
      <c r="K1239" s="5">
        <f t="shared" ref="K1239:K1302" si="212">IF(D1239&lt;$F$11,H1239,0)</f>
        <v>0</v>
      </c>
      <c r="L1239">
        <f t="shared" ref="L1239:L1302" si="213">IF(D1239&lt;$A$15,$D$11,$D$11*(1-$H$11))</f>
        <v>53.4</v>
      </c>
      <c r="M1239">
        <f t="shared" ref="M1239:M1302" si="214">IF(D1239&lt;$A$15,0,1)</f>
        <v>1</v>
      </c>
      <c r="N1239">
        <f t="shared" ref="N1239:N1302" si="215">IF(SUM(I1239:J1239)&lt;=($G$11/60*$F$11/($E$11/60)),1,0)</f>
        <v>0</v>
      </c>
    </row>
    <row r="1240" spans="4:14" x14ac:dyDescent="0.2">
      <c r="D1240">
        <f t="shared" si="206"/>
        <v>1217</v>
      </c>
      <c r="E1240" s="1">
        <f t="shared" si="207"/>
        <v>-141.12850720293335</v>
      </c>
      <c r="F1240" s="1">
        <f t="shared" si="208"/>
        <v>-141.70512056723734</v>
      </c>
      <c r="G1240" s="1">
        <f t="shared" ref="G1240:G1303" si="216">EXP(F1240)</f>
        <v>2.8724209144211333E-62</v>
      </c>
      <c r="H1240" s="1">
        <f t="shared" si="209"/>
        <v>2.9757672753632686E-63</v>
      </c>
      <c r="I1240">
        <f t="shared" si="210"/>
        <v>8</v>
      </c>
      <c r="J1240">
        <f t="shared" si="211"/>
        <v>1207</v>
      </c>
      <c r="K1240" s="5">
        <f t="shared" si="212"/>
        <v>0</v>
      </c>
      <c r="L1240">
        <f t="shared" si="213"/>
        <v>53.4</v>
      </c>
      <c r="M1240">
        <f t="shared" si="214"/>
        <v>1</v>
      </c>
      <c r="N1240">
        <f t="shared" si="215"/>
        <v>0</v>
      </c>
    </row>
    <row r="1241" spans="4:14" x14ac:dyDescent="0.2">
      <c r="D1241">
        <f t="shared" ref="D1241:D1304" si="217">1+D1240</f>
        <v>1218</v>
      </c>
      <c r="E1241" s="1">
        <f t="shared" ref="E1241:E1304" si="218">IF($H$11=1,IF(D1241&lt;=$A$15, E1240+LN($D$11)-LN(60/$E$11)-LN(MIN(D1241,$F$11)), E1240-LN(60/$E$11)-LN(MIN(D1241,$F$11))), IF(D1241&lt;=$A$15, E1240+LN($D$11)-LN(60/$E$11)-LN(MIN(D1241,$F$11)), E1240+LN($D$11)+LN(1-$H$11)-LN(60/$E$11)-LN(MIN(D1241,$F$11))))</f>
        <v>-141.2450410191893</v>
      </c>
      <c r="F1241" s="1">
        <f t="shared" ref="F1241:F1304" si="219">E1241-$E$21</f>
        <v>-141.8216543834933</v>
      </c>
      <c r="G1241" s="1">
        <f t="shared" si="216"/>
        <v>2.5564546138348071E-62</v>
      </c>
      <c r="H1241" s="1">
        <f t="shared" si="209"/>
        <v>2.6484328750733075E-63</v>
      </c>
      <c r="I1241">
        <f t="shared" si="210"/>
        <v>8</v>
      </c>
      <c r="J1241">
        <f t="shared" si="211"/>
        <v>1208</v>
      </c>
      <c r="K1241" s="5">
        <f t="shared" si="212"/>
        <v>0</v>
      </c>
      <c r="L1241">
        <f t="shared" si="213"/>
        <v>53.4</v>
      </c>
      <c r="M1241">
        <f t="shared" si="214"/>
        <v>1</v>
      </c>
      <c r="N1241">
        <f t="shared" si="215"/>
        <v>0</v>
      </c>
    </row>
    <row r="1242" spans="4:14" x14ac:dyDescent="0.2">
      <c r="D1242">
        <f t="shared" si="217"/>
        <v>1219</v>
      </c>
      <c r="E1242" s="1">
        <f t="shared" si="218"/>
        <v>-141.36157483544525</v>
      </c>
      <c r="F1242" s="1">
        <f t="shared" si="219"/>
        <v>-141.93818819974925</v>
      </c>
      <c r="G1242" s="1">
        <f t="shared" si="216"/>
        <v>2.2752446063129767E-62</v>
      </c>
      <c r="H1242" s="1">
        <f t="shared" si="209"/>
        <v>2.3571052588152419E-63</v>
      </c>
      <c r="I1242">
        <f t="shared" si="210"/>
        <v>8</v>
      </c>
      <c r="J1242">
        <f t="shared" si="211"/>
        <v>1209</v>
      </c>
      <c r="K1242" s="5">
        <f t="shared" si="212"/>
        <v>0</v>
      </c>
      <c r="L1242">
        <f t="shared" si="213"/>
        <v>53.4</v>
      </c>
      <c r="M1242">
        <f t="shared" si="214"/>
        <v>1</v>
      </c>
      <c r="N1242">
        <f t="shared" si="215"/>
        <v>0</v>
      </c>
    </row>
    <row r="1243" spans="4:14" x14ac:dyDescent="0.2">
      <c r="D1243">
        <f t="shared" si="217"/>
        <v>1220</v>
      </c>
      <c r="E1243" s="1">
        <f t="shared" si="218"/>
        <v>-141.47810865170121</v>
      </c>
      <c r="F1243" s="1">
        <f t="shared" si="219"/>
        <v>-142.0547220160052</v>
      </c>
      <c r="G1243" s="1">
        <f t="shared" si="216"/>
        <v>2.0249676996185479E-62</v>
      </c>
      <c r="H1243" s="1">
        <f t="shared" si="209"/>
        <v>2.0978236803455639E-63</v>
      </c>
      <c r="I1243">
        <f t="shared" si="210"/>
        <v>8</v>
      </c>
      <c r="J1243">
        <f t="shared" si="211"/>
        <v>1210</v>
      </c>
      <c r="K1243" s="5">
        <f t="shared" si="212"/>
        <v>0</v>
      </c>
      <c r="L1243">
        <f t="shared" si="213"/>
        <v>53.4</v>
      </c>
      <c r="M1243">
        <f t="shared" si="214"/>
        <v>1</v>
      </c>
      <c r="N1243">
        <f t="shared" si="215"/>
        <v>0</v>
      </c>
    </row>
    <row r="1244" spans="4:14" x14ac:dyDescent="0.2">
      <c r="D1244">
        <f t="shared" si="217"/>
        <v>1221</v>
      </c>
      <c r="E1244" s="1">
        <f t="shared" si="218"/>
        <v>-141.59464246795716</v>
      </c>
      <c r="F1244" s="1">
        <f t="shared" si="219"/>
        <v>-142.17125583226115</v>
      </c>
      <c r="G1244" s="1">
        <f t="shared" si="216"/>
        <v>1.8022212526605067E-62</v>
      </c>
      <c r="H1244" s="1">
        <f t="shared" si="209"/>
        <v>1.867063075507551E-63</v>
      </c>
      <c r="I1244">
        <f t="shared" si="210"/>
        <v>8</v>
      </c>
      <c r="J1244">
        <f t="shared" si="211"/>
        <v>1211</v>
      </c>
      <c r="K1244" s="5">
        <f t="shared" si="212"/>
        <v>0</v>
      </c>
      <c r="L1244">
        <f t="shared" si="213"/>
        <v>53.4</v>
      </c>
      <c r="M1244">
        <f t="shared" si="214"/>
        <v>1</v>
      </c>
      <c r="N1244">
        <f t="shared" si="215"/>
        <v>0</v>
      </c>
    </row>
    <row r="1245" spans="4:14" x14ac:dyDescent="0.2">
      <c r="D1245">
        <f t="shared" si="217"/>
        <v>1222</v>
      </c>
      <c r="E1245" s="1">
        <f t="shared" si="218"/>
        <v>-141.71117628421311</v>
      </c>
      <c r="F1245" s="1">
        <f t="shared" si="219"/>
        <v>-142.2877896485171</v>
      </c>
      <c r="G1245" s="1">
        <f t="shared" si="216"/>
        <v>1.6039769148678499E-62</v>
      </c>
      <c r="H1245" s="1">
        <f t="shared" si="209"/>
        <v>1.6616861372017193E-63</v>
      </c>
      <c r="I1245">
        <f t="shared" si="210"/>
        <v>8</v>
      </c>
      <c r="J1245">
        <f t="shared" si="211"/>
        <v>1212</v>
      </c>
      <c r="K1245" s="5">
        <f t="shared" si="212"/>
        <v>0</v>
      </c>
      <c r="L1245">
        <f t="shared" si="213"/>
        <v>53.4</v>
      </c>
      <c r="M1245">
        <f t="shared" si="214"/>
        <v>1</v>
      </c>
      <c r="N1245">
        <f t="shared" si="215"/>
        <v>0</v>
      </c>
    </row>
    <row r="1246" spans="4:14" x14ac:dyDescent="0.2">
      <c r="D1246">
        <f t="shared" si="217"/>
        <v>1223</v>
      </c>
      <c r="E1246" s="1">
        <f t="shared" si="218"/>
        <v>-141.82771010046906</v>
      </c>
      <c r="F1246" s="1">
        <f t="shared" si="219"/>
        <v>-142.40432346477306</v>
      </c>
      <c r="G1246" s="1">
        <f t="shared" si="216"/>
        <v>1.4275394542323856E-62</v>
      </c>
      <c r="H1246" s="1">
        <f t="shared" si="209"/>
        <v>1.4789006621095293E-63</v>
      </c>
      <c r="I1246">
        <f t="shared" si="210"/>
        <v>8</v>
      </c>
      <c r="J1246">
        <f t="shared" si="211"/>
        <v>1213</v>
      </c>
      <c r="K1246" s="5">
        <f t="shared" si="212"/>
        <v>0</v>
      </c>
      <c r="L1246">
        <f t="shared" si="213"/>
        <v>53.4</v>
      </c>
      <c r="M1246">
        <f t="shared" si="214"/>
        <v>1</v>
      </c>
      <c r="N1246">
        <f t="shared" si="215"/>
        <v>0</v>
      </c>
    </row>
    <row r="1247" spans="4:14" x14ac:dyDescent="0.2">
      <c r="D1247">
        <f t="shared" si="217"/>
        <v>1224</v>
      </c>
      <c r="E1247" s="1">
        <f t="shared" si="218"/>
        <v>-141.94424391672501</v>
      </c>
      <c r="F1247" s="1">
        <f t="shared" si="219"/>
        <v>-142.52085728102901</v>
      </c>
      <c r="G1247" s="1">
        <f t="shared" si="216"/>
        <v>1.2705101142668222E-62</v>
      </c>
      <c r="H1247" s="1">
        <f t="shared" si="209"/>
        <v>1.3162215892774801E-63</v>
      </c>
      <c r="I1247">
        <f t="shared" si="210"/>
        <v>8</v>
      </c>
      <c r="J1247">
        <f t="shared" si="211"/>
        <v>1214</v>
      </c>
      <c r="K1247" s="5">
        <f t="shared" si="212"/>
        <v>0</v>
      </c>
      <c r="L1247">
        <f t="shared" si="213"/>
        <v>53.4</v>
      </c>
      <c r="M1247">
        <f t="shared" si="214"/>
        <v>1</v>
      </c>
      <c r="N1247">
        <f t="shared" si="215"/>
        <v>0</v>
      </c>
    </row>
    <row r="1248" spans="4:14" x14ac:dyDescent="0.2">
      <c r="D1248">
        <f t="shared" si="217"/>
        <v>1225</v>
      </c>
      <c r="E1248" s="1">
        <f t="shared" si="218"/>
        <v>-142.06077773298097</v>
      </c>
      <c r="F1248" s="1">
        <f t="shared" si="219"/>
        <v>-142.63739109728496</v>
      </c>
      <c r="G1248" s="1">
        <f t="shared" si="216"/>
        <v>1.1307540016974712E-62</v>
      </c>
      <c r="H1248" s="1">
        <f t="shared" si="209"/>
        <v>1.1714372144569566E-63</v>
      </c>
      <c r="I1248">
        <f t="shared" si="210"/>
        <v>8</v>
      </c>
      <c r="J1248">
        <f t="shared" si="211"/>
        <v>1215</v>
      </c>
      <c r="K1248" s="5">
        <f t="shared" si="212"/>
        <v>0</v>
      </c>
      <c r="L1248">
        <f t="shared" si="213"/>
        <v>53.4</v>
      </c>
      <c r="M1248">
        <f t="shared" si="214"/>
        <v>1</v>
      </c>
      <c r="N1248">
        <f t="shared" si="215"/>
        <v>0</v>
      </c>
    </row>
    <row r="1249" spans="4:14" x14ac:dyDescent="0.2">
      <c r="D1249">
        <f t="shared" si="217"/>
        <v>1226</v>
      </c>
      <c r="E1249" s="1">
        <f t="shared" si="218"/>
        <v>-142.17731154923692</v>
      </c>
      <c r="F1249" s="1">
        <f t="shared" si="219"/>
        <v>-142.75392491354091</v>
      </c>
      <c r="G1249" s="1">
        <f t="shared" si="216"/>
        <v>1.0063710615107488E-62</v>
      </c>
      <c r="H1249" s="1">
        <f t="shared" si="209"/>
        <v>1.0425791208666908E-63</v>
      </c>
      <c r="I1249">
        <f t="shared" si="210"/>
        <v>8</v>
      </c>
      <c r="J1249">
        <f t="shared" si="211"/>
        <v>1216</v>
      </c>
      <c r="K1249" s="5">
        <f t="shared" si="212"/>
        <v>0</v>
      </c>
      <c r="L1249">
        <f t="shared" si="213"/>
        <v>53.4</v>
      </c>
      <c r="M1249">
        <f t="shared" si="214"/>
        <v>1</v>
      </c>
      <c r="N1249">
        <f t="shared" si="215"/>
        <v>0</v>
      </c>
    </row>
    <row r="1250" spans="4:14" x14ac:dyDescent="0.2">
      <c r="D1250">
        <f t="shared" si="217"/>
        <v>1227</v>
      </c>
      <c r="E1250" s="1">
        <f t="shared" si="218"/>
        <v>-142.29384536549287</v>
      </c>
      <c r="F1250" s="1">
        <f t="shared" si="219"/>
        <v>-142.87045872979687</v>
      </c>
      <c r="G1250" s="1">
        <f t="shared" si="216"/>
        <v>8.956702447445658E-63</v>
      </c>
      <c r="H1250" s="1">
        <f t="shared" si="209"/>
        <v>9.2789541757135417E-64</v>
      </c>
      <c r="I1250">
        <f t="shared" si="210"/>
        <v>8</v>
      </c>
      <c r="J1250">
        <f t="shared" si="211"/>
        <v>1217</v>
      </c>
      <c r="K1250" s="5">
        <f t="shared" si="212"/>
        <v>0</v>
      </c>
      <c r="L1250">
        <f t="shared" si="213"/>
        <v>53.4</v>
      </c>
      <c r="M1250">
        <f t="shared" si="214"/>
        <v>1</v>
      </c>
      <c r="N1250">
        <f t="shared" si="215"/>
        <v>0</v>
      </c>
    </row>
    <row r="1251" spans="4:14" x14ac:dyDescent="0.2">
      <c r="D1251">
        <f t="shared" si="217"/>
        <v>1228</v>
      </c>
      <c r="E1251" s="1">
        <f t="shared" si="218"/>
        <v>-142.41037918174882</v>
      </c>
      <c r="F1251" s="1">
        <f t="shared" si="219"/>
        <v>-142.98699254605282</v>
      </c>
      <c r="G1251" s="1">
        <f t="shared" si="216"/>
        <v>7.9714651782266303E-63</v>
      </c>
      <c r="H1251" s="1">
        <f t="shared" si="209"/>
        <v>8.2582692163850465E-64</v>
      </c>
      <c r="I1251">
        <f t="shared" si="210"/>
        <v>8</v>
      </c>
      <c r="J1251">
        <f t="shared" si="211"/>
        <v>1218</v>
      </c>
      <c r="K1251" s="5">
        <f t="shared" si="212"/>
        <v>0</v>
      </c>
      <c r="L1251">
        <f t="shared" si="213"/>
        <v>53.4</v>
      </c>
      <c r="M1251">
        <f t="shared" si="214"/>
        <v>1</v>
      </c>
      <c r="N1251">
        <f t="shared" si="215"/>
        <v>0</v>
      </c>
    </row>
    <row r="1252" spans="4:14" x14ac:dyDescent="0.2">
      <c r="D1252">
        <f t="shared" si="217"/>
        <v>1229</v>
      </c>
      <c r="E1252" s="1">
        <f t="shared" si="218"/>
        <v>-142.52691299800478</v>
      </c>
      <c r="F1252" s="1">
        <f t="shared" si="219"/>
        <v>-143.10352636230877</v>
      </c>
      <c r="G1252" s="1">
        <f t="shared" si="216"/>
        <v>7.094604008621696E-63</v>
      </c>
      <c r="H1252" s="1">
        <f t="shared" si="209"/>
        <v>7.3498596025826857E-64</v>
      </c>
      <c r="I1252">
        <f t="shared" si="210"/>
        <v>8</v>
      </c>
      <c r="J1252">
        <f t="shared" si="211"/>
        <v>1219</v>
      </c>
      <c r="K1252" s="5">
        <f t="shared" si="212"/>
        <v>0</v>
      </c>
      <c r="L1252">
        <f t="shared" si="213"/>
        <v>53.4</v>
      </c>
      <c r="M1252">
        <f t="shared" si="214"/>
        <v>1</v>
      </c>
      <c r="N1252">
        <f t="shared" si="215"/>
        <v>0</v>
      </c>
    </row>
    <row r="1253" spans="4:14" x14ac:dyDescent="0.2">
      <c r="D1253">
        <f t="shared" si="217"/>
        <v>1230</v>
      </c>
      <c r="E1253" s="1">
        <f t="shared" si="218"/>
        <v>-142.64344681426073</v>
      </c>
      <c r="F1253" s="1">
        <f t="shared" si="219"/>
        <v>-143.22006017856472</v>
      </c>
      <c r="G1253" s="1">
        <f t="shared" si="216"/>
        <v>6.3141975676733054E-63</v>
      </c>
      <c r="H1253" s="1">
        <f t="shared" si="209"/>
        <v>6.5413750462985873E-64</v>
      </c>
      <c r="I1253">
        <f t="shared" si="210"/>
        <v>8</v>
      </c>
      <c r="J1253">
        <f t="shared" si="211"/>
        <v>1220</v>
      </c>
      <c r="K1253" s="5">
        <f t="shared" si="212"/>
        <v>0</v>
      </c>
      <c r="L1253">
        <f t="shared" si="213"/>
        <v>53.4</v>
      </c>
      <c r="M1253">
        <f t="shared" si="214"/>
        <v>1</v>
      </c>
      <c r="N1253">
        <f t="shared" si="215"/>
        <v>0</v>
      </c>
    </row>
    <row r="1254" spans="4:14" x14ac:dyDescent="0.2">
      <c r="D1254">
        <f t="shared" si="217"/>
        <v>1231</v>
      </c>
      <c r="E1254" s="1">
        <f t="shared" si="218"/>
        <v>-142.75998063051668</v>
      </c>
      <c r="F1254" s="1">
        <f t="shared" si="219"/>
        <v>-143.33659399482067</v>
      </c>
      <c r="G1254" s="1">
        <f t="shared" si="216"/>
        <v>5.6196358352292392E-63</v>
      </c>
      <c r="H1254" s="1">
        <f t="shared" si="209"/>
        <v>5.8218237912057394E-64</v>
      </c>
      <c r="I1254">
        <f t="shared" si="210"/>
        <v>8</v>
      </c>
      <c r="J1254">
        <f t="shared" si="211"/>
        <v>1221</v>
      </c>
      <c r="K1254" s="5">
        <f t="shared" si="212"/>
        <v>0</v>
      </c>
      <c r="L1254">
        <f t="shared" si="213"/>
        <v>53.4</v>
      </c>
      <c r="M1254">
        <f t="shared" si="214"/>
        <v>1</v>
      </c>
      <c r="N1254">
        <f t="shared" si="215"/>
        <v>0</v>
      </c>
    </row>
    <row r="1255" spans="4:14" x14ac:dyDescent="0.2">
      <c r="D1255">
        <f t="shared" si="217"/>
        <v>1232</v>
      </c>
      <c r="E1255" s="1">
        <f t="shared" si="218"/>
        <v>-142.87651444677263</v>
      </c>
      <c r="F1255" s="1">
        <f t="shared" si="219"/>
        <v>-143.45312781107663</v>
      </c>
      <c r="G1255" s="1">
        <f t="shared" si="216"/>
        <v>5.0014758933540196E-63</v>
      </c>
      <c r="H1255" s="1">
        <f t="shared" si="209"/>
        <v>5.1814231741731043E-64</v>
      </c>
      <c r="I1255">
        <f t="shared" si="210"/>
        <v>8</v>
      </c>
      <c r="J1255">
        <f t="shared" si="211"/>
        <v>1222</v>
      </c>
      <c r="K1255" s="5">
        <f t="shared" si="212"/>
        <v>0</v>
      </c>
      <c r="L1255">
        <f t="shared" si="213"/>
        <v>53.4</v>
      </c>
      <c r="M1255">
        <f t="shared" si="214"/>
        <v>1</v>
      </c>
      <c r="N1255">
        <f t="shared" si="215"/>
        <v>0</v>
      </c>
    </row>
    <row r="1256" spans="4:14" x14ac:dyDescent="0.2">
      <c r="D1256">
        <f t="shared" si="217"/>
        <v>1233</v>
      </c>
      <c r="E1256" s="1">
        <f t="shared" si="218"/>
        <v>-142.99304826302858</v>
      </c>
      <c r="F1256" s="1">
        <f t="shared" si="219"/>
        <v>-143.56966162733258</v>
      </c>
      <c r="G1256" s="1">
        <f t="shared" si="216"/>
        <v>4.4513135450850745E-63</v>
      </c>
      <c r="H1256" s="1">
        <f t="shared" si="209"/>
        <v>4.6114666250140599E-64</v>
      </c>
      <c r="I1256">
        <f t="shared" si="210"/>
        <v>8</v>
      </c>
      <c r="J1256">
        <f t="shared" si="211"/>
        <v>1223</v>
      </c>
      <c r="K1256" s="5">
        <f t="shared" si="212"/>
        <v>0</v>
      </c>
      <c r="L1256">
        <f t="shared" si="213"/>
        <v>53.4</v>
      </c>
      <c r="M1256">
        <f t="shared" si="214"/>
        <v>1</v>
      </c>
      <c r="N1256">
        <f t="shared" si="215"/>
        <v>0</v>
      </c>
    </row>
    <row r="1257" spans="4:14" x14ac:dyDescent="0.2">
      <c r="D1257">
        <f t="shared" si="217"/>
        <v>1234</v>
      </c>
      <c r="E1257" s="1">
        <f t="shared" si="218"/>
        <v>-143.10958207928454</v>
      </c>
      <c r="F1257" s="1">
        <f t="shared" si="219"/>
        <v>-143.68619544358853</v>
      </c>
      <c r="G1257" s="1">
        <f t="shared" si="216"/>
        <v>3.9616690551257135E-63</v>
      </c>
      <c r="H1257" s="1">
        <f t="shared" si="209"/>
        <v>4.1042052962625105E-64</v>
      </c>
      <c r="I1257">
        <f t="shared" si="210"/>
        <v>8</v>
      </c>
      <c r="J1257">
        <f t="shared" si="211"/>
        <v>1224</v>
      </c>
      <c r="K1257" s="5">
        <f t="shared" si="212"/>
        <v>0</v>
      </c>
      <c r="L1257">
        <f t="shared" si="213"/>
        <v>53.4</v>
      </c>
      <c r="M1257">
        <f t="shared" si="214"/>
        <v>1</v>
      </c>
      <c r="N1257">
        <f t="shared" si="215"/>
        <v>0</v>
      </c>
    </row>
    <row r="1258" spans="4:14" x14ac:dyDescent="0.2">
      <c r="D1258">
        <f t="shared" si="217"/>
        <v>1235</v>
      </c>
      <c r="E1258" s="1">
        <f t="shared" si="218"/>
        <v>-143.22611589554049</v>
      </c>
      <c r="F1258" s="1">
        <f t="shared" si="219"/>
        <v>-143.80272925984448</v>
      </c>
      <c r="G1258" s="1">
        <f t="shared" si="216"/>
        <v>3.5258854590618829E-63</v>
      </c>
      <c r="H1258" s="1">
        <f t="shared" si="209"/>
        <v>3.6527427136736323E-64</v>
      </c>
      <c r="I1258">
        <f t="shared" si="210"/>
        <v>8</v>
      </c>
      <c r="J1258">
        <f t="shared" si="211"/>
        <v>1225</v>
      </c>
      <c r="K1258" s="5">
        <f t="shared" si="212"/>
        <v>0</v>
      </c>
      <c r="L1258">
        <f t="shared" si="213"/>
        <v>53.4</v>
      </c>
      <c r="M1258">
        <f t="shared" si="214"/>
        <v>1</v>
      </c>
      <c r="N1258">
        <f t="shared" si="215"/>
        <v>0</v>
      </c>
    </row>
    <row r="1259" spans="4:14" x14ac:dyDescent="0.2">
      <c r="D1259">
        <f t="shared" si="217"/>
        <v>1236</v>
      </c>
      <c r="E1259" s="1">
        <f t="shared" si="218"/>
        <v>-143.34264971179644</v>
      </c>
      <c r="F1259" s="1">
        <f t="shared" si="219"/>
        <v>-143.91926307610044</v>
      </c>
      <c r="G1259" s="1">
        <f t="shared" si="216"/>
        <v>3.1380380585650739E-63</v>
      </c>
      <c r="H1259" s="1">
        <f t="shared" si="209"/>
        <v>3.2509410151695304E-64</v>
      </c>
      <c r="I1259">
        <f t="shared" si="210"/>
        <v>8</v>
      </c>
      <c r="J1259">
        <f t="shared" si="211"/>
        <v>1226</v>
      </c>
      <c r="K1259" s="5">
        <f t="shared" si="212"/>
        <v>0</v>
      </c>
      <c r="L1259">
        <f t="shared" si="213"/>
        <v>53.4</v>
      </c>
      <c r="M1259">
        <f t="shared" si="214"/>
        <v>1</v>
      </c>
      <c r="N1259">
        <f t="shared" si="215"/>
        <v>0</v>
      </c>
    </row>
    <row r="1260" spans="4:14" x14ac:dyDescent="0.2">
      <c r="D1260">
        <f t="shared" si="217"/>
        <v>1237</v>
      </c>
      <c r="E1260" s="1">
        <f t="shared" si="218"/>
        <v>-143.45918352805239</v>
      </c>
      <c r="F1260" s="1">
        <f t="shared" si="219"/>
        <v>-144.03579689235639</v>
      </c>
      <c r="G1260" s="1">
        <f t="shared" si="216"/>
        <v>2.7928538721229137E-63</v>
      </c>
      <c r="H1260" s="1">
        <f t="shared" si="209"/>
        <v>2.8933375035008802E-64</v>
      </c>
      <c r="I1260">
        <f t="shared" si="210"/>
        <v>8</v>
      </c>
      <c r="J1260">
        <f t="shared" si="211"/>
        <v>1227</v>
      </c>
      <c r="K1260" s="5">
        <f t="shared" si="212"/>
        <v>0</v>
      </c>
      <c r="L1260">
        <f t="shared" si="213"/>
        <v>53.4</v>
      </c>
      <c r="M1260">
        <f t="shared" si="214"/>
        <v>1</v>
      </c>
      <c r="N1260">
        <f t="shared" si="215"/>
        <v>0</v>
      </c>
    </row>
    <row r="1261" spans="4:14" x14ac:dyDescent="0.2">
      <c r="D1261">
        <f t="shared" si="217"/>
        <v>1238</v>
      </c>
      <c r="E1261" s="1">
        <f t="shared" si="218"/>
        <v>-143.57571734430834</v>
      </c>
      <c r="F1261" s="1">
        <f t="shared" si="219"/>
        <v>-144.15233070861234</v>
      </c>
      <c r="G1261" s="1">
        <f t="shared" si="216"/>
        <v>2.4856399461893917E-63</v>
      </c>
      <c r="H1261" s="1">
        <f t="shared" si="209"/>
        <v>2.575070378115782E-64</v>
      </c>
      <c r="I1261">
        <f t="shared" si="210"/>
        <v>8</v>
      </c>
      <c r="J1261">
        <f t="shared" si="211"/>
        <v>1228</v>
      </c>
      <c r="K1261" s="5">
        <f t="shared" si="212"/>
        <v>0</v>
      </c>
      <c r="L1261">
        <f t="shared" si="213"/>
        <v>53.4</v>
      </c>
      <c r="M1261">
        <f t="shared" si="214"/>
        <v>1</v>
      </c>
      <c r="N1261">
        <f t="shared" si="215"/>
        <v>0</v>
      </c>
    </row>
    <row r="1262" spans="4:14" x14ac:dyDescent="0.2">
      <c r="D1262">
        <f t="shared" si="217"/>
        <v>1239</v>
      </c>
      <c r="E1262" s="1">
        <f t="shared" si="218"/>
        <v>-143.6922511605643</v>
      </c>
      <c r="F1262" s="1">
        <f t="shared" si="219"/>
        <v>-144.26886452486829</v>
      </c>
      <c r="G1262" s="1">
        <f t="shared" si="216"/>
        <v>2.2122195521085575E-63</v>
      </c>
      <c r="H1262" s="1">
        <f t="shared" si="209"/>
        <v>2.2918126365230445E-64</v>
      </c>
      <c r="I1262">
        <f t="shared" si="210"/>
        <v>8</v>
      </c>
      <c r="J1262">
        <f t="shared" si="211"/>
        <v>1229</v>
      </c>
      <c r="K1262" s="5">
        <f t="shared" si="212"/>
        <v>0</v>
      </c>
      <c r="L1262">
        <f t="shared" si="213"/>
        <v>53.4</v>
      </c>
      <c r="M1262">
        <f t="shared" si="214"/>
        <v>1</v>
      </c>
      <c r="N1262">
        <f t="shared" si="215"/>
        <v>0</v>
      </c>
    </row>
    <row r="1263" spans="4:14" x14ac:dyDescent="0.2">
      <c r="D1263">
        <f t="shared" si="217"/>
        <v>1240</v>
      </c>
      <c r="E1263" s="1">
        <f t="shared" si="218"/>
        <v>-143.80878497682025</v>
      </c>
      <c r="F1263" s="1">
        <f t="shared" si="219"/>
        <v>-144.38539834112424</v>
      </c>
      <c r="G1263" s="1">
        <f t="shared" si="216"/>
        <v>1.9688754013766148E-63</v>
      </c>
      <c r="H1263" s="1">
        <f t="shared" si="209"/>
        <v>2.0397132465055084E-64</v>
      </c>
      <c r="I1263">
        <f t="shared" si="210"/>
        <v>8</v>
      </c>
      <c r="J1263">
        <f t="shared" si="211"/>
        <v>1230</v>
      </c>
      <c r="K1263" s="5">
        <f t="shared" si="212"/>
        <v>0</v>
      </c>
      <c r="L1263">
        <f t="shared" si="213"/>
        <v>53.4</v>
      </c>
      <c r="M1263">
        <f t="shared" si="214"/>
        <v>1</v>
      </c>
      <c r="N1263">
        <f t="shared" si="215"/>
        <v>0</v>
      </c>
    </row>
    <row r="1264" spans="4:14" x14ac:dyDescent="0.2">
      <c r="D1264">
        <f t="shared" si="217"/>
        <v>1241</v>
      </c>
      <c r="E1264" s="1">
        <f t="shared" si="218"/>
        <v>-143.9253187930762</v>
      </c>
      <c r="F1264" s="1">
        <f t="shared" si="219"/>
        <v>-144.5019321573802</v>
      </c>
      <c r="G1264" s="1">
        <f t="shared" si="216"/>
        <v>1.7522991072251861E-63</v>
      </c>
      <c r="H1264" s="1">
        <f t="shared" si="209"/>
        <v>1.8153447893899013E-64</v>
      </c>
      <c r="I1264">
        <f t="shared" si="210"/>
        <v>8</v>
      </c>
      <c r="J1264">
        <f t="shared" si="211"/>
        <v>1231</v>
      </c>
      <c r="K1264" s="5">
        <f t="shared" si="212"/>
        <v>0</v>
      </c>
      <c r="L1264">
        <f t="shared" si="213"/>
        <v>53.4</v>
      </c>
      <c r="M1264">
        <f t="shared" si="214"/>
        <v>1</v>
      </c>
      <c r="N1264">
        <f t="shared" si="215"/>
        <v>0</v>
      </c>
    </row>
    <row r="1265" spans="4:14" x14ac:dyDescent="0.2">
      <c r="D1265">
        <f t="shared" si="217"/>
        <v>1242</v>
      </c>
      <c r="E1265" s="1">
        <f t="shared" si="218"/>
        <v>-144.04185260933215</v>
      </c>
      <c r="F1265" s="1">
        <f t="shared" si="219"/>
        <v>-144.61846597363615</v>
      </c>
      <c r="G1265" s="1">
        <f t="shared" si="216"/>
        <v>1.5595462054304147E-63</v>
      </c>
      <c r="H1265" s="1">
        <f t="shared" si="209"/>
        <v>1.6156568625570112E-64</v>
      </c>
      <c r="I1265">
        <f t="shared" si="210"/>
        <v>8</v>
      </c>
      <c r="J1265">
        <f t="shared" si="211"/>
        <v>1232</v>
      </c>
      <c r="K1265" s="5">
        <f t="shared" si="212"/>
        <v>0</v>
      </c>
      <c r="L1265">
        <f t="shared" si="213"/>
        <v>53.4</v>
      </c>
      <c r="M1265">
        <f t="shared" si="214"/>
        <v>1</v>
      </c>
      <c r="N1265">
        <f t="shared" si="215"/>
        <v>0</v>
      </c>
    </row>
    <row r="1266" spans="4:14" x14ac:dyDescent="0.2">
      <c r="D1266">
        <f t="shared" si="217"/>
        <v>1243</v>
      </c>
      <c r="E1266" s="1">
        <f t="shared" si="218"/>
        <v>-144.15838642558811</v>
      </c>
      <c r="F1266" s="1">
        <f t="shared" si="219"/>
        <v>-144.7349997898921</v>
      </c>
      <c r="G1266" s="1">
        <f t="shared" si="216"/>
        <v>1.3879961228330683E-63</v>
      </c>
      <c r="H1266" s="1">
        <f t="shared" si="209"/>
        <v>1.4379346076757391E-64</v>
      </c>
      <c r="I1266">
        <f t="shared" si="210"/>
        <v>8</v>
      </c>
      <c r="J1266">
        <f t="shared" si="211"/>
        <v>1233</v>
      </c>
      <c r="K1266" s="5">
        <f t="shared" si="212"/>
        <v>0</v>
      </c>
      <c r="L1266">
        <f t="shared" si="213"/>
        <v>53.4</v>
      </c>
      <c r="M1266">
        <f t="shared" si="214"/>
        <v>1</v>
      </c>
      <c r="N1266">
        <f t="shared" si="215"/>
        <v>0</v>
      </c>
    </row>
    <row r="1267" spans="4:14" x14ac:dyDescent="0.2">
      <c r="D1267">
        <f t="shared" si="217"/>
        <v>1244</v>
      </c>
      <c r="E1267" s="1">
        <f t="shared" si="218"/>
        <v>-144.27492024184406</v>
      </c>
      <c r="F1267" s="1">
        <f t="shared" si="219"/>
        <v>-144.85153360614805</v>
      </c>
      <c r="G1267" s="1">
        <f t="shared" si="216"/>
        <v>1.23531654932143E-63</v>
      </c>
      <c r="H1267" s="1">
        <f t="shared" si="209"/>
        <v>1.279761800831407E-64</v>
      </c>
      <c r="I1267">
        <f t="shared" si="210"/>
        <v>8</v>
      </c>
      <c r="J1267">
        <f t="shared" si="211"/>
        <v>1234</v>
      </c>
      <c r="K1267" s="5">
        <f t="shared" si="212"/>
        <v>0</v>
      </c>
      <c r="L1267">
        <f t="shared" si="213"/>
        <v>53.4</v>
      </c>
      <c r="M1267">
        <f t="shared" si="214"/>
        <v>1</v>
      </c>
      <c r="N1267">
        <f t="shared" si="215"/>
        <v>0</v>
      </c>
    </row>
    <row r="1268" spans="4:14" x14ac:dyDescent="0.2">
      <c r="D1268">
        <f t="shared" si="217"/>
        <v>1245</v>
      </c>
      <c r="E1268" s="1">
        <f t="shared" si="218"/>
        <v>-144.39145405810001</v>
      </c>
      <c r="F1268" s="1">
        <f t="shared" si="219"/>
        <v>-144.968067422404</v>
      </c>
      <c r="G1268" s="1">
        <f t="shared" si="216"/>
        <v>1.0994317288960719E-63</v>
      </c>
      <c r="H1268" s="1">
        <f t="shared" si="209"/>
        <v>1.1389880027399514E-64</v>
      </c>
      <c r="I1268">
        <f t="shared" si="210"/>
        <v>8</v>
      </c>
      <c r="J1268">
        <f t="shared" si="211"/>
        <v>1235</v>
      </c>
      <c r="K1268" s="5">
        <f t="shared" si="212"/>
        <v>0</v>
      </c>
      <c r="L1268">
        <f t="shared" si="213"/>
        <v>53.4</v>
      </c>
      <c r="M1268">
        <f t="shared" si="214"/>
        <v>1</v>
      </c>
      <c r="N1268">
        <f t="shared" si="215"/>
        <v>0</v>
      </c>
    </row>
    <row r="1269" spans="4:14" x14ac:dyDescent="0.2">
      <c r="D1269">
        <f t="shared" si="217"/>
        <v>1246</v>
      </c>
      <c r="E1269" s="1">
        <f t="shared" si="218"/>
        <v>-144.50798787435596</v>
      </c>
      <c r="F1269" s="1">
        <f t="shared" si="219"/>
        <v>-145.08460123865996</v>
      </c>
      <c r="G1269" s="1">
        <f t="shared" si="216"/>
        <v>9.7849423871750333E-64</v>
      </c>
      <c r="H1269" s="1">
        <f t="shared" si="209"/>
        <v>1.0136993224385561E-64</v>
      </c>
      <c r="I1269">
        <f t="shared" si="210"/>
        <v>8</v>
      </c>
      <c r="J1269">
        <f t="shared" si="211"/>
        <v>1236</v>
      </c>
      <c r="K1269" s="5">
        <f t="shared" si="212"/>
        <v>0</v>
      </c>
      <c r="L1269">
        <f t="shared" si="213"/>
        <v>53.4</v>
      </c>
      <c r="M1269">
        <f t="shared" si="214"/>
        <v>1</v>
      </c>
      <c r="N1269">
        <f t="shared" si="215"/>
        <v>0</v>
      </c>
    </row>
    <row r="1270" spans="4:14" x14ac:dyDescent="0.2">
      <c r="D1270">
        <f t="shared" si="217"/>
        <v>1247</v>
      </c>
      <c r="E1270" s="1">
        <f t="shared" si="218"/>
        <v>-144.62452169061191</v>
      </c>
      <c r="F1270" s="1">
        <f t="shared" si="219"/>
        <v>-145.20113505491591</v>
      </c>
      <c r="G1270" s="1">
        <f t="shared" si="216"/>
        <v>8.708598724585775E-64</v>
      </c>
      <c r="H1270" s="1">
        <f t="shared" si="209"/>
        <v>9.0219239697031441E-65</v>
      </c>
      <c r="I1270">
        <f t="shared" si="210"/>
        <v>8</v>
      </c>
      <c r="J1270">
        <f t="shared" si="211"/>
        <v>1237</v>
      </c>
      <c r="K1270" s="5">
        <f t="shared" si="212"/>
        <v>0</v>
      </c>
      <c r="L1270">
        <f t="shared" si="213"/>
        <v>53.4</v>
      </c>
      <c r="M1270">
        <f t="shared" si="214"/>
        <v>1</v>
      </c>
      <c r="N1270">
        <f t="shared" si="215"/>
        <v>0</v>
      </c>
    </row>
    <row r="1271" spans="4:14" x14ac:dyDescent="0.2">
      <c r="D1271">
        <f t="shared" si="217"/>
        <v>1248</v>
      </c>
      <c r="E1271" s="1">
        <f t="shared" si="218"/>
        <v>-144.74105550686787</v>
      </c>
      <c r="F1271" s="1">
        <f t="shared" si="219"/>
        <v>-145.31766887117186</v>
      </c>
      <c r="G1271" s="1">
        <f t="shared" si="216"/>
        <v>7.7506528648813339E-64</v>
      </c>
      <c r="H1271" s="1">
        <f t="shared" si="209"/>
        <v>8.0295123330357932E-65</v>
      </c>
      <c r="I1271">
        <f t="shared" si="210"/>
        <v>8</v>
      </c>
      <c r="J1271">
        <f t="shared" si="211"/>
        <v>1238</v>
      </c>
      <c r="K1271" s="5">
        <f t="shared" si="212"/>
        <v>0</v>
      </c>
      <c r="L1271">
        <f t="shared" si="213"/>
        <v>53.4</v>
      </c>
      <c r="M1271">
        <f t="shared" si="214"/>
        <v>1</v>
      </c>
      <c r="N1271">
        <f t="shared" si="215"/>
        <v>0</v>
      </c>
    </row>
    <row r="1272" spans="4:14" x14ac:dyDescent="0.2">
      <c r="D1272">
        <f t="shared" si="217"/>
        <v>1249</v>
      </c>
      <c r="E1272" s="1">
        <f t="shared" si="218"/>
        <v>-144.85758932312382</v>
      </c>
      <c r="F1272" s="1">
        <f t="shared" si="219"/>
        <v>-145.43420268742781</v>
      </c>
      <c r="G1272" s="1">
        <f t="shared" si="216"/>
        <v>6.8980810497443833E-64</v>
      </c>
      <c r="H1272" s="1">
        <f t="shared" si="209"/>
        <v>7.1462659764018514E-65</v>
      </c>
      <c r="I1272">
        <f t="shared" si="210"/>
        <v>8</v>
      </c>
      <c r="J1272">
        <f t="shared" si="211"/>
        <v>1239</v>
      </c>
      <c r="K1272" s="5">
        <f t="shared" si="212"/>
        <v>0</v>
      </c>
      <c r="L1272">
        <f t="shared" si="213"/>
        <v>53.4</v>
      </c>
      <c r="M1272">
        <f t="shared" si="214"/>
        <v>1</v>
      </c>
      <c r="N1272">
        <f t="shared" si="215"/>
        <v>0</v>
      </c>
    </row>
    <row r="1273" spans="4:14" x14ac:dyDescent="0.2">
      <c r="D1273">
        <f t="shared" si="217"/>
        <v>1250</v>
      </c>
      <c r="E1273" s="1">
        <f t="shared" si="218"/>
        <v>-144.97412313937977</v>
      </c>
      <c r="F1273" s="1">
        <f t="shared" si="219"/>
        <v>-145.55073650368377</v>
      </c>
      <c r="G1273" s="1">
        <f t="shared" si="216"/>
        <v>6.139292134272497E-64</v>
      </c>
      <c r="H1273" s="1">
        <f t="shared" si="209"/>
        <v>6.3601767189976436E-65</v>
      </c>
      <c r="I1273">
        <f t="shared" si="210"/>
        <v>8</v>
      </c>
      <c r="J1273">
        <f t="shared" si="211"/>
        <v>1240</v>
      </c>
      <c r="K1273" s="5">
        <f t="shared" si="212"/>
        <v>0</v>
      </c>
      <c r="L1273">
        <f t="shared" si="213"/>
        <v>53.4</v>
      </c>
      <c r="M1273">
        <f t="shared" si="214"/>
        <v>1</v>
      </c>
      <c r="N1273">
        <f t="shared" si="215"/>
        <v>0</v>
      </c>
    </row>
    <row r="1274" spans="4:14" x14ac:dyDescent="0.2">
      <c r="D1274">
        <f t="shared" si="217"/>
        <v>1251</v>
      </c>
      <c r="E1274" s="1">
        <f t="shared" si="218"/>
        <v>-145.09065695563572</v>
      </c>
      <c r="F1274" s="1">
        <f t="shared" si="219"/>
        <v>-145.66727031993972</v>
      </c>
      <c r="G1274" s="1">
        <f t="shared" si="216"/>
        <v>5.4639699995025191E-64</v>
      </c>
      <c r="H1274" s="1">
        <f t="shared" si="209"/>
        <v>5.6605572799078989E-65</v>
      </c>
      <c r="I1274">
        <f t="shared" si="210"/>
        <v>8</v>
      </c>
      <c r="J1274">
        <f t="shared" si="211"/>
        <v>1241</v>
      </c>
      <c r="K1274" s="5">
        <f t="shared" si="212"/>
        <v>0</v>
      </c>
      <c r="L1274">
        <f t="shared" si="213"/>
        <v>53.4</v>
      </c>
      <c r="M1274">
        <f t="shared" si="214"/>
        <v>1</v>
      </c>
      <c r="N1274">
        <f t="shared" si="215"/>
        <v>0</v>
      </c>
    </row>
    <row r="1275" spans="4:14" x14ac:dyDescent="0.2">
      <c r="D1275">
        <f t="shared" si="217"/>
        <v>1252</v>
      </c>
      <c r="E1275" s="1">
        <f t="shared" si="218"/>
        <v>-145.20719077189167</v>
      </c>
      <c r="F1275" s="1">
        <f t="shared" si="219"/>
        <v>-145.78380413619567</v>
      </c>
      <c r="G1275" s="1">
        <f t="shared" si="216"/>
        <v>4.8629332995572388E-64</v>
      </c>
      <c r="H1275" s="1">
        <f t="shared" si="209"/>
        <v>5.0378959791180265E-65</v>
      </c>
      <c r="I1275">
        <f t="shared" si="210"/>
        <v>8</v>
      </c>
      <c r="J1275">
        <f t="shared" si="211"/>
        <v>1242</v>
      </c>
      <c r="K1275" s="5">
        <f t="shared" si="212"/>
        <v>0</v>
      </c>
      <c r="L1275">
        <f t="shared" si="213"/>
        <v>53.4</v>
      </c>
      <c r="M1275">
        <f t="shared" si="214"/>
        <v>1</v>
      </c>
      <c r="N1275">
        <f t="shared" si="215"/>
        <v>0</v>
      </c>
    </row>
    <row r="1276" spans="4:14" x14ac:dyDescent="0.2">
      <c r="D1276">
        <f t="shared" si="217"/>
        <v>1253</v>
      </c>
      <c r="E1276" s="1">
        <f t="shared" si="218"/>
        <v>-145.32372458814763</v>
      </c>
      <c r="F1276" s="1">
        <f t="shared" si="219"/>
        <v>-145.90033795245162</v>
      </c>
      <c r="G1276" s="1">
        <f t="shared" si="216"/>
        <v>4.3280106366059399E-64</v>
      </c>
      <c r="H1276" s="1">
        <f t="shared" si="209"/>
        <v>4.4837274214150412E-65</v>
      </c>
      <c r="I1276">
        <f t="shared" si="210"/>
        <v>8</v>
      </c>
      <c r="J1276">
        <f t="shared" si="211"/>
        <v>1243</v>
      </c>
      <c r="K1276" s="5">
        <f t="shared" si="212"/>
        <v>0</v>
      </c>
      <c r="L1276">
        <f t="shared" si="213"/>
        <v>53.4</v>
      </c>
      <c r="M1276">
        <f t="shared" si="214"/>
        <v>1</v>
      </c>
      <c r="N1276">
        <f t="shared" si="215"/>
        <v>0</v>
      </c>
    </row>
    <row r="1277" spans="4:14" x14ac:dyDescent="0.2">
      <c r="D1277">
        <f t="shared" si="217"/>
        <v>1254</v>
      </c>
      <c r="E1277" s="1">
        <f t="shared" si="218"/>
        <v>-145.44025840440358</v>
      </c>
      <c r="F1277" s="1">
        <f t="shared" si="219"/>
        <v>-146.01687176870757</v>
      </c>
      <c r="G1277" s="1">
        <f t="shared" si="216"/>
        <v>3.8519294665792842E-64</v>
      </c>
      <c r="H1277" s="1">
        <f t="shared" si="209"/>
        <v>3.9905174050593845E-65</v>
      </c>
      <c r="I1277">
        <f t="shared" si="210"/>
        <v>8</v>
      </c>
      <c r="J1277">
        <f t="shared" si="211"/>
        <v>1244</v>
      </c>
      <c r="K1277" s="5">
        <f t="shared" si="212"/>
        <v>0</v>
      </c>
      <c r="L1277">
        <f t="shared" si="213"/>
        <v>53.4</v>
      </c>
      <c r="M1277">
        <f t="shared" si="214"/>
        <v>1</v>
      </c>
      <c r="N1277">
        <f t="shared" si="215"/>
        <v>0</v>
      </c>
    </row>
    <row r="1278" spans="4:14" x14ac:dyDescent="0.2">
      <c r="D1278">
        <f t="shared" si="217"/>
        <v>1255</v>
      </c>
      <c r="E1278" s="1">
        <f t="shared" si="218"/>
        <v>-145.55679222065953</v>
      </c>
      <c r="F1278" s="1">
        <f t="shared" si="219"/>
        <v>-146.13340558496353</v>
      </c>
      <c r="G1278" s="1">
        <f t="shared" si="216"/>
        <v>3.4282172252555607E-64</v>
      </c>
      <c r="H1278" s="1">
        <f t="shared" si="209"/>
        <v>3.5515604905028499E-65</v>
      </c>
      <c r="I1278">
        <f t="shared" si="210"/>
        <v>8</v>
      </c>
      <c r="J1278">
        <f t="shared" si="211"/>
        <v>1245</v>
      </c>
      <c r="K1278" s="5">
        <f t="shared" si="212"/>
        <v>0</v>
      </c>
      <c r="L1278">
        <f t="shared" si="213"/>
        <v>53.4</v>
      </c>
      <c r="M1278">
        <f t="shared" si="214"/>
        <v>1</v>
      </c>
      <c r="N1278">
        <f t="shared" si="215"/>
        <v>0</v>
      </c>
    </row>
    <row r="1279" spans="4:14" x14ac:dyDescent="0.2">
      <c r="D1279">
        <f t="shared" si="217"/>
        <v>1256</v>
      </c>
      <c r="E1279" s="1">
        <f t="shared" si="218"/>
        <v>-145.67332603691548</v>
      </c>
      <c r="F1279" s="1">
        <f t="shared" si="219"/>
        <v>-146.24993940121948</v>
      </c>
      <c r="G1279" s="1">
        <f t="shared" si="216"/>
        <v>3.0511133304774467E-64</v>
      </c>
      <c r="H1279" s="1">
        <f t="shared" si="209"/>
        <v>3.1608888365475341E-65</v>
      </c>
      <c r="I1279">
        <f t="shared" si="210"/>
        <v>8</v>
      </c>
      <c r="J1279">
        <f t="shared" si="211"/>
        <v>1246</v>
      </c>
      <c r="K1279" s="5">
        <f t="shared" si="212"/>
        <v>0</v>
      </c>
      <c r="L1279">
        <f t="shared" si="213"/>
        <v>53.4</v>
      </c>
      <c r="M1279">
        <f t="shared" si="214"/>
        <v>1</v>
      </c>
      <c r="N1279">
        <f t="shared" si="215"/>
        <v>0</v>
      </c>
    </row>
    <row r="1280" spans="4:14" x14ac:dyDescent="0.2">
      <c r="D1280">
        <f t="shared" si="217"/>
        <v>1257</v>
      </c>
      <c r="E1280" s="1">
        <f t="shared" si="218"/>
        <v>-145.78985985317144</v>
      </c>
      <c r="F1280" s="1">
        <f t="shared" si="219"/>
        <v>-146.36647321747543</v>
      </c>
      <c r="G1280" s="1">
        <f t="shared" si="216"/>
        <v>2.7154908641249261E-64</v>
      </c>
      <c r="H1280" s="1">
        <f t="shared" si="209"/>
        <v>2.8131910645273035E-65</v>
      </c>
      <c r="I1280">
        <f t="shared" si="210"/>
        <v>8</v>
      </c>
      <c r="J1280">
        <f t="shared" si="211"/>
        <v>1247</v>
      </c>
      <c r="K1280" s="5">
        <f t="shared" si="212"/>
        <v>0</v>
      </c>
      <c r="L1280">
        <f t="shared" si="213"/>
        <v>53.4</v>
      </c>
      <c r="M1280">
        <f t="shared" si="214"/>
        <v>1</v>
      </c>
      <c r="N1280">
        <f t="shared" si="215"/>
        <v>0</v>
      </c>
    </row>
    <row r="1281" spans="4:14" x14ac:dyDescent="0.2">
      <c r="D1281">
        <f t="shared" si="217"/>
        <v>1258</v>
      </c>
      <c r="E1281" s="1">
        <f t="shared" si="218"/>
        <v>-145.90639366942739</v>
      </c>
      <c r="F1281" s="1">
        <f t="shared" si="219"/>
        <v>-146.48300703373138</v>
      </c>
      <c r="G1281" s="1">
        <f t="shared" si="216"/>
        <v>2.4167868690711828E-64</v>
      </c>
      <c r="H1281" s="1">
        <f t="shared" si="209"/>
        <v>2.5037400474292987E-65</v>
      </c>
      <c r="I1281">
        <f t="shared" si="210"/>
        <v>8</v>
      </c>
      <c r="J1281">
        <f t="shared" si="211"/>
        <v>1248</v>
      </c>
      <c r="K1281" s="5">
        <f t="shared" si="212"/>
        <v>0</v>
      </c>
      <c r="L1281">
        <f t="shared" si="213"/>
        <v>53.4</v>
      </c>
      <c r="M1281">
        <f t="shared" si="214"/>
        <v>1</v>
      </c>
      <c r="N1281">
        <f t="shared" si="215"/>
        <v>0</v>
      </c>
    </row>
    <row r="1282" spans="4:14" x14ac:dyDescent="0.2">
      <c r="D1282">
        <f t="shared" si="217"/>
        <v>1259</v>
      </c>
      <c r="E1282" s="1">
        <f t="shared" si="218"/>
        <v>-146.02292748568334</v>
      </c>
      <c r="F1282" s="1">
        <f t="shared" si="219"/>
        <v>-146.59954084998733</v>
      </c>
      <c r="G1282" s="1">
        <f t="shared" si="216"/>
        <v>2.1509403134733512E-64</v>
      </c>
      <c r="H1282" s="1">
        <f t="shared" si="209"/>
        <v>2.2283286422120743E-65</v>
      </c>
      <c r="I1282">
        <f t="shared" si="210"/>
        <v>8</v>
      </c>
      <c r="J1282">
        <f t="shared" si="211"/>
        <v>1249</v>
      </c>
      <c r="K1282" s="5">
        <f t="shared" si="212"/>
        <v>0</v>
      </c>
      <c r="L1282">
        <f t="shared" si="213"/>
        <v>53.4</v>
      </c>
      <c r="M1282">
        <f t="shared" si="214"/>
        <v>1</v>
      </c>
      <c r="N1282">
        <f t="shared" si="215"/>
        <v>0</v>
      </c>
    </row>
    <row r="1283" spans="4:14" x14ac:dyDescent="0.2">
      <c r="D1283">
        <f t="shared" si="217"/>
        <v>1260</v>
      </c>
      <c r="E1283" s="1">
        <f t="shared" si="218"/>
        <v>-146.13946130193929</v>
      </c>
      <c r="F1283" s="1">
        <f t="shared" si="219"/>
        <v>-146.71607466624329</v>
      </c>
      <c r="G1283" s="1">
        <f t="shared" si="216"/>
        <v>1.9143368789912814E-64</v>
      </c>
      <c r="H1283" s="1">
        <f t="shared" si="209"/>
        <v>1.9832124915687447E-65</v>
      </c>
      <c r="I1283">
        <f t="shared" si="210"/>
        <v>8</v>
      </c>
      <c r="J1283">
        <f t="shared" si="211"/>
        <v>1250</v>
      </c>
      <c r="K1283" s="5">
        <f t="shared" si="212"/>
        <v>0</v>
      </c>
      <c r="L1283">
        <f t="shared" si="213"/>
        <v>53.4</v>
      </c>
      <c r="M1283">
        <f t="shared" si="214"/>
        <v>1</v>
      </c>
      <c r="N1283">
        <f t="shared" si="215"/>
        <v>0</v>
      </c>
    </row>
    <row r="1284" spans="4:14" x14ac:dyDescent="0.2">
      <c r="D1284">
        <f t="shared" si="217"/>
        <v>1261</v>
      </c>
      <c r="E1284" s="1">
        <f t="shared" si="218"/>
        <v>-146.25599511819524</v>
      </c>
      <c r="F1284" s="1">
        <f t="shared" si="219"/>
        <v>-146.83260848249924</v>
      </c>
      <c r="G1284" s="1">
        <f t="shared" si="216"/>
        <v>1.7037598223022394E-64</v>
      </c>
      <c r="H1284" s="1">
        <f t="shared" si="209"/>
        <v>1.7650591174961819E-65</v>
      </c>
      <c r="I1284">
        <f t="shared" si="210"/>
        <v>8</v>
      </c>
      <c r="J1284">
        <f t="shared" si="211"/>
        <v>1251</v>
      </c>
      <c r="K1284" s="5">
        <f t="shared" si="212"/>
        <v>0</v>
      </c>
      <c r="L1284">
        <f t="shared" si="213"/>
        <v>53.4</v>
      </c>
      <c r="M1284">
        <f t="shared" si="214"/>
        <v>1</v>
      </c>
      <c r="N1284">
        <f t="shared" si="215"/>
        <v>0</v>
      </c>
    </row>
    <row r="1285" spans="4:14" x14ac:dyDescent="0.2">
      <c r="D1285">
        <f t="shared" si="217"/>
        <v>1262</v>
      </c>
      <c r="E1285" s="1">
        <f t="shared" si="218"/>
        <v>-146.3725289344512</v>
      </c>
      <c r="F1285" s="1">
        <f t="shared" si="219"/>
        <v>-146.94914229875519</v>
      </c>
      <c r="G1285" s="1">
        <f t="shared" si="216"/>
        <v>1.5163462418489921E-64</v>
      </c>
      <c r="H1285" s="1">
        <f t="shared" si="209"/>
        <v>1.5709026145716008E-65</v>
      </c>
      <c r="I1285">
        <f t="shared" si="210"/>
        <v>8</v>
      </c>
      <c r="J1285">
        <f t="shared" si="211"/>
        <v>1252</v>
      </c>
      <c r="K1285" s="5">
        <f t="shared" si="212"/>
        <v>0</v>
      </c>
      <c r="L1285">
        <f t="shared" si="213"/>
        <v>53.4</v>
      </c>
      <c r="M1285">
        <f t="shared" si="214"/>
        <v>1</v>
      </c>
      <c r="N1285">
        <f t="shared" si="215"/>
        <v>0</v>
      </c>
    </row>
    <row r="1286" spans="4:14" x14ac:dyDescent="0.2">
      <c r="D1286">
        <f t="shared" si="217"/>
        <v>1263</v>
      </c>
      <c r="E1286" s="1">
        <f t="shared" si="218"/>
        <v>-146.48906275070715</v>
      </c>
      <c r="F1286" s="1">
        <f t="shared" si="219"/>
        <v>-147.06567611501114</v>
      </c>
      <c r="G1286" s="1">
        <f t="shared" si="216"/>
        <v>1.3495481552456022E-64</v>
      </c>
      <c r="H1286" s="1">
        <f t="shared" si="209"/>
        <v>1.398103326968724E-65</v>
      </c>
      <c r="I1286">
        <f t="shared" si="210"/>
        <v>8</v>
      </c>
      <c r="J1286">
        <f t="shared" si="211"/>
        <v>1253</v>
      </c>
      <c r="K1286" s="5">
        <f t="shared" si="212"/>
        <v>0</v>
      </c>
      <c r="L1286">
        <f t="shared" si="213"/>
        <v>53.4</v>
      </c>
      <c r="M1286">
        <f t="shared" si="214"/>
        <v>1</v>
      </c>
      <c r="N1286">
        <f t="shared" si="215"/>
        <v>0</v>
      </c>
    </row>
    <row r="1287" spans="4:14" x14ac:dyDescent="0.2">
      <c r="D1287">
        <f t="shared" si="217"/>
        <v>1264</v>
      </c>
      <c r="E1287" s="1">
        <f t="shared" si="218"/>
        <v>-146.6055965669631</v>
      </c>
      <c r="F1287" s="1">
        <f t="shared" si="219"/>
        <v>-147.1822099312671</v>
      </c>
      <c r="G1287" s="1">
        <f t="shared" si="216"/>
        <v>1.2010978581685852E-64</v>
      </c>
      <c r="H1287" s="1">
        <f t="shared" si="209"/>
        <v>1.2443119610021636E-65</v>
      </c>
      <c r="I1287">
        <f t="shared" si="210"/>
        <v>8</v>
      </c>
      <c r="J1287">
        <f t="shared" si="211"/>
        <v>1254</v>
      </c>
      <c r="K1287" s="5">
        <f t="shared" si="212"/>
        <v>0</v>
      </c>
      <c r="L1287">
        <f t="shared" si="213"/>
        <v>53.4</v>
      </c>
      <c r="M1287">
        <f t="shared" si="214"/>
        <v>1</v>
      </c>
      <c r="N1287">
        <f t="shared" si="215"/>
        <v>0</v>
      </c>
    </row>
    <row r="1288" spans="4:14" x14ac:dyDescent="0.2">
      <c r="D1288">
        <f t="shared" si="217"/>
        <v>1265</v>
      </c>
      <c r="E1288" s="1">
        <f t="shared" si="218"/>
        <v>-146.72213038321905</v>
      </c>
      <c r="F1288" s="1">
        <f t="shared" si="219"/>
        <v>-147.29874374752305</v>
      </c>
      <c r="G1288" s="1">
        <f t="shared" si="216"/>
        <v>1.0689770937700401E-64</v>
      </c>
      <c r="H1288" s="1">
        <f t="shared" si="209"/>
        <v>1.1074376452919249E-65</v>
      </c>
      <c r="I1288">
        <f t="shared" si="210"/>
        <v>8</v>
      </c>
      <c r="J1288">
        <f t="shared" si="211"/>
        <v>1255</v>
      </c>
      <c r="K1288" s="5">
        <f t="shared" si="212"/>
        <v>0</v>
      </c>
      <c r="L1288">
        <f t="shared" si="213"/>
        <v>53.4</v>
      </c>
      <c r="M1288">
        <f t="shared" si="214"/>
        <v>1</v>
      </c>
      <c r="N1288">
        <f t="shared" si="215"/>
        <v>0</v>
      </c>
    </row>
    <row r="1289" spans="4:14" x14ac:dyDescent="0.2">
      <c r="D1289">
        <f t="shared" si="217"/>
        <v>1266</v>
      </c>
      <c r="E1289" s="1">
        <f t="shared" si="218"/>
        <v>-146.83866419947501</v>
      </c>
      <c r="F1289" s="1">
        <f t="shared" si="219"/>
        <v>-147.415277563779</v>
      </c>
      <c r="G1289" s="1">
        <f t="shared" si="216"/>
        <v>9.5138961345533506E-65</v>
      </c>
      <c r="H1289" s="1">
        <f t="shared" si="209"/>
        <v>9.856195043098124E-66</v>
      </c>
      <c r="I1289">
        <f t="shared" si="210"/>
        <v>8</v>
      </c>
      <c r="J1289">
        <f t="shared" si="211"/>
        <v>1256</v>
      </c>
      <c r="K1289" s="5">
        <f t="shared" si="212"/>
        <v>0</v>
      </c>
      <c r="L1289">
        <f t="shared" si="213"/>
        <v>53.4</v>
      </c>
      <c r="M1289">
        <f t="shared" si="214"/>
        <v>1</v>
      </c>
      <c r="N1289">
        <f t="shared" si="215"/>
        <v>0</v>
      </c>
    </row>
    <row r="1290" spans="4:14" x14ac:dyDescent="0.2">
      <c r="D1290">
        <f t="shared" si="217"/>
        <v>1267</v>
      </c>
      <c r="E1290" s="1">
        <f t="shared" si="218"/>
        <v>-146.95519801573096</v>
      </c>
      <c r="F1290" s="1">
        <f t="shared" si="219"/>
        <v>-147.53181138003495</v>
      </c>
      <c r="G1290" s="1">
        <f t="shared" si="216"/>
        <v>8.4673675597524766E-65</v>
      </c>
      <c r="H1290" s="1">
        <f t="shared" si="209"/>
        <v>8.7720135883573248E-66</v>
      </c>
      <c r="I1290">
        <f t="shared" si="210"/>
        <v>8</v>
      </c>
      <c r="J1290">
        <f t="shared" si="211"/>
        <v>1257</v>
      </c>
      <c r="K1290" s="5">
        <f t="shared" si="212"/>
        <v>0</v>
      </c>
      <c r="L1290">
        <f t="shared" si="213"/>
        <v>53.4</v>
      </c>
      <c r="M1290">
        <f t="shared" si="214"/>
        <v>1</v>
      </c>
      <c r="N1290">
        <f t="shared" si="215"/>
        <v>0</v>
      </c>
    </row>
    <row r="1291" spans="4:14" x14ac:dyDescent="0.2">
      <c r="D1291">
        <f t="shared" si="217"/>
        <v>1268</v>
      </c>
      <c r="E1291" s="1">
        <f t="shared" si="218"/>
        <v>-147.07173183198691</v>
      </c>
      <c r="F1291" s="1">
        <f t="shared" si="219"/>
        <v>-147.6483451962909</v>
      </c>
      <c r="G1291" s="1">
        <f t="shared" si="216"/>
        <v>7.5359571281796995E-65</v>
      </c>
      <c r="H1291" s="1">
        <f t="shared" si="209"/>
        <v>7.807092093638015E-66</v>
      </c>
      <c r="I1291">
        <f t="shared" si="210"/>
        <v>8</v>
      </c>
      <c r="J1291">
        <f t="shared" si="211"/>
        <v>1258</v>
      </c>
      <c r="K1291" s="5">
        <f t="shared" si="212"/>
        <v>0</v>
      </c>
      <c r="L1291">
        <f t="shared" si="213"/>
        <v>53.4</v>
      </c>
      <c r="M1291">
        <f t="shared" si="214"/>
        <v>1</v>
      </c>
      <c r="N1291">
        <f t="shared" si="215"/>
        <v>0</v>
      </c>
    </row>
    <row r="1292" spans="4:14" x14ac:dyDescent="0.2">
      <c r="D1292">
        <f t="shared" si="217"/>
        <v>1269</v>
      </c>
      <c r="E1292" s="1">
        <f t="shared" si="218"/>
        <v>-147.18826564824286</v>
      </c>
      <c r="F1292" s="1">
        <f t="shared" si="219"/>
        <v>-147.76487901254686</v>
      </c>
      <c r="G1292" s="1">
        <f t="shared" si="216"/>
        <v>6.7070018440799285E-65</v>
      </c>
      <c r="H1292" s="1">
        <f t="shared" si="209"/>
        <v>6.9483119633378283E-66</v>
      </c>
      <c r="I1292">
        <f t="shared" si="210"/>
        <v>8</v>
      </c>
      <c r="J1292">
        <f t="shared" si="211"/>
        <v>1259</v>
      </c>
      <c r="K1292" s="5">
        <f t="shared" si="212"/>
        <v>0</v>
      </c>
      <c r="L1292">
        <f t="shared" si="213"/>
        <v>53.4</v>
      </c>
      <c r="M1292">
        <f t="shared" si="214"/>
        <v>1</v>
      </c>
      <c r="N1292">
        <f t="shared" si="215"/>
        <v>0</v>
      </c>
    </row>
    <row r="1293" spans="4:14" x14ac:dyDescent="0.2">
      <c r="D1293">
        <f t="shared" si="217"/>
        <v>1270</v>
      </c>
      <c r="E1293" s="1">
        <f t="shared" si="218"/>
        <v>-147.30479946449881</v>
      </c>
      <c r="F1293" s="1">
        <f t="shared" si="219"/>
        <v>-147.88141282880281</v>
      </c>
      <c r="G1293" s="1">
        <f t="shared" si="216"/>
        <v>5.9692316412311323E-65</v>
      </c>
      <c r="H1293" s="1">
        <f t="shared" si="209"/>
        <v>6.1839976473706634E-66</v>
      </c>
      <c r="I1293">
        <f t="shared" si="210"/>
        <v>8</v>
      </c>
      <c r="J1293">
        <f t="shared" si="211"/>
        <v>1260</v>
      </c>
      <c r="K1293" s="5">
        <f t="shared" si="212"/>
        <v>0</v>
      </c>
      <c r="L1293">
        <f t="shared" si="213"/>
        <v>53.4</v>
      </c>
      <c r="M1293">
        <f t="shared" si="214"/>
        <v>1</v>
      </c>
      <c r="N1293">
        <f t="shared" si="215"/>
        <v>0</v>
      </c>
    </row>
    <row r="1294" spans="4:14" x14ac:dyDescent="0.2">
      <c r="D1294">
        <f t="shared" si="217"/>
        <v>1271</v>
      </c>
      <c r="E1294" s="1">
        <f t="shared" si="218"/>
        <v>-147.42133328075477</v>
      </c>
      <c r="F1294" s="1">
        <f t="shared" si="219"/>
        <v>-147.99794664505876</v>
      </c>
      <c r="G1294" s="1">
        <f t="shared" si="216"/>
        <v>5.3126161606957044E-65</v>
      </c>
      <c r="H1294" s="1">
        <f t="shared" si="209"/>
        <v>5.5037579061598868E-66</v>
      </c>
      <c r="I1294">
        <f t="shared" si="210"/>
        <v>8</v>
      </c>
      <c r="J1294">
        <f t="shared" si="211"/>
        <v>1261</v>
      </c>
      <c r="K1294" s="5">
        <f t="shared" si="212"/>
        <v>0</v>
      </c>
      <c r="L1294">
        <f t="shared" si="213"/>
        <v>53.4</v>
      </c>
      <c r="M1294">
        <f t="shared" si="214"/>
        <v>1</v>
      </c>
      <c r="N1294">
        <f t="shared" si="215"/>
        <v>0</v>
      </c>
    </row>
    <row r="1295" spans="4:14" x14ac:dyDescent="0.2">
      <c r="D1295">
        <f t="shared" si="217"/>
        <v>1272</v>
      </c>
      <c r="E1295" s="1">
        <f t="shared" si="218"/>
        <v>-147.53786709701072</v>
      </c>
      <c r="F1295" s="1">
        <f t="shared" si="219"/>
        <v>-148.11448046131471</v>
      </c>
      <c r="G1295" s="1">
        <f t="shared" si="216"/>
        <v>4.7282283830191742E-65</v>
      </c>
      <c r="H1295" s="1">
        <f t="shared" si="209"/>
        <v>4.8983445364822961E-66</v>
      </c>
      <c r="I1295">
        <f t="shared" si="210"/>
        <v>8</v>
      </c>
      <c r="J1295">
        <f t="shared" si="211"/>
        <v>1262</v>
      </c>
      <c r="K1295" s="5">
        <f t="shared" si="212"/>
        <v>0</v>
      </c>
      <c r="L1295">
        <f t="shared" si="213"/>
        <v>53.4</v>
      </c>
      <c r="M1295">
        <f t="shared" si="214"/>
        <v>1</v>
      </c>
      <c r="N1295">
        <f t="shared" si="215"/>
        <v>0</v>
      </c>
    </row>
    <row r="1296" spans="4:14" x14ac:dyDescent="0.2">
      <c r="D1296">
        <f t="shared" si="217"/>
        <v>1273</v>
      </c>
      <c r="E1296" s="1">
        <f t="shared" si="218"/>
        <v>-147.65440091326667</v>
      </c>
      <c r="F1296" s="1">
        <f t="shared" si="219"/>
        <v>-148.23101427757067</v>
      </c>
      <c r="G1296" s="1">
        <f t="shared" si="216"/>
        <v>4.2081232608870623E-65</v>
      </c>
      <c r="H1296" s="1">
        <f t="shared" si="209"/>
        <v>4.3595266374692414E-66</v>
      </c>
      <c r="I1296">
        <f t="shared" si="210"/>
        <v>8</v>
      </c>
      <c r="J1296">
        <f t="shared" si="211"/>
        <v>1263</v>
      </c>
      <c r="K1296" s="5">
        <f t="shared" si="212"/>
        <v>0</v>
      </c>
      <c r="L1296">
        <f t="shared" si="213"/>
        <v>53.4</v>
      </c>
      <c r="M1296">
        <f t="shared" si="214"/>
        <v>1</v>
      </c>
      <c r="N1296">
        <f t="shared" si="215"/>
        <v>0</v>
      </c>
    </row>
    <row r="1297" spans="4:14" x14ac:dyDescent="0.2">
      <c r="D1297">
        <f t="shared" si="217"/>
        <v>1274</v>
      </c>
      <c r="E1297" s="1">
        <f t="shared" si="218"/>
        <v>-147.77093472952262</v>
      </c>
      <c r="F1297" s="1">
        <f t="shared" si="219"/>
        <v>-148.34754809382662</v>
      </c>
      <c r="G1297" s="1">
        <f t="shared" si="216"/>
        <v>3.745229702189483E-65</v>
      </c>
      <c r="H1297" s="1">
        <f t="shared" si="209"/>
        <v>3.879978707347622E-66</v>
      </c>
      <c r="I1297">
        <f t="shared" si="210"/>
        <v>8</v>
      </c>
      <c r="J1297">
        <f t="shared" si="211"/>
        <v>1264</v>
      </c>
      <c r="K1297" s="5">
        <f t="shared" si="212"/>
        <v>0</v>
      </c>
      <c r="L1297">
        <f t="shared" si="213"/>
        <v>53.4</v>
      </c>
      <c r="M1297">
        <f t="shared" si="214"/>
        <v>1</v>
      </c>
      <c r="N1297">
        <f t="shared" si="215"/>
        <v>0</v>
      </c>
    </row>
    <row r="1298" spans="4:14" x14ac:dyDescent="0.2">
      <c r="D1298">
        <f t="shared" si="217"/>
        <v>1275</v>
      </c>
      <c r="E1298" s="1">
        <f t="shared" si="218"/>
        <v>-147.88746854577857</v>
      </c>
      <c r="F1298" s="1">
        <f t="shared" si="219"/>
        <v>-148.46408191008257</v>
      </c>
      <c r="G1298" s="1">
        <f t="shared" si="216"/>
        <v>3.3332544349486378E-65</v>
      </c>
      <c r="H1298" s="1">
        <f t="shared" si="209"/>
        <v>3.4531810495393812E-66</v>
      </c>
      <c r="I1298">
        <f t="shared" si="210"/>
        <v>8</v>
      </c>
      <c r="J1298">
        <f t="shared" si="211"/>
        <v>1265</v>
      </c>
      <c r="K1298" s="5">
        <f t="shared" si="212"/>
        <v>0</v>
      </c>
      <c r="L1298">
        <f t="shared" si="213"/>
        <v>53.4</v>
      </c>
      <c r="M1298">
        <f t="shared" si="214"/>
        <v>1</v>
      </c>
      <c r="N1298">
        <f t="shared" si="215"/>
        <v>0</v>
      </c>
    </row>
    <row r="1299" spans="4:14" x14ac:dyDescent="0.2">
      <c r="D1299">
        <f t="shared" si="217"/>
        <v>1276</v>
      </c>
      <c r="E1299" s="1">
        <f t="shared" si="218"/>
        <v>-148.00400236203453</v>
      </c>
      <c r="F1299" s="1">
        <f t="shared" si="219"/>
        <v>-148.58061572633852</v>
      </c>
      <c r="G1299" s="1">
        <f t="shared" si="216"/>
        <v>2.9665964471042858E-65</v>
      </c>
      <c r="H1299" s="1">
        <f t="shared" si="209"/>
        <v>3.0733311340900479E-66</v>
      </c>
      <c r="I1299">
        <f t="shared" si="210"/>
        <v>8</v>
      </c>
      <c r="J1299">
        <f t="shared" si="211"/>
        <v>1266</v>
      </c>
      <c r="K1299" s="5">
        <f t="shared" si="212"/>
        <v>0</v>
      </c>
      <c r="L1299">
        <f t="shared" si="213"/>
        <v>53.4</v>
      </c>
      <c r="M1299">
        <f t="shared" si="214"/>
        <v>1</v>
      </c>
      <c r="N1299">
        <f t="shared" si="215"/>
        <v>0</v>
      </c>
    </row>
    <row r="1300" spans="4:14" x14ac:dyDescent="0.2">
      <c r="D1300">
        <f t="shared" si="217"/>
        <v>1277</v>
      </c>
      <c r="E1300" s="1">
        <f t="shared" si="218"/>
        <v>-148.12053617829048</v>
      </c>
      <c r="F1300" s="1">
        <f t="shared" si="219"/>
        <v>-148.69714954259447</v>
      </c>
      <c r="G1300" s="1">
        <f t="shared" si="216"/>
        <v>2.6402708379228128E-65</v>
      </c>
      <c r="H1300" s="1">
        <f t="shared" si="209"/>
        <v>2.7352647093401409E-66</v>
      </c>
      <c r="I1300">
        <f t="shared" si="210"/>
        <v>8</v>
      </c>
      <c r="J1300">
        <f t="shared" si="211"/>
        <v>1267</v>
      </c>
      <c r="K1300" s="5">
        <f t="shared" si="212"/>
        <v>0</v>
      </c>
      <c r="L1300">
        <f t="shared" si="213"/>
        <v>53.4</v>
      </c>
      <c r="M1300">
        <f t="shared" si="214"/>
        <v>1</v>
      </c>
      <c r="N1300">
        <f t="shared" si="215"/>
        <v>0</v>
      </c>
    </row>
    <row r="1301" spans="4:14" x14ac:dyDescent="0.2">
      <c r="D1301">
        <f t="shared" si="217"/>
        <v>1278</v>
      </c>
      <c r="E1301" s="1">
        <f t="shared" si="218"/>
        <v>-148.23706999454643</v>
      </c>
      <c r="F1301" s="1">
        <f t="shared" si="219"/>
        <v>-148.81368335885043</v>
      </c>
      <c r="G1301" s="1">
        <f t="shared" si="216"/>
        <v>2.3498410457513019E-65</v>
      </c>
      <c r="H1301" s="1">
        <f t="shared" si="209"/>
        <v>2.4343855913127236E-66</v>
      </c>
      <c r="I1301">
        <f t="shared" si="210"/>
        <v>8</v>
      </c>
      <c r="J1301">
        <f t="shared" si="211"/>
        <v>1268</v>
      </c>
      <c r="K1301" s="5">
        <f t="shared" si="212"/>
        <v>0</v>
      </c>
      <c r="L1301">
        <f t="shared" si="213"/>
        <v>53.4</v>
      </c>
      <c r="M1301">
        <f t="shared" si="214"/>
        <v>1</v>
      </c>
      <c r="N1301">
        <f t="shared" si="215"/>
        <v>0</v>
      </c>
    </row>
    <row r="1302" spans="4:14" x14ac:dyDescent="0.2">
      <c r="D1302">
        <f t="shared" si="217"/>
        <v>1279</v>
      </c>
      <c r="E1302" s="1">
        <f t="shared" si="218"/>
        <v>-148.35360381080238</v>
      </c>
      <c r="F1302" s="1">
        <f t="shared" si="219"/>
        <v>-148.93021717510638</v>
      </c>
      <c r="G1302" s="1">
        <f t="shared" si="216"/>
        <v>2.0913585307186574E-65</v>
      </c>
      <c r="H1302" s="1">
        <f t="shared" si="209"/>
        <v>2.1666031762683229E-66</v>
      </c>
      <c r="I1302">
        <f t="shared" si="210"/>
        <v>8</v>
      </c>
      <c r="J1302">
        <f t="shared" si="211"/>
        <v>1269</v>
      </c>
      <c r="K1302" s="5">
        <f t="shared" si="212"/>
        <v>0</v>
      </c>
      <c r="L1302">
        <f t="shared" si="213"/>
        <v>53.4</v>
      </c>
      <c r="M1302">
        <f t="shared" si="214"/>
        <v>1</v>
      </c>
      <c r="N1302">
        <f t="shared" si="215"/>
        <v>0</v>
      </c>
    </row>
    <row r="1303" spans="4:14" x14ac:dyDescent="0.2">
      <c r="D1303">
        <f t="shared" si="217"/>
        <v>1280</v>
      </c>
      <c r="E1303" s="1">
        <f t="shared" si="218"/>
        <v>-148.47013762705834</v>
      </c>
      <c r="F1303" s="1">
        <f t="shared" si="219"/>
        <v>-149.04675099136233</v>
      </c>
      <c r="G1303" s="1">
        <f t="shared" si="216"/>
        <v>1.8613090923396039E-65</v>
      </c>
      <c r="H1303" s="1">
        <f t="shared" ref="H1303:H1366" si="220">G1303/$G$21</f>
        <v>1.928276826878806E-66</v>
      </c>
      <c r="I1303">
        <f t="shared" ref="I1303:I1366" si="221">IF($F$11&lt;=D1303, IF(D1303&lt;=$A$15,D1303-$F$11,$C$11),0)</f>
        <v>8</v>
      </c>
      <c r="J1303">
        <f t="shared" ref="J1303:J1366" si="222">IF(D1303&lt;=$A$15,0,D1303-$A$15)</f>
        <v>1270</v>
      </c>
      <c r="K1303" s="5">
        <f t="shared" ref="K1303:K1366" si="223">IF(D1303&lt;$F$11,H1303,0)</f>
        <v>0</v>
      </c>
      <c r="L1303">
        <f t="shared" ref="L1303:L1366" si="224">IF(D1303&lt;$A$15,$D$11,$D$11*(1-$H$11))</f>
        <v>53.4</v>
      </c>
      <c r="M1303">
        <f t="shared" ref="M1303:M1366" si="225">IF(D1303&lt;$A$15,0,1)</f>
        <v>1</v>
      </c>
      <c r="N1303">
        <f t="shared" ref="N1303:N1366" si="226">IF(SUM(I1303:J1303)&lt;=($G$11/60*$F$11/($E$11/60)),1,0)</f>
        <v>0</v>
      </c>
    </row>
    <row r="1304" spans="4:14" x14ac:dyDescent="0.2">
      <c r="D1304">
        <f t="shared" si="217"/>
        <v>1281</v>
      </c>
      <c r="E1304" s="1">
        <f t="shared" si="218"/>
        <v>-148.58667144331429</v>
      </c>
      <c r="F1304" s="1">
        <f t="shared" si="219"/>
        <v>-149.16328480761828</v>
      </c>
      <c r="G1304" s="1">
        <f t="shared" ref="G1304:G1367" si="227">EXP(F1304)</f>
        <v>1.6565650921822464E-65</v>
      </c>
      <c r="H1304" s="1">
        <f t="shared" si="220"/>
        <v>1.7161663759221363E-66</v>
      </c>
      <c r="I1304">
        <f t="shared" si="221"/>
        <v>8</v>
      </c>
      <c r="J1304">
        <f t="shared" si="222"/>
        <v>1271</v>
      </c>
      <c r="K1304" s="5">
        <f t="shared" si="223"/>
        <v>0</v>
      </c>
      <c r="L1304">
        <f t="shared" si="224"/>
        <v>53.4</v>
      </c>
      <c r="M1304">
        <f t="shared" si="225"/>
        <v>1</v>
      </c>
      <c r="N1304">
        <f t="shared" si="226"/>
        <v>0</v>
      </c>
    </row>
    <row r="1305" spans="4:14" x14ac:dyDescent="0.2">
      <c r="D1305">
        <f t="shared" ref="D1305:D1368" si="228">1+D1304</f>
        <v>1282</v>
      </c>
      <c r="E1305" s="1">
        <f t="shared" ref="E1305:E1368" si="229">IF($H$11=1,IF(D1305&lt;=$A$15, E1304+LN($D$11)-LN(60/$E$11)-LN(MIN(D1305,$F$11)), E1304-LN(60/$E$11)-LN(MIN(D1305,$F$11))), IF(D1305&lt;=$A$15, E1304+LN($D$11)-LN(60/$E$11)-LN(MIN(D1305,$F$11)), E1304+LN($D$11)+LN(1-$H$11)-LN(60/$E$11)-LN(MIN(D1305,$F$11))))</f>
        <v>-148.70320525957024</v>
      </c>
      <c r="F1305" s="1">
        <f t="shared" ref="F1305:F1368" si="230">E1305-$E$21</f>
        <v>-149.27981862387423</v>
      </c>
      <c r="G1305" s="1">
        <f t="shared" si="227"/>
        <v>1.4743429320421984E-65</v>
      </c>
      <c r="H1305" s="1">
        <f t="shared" si="220"/>
        <v>1.5273880745707003E-66</v>
      </c>
      <c r="I1305">
        <f t="shared" si="221"/>
        <v>8</v>
      </c>
      <c r="J1305">
        <f t="shared" si="222"/>
        <v>1272</v>
      </c>
      <c r="K1305" s="5">
        <f t="shared" si="223"/>
        <v>0</v>
      </c>
      <c r="L1305">
        <f t="shared" si="224"/>
        <v>53.4</v>
      </c>
      <c r="M1305">
        <f t="shared" si="225"/>
        <v>1</v>
      </c>
      <c r="N1305">
        <f t="shared" si="226"/>
        <v>0</v>
      </c>
    </row>
    <row r="1306" spans="4:14" x14ac:dyDescent="0.2">
      <c r="D1306">
        <f t="shared" si="228"/>
        <v>1283</v>
      </c>
      <c r="E1306" s="1">
        <f t="shared" si="229"/>
        <v>-148.81973907582619</v>
      </c>
      <c r="F1306" s="1">
        <f t="shared" si="230"/>
        <v>-149.39635244013019</v>
      </c>
      <c r="G1306" s="1">
        <f t="shared" si="227"/>
        <v>1.3121652095175558E-65</v>
      </c>
      <c r="H1306" s="1">
        <f t="shared" si="220"/>
        <v>1.3593753863679224E-66</v>
      </c>
      <c r="I1306">
        <f t="shared" si="221"/>
        <v>8</v>
      </c>
      <c r="J1306">
        <f t="shared" si="222"/>
        <v>1273</v>
      </c>
      <c r="K1306" s="5">
        <f t="shared" si="223"/>
        <v>0</v>
      </c>
      <c r="L1306">
        <f t="shared" si="224"/>
        <v>53.4</v>
      </c>
      <c r="M1306">
        <f t="shared" si="225"/>
        <v>1</v>
      </c>
      <c r="N1306">
        <f t="shared" si="226"/>
        <v>0</v>
      </c>
    </row>
    <row r="1307" spans="4:14" x14ac:dyDescent="0.2">
      <c r="D1307">
        <f t="shared" si="228"/>
        <v>1284</v>
      </c>
      <c r="E1307" s="1">
        <f t="shared" si="229"/>
        <v>-148.93627289208214</v>
      </c>
      <c r="F1307" s="1">
        <f t="shared" si="230"/>
        <v>-149.51288625638614</v>
      </c>
      <c r="G1307" s="1">
        <f t="shared" si="227"/>
        <v>1.1678270364706238E-65</v>
      </c>
      <c r="H1307" s="1">
        <f t="shared" si="220"/>
        <v>1.20984409386745E-66</v>
      </c>
      <c r="I1307">
        <f t="shared" si="221"/>
        <v>8</v>
      </c>
      <c r="J1307">
        <f t="shared" si="222"/>
        <v>1274</v>
      </c>
      <c r="K1307" s="5">
        <f t="shared" si="223"/>
        <v>0</v>
      </c>
      <c r="L1307">
        <f t="shared" si="224"/>
        <v>53.4</v>
      </c>
      <c r="M1307">
        <f t="shared" si="225"/>
        <v>1</v>
      </c>
      <c r="N1307">
        <f t="shared" si="226"/>
        <v>0</v>
      </c>
    </row>
    <row r="1308" spans="4:14" x14ac:dyDescent="0.2">
      <c r="D1308">
        <f t="shared" si="228"/>
        <v>1285</v>
      </c>
      <c r="E1308" s="1">
        <f t="shared" si="229"/>
        <v>-149.0528067083381</v>
      </c>
      <c r="F1308" s="1">
        <f t="shared" si="230"/>
        <v>-149.62942007264209</v>
      </c>
      <c r="G1308" s="1">
        <f t="shared" si="227"/>
        <v>1.0393660624588547E-65</v>
      </c>
      <c r="H1308" s="1">
        <f t="shared" si="220"/>
        <v>1.0767612435420301E-66</v>
      </c>
      <c r="I1308">
        <f t="shared" si="221"/>
        <v>8</v>
      </c>
      <c r="J1308">
        <f t="shared" si="222"/>
        <v>1275</v>
      </c>
      <c r="K1308" s="5">
        <f t="shared" si="223"/>
        <v>0</v>
      </c>
      <c r="L1308">
        <f t="shared" si="224"/>
        <v>53.4</v>
      </c>
      <c r="M1308">
        <f t="shared" si="225"/>
        <v>1</v>
      </c>
      <c r="N1308">
        <f t="shared" si="226"/>
        <v>0</v>
      </c>
    </row>
    <row r="1309" spans="4:14" x14ac:dyDescent="0.2">
      <c r="D1309">
        <f t="shared" si="228"/>
        <v>1286</v>
      </c>
      <c r="E1309" s="1">
        <f t="shared" si="229"/>
        <v>-149.16934052459405</v>
      </c>
      <c r="F1309" s="1">
        <f t="shared" si="230"/>
        <v>-149.74595388889804</v>
      </c>
      <c r="G1309" s="1">
        <f t="shared" si="227"/>
        <v>9.2503579558838002E-66</v>
      </c>
      <c r="H1309" s="1">
        <f t="shared" si="220"/>
        <v>9.5831750675240613E-67</v>
      </c>
      <c r="I1309">
        <f t="shared" si="221"/>
        <v>8</v>
      </c>
      <c r="J1309">
        <f t="shared" si="222"/>
        <v>1276</v>
      </c>
      <c r="K1309" s="5">
        <f t="shared" si="223"/>
        <v>0</v>
      </c>
      <c r="L1309">
        <f t="shared" si="224"/>
        <v>53.4</v>
      </c>
      <c r="M1309">
        <f t="shared" si="225"/>
        <v>1</v>
      </c>
      <c r="N1309">
        <f t="shared" si="226"/>
        <v>0</v>
      </c>
    </row>
    <row r="1310" spans="4:14" x14ac:dyDescent="0.2">
      <c r="D1310">
        <f t="shared" si="228"/>
        <v>1287</v>
      </c>
      <c r="E1310" s="1">
        <f t="shared" si="229"/>
        <v>-149.28587434085</v>
      </c>
      <c r="F1310" s="1">
        <f t="shared" si="230"/>
        <v>-149.862487705154</v>
      </c>
      <c r="G1310" s="1">
        <f t="shared" si="227"/>
        <v>8.2328185807365766E-66</v>
      </c>
      <c r="H1310" s="1">
        <f t="shared" si="220"/>
        <v>8.5290258100964091E-67</v>
      </c>
      <c r="I1310">
        <f t="shared" si="221"/>
        <v>8</v>
      </c>
      <c r="J1310">
        <f t="shared" si="222"/>
        <v>1277</v>
      </c>
      <c r="K1310" s="5">
        <f t="shared" si="223"/>
        <v>0</v>
      </c>
      <c r="L1310">
        <f t="shared" si="224"/>
        <v>53.4</v>
      </c>
      <c r="M1310">
        <f t="shared" si="225"/>
        <v>1</v>
      </c>
      <c r="N1310">
        <f t="shared" si="226"/>
        <v>0</v>
      </c>
    </row>
    <row r="1311" spans="4:14" x14ac:dyDescent="0.2">
      <c r="D1311">
        <f t="shared" si="228"/>
        <v>1288</v>
      </c>
      <c r="E1311" s="1">
        <f t="shared" si="229"/>
        <v>-149.40240815710595</v>
      </c>
      <c r="F1311" s="1">
        <f t="shared" si="230"/>
        <v>-149.97902152140995</v>
      </c>
      <c r="G1311" s="1">
        <f t="shared" si="227"/>
        <v>7.3272085368555483E-66</v>
      </c>
      <c r="H1311" s="1">
        <f t="shared" si="220"/>
        <v>7.5908329709857986E-67</v>
      </c>
      <c r="I1311">
        <f t="shared" si="221"/>
        <v>8</v>
      </c>
      <c r="J1311">
        <f t="shared" si="222"/>
        <v>1278</v>
      </c>
      <c r="K1311" s="5">
        <f t="shared" si="223"/>
        <v>0</v>
      </c>
      <c r="L1311">
        <f t="shared" si="224"/>
        <v>53.4</v>
      </c>
      <c r="M1311">
        <f t="shared" si="225"/>
        <v>1</v>
      </c>
      <c r="N1311">
        <f t="shared" si="226"/>
        <v>0</v>
      </c>
    </row>
    <row r="1312" spans="4:14" x14ac:dyDescent="0.2">
      <c r="D1312">
        <f t="shared" si="228"/>
        <v>1289</v>
      </c>
      <c r="E1312" s="1">
        <f t="shared" si="229"/>
        <v>-149.5189419733619</v>
      </c>
      <c r="F1312" s="1">
        <f t="shared" si="230"/>
        <v>-150.0955553376659</v>
      </c>
      <c r="G1312" s="1">
        <f t="shared" si="227"/>
        <v>6.5212155978014345E-66</v>
      </c>
      <c r="H1312" s="1">
        <f t="shared" si="220"/>
        <v>6.7558413441773574E-67</v>
      </c>
      <c r="I1312">
        <f t="shared" si="221"/>
        <v>8</v>
      </c>
      <c r="J1312">
        <f t="shared" si="222"/>
        <v>1279</v>
      </c>
      <c r="K1312" s="5">
        <f t="shared" si="223"/>
        <v>0</v>
      </c>
      <c r="L1312">
        <f t="shared" si="224"/>
        <v>53.4</v>
      </c>
      <c r="M1312">
        <f t="shared" si="225"/>
        <v>1</v>
      </c>
      <c r="N1312">
        <f t="shared" si="226"/>
        <v>0</v>
      </c>
    </row>
    <row r="1313" spans="4:14" x14ac:dyDescent="0.2">
      <c r="D1313">
        <f t="shared" si="228"/>
        <v>1290</v>
      </c>
      <c r="E1313" s="1">
        <f t="shared" si="229"/>
        <v>-149.63547578961786</v>
      </c>
      <c r="F1313" s="1">
        <f t="shared" si="230"/>
        <v>-150.21208915392185</v>
      </c>
      <c r="G1313" s="1">
        <f t="shared" si="227"/>
        <v>5.803881882043273E-66</v>
      </c>
      <c r="H1313" s="1">
        <f t="shared" si="220"/>
        <v>6.0126987963178444E-67</v>
      </c>
      <c r="I1313">
        <f t="shared" si="221"/>
        <v>8</v>
      </c>
      <c r="J1313">
        <f t="shared" si="222"/>
        <v>1280</v>
      </c>
      <c r="K1313" s="5">
        <f t="shared" si="223"/>
        <v>0</v>
      </c>
      <c r="L1313">
        <f t="shared" si="224"/>
        <v>53.4</v>
      </c>
      <c r="M1313">
        <f t="shared" si="225"/>
        <v>1</v>
      </c>
      <c r="N1313">
        <f t="shared" si="226"/>
        <v>0</v>
      </c>
    </row>
    <row r="1314" spans="4:14" x14ac:dyDescent="0.2">
      <c r="D1314">
        <f t="shared" si="228"/>
        <v>1291</v>
      </c>
      <c r="E1314" s="1">
        <f t="shared" si="229"/>
        <v>-149.75200960587381</v>
      </c>
      <c r="F1314" s="1">
        <f t="shared" si="230"/>
        <v>-150.3286229701778</v>
      </c>
      <c r="G1314" s="1">
        <f t="shared" si="227"/>
        <v>5.1654548750185098E-66</v>
      </c>
      <c r="H1314" s="1">
        <f t="shared" si="220"/>
        <v>5.3513019287228781E-67</v>
      </c>
      <c r="I1314">
        <f t="shared" si="221"/>
        <v>8</v>
      </c>
      <c r="J1314">
        <f t="shared" si="222"/>
        <v>1281</v>
      </c>
      <c r="K1314" s="5">
        <f t="shared" si="223"/>
        <v>0</v>
      </c>
      <c r="L1314">
        <f t="shared" si="224"/>
        <v>53.4</v>
      </c>
      <c r="M1314">
        <f t="shared" si="225"/>
        <v>1</v>
      </c>
      <c r="N1314">
        <f t="shared" si="226"/>
        <v>0</v>
      </c>
    </row>
    <row r="1315" spans="4:14" x14ac:dyDescent="0.2">
      <c r="D1315">
        <f t="shared" si="228"/>
        <v>1292</v>
      </c>
      <c r="E1315" s="1">
        <f t="shared" si="229"/>
        <v>-149.86854342212976</v>
      </c>
      <c r="F1315" s="1">
        <f t="shared" si="230"/>
        <v>-150.44515678643376</v>
      </c>
      <c r="G1315" s="1">
        <f t="shared" si="227"/>
        <v>4.5972548387664708E-66</v>
      </c>
      <c r="H1315" s="1">
        <f t="shared" si="220"/>
        <v>4.7626587165633585E-67</v>
      </c>
      <c r="I1315">
        <f t="shared" si="221"/>
        <v>8</v>
      </c>
      <c r="J1315">
        <f t="shared" si="222"/>
        <v>1282</v>
      </c>
      <c r="K1315" s="5">
        <f t="shared" si="223"/>
        <v>0</v>
      </c>
      <c r="L1315">
        <f t="shared" si="224"/>
        <v>53.4</v>
      </c>
      <c r="M1315">
        <f t="shared" si="225"/>
        <v>1</v>
      </c>
      <c r="N1315">
        <f t="shared" si="226"/>
        <v>0</v>
      </c>
    </row>
    <row r="1316" spans="4:14" x14ac:dyDescent="0.2">
      <c r="D1316">
        <f t="shared" si="228"/>
        <v>1293</v>
      </c>
      <c r="E1316" s="1">
        <f t="shared" si="229"/>
        <v>-149.98507723838571</v>
      </c>
      <c r="F1316" s="1">
        <f t="shared" si="230"/>
        <v>-150.56169060268971</v>
      </c>
      <c r="G1316" s="1">
        <f t="shared" si="227"/>
        <v>4.0915568065021562E-66</v>
      </c>
      <c r="H1316" s="1">
        <f t="shared" si="220"/>
        <v>4.2387662577413862E-67</v>
      </c>
      <c r="I1316">
        <f t="shared" si="221"/>
        <v>8</v>
      </c>
      <c r="J1316">
        <f t="shared" si="222"/>
        <v>1283</v>
      </c>
      <c r="K1316" s="5">
        <f t="shared" si="223"/>
        <v>0</v>
      </c>
      <c r="L1316">
        <f t="shared" si="224"/>
        <v>53.4</v>
      </c>
      <c r="M1316">
        <f t="shared" si="225"/>
        <v>1</v>
      </c>
      <c r="N1316">
        <f t="shared" si="226"/>
        <v>0</v>
      </c>
    </row>
    <row r="1317" spans="4:14" x14ac:dyDescent="0.2">
      <c r="D1317">
        <f t="shared" si="228"/>
        <v>1294</v>
      </c>
      <c r="E1317" s="1">
        <f t="shared" si="229"/>
        <v>-150.10161105464167</v>
      </c>
      <c r="F1317" s="1">
        <f t="shared" si="230"/>
        <v>-150.67822441894566</v>
      </c>
      <c r="G1317" s="1">
        <f t="shared" si="227"/>
        <v>3.6414855577869169E-66</v>
      </c>
      <c r="H1317" s="1">
        <f t="shared" si="220"/>
        <v>3.7725019693898314E-67</v>
      </c>
      <c r="I1317">
        <f t="shared" si="221"/>
        <v>8</v>
      </c>
      <c r="J1317">
        <f t="shared" si="222"/>
        <v>1284</v>
      </c>
      <c r="K1317" s="5">
        <f t="shared" si="223"/>
        <v>0</v>
      </c>
      <c r="L1317">
        <f t="shared" si="224"/>
        <v>53.4</v>
      </c>
      <c r="M1317">
        <f t="shared" si="225"/>
        <v>1</v>
      </c>
      <c r="N1317">
        <f t="shared" si="226"/>
        <v>0</v>
      </c>
    </row>
    <row r="1318" spans="4:14" x14ac:dyDescent="0.2">
      <c r="D1318">
        <f t="shared" si="228"/>
        <v>1295</v>
      </c>
      <c r="E1318" s="1">
        <f t="shared" si="229"/>
        <v>-150.21814487089762</v>
      </c>
      <c r="F1318" s="1">
        <f t="shared" si="230"/>
        <v>-150.79475823520161</v>
      </c>
      <c r="G1318" s="1">
        <f t="shared" si="227"/>
        <v>3.240922146430354E-66</v>
      </c>
      <c r="H1318" s="1">
        <f t="shared" si="220"/>
        <v>3.3575267527569476E-67</v>
      </c>
      <c r="I1318">
        <f t="shared" si="221"/>
        <v>8</v>
      </c>
      <c r="J1318">
        <f t="shared" si="222"/>
        <v>1285</v>
      </c>
      <c r="K1318" s="5">
        <f t="shared" si="223"/>
        <v>0</v>
      </c>
      <c r="L1318">
        <f t="shared" si="224"/>
        <v>53.4</v>
      </c>
      <c r="M1318">
        <f t="shared" si="225"/>
        <v>1</v>
      </c>
      <c r="N1318">
        <f t="shared" si="226"/>
        <v>0</v>
      </c>
    </row>
    <row r="1319" spans="4:14" x14ac:dyDescent="0.2">
      <c r="D1319">
        <f t="shared" si="228"/>
        <v>1296</v>
      </c>
      <c r="E1319" s="1">
        <f t="shared" si="229"/>
        <v>-150.33467868715357</v>
      </c>
      <c r="F1319" s="1">
        <f t="shared" si="230"/>
        <v>-150.91129205145756</v>
      </c>
      <c r="G1319" s="1">
        <f t="shared" si="227"/>
        <v>2.8844207103230131E-66</v>
      </c>
      <c r="H1319" s="1">
        <f t="shared" si="220"/>
        <v>2.9881988099536816E-67</v>
      </c>
      <c r="I1319">
        <f t="shared" si="221"/>
        <v>8</v>
      </c>
      <c r="J1319">
        <f t="shared" si="222"/>
        <v>1286</v>
      </c>
      <c r="K1319" s="5">
        <f t="shared" si="223"/>
        <v>0</v>
      </c>
      <c r="L1319">
        <f t="shared" si="224"/>
        <v>53.4</v>
      </c>
      <c r="M1319">
        <f t="shared" si="225"/>
        <v>1</v>
      </c>
      <c r="N1319">
        <f t="shared" si="226"/>
        <v>0</v>
      </c>
    </row>
    <row r="1320" spans="4:14" x14ac:dyDescent="0.2">
      <c r="D1320">
        <f t="shared" si="228"/>
        <v>1297</v>
      </c>
      <c r="E1320" s="1">
        <f t="shared" si="229"/>
        <v>-150.45121250340952</v>
      </c>
      <c r="F1320" s="1">
        <f t="shared" si="230"/>
        <v>-151.02782586771352</v>
      </c>
      <c r="G1320" s="1">
        <f t="shared" si="227"/>
        <v>2.5671344321874801E-66</v>
      </c>
      <c r="H1320" s="1">
        <f t="shared" si="220"/>
        <v>2.659496940858775E-67</v>
      </c>
      <c r="I1320">
        <f t="shared" si="221"/>
        <v>8</v>
      </c>
      <c r="J1320">
        <f t="shared" si="222"/>
        <v>1287</v>
      </c>
      <c r="K1320" s="5">
        <f t="shared" si="223"/>
        <v>0</v>
      </c>
      <c r="L1320">
        <f t="shared" si="224"/>
        <v>53.4</v>
      </c>
      <c r="M1320">
        <f t="shared" si="225"/>
        <v>1</v>
      </c>
      <c r="N1320">
        <f t="shared" si="226"/>
        <v>0</v>
      </c>
    </row>
    <row r="1321" spans="4:14" x14ac:dyDescent="0.2">
      <c r="D1321">
        <f t="shared" si="228"/>
        <v>1298</v>
      </c>
      <c r="E1321" s="1">
        <f t="shared" si="229"/>
        <v>-150.56774631966547</v>
      </c>
      <c r="F1321" s="1">
        <f t="shared" si="230"/>
        <v>-151.14435968396947</v>
      </c>
      <c r="G1321" s="1">
        <f t="shared" si="227"/>
        <v>2.2847496446468557E-66</v>
      </c>
      <c r="H1321" s="1">
        <f t="shared" si="220"/>
        <v>2.3669522773643081E-67</v>
      </c>
      <c r="I1321">
        <f t="shared" si="221"/>
        <v>8</v>
      </c>
      <c r="J1321">
        <f t="shared" si="222"/>
        <v>1288</v>
      </c>
      <c r="K1321" s="5">
        <f t="shared" si="223"/>
        <v>0</v>
      </c>
      <c r="L1321">
        <f t="shared" si="224"/>
        <v>53.4</v>
      </c>
      <c r="M1321">
        <f t="shared" si="225"/>
        <v>1</v>
      </c>
      <c r="N1321">
        <f t="shared" si="226"/>
        <v>0</v>
      </c>
    </row>
    <row r="1322" spans="4:14" x14ac:dyDescent="0.2">
      <c r="D1322">
        <f t="shared" si="228"/>
        <v>1299</v>
      </c>
      <c r="E1322" s="1">
        <f t="shared" si="229"/>
        <v>-150.68428013592143</v>
      </c>
      <c r="F1322" s="1">
        <f t="shared" si="230"/>
        <v>-151.26089350022542</v>
      </c>
      <c r="G1322" s="1">
        <f t="shared" si="227"/>
        <v>2.0334271837357004E-66</v>
      </c>
      <c r="H1322" s="1">
        <f t="shared" si="220"/>
        <v>2.106587526854233E-67</v>
      </c>
      <c r="I1322">
        <f t="shared" si="221"/>
        <v>8</v>
      </c>
      <c r="J1322">
        <f t="shared" si="222"/>
        <v>1289</v>
      </c>
      <c r="K1322" s="5">
        <f t="shared" si="223"/>
        <v>0</v>
      </c>
      <c r="L1322">
        <f t="shared" si="224"/>
        <v>53.4</v>
      </c>
      <c r="M1322">
        <f t="shared" si="225"/>
        <v>1</v>
      </c>
      <c r="N1322">
        <f t="shared" si="226"/>
        <v>0</v>
      </c>
    </row>
    <row r="1323" spans="4:14" x14ac:dyDescent="0.2">
      <c r="D1323">
        <f t="shared" si="228"/>
        <v>1300</v>
      </c>
      <c r="E1323" s="1">
        <f t="shared" si="229"/>
        <v>-150.80081395217738</v>
      </c>
      <c r="F1323" s="1">
        <f t="shared" si="230"/>
        <v>-151.37742731648137</v>
      </c>
      <c r="G1323" s="1">
        <f t="shared" si="227"/>
        <v>1.8097501935247721E-66</v>
      </c>
      <c r="H1323" s="1">
        <f t="shared" si="220"/>
        <v>1.8748628989002662E-67</v>
      </c>
      <c r="I1323">
        <f t="shared" si="221"/>
        <v>8</v>
      </c>
      <c r="J1323">
        <f t="shared" si="222"/>
        <v>1290</v>
      </c>
      <c r="K1323" s="5">
        <f t="shared" si="223"/>
        <v>0</v>
      </c>
      <c r="L1323">
        <f t="shared" si="224"/>
        <v>53.4</v>
      </c>
      <c r="M1323">
        <f t="shared" si="225"/>
        <v>1</v>
      </c>
      <c r="N1323">
        <f t="shared" si="226"/>
        <v>0</v>
      </c>
    </row>
    <row r="1324" spans="4:14" x14ac:dyDescent="0.2">
      <c r="D1324">
        <f t="shared" si="228"/>
        <v>1301</v>
      </c>
      <c r="E1324" s="1">
        <f t="shared" si="229"/>
        <v>-150.91734776843333</v>
      </c>
      <c r="F1324" s="1">
        <f t="shared" si="230"/>
        <v>-151.49396113273733</v>
      </c>
      <c r="G1324" s="1">
        <f t="shared" si="227"/>
        <v>1.6106776722370463E-66</v>
      </c>
      <c r="H1324" s="1">
        <f t="shared" si="220"/>
        <v>1.6686279800212359E-67</v>
      </c>
      <c r="I1324">
        <f t="shared" si="221"/>
        <v>8</v>
      </c>
      <c r="J1324">
        <f t="shared" si="222"/>
        <v>1291</v>
      </c>
      <c r="K1324" s="5">
        <f t="shared" si="223"/>
        <v>0</v>
      </c>
      <c r="L1324">
        <f t="shared" si="224"/>
        <v>53.4</v>
      </c>
      <c r="M1324">
        <f t="shared" si="225"/>
        <v>1</v>
      </c>
      <c r="N1324">
        <f t="shared" si="226"/>
        <v>0</v>
      </c>
    </row>
    <row r="1325" spans="4:14" x14ac:dyDescent="0.2">
      <c r="D1325">
        <f t="shared" si="228"/>
        <v>1302</v>
      </c>
      <c r="E1325" s="1">
        <f t="shared" si="229"/>
        <v>-151.03388158468928</v>
      </c>
      <c r="F1325" s="1">
        <f t="shared" si="230"/>
        <v>-151.61049494899328</v>
      </c>
      <c r="G1325" s="1">
        <f t="shared" si="227"/>
        <v>1.4335031282909702E-66</v>
      </c>
      <c r="H1325" s="1">
        <f t="shared" si="220"/>
        <v>1.4850789022188989E-67</v>
      </c>
      <c r="I1325">
        <f t="shared" si="221"/>
        <v>8</v>
      </c>
      <c r="J1325">
        <f t="shared" si="222"/>
        <v>1292</v>
      </c>
      <c r="K1325" s="5">
        <f t="shared" si="223"/>
        <v>0</v>
      </c>
      <c r="L1325">
        <f t="shared" si="224"/>
        <v>53.4</v>
      </c>
      <c r="M1325">
        <f t="shared" si="225"/>
        <v>1</v>
      </c>
      <c r="N1325">
        <f t="shared" si="226"/>
        <v>0</v>
      </c>
    </row>
    <row r="1326" spans="4:14" x14ac:dyDescent="0.2">
      <c r="D1326">
        <f t="shared" si="228"/>
        <v>1303</v>
      </c>
      <c r="E1326" s="1">
        <f t="shared" si="229"/>
        <v>-151.15041540094523</v>
      </c>
      <c r="F1326" s="1">
        <f t="shared" si="230"/>
        <v>-151.72702876524923</v>
      </c>
      <c r="G1326" s="1">
        <f t="shared" si="227"/>
        <v>1.2758177841789628E-66</v>
      </c>
      <c r="H1326" s="1">
        <f t="shared" si="220"/>
        <v>1.3217202229748193E-67</v>
      </c>
      <c r="I1326">
        <f t="shared" si="221"/>
        <v>8</v>
      </c>
      <c r="J1326">
        <f t="shared" si="222"/>
        <v>1293</v>
      </c>
      <c r="K1326" s="5">
        <f t="shared" si="223"/>
        <v>0</v>
      </c>
      <c r="L1326">
        <f t="shared" si="224"/>
        <v>53.4</v>
      </c>
      <c r="M1326">
        <f t="shared" si="225"/>
        <v>1</v>
      </c>
      <c r="N1326">
        <f t="shared" si="226"/>
        <v>0</v>
      </c>
    </row>
    <row r="1327" spans="4:14" x14ac:dyDescent="0.2">
      <c r="D1327">
        <f t="shared" si="228"/>
        <v>1304</v>
      </c>
      <c r="E1327" s="1">
        <f t="shared" si="229"/>
        <v>-151.26694921720119</v>
      </c>
      <c r="F1327" s="1">
        <f t="shared" si="230"/>
        <v>-151.84356258150518</v>
      </c>
      <c r="G1327" s="1">
        <f t="shared" si="227"/>
        <v>1.135477827919276E-66</v>
      </c>
      <c r="H1327" s="1">
        <f t="shared" si="220"/>
        <v>1.1763309984475883E-67</v>
      </c>
      <c r="I1327">
        <f t="shared" si="221"/>
        <v>8</v>
      </c>
      <c r="J1327">
        <f t="shared" si="222"/>
        <v>1294</v>
      </c>
      <c r="K1327" s="5">
        <f t="shared" si="223"/>
        <v>0</v>
      </c>
      <c r="L1327">
        <f t="shared" si="224"/>
        <v>53.4</v>
      </c>
      <c r="M1327">
        <f t="shared" si="225"/>
        <v>1</v>
      </c>
      <c r="N1327">
        <f t="shared" si="226"/>
        <v>0</v>
      </c>
    </row>
    <row r="1328" spans="4:14" x14ac:dyDescent="0.2">
      <c r="D1328">
        <f t="shared" si="228"/>
        <v>1305</v>
      </c>
      <c r="E1328" s="1">
        <f t="shared" si="229"/>
        <v>-151.38348303345714</v>
      </c>
      <c r="F1328" s="1">
        <f t="shared" si="230"/>
        <v>-151.96009639776113</v>
      </c>
      <c r="G1328" s="1">
        <f t="shared" si="227"/>
        <v>1.0105752668481551E-66</v>
      </c>
      <c r="H1328" s="1">
        <f t="shared" si="220"/>
        <v>1.0469345886183531E-67</v>
      </c>
      <c r="I1328">
        <f t="shared" si="221"/>
        <v>8</v>
      </c>
      <c r="J1328">
        <f t="shared" si="222"/>
        <v>1295</v>
      </c>
      <c r="K1328" s="5">
        <f t="shared" si="223"/>
        <v>0</v>
      </c>
      <c r="L1328">
        <f t="shared" si="224"/>
        <v>53.4</v>
      </c>
      <c r="M1328">
        <f t="shared" si="225"/>
        <v>1</v>
      </c>
      <c r="N1328">
        <f t="shared" si="226"/>
        <v>0</v>
      </c>
    </row>
    <row r="1329" spans="4:14" x14ac:dyDescent="0.2">
      <c r="D1329">
        <f t="shared" si="228"/>
        <v>1306</v>
      </c>
      <c r="E1329" s="1">
        <f t="shared" si="229"/>
        <v>-151.50001684971309</v>
      </c>
      <c r="F1329" s="1">
        <f t="shared" si="230"/>
        <v>-152.07663021401709</v>
      </c>
      <c r="G1329" s="1">
        <f t="shared" si="227"/>
        <v>8.9941198749485748E-67</v>
      </c>
      <c r="H1329" s="1">
        <f t="shared" si="220"/>
        <v>9.3177178387033363E-68</v>
      </c>
      <c r="I1329">
        <f t="shared" si="221"/>
        <v>8</v>
      </c>
      <c r="J1329">
        <f t="shared" si="222"/>
        <v>1296</v>
      </c>
      <c r="K1329" s="5">
        <f t="shared" si="223"/>
        <v>0</v>
      </c>
      <c r="L1329">
        <f t="shared" si="224"/>
        <v>53.4</v>
      </c>
      <c r="M1329">
        <f t="shared" si="225"/>
        <v>1</v>
      </c>
      <c r="N1329">
        <f t="shared" si="226"/>
        <v>0</v>
      </c>
    </row>
    <row r="1330" spans="4:14" x14ac:dyDescent="0.2">
      <c r="D1330">
        <f t="shared" si="228"/>
        <v>1307</v>
      </c>
      <c r="E1330" s="1">
        <f t="shared" si="229"/>
        <v>-151.61655066596904</v>
      </c>
      <c r="F1330" s="1">
        <f t="shared" si="230"/>
        <v>-152.19316403027304</v>
      </c>
      <c r="G1330" s="1">
        <f t="shared" si="227"/>
        <v>8.0047666887042261E-67</v>
      </c>
      <c r="H1330" s="1">
        <f t="shared" si="220"/>
        <v>8.2927688764459632E-68</v>
      </c>
      <c r="I1330">
        <f t="shared" si="221"/>
        <v>8</v>
      </c>
      <c r="J1330">
        <f t="shared" si="222"/>
        <v>1297</v>
      </c>
      <c r="K1330" s="5">
        <f t="shared" si="223"/>
        <v>0</v>
      </c>
      <c r="L1330">
        <f t="shared" si="224"/>
        <v>53.4</v>
      </c>
      <c r="M1330">
        <f t="shared" si="225"/>
        <v>1</v>
      </c>
      <c r="N1330">
        <f t="shared" si="226"/>
        <v>0</v>
      </c>
    </row>
    <row r="1331" spans="4:14" x14ac:dyDescent="0.2">
      <c r="D1331">
        <f t="shared" si="228"/>
        <v>1308</v>
      </c>
      <c r="E1331" s="1">
        <f t="shared" si="229"/>
        <v>-151.733084482225</v>
      </c>
      <c r="F1331" s="1">
        <f t="shared" si="230"/>
        <v>-152.30969784652899</v>
      </c>
      <c r="G1331" s="1">
        <f t="shared" si="227"/>
        <v>7.1242423529467571E-67</v>
      </c>
      <c r="H1331" s="1">
        <f t="shared" si="220"/>
        <v>7.3805643000369033E-68</v>
      </c>
      <c r="I1331">
        <f t="shared" si="221"/>
        <v>8</v>
      </c>
      <c r="J1331">
        <f t="shared" si="222"/>
        <v>1298</v>
      </c>
      <c r="K1331" s="5">
        <f t="shared" si="223"/>
        <v>0</v>
      </c>
      <c r="L1331">
        <f t="shared" si="224"/>
        <v>53.4</v>
      </c>
      <c r="M1331">
        <f t="shared" si="225"/>
        <v>1</v>
      </c>
      <c r="N1331">
        <f t="shared" si="226"/>
        <v>0</v>
      </c>
    </row>
    <row r="1332" spans="4:14" x14ac:dyDescent="0.2">
      <c r="D1332">
        <f t="shared" si="228"/>
        <v>1309</v>
      </c>
      <c r="E1332" s="1">
        <f t="shared" si="229"/>
        <v>-151.84961829848095</v>
      </c>
      <c r="F1332" s="1">
        <f t="shared" si="230"/>
        <v>-152.42623166278494</v>
      </c>
      <c r="G1332" s="1">
        <f t="shared" si="227"/>
        <v>6.3405756941226098E-67</v>
      </c>
      <c r="H1332" s="1">
        <f t="shared" si="220"/>
        <v>6.5687022270328398E-68</v>
      </c>
      <c r="I1332">
        <f t="shared" si="221"/>
        <v>8</v>
      </c>
      <c r="J1332">
        <f t="shared" si="222"/>
        <v>1299</v>
      </c>
      <c r="K1332" s="5">
        <f t="shared" si="223"/>
        <v>0</v>
      </c>
      <c r="L1332">
        <f t="shared" si="224"/>
        <v>53.4</v>
      </c>
      <c r="M1332">
        <f t="shared" si="225"/>
        <v>1</v>
      </c>
      <c r="N1332">
        <f t="shared" si="226"/>
        <v>0</v>
      </c>
    </row>
    <row r="1333" spans="4:14" x14ac:dyDescent="0.2">
      <c r="D1333">
        <f t="shared" si="228"/>
        <v>1310</v>
      </c>
      <c r="E1333" s="1">
        <f t="shared" si="229"/>
        <v>-151.9661521147369</v>
      </c>
      <c r="F1333" s="1">
        <f t="shared" si="230"/>
        <v>-152.5427654790409</v>
      </c>
      <c r="G1333" s="1">
        <f t="shared" si="227"/>
        <v>5.6431123677691193E-67</v>
      </c>
      <c r="H1333" s="1">
        <f t="shared" si="220"/>
        <v>5.8461449820592237E-68</v>
      </c>
      <c r="I1333">
        <f t="shared" si="221"/>
        <v>8</v>
      </c>
      <c r="J1333">
        <f t="shared" si="222"/>
        <v>1300</v>
      </c>
      <c r="K1333" s="5">
        <f t="shared" si="223"/>
        <v>0</v>
      </c>
      <c r="L1333">
        <f t="shared" si="224"/>
        <v>53.4</v>
      </c>
      <c r="M1333">
        <f t="shared" si="225"/>
        <v>1</v>
      </c>
      <c r="N1333">
        <f t="shared" si="226"/>
        <v>0</v>
      </c>
    </row>
    <row r="1334" spans="4:14" x14ac:dyDescent="0.2">
      <c r="D1334">
        <f t="shared" si="228"/>
        <v>1311</v>
      </c>
      <c r="E1334" s="1">
        <f t="shared" si="229"/>
        <v>-152.08268593099285</v>
      </c>
      <c r="F1334" s="1">
        <f t="shared" si="230"/>
        <v>-152.65929929529685</v>
      </c>
      <c r="G1334" s="1">
        <f t="shared" si="227"/>
        <v>5.022370007314513E-67</v>
      </c>
      <c r="H1334" s="1">
        <f t="shared" si="220"/>
        <v>5.2030690340327056E-68</v>
      </c>
      <c r="I1334">
        <f t="shared" si="221"/>
        <v>8</v>
      </c>
      <c r="J1334">
        <f t="shared" si="222"/>
        <v>1301</v>
      </c>
      <c r="K1334" s="5">
        <f t="shared" si="223"/>
        <v>0</v>
      </c>
      <c r="L1334">
        <f t="shared" si="224"/>
        <v>53.4</v>
      </c>
      <c r="M1334">
        <f t="shared" si="225"/>
        <v>1</v>
      </c>
      <c r="N1334">
        <f t="shared" si="226"/>
        <v>0</v>
      </c>
    </row>
    <row r="1335" spans="4:14" x14ac:dyDescent="0.2">
      <c r="D1335">
        <f t="shared" si="228"/>
        <v>1312</v>
      </c>
      <c r="E1335" s="1">
        <f t="shared" si="229"/>
        <v>-152.1992197472488</v>
      </c>
      <c r="F1335" s="1">
        <f t="shared" si="230"/>
        <v>-152.7758331115528</v>
      </c>
      <c r="G1335" s="1">
        <f t="shared" si="227"/>
        <v>4.4699093065099138E-67</v>
      </c>
      <c r="H1335" s="1">
        <f t="shared" si="220"/>
        <v>4.6307314402891054E-68</v>
      </c>
      <c r="I1335">
        <f t="shared" si="221"/>
        <v>8</v>
      </c>
      <c r="J1335">
        <f t="shared" si="222"/>
        <v>1302</v>
      </c>
      <c r="K1335" s="5">
        <f t="shared" si="223"/>
        <v>0</v>
      </c>
      <c r="L1335">
        <f t="shared" si="224"/>
        <v>53.4</v>
      </c>
      <c r="M1335">
        <f t="shared" si="225"/>
        <v>1</v>
      </c>
      <c r="N1335">
        <f t="shared" si="226"/>
        <v>0</v>
      </c>
    </row>
    <row r="1336" spans="4:14" x14ac:dyDescent="0.2">
      <c r="D1336">
        <f t="shared" si="228"/>
        <v>1313</v>
      </c>
      <c r="E1336" s="1">
        <f t="shared" si="229"/>
        <v>-152.31575356350476</v>
      </c>
      <c r="F1336" s="1">
        <f t="shared" si="230"/>
        <v>-152.89236692780875</v>
      </c>
      <c r="G1336" s="1">
        <f t="shared" si="227"/>
        <v>3.9782192827938208E-67</v>
      </c>
      <c r="H1336" s="1">
        <f t="shared" si="220"/>
        <v>4.1213509818573011E-68</v>
      </c>
      <c r="I1336">
        <f t="shared" si="221"/>
        <v>8</v>
      </c>
      <c r="J1336">
        <f t="shared" si="222"/>
        <v>1303</v>
      </c>
      <c r="K1336" s="5">
        <f t="shared" si="223"/>
        <v>0</v>
      </c>
      <c r="L1336">
        <f t="shared" si="224"/>
        <v>53.4</v>
      </c>
      <c r="M1336">
        <f t="shared" si="225"/>
        <v>1</v>
      </c>
      <c r="N1336">
        <f t="shared" si="226"/>
        <v>0</v>
      </c>
    </row>
    <row r="1337" spans="4:14" x14ac:dyDescent="0.2">
      <c r="D1337">
        <f t="shared" si="228"/>
        <v>1314</v>
      </c>
      <c r="E1337" s="1">
        <f t="shared" si="229"/>
        <v>-152.43228737976071</v>
      </c>
      <c r="F1337" s="1">
        <f t="shared" si="230"/>
        <v>-153.0089007440647</v>
      </c>
      <c r="G1337" s="1">
        <f t="shared" si="227"/>
        <v>3.540615161686498E-67</v>
      </c>
      <c r="H1337" s="1">
        <f t="shared" si="220"/>
        <v>3.6680023738529954E-68</v>
      </c>
      <c r="I1337">
        <f t="shared" si="221"/>
        <v>8</v>
      </c>
      <c r="J1337">
        <f t="shared" si="222"/>
        <v>1304</v>
      </c>
      <c r="K1337" s="5">
        <f t="shared" si="223"/>
        <v>0</v>
      </c>
      <c r="L1337">
        <f t="shared" si="224"/>
        <v>53.4</v>
      </c>
      <c r="M1337">
        <f t="shared" si="225"/>
        <v>1</v>
      </c>
      <c r="N1337">
        <f t="shared" si="226"/>
        <v>0</v>
      </c>
    </row>
    <row r="1338" spans="4:14" x14ac:dyDescent="0.2">
      <c r="D1338">
        <f t="shared" si="228"/>
        <v>1315</v>
      </c>
      <c r="E1338" s="1">
        <f t="shared" si="229"/>
        <v>-152.54882119601666</v>
      </c>
      <c r="F1338" s="1">
        <f t="shared" si="230"/>
        <v>-153.12543456032066</v>
      </c>
      <c r="G1338" s="1">
        <f t="shared" si="227"/>
        <v>3.1511474939009813E-67</v>
      </c>
      <c r="H1338" s="1">
        <f t="shared" si="220"/>
        <v>3.264522112729164E-68</v>
      </c>
      <c r="I1338">
        <f t="shared" si="221"/>
        <v>8</v>
      </c>
      <c r="J1338">
        <f t="shared" si="222"/>
        <v>1305</v>
      </c>
      <c r="K1338" s="5">
        <f t="shared" si="223"/>
        <v>0</v>
      </c>
      <c r="L1338">
        <f t="shared" si="224"/>
        <v>53.4</v>
      </c>
      <c r="M1338">
        <f t="shared" si="225"/>
        <v>1</v>
      </c>
      <c r="N1338">
        <f t="shared" si="226"/>
        <v>0</v>
      </c>
    </row>
    <row r="1339" spans="4:14" x14ac:dyDescent="0.2">
      <c r="D1339">
        <f t="shared" si="228"/>
        <v>1316</v>
      </c>
      <c r="E1339" s="1">
        <f t="shared" si="229"/>
        <v>-152.66535501227261</v>
      </c>
      <c r="F1339" s="1">
        <f t="shared" si="230"/>
        <v>-153.24196837657661</v>
      </c>
      <c r="G1339" s="1">
        <f t="shared" si="227"/>
        <v>2.8045212695718715E-67</v>
      </c>
      <c r="H1339" s="1">
        <f t="shared" si="220"/>
        <v>2.9054246803289538E-68</v>
      </c>
      <c r="I1339">
        <f t="shared" si="221"/>
        <v>8</v>
      </c>
      <c r="J1339">
        <f t="shared" si="222"/>
        <v>1306</v>
      </c>
      <c r="K1339" s="5">
        <f t="shared" si="223"/>
        <v>0</v>
      </c>
      <c r="L1339">
        <f t="shared" si="224"/>
        <v>53.4</v>
      </c>
      <c r="M1339">
        <f t="shared" si="225"/>
        <v>1</v>
      </c>
      <c r="N1339">
        <f t="shared" si="226"/>
        <v>0</v>
      </c>
    </row>
    <row r="1340" spans="4:14" x14ac:dyDescent="0.2">
      <c r="D1340">
        <f t="shared" si="228"/>
        <v>1317</v>
      </c>
      <c r="E1340" s="1">
        <f t="shared" si="229"/>
        <v>-152.78188882852857</v>
      </c>
      <c r="F1340" s="1">
        <f t="shared" si="230"/>
        <v>-153.35850219283256</v>
      </c>
      <c r="G1340" s="1">
        <f t="shared" si="227"/>
        <v>2.4960239299189642E-67</v>
      </c>
      <c r="H1340" s="1">
        <f t="shared" si="220"/>
        <v>2.5858279654927676E-68</v>
      </c>
      <c r="I1340">
        <f t="shared" si="221"/>
        <v>8</v>
      </c>
      <c r="J1340">
        <f t="shared" si="222"/>
        <v>1307</v>
      </c>
      <c r="K1340" s="5">
        <f t="shared" si="223"/>
        <v>0</v>
      </c>
      <c r="L1340">
        <f t="shared" si="224"/>
        <v>53.4</v>
      </c>
      <c r="M1340">
        <f t="shared" si="225"/>
        <v>1</v>
      </c>
      <c r="N1340">
        <f t="shared" si="226"/>
        <v>0</v>
      </c>
    </row>
    <row r="1341" spans="4:14" x14ac:dyDescent="0.2">
      <c r="D1341">
        <f t="shared" si="228"/>
        <v>1318</v>
      </c>
      <c r="E1341" s="1">
        <f t="shared" si="229"/>
        <v>-152.89842264478452</v>
      </c>
      <c r="F1341" s="1">
        <f t="shared" si="230"/>
        <v>-153.47503600908851</v>
      </c>
      <c r="G1341" s="1">
        <f t="shared" si="227"/>
        <v>2.2214612976278767E-67</v>
      </c>
      <c r="H1341" s="1">
        <f t="shared" si="220"/>
        <v>2.3013868892885615E-68</v>
      </c>
      <c r="I1341">
        <f t="shared" si="221"/>
        <v>8</v>
      </c>
      <c r="J1341">
        <f t="shared" si="222"/>
        <v>1308</v>
      </c>
      <c r="K1341" s="5">
        <f t="shared" si="223"/>
        <v>0</v>
      </c>
      <c r="L1341">
        <f t="shared" si="224"/>
        <v>53.4</v>
      </c>
      <c r="M1341">
        <f t="shared" si="225"/>
        <v>1</v>
      </c>
      <c r="N1341">
        <f t="shared" si="226"/>
        <v>0</v>
      </c>
    </row>
    <row r="1342" spans="4:14" x14ac:dyDescent="0.2">
      <c r="D1342">
        <f t="shared" si="228"/>
        <v>1319</v>
      </c>
      <c r="E1342" s="1">
        <f t="shared" si="229"/>
        <v>-153.01495646104047</v>
      </c>
      <c r="F1342" s="1">
        <f t="shared" si="230"/>
        <v>-153.59156982534446</v>
      </c>
      <c r="G1342" s="1">
        <f t="shared" si="227"/>
        <v>1.977100554888809E-67</v>
      </c>
      <c r="H1342" s="1">
        <f t="shared" si="220"/>
        <v>2.0482343314668186E-68</v>
      </c>
      <c r="I1342">
        <f t="shared" si="221"/>
        <v>8</v>
      </c>
      <c r="J1342">
        <f t="shared" si="222"/>
        <v>1309</v>
      </c>
      <c r="K1342" s="5">
        <f t="shared" si="223"/>
        <v>0</v>
      </c>
      <c r="L1342">
        <f t="shared" si="224"/>
        <v>53.4</v>
      </c>
      <c r="M1342">
        <f t="shared" si="225"/>
        <v>1</v>
      </c>
      <c r="N1342">
        <f t="shared" si="226"/>
        <v>0</v>
      </c>
    </row>
    <row r="1343" spans="4:14" x14ac:dyDescent="0.2">
      <c r="D1343">
        <f t="shared" si="228"/>
        <v>1320</v>
      </c>
      <c r="E1343" s="1">
        <f t="shared" si="229"/>
        <v>-153.13149027729642</v>
      </c>
      <c r="F1343" s="1">
        <f t="shared" si="230"/>
        <v>-153.70810364160042</v>
      </c>
      <c r="G1343" s="1">
        <f t="shared" si="227"/>
        <v>1.7596194938510387E-67</v>
      </c>
      <c r="H1343" s="1">
        <f t="shared" si="220"/>
        <v>1.8229285550054672E-68</v>
      </c>
      <c r="I1343">
        <f t="shared" si="221"/>
        <v>8</v>
      </c>
      <c r="J1343">
        <f t="shared" si="222"/>
        <v>1310</v>
      </c>
      <c r="K1343" s="5">
        <f t="shared" si="223"/>
        <v>0</v>
      </c>
      <c r="L1343">
        <f t="shared" si="224"/>
        <v>53.4</v>
      </c>
      <c r="M1343">
        <f t="shared" si="225"/>
        <v>1</v>
      </c>
      <c r="N1343">
        <f t="shared" si="226"/>
        <v>0</v>
      </c>
    </row>
    <row r="1344" spans="4:14" x14ac:dyDescent="0.2">
      <c r="D1344">
        <f t="shared" si="228"/>
        <v>1321</v>
      </c>
      <c r="E1344" s="1">
        <f t="shared" si="229"/>
        <v>-153.24802409355237</v>
      </c>
      <c r="F1344" s="1">
        <f t="shared" si="230"/>
        <v>-153.82463745785637</v>
      </c>
      <c r="G1344" s="1">
        <f t="shared" si="227"/>
        <v>1.5660613495274237E-67</v>
      </c>
      <c r="H1344" s="1">
        <f t="shared" si="220"/>
        <v>1.622406413954865E-68</v>
      </c>
      <c r="I1344">
        <f t="shared" si="221"/>
        <v>8</v>
      </c>
      <c r="J1344">
        <f t="shared" si="222"/>
        <v>1311</v>
      </c>
      <c r="K1344" s="5">
        <f t="shared" si="223"/>
        <v>0</v>
      </c>
      <c r="L1344">
        <f t="shared" si="224"/>
        <v>53.4</v>
      </c>
      <c r="M1344">
        <f t="shared" si="225"/>
        <v>1</v>
      </c>
      <c r="N1344">
        <f t="shared" si="226"/>
        <v>0</v>
      </c>
    </row>
    <row r="1345" spans="4:14" x14ac:dyDescent="0.2">
      <c r="D1345">
        <f t="shared" si="228"/>
        <v>1322</v>
      </c>
      <c r="E1345" s="1">
        <f t="shared" si="229"/>
        <v>-153.36455790980833</v>
      </c>
      <c r="F1345" s="1">
        <f t="shared" si="230"/>
        <v>-153.94117127411232</v>
      </c>
      <c r="G1345" s="1">
        <f t="shared" si="227"/>
        <v>1.3937946010794061E-67</v>
      </c>
      <c r="H1345" s="1">
        <f t="shared" si="220"/>
        <v>1.4439417084198288E-68</v>
      </c>
      <c r="I1345">
        <f t="shared" si="221"/>
        <v>8</v>
      </c>
      <c r="J1345">
        <f t="shared" si="222"/>
        <v>1312</v>
      </c>
      <c r="K1345" s="5">
        <f t="shared" si="223"/>
        <v>0</v>
      </c>
      <c r="L1345">
        <f t="shared" si="224"/>
        <v>53.4</v>
      </c>
      <c r="M1345">
        <f t="shared" si="225"/>
        <v>1</v>
      </c>
      <c r="N1345">
        <f t="shared" si="226"/>
        <v>0</v>
      </c>
    </row>
    <row r="1346" spans="4:14" x14ac:dyDescent="0.2">
      <c r="D1346">
        <f t="shared" si="228"/>
        <v>1323</v>
      </c>
      <c r="E1346" s="1">
        <f t="shared" si="229"/>
        <v>-153.48109172606428</v>
      </c>
      <c r="F1346" s="1">
        <f t="shared" si="230"/>
        <v>-154.05770509036827</v>
      </c>
      <c r="G1346" s="1">
        <f t="shared" si="227"/>
        <v>1.2404771949606706E-67</v>
      </c>
      <c r="H1346" s="1">
        <f t="shared" si="220"/>
        <v>1.2851081204936468E-68</v>
      </c>
      <c r="I1346">
        <f t="shared" si="221"/>
        <v>8</v>
      </c>
      <c r="J1346">
        <f t="shared" si="222"/>
        <v>1313</v>
      </c>
      <c r="K1346" s="5">
        <f t="shared" si="223"/>
        <v>0</v>
      </c>
      <c r="L1346">
        <f t="shared" si="224"/>
        <v>53.4</v>
      </c>
      <c r="M1346">
        <f t="shared" si="225"/>
        <v>1</v>
      </c>
      <c r="N1346">
        <f t="shared" si="226"/>
        <v>0</v>
      </c>
    </row>
    <row r="1347" spans="4:14" x14ac:dyDescent="0.2">
      <c r="D1347">
        <f t="shared" si="228"/>
        <v>1324</v>
      </c>
      <c r="E1347" s="1">
        <f t="shared" si="229"/>
        <v>-153.59762554232023</v>
      </c>
      <c r="F1347" s="1">
        <f t="shared" si="230"/>
        <v>-154.17423890662423</v>
      </c>
      <c r="G1347" s="1">
        <f t="shared" si="227"/>
        <v>1.1040247035149963E-67</v>
      </c>
      <c r="H1347" s="1">
        <f t="shared" si="220"/>
        <v>1.1437462272393451E-68</v>
      </c>
      <c r="I1347">
        <f t="shared" si="221"/>
        <v>8</v>
      </c>
      <c r="J1347">
        <f t="shared" si="222"/>
        <v>1314</v>
      </c>
      <c r="K1347" s="5">
        <f t="shared" si="223"/>
        <v>0</v>
      </c>
      <c r="L1347">
        <f t="shared" si="224"/>
        <v>53.4</v>
      </c>
      <c r="M1347">
        <f t="shared" si="225"/>
        <v>1</v>
      </c>
      <c r="N1347">
        <f t="shared" si="226"/>
        <v>0</v>
      </c>
    </row>
    <row r="1348" spans="4:14" x14ac:dyDescent="0.2">
      <c r="D1348">
        <f t="shared" si="228"/>
        <v>1325</v>
      </c>
      <c r="E1348" s="1">
        <f t="shared" si="229"/>
        <v>-153.71415935857618</v>
      </c>
      <c r="F1348" s="1">
        <f t="shared" si="230"/>
        <v>-154.29077272288018</v>
      </c>
      <c r="G1348" s="1">
        <f t="shared" si="227"/>
        <v>9.8258198612834606E-68</v>
      </c>
      <c r="H1348" s="1">
        <f t="shared" si="220"/>
        <v>1.0179341422430164E-68</v>
      </c>
      <c r="I1348">
        <f t="shared" si="221"/>
        <v>8</v>
      </c>
      <c r="J1348">
        <f t="shared" si="222"/>
        <v>1315</v>
      </c>
      <c r="K1348" s="5">
        <f t="shared" si="223"/>
        <v>0</v>
      </c>
      <c r="L1348">
        <f t="shared" si="224"/>
        <v>53.4</v>
      </c>
      <c r="M1348">
        <f t="shared" si="225"/>
        <v>1</v>
      </c>
      <c r="N1348">
        <f t="shared" si="226"/>
        <v>0</v>
      </c>
    </row>
    <row r="1349" spans="4:14" x14ac:dyDescent="0.2">
      <c r="D1349">
        <f t="shared" si="228"/>
        <v>1326</v>
      </c>
      <c r="E1349" s="1">
        <f t="shared" si="229"/>
        <v>-153.83069317483213</v>
      </c>
      <c r="F1349" s="1">
        <f t="shared" si="230"/>
        <v>-154.40730653913613</v>
      </c>
      <c r="G1349" s="1">
        <f t="shared" si="227"/>
        <v>8.7449796765422734E-68</v>
      </c>
      <c r="H1349" s="1">
        <f t="shared" si="220"/>
        <v>9.0596138659628394E-69</v>
      </c>
      <c r="I1349">
        <f t="shared" si="221"/>
        <v>8</v>
      </c>
      <c r="J1349">
        <f t="shared" si="222"/>
        <v>1316</v>
      </c>
      <c r="K1349" s="5">
        <f t="shared" si="223"/>
        <v>0</v>
      </c>
      <c r="L1349">
        <f t="shared" si="224"/>
        <v>53.4</v>
      </c>
      <c r="M1349">
        <f t="shared" si="225"/>
        <v>1</v>
      </c>
      <c r="N1349">
        <f t="shared" si="226"/>
        <v>0</v>
      </c>
    </row>
    <row r="1350" spans="4:14" x14ac:dyDescent="0.2">
      <c r="D1350">
        <f t="shared" si="228"/>
        <v>1327</v>
      </c>
      <c r="E1350" s="1">
        <f t="shared" si="229"/>
        <v>-153.94722699108809</v>
      </c>
      <c r="F1350" s="1">
        <f t="shared" si="230"/>
        <v>-154.52384035539208</v>
      </c>
      <c r="G1350" s="1">
        <f t="shared" si="227"/>
        <v>7.7830319121226187E-68</v>
      </c>
      <c r="H1350" s="1">
        <f t="shared" si="220"/>
        <v>8.0630563407069226E-69</v>
      </c>
      <c r="I1350">
        <f t="shared" si="221"/>
        <v>8</v>
      </c>
      <c r="J1350">
        <f t="shared" si="222"/>
        <v>1317</v>
      </c>
      <c r="K1350" s="5">
        <f t="shared" si="223"/>
        <v>0</v>
      </c>
      <c r="L1350">
        <f t="shared" si="224"/>
        <v>53.4</v>
      </c>
      <c r="M1350">
        <f t="shared" si="225"/>
        <v>1</v>
      </c>
      <c r="N1350">
        <f t="shared" si="226"/>
        <v>0</v>
      </c>
    </row>
    <row r="1351" spans="4:14" x14ac:dyDescent="0.2">
      <c r="D1351">
        <f t="shared" si="228"/>
        <v>1328</v>
      </c>
      <c r="E1351" s="1">
        <f t="shared" si="229"/>
        <v>-154.06376080734404</v>
      </c>
      <c r="F1351" s="1">
        <f t="shared" si="230"/>
        <v>-154.64037417164803</v>
      </c>
      <c r="G1351" s="1">
        <f t="shared" si="227"/>
        <v>6.9268984017891267E-68</v>
      </c>
      <c r="H1351" s="1">
        <f t="shared" si="220"/>
        <v>7.1761201432291567E-69</v>
      </c>
      <c r="I1351">
        <f t="shared" si="221"/>
        <v>8</v>
      </c>
      <c r="J1351">
        <f t="shared" si="222"/>
        <v>1318</v>
      </c>
      <c r="K1351" s="5">
        <f t="shared" si="223"/>
        <v>0</v>
      </c>
      <c r="L1351">
        <f t="shared" si="224"/>
        <v>53.4</v>
      </c>
      <c r="M1351">
        <f t="shared" si="225"/>
        <v>1</v>
      </c>
      <c r="N1351">
        <f t="shared" si="226"/>
        <v>0</v>
      </c>
    </row>
    <row r="1352" spans="4:14" x14ac:dyDescent="0.2">
      <c r="D1352">
        <f t="shared" si="228"/>
        <v>1329</v>
      </c>
      <c r="E1352" s="1">
        <f t="shared" si="229"/>
        <v>-154.18029462359999</v>
      </c>
      <c r="F1352" s="1">
        <f t="shared" si="230"/>
        <v>-154.75690798790399</v>
      </c>
      <c r="G1352" s="1">
        <f t="shared" si="227"/>
        <v>6.1649395775923188E-68</v>
      </c>
      <c r="H1352" s="1">
        <f t="shared" si="220"/>
        <v>6.3867469274739452E-69</v>
      </c>
      <c r="I1352">
        <f t="shared" si="221"/>
        <v>8</v>
      </c>
      <c r="J1352">
        <f t="shared" si="222"/>
        <v>1319</v>
      </c>
      <c r="K1352" s="5">
        <f t="shared" si="223"/>
        <v>0</v>
      </c>
      <c r="L1352">
        <f t="shared" si="224"/>
        <v>53.4</v>
      </c>
      <c r="M1352">
        <f t="shared" si="225"/>
        <v>1</v>
      </c>
      <c r="N1352">
        <f t="shared" si="226"/>
        <v>0</v>
      </c>
    </row>
    <row r="1353" spans="4:14" x14ac:dyDescent="0.2">
      <c r="D1353">
        <f t="shared" si="228"/>
        <v>1330</v>
      </c>
      <c r="E1353" s="1">
        <f t="shared" si="229"/>
        <v>-154.29682843985594</v>
      </c>
      <c r="F1353" s="1">
        <f t="shared" si="230"/>
        <v>-154.87344180415994</v>
      </c>
      <c r="G1353" s="1">
        <f t="shared" si="227"/>
        <v>5.4867962240571603E-68</v>
      </c>
      <c r="H1353" s="1">
        <f t="shared" si="220"/>
        <v>5.684204765451808E-69</v>
      </c>
      <c r="I1353">
        <f t="shared" si="221"/>
        <v>8</v>
      </c>
      <c r="J1353">
        <f t="shared" si="222"/>
        <v>1320</v>
      </c>
      <c r="K1353" s="5">
        <f t="shared" si="223"/>
        <v>0</v>
      </c>
      <c r="L1353">
        <f t="shared" si="224"/>
        <v>53.4</v>
      </c>
      <c r="M1353">
        <f t="shared" si="225"/>
        <v>1</v>
      </c>
      <c r="N1353">
        <f t="shared" si="226"/>
        <v>0</v>
      </c>
    </row>
    <row r="1354" spans="4:14" x14ac:dyDescent="0.2">
      <c r="D1354">
        <f t="shared" si="228"/>
        <v>1331</v>
      </c>
      <c r="E1354" s="1">
        <f t="shared" si="229"/>
        <v>-154.4133622561119</v>
      </c>
      <c r="F1354" s="1">
        <f t="shared" si="230"/>
        <v>-154.98997562041589</v>
      </c>
      <c r="G1354" s="1">
        <f t="shared" si="227"/>
        <v>4.8832486394108692E-68</v>
      </c>
      <c r="H1354" s="1">
        <f t="shared" si="220"/>
        <v>5.0589422412521051E-69</v>
      </c>
      <c r="I1354">
        <f t="shared" si="221"/>
        <v>8</v>
      </c>
      <c r="J1354">
        <f t="shared" si="222"/>
        <v>1321</v>
      </c>
      <c r="K1354" s="5">
        <f t="shared" si="223"/>
        <v>0</v>
      </c>
      <c r="L1354">
        <f t="shared" si="224"/>
        <v>53.4</v>
      </c>
      <c r="M1354">
        <f t="shared" si="225"/>
        <v>1</v>
      </c>
      <c r="N1354">
        <f t="shared" si="226"/>
        <v>0</v>
      </c>
    </row>
    <row r="1355" spans="4:14" x14ac:dyDescent="0.2">
      <c r="D1355">
        <f t="shared" si="228"/>
        <v>1332</v>
      </c>
      <c r="E1355" s="1">
        <f t="shared" si="229"/>
        <v>-154.52989607236785</v>
      </c>
      <c r="F1355" s="1">
        <f t="shared" si="230"/>
        <v>-155.10650943667184</v>
      </c>
      <c r="G1355" s="1">
        <f t="shared" si="227"/>
        <v>4.3460912890756711E-68</v>
      </c>
      <c r="H1355" s="1">
        <f t="shared" si="220"/>
        <v>4.502458594714371E-69</v>
      </c>
      <c r="I1355">
        <f t="shared" si="221"/>
        <v>8</v>
      </c>
      <c r="J1355">
        <f t="shared" si="222"/>
        <v>1322</v>
      </c>
      <c r="K1355" s="5">
        <f t="shared" si="223"/>
        <v>0</v>
      </c>
      <c r="L1355">
        <f t="shared" si="224"/>
        <v>53.4</v>
      </c>
      <c r="M1355">
        <f t="shared" si="225"/>
        <v>1</v>
      </c>
      <c r="N1355">
        <f t="shared" si="226"/>
        <v>0</v>
      </c>
    </row>
    <row r="1356" spans="4:14" x14ac:dyDescent="0.2">
      <c r="D1356">
        <f t="shared" si="228"/>
        <v>1333</v>
      </c>
      <c r="E1356" s="1">
        <f t="shared" si="229"/>
        <v>-154.6464298886238</v>
      </c>
      <c r="F1356" s="1">
        <f t="shared" si="230"/>
        <v>-155.22304325292779</v>
      </c>
      <c r="G1356" s="1">
        <f t="shared" si="227"/>
        <v>3.8680212472773449E-68</v>
      </c>
      <c r="H1356" s="1">
        <f t="shared" si="220"/>
        <v>4.007188149295788E-69</v>
      </c>
      <c r="I1356">
        <f t="shared" si="221"/>
        <v>8</v>
      </c>
      <c r="J1356">
        <f t="shared" si="222"/>
        <v>1323</v>
      </c>
      <c r="K1356" s="5">
        <f t="shared" si="223"/>
        <v>0</v>
      </c>
      <c r="L1356">
        <f t="shared" si="224"/>
        <v>53.4</v>
      </c>
      <c r="M1356">
        <f t="shared" si="225"/>
        <v>1</v>
      </c>
      <c r="N1356">
        <f t="shared" si="226"/>
        <v>0</v>
      </c>
    </row>
    <row r="1357" spans="4:14" x14ac:dyDescent="0.2">
      <c r="D1357">
        <f t="shared" si="228"/>
        <v>1334</v>
      </c>
      <c r="E1357" s="1">
        <f t="shared" si="229"/>
        <v>-154.76296370487975</v>
      </c>
      <c r="F1357" s="1">
        <f t="shared" si="230"/>
        <v>-155.33957706918375</v>
      </c>
      <c r="G1357" s="1">
        <f t="shared" si="227"/>
        <v>3.4425389100768349E-68</v>
      </c>
      <c r="H1357" s="1">
        <f t="shared" si="220"/>
        <v>3.5663974528732493E-69</v>
      </c>
      <c r="I1357">
        <f t="shared" si="221"/>
        <v>8</v>
      </c>
      <c r="J1357">
        <f t="shared" si="222"/>
        <v>1324</v>
      </c>
      <c r="K1357" s="5">
        <f t="shared" si="223"/>
        <v>0</v>
      </c>
      <c r="L1357">
        <f t="shared" si="224"/>
        <v>53.4</v>
      </c>
      <c r="M1357">
        <f t="shared" si="225"/>
        <v>1</v>
      </c>
      <c r="N1357">
        <f t="shared" si="226"/>
        <v>0</v>
      </c>
    </row>
    <row r="1358" spans="4:14" x14ac:dyDescent="0.2">
      <c r="D1358">
        <f t="shared" si="228"/>
        <v>1335</v>
      </c>
      <c r="E1358" s="1">
        <f t="shared" si="229"/>
        <v>-154.8794975211357</v>
      </c>
      <c r="F1358" s="1">
        <f t="shared" si="230"/>
        <v>-155.4561108854397</v>
      </c>
      <c r="G1358" s="1">
        <f t="shared" si="227"/>
        <v>3.0638596299683812E-68</v>
      </c>
      <c r="H1358" s="1">
        <f t="shared" si="220"/>
        <v>3.1740937330571898E-69</v>
      </c>
      <c r="I1358">
        <f t="shared" si="221"/>
        <v>8</v>
      </c>
      <c r="J1358">
        <f t="shared" si="222"/>
        <v>1325</v>
      </c>
      <c r="K1358" s="5">
        <f t="shared" si="223"/>
        <v>0</v>
      </c>
      <c r="L1358">
        <f t="shared" si="224"/>
        <v>53.4</v>
      </c>
      <c r="M1358">
        <f t="shared" si="225"/>
        <v>1</v>
      </c>
      <c r="N1358">
        <f t="shared" si="226"/>
        <v>0</v>
      </c>
    </row>
    <row r="1359" spans="4:14" x14ac:dyDescent="0.2">
      <c r="D1359">
        <f t="shared" si="228"/>
        <v>1336</v>
      </c>
      <c r="E1359" s="1">
        <f t="shared" si="229"/>
        <v>-154.99603133739166</v>
      </c>
      <c r="F1359" s="1">
        <f t="shared" si="230"/>
        <v>-155.57264470169565</v>
      </c>
      <c r="G1359" s="1">
        <f t="shared" si="227"/>
        <v>2.7268350706718574E-68</v>
      </c>
      <c r="H1359" s="1">
        <f t="shared" si="220"/>
        <v>2.8249434224208971E-69</v>
      </c>
      <c r="I1359">
        <f t="shared" si="221"/>
        <v>8</v>
      </c>
      <c r="J1359">
        <f t="shared" si="222"/>
        <v>1326</v>
      </c>
      <c r="K1359" s="5">
        <f t="shared" si="223"/>
        <v>0</v>
      </c>
      <c r="L1359">
        <f t="shared" si="224"/>
        <v>53.4</v>
      </c>
      <c r="M1359">
        <f t="shared" si="225"/>
        <v>1</v>
      </c>
      <c r="N1359">
        <f t="shared" si="226"/>
        <v>0</v>
      </c>
    </row>
    <row r="1360" spans="4:14" x14ac:dyDescent="0.2">
      <c r="D1360">
        <f t="shared" si="228"/>
        <v>1337</v>
      </c>
      <c r="E1360" s="1">
        <f t="shared" si="229"/>
        <v>-155.11256515364761</v>
      </c>
      <c r="F1360" s="1">
        <f t="shared" si="230"/>
        <v>-155.6891785179516</v>
      </c>
      <c r="G1360" s="1">
        <f t="shared" si="227"/>
        <v>2.4268832128979515E-68</v>
      </c>
      <c r="H1360" s="1">
        <f t="shared" si="220"/>
        <v>2.5141996459545969E-69</v>
      </c>
      <c r="I1360">
        <f t="shared" si="221"/>
        <v>8</v>
      </c>
      <c r="J1360">
        <f t="shared" si="222"/>
        <v>1327</v>
      </c>
      <c r="K1360" s="5">
        <f t="shared" si="223"/>
        <v>0</v>
      </c>
      <c r="L1360">
        <f t="shared" si="224"/>
        <v>53.4</v>
      </c>
      <c r="M1360">
        <f t="shared" si="225"/>
        <v>1</v>
      </c>
      <c r="N1360">
        <f t="shared" si="226"/>
        <v>0</v>
      </c>
    </row>
    <row r="1361" spans="4:14" x14ac:dyDescent="0.2">
      <c r="D1361">
        <f t="shared" si="228"/>
        <v>1338</v>
      </c>
      <c r="E1361" s="1">
        <f t="shared" si="229"/>
        <v>-155.22909896990356</v>
      </c>
      <c r="F1361" s="1">
        <f t="shared" si="230"/>
        <v>-155.80571233420756</v>
      </c>
      <c r="G1361" s="1">
        <f t="shared" si="227"/>
        <v>2.1599260594791757E-68</v>
      </c>
      <c r="H1361" s="1">
        <f t="shared" si="220"/>
        <v>2.2376376848995897E-69</v>
      </c>
      <c r="I1361">
        <f t="shared" si="221"/>
        <v>8</v>
      </c>
      <c r="J1361">
        <f t="shared" si="222"/>
        <v>1328</v>
      </c>
      <c r="K1361" s="5">
        <f t="shared" si="223"/>
        <v>0</v>
      </c>
      <c r="L1361">
        <f t="shared" si="224"/>
        <v>53.4</v>
      </c>
      <c r="M1361">
        <f t="shared" si="225"/>
        <v>1</v>
      </c>
      <c r="N1361">
        <f t="shared" si="226"/>
        <v>0</v>
      </c>
    </row>
    <row r="1362" spans="4:14" x14ac:dyDescent="0.2">
      <c r="D1362">
        <f t="shared" si="228"/>
        <v>1339</v>
      </c>
      <c r="E1362" s="1">
        <f t="shared" si="229"/>
        <v>-155.34563278615951</v>
      </c>
      <c r="F1362" s="1">
        <f t="shared" si="230"/>
        <v>-155.92224615046351</v>
      </c>
      <c r="G1362" s="1">
        <f t="shared" si="227"/>
        <v>1.9223341929364649E-68</v>
      </c>
      <c r="H1362" s="1">
        <f t="shared" si="220"/>
        <v>1.9914975395606335E-69</v>
      </c>
      <c r="I1362">
        <f t="shared" si="221"/>
        <v>8</v>
      </c>
      <c r="J1362">
        <f t="shared" si="222"/>
        <v>1329</v>
      </c>
      <c r="K1362" s="5">
        <f t="shared" si="223"/>
        <v>0</v>
      </c>
      <c r="L1362">
        <f t="shared" si="224"/>
        <v>53.4</v>
      </c>
      <c r="M1362">
        <f t="shared" si="225"/>
        <v>1</v>
      </c>
      <c r="N1362">
        <f t="shared" si="226"/>
        <v>0</v>
      </c>
    </row>
    <row r="1363" spans="4:14" x14ac:dyDescent="0.2">
      <c r="D1363">
        <f t="shared" si="228"/>
        <v>1340</v>
      </c>
      <c r="E1363" s="1">
        <f t="shared" si="229"/>
        <v>-155.46216660241546</v>
      </c>
      <c r="F1363" s="1">
        <f t="shared" si="230"/>
        <v>-156.03877996671946</v>
      </c>
      <c r="G1363" s="1">
        <f t="shared" si="227"/>
        <v>1.7108774317134527E-68</v>
      </c>
      <c r="H1363" s="1">
        <f t="shared" si="220"/>
        <v>1.7724328102089627E-69</v>
      </c>
      <c r="I1363">
        <f t="shared" si="221"/>
        <v>8</v>
      </c>
      <c r="J1363">
        <f t="shared" si="222"/>
        <v>1330</v>
      </c>
      <c r="K1363" s="5">
        <f t="shared" si="223"/>
        <v>0</v>
      </c>
      <c r="L1363">
        <f t="shared" si="224"/>
        <v>53.4</v>
      </c>
      <c r="M1363">
        <f t="shared" si="225"/>
        <v>1</v>
      </c>
      <c r="N1363">
        <f t="shared" si="226"/>
        <v>0</v>
      </c>
    </row>
    <row r="1364" spans="4:14" x14ac:dyDescent="0.2">
      <c r="D1364">
        <f t="shared" si="228"/>
        <v>1341</v>
      </c>
      <c r="E1364" s="1">
        <f t="shared" si="229"/>
        <v>-155.57870041867142</v>
      </c>
      <c r="F1364" s="1">
        <f t="shared" si="230"/>
        <v>-156.15531378297541</v>
      </c>
      <c r="G1364" s="1">
        <f t="shared" si="227"/>
        <v>1.522680914224972E-68</v>
      </c>
      <c r="H1364" s="1">
        <f t="shared" si="220"/>
        <v>1.5774652010859758E-69</v>
      </c>
      <c r="I1364">
        <f t="shared" si="221"/>
        <v>8</v>
      </c>
      <c r="J1364">
        <f t="shared" si="222"/>
        <v>1331</v>
      </c>
      <c r="K1364" s="5">
        <f t="shared" si="223"/>
        <v>0</v>
      </c>
      <c r="L1364">
        <f t="shared" si="224"/>
        <v>53.4</v>
      </c>
      <c r="M1364">
        <f t="shared" si="225"/>
        <v>1</v>
      </c>
      <c r="N1364">
        <f t="shared" si="226"/>
        <v>0</v>
      </c>
    </row>
    <row r="1365" spans="4:14" x14ac:dyDescent="0.2">
      <c r="D1365">
        <f t="shared" si="228"/>
        <v>1342</v>
      </c>
      <c r="E1365" s="1">
        <f t="shared" si="229"/>
        <v>-155.69523423492737</v>
      </c>
      <c r="F1365" s="1">
        <f t="shared" si="230"/>
        <v>-156.27184759923136</v>
      </c>
      <c r="G1365" s="1">
        <f t="shared" si="227"/>
        <v>1.3551860136602243E-68</v>
      </c>
      <c r="H1365" s="1">
        <f t="shared" si="220"/>
        <v>1.4039440289665175E-69</v>
      </c>
      <c r="I1365">
        <f t="shared" si="221"/>
        <v>8</v>
      </c>
      <c r="J1365">
        <f t="shared" si="222"/>
        <v>1332</v>
      </c>
      <c r="K1365" s="5">
        <f t="shared" si="223"/>
        <v>0</v>
      </c>
      <c r="L1365">
        <f t="shared" si="224"/>
        <v>53.4</v>
      </c>
      <c r="M1365">
        <f t="shared" si="225"/>
        <v>1</v>
      </c>
      <c r="N1365">
        <f t="shared" si="226"/>
        <v>0</v>
      </c>
    </row>
    <row r="1366" spans="4:14" x14ac:dyDescent="0.2">
      <c r="D1366">
        <f t="shared" si="228"/>
        <v>1343</v>
      </c>
      <c r="E1366" s="1">
        <f t="shared" si="229"/>
        <v>-155.81176805118332</v>
      </c>
      <c r="F1366" s="1">
        <f t="shared" si="230"/>
        <v>-156.38838141548732</v>
      </c>
      <c r="G1366" s="1">
        <f t="shared" si="227"/>
        <v>1.2061155521575988E-68</v>
      </c>
      <c r="H1366" s="1">
        <f t="shared" si="220"/>
        <v>1.2495101857802E-69</v>
      </c>
      <c r="I1366">
        <f t="shared" si="221"/>
        <v>8</v>
      </c>
      <c r="J1366">
        <f t="shared" si="222"/>
        <v>1333</v>
      </c>
      <c r="K1366" s="5">
        <f t="shared" si="223"/>
        <v>0</v>
      </c>
      <c r="L1366">
        <f t="shared" si="224"/>
        <v>53.4</v>
      </c>
      <c r="M1366">
        <f t="shared" si="225"/>
        <v>1</v>
      </c>
      <c r="N1366">
        <f t="shared" si="226"/>
        <v>0</v>
      </c>
    </row>
    <row r="1367" spans="4:14" x14ac:dyDescent="0.2">
      <c r="D1367">
        <f t="shared" si="228"/>
        <v>1344</v>
      </c>
      <c r="E1367" s="1">
        <f t="shared" si="229"/>
        <v>-155.92830186743927</v>
      </c>
      <c r="F1367" s="1">
        <f t="shared" si="230"/>
        <v>-156.50491523174327</v>
      </c>
      <c r="G1367" s="1">
        <f t="shared" si="227"/>
        <v>1.0734428414202621E-68</v>
      </c>
      <c r="H1367" s="1">
        <f t="shared" ref="H1367:H1430" si="231">G1367/$G$21</f>
        <v>1.112064065344377E-69</v>
      </c>
      <c r="I1367">
        <f t="shared" ref="I1367:I1430" si="232">IF($F$11&lt;=D1367, IF(D1367&lt;=$A$15,D1367-$F$11,$C$11),0)</f>
        <v>8</v>
      </c>
      <c r="J1367">
        <f t="shared" ref="J1367:J1430" si="233">IF(D1367&lt;=$A$15,0,D1367-$A$15)</f>
        <v>1334</v>
      </c>
      <c r="K1367" s="5">
        <f t="shared" ref="K1367:K1430" si="234">IF(D1367&lt;$F$11,H1367,0)</f>
        <v>0</v>
      </c>
      <c r="L1367">
        <f t="shared" ref="L1367:L1430" si="235">IF(D1367&lt;$A$15,$D$11,$D$11*(1-$H$11))</f>
        <v>53.4</v>
      </c>
      <c r="M1367">
        <f t="shared" ref="M1367:M1430" si="236">IF(D1367&lt;$A$15,0,1)</f>
        <v>1</v>
      </c>
      <c r="N1367">
        <f t="shared" ref="N1367:N1430" si="237">IF(SUM(I1367:J1367)&lt;=($G$11/60*$F$11/($E$11/60)),1,0)</f>
        <v>0</v>
      </c>
    </row>
    <row r="1368" spans="4:14" x14ac:dyDescent="0.2">
      <c r="D1368">
        <f t="shared" si="228"/>
        <v>1345</v>
      </c>
      <c r="E1368" s="1">
        <f t="shared" si="229"/>
        <v>-156.04483568369523</v>
      </c>
      <c r="F1368" s="1">
        <f t="shared" si="230"/>
        <v>-156.62144904799922</v>
      </c>
      <c r="G1368" s="1">
        <f t="shared" ref="G1368:G1431" si="238">EXP(F1368)</f>
        <v>9.5536412886403276E-69</v>
      </c>
      <c r="H1368" s="1">
        <f t="shared" si="231"/>
        <v>9.8973701815649503E-70</v>
      </c>
      <c r="I1368">
        <f t="shared" si="232"/>
        <v>8</v>
      </c>
      <c r="J1368">
        <f t="shared" si="233"/>
        <v>1335</v>
      </c>
      <c r="K1368" s="5">
        <f t="shared" si="234"/>
        <v>0</v>
      </c>
      <c r="L1368">
        <f t="shared" si="235"/>
        <v>53.4</v>
      </c>
      <c r="M1368">
        <f t="shared" si="236"/>
        <v>1</v>
      </c>
      <c r="N1368">
        <f t="shared" si="237"/>
        <v>0</v>
      </c>
    </row>
    <row r="1369" spans="4:14" x14ac:dyDescent="0.2">
      <c r="D1369">
        <f t="shared" ref="D1369:D1432" si="239">1+D1368</f>
        <v>1346</v>
      </c>
      <c r="E1369" s="1">
        <f t="shared" ref="E1369:E1432" si="240">IF($H$11=1,IF(D1369&lt;=$A$15, E1368+LN($D$11)-LN(60/$E$11)-LN(MIN(D1369,$F$11)), E1368-LN(60/$E$11)-LN(MIN(D1369,$F$11))), IF(D1369&lt;=$A$15, E1368+LN($D$11)-LN(60/$E$11)-LN(MIN(D1369,$F$11)), E1368+LN($D$11)+LN(1-$H$11)-LN(60/$E$11)-LN(MIN(D1369,$F$11))))</f>
        <v>-156.16136949995118</v>
      </c>
      <c r="F1369" s="1">
        <f t="shared" ref="F1369:F1432" si="241">E1369-$E$21</f>
        <v>-156.73798286425517</v>
      </c>
      <c r="G1369" s="1">
        <f t="shared" si="238"/>
        <v>8.5027407468898865E-69</v>
      </c>
      <c r="H1369" s="1">
        <f t="shared" si="231"/>
        <v>8.8086594615928003E-70</v>
      </c>
      <c r="I1369">
        <f t="shared" si="232"/>
        <v>8</v>
      </c>
      <c r="J1369">
        <f t="shared" si="233"/>
        <v>1336</v>
      </c>
      <c r="K1369" s="5">
        <f t="shared" si="234"/>
        <v>0</v>
      </c>
      <c r="L1369">
        <f t="shared" si="235"/>
        <v>53.4</v>
      </c>
      <c r="M1369">
        <f t="shared" si="236"/>
        <v>1</v>
      </c>
      <c r="N1369">
        <f t="shared" si="237"/>
        <v>0</v>
      </c>
    </row>
    <row r="1370" spans="4:14" x14ac:dyDescent="0.2">
      <c r="D1370">
        <f t="shared" si="239"/>
        <v>1347</v>
      </c>
      <c r="E1370" s="1">
        <f t="shared" si="240"/>
        <v>-156.27790331620713</v>
      </c>
      <c r="F1370" s="1">
        <f t="shared" si="241"/>
        <v>-156.85451668051113</v>
      </c>
      <c r="G1370" s="1">
        <f t="shared" si="238"/>
        <v>7.5674392647319937E-69</v>
      </c>
      <c r="H1370" s="1">
        <f t="shared" si="231"/>
        <v>7.8397069208175866E-70</v>
      </c>
      <c r="I1370">
        <f t="shared" si="232"/>
        <v>8</v>
      </c>
      <c r="J1370">
        <f t="shared" si="233"/>
        <v>1337</v>
      </c>
      <c r="K1370" s="5">
        <f t="shared" si="234"/>
        <v>0</v>
      </c>
      <c r="L1370">
        <f t="shared" si="235"/>
        <v>53.4</v>
      </c>
      <c r="M1370">
        <f t="shared" si="236"/>
        <v>1</v>
      </c>
      <c r="N1370">
        <f t="shared" si="237"/>
        <v>0</v>
      </c>
    </row>
    <row r="1371" spans="4:14" x14ac:dyDescent="0.2">
      <c r="D1371">
        <f t="shared" si="239"/>
        <v>1348</v>
      </c>
      <c r="E1371" s="1">
        <f t="shared" si="240"/>
        <v>-156.39443713246308</v>
      </c>
      <c r="F1371" s="1">
        <f t="shared" si="241"/>
        <v>-156.97105049676708</v>
      </c>
      <c r="G1371" s="1">
        <f t="shared" si="238"/>
        <v>6.7350209456114707E-69</v>
      </c>
      <c r="H1371" s="1">
        <f t="shared" si="231"/>
        <v>6.977339159527649E-70</v>
      </c>
      <c r="I1371">
        <f t="shared" si="232"/>
        <v>8</v>
      </c>
      <c r="J1371">
        <f t="shared" si="233"/>
        <v>1338</v>
      </c>
      <c r="K1371" s="5">
        <f t="shared" si="234"/>
        <v>0</v>
      </c>
      <c r="L1371">
        <f t="shared" si="235"/>
        <v>53.4</v>
      </c>
      <c r="M1371">
        <f t="shared" si="236"/>
        <v>1</v>
      </c>
      <c r="N1371">
        <f t="shared" si="237"/>
        <v>0</v>
      </c>
    </row>
    <row r="1372" spans="4:14" x14ac:dyDescent="0.2">
      <c r="D1372">
        <f t="shared" si="239"/>
        <v>1349</v>
      </c>
      <c r="E1372" s="1">
        <f t="shared" si="240"/>
        <v>-156.51097094871903</v>
      </c>
      <c r="F1372" s="1">
        <f t="shared" si="241"/>
        <v>-157.08758431302303</v>
      </c>
      <c r="G1372" s="1">
        <f t="shared" si="238"/>
        <v>5.9941686415942053E-69</v>
      </c>
      <c r="H1372" s="1">
        <f t="shared" si="231"/>
        <v>6.2098318519796041E-70</v>
      </c>
      <c r="I1372">
        <f t="shared" si="232"/>
        <v>8</v>
      </c>
      <c r="J1372">
        <f t="shared" si="233"/>
        <v>1339</v>
      </c>
      <c r="K1372" s="5">
        <f t="shared" si="234"/>
        <v>0</v>
      </c>
      <c r="L1372">
        <f t="shared" si="235"/>
        <v>53.4</v>
      </c>
      <c r="M1372">
        <f t="shared" si="236"/>
        <v>1</v>
      </c>
      <c r="N1372">
        <f t="shared" si="237"/>
        <v>0</v>
      </c>
    </row>
    <row r="1373" spans="4:14" x14ac:dyDescent="0.2">
      <c r="D1373">
        <f t="shared" si="239"/>
        <v>1350</v>
      </c>
      <c r="E1373" s="1">
        <f t="shared" si="240"/>
        <v>-156.62750476497499</v>
      </c>
      <c r="F1373" s="1">
        <f t="shared" si="241"/>
        <v>-157.20411812927898</v>
      </c>
      <c r="G1373" s="1">
        <f t="shared" si="238"/>
        <v>5.3348100910188386E-69</v>
      </c>
      <c r="H1373" s="1">
        <f t="shared" si="231"/>
        <v>5.5267503482618427E-70</v>
      </c>
      <c r="I1373">
        <f t="shared" si="232"/>
        <v>8</v>
      </c>
      <c r="J1373">
        <f t="shared" si="233"/>
        <v>1340</v>
      </c>
      <c r="K1373" s="5">
        <f t="shared" si="234"/>
        <v>0</v>
      </c>
      <c r="L1373">
        <f t="shared" si="235"/>
        <v>53.4</v>
      </c>
      <c r="M1373">
        <f t="shared" si="236"/>
        <v>1</v>
      </c>
      <c r="N1373">
        <f t="shared" si="237"/>
        <v>0</v>
      </c>
    </row>
    <row r="1374" spans="4:14" x14ac:dyDescent="0.2">
      <c r="D1374">
        <f t="shared" si="239"/>
        <v>1351</v>
      </c>
      <c r="E1374" s="1">
        <f t="shared" si="240"/>
        <v>-156.74403858123094</v>
      </c>
      <c r="F1374" s="1">
        <f t="shared" si="241"/>
        <v>-157.32065194553493</v>
      </c>
      <c r="G1374" s="1">
        <f t="shared" si="238"/>
        <v>4.7479809810067637E-69</v>
      </c>
      <c r="H1374" s="1">
        <f t="shared" si="231"/>
        <v>4.9188078099530372E-70</v>
      </c>
      <c r="I1374">
        <f t="shared" si="232"/>
        <v>8</v>
      </c>
      <c r="J1374">
        <f t="shared" si="233"/>
        <v>1341</v>
      </c>
      <c r="K1374" s="5">
        <f t="shared" si="234"/>
        <v>0</v>
      </c>
      <c r="L1374">
        <f t="shared" si="235"/>
        <v>53.4</v>
      </c>
      <c r="M1374">
        <f t="shared" si="236"/>
        <v>1</v>
      </c>
      <c r="N1374">
        <f t="shared" si="237"/>
        <v>0</v>
      </c>
    </row>
    <row r="1375" spans="4:14" x14ac:dyDescent="0.2">
      <c r="D1375">
        <f t="shared" si="239"/>
        <v>1352</v>
      </c>
      <c r="E1375" s="1">
        <f t="shared" si="240"/>
        <v>-156.86057239748689</v>
      </c>
      <c r="F1375" s="1">
        <f t="shared" si="241"/>
        <v>-157.43718576179089</v>
      </c>
      <c r="G1375" s="1">
        <f t="shared" si="238"/>
        <v>4.2257030730960173E-69</v>
      </c>
      <c r="H1375" s="1">
        <f t="shared" si="231"/>
        <v>4.3777389508582008E-70</v>
      </c>
      <c r="I1375">
        <f t="shared" si="232"/>
        <v>8</v>
      </c>
      <c r="J1375">
        <f t="shared" si="233"/>
        <v>1342</v>
      </c>
      <c r="K1375" s="5">
        <f t="shared" si="234"/>
        <v>0</v>
      </c>
      <c r="L1375">
        <f t="shared" si="235"/>
        <v>53.4</v>
      </c>
      <c r="M1375">
        <f t="shared" si="236"/>
        <v>1</v>
      </c>
      <c r="N1375">
        <f t="shared" si="237"/>
        <v>0</v>
      </c>
    </row>
    <row r="1376" spans="4:14" x14ac:dyDescent="0.2">
      <c r="D1376">
        <f t="shared" si="239"/>
        <v>1353</v>
      </c>
      <c r="E1376" s="1">
        <f t="shared" si="240"/>
        <v>-156.97710621374284</v>
      </c>
      <c r="F1376" s="1">
        <f t="shared" si="241"/>
        <v>-157.55371957804684</v>
      </c>
      <c r="G1376" s="1">
        <f t="shared" si="238"/>
        <v>3.7608757350554528E-69</v>
      </c>
      <c r="H1376" s="1">
        <f t="shared" si="231"/>
        <v>3.8961876662637962E-70</v>
      </c>
      <c r="I1376">
        <f t="shared" si="232"/>
        <v>8</v>
      </c>
      <c r="J1376">
        <f t="shared" si="233"/>
        <v>1343</v>
      </c>
      <c r="K1376" s="5">
        <f t="shared" si="234"/>
        <v>0</v>
      </c>
      <c r="L1376">
        <f t="shared" si="235"/>
        <v>53.4</v>
      </c>
      <c r="M1376">
        <f t="shared" si="236"/>
        <v>1</v>
      </c>
      <c r="N1376">
        <f t="shared" si="237"/>
        <v>0</v>
      </c>
    </row>
    <row r="1377" spans="4:14" x14ac:dyDescent="0.2">
      <c r="D1377">
        <f t="shared" si="239"/>
        <v>1354</v>
      </c>
      <c r="E1377" s="1">
        <f t="shared" si="240"/>
        <v>-157.0936400299988</v>
      </c>
      <c r="F1377" s="1">
        <f t="shared" si="241"/>
        <v>-157.67025339430279</v>
      </c>
      <c r="G1377" s="1">
        <f t="shared" si="238"/>
        <v>3.347179404199351E-69</v>
      </c>
      <c r="H1377" s="1">
        <f t="shared" si="231"/>
        <v>3.4676070229747766E-70</v>
      </c>
      <c r="I1377">
        <f t="shared" si="232"/>
        <v>8</v>
      </c>
      <c r="J1377">
        <f t="shared" si="233"/>
        <v>1344</v>
      </c>
      <c r="K1377" s="5">
        <f t="shared" si="234"/>
        <v>0</v>
      </c>
      <c r="L1377">
        <f t="shared" si="235"/>
        <v>53.4</v>
      </c>
      <c r="M1377">
        <f t="shared" si="236"/>
        <v>1</v>
      </c>
      <c r="N1377">
        <f t="shared" si="237"/>
        <v>0</v>
      </c>
    </row>
    <row r="1378" spans="4:14" x14ac:dyDescent="0.2">
      <c r="D1378">
        <f t="shared" si="239"/>
        <v>1355</v>
      </c>
      <c r="E1378" s="1">
        <f t="shared" si="240"/>
        <v>-157.21017384625475</v>
      </c>
      <c r="F1378" s="1">
        <f t="shared" si="241"/>
        <v>-157.78678721055874</v>
      </c>
      <c r="G1378" s="1">
        <f t="shared" si="238"/>
        <v>2.9789896697374204E-69</v>
      </c>
      <c r="H1378" s="1">
        <f t="shared" si="231"/>
        <v>3.0861702504475492E-70</v>
      </c>
      <c r="I1378">
        <f t="shared" si="232"/>
        <v>8</v>
      </c>
      <c r="J1378">
        <f t="shared" si="233"/>
        <v>1345</v>
      </c>
      <c r="K1378" s="5">
        <f t="shared" si="234"/>
        <v>0</v>
      </c>
      <c r="L1378">
        <f t="shared" si="235"/>
        <v>53.4</v>
      </c>
      <c r="M1378">
        <f t="shared" si="236"/>
        <v>1</v>
      </c>
      <c r="N1378">
        <f t="shared" si="237"/>
        <v>0</v>
      </c>
    </row>
    <row r="1379" spans="4:14" x14ac:dyDescent="0.2">
      <c r="D1379">
        <f t="shared" si="239"/>
        <v>1356</v>
      </c>
      <c r="E1379" s="1">
        <f t="shared" si="240"/>
        <v>-157.3267076625107</v>
      </c>
      <c r="F1379" s="1">
        <f t="shared" si="241"/>
        <v>-157.90332102681469</v>
      </c>
      <c r="G1379" s="1">
        <f t="shared" si="238"/>
        <v>2.6513008060663023E-69</v>
      </c>
      <c r="H1379" s="1">
        <f t="shared" si="231"/>
        <v>2.7466915228983167E-70</v>
      </c>
      <c r="I1379">
        <f t="shared" si="232"/>
        <v>8</v>
      </c>
      <c r="J1379">
        <f t="shared" si="233"/>
        <v>1346</v>
      </c>
      <c r="K1379" s="5">
        <f t="shared" si="234"/>
        <v>0</v>
      </c>
      <c r="L1379">
        <f t="shared" si="235"/>
        <v>53.4</v>
      </c>
      <c r="M1379">
        <f t="shared" si="236"/>
        <v>1</v>
      </c>
      <c r="N1379">
        <f t="shared" si="237"/>
        <v>0</v>
      </c>
    </row>
    <row r="1380" spans="4:14" x14ac:dyDescent="0.2">
      <c r="D1380">
        <f t="shared" si="239"/>
        <v>1357</v>
      </c>
      <c r="E1380" s="1">
        <f t="shared" si="240"/>
        <v>-157.44324147876665</v>
      </c>
      <c r="F1380" s="1">
        <f t="shared" si="241"/>
        <v>-158.01985484307065</v>
      </c>
      <c r="G1380" s="1">
        <f t="shared" si="238"/>
        <v>2.3596577173990078E-69</v>
      </c>
      <c r="H1380" s="1">
        <f t="shared" si="231"/>
        <v>2.4445554553795005E-70</v>
      </c>
      <c r="I1380">
        <f t="shared" si="232"/>
        <v>8</v>
      </c>
      <c r="J1380">
        <f t="shared" si="233"/>
        <v>1347</v>
      </c>
      <c r="K1380" s="5">
        <f t="shared" si="234"/>
        <v>0</v>
      </c>
      <c r="L1380">
        <f t="shared" si="235"/>
        <v>53.4</v>
      </c>
      <c r="M1380">
        <f t="shared" si="236"/>
        <v>1</v>
      </c>
      <c r="N1380">
        <f t="shared" si="237"/>
        <v>0</v>
      </c>
    </row>
    <row r="1381" spans="4:14" x14ac:dyDescent="0.2">
      <c r="D1381">
        <f t="shared" si="239"/>
        <v>1358</v>
      </c>
      <c r="E1381" s="1">
        <f t="shared" si="240"/>
        <v>-157.5597752950226</v>
      </c>
      <c r="F1381" s="1">
        <f t="shared" si="241"/>
        <v>-158.1363886593266</v>
      </c>
      <c r="G1381" s="1">
        <f t="shared" si="238"/>
        <v>2.1000953684851157E-69</v>
      </c>
      <c r="H1381" s="1">
        <f t="shared" si="231"/>
        <v>2.1756543552877543E-70</v>
      </c>
      <c r="I1381">
        <f t="shared" si="232"/>
        <v>8</v>
      </c>
      <c r="J1381">
        <f t="shared" si="233"/>
        <v>1348</v>
      </c>
      <c r="K1381" s="5">
        <f t="shared" si="234"/>
        <v>0</v>
      </c>
      <c r="L1381">
        <f t="shared" si="235"/>
        <v>53.4</v>
      </c>
      <c r="M1381">
        <f t="shared" si="236"/>
        <v>1</v>
      </c>
      <c r="N1381">
        <f t="shared" si="237"/>
        <v>0</v>
      </c>
    </row>
    <row r="1382" spans="4:14" x14ac:dyDescent="0.2">
      <c r="D1382">
        <f t="shared" si="239"/>
        <v>1359</v>
      </c>
      <c r="E1382" s="1">
        <f t="shared" si="240"/>
        <v>-157.67630911127856</v>
      </c>
      <c r="F1382" s="1">
        <f t="shared" si="241"/>
        <v>-158.25292247558255</v>
      </c>
      <c r="G1382" s="1">
        <f t="shared" si="238"/>
        <v>1.8690848779517517E-69</v>
      </c>
      <c r="H1382" s="1">
        <f t="shared" si="231"/>
        <v>1.9363323762060998E-70</v>
      </c>
      <c r="I1382">
        <f t="shared" si="232"/>
        <v>8</v>
      </c>
      <c r="J1382">
        <f t="shared" si="233"/>
        <v>1349</v>
      </c>
      <c r="K1382" s="5">
        <f t="shared" si="234"/>
        <v>0</v>
      </c>
      <c r="L1382">
        <f t="shared" si="235"/>
        <v>53.4</v>
      </c>
      <c r="M1382">
        <f t="shared" si="236"/>
        <v>1</v>
      </c>
      <c r="N1382">
        <f t="shared" si="237"/>
        <v>0</v>
      </c>
    </row>
    <row r="1383" spans="4:14" x14ac:dyDescent="0.2">
      <c r="D1383">
        <f t="shared" si="239"/>
        <v>1360</v>
      </c>
      <c r="E1383" s="1">
        <f t="shared" si="240"/>
        <v>-157.79284292753451</v>
      </c>
      <c r="F1383" s="1">
        <f t="shared" si="241"/>
        <v>-158.3694562918385</v>
      </c>
      <c r="G1383" s="1">
        <f t="shared" si="238"/>
        <v>1.663485541377058E-69</v>
      </c>
      <c r="H1383" s="1">
        <f t="shared" si="231"/>
        <v>1.723335814823428E-70</v>
      </c>
      <c r="I1383">
        <f t="shared" si="232"/>
        <v>8</v>
      </c>
      <c r="J1383">
        <f t="shared" si="233"/>
        <v>1350</v>
      </c>
      <c r="K1383" s="5">
        <f t="shared" si="234"/>
        <v>0</v>
      </c>
      <c r="L1383">
        <f t="shared" si="235"/>
        <v>53.4</v>
      </c>
      <c r="M1383">
        <f t="shared" si="236"/>
        <v>1</v>
      </c>
      <c r="N1383">
        <f t="shared" si="237"/>
        <v>0</v>
      </c>
    </row>
    <row r="1384" spans="4:14" x14ac:dyDescent="0.2">
      <c r="D1384">
        <f t="shared" si="239"/>
        <v>1361</v>
      </c>
      <c r="E1384" s="1">
        <f t="shared" si="240"/>
        <v>-157.90937674379046</v>
      </c>
      <c r="F1384" s="1">
        <f t="shared" si="241"/>
        <v>-158.48599010809446</v>
      </c>
      <c r="G1384" s="1">
        <f t="shared" si="238"/>
        <v>1.4805021318255806E-69</v>
      </c>
      <c r="H1384" s="1">
        <f t="shared" si="231"/>
        <v>1.5337688751928499E-70</v>
      </c>
      <c r="I1384">
        <f t="shared" si="232"/>
        <v>8</v>
      </c>
      <c r="J1384">
        <f t="shared" si="233"/>
        <v>1351</v>
      </c>
      <c r="K1384" s="5">
        <f t="shared" si="234"/>
        <v>0</v>
      </c>
      <c r="L1384">
        <f t="shared" si="235"/>
        <v>53.4</v>
      </c>
      <c r="M1384">
        <f t="shared" si="236"/>
        <v>1</v>
      </c>
      <c r="N1384">
        <f t="shared" si="237"/>
        <v>0</v>
      </c>
    </row>
    <row r="1385" spans="4:14" x14ac:dyDescent="0.2">
      <c r="D1385">
        <f t="shared" si="239"/>
        <v>1362</v>
      </c>
      <c r="E1385" s="1">
        <f t="shared" si="240"/>
        <v>-158.02591056004641</v>
      </c>
      <c r="F1385" s="1">
        <f t="shared" si="241"/>
        <v>-158.60252392435041</v>
      </c>
      <c r="G1385" s="1">
        <f t="shared" si="238"/>
        <v>1.3176468973247659E-69</v>
      </c>
      <c r="H1385" s="1">
        <f t="shared" si="231"/>
        <v>1.3650542989216355E-70</v>
      </c>
      <c r="I1385">
        <f t="shared" si="232"/>
        <v>8</v>
      </c>
      <c r="J1385">
        <f t="shared" si="233"/>
        <v>1352</v>
      </c>
      <c r="K1385" s="5">
        <f t="shared" si="234"/>
        <v>0</v>
      </c>
      <c r="L1385">
        <f t="shared" si="235"/>
        <v>53.4</v>
      </c>
      <c r="M1385">
        <f t="shared" si="236"/>
        <v>1</v>
      </c>
      <c r="N1385">
        <f t="shared" si="237"/>
        <v>0</v>
      </c>
    </row>
    <row r="1386" spans="4:14" x14ac:dyDescent="0.2">
      <c r="D1386">
        <f t="shared" si="239"/>
        <v>1363</v>
      </c>
      <c r="E1386" s="1">
        <f t="shared" si="240"/>
        <v>-158.14244437630236</v>
      </c>
      <c r="F1386" s="1">
        <f t="shared" si="241"/>
        <v>-158.71905774060636</v>
      </c>
      <c r="G1386" s="1">
        <f t="shared" si="238"/>
        <v>1.1727057386190409E-69</v>
      </c>
      <c r="H1386" s="1">
        <f t="shared" si="231"/>
        <v>1.2148983260402546E-70</v>
      </c>
      <c r="I1386">
        <f t="shared" si="232"/>
        <v>8</v>
      </c>
      <c r="J1386">
        <f t="shared" si="233"/>
        <v>1353</v>
      </c>
      <c r="K1386" s="5">
        <f t="shared" si="234"/>
        <v>0</v>
      </c>
      <c r="L1386">
        <f t="shared" si="235"/>
        <v>53.4</v>
      </c>
      <c r="M1386">
        <f t="shared" si="236"/>
        <v>1</v>
      </c>
      <c r="N1386">
        <f t="shared" si="237"/>
        <v>0</v>
      </c>
    </row>
    <row r="1387" spans="4:14" x14ac:dyDescent="0.2">
      <c r="D1387">
        <f t="shared" si="239"/>
        <v>1364</v>
      </c>
      <c r="E1387" s="1">
        <f t="shared" si="240"/>
        <v>-158.25897819255832</v>
      </c>
      <c r="F1387" s="1">
        <f t="shared" si="241"/>
        <v>-158.83559155686231</v>
      </c>
      <c r="G1387" s="1">
        <f t="shared" si="238"/>
        <v>1.0437081073709458E-69</v>
      </c>
      <c r="H1387" s="1">
        <f t="shared" si="231"/>
        <v>1.0812595101758261E-70</v>
      </c>
      <c r="I1387">
        <f t="shared" si="232"/>
        <v>8</v>
      </c>
      <c r="J1387">
        <f t="shared" si="233"/>
        <v>1354</v>
      </c>
      <c r="K1387" s="5">
        <f t="shared" si="234"/>
        <v>0</v>
      </c>
      <c r="L1387">
        <f t="shared" si="235"/>
        <v>53.4</v>
      </c>
      <c r="M1387">
        <f t="shared" si="236"/>
        <v>1</v>
      </c>
      <c r="N1387">
        <f t="shared" si="237"/>
        <v>0</v>
      </c>
    </row>
    <row r="1388" spans="4:14" x14ac:dyDescent="0.2">
      <c r="D1388">
        <f t="shared" si="239"/>
        <v>1365</v>
      </c>
      <c r="E1388" s="1">
        <f t="shared" si="240"/>
        <v>-158.37551200881427</v>
      </c>
      <c r="F1388" s="1">
        <f t="shared" si="241"/>
        <v>-158.95212537311826</v>
      </c>
      <c r="G1388" s="1">
        <f t="shared" si="238"/>
        <v>9.289002155601411E-70</v>
      </c>
      <c r="H1388" s="1">
        <f t="shared" si="231"/>
        <v>9.6232096405648459E-71</v>
      </c>
      <c r="I1388">
        <f t="shared" si="232"/>
        <v>8</v>
      </c>
      <c r="J1388">
        <f t="shared" si="233"/>
        <v>1355</v>
      </c>
      <c r="K1388" s="5">
        <f t="shared" si="234"/>
        <v>0</v>
      </c>
      <c r="L1388">
        <f t="shared" si="235"/>
        <v>53.4</v>
      </c>
      <c r="M1388">
        <f t="shared" si="236"/>
        <v>1</v>
      </c>
      <c r="N1388">
        <f t="shared" si="237"/>
        <v>0</v>
      </c>
    </row>
    <row r="1389" spans="4:14" x14ac:dyDescent="0.2">
      <c r="D1389">
        <f t="shared" si="239"/>
        <v>1366</v>
      </c>
      <c r="E1389" s="1">
        <f t="shared" si="240"/>
        <v>-158.49204582507022</v>
      </c>
      <c r="F1389" s="1">
        <f t="shared" si="241"/>
        <v>-159.06865918937422</v>
      </c>
      <c r="G1389" s="1">
        <f t="shared" si="238"/>
        <v>8.2672119184852513E-70</v>
      </c>
      <c r="H1389" s="1">
        <f t="shared" si="231"/>
        <v>8.5646565801027076E-71</v>
      </c>
      <c r="I1389">
        <f t="shared" si="232"/>
        <v>8</v>
      </c>
      <c r="J1389">
        <f t="shared" si="233"/>
        <v>1356</v>
      </c>
      <c r="K1389" s="5">
        <f t="shared" si="234"/>
        <v>0</v>
      </c>
      <c r="L1389">
        <f t="shared" si="235"/>
        <v>53.4</v>
      </c>
      <c r="M1389">
        <f t="shared" si="236"/>
        <v>1</v>
      </c>
      <c r="N1389">
        <f t="shared" si="237"/>
        <v>0</v>
      </c>
    </row>
    <row r="1390" spans="4:14" x14ac:dyDescent="0.2">
      <c r="D1390">
        <f t="shared" si="239"/>
        <v>1367</v>
      </c>
      <c r="E1390" s="1">
        <f t="shared" si="240"/>
        <v>-158.60857964132617</v>
      </c>
      <c r="F1390" s="1">
        <f t="shared" si="241"/>
        <v>-159.18519300563017</v>
      </c>
      <c r="G1390" s="1">
        <f t="shared" si="238"/>
        <v>7.3578186074518683E-70</v>
      </c>
      <c r="H1390" s="1">
        <f t="shared" si="231"/>
        <v>7.6225443562914047E-71</v>
      </c>
      <c r="I1390">
        <f t="shared" si="232"/>
        <v>8</v>
      </c>
      <c r="J1390">
        <f t="shared" si="233"/>
        <v>1357</v>
      </c>
      <c r="K1390" s="5">
        <f t="shared" si="234"/>
        <v>0</v>
      </c>
      <c r="L1390">
        <f t="shared" si="235"/>
        <v>53.4</v>
      </c>
      <c r="M1390">
        <f t="shared" si="236"/>
        <v>1</v>
      </c>
      <c r="N1390">
        <f t="shared" si="237"/>
        <v>0</v>
      </c>
    </row>
    <row r="1391" spans="4:14" x14ac:dyDescent="0.2">
      <c r="D1391">
        <f t="shared" si="239"/>
        <v>1368</v>
      </c>
      <c r="E1391" s="1">
        <f t="shared" si="240"/>
        <v>-158.72511345758213</v>
      </c>
      <c r="F1391" s="1">
        <f t="shared" si="241"/>
        <v>-159.30172682188612</v>
      </c>
      <c r="G1391" s="1">
        <f t="shared" si="238"/>
        <v>6.5484585606321597E-70</v>
      </c>
      <c r="H1391" s="1">
        <f t="shared" si="231"/>
        <v>6.7840644770993467E-71</v>
      </c>
      <c r="I1391">
        <f t="shared" si="232"/>
        <v>8</v>
      </c>
      <c r="J1391">
        <f t="shared" si="233"/>
        <v>1358</v>
      </c>
      <c r="K1391" s="5">
        <f t="shared" si="234"/>
        <v>0</v>
      </c>
      <c r="L1391">
        <f t="shared" si="235"/>
        <v>53.4</v>
      </c>
      <c r="M1391">
        <f t="shared" si="236"/>
        <v>1</v>
      </c>
      <c r="N1391">
        <f t="shared" si="237"/>
        <v>0</v>
      </c>
    </row>
    <row r="1392" spans="4:14" x14ac:dyDescent="0.2">
      <c r="D1392">
        <f t="shared" si="239"/>
        <v>1369</v>
      </c>
      <c r="E1392" s="1">
        <f t="shared" si="240"/>
        <v>-158.84164727383808</v>
      </c>
      <c r="F1392" s="1">
        <f t="shared" si="241"/>
        <v>-159.41826063814207</v>
      </c>
      <c r="G1392" s="1">
        <f t="shared" si="238"/>
        <v>5.8281281189626174E-70</v>
      </c>
      <c r="H1392" s="1">
        <f t="shared" si="231"/>
        <v>6.0378173846184132E-71</v>
      </c>
      <c r="I1392">
        <f t="shared" si="232"/>
        <v>8</v>
      </c>
      <c r="J1392">
        <f t="shared" si="233"/>
        <v>1359</v>
      </c>
      <c r="K1392" s="5">
        <f t="shared" si="234"/>
        <v>0</v>
      </c>
      <c r="L1392">
        <f t="shared" si="235"/>
        <v>53.4</v>
      </c>
      <c r="M1392">
        <f t="shared" si="236"/>
        <v>1</v>
      </c>
      <c r="N1392">
        <f t="shared" si="237"/>
        <v>0</v>
      </c>
    </row>
    <row r="1393" spans="4:14" x14ac:dyDescent="0.2">
      <c r="D1393">
        <f t="shared" si="239"/>
        <v>1370</v>
      </c>
      <c r="E1393" s="1">
        <f t="shared" si="240"/>
        <v>-158.95818109009403</v>
      </c>
      <c r="F1393" s="1">
        <f t="shared" si="241"/>
        <v>-159.53479445439802</v>
      </c>
      <c r="G1393" s="1">
        <f t="shared" si="238"/>
        <v>5.187034025876727E-70</v>
      </c>
      <c r="H1393" s="1">
        <f t="shared" si="231"/>
        <v>5.3736574723103856E-71</v>
      </c>
      <c r="I1393">
        <f t="shared" si="232"/>
        <v>8</v>
      </c>
      <c r="J1393">
        <f t="shared" si="233"/>
        <v>1360</v>
      </c>
      <c r="K1393" s="5">
        <f t="shared" si="234"/>
        <v>0</v>
      </c>
      <c r="L1393">
        <f t="shared" si="235"/>
        <v>53.4</v>
      </c>
      <c r="M1393">
        <f t="shared" si="236"/>
        <v>1</v>
      </c>
      <c r="N1393">
        <f t="shared" si="237"/>
        <v>0</v>
      </c>
    </row>
    <row r="1394" spans="4:14" x14ac:dyDescent="0.2">
      <c r="D1394">
        <f t="shared" si="239"/>
        <v>1371</v>
      </c>
      <c r="E1394" s="1">
        <f t="shared" si="240"/>
        <v>-159.07471490634998</v>
      </c>
      <c r="F1394" s="1">
        <f t="shared" si="241"/>
        <v>-159.65132827065398</v>
      </c>
      <c r="G1394" s="1">
        <f t="shared" si="238"/>
        <v>4.616460283030284E-70</v>
      </c>
      <c r="H1394" s="1">
        <f t="shared" si="231"/>
        <v>4.7825551503562403E-71</v>
      </c>
      <c r="I1394">
        <f t="shared" si="232"/>
        <v>8</v>
      </c>
      <c r="J1394">
        <f t="shared" si="233"/>
        <v>1361</v>
      </c>
      <c r="K1394" s="5">
        <f t="shared" si="234"/>
        <v>0</v>
      </c>
      <c r="L1394">
        <f t="shared" si="235"/>
        <v>53.4</v>
      </c>
      <c r="M1394">
        <f t="shared" si="236"/>
        <v>1</v>
      </c>
      <c r="N1394">
        <f t="shared" si="237"/>
        <v>0</v>
      </c>
    </row>
    <row r="1395" spans="4:14" x14ac:dyDescent="0.2">
      <c r="D1395">
        <f t="shared" si="239"/>
        <v>1372</v>
      </c>
      <c r="E1395" s="1">
        <f t="shared" si="240"/>
        <v>-159.19124872260593</v>
      </c>
      <c r="F1395" s="1">
        <f t="shared" si="241"/>
        <v>-159.76786208690993</v>
      </c>
      <c r="G1395" s="1">
        <f t="shared" si="238"/>
        <v>4.1086496518969499E-70</v>
      </c>
      <c r="H1395" s="1">
        <f t="shared" si="231"/>
        <v>4.2564740838170509E-71</v>
      </c>
      <c r="I1395">
        <f t="shared" si="232"/>
        <v>8</v>
      </c>
      <c r="J1395">
        <f t="shared" si="233"/>
        <v>1362</v>
      </c>
      <c r="K1395" s="5">
        <f t="shared" si="234"/>
        <v>0</v>
      </c>
      <c r="L1395">
        <f t="shared" si="235"/>
        <v>53.4</v>
      </c>
      <c r="M1395">
        <f t="shared" si="236"/>
        <v>1</v>
      </c>
      <c r="N1395">
        <f t="shared" si="237"/>
        <v>0</v>
      </c>
    </row>
    <row r="1396" spans="4:14" x14ac:dyDescent="0.2">
      <c r="D1396">
        <f t="shared" si="239"/>
        <v>1373</v>
      </c>
      <c r="E1396" s="1">
        <f t="shared" si="240"/>
        <v>-159.30778253886189</v>
      </c>
      <c r="F1396" s="1">
        <f t="shared" si="241"/>
        <v>-159.88439590316588</v>
      </c>
      <c r="G1396" s="1">
        <f t="shared" si="238"/>
        <v>3.656698190188283E-70</v>
      </c>
      <c r="H1396" s="1">
        <f t="shared" si="231"/>
        <v>3.7882619345971723E-71</v>
      </c>
      <c r="I1396">
        <f t="shared" si="232"/>
        <v>8</v>
      </c>
      <c r="J1396">
        <f t="shared" si="233"/>
        <v>1363</v>
      </c>
      <c r="K1396" s="5">
        <f t="shared" si="234"/>
        <v>0</v>
      </c>
      <c r="L1396">
        <f t="shared" si="235"/>
        <v>53.4</v>
      </c>
      <c r="M1396">
        <f t="shared" si="236"/>
        <v>1</v>
      </c>
      <c r="N1396">
        <f t="shared" si="237"/>
        <v>0</v>
      </c>
    </row>
    <row r="1397" spans="4:14" x14ac:dyDescent="0.2">
      <c r="D1397">
        <f t="shared" si="239"/>
        <v>1374</v>
      </c>
      <c r="E1397" s="1">
        <f t="shared" si="240"/>
        <v>-159.42431635511784</v>
      </c>
      <c r="F1397" s="1">
        <f t="shared" si="241"/>
        <v>-160.00092971942183</v>
      </c>
      <c r="G1397" s="1">
        <f t="shared" si="238"/>
        <v>3.25446138926757E-70</v>
      </c>
      <c r="H1397" s="1">
        <f t="shared" si="231"/>
        <v>3.3715531217914816E-71</v>
      </c>
      <c r="I1397">
        <f t="shared" si="232"/>
        <v>8</v>
      </c>
      <c r="J1397">
        <f t="shared" si="233"/>
        <v>1364</v>
      </c>
      <c r="K1397" s="5">
        <f t="shared" si="234"/>
        <v>0</v>
      </c>
      <c r="L1397">
        <f t="shared" si="235"/>
        <v>53.4</v>
      </c>
      <c r="M1397">
        <f t="shared" si="236"/>
        <v>1</v>
      </c>
      <c r="N1397">
        <f t="shared" si="237"/>
        <v>0</v>
      </c>
    </row>
    <row r="1398" spans="4:14" x14ac:dyDescent="0.2">
      <c r="D1398">
        <f t="shared" si="239"/>
        <v>1375</v>
      </c>
      <c r="E1398" s="1">
        <f t="shared" si="240"/>
        <v>-159.54085017137379</v>
      </c>
      <c r="F1398" s="1">
        <f t="shared" si="241"/>
        <v>-160.11746353567779</v>
      </c>
      <c r="G1398" s="1">
        <f t="shared" si="238"/>
        <v>2.8964706364481355E-70</v>
      </c>
      <c r="H1398" s="1">
        <f t="shared" si="231"/>
        <v>3.0006822783944169E-71</v>
      </c>
      <c r="I1398">
        <f t="shared" si="232"/>
        <v>8</v>
      </c>
      <c r="J1398">
        <f t="shared" si="233"/>
        <v>1365</v>
      </c>
      <c r="K1398" s="5">
        <f t="shared" si="234"/>
        <v>0</v>
      </c>
      <c r="L1398">
        <f t="shared" si="235"/>
        <v>53.4</v>
      </c>
      <c r="M1398">
        <f t="shared" si="236"/>
        <v>1</v>
      </c>
      <c r="N1398">
        <f t="shared" si="237"/>
        <v>0</v>
      </c>
    </row>
    <row r="1399" spans="4:14" x14ac:dyDescent="0.2">
      <c r="D1399">
        <f t="shared" si="239"/>
        <v>1376</v>
      </c>
      <c r="E1399" s="1">
        <f t="shared" si="240"/>
        <v>-159.65738398762974</v>
      </c>
      <c r="F1399" s="1">
        <f t="shared" si="241"/>
        <v>-160.23399735193374</v>
      </c>
      <c r="G1399" s="1">
        <f t="shared" si="238"/>
        <v>2.577858866438839E-70</v>
      </c>
      <c r="H1399" s="1">
        <f t="shared" si="231"/>
        <v>2.6706072277710294E-71</v>
      </c>
      <c r="I1399">
        <f t="shared" si="232"/>
        <v>8</v>
      </c>
      <c r="J1399">
        <f t="shared" si="233"/>
        <v>1366</v>
      </c>
      <c r="K1399" s="5">
        <f t="shared" si="234"/>
        <v>0</v>
      </c>
      <c r="L1399">
        <f t="shared" si="235"/>
        <v>53.4</v>
      </c>
      <c r="M1399">
        <f t="shared" si="236"/>
        <v>1</v>
      </c>
      <c r="N1399">
        <f t="shared" si="237"/>
        <v>0</v>
      </c>
    </row>
    <row r="1400" spans="4:14" x14ac:dyDescent="0.2">
      <c r="D1400">
        <f t="shared" si="239"/>
        <v>1377</v>
      </c>
      <c r="E1400" s="1">
        <f t="shared" si="240"/>
        <v>-159.77391780388569</v>
      </c>
      <c r="F1400" s="1">
        <f t="shared" si="241"/>
        <v>-160.35053116818969</v>
      </c>
      <c r="G1400" s="1">
        <f t="shared" si="238"/>
        <v>2.2942943911305652E-70</v>
      </c>
      <c r="H1400" s="1">
        <f t="shared" si="231"/>
        <v>2.3768404327162147E-71</v>
      </c>
      <c r="I1400">
        <f t="shared" si="232"/>
        <v>8</v>
      </c>
      <c r="J1400">
        <f t="shared" si="233"/>
        <v>1367</v>
      </c>
      <c r="K1400" s="5">
        <f t="shared" si="234"/>
        <v>0</v>
      </c>
      <c r="L1400">
        <f t="shared" si="235"/>
        <v>53.4</v>
      </c>
      <c r="M1400">
        <f t="shared" si="236"/>
        <v>1</v>
      </c>
      <c r="N1400">
        <f t="shared" si="237"/>
        <v>0</v>
      </c>
    </row>
    <row r="1401" spans="4:14" x14ac:dyDescent="0.2">
      <c r="D1401">
        <f t="shared" si="239"/>
        <v>1378</v>
      </c>
      <c r="E1401" s="1">
        <f t="shared" si="240"/>
        <v>-159.89045162014165</v>
      </c>
      <c r="F1401" s="1">
        <f t="shared" si="241"/>
        <v>-160.46706498444564</v>
      </c>
      <c r="G1401" s="1">
        <f t="shared" si="238"/>
        <v>2.0419220081062018E-70</v>
      </c>
      <c r="H1401" s="1">
        <f t="shared" si="231"/>
        <v>2.1153879851174295E-71</v>
      </c>
      <c r="I1401">
        <f t="shared" si="232"/>
        <v>8</v>
      </c>
      <c r="J1401">
        <f t="shared" si="233"/>
        <v>1368</v>
      </c>
      <c r="K1401" s="5">
        <f t="shared" si="234"/>
        <v>0</v>
      </c>
      <c r="L1401">
        <f t="shared" si="235"/>
        <v>53.4</v>
      </c>
      <c r="M1401">
        <f t="shared" si="236"/>
        <v>1</v>
      </c>
      <c r="N1401">
        <f t="shared" si="237"/>
        <v>0</v>
      </c>
    </row>
    <row r="1402" spans="4:14" x14ac:dyDescent="0.2">
      <c r="D1402">
        <f t="shared" si="239"/>
        <v>1379</v>
      </c>
      <c r="E1402" s="1">
        <f t="shared" si="240"/>
        <v>-160.0069854363976</v>
      </c>
      <c r="F1402" s="1">
        <f t="shared" si="241"/>
        <v>-160.58359880070159</v>
      </c>
      <c r="G1402" s="1">
        <f t="shared" si="238"/>
        <v>1.8173105872145183E-70</v>
      </c>
      <c r="H1402" s="1">
        <f t="shared" si="231"/>
        <v>1.8826953067545109E-71</v>
      </c>
      <c r="I1402">
        <f t="shared" si="232"/>
        <v>8</v>
      </c>
      <c r="J1402">
        <f t="shared" si="233"/>
        <v>1369</v>
      </c>
      <c r="K1402" s="5">
        <f t="shared" si="234"/>
        <v>0</v>
      </c>
      <c r="L1402">
        <f t="shared" si="235"/>
        <v>53.4</v>
      </c>
      <c r="M1402">
        <f t="shared" si="236"/>
        <v>1</v>
      </c>
      <c r="N1402">
        <f t="shared" si="237"/>
        <v>0</v>
      </c>
    </row>
    <row r="1403" spans="4:14" x14ac:dyDescent="0.2">
      <c r="D1403">
        <f t="shared" si="239"/>
        <v>1380</v>
      </c>
      <c r="E1403" s="1">
        <f t="shared" si="240"/>
        <v>-160.12351925265355</v>
      </c>
      <c r="F1403" s="1">
        <f t="shared" si="241"/>
        <v>-160.70013261695755</v>
      </c>
      <c r="G1403" s="1">
        <f t="shared" si="238"/>
        <v>1.6174064226209202E-70</v>
      </c>
      <c r="H1403" s="1">
        <f t="shared" si="231"/>
        <v>1.6755988230115138E-71</v>
      </c>
      <c r="I1403">
        <f t="shared" si="232"/>
        <v>8</v>
      </c>
      <c r="J1403">
        <f t="shared" si="233"/>
        <v>1370</v>
      </c>
      <c r="K1403" s="5">
        <f t="shared" si="234"/>
        <v>0</v>
      </c>
      <c r="L1403">
        <f t="shared" si="235"/>
        <v>53.4</v>
      </c>
      <c r="M1403">
        <f t="shared" si="236"/>
        <v>1</v>
      </c>
      <c r="N1403">
        <f t="shared" si="237"/>
        <v>0</v>
      </c>
    </row>
    <row r="1404" spans="4:14" x14ac:dyDescent="0.2">
      <c r="D1404">
        <f t="shared" si="239"/>
        <v>1381</v>
      </c>
      <c r="E1404" s="1">
        <f t="shared" si="240"/>
        <v>-160.2400530689095</v>
      </c>
      <c r="F1404" s="1">
        <f t="shared" si="241"/>
        <v>-160.8166664332135</v>
      </c>
      <c r="G1404" s="1">
        <f t="shared" si="238"/>
        <v>1.4394917161326183E-70</v>
      </c>
      <c r="H1404" s="1">
        <f t="shared" si="231"/>
        <v>1.4912829524802464E-71</v>
      </c>
      <c r="I1404">
        <f t="shared" si="232"/>
        <v>8</v>
      </c>
      <c r="J1404">
        <f t="shared" si="233"/>
        <v>1371</v>
      </c>
      <c r="K1404" s="5">
        <f t="shared" si="234"/>
        <v>0</v>
      </c>
      <c r="L1404">
        <f t="shared" si="235"/>
        <v>53.4</v>
      </c>
      <c r="M1404">
        <f t="shared" si="236"/>
        <v>1</v>
      </c>
      <c r="N1404">
        <f t="shared" si="237"/>
        <v>0</v>
      </c>
    </row>
    <row r="1405" spans="4:14" x14ac:dyDescent="0.2">
      <c r="D1405">
        <f t="shared" si="239"/>
        <v>1382</v>
      </c>
      <c r="E1405" s="1">
        <f t="shared" si="240"/>
        <v>-160.35658688516546</v>
      </c>
      <c r="F1405" s="1">
        <f t="shared" si="241"/>
        <v>-160.93320024946945</v>
      </c>
      <c r="G1405" s="1">
        <f t="shared" si="238"/>
        <v>1.2811476273580294E-70</v>
      </c>
      <c r="H1405" s="1">
        <f t="shared" si="231"/>
        <v>1.3272418277074185E-71</v>
      </c>
      <c r="I1405">
        <f t="shared" si="232"/>
        <v>8</v>
      </c>
      <c r="J1405">
        <f t="shared" si="233"/>
        <v>1372</v>
      </c>
      <c r="K1405" s="5">
        <f t="shared" si="234"/>
        <v>0</v>
      </c>
      <c r="L1405">
        <f t="shared" si="235"/>
        <v>53.4</v>
      </c>
      <c r="M1405">
        <f t="shared" si="236"/>
        <v>1</v>
      </c>
      <c r="N1405">
        <f t="shared" si="237"/>
        <v>0</v>
      </c>
    </row>
    <row r="1406" spans="4:14" x14ac:dyDescent="0.2">
      <c r="D1406">
        <f t="shared" si="239"/>
        <v>1383</v>
      </c>
      <c r="E1406" s="1">
        <f t="shared" si="240"/>
        <v>-160.47312070142141</v>
      </c>
      <c r="F1406" s="1">
        <f t="shared" si="241"/>
        <v>-161.0497340657254</v>
      </c>
      <c r="G1406" s="1">
        <f t="shared" si="238"/>
        <v>1.1402213883486455E-70</v>
      </c>
      <c r="H1406" s="1">
        <f t="shared" si="231"/>
        <v>1.1812452266596017E-71</v>
      </c>
      <c r="I1406">
        <f t="shared" si="232"/>
        <v>8</v>
      </c>
      <c r="J1406">
        <f t="shared" si="233"/>
        <v>1373</v>
      </c>
      <c r="K1406" s="5">
        <f t="shared" si="234"/>
        <v>0</v>
      </c>
      <c r="L1406">
        <f t="shared" si="235"/>
        <v>53.4</v>
      </c>
      <c r="M1406">
        <f t="shared" si="236"/>
        <v>1</v>
      </c>
      <c r="N1406">
        <f t="shared" si="237"/>
        <v>0</v>
      </c>
    </row>
    <row r="1407" spans="4:14" x14ac:dyDescent="0.2">
      <c r="D1407">
        <f t="shared" si="239"/>
        <v>1384</v>
      </c>
      <c r="E1407" s="1">
        <f t="shared" si="240"/>
        <v>-160.58965451767736</v>
      </c>
      <c r="F1407" s="1">
        <f t="shared" si="241"/>
        <v>-161.16626788198136</v>
      </c>
      <c r="G1407" s="1">
        <f t="shared" si="238"/>
        <v>1.0147970356302938E-70</v>
      </c>
      <c r="H1407" s="1">
        <f t="shared" si="231"/>
        <v>1.0513082517270448E-71</v>
      </c>
      <c r="I1407">
        <f t="shared" si="232"/>
        <v>8</v>
      </c>
      <c r="J1407">
        <f t="shared" si="233"/>
        <v>1374</v>
      </c>
      <c r="K1407" s="5">
        <f t="shared" si="234"/>
        <v>0</v>
      </c>
      <c r="L1407">
        <f t="shared" si="235"/>
        <v>53.4</v>
      </c>
      <c r="M1407">
        <f t="shared" si="236"/>
        <v>1</v>
      </c>
      <c r="N1407">
        <f t="shared" si="237"/>
        <v>0</v>
      </c>
    </row>
    <row r="1408" spans="4:14" x14ac:dyDescent="0.2">
      <c r="D1408">
        <f t="shared" si="239"/>
        <v>1385</v>
      </c>
      <c r="E1408" s="1">
        <f t="shared" si="240"/>
        <v>-160.70618833393331</v>
      </c>
      <c r="F1408" s="1">
        <f t="shared" si="241"/>
        <v>-161.28280169823731</v>
      </c>
      <c r="G1408" s="1">
        <f t="shared" si="238"/>
        <v>9.0316936171096092E-71</v>
      </c>
      <c r="H1408" s="1">
        <f t="shared" si="231"/>
        <v>9.3566434403706938E-72</v>
      </c>
      <c r="I1408">
        <f t="shared" si="232"/>
        <v>8</v>
      </c>
      <c r="J1408">
        <f t="shared" si="233"/>
        <v>1375</v>
      </c>
      <c r="K1408" s="5">
        <f t="shared" si="234"/>
        <v>0</v>
      </c>
      <c r="L1408">
        <f t="shared" si="235"/>
        <v>53.4</v>
      </c>
      <c r="M1408">
        <f t="shared" si="236"/>
        <v>1</v>
      </c>
      <c r="N1408">
        <f t="shared" si="237"/>
        <v>0</v>
      </c>
    </row>
    <row r="1409" spans="4:14" x14ac:dyDescent="0.2">
      <c r="D1409">
        <f t="shared" si="239"/>
        <v>1386</v>
      </c>
      <c r="E1409" s="1">
        <f t="shared" si="240"/>
        <v>-160.82272215018926</v>
      </c>
      <c r="F1409" s="1">
        <f t="shared" si="241"/>
        <v>-161.39933551449326</v>
      </c>
      <c r="G1409" s="1">
        <f t="shared" si="238"/>
        <v>8.0382073192275464E-71</v>
      </c>
      <c r="H1409" s="1">
        <f t="shared" si="231"/>
        <v>8.3274126619299114E-72</v>
      </c>
      <c r="I1409">
        <f t="shared" si="232"/>
        <v>8</v>
      </c>
      <c r="J1409">
        <f t="shared" si="233"/>
        <v>1376</v>
      </c>
      <c r="K1409" s="5">
        <f t="shared" si="234"/>
        <v>0</v>
      </c>
      <c r="L1409">
        <f t="shared" si="235"/>
        <v>53.4</v>
      </c>
      <c r="M1409">
        <f t="shared" si="236"/>
        <v>1</v>
      </c>
      <c r="N1409">
        <f t="shared" si="237"/>
        <v>0</v>
      </c>
    </row>
    <row r="1410" spans="4:14" x14ac:dyDescent="0.2">
      <c r="D1410">
        <f t="shared" si="239"/>
        <v>1387</v>
      </c>
      <c r="E1410" s="1">
        <f t="shared" si="240"/>
        <v>-160.93925596644522</v>
      </c>
      <c r="F1410" s="1">
        <f t="shared" si="241"/>
        <v>-161.51586933074921</v>
      </c>
      <c r="G1410" s="1">
        <f t="shared" si="238"/>
        <v>7.1540045141125128E-71</v>
      </c>
      <c r="H1410" s="1">
        <f t="shared" si="231"/>
        <v>7.4113972691176175E-72</v>
      </c>
      <c r="I1410">
        <f t="shared" si="232"/>
        <v>8</v>
      </c>
      <c r="J1410">
        <f t="shared" si="233"/>
        <v>1377</v>
      </c>
      <c r="K1410" s="5">
        <f t="shared" si="234"/>
        <v>0</v>
      </c>
      <c r="L1410">
        <f t="shared" si="235"/>
        <v>53.4</v>
      </c>
      <c r="M1410">
        <f t="shared" si="236"/>
        <v>1</v>
      </c>
      <c r="N1410">
        <f t="shared" si="237"/>
        <v>0</v>
      </c>
    </row>
    <row r="1411" spans="4:14" x14ac:dyDescent="0.2">
      <c r="D1411">
        <f t="shared" si="239"/>
        <v>1388</v>
      </c>
      <c r="E1411" s="1">
        <f t="shared" si="240"/>
        <v>-161.05578978270117</v>
      </c>
      <c r="F1411" s="1">
        <f t="shared" si="241"/>
        <v>-161.63240314700516</v>
      </c>
      <c r="G1411" s="1">
        <f t="shared" si="238"/>
        <v>6.3670640175601323E-71</v>
      </c>
      <c r="H1411" s="1">
        <f t="shared" si="231"/>
        <v>6.5961435695146747E-72</v>
      </c>
      <c r="I1411">
        <f t="shared" si="232"/>
        <v>8</v>
      </c>
      <c r="J1411">
        <f t="shared" si="233"/>
        <v>1378</v>
      </c>
      <c r="K1411" s="5">
        <f t="shared" si="234"/>
        <v>0</v>
      </c>
      <c r="L1411">
        <f t="shared" si="235"/>
        <v>53.4</v>
      </c>
      <c r="M1411">
        <f t="shared" si="236"/>
        <v>1</v>
      </c>
      <c r="N1411">
        <f t="shared" si="237"/>
        <v>0</v>
      </c>
    </row>
    <row r="1412" spans="4:14" x14ac:dyDescent="0.2">
      <c r="D1412">
        <f t="shared" si="239"/>
        <v>1389</v>
      </c>
      <c r="E1412" s="1">
        <f t="shared" si="240"/>
        <v>-161.17232359895712</v>
      </c>
      <c r="F1412" s="1">
        <f t="shared" si="241"/>
        <v>-161.74893696326112</v>
      </c>
      <c r="G1412" s="1">
        <f t="shared" si="238"/>
        <v>5.6666869756285141E-71</v>
      </c>
      <c r="H1412" s="1">
        <f t="shared" si="231"/>
        <v>5.8705677768680574E-72</v>
      </c>
      <c r="I1412">
        <f t="shared" si="232"/>
        <v>8</v>
      </c>
      <c r="J1412">
        <f t="shared" si="233"/>
        <v>1379</v>
      </c>
      <c r="K1412" s="5">
        <f t="shared" si="234"/>
        <v>0</v>
      </c>
      <c r="L1412">
        <f t="shared" si="235"/>
        <v>53.4</v>
      </c>
      <c r="M1412">
        <f t="shared" si="236"/>
        <v>1</v>
      </c>
      <c r="N1412">
        <f t="shared" si="237"/>
        <v>0</v>
      </c>
    </row>
    <row r="1413" spans="4:14" x14ac:dyDescent="0.2">
      <c r="D1413">
        <f t="shared" si="239"/>
        <v>1390</v>
      </c>
      <c r="E1413" s="1">
        <f t="shared" si="240"/>
        <v>-161.28885741521307</v>
      </c>
      <c r="F1413" s="1">
        <f t="shared" si="241"/>
        <v>-161.86547077951707</v>
      </c>
      <c r="G1413" s="1">
        <f t="shared" si="238"/>
        <v>5.043351408309374E-71</v>
      </c>
      <c r="H1413" s="1">
        <f t="shared" si="231"/>
        <v>5.2248053214125673E-72</v>
      </c>
      <c r="I1413">
        <f t="shared" si="232"/>
        <v>8</v>
      </c>
      <c r="J1413">
        <f t="shared" si="233"/>
        <v>1380</v>
      </c>
      <c r="K1413" s="5">
        <f t="shared" si="234"/>
        <v>0</v>
      </c>
      <c r="L1413">
        <f t="shared" si="235"/>
        <v>53.4</v>
      </c>
      <c r="M1413">
        <f t="shared" si="236"/>
        <v>1</v>
      </c>
      <c r="N1413">
        <f t="shared" si="237"/>
        <v>0</v>
      </c>
    </row>
    <row r="1414" spans="4:14" x14ac:dyDescent="0.2">
      <c r="D1414">
        <f t="shared" si="239"/>
        <v>1391</v>
      </c>
      <c r="E1414" s="1">
        <f t="shared" si="240"/>
        <v>-161.40539123146903</v>
      </c>
      <c r="F1414" s="1">
        <f t="shared" si="241"/>
        <v>-161.98200459577302</v>
      </c>
      <c r="G1414" s="1">
        <f t="shared" si="238"/>
        <v>4.4885827533953405E-71</v>
      </c>
      <c r="H1414" s="1">
        <f t="shared" si="231"/>
        <v>4.6500767360571821E-72</v>
      </c>
      <c r="I1414">
        <f t="shared" si="232"/>
        <v>8</v>
      </c>
      <c r="J1414">
        <f t="shared" si="233"/>
        <v>1381</v>
      </c>
      <c r="K1414" s="5">
        <f t="shared" si="234"/>
        <v>0</v>
      </c>
      <c r="L1414">
        <f t="shared" si="235"/>
        <v>53.4</v>
      </c>
      <c r="M1414">
        <f t="shared" si="236"/>
        <v>1</v>
      </c>
      <c r="N1414">
        <f t="shared" si="237"/>
        <v>0</v>
      </c>
    </row>
    <row r="1415" spans="4:14" x14ac:dyDescent="0.2">
      <c r="D1415">
        <f t="shared" si="239"/>
        <v>1392</v>
      </c>
      <c r="E1415" s="1">
        <f t="shared" si="240"/>
        <v>-161.52192504772498</v>
      </c>
      <c r="F1415" s="1">
        <f t="shared" si="241"/>
        <v>-162.09853841202897</v>
      </c>
      <c r="G1415" s="1">
        <f t="shared" si="238"/>
        <v>3.9948386505218503E-71</v>
      </c>
      <c r="H1415" s="1">
        <f t="shared" si="231"/>
        <v>4.1385682950908893E-72</v>
      </c>
      <c r="I1415">
        <f t="shared" si="232"/>
        <v>8</v>
      </c>
      <c r="J1415">
        <f t="shared" si="233"/>
        <v>1382</v>
      </c>
      <c r="K1415" s="5">
        <f t="shared" si="234"/>
        <v>0</v>
      </c>
      <c r="L1415">
        <f t="shared" si="235"/>
        <v>53.4</v>
      </c>
      <c r="M1415">
        <f t="shared" si="236"/>
        <v>1</v>
      </c>
      <c r="N1415">
        <f t="shared" si="237"/>
        <v>0</v>
      </c>
    </row>
    <row r="1416" spans="4:14" x14ac:dyDescent="0.2">
      <c r="D1416">
        <f t="shared" si="239"/>
        <v>1393</v>
      </c>
      <c r="E1416" s="1">
        <f t="shared" si="240"/>
        <v>-161.63845886398093</v>
      </c>
      <c r="F1416" s="1">
        <f t="shared" si="241"/>
        <v>-162.21507222828492</v>
      </c>
      <c r="G1416" s="1">
        <f t="shared" si="238"/>
        <v>3.5554063989644444E-71</v>
      </c>
      <c r="H1416" s="1">
        <f t="shared" si="231"/>
        <v>3.683325782630889E-72</v>
      </c>
      <c r="I1416">
        <f t="shared" si="232"/>
        <v>8</v>
      </c>
      <c r="J1416">
        <f t="shared" si="233"/>
        <v>1383</v>
      </c>
      <c r="K1416" s="5">
        <f t="shared" si="234"/>
        <v>0</v>
      </c>
      <c r="L1416">
        <f t="shared" si="235"/>
        <v>53.4</v>
      </c>
      <c r="M1416">
        <f t="shared" si="236"/>
        <v>1</v>
      </c>
      <c r="N1416">
        <f t="shared" si="237"/>
        <v>0</v>
      </c>
    </row>
    <row r="1417" spans="4:14" x14ac:dyDescent="0.2">
      <c r="D1417">
        <f t="shared" si="239"/>
        <v>1394</v>
      </c>
      <c r="E1417" s="1">
        <f t="shared" si="240"/>
        <v>-161.75499268023688</v>
      </c>
      <c r="F1417" s="1">
        <f t="shared" si="241"/>
        <v>-162.33160604454088</v>
      </c>
      <c r="G1417" s="1">
        <f t="shared" si="238"/>
        <v>3.1643116950783537E-71</v>
      </c>
      <c r="H1417" s="1">
        <f t="shared" si="231"/>
        <v>3.2781599465414896E-72</v>
      </c>
      <c r="I1417">
        <f t="shared" si="232"/>
        <v>8</v>
      </c>
      <c r="J1417">
        <f t="shared" si="233"/>
        <v>1384</v>
      </c>
      <c r="K1417" s="5">
        <f t="shared" si="234"/>
        <v>0</v>
      </c>
      <c r="L1417">
        <f t="shared" si="235"/>
        <v>53.4</v>
      </c>
      <c r="M1417">
        <f t="shared" si="236"/>
        <v>1</v>
      </c>
      <c r="N1417">
        <f t="shared" si="237"/>
        <v>0</v>
      </c>
    </row>
    <row r="1418" spans="4:14" x14ac:dyDescent="0.2">
      <c r="D1418">
        <f t="shared" si="239"/>
        <v>1395</v>
      </c>
      <c r="E1418" s="1">
        <f t="shared" si="240"/>
        <v>-161.87152649649283</v>
      </c>
      <c r="F1418" s="1">
        <f t="shared" si="241"/>
        <v>-162.44813986079683</v>
      </c>
      <c r="G1418" s="1">
        <f t="shared" si="238"/>
        <v>2.816237408619733E-71</v>
      </c>
      <c r="H1418" s="1">
        <f t="shared" si="231"/>
        <v>2.9175623524219235E-72</v>
      </c>
      <c r="I1418">
        <f t="shared" si="232"/>
        <v>8</v>
      </c>
      <c r="J1418">
        <f t="shared" si="233"/>
        <v>1385</v>
      </c>
      <c r="K1418" s="5">
        <f t="shared" si="234"/>
        <v>0</v>
      </c>
      <c r="L1418">
        <f t="shared" si="235"/>
        <v>53.4</v>
      </c>
      <c r="M1418">
        <f t="shared" si="236"/>
        <v>1</v>
      </c>
      <c r="N1418">
        <f t="shared" si="237"/>
        <v>0</v>
      </c>
    </row>
    <row r="1419" spans="4:14" x14ac:dyDescent="0.2">
      <c r="D1419">
        <f t="shared" si="239"/>
        <v>1396</v>
      </c>
      <c r="E1419" s="1">
        <f t="shared" si="240"/>
        <v>-161.98806031274879</v>
      </c>
      <c r="F1419" s="1">
        <f t="shared" si="241"/>
        <v>-162.56467367705278</v>
      </c>
      <c r="G1419" s="1">
        <f t="shared" si="238"/>
        <v>2.5064512936715608E-71</v>
      </c>
      <c r="H1419" s="1">
        <f t="shared" si="231"/>
        <v>2.5966304936555106E-72</v>
      </c>
      <c r="I1419">
        <f t="shared" si="232"/>
        <v>8</v>
      </c>
      <c r="J1419">
        <f t="shared" si="233"/>
        <v>1386</v>
      </c>
      <c r="K1419" s="5">
        <f t="shared" si="234"/>
        <v>0</v>
      </c>
      <c r="L1419">
        <f t="shared" si="235"/>
        <v>53.4</v>
      </c>
      <c r="M1419">
        <f t="shared" si="236"/>
        <v>1</v>
      </c>
      <c r="N1419">
        <f t="shared" si="237"/>
        <v>0</v>
      </c>
    </row>
    <row r="1420" spans="4:14" x14ac:dyDescent="0.2">
      <c r="D1420">
        <f t="shared" si="239"/>
        <v>1397</v>
      </c>
      <c r="E1420" s="1">
        <f t="shared" si="240"/>
        <v>-162.10459412900474</v>
      </c>
      <c r="F1420" s="1">
        <f t="shared" si="241"/>
        <v>-162.68120749330873</v>
      </c>
      <c r="G1420" s="1">
        <f t="shared" si="238"/>
        <v>2.2307416513676877E-71</v>
      </c>
      <c r="H1420" s="1">
        <f t="shared" si="231"/>
        <v>2.3110011393534031E-72</v>
      </c>
      <c r="I1420">
        <f t="shared" si="232"/>
        <v>8</v>
      </c>
      <c r="J1420">
        <f t="shared" si="233"/>
        <v>1387</v>
      </c>
      <c r="K1420" s="5">
        <f t="shared" si="234"/>
        <v>0</v>
      </c>
      <c r="L1420">
        <f t="shared" si="235"/>
        <v>53.4</v>
      </c>
      <c r="M1420">
        <f t="shared" si="236"/>
        <v>1</v>
      </c>
      <c r="N1420">
        <f t="shared" si="237"/>
        <v>0</v>
      </c>
    </row>
    <row r="1421" spans="4:14" x14ac:dyDescent="0.2">
      <c r="D1421">
        <f t="shared" si="239"/>
        <v>1398</v>
      </c>
      <c r="E1421" s="1">
        <f t="shared" si="240"/>
        <v>-162.22112794526069</v>
      </c>
      <c r="F1421" s="1">
        <f t="shared" si="241"/>
        <v>-162.79774130956469</v>
      </c>
      <c r="G1421" s="1">
        <f t="shared" si="238"/>
        <v>1.9853600697172407E-71</v>
      </c>
      <c r="H1421" s="1">
        <f t="shared" si="231"/>
        <v>2.0567910140245272E-72</v>
      </c>
      <c r="I1421">
        <f t="shared" si="232"/>
        <v>8</v>
      </c>
      <c r="J1421">
        <f t="shared" si="233"/>
        <v>1388</v>
      </c>
      <c r="K1421" s="5">
        <f t="shared" si="234"/>
        <v>0</v>
      </c>
      <c r="L1421">
        <f t="shared" si="235"/>
        <v>53.4</v>
      </c>
      <c r="M1421">
        <f t="shared" si="236"/>
        <v>1</v>
      </c>
      <c r="N1421">
        <f t="shared" si="237"/>
        <v>0</v>
      </c>
    </row>
    <row r="1422" spans="4:14" x14ac:dyDescent="0.2">
      <c r="D1422">
        <f t="shared" si="239"/>
        <v>1399</v>
      </c>
      <c r="E1422" s="1">
        <f t="shared" si="240"/>
        <v>-162.33766176151664</v>
      </c>
      <c r="F1422" s="1">
        <f t="shared" si="241"/>
        <v>-162.91427512582064</v>
      </c>
      <c r="G1422" s="1">
        <f t="shared" si="238"/>
        <v>1.7669704620483432E-71</v>
      </c>
      <c r="H1422" s="1">
        <f t="shared" si="231"/>
        <v>1.8305440024818281E-72</v>
      </c>
      <c r="I1422">
        <f t="shared" si="232"/>
        <v>8</v>
      </c>
      <c r="J1422">
        <f t="shared" si="233"/>
        <v>1389</v>
      </c>
      <c r="K1422" s="5">
        <f t="shared" si="234"/>
        <v>0</v>
      </c>
      <c r="L1422">
        <f t="shared" si="235"/>
        <v>53.4</v>
      </c>
      <c r="M1422">
        <f t="shared" si="236"/>
        <v>1</v>
      </c>
      <c r="N1422">
        <f t="shared" si="237"/>
        <v>0</v>
      </c>
    </row>
    <row r="1423" spans="4:14" x14ac:dyDescent="0.2">
      <c r="D1423">
        <f t="shared" si="239"/>
        <v>1400</v>
      </c>
      <c r="E1423" s="1">
        <f t="shared" si="240"/>
        <v>-162.45419557777259</v>
      </c>
      <c r="F1423" s="1">
        <f t="shared" si="241"/>
        <v>-163.03080894207659</v>
      </c>
      <c r="G1423" s="1">
        <f t="shared" si="238"/>
        <v>1.5726037112230244E-71</v>
      </c>
      <c r="H1423" s="1">
        <f t="shared" si="231"/>
        <v>1.6291841622088259E-72</v>
      </c>
      <c r="I1423">
        <f t="shared" si="232"/>
        <v>8</v>
      </c>
      <c r="J1423">
        <f t="shared" si="233"/>
        <v>1390</v>
      </c>
      <c r="K1423" s="5">
        <f t="shared" si="234"/>
        <v>0</v>
      </c>
      <c r="L1423">
        <f t="shared" si="235"/>
        <v>53.4</v>
      </c>
      <c r="M1423">
        <f t="shared" si="236"/>
        <v>1</v>
      </c>
      <c r="N1423">
        <f t="shared" si="237"/>
        <v>0</v>
      </c>
    </row>
    <row r="1424" spans="4:14" x14ac:dyDescent="0.2">
      <c r="D1424">
        <f t="shared" si="239"/>
        <v>1401</v>
      </c>
      <c r="E1424" s="1">
        <f t="shared" si="240"/>
        <v>-162.57072939402855</v>
      </c>
      <c r="F1424" s="1">
        <f t="shared" si="241"/>
        <v>-163.14734275833254</v>
      </c>
      <c r="G1424" s="1">
        <f t="shared" si="238"/>
        <v>1.3996173029884908E-71</v>
      </c>
      <c r="H1424" s="1">
        <f t="shared" si="231"/>
        <v>1.449973904365854E-72</v>
      </c>
      <c r="I1424">
        <f t="shared" si="232"/>
        <v>8</v>
      </c>
      <c r="J1424">
        <f t="shared" si="233"/>
        <v>1391</v>
      </c>
      <c r="K1424" s="5">
        <f t="shared" si="234"/>
        <v>0</v>
      </c>
      <c r="L1424">
        <f t="shared" si="235"/>
        <v>53.4</v>
      </c>
      <c r="M1424">
        <f t="shared" si="236"/>
        <v>1</v>
      </c>
      <c r="N1424">
        <f t="shared" si="237"/>
        <v>0</v>
      </c>
    </row>
    <row r="1425" spans="4:14" x14ac:dyDescent="0.2">
      <c r="D1425">
        <f t="shared" si="239"/>
        <v>1402</v>
      </c>
      <c r="E1425" s="1">
        <f t="shared" si="240"/>
        <v>-162.6872632102845</v>
      </c>
      <c r="F1425" s="1">
        <f t="shared" si="241"/>
        <v>-163.26387657458849</v>
      </c>
      <c r="G1425" s="1">
        <f t="shared" si="238"/>
        <v>1.2456593996597561E-71</v>
      </c>
      <c r="H1425" s="1">
        <f t="shared" si="231"/>
        <v>1.2904767748856095E-72</v>
      </c>
      <c r="I1425">
        <f t="shared" si="232"/>
        <v>8</v>
      </c>
      <c r="J1425">
        <f t="shared" si="233"/>
        <v>1392</v>
      </c>
      <c r="K1425" s="5">
        <f t="shared" si="234"/>
        <v>0</v>
      </c>
      <c r="L1425">
        <f t="shared" si="235"/>
        <v>53.4</v>
      </c>
      <c r="M1425">
        <f t="shared" si="236"/>
        <v>1</v>
      </c>
      <c r="N1425">
        <f t="shared" si="237"/>
        <v>0</v>
      </c>
    </row>
    <row r="1426" spans="4:14" x14ac:dyDescent="0.2">
      <c r="D1426">
        <f t="shared" si="239"/>
        <v>1403</v>
      </c>
      <c r="E1426" s="1">
        <f t="shared" si="240"/>
        <v>-162.80379702654045</v>
      </c>
      <c r="F1426" s="1">
        <f t="shared" si="241"/>
        <v>-163.38041039084445</v>
      </c>
      <c r="G1426" s="1">
        <f t="shared" si="238"/>
        <v>1.1086368656971821E-71</v>
      </c>
      <c r="H1426" s="1">
        <f t="shared" si="231"/>
        <v>1.1485243296481915E-72</v>
      </c>
      <c r="I1426">
        <f t="shared" si="232"/>
        <v>8</v>
      </c>
      <c r="J1426">
        <f t="shared" si="233"/>
        <v>1393</v>
      </c>
      <c r="K1426" s="5">
        <f t="shared" si="234"/>
        <v>0</v>
      </c>
      <c r="L1426">
        <f t="shared" si="235"/>
        <v>53.4</v>
      </c>
      <c r="M1426">
        <f t="shared" si="236"/>
        <v>1</v>
      </c>
      <c r="N1426">
        <f t="shared" si="237"/>
        <v>0</v>
      </c>
    </row>
    <row r="1427" spans="4:14" x14ac:dyDescent="0.2">
      <c r="D1427">
        <f t="shared" si="239"/>
        <v>1404</v>
      </c>
      <c r="E1427" s="1">
        <f t="shared" si="240"/>
        <v>-162.9203308427964</v>
      </c>
      <c r="F1427" s="1">
        <f t="shared" si="241"/>
        <v>-163.4969442071004</v>
      </c>
      <c r="G1427" s="1">
        <f t="shared" si="238"/>
        <v>9.8668681047049152E-72</v>
      </c>
      <c r="H1427" s="1">
        <f t="shared" si="231"/>
        <v>1.0221866533868899E-72</v>
      </c>
      <c r="I1427">
        <f t="shared" si="232"/>
        <v>8</v>
      </c>
      <c r="J1427">
        <f t="shared" si="233"/>
        <v>1394</v>
      </c>
      <c r="K1427" s="5">
        <f t="shared" si="234"/>
        <v>0</v>
      </c>
      <c r="L1427">
        <f t="shared" si="235"/>
        <v>53.4</v>
      </c>
      <c r="M1427">
        <f t="shared" si="236"/>
        <v>1</v>
      </c>
      <c r="N1427">
        <f t="shared" si="237"/>
        <v>0</v>
      </c>
    </row>
    <row r="1428" spans="4:14" x14ac:dyDescent="0.2">
      <c r="D1428">
        <f t="shared" si="239"/>
        <v>1405</v>
      </c>
      <c r="E1428" s="1">
        <f t="shared" si="240"/>
        <v>-163.03686465905236</v>
      </c>
      <c r="F1428" s="1">
        <f t="shared" si="241"/>
        <v>-163.61347802335635</v>
      </c>
      <c r="G1428" s="1">
        <f t="shared" si="238"/>
        <v>8.7815126131873696E-72</v>
      </c>
      <c r="H1428" s="1">
        <f t="shared" si="231"/>
        <v>9.0974612151433151E-73</v>
      </c>
      <c r="I1428">
        <f t="shared" si="232"/>
        <v>8</v>
      </c>
      <c r="J1428">
        <f t="shared" si="233"/>
        <v>1395</v>
      </c>
      <c r="K1428" s="5">
        <f t="shared" si="234"/>
        <v>0</v>
      </c>
      <c r="L1428">
        <f t="shared" si="235"/>
        <v>53.4</v>
      </c>
      <c r="M1428">
        <f t="shared" si="236"/>
        <v>1</v>
      </c>
      <c r="N1428">
        <f t="shared" si="237"/>
        <v>0</v>
      </c>
    </row>
    <row r="1429" spans="4:14" x14ac:dyDescent="0.2">
      <c r="D1429">
        <f t="shared" si="239"/>
        <v>1406</v>
      </c>
      <c r="E1429" s="1">
        <f t="shared" si="240"/>
        <v>-163.15339847530831</v>
      </c>
      <c r="F1429" s="1">
        <f t="shared" si="241"/>
        <v>-163.7300118396123</v>
      </c>
      <c r="G1429" s="1">
        <f t="shared" si="238"/>
        <v>7.8155462257367541E-72</v>
      </c>
      <c r="H1429" s="1">
        <f t="shared" si="231"/>
        <v>8.0967404814775451E-73</v>
      </c>
      <c r="I1429">
        <f t="shared" si="232"/>
        <v>8</v>
      </c>
      <c r="J1429">
        <f t="shared" si="233"/>
        <v>1396</v>
      </c>
      <c r="K1429" s="5">
        <f t="shared" si="234"/>
        <v>0</v>
      </c>
      <c r="L1429">
        <f t="shared" si="235"/>
        <v>53.4</v>
      </c>
      <c r="M1429">
        <f t="shared" si="236"/>
        <v>1</v>
      </c>
      <c r="N1429">
        <f t="shared" si="237"/>
        <v>0</v>
      </c>
    </row>
    <row r="1430" spans="4:14" x14ac:dyDescent="0.2">
      <c r="D1430">
        <f t="shared" si="239"/>
        <v>1407</v>
      </c>
      <c r="E1430" s="1">
        <f t="shared" si="240"/>
        <v>-163.26993229156426</v>
      </c>
      <c r="F1430" s="1">
        <f t="shared" si="241"/>
        <v>-163.84654565586825</v>
      </c>
      <c r="G1430" s="1">
        <f t="shared" si="238"/>
        <v>6.9558361409057062E-72</v>
      </c>
      <c r="H1430" s="1">
        <f t="shared" si="231"/>
        <v>7.2060990285150104E-73</v>
      </c>
      <c r="I1430">
        <f t="shared" si="232"/>
        <v>8</v>
      </c>
      <c r="J1430">
        <f t="shared" si="233"/>
        <v>1397</v>
      </c>
      <c r="K1430" s="5">
        <f t="shared" si="234"/>
        <v>0</v>
      </c>
      <c r="L1430">
        <f t="shared" si="235"/>
        <v>53.4</v>
      </c>
      <c r="M1430">
        <f t="shared" si="236"/>
        <v>1</v>
      </c>
      <c r="N1430">
        <f t="shared" si="237"/>
        <v>0</v>
      </c>
    </row>
    <row r="1431" spans="4:14" x14ac:dyDescent="0.2">
      <c r="D1431">
        <f t="shared" si="239"/>
        <v>1408</v>
      </c>
      <c r="E1431" s="1">
        <f t="shared" si="240"/>
        <v>-163.38646610782021</v>
      </c>
      <c r="F1431" s="1">
        <f t="shared" si="241"/>
        <v>-163.96307947212421</v>
      </c>
      <c r="G1431" s="1">
        <f t="shared" si="238"/>
        <v>6.1906941654060745E-72</v>
      </c>
      <c r="H1431" s="1">
        <f t="shared" ref="H1431:H1494" si="242">G1431/$G$21</f>
        <v>6.4134281353783552E-73</v>
      </c>
      <c r="I1431">
        <f t="shared" ref="I1431:I1494" si="243">IF($F$11&lt;=D1431, IF(D1431&lt;=$A$15,D1431-$F$11,$C$11),0)</f>
        <v>8</v>
      </c>
      <c r="J1431">
        <f t="shared" ref="J1431:J1494" si="244">IF(D1431&lt;=$A$15,0,D1431-$A$15)</f>
        <v>1398</v>
      </c>
      <c r="K1431" s="5">
        <f t="shared" ref="K1431:K1494" si="245">IF(D1431&lt;$F$11,H1431,0)</f>
        <v>0</v>
      </c>
      <c r="L1431">
        <f t="shared" ref="L1431:L1494" si="246">IF(D1431&lt;$A$15,$D$11,$D$11*(1-$H$11))</f>
        <v>53.4</v>
      </c>
      <c r="M1431">
        <f t="shared" ref="M1431:M1494" si="247">IF(D1431&lt;$A$15,0,1)</f>
        <v>1</v>
      </c>
      <c r="N1431">
        <f t="shared" ref="N1431:N1494" si="248">IF(SUM(I1431:J1431)&lt;=($G$11/60*$F$11/($E$11/60)),1,0)</f>
        <v>0</v>
      </c>
    </row>
    <row r="1432" spans="4:14" x14ac:dyDescent="0.2">
      <c r="D1432">
        <f t="shared" si="239"/>
        <v>1409</v>
      </c>
      <c r="E1432" s="1">
        <f t="shared" si="240"/>
        <v>-163.50299992407616</v>
      </c>
      <c r="F1432" s="1">
        <f t="shared" si="241"/>
        <v>-164.07961328838016</v>
      </c>
      <c r="G1432" s="1">
        <f t="shared" ref="G1432:G1495" si="249">EXP(F1432)</f>
        <v>5.5097178072114033E-72</v>
      </c>
      <c r="H1432" s="1">
        <f t="shared" si="242"/>
        <v>5.7079510404867332E-73</v>
      </c>
      <c r="I1432">
        <f t="shared" si="243"/>
        <v>8</v>
      </c>
      <c r="J1432">
        <f t="shared" si="244"/>
        <v>1399</v>
      </c>
      <c r="K1432" s="5">
        <f t="shared" si="245"/>
        <v>0</v>
      </c>
      <c r="L1432">
        <f t="shared" si="246"/>
        <v>53.4</v>
      </c>
      <c r="M1432">
        <f t="shared" si="247"/>
        <v>1</v>
      </c>
      <c r="N1432">
        <f t="shared" si="248"/>
        <v>0</v>
      </c>
    </row>
    <row r="1433" spans="4:14" x14ac:dyDescent="0.2">
      <c r="D1433">
        <f t="shared" ref="D1433:D1496" si="250">1+D1432</f>
        <v>1410</v>
      </c>
      <c r="E1433" s="1">
        <f t="shared" ref="E1433:E1496" si="251">IF($H$11=1,IF(D1433&lt;=$A$15, E1432+LN($D$11)-LN(60/$E$11)-LN(MIN(D1433,$F$11)), E1432-LN(60/$E$11)-LN(MIN(D1433,$F$11))), IF(D1433&lt;=$A$15, E1432+LN($D$11)-LN(60/$E$11)-LN(MIN(D1433,$F$11)), E1432+LN($D$11)+LN(1-$H$11)-LN(60/$E$11)-LN(MIN(D1433,$F$11))))</f>
        <v>-163.61953374033212</v>
      </c>
      <c r="F1433" s="1">
        <f t="shared" ref="F1433:F1496" si="252">E1433-$E$21</f>
        <v>-164.19614710463611</v>
      </c>
      <c r="G1433" s="1">
        <f t="shared" si="249"/>
        <v>4.9036488484181457E-72</v>
      </c>
      <c r="H1433" s="1">
        <f t="shared" si="242"/>
        <v>5.0800764260331887E-73</v>
      </c>
      <c r="I1433">
        <f t="shared" si="243"/>
        <v>8</v>
      </c>
      <c r="J1433">
        <f t="shared" si="244"/>
        <v>1400</v>
      </c>
      <c r="K1433" s="5">
        <f t="shared" si="245"/>
        <v>0</v>
      </c>
      <c r="L1433">
        <f t="shared" si="246"/>
        <v>53.4</v>
      </c>
      <c r="M1433">
        <f t="shared" si="247"/>
        <v>1</v>
      </c>
      <c r="N1433">
        <f t="shared" si="248"/>
        <v>0</v>
      </c>
    </row>
    <row r="1434" spans="4:14" x14ac:dyDescent="0.2">
      <c r="D1434">
        <f t="shared" si="250"/>
        <v>1411</v>
      </c>
      <c r="E1434" s="1">
        <f t="shared" si="251"/>
        <v>-163.73606755658807</v>
      </c>
      <c r="F1434" s="1">
        <f t="shared" si="252"/>
        <v>-164.31268092089206</v>
      </c>
      <c r="G1434" s="1">
        <f t="shared" si="249"/>
        <v>4.364247475092147E-72</v>
      </c>
      <c r="H1434" s="1">
        <f t="shared" si="242"/>
        <v>4.521268019169535E-73</v>
      </c>
      <c r="I1434">
        <f t="shared" si="243"/>
        <v>8</v>
      </c>
      <c r="J1434">
        <f t="shared" si="244"/>
        <v>1401</v>
      </c>
      <c r="K1434" s="5">
        <f t="shared" si="245"/>
        <v>0</v>
      </c>
      <c r="L1434">
        <f t="shared" si="246"/>
        <v>53.4</v>
      </c>
      <c r="M1434">
        <f t="shared" si="247"/>
        <v>1</v>
      </c>
      <c r="N1434">
        <f t="shared" si="248"/>
        <v>0</v>
      </c>
    </row>
    <row r="1435" spans="4:14" x14ac:dyDescent="0.2">
      <c r="D1435">
        <f t="shared" si="250"/>
        <v>1412</v>
      </c>
      <c r="E1435" s="1">
        <f t="shared" si="251"/>
        <v>-163.85260137284402</v>
      </c>
      <c r="F1435" s="1">
        <f t="shared" si="252"/>
        <v>-164.42921473714802</v>
      </c>
      <c r="G1435" s="1">
        <f t="shared" si="249"/>
        <v>3.8841802528320084E-72</v>
      </c>
      <c r="H1435" s="1">
        <f t="shared" si="242"/>
        <v>4.0239285370608839E-73</v>
      </c>
      <c r="I1435">
        <f t="shared" si="243"/>
        <v>8</v>
      </c>
      <c r="J1435">
        <f t="shared" si="244"/>
        <v>1402</v>
      </c>
      <c r="K1435" s="5">
        <f t="shared" si="245"/>
        <v>0</v>
      </c>
      <c r="L1435">
        <f t="shared" si="246"/>
        <v>53.4</v>
      </c>
      <c r="M1435">
        <f t="shared" si="247"/>
        <v>1</v>
      </c>
      <c r="N1435">
        <f t="shared" si="248"/>
        <v>0</v>
      </c>
    </row>
    <row r="1436" spans="4:14" x14ac:dyDescent="0.2">
      <c r="D1436">
        <f t="shared" si="250"/>
        <v>1413</v>
      </c>
      <c r="E1436" s="1">
        <f t="shared" si="251"/>
        <v>-163.96913518909997</v>
      </c>
      <c r="F1436" s="1">
        <f t="shared" si="252"/>
        <v>-164.54574855340397</v>
      </c>
      <c r="G1436" s="1">
        <f t="shared" si="249"/>
        <v>3.4569204250204849E-72</v>
      </c>
      <c r="H1436" s="1">
        <f t="shared" si="242"/>
        <v>3.5812963979841839E-73</v>
      </c>
      <c r="I1436">
        <f t="shared" si="243"/>
        <v>8</v>
      </c>
      <c r="J1436">
        <f t="shared" si="244"/>
        <v>1403</v>
      </c>
      <c r="K1436" s="5">
        <f t="shared" si="245"/>
        <v>0</v>
      </c>
      <c r="L1436">
        <f t="shared" si="246"/>
        <v>53.4</v>
      </c>
      <c r="M1436">
        <f t="shared" si="247"/>
        <v>1</v>
      </c>
      <c r="N1436">
        <f t="shared" si="248"/>
        <v>0</v>
      </c>
    </row>
    <row r="1437" spans="4:14" x14ac:dyDescent="0.2">
      <c r="D1437">
        <f t="shared" si="250"/>
        <v>1414</v>
      </c>
      <c r="E1437" s="1">
        <f t="shared" si="251"/>
        <v>-164.08566900535592</v>
      </c>
      <c r="F1437" s="1">
        <f t="shared" si="252"/>
        <v>-164.66228236965992</v>
      </c>
      <c r="G1437" s="1">
        <f t="shared" si="249"/>
        <v>3.0766591782682298E-72</v>
      </c>
      <c r="H1437" s="1">
        <f t="shared" si="242"/>
        <v>3.187353794205922E-73</v>
      </c>
      <c r="I1437">
        <f t="shared" si="243"/>
        <v>8</v>
      </c>
      <c r="J1437">
        <f t="shared" si="244"/>
        <v>1404</v>
      </c>
      <c r="K1437" s="5">
        <f t="shared" si="245"/>
        <v>0</v>
      </c>
      <c r="L1437">
        <f t="shared" si="246"/>
        <v>53.4</v>
      </c>
      <c r="M1437">
        <f t="shared" si="247"/>
        <v>1</v>
      </c>
      <c r="N1437">
        <f t="shared" si="248"/>
        <v>0</v>
      </c>
    </row>
    <row r="1438" spans="4:14" x14ac:dyDescent="0.2">
      <c r="D1438">
        <f t="shared" si="250"/>
        <v>1415</v>
      </c>
      <c r="E1438" s="1">
        <f t="shared" si="251"/>
        <v>-164.20220282161188</v>
      </c>
      <c r="F1438" s="1">
        <f t="shared" si="252"/>
        <v>-164.77881618591587</v>
      </c>
      <c r="G1438" s="1">
        <f t="shared" si="249"/>
        <v>2.7382266686587228E-72</v>
      </c>
      <c r="H1438" s="1">
        <f t="shared" si="242"/>
        <v>2.8367448768432685E-73</v>
      </c>
      <c r="I1438">
        <f t="shared" si="243"/>
        <v>8</v>
      </c>
      <c r="J1438">
        <f t="shared" si="244"/>
        <v>1405</v>
      </c>
      <c r="K1438" s="5">
        <f t="shared" si="245"/>
        <v>0</v>
      </c>
      <c r="L1438">
        <f t="shared" si="246"/>
        <v>53.4</v>
      </c>
      <c r="M1438">
        <f t="shared" si="247"/>
        <v>1</v>
      </c>
      <c r="N1438">
        <f t="shared" si="248"/>
        <v>0</v>
      </c>
    </row>
    <row r="1439" spans="4:14" x14ac:dyDescent="0.2">
      <c r="D1439">
        <f t="shared" si="250"/>
        <v>1416</v>
      </c>
      <c r="E1439" s="1">
        <f t="shared" si="251"/>
        <v>-164.31873663786783</v>
      </c>
      <c r="F1439" s="1">
        <f t="shared" si="252"/>
        <v>-164.89535000217182</v>
      </c>
      <c r="G1439" s="1">
        <f t="shared" si="249"/>
        <v>2.437021735106262E-72</v>
      </c>
      <c r="H1439" s="1">
        <f t="shared" si="242"/>
        <v>2.5247029403905079E-73</v>
      </c>
      <c r="I1439">
        <f t="shared" si="243"/>
        <v>8</v>
      </c>
      <c r="J1439">
        <f t="shared" si="244"/>
        <v>1406</v>
      </c>
      <c r="K1439" s="5">
        <f t="shared" si="245"/>
        <v>0</v>
      </c>
      <c r="L1439">
        <f t="shared" si="246"/>
        <v>53.4</v>
      </c>
      <c r="M1439">
        <f t="shared" si="247"/>
        <v>1</v>
      </c>
      <c r="N1439">
        <f t="shared" si="248"/>
        <v>0</v>
      </c>
    </row>
    <row r="1440" spans="4:14" x14ac:dyDescent="0.2">
      <c r="D1440">
        <f t="shared" si="250"/>
        <v>1417</v>
      </c>
      <c r="E1440" s="1">
        <f t="shared" si="251"/>
        <v>-164.43527045412378</v>
      </c>
      <c r="F1440" s="1">
        <f t="shared" si="252"/>
        <v>-165.01188381842778</v>
      </c>
      <c r="G1440" s="1">
        <f t="shared" si="249"/>
        <v>2.1689493442445715E-72</v>
      </c>
      <c r="H1440" s="1">
        <f t="shared" si="242"/>
        <v>2.2469856169475504E-73</v>
      </c>
      <c r="I1440">
        <f t="shared" si="243"/>
        <v>8</v>
      </c>
      <c r="J1440">
        <f t="shared" si="244"/>
        <v>1407</v>
      </c>
      <c r="K1440" s="5">
        <f t="shared" si="245"/>
        <v>0</v>
      </c>
      <c r="L1440">
        <f t="shared" si="246"/>
        <v>53.4</v>
      </c>
      <c r="M1440">
        <f t="shared" si="247"/>
        <v>1</v>
      </c>
      <c r="N1440">
        <f t="shared" si="248"/>
        <v>0</v>
      </c>
    </row>
    <row r="1441" spans="4:14" x14ac:dyDescent="0.2">
      <c r="D1441">
        <f t="shared" si="250"/>
        <v>1418</v>
      </c>
      <c r="E1441" s="1">
        <f t="shared" si="251"/>
        <v>-164.55180427037973</v>
      </c>
      <c r="F1441" s="1">
        <f t="shared" si="252"/>
        <v>-165.12841763468373</v>
      </c>
      <c r="G1441" s="1">
        <f t="shared" si="249"/>
        <v>1.9303649163776675E-72</v>
      </c>
      <c r="H1441" s="1">
        <f t="shared" si="242"/>
        <v>1.9998171990833186E-73</v>
      </c>
      <c r="I1441">
        <f t="shared" si="243"/>
        <v>8</v>
      </c>
      <c r="J1441">
        <f t="shared" si="244"/>
        <v>1408</v>
      </c>
      <c r="K1441" s="5">
        <f t="shared" si="245"/>
        <v>0</v>
      </c>
      <c r="L1441">
        <f t="shared" si="246"/>
        <v>53.4</v>
      </c>
      <c r="M1441">
        <f t="shared" si="247"/>
        <v>1</v>
      </c>
      <c r="N1441">
        <f t="shared" si="248"/>
        <v>0</v>
      </c>
    </row>
    <row r="1442" spans="4:14" x14ac:dyDescent="0.2">
      <c r="D1442">
        <f t="shared" si="250"/>
        <v>1419</v>
      </c>
      <c r="E1442" s="1">
        <f t="shared" si="251"/>
        <v>-164.66833808663569</v>
      </c>
      <c r="F1442" s="1">
        <f t="shared" si="252"/>
        <v>-165.24495145093968</v>
      </c>
      <c r="G1442" s="1">
        <f t="shared" si="249"/>
        <v>1.718024775576123E-72</v>
      </c>
      <c r="H1442" s="1">
        <f t="shared" si="242"/>
        <v>1.7798373071841522E-73</v>
      </c>
      <c r="I1442">
        <f t="shared" si="243"/>
        <v>8</v>
      </c>
      <c r="J1442">
        <f t="shared" si="244"/>
        <v>1409</v>
      </c>
      <c r="K1442" s="5">
        <f t="shared" si="245"/>
        <v>0</v>
      </c>
      <c r="L1442">
        <f t="shared" si="246"/>
        <v>53.4</v>
      </c>
      <c r="M1442">
        <f t="shared" si="247"/>
        <v>1</v>
      </c>
      <c r="N1442">
        <f t="shared" si="248"/>
        <v>0</v>
      </c>
    </row>
    <row r="1443" spans="4:14" x14ac:dyDescent="0.2">
      <c r="D1443">
        <f t="shared" si="250"/>
        <v>1420</v>
      </c>
      <c r="E1443" s="1">
        <f t="shared" si="251"/>
        <v>-164.78487190289164</v>
      </c>
      <c r="F1443" s="1">
        <f t="shared" si="252"/>
        <v>-165.36148526719563</v>
      </c>
      <c r="G1443" s="1">
        <f t="shared" si="249"/>
        <v>1.5290420502627485E-72</v>
      </c>
      <c r="H1443" s="1">
        <f t="shared" si="242"/>
        <v>1.5840552033938946E-73</v>
      </c>
      <c r="I1443">
        <f t="shared" si="243"/>
        <v>8</v>
      </c>
      <c r="J1443">
        <f t="shared" si="244"/>
        <v>1410</v>
      </c>
      <c r="K1443" s="5">
        <f t="shared" si="245"/>
        <v>0</v>
      </c>
      <c r="L1443">
        <f t="shared" si="246"/>
        <v>53.4</v>
      </c>
      <c r="M1443">
        <f t="shared" si="247"/>
        <v>1</v>
      </c>
      <c r="N1443">
        <f t="shared" si="248"/>
        <v>0</v>
      </c>
    </row>
    <row r="1444" spans="4:14" x14ac:dyDescent="0.2">
      <c r="D1444">
        <f t="shared" si="250"/>
        <v>1421</v>
      </c>
      <c r="E1444" s="1">
        <f t="shared" si="251"/>
        <v>-164.90140571914759</v>
      </c>
      <c r="F1444" s="1">
        <f t="shared" si="252"/>
        <v>-165.47801908345158</v>
      </c>
      <c r="G1444" s="1">
        <f t="shared" si="249"/>
        <v>1.3608474247338453E-72</v>
      </c>
      <c r="H1444" s="1">
        <f t="shared" si="242"/>
        <v>1.4098091310205653E-73</v>
      </c>
      <c r="I1444">
        <f t="shared" si="243"/>
        <v>8</v>
      </c>
      <c r="J1444">
        <f t="shared" si="244"/>
        <v>1411</v>
      </c>
      <c r="K1444" s="5">
        <f t="shared" si="245"/>
        <v>0</v>
      </c>
      <c r="L1444">
        <f t="shared" si="246"/>
        <v>53.4</v>
      </c>
      <c r="M1444">
        <f t="shared" si="247"/>
        <v>1</v>
      </c>
      <c r="N1444">
        <f t="shared" si="248"/>
        <v>0</v>
      </c>
    </row>
    <row r="1445" spans="4:14" x14ac:dyDescent="0.2">
      <c r="D1445">
        <f t="shared" si="250"/>
        <v>1422</v>
      </c>
      <c r="E1445" s="1">
        <f t="shared" si="251"/>
        <v>-165.01793953540354</v>
      </c>
      <c r="F1445" s="1">
        <f t="shared" si="252"/>
        <v>-165.59455289970754</v>
      </c>
      <c r="G1445" s="1">
        <f t="shared" si="249"/>
        <v>1.2111542080131217E-72</v>
      </c>
      <c r="H1445" s="1">
        <f t="shared" si="242"/>
        <v>1.2547301266083025E-73</v>
      </c>
      <c r="I1445">
        <f t="shared" si="243"/>
        <v>8</v>
      </c>
      <c r="J1445">
        <f t="shared" si="244"/>
        <v>1412</v>
      </c>
      <c r="K1445" s="5">
        <f t="shared" si="245"/>
        <v>0</v>
      </c>
      <c r="L1445">
        <f t="shared" si="246"/>
        <v>53.4</v>
      </c>
      <c r="M1445">
        <f t="shared" si="247"/>
        <v>1</v>
      </c>
      <c r="N1445">
        <f t="shared" si="248"/>
        <v>0</v>
      </c>
    </row>
    <row r="1446" spans="4:14" x14ac:dyDescent="0.2">
      <c r="D1446">
        <f t="shared" si="250"/>
        <v>1423</v>
      </c>
      <c r="E1446" s="1">
        <f t="shared" si="251"/>
        <v>-165.13447335165949</v>
      </c>
      <c r="F1446" s="1">
        <f t="shared" si="252"/>
        <v>-165.71108671596349</v>
      </c>
      <c r="G1446" s="1">
        <f t="shared" si="249"/>
        <v>1.0779272451316776E-72</v>
      </c>
      <c r="H1446" s="1">
        <f t="shared" si="242"/>
        <v>1.1167098126813884E-73</v>
      </c>
      <c r="I1446">
        <f t="shared" si="243"/>
        <v>8</v>
      </c>
      <c r="J1446">
        <f t="shared" si="244"/>
        <v>1413</v>
      </c>
      <c r="K1446" s="5">
        <f t="shared" si="245"/>
        <v>0</v>
      </c>
      <c r="L1446">
        <f t="shared" si="246"/>
        <v>53.4</v>
      </c>
      <c r="M1446">
        <f t="shared" si="247"/>
        <v>1</v>
      </c>
      <c r="N1446">
        <f t="shared" si="248"/>
        <v>0</v>
      </c>
    </row>
    <row r="1447" spans="4:14" x14ac:dyDescent="0.2">
      <c r="D1447">
        <f t="shared" si="250"/>
        <v>1424</v>
      </c>
      <c r="E1447" s="1">
        <f t="shared" si="251"/>
        <v>-165.25100716791545</v>
      </c>
      <c r="F1447" s="1">
        <f t="shared" si="252"/>
        <v>-165.82762053221944</v>
      </c>
      <c r="G1447" s="1">
        <f t="shared" si="249"/>
        <v>9.5935524816719233E-73</v>
      </c>
      <c r="H1447" s="1">
        <f t="shared" si="242"/>
        <v>9.9387173328643502E-74</v>
      </c>
      <c r="I1447">
        <f t="shared" si="243"/>
        <v>8</v>
      </c>
      <c r="J1447">
        <f t="shared" si="244"/>
        <v>1414</v>
      </c>
      <c r="K1447" s="5">
        <f t="shared" si="245"/>
        <v>0</v>
      </c>
      <c r="L1447">
        <f t="shared" si="246"/>
        <v>53.4</v>
      </c>
      <c r="M1447">
        <f t="shared" si="247"/>
        <v>1</v>
      </c>
      <c r="N1447">
        <f t="shared" si="248"/>
        <v>0</v>
      </c>
    </row>
    <row r="1448" spans="4:14" x14ac:dyDescent="0.2">
      <c r="D1448">
        <f t="shared" si="250"/>
        <v>1425</v>
      </c>
      <c r="E1448" s="1">
        <f t="shared" si="251"/>
        <v>-165.3675409841714</v>
      </c>
      <c r="F1448" s="1">
        <f t="shared" si="252"/>
        <v>-165.94415434847539</v>
      </c>
      <c r="G1448" s="1">
        <f t="shared" si="249"/>
        <v>8.5382617086880066E-73</v>
      </c>
      <c r="H1448" s="1">
        <f t="shared" si="242"/>
        <v>8.8454584262492662E-74</v>
      </c>
      <c r="I1448">
        <f t="shared" si="243"/>
        <v>8</v>
      </c>
      <c r="J1448">
        <f t="shared" si="244"/>
        <v>1415</v>
      </c>
      <c r="K1448" s="5">
        <f t="shared" si="245"/>
        <v>0</v>
      </c>
      <c r="L1448">
        <f t="shared" si="246"/>
        <v>53.4</v>
      </c>
      <c r="M1448">
        <f t="shared" si="247"/>
        <v>1</v>
      </c>
      <c r="N1448">
        <f t="shared" si="248"/>
        <v>0</v>
      </c>
    </row>
    <row r="1449" spans="4:14" x14ac:dyDescent="0.2">
      <c r="D1449">
        <f t="shared" si="250"/>
        <v>1426</v>
      </c>
      <c r="E1449" s="1">
        <f t="shared" si="251"/>
        <v>-165.48407480042735</v>
      </c>
      <c r="F1449" s="1">
        <f t="shared" si="252"/>
        <v>-166.06068816473135</v>
      </c>
      <c r="G1449" s="1">
        <f t="shared" si="249"/>
        <v>7.5990529207323215E-73</v>
      </c>
      <c r="H1449" s="1">
        <f t="shared" si="242"/>
        <v>7.872457999361842E-74</v>
      </c>
      <c r="I1449">
        <f t="shared" si="243"/>
        <v>8</v>
      </c>
      <c r="J1449">
        <f t="shared" si="244"/>
        <v>1416</v>
      </c>
      <c r="K1449" s="5">
        <f t="shared" si="245"/>
        <v>0</v>
      </c>
      <c r="L1449">
        <f t="shared" si="246"/>
        <v>53.4</v>
      </c>
      <c r="M1449">
        <f t="shared" si="247"/>
        <v>1</v>
      </c>
      <c r="N1449">
        <f t="shared" si="248"/>
        <v>0</v>
      </c>
    </row>
    <row r="1450" spans="4:14" x14ac:dyDescent="0.2">
      <c r="D1450">
        <f t="shared" si="250"/>
        <v>1427</v>
      </c>
      <c r="E1450" s="1">
        <f t="shared" si="251"/>
        <v>-165.6006086166833</v>
      </c>
      <c r="F1450" s="1">
        <f t="shared" si="252"/>
        <v>-166.1772219809873</v>
      </c>
      <c r="G1450" s="1">
        <f t="shared" si="249"/>
        <v>6.7631570994517622E-73</v>
      </c>
      <c r="H1450" s="1">
        <f t="shared" si="242"/>
        <v>7.0064876194320355E-74</v>
      </c>
      <c r="I1450">
        <f t="shared" si="243"/>
        <v>8</v>
      </c>
      <c r="J1450">
        <f t="shared" si="244"/>
        <v>1417</v>
      </c>
      <c r="K1450" s="5">
        <f t="shared" si="245"/>
        <v>0</v>
      </c>
      <c r="L1450">
        <f t="shared" si="246"/>
        <v>53.4</v>
      </c>
      <c r="M1450">
        <f t="shared" si="247"/>
        <v>1</v>
      </c>
      <c r="N1450">
        <f t="shared" si="248"/>
        <v>0</v>
      </c>
    </row>
    <row r="1451" spans="4:14" x14ac:dyDescent="0.2">
      <c r="D1451">
        <f t="shared" si="250"/>
        <v>1428</v>
      </c>
      <c r="E1451" s="1">
        <f t="shared" si="251"/>
        <v>-165.71714243293926</v>
      </c>
      <c r="F1451" s="1">
        <f t="shared" si="252"/>
        <v>-166.29375579724325</v>
      </c>
      <c r="G1451" s="1">
        <f t="shared" si="249"/>
        <v>6.0192098185120644E-73</v>
      </c>
      <c r="H1451" s="1">
        <f t="shared" si="242"/>
        <v>6.2357739812945071E-74</v>
      </c>
      <c r="I1451">
        <f t="shared" si="243"/>
        <v>8</v>
      </c>
      <c r="J1451">
        <f t="shared" si="244"/>
        <v>1418</v>
      </c>
      <c r="K1451" s="5">
        <f t="shared" si="245"/>
        <v>0</v>
      </c>
      <c r="L1451">
        <f t="shared" si="246"/>
        <v>53.4</v>
      </c>
      <c r="M1451">
        <f t="shared" si="247"/>
        <v>1</v>
      </c>
      <c r="N1451">
        <f t="shared" si="248"/>
        <v>0</v>
      </c>
    </row>
    <row r="1452" spans="4:14" x14ac:dyDescent="0.2">
      <c r="D1452">
        <f t="shared" si="250"/>
        <v>1429</v>
      </c>
      <c r="E1452" s="1">
        <f t="shared" si="251"/>
        <v>-165.83367624919521</v>
      </c>
      <c r="F1452" s="1">
        <f t="shared" si="252"/>
        <v>-166.4102896134992</v>
      </c>
      <c r="G1452" s="1">
        <f t="shared" si="249"/>
        <v>5.3570967384757339E-73</v>
      </c>
      <c r="H1452" s="1">
        <f t="shared" si="242"/>
        <v>5.5498388433521078E-74</v>
      </c>
      <c r="I1452">
        <f t="shared" si="243"/>
        <v>8</v>
      </c>
      <c r="J1452">
        <f t="shared" si="244"/>
        <v>1419</v>
      </c>
      <c r="K1452" s="5">
        <f t="shared" si="245"/>
        <v>0</v>
      </c>
      <c r="L1452">
        <f t="shared" si="246"/>
        <v>53.4</v>
      </c>
      <c r="M1452">
        <f t="shared" si="247"/>
        <v>1</v>
      </c>
      <c r="N1452">
        <f t="shared" si="248"/>
        <v>0</v>
      </c>
    </row>
    <row r="1453" spans="4:14" x14ac:dyDescent="0.2">
      <c r="D1453">
        <f t="shared" si="250"/>
        <v>1430</v>
      </c>
      <c r="E1453" s="1">
        <f t="shared" si="251"/>
        <v>-165.95021006545116</v>
      </c>
      <c r="F1453" s="1">
        <f t="shared" si="252"/>
        <v>-166.52682342975515</v>
      </c>
      <c r="G1453" s="1">
        <f t="shared" si="249"/>
        <v>4.7678160972433998E-73</v>
      </c>
      <c r="H1453" s="1">
        <f t="shared" si="242"/>
        <v>4.9393565705833725E-74</v>
      </c>
      <c r="I1453">
        <f t="shared" si="243"/>
        <v>8</v>
      </c>
      <c r="J1453">
        <f t="shared" si="244"/>
        <v>1420</v>
      </c>
      <c r="K1453" s="5">
        <f t="shared" si="245"/>
        <v>0</v>
      </c>
      <c r="L1453">
        <f t="shared" si="246"/>
        <v>53.4</v>
      </c>
      <c r="M1453">
        <f t="shared" si="247"/>
        <v>1</v>
      </c>
      <c r="N1453">
        <f t="shared" si="248"/>
        <v>0</v>
      </c>
    </row>
    <row r="1454" spans="4:14" x14ac:dyDescent="0.2">
      <c r="D1454">
        <f t="shared" si="250"/>
        <v>1431</v>
      </c>
      <c r="E1454" s="1">
        <f t="shared" si="251"/>
        <v>-166.06674388170711</v>
      </c>
      <c r="F1454" s="1">
        <f t="shared" si="252"/>
        <v>-166.64335724601111</v>
      </c>
      <c r="G1454" s="1">
        <f t="shared" si="249"/>
        <v>4.2433563265466236E-73</v>
      </c>
      <c r="H1454" s="1">
        <f t="shared" si="242"/>
        <v>4.3960273478191993E-74</v>
      </c>
      <c r="I1454">
        <f t="shared" si="243"/>
        <v>8</v>
      </c>
      <c r="J1454">
        <f t="shared" si="244"/>
        <v>1421</v>
      </c>
      <c r="K1454" s="5">
        <f t="shared" si="245"/>
        <v>0</v>
      </c>
      <c r="L1454">
        <f t="shared" si="246"/>
        <v>53.4</v>
      </c>
      <c r="M1454">
        <f t="shared" si="247"/>
        <v>1</v>
      </c>
      <c r="N1454">
        <f t="shared" si="248"/>
        <v>0</v>
      </c>
    </row>
    <row r="1455" spans="4:14" x14ac:dyDescent="0.2">
      <c r="D1455">
        <f t="shared" si="250"/>
        <v>1432</v>
      </c>
      <c r="E1455" s="1">
        <f t="shared" si="251"/>
        <v>-166.18327769796306</v>
      </c>
      <c r="F1455" s="1">
        <f t="shared" si="252"/>
        <v>-166.75989106226706</v>
      </c>
      <c r="G1455" s="1">
        <f t="shared" si="249"/>
        <v>3.7765871306264924E-73</v>
      </c>
      <c r="H1455" s="1">
        <f t="shared" si="242"/>
        <v>3.9124643395590845E-74</v>
      </c>
      <c r="I1455">
        <f t="shared" si="243"/>
        <v>8</v>
      </c>
      <c r="J1455">
        <f t="shared" si="244"/>
        <v>1422</v>
      </c>
      <c r="K1455" s="5">
        <f t="shared" si="245"/>
        <v>0</v>
      </c>
      <c r="L1455">
        <f t="shared" si="246"/>
        <v>53.4</v>
      </c>
      <c r="M1455">
        <f t="shared" si="247"/>
        <v>1</v>
      </c>
      <c r="N1455">
        <f t="shared" si="248"/>
        <v>0</v>
      </c>
    </row>
    <row r="1456" spans="4:14" x14ac:dyDescent="0.2">
      <c r="D1456">
        <f t="shared" si="250"/>
        <v>1433</v>
      </c>
      <c r="E1456" s="1">
        <f t="shared" si="251"/>
        <v>-166.29981151421902</v>
      </c>
      <c r="F1456" s="1">
        <f t="shared" si="252"/>
        <v>-166.87642487852301</v>
      </c>
      <c r="G1456" s="1">
        <f t="shared" si="249"/>
        <v>3.361162546257576E-73</v>
      </c>
      <c r="H1456" s="1">
        <f t="shared" si="242"/>
        <v>3.4820932622075829E-74</v>
      </c>
      <c r="I1456">
        <f t="shared" si="243"/>
        <v>8</v>
      </c>
      <c r="J1456">
        <f t="shared" si="244"/>
        <v>1423</v>
      </c>
      <c r="K1456" s="5">
        <f t="shared" si="245"/>
        <v>0</v>
      </c>
      <c r="L1456">
        <f t="shared" si="246"/>
        <v>53.4</v>
      </c>
      <c r="M1456">
        <f t="shared" si="247"/>
        <v>1</v>
      </c>
      <c r="N1456">
        <f t="shared" si="248"/>
        <v>0</v>
      </c>
    </row>
    <row r="1457" spans="4:14" x14ac:dyDescent="0.2">
      <c r="D1457">
        <f t="shared" si="250"/>
        <v>1434</v>
      </c>
      <c r="E1457" s="1">
        <f t="shared" si="251"/>
        <v>-166.41634533047497</v>
      </c>
      <c r="F1457" s="1">
        <f t="shared" si="252"/>
        <v>-166.99295869477896</v>
      </c>
      <c r="G1457" s="1">
        <f t="shared" si="249"/>
        <v>2.9914346661692409E-73</v>
      </c>
      <c r="H1457" s="1">
        <f t="shared" si="242"/>
        <v>3.0990630033647469E-74</v>
      </c>
      <c r="I1457">
        <f t="shared" si="243"/>
        <v>8</v>
      </c>
      <c r="J1457">
        <f t="shared" si="244"/>
        <v>1424</v>
      </c>
      <c r="K1457" s="5">
        <f t="shared" si="245"/>
        <v>0</v>
      </c>
      <c r="L1457">
        <f t="shared" si="246"/>
        <v>53.4</v>
      </c>
      <c r="M1457">
        <f t="shared" si="247"/>
        <v>1</v>
      </c>
      <c r="N1457">
        <f t="shared" si="248"/>
        <v>0</v>
      </c>
    </row>
    <row r="1458" spans="4:14" x14ac:dyDescent="0.2">
      <c r="D1458">
        <f t="shared" si="250"/>
        <v>1435</v>
      </c>
      <c r="E1458" s="1">
        <f t="shared" si="251"/>
        <v>-166.53287914673092</v>
      </c>
      <c r="F1458" s="1">
        <f t="shared" si="252"/>
        <v>-167.10949251103492</v>
      </c>
      <c r="G1458" s="1">
        <f t="shared" si="249"/>
        <v>2.6623768528906226E-73</v>
      </c>
      <c r="H1458" s="1">
        <f t="shared" si="242"/>
        <v>2.7581660729946232E-74</v>
      </c>
      <c r="I1458">
        <f t="shared" si="243"/>
        <v>8</v>
      </c>
      <c r="J1458">
        <f t="shared" si="244"/>
        <v>1425</v>
      </c>
      <c r="K1458" s="5">
        <f t="shared" si="245"/>
        <v>0</v>
      </c>
      <c r="L1458">
        <f t="shared" si="246"/>
        <v>53.4</v>
      </c>
      <c r="M1458">
        <f t="shared" si="247"/>
        <v>1</v>
      </c>
      <c r="N1458">
        <f t="shared" si="248"/>
        <v>0</v>
      </c>
    </row>
    <row r="1459" spans="4:14" x14ac:dyDescent="0.2">
      <c r="D1459">
        <f t="shared" si="250"/>
        <v>1436</v>
      </c>
      <c r="E1459" s="1">
        <f t="shared" si="251"/>
        <v>-166.64941296298687</v>
      </c>
      <c r="F1459" s="1">
        <f t="shared" si="252"/>
        <v>-167.22602632729087</v>
      </c>
      <c r="G1459" s="1">
        <f t="shared" si="249"/>
        <v>2.3695153990726526E-73</v>
      </c>
      <c r="H1459" s="1">
        <f t="shared" si="242"/>
        <v>2.454767804965213E-74</v>
      </c>
      <c r="I1459">
        <f t="shared" si="243"/>
        <v>8</v>
      </c>
      <c r="J1459">
        <f t="shared" si="244"/>
        <v>1426</v>
      </c>
      <c r="K1459" s="5">
        <f t="shared" si="245"/>
        <v>0</v>
      </c>
      <c r="L1459">
        <f t="shared" si="246"/>
        <v>53.4</v>
      </c>
      <c r="M1459">
        <f t="shared" si="247"/>
        <v>1</v>
      </c>
      <c r="N1459">
        <f t="shared" si="248"/>
        <v>0</v>
      </c>
    </row>
    <row r="1460" spans="4:14" x14ac:dyDescent="0.2">
      <c r="D1460">
        <f t="shared" si="250"/>
        <v>1437</v>
      </c>
      <c r="E1460" s="1">
        <f t="shared" si="251"/>
        <v>-166.76594677924282</v>
      </c>
      <c r="F1460" s="1">
        <f t="shared" si="252"/>
        <v>-167.34256014354682</v>
      </c>
      <c r="G1460" s="1">
        <f t="shared" si="249"/>
        <v>2.1088687051746595E-73</v>
      </c>
      <c r="H1460" s="1">
        <f t="shared" si="242"/>
        <v>2.1847433464190381E-74</v>
      </c>
      <c r="I1460">
        <f t="shared" si="243"/>
        <v>8</v>
      </c>
      <c r="J1460">
        <f t="shared" si="244"/>
        <v>1427</v>
      </c>
      <c r="K1460" s="5">
        <f t="shared" si="245"/>
        <v>0</v>
      </c>
      <c r="L1460">
        <f t="shared" si="246"/>
        <v>53.4</v>
      </c>
      <c r="M1460">
        <f t="shared" si="247"/>
        <v>1</v>
      </c>
      <c r="N1460">
        <f t="shared" si="248"/>
        <v>0</v>
      </c>
    </row>
    <row r="1461" spans="4:14" x14ac:dyDescent="0.2">
      <c r="D1461">
        <f t="shared" si="250"/>
        <v>1438</v>
      </c>
      <c r="E1461" s="1">
        <f t="shared" si="251"/>
        <v>-166.88248059549878</v>
      </c>
      <c r="F1461" s="1">
        <f t="shared" si="252"/>
        <v>-167.45909395980277</v>
      </c>
      <c r="G1461" s="1">
        <f t="shared" si="249"/>
        <v>1.8768931476054458E-73</v>
      </c>
      <c r="H1461" s="1">
        <f t="shared" si="242"/>
        <v>1.9444215783129429E-74</v>
      </c>
      <c r="I1461">
        <f t="shared" si="243"/>
        <v>8</v>
      </c>
      <c r="J1461">
        <f t="shared" si="244"/>
        <v>1428</v>
      </c>
      <c r="K1461" s="5">
        <f t="shared" si="245"/>
        <v>0</v>
      </c>
      <c r="L1461">
        <f t="shared" si="246"/>
        <v>53.4</v>
      </c>
      <c r="M1461">
        <f t="shared" si="247"/>
        <v>1</v>
      </c>
      <c r="N1461">
        <f t="shared" si="248"/>
        <v>0</v>
      </c>
    </row>
    <row r="1462" spans="4:14" x14ac:dyDescent="0.2">
      <c r="D1462">
        <f t="shared" si="250"/>
        <v>1439</v>
      </c>
      <c r="E1462" s="1">
        <f t="shared" si="251"/>
        <v>-166.99901441175473</v>
      </c>
      <c r="F1462" s="1">
        <f t="shared" si="252"/>
        <v>-167.57562777605872</v>
      </c>
      <c r="G1462" s="1">
        <f t="shared" si="249"/>
        <v>1.6704349013688456E-73</v>
      </c>
      <c r="H1462" s="1">
        <f t="shared" si="242"/>
        <v>1.7305352046985179E-74</v>
      </c>
      <c r="I1462">
        <f t="shared" si="243"/>
        <v>8</v>
      </c>
      <c r="J1462">
        <f t="shared" si="244"/>
        <v>1429</v>
      </c>
      <c r="K1462" s="5">
        <f t="shared" si="245"/>
        <v>0</v>
      </c>
      <c r="L1462">
        <f t="shared" si="246"/>
        <v>53.4</v>
      </c>
      <c r="M1462">
        <f t="shared" si="247"/>
        <v>1</v>
      </c>
      <c r="N1462">
        <f t="shared" si="248"/>
        <v>0</v>
      </c>
    </row>
    <row r="1463" spans="4:14" x14ac:dyDescent="0.2">
      <c r="D1463">
        <f t="shared" si="250"/>
        <v>1440</v>
      </c>
      <c r="E1463" s="1">
        <f t="shared" si="251"/>
        <v>-167.11554822801068</v>
      </c>
      <c r="F1463" s="1">
        <f t="shared" si="252"/>
        <v>-167.69216159231468</v>
      </c>
      <c r="G1463" s="1">
        <f t="shared" si="249"/>
        <v>1.4866870622182718E-73</v>
      </c>
      <c r="H1463" s="1">
        <f t="shared" si="242"/>
        <v>1.5401763321816801E-74</v>
      </c>
      <c r="I1463">
        <f t="shared" si="243"/>
        <v>8</v>
      </c>
      <c r="J1463">
        <f t="shared" si="244"/>
        <v>1430</v>
      </c>
      <c r="K1463" s="5">
        <f t="shared" si="245"/>
        <v>0</v>
      </c>
      <c r="L1463">
        <f t="shared" si="246"/>
        <v>53.4</v>
      </c>
      <c r="M1463">
        <f t="shared" si="247"/>
        <v>1</v>
      </c>
      <c r="N1463">
        <f t="shared" si="248"/>
        <v>0</v>
      </c>
    </row>
    <row r="1464" spans="4:14" x14ac:dyDescent="0.2">
      <c r="D1464">
        <f t="shared" si="250"/>
        <v>1441</v>
      </c>
      <c r="E1464" s="1">
        <f t="shared" si="251"/>
        <v>-167.23208204426663</v>
      </c>
      <c r="F1464" s="1">
        <f t="shared" si="252"/>
        <v>-167.80869540857063</v>
      </c>
      <c r="G1464" s="1">
        <f t="shared" si="249"/>
        <v>1.3231514853742611E-73</v>
      </c>
      <c r="H1464" s="1">
        <f t="shared" si="242"/>
        <v>1.3707569356416944E-74</v>
      </c>
      <c r="I1464">
        <f t="shared" si="243"/>
        <v>8</v>
      </c>
      <c r="J1464">
        <f t="shared" si="244"/>
        <v>1431</v>
      </c>
      <c r="K1464" s="5">
        <f t="shared" si="245"/>
        <v>0</v>
      </c>
      <c r="L1464">
        <f t="shared" si="246"/>
        <v>53.4</v>
      </c>
      <c r="M1464">
        <f t="shared" si="247"/>
        <v>1</v>
      </c>
      <c r="N1464">
        <f t="shared" si="248"/>
        <v>0</v>
      </c>
    </row>
    <row r="1465" spans="4:14" x14ac:dyDescent="0.2">
      <c r="D1465">
        <f t="shared" si="250"/>
        <v>1442</v>
      </c>
      <c r="E1465" s="1">
        <f t="shared" si="251"/>
        <v>-167.34861586052259</v>
      </c>
      <c r="F1465" s="1">
        <f t="shared" si="252"/>
        <v>-167.92522922482658</v>
      </c>
      <c r="G1465" s="1">
        <f t="shared" si="249"/>
        <v>1.1776048219830916E-73</v>
      </c>
      <c r="H1465" s="1">
        <f t="shared" si="242"/>
        <v>1.2199736727211073E-74</v>
      </c>
      <c r="I1465">
        <f t="shared" si="243"/>
        <v>8</v>
      </c>
      <c r="J1465">
        <f t="shared" si="244"/>
        <v>1432</v>
      </c>
      <c r="K1465" s="5">
        <f t="shared" si="245"/>
        <v>0</v>
      </c>
      <c r="L1465">
        <f t="shared" si="246"/>
        <v>53.4</v>
      </c>
      <c r="M1465">
        <f t="shared" si="247"/>
        <v>1</v>
      </c>
      <c r="N1465">
        <f t="shared" si="248"/>
        <v>0</v>
      </c>
    </row>
    <row r="1466" spans="4:14" x14ac:dyDescent="0.2">
      <c r="D1466">
        <f t="shared" si="250"/>
        <v>1443</v>
      </c>
      <c r="E1466" s="1">
        <f t="shared" si="251"/>
        <v>-167.46514967677854</v>
      </c>
      <c r="F1466" s="1">
        <f t="shared" si="252"/>
        <v>-168.04176304108253</v>
      </c>
      <c r="G1466" s="1">
        <f t="shared" si="249"/>
        <v>1.0480682915649509E-73</v>
      </c>
      <c r="H1466" s="1">
        <f t="shared" si="242"/>
        <v>1.0857765687217848E-74</v>
      </c>
      <c r="I1466">
        <f t="shared" si="243"/>
        <v>8</v>
      </c>
      <c r="J1466">
        <f t="shared" si="244"/>
        <v>1433</v>
      </c>
      <c r="K1466" s="5">
        <f t="shared" si="245"/>
        <v>0</v>
      </c>
      <c r="L1466">
        <f t="shared" si="246"/>
        <v>53.4</v>
      </c>
      <c r="M1466">
        <f t="shared" si="247"/>
        <v>1</v>
      </c>
      <c r="N1466">
        <f t="shared" si="248"/>
        <v>0</v>
      </c>
    </row>
    <row r="1467" spans="4:14" x14ac:dyDescent="0.2">
      <c r="D1467">
        <f t="shared" si="250"/>
        <v>1444</v>
      </c>
      <c r="E1467" s="1">
        <f t="shared" si="251"/>
        <v>-167.58168349303449</v>
      </c>
      <c r="F1467" s="1">
        <f t="shared" si="252"/>
        <v>-168.15829685733848</v>
      </c>
      <c r="G1467" s="1">
        <f t="shared" si="249"/>
        <v>9.327807794928056E-74</v>
      </c>
      <c r="H1467" s="1">
        <f t="shared" si="242"/>
        <v>9.6634114616238782E-75</v>
      </c>
      <c r="I1467">
        <f t="shared" si="243"/>
        <v>8</v>
      </c>
      <c r="J1467">
        <f t="shared" si="244"/>
        <v>1434</v>
      </c>
      <c r="K1467" s="5">
        <f t="shared" si="245"/>
        <v>0</v>
      </c>
      <c r="L1467">
        <f t="shared" si="246"/>
        <v>53.4</v>
      </c>
      <c r="M1467">
        <f t="shared" si="247"/>
        <v>1</v>
      </c>
      <c r="N1467">
        <f t="shared" si="248"/>
        <v>0</v>
      </c>
    </row>
    <row r="1468" spans="4:14" x14ac:dyDescent="0.2">
      <c r="D1468">
        <f t="shared" si="250"/>
        <v>1445</v>
      </c>
      <c r="E1468" s="1">
        <f t="shared" si="251"/>
        <v>-167.69821730929044</v>
      </c>
      <c r="F1468" s="1">
        <f t="shared" si="252"/>
        <v>-168.27483067359444</v>
      </c>
      <c r="G1468" s="1">
        <f t="shared" si="249"/>
        <v>8.3017489374859644E-74</v>
      </c>
      <c r="H1468" s="1">
        <f t="shared" si="242"/>
        <v>8.600436200845245E-75</v>
      </c>
      <c r="I1468">
        <f t="shared" si="243"/>
        <v>8</v>
      </c>
      <c r="J1468">
        <f t="shared" si="244"/>
        <v>1435</v>
      </c>
      <c r="K1468" s="5">
        <f t="shared" si="245"/>
        <v>0</v>
      </c>
      <c r="L1468">
        <f t="shared" si="246"/>
        <v>53.4</v>
      </c>
      <c r="M1468">
        <f t="shared" si="247"/>
        <v>1</v>
      </c>
      <c r="N1468">
        <f t="shared" si="248"/>
        <v>0</v>
      </c>
    </row>
    <row r="1469" spans="4:14" x14ac:dyDescent="0.2">
      <c r="D1469">
        <f t="shared" si="250"/>
        <v>1446</v>
      </c>
      <c r="E1469" s="1">
        <f t="shared" si="251"/>
        <v>-167.81475112554639</v>
      </c>
      <c r="F1469" s="1">
        <f t="shared" si="252"/>
        <v>-168.39136448985039</v>
      </c>
      <c r="G1469" s="1">
        <f t="shared" si="249"/>
        <v>7.3885565543625043E-74</v>
      </c>
      <c r="H1469" s="1">
        <f t="shared" si="242"/>
        <v>7.654388218752264E-75</v>
      </c>
      <c r="I1469">
        <f t="shared" si="243"/>
        <v>8</v>
      </c>
      <c r="J1469">
        <f t="shared" si="244"/>
        <v>1436</v>
      </c>
      <c r="K1469" s="5">
        <f t="shared" si="245"/>
        <v>0</v>
      </c>
      <c r="L1469">
        <f t="shared" si="246"/>
        <v>53.4</v>
      </c>
      <c r="M1469">
        <f t="shared" si="247"/>
        <v>1</v>
      </c>
      <c r="N1469">
        <f t="shared" si="248"/>
        <v>0</v>
      </c>
    </row>
    <row r="1470" spans="4:14" x14ac:dyDescent="0.2">
      <c r="D1470">
        <f t="shared" si="250"/>
        <v>1447</v>
      </c>
      <c r="E1470" s="1">
        <f t="shared" si="251"/>
        <v>-167.93128494180235</v>
      </c>
      <c r="F1470" s="1">
        <f t="shared" si="252"/>
        <v>-168.50789830610634</v>
      </c>
      <c r="G1470" s="1">
        <f t="shared" si="249"/>
        <v>6.5758153333826244E-74</v>
      </c>
      <c r="H1470" s="1">
        <f t="shared" si="242"/>
        <v>6.8124055146895104E-75</v>
      </c>
      <c r="I1470">
        <f t="shared" si="243"/>
        <v>8</v>
      </c>
      <c r="J1470">
        <f t="shared" si="244"/>
        <v>1437</v>
      </c>
      <c r="K1470" s="5">
        <f t="shared" si="245"/>
        <v>0</v>
      </c>
      <c r="L1470">
        <f t="shared" si="246"/>
        <v>53.4</v>
      </c>
      <c r="M1470">
        <f t="shared" si="247"/>
        <v>1</v>
      </c>
      <c r="N1470">
        <f t="shared" si="248"/>
        <v>0</v>
      </c>
    </row>
    <row r="1471" spans="4:14" x14ac:dyDescent="0.2">
      <c r="D1471">
        <f t="shared" si="250"/>
        <v>1448</v>
      </c>
      <c r="E1471" s="1">
        <f t="shared" si="251"/>
        <v>-168.0478187580583</v>
      </c>
      <c r="F1471" s="1">
        <f t="shared" si="252"/>
        <v>-168.62443212236229</v>
      </c>
      <c r="G1471" s="1">
        <f t="shared" si="249"/>
        <v>5.8524756467105323E-74</v>
      </c>
      <c r="H1471" s="1">
        <f t="shared" si="242"/>
        <v>6.0630409080736604E-75</v>
      </c>
      <c r="I1471">
        <f t="shared" si="243"/>
        <v>8</v>
      </c>
      <c r="J1471">
        <f t="shared" si="244"/>
        <v>1438</v>
      </c>
      <c r="K1471" s="5">
        <f t="shared" si="245"/>
        <v>0</v>
      </c>
      <c r="L1471">
        <f t="shared" si="246"/>
        <v>53.4</v>
      </c>
      <c r="M1471">
        <f t="shared" si="247"/>
        <v>1</v>
      </c>
      <c r="N1471">
        <f t="shared" si="248"/>
        <v>0</v>
      </c>
    </row>
    <row r="1472" spans="4:14" x14ac:dyDescent="0.2">
      <c r="D1472">
        <f t="shared" si="250"/>
        <v>1449</v>
      </c>
      <c r="E1472" s="1">
        <f t="shared" si="251"/>
        <v>-168.16435257431425</v>
      </c>
      <c r="F1472" s="1">
        <f t="shared" si="252"/>
        <v>-168.74096593861825</v>
      </c>
      <c r="G1472" s="1">
        <f t="shared" si="249"/>
        <v>5.2087033255723706E-74</v>
      </c>
      <c r="H1472" s="1">
        <f t="shared" si="242"/>
        <v>5.3961064081855545E-75</v>
      </c>
      <c r="I1472">
        <f t="shared" si="243"/>
        <v>8</v>
      </c>
      <c r="J1472">
        <f t="shared" si="244"/>
        <v>1439</v>
      </c>
      <c r="K1472" s="5">
        <f t="shared" si="245"/>
        <v>0</v>
      </c>
      <c r="L1472">
        <f t="shared" si="246"/>
        <v>53.4</v>
      </c>
      <c r="M1472">
        <f t="shared" si="247"/>
        <v>1</v>
      </c>
      <c r="N1472">
        <f t="shared" si="248"/>
        <v>0</v>
      </c>
    </row>
    <row r="1473" spans="4:14" x14ac:dyDescent="0.2">
      <c r="D1473">
        <f t="shared" si="250"/>
        <v>1450</v>
      </c>
      <c r="E1473" s="1">
        <f t="shared" si="251"/>
        <v>-168.2808863905702</v>
      </c>
      <c r="F1473" s="1">
        <f t="shared" si="252"/>
        <v>-168.8574997548742</v>
      </c>
      <c r="G1473" s="1">
        <f t="shared" si="249"/>
        <v>4.6357459597594066E-74</v>
      </c>
      <c r="H1473" s="1">
        <f t="shared" si="242"/>
        <v>4.8025347032851407E-75</v>
      </c>
      <c r="I1473">
        <f t="shared" si="243"/>
        <v>8</v>
      </c>
      <c r="J1473">
        <f t="shared" si="244"/>
        <v>1440</v>
      </c>
      <c r="K1473" s="5">
        <f t="shared" si="245"/>
        <v>0</v>
      </c>
      <c r="L1473">
        <f t="shared" si="246"/>
        <v>53.4</v>
      </c>
      <c r="M1473">
        <f t="shared" si="247"/>
        <v>1</v>
      </c>
      <c r="N1473">
        <f t="shared" si="248"/>
        <v>0</v>
      </c>
    </row>
    <row r="1474" spans="4:14" x14ac:dyDescent="0.2">
      <c r="D1474">
        <f t="shared" si="250"/>
        <v>1451</v>
      </c>
      <c r="E1474" s="1">
        <f t="shared" si="251"/>
        <v>-168.39742020682615</v>
      </c>
      <c r="F1474" s="1">
        <f t="shared" si="252"/>
        <v>-168.97403357113015</v>
      </c>
      <c r="G1474" s="1">
        <f t="shared" si="249"/>
        <v>4.1258139041858696E-74</v>
      </c>
      <c r="H1474" s="1">
        <f t="shared" si="242"/>
        <v>4.2742558859237726E-75</v>
      </c>
      <c r="I1474">
        <f t="shared" si="243"/>
        <v>8</v>
      </c>
      <c r="J1474">
        <f t="shared" si="244"/>
        <v>1441</v>
      </c>
      <c r="K1474" s="5">
        <f t="shared" si="245"/>
        <v>0</v>
      </c>
      <c r="L1474">
        <f t="shared" si="246"/>
        <v>53.4</v>
      </c>
      <c r="M1474">
        <f t="shared" si="247"/>
        <v>1</v>
      </c>
      <c r="N1474">
        <f t="shared" si="248"/>
        <v>0</v>
      </c>
    </row>
    <row r="1475" spans="4:14" x14ac:dyDescent="0.2">
      <c r="D1475">
        <f t="shared" si="250"/>
        <v>1452</v>
      </c>
      <c r="E1475" s="1">
        <f t="shared" si="251"/>
        <v>-168.51395402308211</v>
      </c>
      <c r="F1475" s="1">
        <f t="shared" si="252"/>
        <v>-169.0905673873861</v>
      </c>
      <c r="G1475" s="1">
        <f t="shared" si="249"/>
        <v>3.6719743747254214E-74</v>
      </c>
      <c r="H1475" s="1">
        <f t="shared" si="242"/>
        <v>3.8040877384721553E-75</v>
      </c>
      <c r="I1475">
        <f t="shared" si="243"/>
        <v>8</v>
      </c>
      <c r="J1475">
        <f t="shared" si="244"/>
        <v>1442</v>
      </c>
      <c r="K1475" s="5">
        <f t="shared" si="245"/>
        <v>0</v>
      </c>
      <c r="L1475">
        <f t="shared" si="246"/>
        <v>53.4</v>
      </c>
      <c r="M1475">
        <f t="shared" si="247"/>
        <v>1</v>
      </c>
      <c r="N1475">
        <f t="shared" si="248"/>
        <v>0</v>
      </c>
    </row>
    <row r="1476" spans="4:14" x14ac:dyDescent="0.2">
      <c r="D1476">
        <f t="shared" si="250"/>
        <v>1453</v>
      </c>
      <c r="E1476" s="1">
        <f t="shared" si="251"/>
        <v>-168.63048783933806</v>
      </c>
      <c r="F1476" s="1">
        <f t="shared" si="252"/>
        <v>-169.20710120364205</v>
      </c>
      <c r="G1476" s="1">
        <f t="shared" si="249"/>
        <v>3.268057193505623E-74</v>
      </c>
      <c r="H1476" s="1">
        <f t="shared" si="242"/>
        <v>3.3856380872402158E-75</v>
      </c>
      <c r="I1476">
        <f t="shared" si="243"/>
        <v>8</v>
      </c>
      <c r="J1476">
        <f t="shared" si="244"/>
        <v>1443</v>
      </c>
      <c r="K1476" s="5">
        <f t="shared" si="245"/>
        <v>0</v>
      </c>
      <c r="L1476">
        <f t="shared" si="246"/>
        <v>53.4</v>
      </c>
      <c r="M1476">
        <f t="shared" si="247"/>
        <v>1</v>
      </c>
      <c r="N1476">
        <f t="shared" si="248"/>
        <v>0</v>
      </c>
    </row>
    <row r="1477" spans="4:14" x14ac:dyDescent="0.2">
      <c r="D1477">
        <f t="shared" si="250"/>
        <v>1454</v>
      </c>
      <c r="E1477" s="1">
        <f t="shared" si="251"/>
        <v>-168.74702165559401</v>
      </c>
      <c r="F1477" s="1">
        <f t="shared" si="252"/>
        <v>-169.32363501989801</v>
      </c>
      <c r="G1477" s="1">
        <f t="shared" si="249"/>
        <v>2.9085709022200026E-74</v>
      </c>
      <c r="H1477" s="1">
        <f t="shared" si="242"/>
        <v>3.0132178976437903E-75</v>
      </c>
      <c r="I1477">
        <f t="shared" si="243"/>
        <v>8</v>
      </c>
      <c r="J1477">
        <f t="shared" si="244"/>
        <v>1444</v>
      </c>
      <c r="K1477" s="5">
        <f t="shared" si="245"/>
        <v>0</v>
      </c>
      <c r="L1477">
        <f t="shared" si="246"/>
        <v>53.4</v>
      </c>
      <c r="M1477">
        <f t="shared" si="247"/>
        <v>1</v>
      </c>
      <c r="N1477">
        <f t="shared" si="248"/>
        <v>0</v>
      </c>
    </row>
    <row r="1478" spans="4:14" x14ac:dyDescent="0.2">
      <c r="D1478">
        <f t="shared" si="250"/>
        <v>1455</v>
      </c>
      <c r="E1478" s="1">
        <f t="shared" si="251"/>
        <v>-168.86355547184996</v>
      </c>
      <c r="F1478" s="1">
        <f t="shared" si="252"/>
        <v>-169.44016883615396</v>
      </c>
      <c r="G1478" s="1">
        <f t="shared" si="249"/>
        <v>2.5886281029758009E-74</v>
      </c>
      <c r="H1478" s="1">
        <f t="shared" si="242"/>
        <v>2.681763928902972E-75</v>
      </c>
      <c r="I1478">
        <f t="shared" si="243"/>
        <v>8</v>
      </c>
      <c r="J1478">
        <f t="shared" si="244"/>
        <v>1445</v>
      </c>
      <c r="K1478" s="5">
        <f t="shared" si="245"/>
        <v>0</v>
      </c>
      <c r="L1478">
        <f t="shared" si="246"/>
        <v>53.4</v>
      </c>
      <c r="M1478">
        <f t="shared" si="247"/>
        <v>1</v>
      </c>
      <c r="N1478">
        <f t="shared" si="248"/>
        <v>0</v>
      </c>
    </row>
    <row r="1479" spans="4:14" x14ac:dyDescent="0.2">
      <c r="D1479">
        <f t="shared" si="250"/>
        <v>1456</v>
      </c>
      <c r="E1479" s="1">
        <f t="shared" si="251"/>
        <v>-168.98008928810592</v>
      </c>
      <c r="F1479" s="1">
        <f t="shared" si="252"/>
        <v>-169.55670265240991</v>
      </c>
      <c r="G1479" s="1">
        <f t="shared" si="249"/>
        <v>2.303879011648461E-74</v>
      </c>
      <c r="H1479" s="1">
        <f t="shared" si="242"/>
        <v>2.3867698967236432E-75</v>
      </c>
      <c r="I1479">
        <f t="shared" si="243"/>
        <v>8</v>
      </c>
      <c r="J1479">
        <f t="shared" si="244"/>
        <v>1446</v>
      </c>
      <c r="K1479" s="5">
        <f t="shared" si="245"/>
        <v>0</v>
      </c>
      <c r="L1479">
        <f t="shared" si="246"/>
        <v>53.4</v>
      </c>
      <c r="M1479">
        <f t="shared" si="247"/>
        <v>1</v>
      </c>
      <c r="N1479">
        <f t="shared" si="248"/>
        <v>0</v>
      </c>
    </row>
    <row r="1480" spans="4:14" x14ac:dyDescent="0.2">
      <c r="D1480">
        <f t="shared" si="250"/>
        <v>1457</v>
      </c>
      <c r="E1480" s="1">
        <f t="shared" si="251"/>
        <v>-169.09662310436187</v>
      </c>
      <c r="F1480" s="1">
        <f t="shared" si="252"/>
        <v>-169.67323646866586</v>
      </c>
      <c r="G1480" s="1">
        <f t="shared" si="249"/>
        <v>2.0504523203671291E-74</v>
      </c>
      <c r="H1480" s="1">
        <f t="shared" si="242"/>
        <v>2.1242252080840411E-75</v>
      </c>
      <c r="I1480">
        <f t="shared" si="243"/>
        <v>8</v>
      </c>
      <c r="J1480">
        <f t="shared" si="244"/>
        <v>1447</v>
      </c>
      <c r="K1480" s="5">
        <f t="shared" si="245"/>
        <v>0</v>
      </c>
      <c r="L1480">
        <f t="shared" si="246"/>
        <v>53.4</v>
      </c>
      <c r="M1480">
        <f t="shared" si="247"/>
        <v>1</v>
      </c>
      <c r="N1480">
        <f t="shared" si="248"/>
        <v>0</v>
      </c>
    </row>
    <row r="1481" spans="4:14" x14ac:dyDescent="0.2">
      <c r="D1481">
        <f t="shared" si="250"/>
        <v>1458</v>
      </c>
      <c r="E1481" s="1">
        <f t="shared" si="251"/>
        <v>-169.21315692061782</v>
      </c>
      <c r="F1481" s="1">
        <f t="shared" si="252"/>
        <v>-169.78977028492181</v>
      </c>
      <c r="G1481" s="1">
        <f t="shared" si="249"/>
        <v>1.8249025651267439E-74</v>
      </c>
      <c r="H1481" s="1">
        <f t="shared" si="242"/>
        <v>1.8905604351947954E-75</v>
      </c>
      <c r="I1481">
        <f t="shared" si="243"/>
        <v>8</v>
      </c>
      <c r="J1481">
        <f t="shared" si="244"/>
        <v>1448</v>
      </c>
      <c r="K1481" s="5">
        <f t="shared" si="245"/>
        <v>0</v>
      </c>
      <c r="L1481">
        <f t="shared" si="246"/>
        <v>53.4</v>
      </c>
      <c r="M1481">
        <f t="shared" si="247"/>
        <v>1</v>
      </c>
      <c r="N1481">
        <f t="shared" si="248"/>
        <v>0</v>
      </c>
    </row>
    <row r="1482" spans="4:14" x14ac:dyDescent="0.2">
      <c r="D1482">
        <f t="shared" si="250"/>
        <v>1459</v>
      </c>
      <c r="E1482" s="1">
        <f t="shared" si="251"/>
        <v>-169.32969073687377</v>
      </c>
      <c r="F1482" s="1">
        <f t="shared" si="252"/>
        <v>-169.90630410117777</v>
      </c>
      <c r="G1482" s="1">
        <f t="shared" si="249"/>
        <v>1.624163282962801E-74</v>
      </c>
      <c r="H1482" s="1">
        <f t="shared" si="242"/>
        <v>1.6825987873233669E-75</v>
      </c>
      <c r="I1482">
        <f t="shared" si="243"/>
        <v>8</v>
      </c>
      <c r="J1482">
        <f t="shared" si="244"/>
        <v>1449</v>
      </c>
      <c r="K1482" s="5">
        <f t="shared" si="245"/>
        <v>0</v>
      </c>
      <c r="L1482">
        <f t="shared" si="246"/>
        <v>53.4</v>
      </c>
      <c r="M1482">
        <f t="shared" si="247"/>
        <v>1</v>
      </c>
      <c r="N1482">
        <f t="shared" si="248"/>
        <v>0</v>
      </c>
    </row>
    <row r="1483" spans="4:14" x14ac:dyDescent="0.2">
      <c r="D1483">
        <f t="shared" si="250"/>
        <v>1460</v>
      </c>
      <c r="E1483" s="1">
        <f t="shared" si="251"/>
        <v>-169.44622455312972</v>
      </c>
      <c r="F1483" s="1">
        <f t="shared" si="252"/>
        <v>-170.02283791743372</v>
      </c>
      <c r="G1483" s="1">
        <f t="shared" si="249"/>
        <v>1.445505321836892E-74</v>
      </c>
      <c r="H1483" s="1">
        <f t="shared" si="242"/>
        <v>1.4975129207177955E-75</v>
      </c>
      <c r="I1483">
        <f t="shared" si="243"/>
        <v>8</v>
      </c>
      <c r="J1483">
        <f t="shared" si="244"/>
        <v>1450</v>
      </c>
      <c r="K1483" s="5">
        <f t="shared" si="245"/>
        <v>0</v>
      </c>
      <c r="L1483">
        <f t="shared" si="246"/>
        <v>53.4</v>
      </c>
      <c r="M1483">
        <f t="shared" si="247"/>
        <v>1</v>
      </c>
      <c r="N1483">
        <f t="shared" si="248"/>
        <v>0</v>
      </c>
    </row>
    <row r="1484" spans="4:14" x14ac:dyDescent="0.2">
      <c r="D1484">
        <f t="shared" si="250"/>
        <v>1461</v>
      </c>
      <c r="E1484" s="1">
        <f t="shared" si="251"/>
        <v>-169.56275836938568</v>
      </c>
      <c r="F1484" s="1">
        <f t="shared" si="252"/>
        <v>-170.13937173368967</v>
      </c>
      <c r="G1484" s="1">
        <f t="shared" si="249"/>
        <v>1.2864997364348331E-74</v>
      </c>
      <c r="H1484" s="1">
        <f t="shared" si="242"/>
        <v>1.3327864994388373E-75</v>
      </c>
      <c r="I1484">
        <f t="shared" si="243"/>
        <v>8</v>
      </c>
      <c r="J1484">
        <f t="shared" si="244"/>
        <v>1451</v>
      </c>
      <c r="K1484" s="5">
        <f t="shared" si="245"/>
        <v>0</v>
      </c>
      <c r="L1484">
        <f t="shared" si="246"/>
        <v>53.4</v>
      </c>
      <c r="M1484">
        <f t="shared" si="247"/>
        <v>1</v>
      </c>
      <c r="N1484">
        <f t="shared" si="248"/>
        <v>0</v>
      </c>
    </row>
    <row r="1485" spans="4:14" x14ac:dyDescent="0.2">
      <c r="D1485">
        <f t="shared" si="250"/>
        <v>1462</v>
      </c>
      <c r="E1485" s="1">
        <f t="shared" si="251"/>
        <v>-169.67929218564163</v>
      </c>
      <c r="F1485" s="1">
        <f t="shared" si="252"/>
        <v>-170.25590554994562</v>
      </c>
      <c r="G1485" s="1">
        <f t="shared" si="249"/>
        <v>1.1449847654270007E-74</v>
      </c>
      <c r="H1485" s="1">
        <f t="shared" si="242"/>
        <v>1.1861799845005643E-75</v>
      </c>
      <c r="I1485">
        <f t="shared" si="243"/>
        <v>8</v>
      </c>
      <c r="J1485">
        <f t="shared" si="244"/>
        <v>1452</v>
      </c>
      <c r="K1485" s="5">
        <f t="shared" si="245"/>
        <v>0</v>
      </c>
      <c r="L1485">
        <f t="shared" si="246"/>
        <v>53.4</v>
      </c>
      <c r="M1485">
        <f t="shared" si="247"/>
        <v>1</v>
      </c>
      <c r="N1485">
        <f t="shared" si="248"/>
        <v>0</v>
      </c>
    </row>
    <row r="1486" spans="4:14" x14ac:dyDescent="0.2">
      <c r="D1486">
        <f t="shared" si="250"/>
        <v>1463</v>
      </c>
      <c r="E1486" s="1">
        <f t="shared" si="251"/>
        <v>-169.79582600189758</v>
      </c>
      <c r="F1486" s="1">
        <f t="shared" si="252"/>
        <v>-170.37243936620158</v>
      </c>
      <c r="G1486" s="1">
        <f t="shared" si="249"/>
        <v>1.01903644123003E-74</v>
      </c>
      <c r="H1486" s="1">
        <f t="shared" si="242"/>
        <v>1.0557001862055017E-75</v>
      </c>
      <c r="I1486">
        <f t="shared" si="243"/>
        <v>8</v>
      </c>
      <c r="J1486">
        <f t="shared" si="244"/>
        <v>1453</v>
      </c>
      <c r="K1486" s="5">
        <f t="shared" si="245"/>
        <v>0</v>
      </c>
      <c r="L1486">
        <f t="shared" si="246"/>
        <v>53.4</v>
      </c>
      <c r="M1486">
        <f t="shared" si="247"/>
        <v>1</v>
      </c>
      <c r="N1486">
        <f t="shared" si="248"/>
        <v>0</v>
      </c>
    </row>
    <row r="1487" spans="4:14" x14ac:dyDescent="0.2">
      <c r="D1487">
        <f t="shared" si="250"/>
        <v>1464</v>
      </c>
      <c r="E1487" s="1">
        <f t="shared" si="251"/>
        <v>-169.91235981815353</v>
      </c>
      <c r="F1487" s="1">
        <f t="shared" si="252"/>
        <v>-170.48897318245753</v>
      </c>
      <c r="G1487" s="1">
        <f t="shared" si="249"/>
        <v>9.0694243269472604E-75</v>
      </c>
      <c r="H1487" s="1">
        <f t="shared" si="242"/>
        <v>9.3957316572289583E-76</v>
      </c>
      <c r="I1487">
        <f t="shared" si="243"/>
        <v>8</v>
      </c>
      <c r="J1487">
        <f t="shared" si="244"/>
        <v>1454</v>
      </c>
      <c r="K1487" s="5">
        <f t="shared" si="245"/>
        <v>0</v>
      </c>
      <c r="L1487">
        <f t="shared" si="246"/>
        <v>53.4</v>
      </c>
      <c r="M1487">
        <f t="shared" si="247"/>
        <v>1</v>
      </c>
      <c r="N1487">
        <f t="shared" si="248"/>
        <v>0</v>
      </c>
    </row>
    <row r="1488" spans="4:14" x14ac:dyDescent="0.2">
      <c r="D1488">
        <f t="shared" si="250"/>
        <v>1465</v>
      </c>
      <c r="E1488" s="1">
        <f t="shared" si="251"/>
        <v>-170.02889363440949</v>
      </c>
      <c r="F1488" s="1">
        <f t="shared" si="252"/>
        <v>-170.60550699871348</v>
      </c>
      <c r="G1488" s="1">
        <f t="shared" si="249"/>
        <v>8.0717876509830572E-75</v>
      </c>
      <c r="H1488" s="1">
        <f t="shared" si="242"/>
        <v>8.3622011749337681E-76</v>
      </c>
      <c r="I1488">
        <f t="shared" si="243"/>
        <v>8</v>
      </c>
      <c r="J1488">
        <f t="shared" si="244"/>
        <v>1455</v>
      </c>
      <c r="K1488" s="5">
        <f t="shared" si="245"/>
        <v>0</v>
      </c>
      <c r="L1488">
        <f t="shared" si="246"/>
        <v>53.4</v>
      </c>
      <c r="M1488">
        <f t="shared" si="247"/>
        <v>1</v>
      </c>
      <c r="N1488">
        <f t="shared" si="248"/>
        <v>0</v>
      </c>
    </row>
    <row r="1489" spans="4:14" x14ac:dyDescent="0.2">
      <c r="D1489">
        <f t="shared" si="250"/>
        <v>1466</v>
      </c>
      <c r="E1489" s="1">
        <f t="shared" si="251"/>
        <v>-170.14542745066544</v>
      </c>
      <c r="F1489" s="1">
        <f t="shared" si="252"/>
        <v>-170.72204081496943</v>
      </c>
      <c r="G1489" s="1">
        <f t="shared" si="249"/>
        <v>7.1838910093749166E-75</v>
      </c>
      <c r="H1489" s="1">
        <f t="shared" si="242"/>
        <v>7.4423590456910489E-76</v>
      </c>
      <c r="I1489">
        <f t="shared" si="243"/>
        <v>8</v>
      </c>
      <c r="J1489">
        <f t="shared" si="244"/>
        <v>1456</v>
      </c>
      <c r="K1489" s="5">
        <f t="shared" si="245"/>
        <v>0</v>
      </c>
      <c r="L1489">
        <f t="shared" si="246"/>
        <v>53.4</v>
      </c>
      <c r="M1489">
        <f t="shared" si="247"/>
        <v>1</v>
      </c>
      <c r="N1489">
        <f t="shared" si="248"/>
        <v>0</v>
      </c>
    </row>
    <row r="1490" spans="4:14" x14ac:dyDescent="0.2">
      <c r="D1490">
        <f t="shared" si="250"/>
        <v>1467</v>
      </c>
      <c r="E1490" s="1">
        <f t="shared" si="251"/>
        <v>-170.26196126692139</v>
      </c>
      <c r="F1490" s="1">
        <f t="shared" si="252"/>
        <v>-170.83857463122538</v>
      </c>
      <c r="G1490" s="1">
        <f t="shared" si="249"/>
        <v>6.3936629983436712E-75</v>
      </c>
      <c r="H1490" s="1">
        <f t="shared" si="242"/>
        <v>6.6236995506650294E-76</v>
      </c>
      <c r="I1490">
        <f t="shared" si="243"/>
        <v>8</v>
      </c>
      <c r="J1490">
        <f t="shared" si="244"/>
        <v>1457</v>
      </c>
      <c r="K1490" s="5">
        <f t="shared" si="245"/>
        <v>0</v>
      </c>
      <c r="L1490">
        <f t="shared" si="246"/>
        <v>53.4</v>
      </c>
      <c r="M1490">
        <f t="shared" si="247"/>
        <v>1</v>
      </c>
      <c r="N1490">
        <f t="shared" si="248"/>
        <v>0</v>
      </c>
    </row>
    <row r="1491" spans="4:14" x14ac:dyDescent="0.2">
      <c r="D1491">
        <f t="shared" si="250"/>
        <v>1468</v>
      </c>
      <c r="E1491" s="1">
        <f t="shared" si="251"/>
        <v>-170.37849508317734</v>
      </c>
      <c r="F1491" s="1">
        <f t="shared" si="252"/>
        <v>-170.95510844748134</v>
      </c>
      <c r="G1491" s="1">
        <f t="shared" si="249"/>
        <v>5.6903600685258637E-75</v>
      </c>
      <c r="H1491" s="1">
        <f t="shared" si="242"/>
        <v>5.8950926000918717E-76</v>
      </c>
      <c r="I1491">
        <f t="shared" si="243"/>
        <v>8</v>
      </c>
      <c r="J1491">
        <f t="shared" si="244"/>
        <v>1458</v>
      </c>
      <c r="K1491" s="5">
        <f t="shared" si="245"/>
        <v>0</v>
      </c>
      <c r="L1491">
        <f t="shared" si="246"/>
        <v>53.4</v>
      </c>
      <c r="M1491">
        <f t="shared" si="247"/>
        <v>1</v>
      </c>
      <c r="N1491">
        <f t="shared" si="248"/>
        <v>0</v>
      </c>
    </row>
    <row r="1492" spans="4:14" x14ac:dyDescent="0.2">
      <c r="D1492">
        <f t="shared" si="250"/>
        <v>1469</v>
      </c>
      <c r="E1492" s="1">
        <f t="shared" si="251"/>
        <v>-170.49502889943329</v>
      </c>
      <c r="F1492" s="1">
        <f t="shared" si="252"/>
        <v>-171.07164226373729</v>
      </c>
      <c r="G1492" s="1">
        <f t="shared" si="249"/>
        <v>5.0644204609880154E-75</v>
      </c>
      <c r="H1492" s="1">
        <f t="shared" si="242"/>
        <v>5.2466324140817626E-76</v>
      </c>
      <c r="I1492">
        <f t="shared" si="243"/>
        <v>8</v>
      </c>
      <c r="J1492">
        <f t="shared" si="244"/>
        <v>1459</v>
      </c>
      <c r="K1492" s="5">
        <f t="shared" si="245"/>
        <v>0</v>
      </c>
      <c r="L1492">
        <f t="shared" si="246"/>
        <v>53.4</v>
      </c>
      <c r="M1492">
        <f t="shared" si="247"/>
        <v>1</v>
      </c>
      <c r="N1492">
        <f t="shared" si="248"/>
        <v>0</v>
      </c>
    </row>
    <row r="1493" spans="4:14" x14ac:dyDescent="0.2">
      <c r="D1493">
        <f t="shared" si="250"/>
        <v>1470</v>
      </c>
      <c r="E1493" s="1">
        <f t="shared" si="251"/>
        <v>-170.61156271568925</v>
      </c>
      <c r="F1493" s="1">
        <f t="shared" si="252"/>
        <v>-171.18817607999324</v>
      </c>
      <c r="G1493" s="1">
        <f t="shared" si="249"/>
        <v>4.5073342102793316E-75</v>
      </c>
      <c r="H1493" s="1">
        <f t="shared" si="242"/>
        <v>4.6695028485327663E-76</v>
      </c>
      <c r="I1493">
        <f t="shared" si="243"/>
        <v>8</v>
      </c>
      <c r="J1493">
        <f t="shared" si="244"/>
        <v>1460</v>
      </c>
      <c r="K1493" s="5">
        <f t="shared" si="245"/>
        <v>0</v>
      </c>
      <c r="L1493">
        <f t="shared" si="246"/>
        <v>53.4</v>
      </c>
      <c r="M1493">
        <f t="shared" si="247"/>
        <v>1</v>
      </c>
      <c r="N1493">
        <f t="shared" si="248"/>
        <v>0</v>
      </c>
    </row>
    <row r="1494" spans="4:14" x14ac:dyDescent="0.2">
      <c r="D1494">
        <f t="shared" si="250"/>
        <v>1471</v>
      </c>
      <c r="E1494" s="1">
        <f t="shared" si="251"/>
        <v>-170.7280965319452</v>
      </c>
      <c r="F1494" s="1">
        <f t="shared" si="252"/>
        <v>-171.30470989624919</v>
      </c>
      <c r="G1494" s="1">
        <f t="shared" si="249"/>
        <v>4.011527447148602E-75</v>
      </c>
      <c r="H1494" s="1">
        <f t="shared" si="242"/>
        <v>4.1558575351941592E-76</v>
      </c>
      <c r="I1494">
        <f t="shared" si="243"/>
        <v>8</v>
      </c>
      <c r="J1494">
        <f t="shared" si="244"/>
        <v>1461</v>
      </c>
      <c r="K1494" s="5">
        <f t="shared" si="245"/>
        <v>0</v>
      </c>
      <c r="L1494">
        <f t="shared" si="246"/>
        <v>53.4</v>
      </c>
      <c r="M1494">
        <f t="shared" si="247"/>
        <v>1</v>
      </c>
      <c r="N1494">
        <f t="shared" si="248"/>
        <v>0</v>
      </c>
    </row>
    <row r="1495" spans="4:14" x14ac:dyDescent="0.2">
      <c r="D1495">
        <f t="shared" si="250"/>
        <v>1472</v>
      </c>
      <c r="E1495" s="1">
        <f t="shared" si="251"/>
        <v>-170.84463034820115</v>
      </c>
      <c r="F1495" s="1">
        <f t="shared" si="252"/>
        <v>-171.42124371250515</v>
      </c>
      <c r="G1495" s="1">
        <f t="shared" si="249"/>
        <v>3.5702594279622536E-75</v>
      </c>
      <c r="H1495" s="1">
        <f t="shared" ref="H1495:H1558" si="253">G1495/$G$21</f>
        <v>3.6987132063227994E-76</v>
      </c>
      <c r="I1495">
        <f t="shared" ref="I1495:I1558" si="254">IF($F$11&lt;=D1495, IF(D1495&lt;=$A$15,D1495-$F$11,$C$11),0)</f>
        <v>8</v>
      </c>
      <c r="J1495">
        <f t="shared" ref="J1495:J1558" si="255">IF(D1495&lt;=$A$15,0,D1495-$A$15)</f>
        <v>1462</v>
      </c>
      <c r="K1495" s="5">
        <f t="shared" ref="K1495:K1558" si="256">IF(D1495&lt;$F$11,H1495,0)</f>
        <v>0</v>
      </c>
      <c r="L1495">
        <f t="shared" ref="L1495:L1558" si="257">IF(D1495&lt;$A$15,$D$11,$D$11*(1-$H$11))</f>
        <v>53.4</v>
      </c>
      <c r="M1495">
        <f t="shared" ref="M1495:M1558" si="258">IF(D1495&lt;$A$15,0,1)</f>
        <v>1</v>
      </c>
      <c r="N1495">
        <f t="shared" ref="N1495:N1558" si="259">IF(SUM(I1495:J1495)&lt;=($G$11/60*$F$11/($E$11/60)),1,0)</f>
        <v>0</v>
      </c>
    </row>
    <row r="1496" spans="4:14" x14ac:dyDescent="0.2">
      <c r="D1496">
        <f t="shared" si="250"/>
        <v>1473</v>
      </c>
      <c r="E1496" s="1">
        <f t="shared" si="251"/>
        <v>-170.9611641644571</v>
      </c>
      <c r="F1496" s="1">
        <f t="shared" si="252"/>
        <v>-171.5377775287611</v>
      </c>
      <c r="G1496" s="1">
        <f t="shared" ref="G1496:G1559" si="260">EXP(F1496)</f>
        <v>3.1775308908864038E-75</v>
      </c>
      <c r="H1496" s="1">
        <f t="shared" si="253"/>
        <v>3.2918547536272896E-76</v>
      </c>
      <c r="I1496">
        <f t="shared" si="254"/>
        <v>8</v>
      </c>
      <c r="J1496">
        <f t="shared" si="255"/>
        <v>1463</v>
      </c>
      <c r="K1496" s="5">
        <f t="shared" si="256"/>
        <v>0</v>
      </c>
      <c r="L1496">
        <f t="shared" si="257"/>
        <v>53.4</v>
      </c>
      <c r="M1496">
        <f t="shared" si="258"/>
        <v>1</v>
      </c>
      <c r="N1496">
        <f t="shared" si="259"/>
        <v>0</v>
      </c>
    </row>
    <row r="1497" spans="4:14" x14ac:dyDescent="0.2">
      <c r="D1497">
        <f t="shared" ref="D1497:D1560" si="261">1+D1496</f>
        <v>1474</v>
      </c>
      <c r="E1497" s="1">
        <f t="shared" ref="E1497:E1560" si="262">IF($H$11=1,IF(D1497&lt;=$A$15, E1496+LN($D$11)-LN(60/$E$11)-LN(MIN(D1497,$F$11)), E1496-LN(60/$E$11)-LN(MIN(D1497,$F$11))), IF(D1497&lt;=$A$15, E1496+LN($D$11)-LN(60/$E$11)-LN(MIN(D1497,$F$11)), E1496+LN($D$11)+LN(1-$H$11)-LN(60/$E$11)-LN(MIN(D1497,$F$11))))</f>
        <v>-171.07769798071305</v>
      </c>
      <c r="F1497" s="1">
        <f t="shared" ref="F1497:F1560" si="263">E1497-$E$21</f>
        <v>-171.65431134501705</v>
      </c>
      <c r="G1497" s="1">
        <f t="shared" si="260"/>
        <v>2.8280024928888976E-75</v>
      </c>
      <c r="H1497" s="1">
        <f t="shared" si="253"/>
        <v>2.9297507307282857E-76</v>
      </c>
      <c r="I1497">
        <f t="shared" si="254"/>
        <v>8</v>
      </c>
      <c r="J1497">
        <f t="shared" si="255"/>
        <v>1464</v>
      </c>
      <c r="K1497" s="5">
        <f t="shared" si="256"/>
        <v>0</v>
      </c>
      <c r="L1497">
        <f t="shared" si="257"/>
        <v>53.4</v>
      </c>
      <c r="M1497">
        <f t="shared" si="258"/>
        <v>1</v>
      </c>
      <c r="N1497">
        <f t="shared" si="259"/>
        <v>0</v>
      </c>
    </row>
    <row r="1498" spans="4:14" x14ac:dyDescent="0.2">
      <c r="D1498">
        <f t="shared" si="261"/>
        <v>1475</v>
      </c>
      <c r="E1498" s="1">
        <f t="shared" si="262"/>
        <v>-171.19423179696901</v>
      </c>
      <c r="F1498" s="1">
        <f t="shared" si="263"/>
        <v>-171.770845161273</v>
      </c>
      <c r="G1498" s="1">
        <f t="shared" si="260"/>
        <v>2.5169222186711171E-75</v>
      </c>
      <c r="H1498" s="1">
        <f t="shared" si="253"/>
        <v>2.6074781503481725E-76</v>
      </c>
      <c r="I1498">
        <f t="shared" si="254"/>
        <v>8</v>
      </c>
      <c r="J1498">
        <f t="shared" si="255"/>
        <v>1465</v>
      </c>
      <c r="K1498" s="5">
        <f t="shared" si="256"/>
        <v>0</v>
      </c>
      <c r="L1498">
        <f t="shared" si="257"/>
        <v>53.4</v>
      </c>
      <c r="M1498">
        <f t="shared" si="258"/>
        <v>1</v>
      </c>
      <c r="N1498">
        <f t="shared" si="259"/>
        <v>0</v>
      </c>
    </row>
    <row r="1499" spans="4:14" x14ac:dyDescent="0.2">
      <c r="D1499">
        <f t="shared" si="261"/>
        <v>1476</v>
      </c>
      <c r="E1499" s="1">
        <f t="shared" si="262"/>
        <v>-171.31076561322496</v>
      </c>
      <c r="F1499" s="1">
        <f t="shared" si="263"/>
        <v>-171.88737897752895</v>
      </c>
      <c r="G1499" s="1">
        <f t="shared" si="260"/>
        <v>2.2400607746172932E-75</v>
      </c>
      <c r="H1499" s="1">
        <f t="shared" si="253"/>
        <v>2.3206555538098726E-76</v>
      </c>
      <c r="I1499">
        <f t="shared" si="254"/>
        <v>8</v>
      </c>
      <c r="J1499">
        <f t="shared" si="255"/>
        <v>1466</v>
      </c>
      <c r="K1499" s="5">
        <f t="shared" si="256"/>
        <v>0</v>
      </c>
      <c r="L1499">
        <f t="shared" si="257"/>
        <v>53.4</v>
      </c>
      <c r="M1499">
        <f t="shared" si="258"/>
        <v>1</v>
      </c>
      <c r="N1499">
        <f t="shared" si="259"/>
        <v>0</v>
      </c>
    </row>
    <row r="1500" spans="4:14" x14ac:dyDescent="0.2">
      <c r="D1500">
        <f t="shared" si="261"/>
        <v>1477</v>
      </c>
      <c r="E1500" s="1">
        <f t="shared" si="262"/>
        <v>-171.42729942948091</v>
      </c>
      <c r="F1500" s="1">
        <f t="shared" si="263"/>
        <v>-172.00391279378491</v>
      </c>
      <c r="G1500" s="1">
        <f t="shared" si="260"/>
        <v>1.9936540894093895E-75</v>
      </c>
      <c r="H1500" s="1">
        <f t="shared" si="253"/>
        <v>2.065383442890785E-76</v>
      </c>
      <c r="I1500">
        <f t="shared" si="254"/>
        <v>8</v>
      </c>
      <c r="J1500">
        <f t="shared" si="255"/>
        <v>1467</v>
      </c>
      <c r="K1500" s="5">
        <f t="shared" si="256"/>
        <v>0</v>
      </c>
      <c r="L1500">
        <f t="shared" si="257"/>
        <v>53.4</v>
      </c>
      <c r="M1500">
        <f t="shared" si="258"/>
        <v>1</v>
      </c>
      <c r="N1500">
        <f t="shared" si="259"/>
        <v>0</v>
      </c>
    </row>
    <row r="1501" spans="4:14" x14ac:dyDescent="0.2">
      <c r="D1501">
        <f t="shared" si="261"/>
        <v>1478</v>
      </c>
      <c r="E1501" s="1">
        <f t="shared" si="262"/>
        <v>-171.54383324573686</v>
      </c>
      <c r="F1501" s="1">
        <f t="shared" si="263"/>
        <v>-172.12044661004086</v>
      </c>
      <c r="G1501" s="1">
        <f t="shared" si="260"/>
        <v>1.7743521395743555E-75</v>
      </c>
      <c r="H1501" s="1">
        <f t="shared" si="253"/>
        <v>1.8381912641727974E-76</v>
      </c>
      <c r="I1501">
        <f t="shared" si="254"/>
        <v>8</v>
      </c>
      <c r="J1501">
        <f t="shared" si="255"/>
        <v>1468</v>
      </c>
      <c r="K1501" s="5">
        <f t="shared" si="256"/>
        <v>0</v>
      </c>
      <c r="L1501">
        <f t="shared" si="257"/>
        <v>53.4</v>
      </c>
      <c r="M1501">
        <f t="shared" si="258"/>
        <v>1</v>
      </c>
      <c r="N1501">
        <f t="shared" si="259"/>
        <v>0</v>
      </c>
    </row>
    <row r="1502" spans="4:14" x14ac:dyDescent="0.2">
      <c r="D1502">
        <f t="shared" si="261"/>
        <v>1479</v>
      </c>
      <c r="E1502" s="1">
        <f t="shared" si="262"/>
        <v>-171.66036706199282</v>
      </c>
      <c r="F1502" s="1">
        <f t="shared" si="263"/>
        <v>-172.23698042629681</v>
      </c>
      <c r="G1502" s="1">
        <f t="shared" si="260"/>
        <v>1.5791734042211754E-75</v>
      </c>
      <c r="H1502" s="1">
        <f t="shared" si="253"/>
        <v>1.6359902251137885E-76</v>
      </c>
      <c r="I1502">
        <f t="shared" si="254"/>
        <v>8</v>
      </c>
      <c r="J1502">
        <f t="shared" si="255"/>
        <v>1469</v>
      </c>
      <c r="K1502" s="5">
        <f t="shared" si="256"/>
        <v>0</v>
      </c>
      <c r="L1502">
        <f t="shared" si="257"/>
        <v>53.4</v>
      </c>
      <c r="M1502">
        <f t="shared" si="258"/>
        <v>1</v>
      </c>
      <c r="N1502">
        <f t="shared" si="259"/>
        <v>0</v>
      </c>
    </row>
    <row r="1503" spans="4:14" x14ac:dyDescent="0.2">
      <c r="D1503">
        <f t="shared" si="261"/>
        <v>1480</v>
      </c>
      <c r="E1503" s="1">
        <f t="shared" si="262"/>
        <v>-171.77690087824877</v>
      </c>
      <c r="F1503" s="1">
        <f t="shared" si="263"/>
        <v>-172.35351424255276</v>
      </c>
      <c r="G1503" s="1">
        <f t="shared" si="260"/>
        <v>1.4054643297568453E-75</v>
      </c>
      <c r="H1503" s="1">
        <f t="shared" si="253"/>
        <v>1.4560313003512712E-76</v>
      </c>
      <c r="I1503">
        <f t="shared" si="254"/>
        <v>8</v>
      </c>
      <c r="J1503">
        <f t="shared" si="255"/>
        <v>1470</v>
      </c>
      <c r="K1503" s="5">
        <f t="shared" si="256"/>
        <v>0</v>
      </c>
      <c r="L1503">
        <f t="shared" si="257"/>
        <v>53.4</v>
      </c>
      <c r="M1503">
        <f t="shared" si="258"/>
        <v>1</v>
      </c>
      <c r="N1503">
        <f t="shared" si="259"/>
        <v>0</v>
      </c>
    </row>
    <row r="1504" spans="4:14" x14ac:dyDescent="0.2">
      <c r="D1504">
        <f t="shared" si="261"/>
        <v>1481</v>
      </c>
      <c r="E1504" s="1">
        <f t="shared" si="262"/>
        <v>-171.89343469450472</v>
      </c>
      <c r="F1504" s="1">
        <f t="shared" si="263"/>
        <v>-172.47004805880871</v>
      </c>
      <c r="G1504" s="1">
        <f t="shared" si="260"/>
        <v>1.2508632534835915E-75</v>
      </c>
      <c r="H1504" s="1">
        <f t="shared" si="253"/>
        <v>1.2958678573126304E-76</v>
      </c>
      <c r="I1504">
        <f t="shared" si="254"/>
        <v>8</v>
      </c>
      <c r="J1504">
        <f t="shared" si="255"/>
        <v>1471</v>
      </c>
      <c r="K1504" s="5">
        <f t="shared" si="256"/>
        <v>0</v>
      </c>
      <c r="L1504">
        <f t="shared" si="257"/>
        <v>53.4</v>
      </c>
      <c r="M1504">
        <f t="shared" si="258"/>
        <v>1</v>
      </c>
      <c r="N1504">
        <f t="shared" si="259"/>
        <v>0</v>
      </c>
    </row>
    <row r="1505" spans="4:14" x14ac:dyDescent="0.2">
      <c r="D1505">
        <f t="shared" si="261"/>
        <v>1482</v>
      </c>
      <c r="E1505" s="1">
        <f t="shared" si="262"/>
        <v>-172.00996851076067</v>
      </c>
      <c r="F1505" s="1">
        <f t="shared" si="263"/>
        <v>-172.58658187506467</v>
      </c>
      <c r="G1505" s="1">
        <f t="shared" si="260"/>
        <v>1.1132682956003958E-75</v>
      </c>
      <c r="H1505" s="1">
        <f t="shared" si="253"/>
        <v>1.1533223930082404E-76</v>
      </c>
      <c r="I1505">
        <f t="shared" si="254"/>
        <v>8</v>
      </c>
      <c r="J1505">
        <f t="shared" si="255"/>
        <v>1472</v>
      </c>
      <c r="K1505" s="5">
        <f t="shared" si="256"/>
        <v>0</v>
      </c>
      <c r="L1505">
        <f t="shared" si="257"/>
        <v>53.4</v>
      </c>
      <c r="M1505">
        <f t="shared" si="258"/>
        <v>1</v>
      </c>
      <c r="N1505">
        <f t="shared" si="259"/>
        <v>0</v>
      </c>
    </row>
    <row r="1506" spans="4:14" x14ac:dyDescent="0.2">
      <c r="D1506">
        <f t="shared" si="261"/>
        <v>1483</v>
      </c>
      <c r="E1506" s="1">
        <f t="shared" si="262"/>
        <v>-172.12650232701662</v>
      </c>
      <c r="F1506" s="1">
        <f t="shared" si="263"/>
        <v>-172.70311569132062</v>
      </c>
      <c r="G1506" s="1">
        <f t="shared" si="260"/>
        <v>9.908087830843515E-76</v>
      </c>
      <c r="H1506" s="1">
        <f t="shared" si="253"/>
        <v>1.0264569297773333E-76</v>
      </c>
      <c r="I1506">
        <f t="shared" si="254"/>
        <v>8</v>
      </c>
      <c r="J1506">
        <f t="shared" si="255"/>
        <v>1473</v>
      </c>
      <c r="K1506" s="5">
        <f t="shared" si="256"/>
        <v>0</v>
      </c>
      <c r="L1506">
        <f t="shared" si="257"/>
        <v>53.4</v>
      </c>
      <c r="M1506">
        <f t="shared" si="258"/>
        <v>1</v>
      </c>
      <c r="N1506">
        <f t="shared" si="259"/>
        <v>0</v>
      </c>
    </row>
    <row r="1507" spans="4:14" x14ac:dyDescent="0.2">
      <c r="D1507">
        <f t="shared" si="261"/>
        <v>1484</v>
      </c>
      <c r="E1507" s="1">
        <f t="shared" si="262"/>
        <v>-172.24303614327258</v>
      </c>
      <c r="F1507" s="1">
        <f t="shared" si="263"/>
        <v>-172.81964950757657</v>
      </c>
      <c r="G1507" s="1">
        <f t="shared" si="260"/>
        <v>8.8181981694507235E-76</v>
      </c>
      <c r="H1507" s="1">
        <f t="shared" si="253"/>
        <v>9.1354666750182609E-77</v>
      </c>
      <c r="I1507">
        <f t="shared" si="254"/>
        <v>8</v>
      </c>
      <c r="J1507">
        <f t="shared" si="255"/>
        <v>1474</v>
      </c>
      <c r="K1507" s="5">
        <f t="shared" si="256"/>
        <v>0</v>
      </c>
      <c r="L1507">
        <f t="shared" si="257"/>
        <v>53.4</v>
      </c>
      <c r="M1507">
        <f t="shared" si="258"/>
        <v>1</v>
      </c>
      <c r="N1507">
        <f t="shared" si="259"/>
        <v>0</v>
      </c>
    </row>
    <row r="1508" spans="4:14" x14ac:dyDescent="0.2">
      <c r="D1508">
        <f t="shared" si="261"/>
        <v>1485</v>
      </c>
      <c r="E1508" s="1">
        <f t="shared" si="262"/>
        <v>-172.35956995952853</v>
      </c>
      <c r="F1508" s="1">
        <f t="shared" si="263"/>
        <v>-172.93618332383252</v>
      </c>
      <c r="G1508" s="1">
        <f t="shared" si="260"/>
        <v>7.8481963708111383E-76</v>
      </c>
      <c r="H1508" s="1">
        <f t="shared" si="253"/>
        <v>8.1305653407662458E-77</v>
      </c>
      <c r="I1508">
        <f t="shared" si="254"/>
        <v>8</v>
      </c>
      <c r="J1508">
        <f t="shared" si="255"/>
        <v>1475</v>
      </c>
      <c r="K1508" s="5">
        <f t="shared" si="256"/>
        <v>0</v>
      </c>
      <c r="L1508">
        <f t="shared" si="257"/>
        <v>53.4</v>
      </c>
      <c r="M1508">
        <f t="shared" si="258"/>
        <v>1</v>
      </c>
      <c r="N1508">
        <f t="shared" si="259"/>
        <v>0</v>
      </c>
    </row>
    <row r="1509" spans="4:14" x14ac:dyDescent="0.2">
      <c r="D1509">
        <f t="shared" si="261"/>
        <v>1486</v>
      </c>
      <c r="E1509" s="1">
        <f t="shared" si="262"/>
        <v>-172.47610377578448</v>
      </c>
      <c r="F1509" s="1">
        <f t="shared" si="263"/>
        <v>-173.05271714008848</v>
      </c>
      <c r="G1509" s="1">
        <f t="shared" si="260"/>
        <v>6.984894770021909E-76</v>
      </c>
      <c r="H1509" s="1">
        <f t="shared" si="253"/>
        <v>7.2362031532819548E-77</v>
      </c>
      <c r="I1509">
        <f t="shared" si="254"/>
        <v>8</v>
      </c>
      <c r="J1509">
        <f t="shared" si="255"/>
        <v>1476</v>
      </c>
      <c r="K1509" s="5">
        <f t="shared" si="256"/>
        <v>0</v>
      </c>
      <c r="L1509">
        <f t="shared" si="257"/>
        <v>53.4</v>
      </c>
      <c r="M1509">
        <f t="shared" si="258"/>
        <v>1</v>
      </c>
      <c r="N1509">
        <f t="shared" si="259"/>
        <v>0</v>
      </c>
    </row>
    <row r="1510" spans="4:14" x14ac:dyDescent="0.2">
      <c r="D1510">
        <f t="shared" si="261"/>
        <v>1487</v>
      </c>
      <c r="E1510" s="1">
        <f t="shared" si="262"/>
        <v>-172.59263759204043</v>
      </c>
      <c r="F1510" s="1">
        <f t="shared" si="263"/>
        <v>-173.16925095634443</v>
      </c>
      <c r="G1510" s="1">
        <f t="shared" si="260"/>
        <v>6.2165563453194952E-76</v>
      </c>
      <c r="H1510" s="1">
        <f t="shared" si="253"/>
        <v>6.4402208064209358E-77</v>
      </c>
      <c r="I1510">
        <f t="shared" si="254"/>
        <v>8</v>
      </c>
      <c r="J1510">
        <f t="shared" si="255"/>
        <v>1477</v>
      </c>
      <c r="K1510" s="5">
        <f t="shared" si="256"/>
        <v>0</v>
      </c>
      <c r="L1510">
        <f t="shared" si="257"/>
        <v>53.4</v>
      </c>
      <c r="M1510">
        <f t="shared" si="258"/>
        <v>1</v>
      </c>
      <c r="N1510">
        <f t="shared" si="259"/>
        <v>0</v>
      </c>
    </row>
    <row r="1511" spans="4:14" x14ac:dyDescent="0.2">
      <c r="D1511">
        <f t="shared" si="261"/>
        <v>1488</v>
      </c>
      <c r="E1511" s="1">
        <f t="shared" si="262"/>
        <v>-172.70917140829638</v>
      </c>
      <c r="F1511" s="1">
        <f t="shared" si="263"/>
        <v>-173.28578477260038</v>
      </c>
      <c r="G1511" s="1">
        <f t="shared" si="260"/>
        <v>5.5327351473343466E-76</v>
      </c>
      <c r="H1511" s="1">
        <f t="shared" si="253"/>
        <v>5.7317965177146281E-77</v>
      </c>
      <c r="I1511">
        <f t="shared" si="254"/>
        <v>8</v>
      </c>
      <c r="J1511">
        <f t="shared" si="255"/>
        <v>1478</v>
      </c>
      <c r="K1511" s="5">
        <f t="shared" si="256"/>
        <v>0</v>
      </c>
      <c r="L1511">
        <f t="shared" si="257"/>
        <v>53.4</v>
      </c>
      <c r="M1511">
        <f t="shared" si="258"/>
        <v>1</v>
      </c>
      <c r="N1511">
        <f t="shared" si="259"/>
        <v>0</v>
      </c>
    </row>
    <row r="1512" spans="4:14" x14ac:dyDescent="0.2">
      <c r="D1512">
        <f t="shared" si="261"/>
        <v>1489</v>
      </c>
      <c r="E1512" s="1">
        <f t="shared" si="262"/>
        <v>-172.82570522455234</v>
      </c>
      <c r="F1512" s="1">
        <f t="shared" si="263"/>
        <v>-173.40231858885633</v>
      </c>
      <c r="G1512" s="1">
        <f t="shared" si="260"/>
        <v>4.9241342811275658E-76</v>
      </c>
      <c r="H1512" s="1">
        <f t="shared" si="253"/>
        <v>5.1012989007660168E-77</v>
      </c>
      <c r="I1512">
        <f t="shared" si="254"/>
        <v>8</v>
      </c>
      <c r="J1512">
        <f t="shared" si="255"/>
        <v>1479</v>
      </c>
      <c r="K1512" s="5">
        <f t="shared" si="256"/>
        <v>0</v>
      </c>
      <c r="L1512">
        <f t="shared" si="257"/>
        <v>53.4</v>
      </c>
      <c r="M1512">
        <f t="shared" si="258"/>
        <v>1</v>
      </c>
      <c r="N1512">
        <f t="shared" si="259"/>
        <v>0</v>
      </c>
    </row>
    <row r="1513" spans="4:14" x14ac:dyDescent="0.2">
      <c r="D1513">
        <f t="shared" si="261"/>
        <v>1490</v>
      </c>
      <c r="E1513" s="1">
        <f t="shared" si="262"/>
        <v>-172.94223904080829</v>
      </c>
      <c r="F1513" s="1">
        <f t="shared" si="263"/>
        <v>-173.51885240511228</v>
      </c>
      <c r="G1513" s="1">
        <f t="shared" si="260"/>
        <v>4.3824795102035309E-76</v>
      </c>
      <c r="H1513" s="1">
        <f t="shared" si="253"/>
        <v>4.5401560216817523E-77</v>
      </c>
      <c r="I1513">
        <f t="shared" si="254"/>
        <v>8</v>
      </c>
      <c r="J1513">
        <f t="shared" si="255"/>
        <v>1480</v>
      </c>
      <c r="K1513" s="5">
        <f t="shared" si="256"/>
        <v>0</v>
      </c>
      <c r="L1513">
        <f t="shared" si="257"/>
        <v>53.4</v>
      </c>
      <c r="M1513">
        <f t="shared" si="258"/>
        <v>1</v>
      </c>
      <c r="N1513">
        <f t="shared" si="259"/>
        <v>0</v>
      </c>
    </row>
    <row r="1514" spans="4:14" x14ac:dyDescent="0.2">
      <c r="D1514">
        <f t="shared" si="261"/>
        <v>1491</v>
      </c>
      <c r="E1514" s="1">
        <f t="shared" si="262"/>
        <v>-173.05877285706424</v>
      </c>
      <c r="F1514" s="1">
        <f t="shared" si="263"/>
        <v>-173.63538622136824</v>
      </c>
      <c r="G1514" s="1">
        <f t="shared" si="260"/>
        <v>3.9004067640811401E-76</v>
      </c>
      <c r="H1514" s="1">
        <f t="shared" si="253"/>
        <v>4.0407388592967571E-77</v>
      </c>
      <c r="I1514">
        <f t="shared" si="254"/>
        <v>8</v>
      </c>
      <c r="J1514">
        <f t="shared" si="255"/>
        <v>1481</v>
      </c>
      <c r="K1514" s="5">
        <f t="shared" si="256"/>
        <v>0</v>
      </c>
      <c r="L1514">
        <f t="shared" si="257"/>
        <v>53.4</v>
      </c>
      <c r="M1514">
        <f t="shared" si="258"/>
        <v>1</v>
      </c>
      <c r="N1514">
        <f t="shared" si="259"/>
        <v>0</v>
      </c>
    </row>
    <row r="1515" spans="4:14" x14ac:dyDescent="0.2">
      <c r="D1515">
        <f t="shared" si="261"/>
        <v>1492</v>
      </c>
      <c r="E1515" s="1">
        <f t="shared" si="262"/>
        <v>-173.17530667332019</v>
      </c>
      <c r="F1515" s="1">
        <f t="shared" si="263"/>
        <v>-173.75192003762419</v>
      </c>
      <c r="G1515" s="1">
        <f t="shared" si="260"/>
        <v>3.4713620200322122E-76</v>
      </c>
      <c r="H1515" s="1">
        <f t="shared" si="253"/>
        <v>3.5962575847741106E-77</v>
      </c>
      <c r="I1515">
        <f t="shared" si="254"/>
        <v>8</v>
      </c>
      <c r="J1515">
        <f t="shared" si="255"/>
        <v>1482</v>
      </c>
      <c r="K1515" s="5">
        <f t="shared" si="256"/>
        <v>0</v>
      </c>
      <c r="L1515">
        <f t="shared" si="257"/>
        <v>53.4</v>
      </c>
      <c r="M1515">
        <f t="shared" si="258"/>
        <v>1</v>
      </c>
      <c r="N1515">
        <f t="shared" si="259"/>
        <v>0</v>
      </c>
    </row>
    <row r="1516" spans="4:14" x14ac:dyDescent="0.2">
      <c r="D1516">
        <f t="shared" si="261"/>
        <v>1493</v>
      </c>
      <c r="E1516" s="1">
        <f t="shared" si="262"/>
        <v>-173.29184048957615</v>
      </c>
      <c r="F1516" s="1">
        <f t="shared" si="263"/>
        <v>-173.86845385388014</v>
      </c>
      <c r="G1516" s="1">
        <f t="shared" si="260"/>
        <v>3.0895121978286669E-76</v>
      </c>
      <c r="H1516" s="1">
        <f t="shared" si="253"/>
        <v>3.2006692504489569E-77</v>
      </c>
      <c r="I1516">
        <f t="shared" si="254"/>
        <v>8</v>
      </c>
      <c r="J1516">
        <f t="shared" si="255"/>
        <v>1483</v>
      </c>
      <c r="K1516" s="5">
        <f t="shared" si="256"/>
        <v>0</v>
      </c>
      <c r="L1516">
        <f t="shared" si="257"/>
        <v>53.4</v>
      </c>
      <c r="M1516">
        <f t="shared" si="258"/>
        <v>1</v>
      </c>
      <c r="N1516">
        <f t="shared" si="259"/>
        <v>0</v>
      </c>
    </row>
    <row r="1517" spans="4:14" x14ac:dyDescent="0.2">
      <c r="D1517">
        <f t="shared" si="261"/>
        <v>1494</v>
      </c>
      <c r="E1517" s="1">
        <f t="shared" si="262"/>
        <v>-173.4083743058321</v>
      </c>
      <c r="F1517" s="1">
        <f t="shared" si="263"/>
        <v>-173.98498767013609</v>
      </c>
      <c r="G1517" s="1">
        <f t="shared" si="260"/>
        <v>2.7496658560675121E-76</v>
      </c>
      <c r="H1517" s="1">
        <f t="shared" si="253"/>
        <v>2.84859563289957E-77</v>
      </c>
      <c r="I1517">
        <f t="shared" si="254"/>
        <v>8</v>
      </c>
      <c r="J1517">
        <f t="shared" si="255"/>
        <v>1484</v>
      </c>
      <c r="K1517" s="5">
        <f t="shared" si="256"/>
        <v>0</v>
      </c>
      <c r="L1517">
        <f t="shared" si="257"/>
        <v>53.4</v>
      </c>
      <c r="M1517">
        <f t="shared" si="258"/>
        <v>1</v>
      </c>
      <c r="N1517">
        <f t="shared" si="259"/>
        <v>0</v>
      </c>
    </row>
    <row r="1518" spans="4:14" x14ac:dyDescent="0.2">
      <c r="D1518">
        <f t="shared" si="261"/>
        <v>1495</v>
      </c>
      <c r="E1518" s="1">
        <f t="shared" si="262"/>
        <v>-173.52490812208805</v>
      </c>
      <c r="F1518" s="1">
        <f t="shared" si="263"/>
        <v>-174.10152148639204</v>
      </c>
      <c r="G1518" s="1">
        <f t="shared" si="260"/>
        <v>2.4472026119000842E-76</v>
      </c>
      <c r="H1518" s="1">
        <f t="shared" si="253"/>
        <v>2.5352501132806156E-77</v>
      </c>
      <c r="I1518">
        <f t="shared" si="254"/>
        <v>8</v>
      </c>
      <c r="J1518">
        <f t="shared" si="255"/>
        <v>1485</v>
      </c>
      <c r="K1518" s="5">
        <f t="shared" si="256"/>
        <v>0</v>
      </c>
      <c r="L1518">
        <f t="shared" si="257"/>
        <v>53.4</v>
      </c>
      <c r="M1518">
        <f t="shared" si="258"/>
        <v>1</v>
      </c>
      <c r="N1518">
        <f t="shared" si="259"/>
        <v>0</v>
      </c>
    </row>
    <row r="1519" spans="4:14" x14ac:dyDescent="0.2">
      <c r="D1519">
        <f t="shared" si="261"/>
        <v>1496</v>
      </c>
      <c r="E1519" s="1">
        <f t="shared" si="262"/>
        <v>-173.641441938344</v>
      </c>
      <c r="F1519" s="1">
        <f t="shared" si="263"/>
        <v>-174.218055302648</v>
      </c>
      <c r="G1519" s="1">
        <f t="shared" si="260"/>
        <v>2.1780103245910734E-76</v>
      </c>
      <c r="H1519" s="1">
        <f t="shared" si="253"/>
        <v>2.2563726008197465E-77</v>
      </c>
      <c r="I1519">
        <f t="shared" si="254"/>
        <v>8</v>
      </c>
      <c r="J1519">
        <f t="shared" si="255"/>
        <v>1486</v>
      </c>
      <c r="K1519" s="5">
        <f t="shared" si="256"/>
        <v>0</v>
      </c>
      <c r="L1519">
        <f t="shared" si="257"/>
        <v>53.4</v>
      </c>
      <c r="M1519">
        <f t="shared" si="258"/>
        <v>1</v>
      </c>
      <c r="N1519">
        <f t="shared" si="259"/>
        <v>0</v>
      </c>
    </row>
    <row r="1520" spans="4:14" x14ac:dyDescent="0.2">
      <c r="D1520">
        <f t="shared" si="261"/>
        <v>1497</v>
      </c>
      <c r="E1520" s="1">
        <f t="shared" si="262"/>
        <v>-173.75797575459995</v>
      </c>
      <c r="F1520" s="1">
        <f t="shared" si="263"/>
        <v>-174.33458911890395</v>
      </c>
      <c r="G1520" s="1">
        <f t="shared" si="260"/>
        <v>1.9384291888860542E-76</v>
      </c>
      <c r="H1520" s="1">
        <f t="shared" si="253"/>
        <v>2.0081716147295729E-77</v>
      </c>
      <c r="I1520">
        <f t="shared" si="254"/>
        <v>8</v>
      </c>
      <c r="J1520">
        <f t="shared" si="255"/>
        <v>1487</v>
      </c>
      <c r="K1520" s="5">
        <f t="shared" si="256"/>
        <v>0</v>
      </c>
      <c r="L1520">
        <f t="shared" si="257"/>
        <v>53.4</v>
      </c>
      <c r="M1520">
        <f t="shared" si="258"/>
        <v>1</v>
      </c>
      <c r="N1520">
        <f t="shared" si="259"/>
        <v>0</v>
      </c>
    </row>
    <row r="1521" spans="4:14" x14ac:dyDescent="0.2">
      <c r="D1521">
        <f t="shared" si="261"/>
        <v>1498</v>
      </c>
      <c r="E1521" s="1">
        <f t="shared" si="262"/>
        <v>-173.87450957085591</v>
      </c>
      <c r="F1521" s="1">
        <f t="shared" si="263"/>
        <v>-174.4511229351599</v>
      </c>
      <c r="G1521" s="1">
        <f t="shared" si="260"/>
        <v>1.7252019781085871E-76</v>
      </c>
      <c r="H1521" s="1">
        <f t="shared" si="253"/>
        <v>1.7872727371093189E-77</v>
      </c>
      <c r="I1521">
        <f t="shared" si="254"/>
        <v>8</v>
      </c>
      <c r="J1521">
        <f t="shared" si="255"/>
        <v>1488</v>
      </c>
      <c r="K1521" s="5">
        <f t="shared" si="256"/>
        <v>0</v>
      </c>
      <c r="L1521">
        <f t="shared" si="257"/>
        <v>53.4</v>
      </c>
      <c r="M1521">
        <f t="shared" si="258"/>
        <v>1</v>
      </c>
      <c r="N1521">
        <f t="shared" si="259"/>
        <v>0</v>
      </c>
    </row>
    <row r="1522" spans="4:14" x14ac:dyDescent="0.2">
      <c r="D1522">
        <f t="shared" si="261"/>
        <v>1499</v>
      </c>
      <c r="E1522" s="1">
        <f t="shared" si="262"/>
        <v>-173.99104338711186</v>
      </c>
      <c r="F1522" s="1">
        <f t="shared" si="263"/>
        <v>-174.56765675141585</v>
      </c>
      <c r="G1522" s="1">
        <f t="shared" si="260"/>
        <v>1.5354297605166416E-76</v>
      </c>
      <c r="H1522" s="1">
        <f t="shared" si="253"/>
        <v>1.5906727360272928E-77</v>
      </c>
      <c r="I1522">
        <f t="shared" si="254"/>
        <v>8</v>
      </c>
      <c r="J1522">
        <f t="shared" si="255"/>
        <v>1489</v>
      </c>
      <c r="K1522" s="5">
        <f t="shared" si="256"/>
        <v>0</v>
      </c>
      <c r="L1522">
        <f t="shared" si="257"/>
        <v>53.4</v>
      </c>
      <c r="M1522">
        <f t="shared" si="258"/>
        <v>1</v>
      </c>
      <c r="N1522">
        <f t="shared" si="259"/>
        <v>0</v>
      </c>
    </row>
    <row r="1523" spans="4:14" x14ac:dyDescent="0.2">
      <c r="D1523">
        <f t="shared" si="261"/>
        <v>1500</v>
      </c>
      <c r="E1523" s="1">
        <f t="shared" si="262"/>
        <v>-174.10757720336781</v>
      </c>
      <c r="F1523" s="1">
        <f t="shared" si="263"/>
        <v>-174.68419056767181</v>
      </c>
      <c r="G1523" s="1">
        <f t="shared" si="260"/>
        <v>1.3665324868598101E-76</v>
      </c>
      <c r="H1523" s="1">
        <f t="shared" si="253"/>
        <v>1.4156987350642897E-77</v>
      </c>
      <c r="I1523">
        <f t="shared" si="254"/>
        <v>8</v>
      </c>
      <c r="J1523">
        <f t="shared" si="255"/>
        <v>1490</v>
      </c>
      <c r="K1523" s="5">
        <f t="shared" si="256"/>
        <v>0</v>
      </c>
      <c r="L1523">
        <f t="shared" si="257"/>
        <v>53.4</v>
      </c>
      <c r="M1523">
        <f t="shared" si="258"/>
        <v>1</v>
      </c>
      <c r="N1523">
        <f t="shared" si="259"/>
        <v>0</v>
      </c>
    </row>
    <row r="1524" spans="4:14" x14ac:dyDescent="0.2">
      <c r="D1524">
        <f t="shared" si="261"/>
        <v>1501</v>
      </c>
      <c r="E1524" s="1">
        <f t="shared" si="262"/>
        <v>-174.22411101962376</v>
      </c>
      <c r="F1524" s="1">
        <f t="shared" si="263"/>
        <v>-174.80072438392776</v>
      </c>
      <c r="G1524" s="1">
        <f t="shared" si="260"/>
        <v>1.2162139133052302E-76</v>
      </c>
      <c r="H1524" s="1">
        <f t="shared" si="253"/>
        <v>1.259971874207217E-77</v>
      </c>
      <c r="I1524">
        <f t="shared" si="254"/>
        <v>8</v>
      </c>
      <c r="J1524">
        <f t="shared" si="255"/>
        <v>1491</v>
      </c>
      <c r="K1524" s="5">
        <f t="shared" si="256"/>
        <v>0</v>
      </c>
      <c r="L1524">
        <f t="shared" si="257"/>
        <v>53.4</v>
      </c>
      <c r="M1524">
        <f t="shared" si="258"/>
        <v>1</v>
      </c>
      <c r="N1524">
        <f t="shared" si="259"/>
        <v>0</v>
      </c>
    </row>
    <row r="1525" spans="4:14" x14ac:dyDescent="0.2">
      <c r="D1525">
        <f t="shared" si="261"/>
        <v>1502</v>
      </c>
      <c r="E1525" s="1">
        <f t="shared" si="262"/>
        <v>-174.34064483587971</v>
      </c>
      <c r="F1525" s="1">
        <f t="shared" si="263"/>
        <v>-174.91725820018371</v>
      </c>
      <c r="G1525" s="1">
        <f t="shared" si="260"/>
        <v>1.0824303828416542E-76</v>
      </c>
      <c r="H1525" s="1">
        <f t="shared" si="253"/>
        <v>1.1213749680444224E-77</v>
      </c>
      <c r="I1525">
        <f t="shared" si="254"/>
        <v>8</v>
      </c>
      <c r="J1525">
        <f t="shared" si="255"/>
        <v>1492</v>
      </c>
      <c r="K1525" s="5">
        <f t="shared" si="256"/>
        <v>0</v>
      </c>
      <c r="L1525">
        <f t="shared" si="257"/>
        <v>53.4</v>
      </c>
      <c r="M1525">
        <f t="shared" si="258"/>
        <v>1</v>
      </c>
      <c r="N1525">
        <f t="shared" si="259"/>
        <v>0</v>
      </c>
    </row>
    <row r="1526" spans="4:14" x14ac:dyDescent="0.2">
      <c r="D1526">
        <f t="shared" si="261"/>
        <v>1503</v>
      </c>
      <c r="E1526" s="1">
        <f t="shared" si="262"/>
        <v>-174.45717865213567</v>
      </c>
      <c r="F1526" s="1">
        <f t="shared" si="263"/>
        <v>-175.03379201643966</v>
      </c>
      <c r="G1526" s="1">
        <f t="shared" si="260"/>
        <v>9.6336304072907165E-77</v>
      </c>
      <c r="H1526" s="1">
        <f t="shared" si="253"/>
        <v>9.9802372155953539E-78</v>
      </c>
      <c r="I1526">
        <f t="shared" si="254"/>
        <v>8</v>
      </c>
      <c r="J1526">
        <f t="shared" si="255"/>
        <v>1493</v>
      </c>
      <c r="K1526" s="5">
        <f t="shared" si="256"/>
        <v>0</v>
      </c>
      <c r="L1526">
        <f t="shared" si="257"/>
        <v>53.4</v>
      </c>
      <c r="M1526">
        <f t="shared" si="258"/>
        <v>1</v>
      </c>
      <c r="N1526">
        <f t="shared" si="259"/>
        <v>0</v>
      </c>
    </row>
    <row r="1527" spans="4:14" x14ac:dyDescent="0.2">
      <c r="D1527">
        <f t="shared" si="261"/>
        <v>1504</v>
      </c>
      <c r="E1527" s="1">
        <f t="shared" si="262"/>
        <v>-174.57371246839162</v>
      </c>
      <c r="F1527" s="1">
        <f t="shared" si="263"/>
        <v>-175.15032583269561</v>
      </c>
      <c r="G1527" s="1">
        <f t="shared" si="260"/>
        <v>8.5739310624887323E-77</v>
      </c>
      <c r="H1527" s="1">
        <f t="shared" si="253"/>
        <v>8.8824111218798587E-78</v>
      </c>
      <c r="I1527">
        <f t="shared" si="254"/>
        <v>8</v>
      </c>
      <c r="J1527">
        <f t="shared" si="255"/>
        <v>1494</v>
      </c>
      <c r="K1527" s="5">
        <f t="shared" si="256"/>
        <v>0</v>
      </c>
      <c r="L1527">
        <f t="shared" si="257"/>
        <v>53.4</v>
      </c>
      <c r="M1527">
        <f t="shared" si="258"/>
        <v>1</v>
      </c>
      <c r="N1527">
        <f t="shared" si="259"/>
        <v>0</v>
      </c>
    </row>
    <row r="1528" spans="4:14" x14ac:dyDescent="0.2">
      <c r="D1528">
        <f t="shared" si="261"/>
        <v>1505</v>
      </c>
      <c r="E1528" s="1">
        <f t="shared" si="262"/>
        <v>-174.69024628464757</v>
      </c>
      <c r="F1528" s="1">
        <f t="shared" si="263"/>
        <v>-175.26685964895157</v>
      </c>
      <c r="G1528" s="1">
        <f t="shared" si="260"/>
        <v>7.6307986456149675E-77</v>
      </c>
      <c r="H1528" s="1">
        <f t="shared" si="253"/>
        <v>7.9053458984730704E-78</v>
      </c>
      <c r="I1528">
        <f t="shared" si="254"/>
        <v>8</v>
      </c>
      <c r="J1528">
        <f t="shared" si="255"/>
        <v>1495</v>
      </c>
      <c r="K1528" s="5">
        <f t="shared" si="256"/>
        <v>0</v>
      </c>
      <c r="L1528">
        <f t="shared" si="257"/>
        <v>53.4</v>
      </c>
      <c r="M1528">
        <f t="shared" si="258"/>
        <v>1</v>
      </c>
      <c r="N1528">
        <f t="shared" si="259"/>
        <v>0</v>
      </c>
    </row>
    <row r="1529" spans="4:14" x14ac:dyDescent="0.2">
      <c r="D1529">
        <f t="shared" si="261"/>
        <v>1506</v>
      </c>
      <c r="E1529" s="1">
        <f t="shared" si="262"/>
        <v>-174.80678010090352</v>
      </c>
      <c r="F1529" s="1">
        <f t="shared" si="263"/>
        <v>-175.38339346520752</v>
      </c>
      <c r="G1529" s="1">
        <f t="shared" si="260"/>
        <v>6.7914107945973165E-77</v>
      </c>
      <c r="H1529" s="1">
        <f t="shared" si="253"/>
        <v>7.0357578496410277E-78</v>
      </c>
      <c r="I1529">
        <f t="shared" si="254"/>
        <v>8</v>
      </c>
      <c r="J1529">
        <f t="shared" si="255"/>
        <v>1496</v>
      </c>
      <c r="K1529" s="5">
        <f t="shared" si="256"/>
        <v>0</v>
      </c>
      <c r="L1529">
        <f t="shared" si="257"/>
        <v>53.4</v>
      </c>
      <c r="M1529">
        <f t="shared" si="258"/>
        <v>1</v>
      </c>
      <c r="N1529">
        <f t="shared" si="259"/>
        <v>0</v>
      </c>
    </row>
    <row r="1530" spans="4:14" x14ac:dyDescent="0.2">
      <c r="D1530">
        <f t="shared" si="261"/>
        <v>1507</v>
      </c>
      <c r="E1530" s="1">
        <f t="shared" si="262"/>
        <v>-174.92331391715948</v>
      </c>
      <c r="F1530" s="1">
        <f t="shared" si="263"/>
        <v>-175.49992728146347</v>
      </c>
      <c r="G1530" s="1">
        <f t="shared" si="260"/>
        <v>6.0443556071916081E-77</v>
      </c>
      <c r="H1530" s="1">
        <f t="shared" si="253"/>
        <v>6.2618244861805107E-78</v>
      </c>
      <c r="I1530">
        <f t="shared" si="254"/>
        <v>8</v>
      </c>
      <c r="J1530">
        <f t="shared" si="255"/>
        <v>1497</v>
      </c>
      <c r="K1530" s="5">
        <f t="shared" si="256"/>
        <v>0</v>
      </c>
      <c r="L1530">
        <f t="shared" si="257"/>
        <v>53.4</v>
      </c>
      <c r="M1530">
        <f t="shared" si="258"/>
        <v>1</v>
      </c>
      <c r="N1530">
        <f t="shared" si="259"/>
        <v>0</v>
      </c>
    </row>
    <row r="1531" spans="4:14" x14ac:dyDescent="0.2">
      <c r="D1531">
        <f t="shared" si="261"/>
        <v>1508</v>
      </c>
      <c r="E1531" s="1">
        <f t="shared" si="262"/>
        <v>-175.03984773341543</v>
      </c>
      <c r="F1531" s="1">
        <f t="shared" si="263"/>
        <v>-175.61646109771942</v>
      </c>
      <c r="G1531" s="1">
        <f t="shared" si="260"/>
        <v>5.3794764904005275E-77</v>
      </c>
      <c r="H1531" s="1">
        <f t="shared" si="253"/>
        <v>5.5730237927006509E-78</v>
      </c>
      <c r="I1531">
        <f t="shared" si="254"/>
        <v>8</v>
      </c>
      <c r="J1531">
        <f t="shared" si="255"/>
        <v>1498</v>
      </c>
      <c r="K1531" s="5">
        <f t="shared" si="256"/>
        <v>0</v>
      </c>
      <c r="L1531">
        <f t="shared" si="257"/>
        <v>53.4</v>
      </c>
      <c r="M1531">
        <f t="shared" si="258"/>
        <v>1</v>
      </c>
      <c r="N1531">
        <f t="shared" si="259"/>
        <v>0</v>
      </c>
    </row>
    <row r="1532" spans="4:14" x14ac:dyDescent="0.2">
      <c r="D1532">
        <f t="shared" si="261"/>
        <v>1509</v>
      </c>
      <c r="E1532" s="1">
        <f t="shared" si="262"/>
        <v>-175.15638154967138</v>
      </c>
      <c r="F1532" s="1">
        <f t="shared" si="263"/>
        <v>-175.73299491397538</v>
      </c>
      <c r="G1532" s="1">
        <f t="shared" si="260"/>
        <v>4.7877340764564666E-77</v>
      </c>
      <c r="H1532" s="1">
        <f t="shared" si="253"/>
        <v>4.9599911755035765E-78</v>
      </c>
      <c r="I1532">
        <f t="shared" si="254"/>
        <v>8</v>
      </c>
      <c r="J1532">
        <f t="shared" si="255"/>
        <v>1499</v>
      </c>
      <c r="K1532" s="5">
        <f t="shared" si="256"/>
        <v>0</v>
      </c>
      <c r="L1532">
        <f t="shared" si="257"/>
        <v>53.4</v>
      </c>
      <c r="M1532">
        <f t="shared" si="258"/>
        <v>1</v>
      </c>
      <c r="N1532">
        <f t="shared" si="259"/>
        <v>0</v>
      </c>
    </row>
    <row r="1533" spans="4:14" x14ac:dyDescent="0.2">
      <c r="D1533">
        <f t="shared" si="261"/>
        <v>1510</v>
      </c>
      <c r="E1533" s="1">
        <f t="shared" si="262"/>
        <v>-175.27291536592733</v>
      </c>
      <c r="F1533" s="1">
        <f t="shared" si="263"/>
        <v>-175.84952873023133</v>
      </c>
      <c r="G1533" s="1">
        <f t="shared" si="260"/>
        <v>4.2610833280462529E-77</v>
      </c>
      <c r="H1533" s="1">
        <f t="shared" si="253"/>
        <v>4.4143921461981803E-78</v>
      </c>
      <c r="I1533">
        <f t="shared" si="254"/>
        <v>8</v>
      </c>
      <c r="J1533">
        <f t="shared" si="255"/>
        <v>1500</v>
      </c>
      <c r="K1533" s="5">
        <f t="shared" si="256"/>
        <v>0</v>
      </c>
      <c r="L1533">
        <f t="shared" si="257"/>
        <v>53.4</v>
      </c>
      <c r="M1533">
        <f t="shared" si="258"/>
        <v>1</v>
      </c>
      <c r="N1533">
        <f t="shared" si="259"/>
        <v>0</v>
      </c>
    </row>
    <row r="1534" spans="4:14" x14ac:dyDescent="0.2">
      <c r="D1534">
        <f t="shared" si="261"/>
        <v>1511</v>
      </c>
      <c r="E1534" s="1">
        <f t="shared" si="262"/>
        <v>-175.38944918218328</v>
      </c>
      <c r="F1534" s="1">
        <f t="shared" si="263"/>
        <v>-175.96606254648728</v>
      </c>
      <c r="G1534" s="1">
        <f t="shared" si="260"/>
        <v>3.7923641619611625E-77</v>
      </c>
      <c r="H1534" s="1">
        <f t="shared" si="253"/>
        <v>3.9288090101163779E-78</v>
      </c>
      <c r="I1534">
        <f t="shared" si="254"/>
        <v>8</v>
      </c>
      <c r="J1534">
        <f t="shared" si="255"/>
        <v>1501</v>
      </c>
      <c r="K1534" s="5">
        <f t="shared" si="256"/>
        <v>0</v>
      </c>
      <c r="L1534">
        <f t="shared" si="257"/>
        <v>53.4</v>
      </c>
      <c r="M1534">
        <f t="shared" si="258"/>
        <v>1</v>
      </c>
      <c r="N1534">
        <f t="shared" si="259"/>
        <v>0</v>
      </c>
    </row>
    <row r="1535" spans="4:14" x14ac:dyDescent="0.2">
      <c r="D1535">
        <f t="shared" si="261"/>
        <v>1512</v>
      </c>
      <c r="E1535" s="1">
        <f t="shared" si="262"/>
        <v>-175.50598299843924</v>
      </c>
      <c r="F1535" s="1">
        <f t="shared" si="263"/>
        <v>-176.08259636274323</v>
      </c>
      <c r="G1535" s="1">
        <f t="shared" si="260"/>
        <v>3.3752041041454325E-77</v>
      </c>
      <c r="H1535" s="1">
        <f t="shared" si="253"/>
        <v>3.4966400190035741E-78</v>
      </c>
      <c r="I1535">
        <f t="shared" si="254"/>
        <v>8</v>
      </c>
      <c r="J1535">
        <f t="shared" si="255"/>
        <v>1502</v>
      </c>
      <c r="K1535" s="5">
        <f t="shared" si="256"/>
        <v>0</v>
      </c>
      <c r="L1535">
        <f t="shared" si="257"/>
        <v>53.4</v>
      </c>
      <c r="M1535">
        <f t="shared" si="258"/>
        <v>1</v>
      </c>
      <c r="N1535">
        <f t="shared" si="259"/>
        <v>0</v>
      </c>
    </row>
    <row r="1536" spans="4:14" x14ac:dyDescent="0.2">
      <c r="D1536">
        <f t="shared" si="261"/>
        <v>1513</v>
      </c>
      <c r="E1536" s="1">
        <f t="shared" si="262"/>
        <v>-175.62251681469519</v>
      </c>
      <c r="F1536" s="1">
        <f t="shared" si="263"/>
        <v>-176.19913017899918</v>
      </c>
      <c r="G1536" s="1">
        <f t="shared" si="260"/>
        <v>3.0039316526894328E-77</v>
      </c>
      <c r="H1536" s="1">
        <f t="shared" si="253"/>
        <v>3.1120096169131786E-78</v>
      </c>
      <c r="I1536">
        <f t="shared" si="254"/>
        <v>8</v>
      </c>
      <c r="J1536">
        <f t="shared" si="255"/>
        <v>1503</v>
      </c>
      <c r="K1536" s="5">
        <f t="shared" si="256"/>
        <v>0</v>
      </c>
      <c r="L1536">
        <f t="shared" si="257"/>
        <v>53.4</v>
      </c>
      <c r="M1536">
        <f t="shared" si="258"/>
        <v>1</v>
      </c>
      <c r="N1536">
        <f t="shared" si="259"/>
        <v>0</v>
      </c>
    </row>
    <row r="1537" spans="4:14" x14ac:dyDescent="0.2">
      <c r="D1537">
        <f t="shared" si="261"/>
        <v>1514</v>
      </c>
      <c r="E1537" s="1">
        <f t="shared" si="262"/>
        <v>-175.73905063095114</v>
      </c>
      <c r="F1537" s="1">
        <f t="shared" si="263"/>
        <v>-176.31566399525514</v>
      </c>
      <c r="G1537" s="1">
        <f t="shared" si="260"/>
        <v>2.6734991708935935E-77</v>
      </c>
      <c r="H1537" s="1">
        <f t="shared" si="253"/>
        <v>2.7696885590527275E-78</v>
      </c>
      <c r="I1537">
        <f t="shared" si="254"/>
        <v>8</v>
      </c>
      <c r="J1537">
        <f t="shared" si="255"/>
        <v>1504</v>
      </c>
      <c r="K1537" s="5">
        <f t="shared" si="256"/>
        <v>0</v>
      </c>
      <c r="L1537">
        <f t="shared" si="257"/>
        <v>53.4</v>
      </c>
      <c r="M1537">
        <f t="shared" si="258"/>
        <v>1</v>
      </c>
      <c r="N1537">
        <f t="shared" si="259"/>
        <v>0</v>
      </c>
    </row>
    <row r="1538" spans="4:14" x14ac:dyDescent="0.2">
      <c r="D1538">
        <f t="shared" si="261"/>
        <v>1515</v>
      </c>
      <c r="E1538" s="1">
        <f t="shared" si="262"/>
        <v>-175.85558444720709</v>
      </c>
      <c r="F1538" s="1">
        <f t="shared" si="263"/>
        <v>-176.43219781151109</v>
      </c>
      <c r="G1538" s="1">
        <f t="shared" si="260"/>
        <v>2.3794142620952968E-77</v>
      </c>
      <c r="H1538" s="1">
        <f t="shared" si="253"/>
        <v>2.4650228175569259E-78</v>
      </c>
      <c r="I1538">
        <f t="shared" si="254"/>
        <v>8</v>
      </c>
      <c r="J1538">
        <f t="shared" si="255"/>
        <v>1505</v>
      </c>
      <c r="K1538" s="5">
        <f t="shared" si="256"/>
        <v>0</v>
      </c>
      <c r="L1538">
        <f t="shared" si="257"/>
        <v>53.4</v>
      </c>
      <c r="M1538">
        <f t="shared" si="258"/>
        <v>1</v>
      </c>
      <c r="N1538">
        <f t="shared" si="259"/>
        <v>0</v>
      </c>
    </row>
    <row r="1539" spans="4:14" x14ac:dyDescent="0.2">
      <c r="D1539">
        <f t="shared" si="261"/>
        <v>1516</v>
      </c>
      <c r="E1539" s="1">
        <f t="shared" si="262"/>
        <v>-175.97211826346305</v>
      </c>
      <c r="F1539" s="1">
        <f t="shared" si="263"/>
        <v>-176.54873162776704</v>
      </c>
      <c r="G1539" s="1">
        <f t="shared" si="260"/>
        <v>2.1176786932648128E-77</v>
      </c>
      <c r="H1539" s="1">
        <f t="shared" si="253"/>
        <v>2.1938703076256624E-78</v>
      </c>
      <c r="I1539">
        <f t="shared" si="254"/>
        <v>8</v>
      </c>
      <c r="J1539">
        <f t="shared" si="255"/>
        <v>1506</v>
      </c>
      <c r="K1539" s="5">
        <f t="shared" si="256"/>
        <v>0</v>
      </c>
      <c r="L1539">
        <f t="shared" si="257"/>
        <v>53.4</v>
      </c>
      <c r="M1539">
        <f t="shared" si="258"/>
        <v>1</v>
      </c>
      <c r="N1539">
        <f t="shared" si="259"/>
        <v>0</v>
      </c>
    </row>
    <row r="1540" spans="4:14" x14ac:dyDescent="0.2">
      <c r="D1540">
        <f t="shared" si="261"/>
        <v>1517</v>
      </c>
      <c r="E1540" s="1">
        <f t="shared" si="262"/>
        <v>-176.088652079719</v>
      </c>
      <c r="F1540" s="1">
        <f t="shared" si="263"/>
        <v>-176.66526544402299</v>
      </c>
      <c r="G1540" s="1">
        <f t="shared" si="260"/>
        <v>1.8847340370056821E-77</v>
      </c>
      <c r="H1540" s="1">
        <f t="shared" si="253"/>
        <v>1.9525445737868383E-78</v>
      </c>
      <c r="I1540">
        <f t="shared" si="254"/>
        <v>8</v>
      </c>
      <c r="J1540">
        <f t="shared" si="255"/>
        <v>1507</v>
      </c>
      <c r="K1540" s="5">
        <f t="shared" si="256"/>
        <v>0</v>
      </c>
      <c r="L1540">
        <f t="shared" si="257"/>
        <v>53.4</v>
      </c>
      <c r="M1540">
        <f t="shared" si="258"/>
        <v>1</v>
      </c>
      <c r="N1540">
        <f t="shared" si="259"/>
        <v>0</v>
      </c>
    </row>
    <row r="1541" spans="4:14" x14ac:dyDescent="0.2">
      <c r="D1541">
        <f t="shared" si="261"/>
        <v>1518</v>
      </c>
      <c r="E1541" s="1">
        <f t="shared" si="262"/>
        <v>-176.20518589597495</v>
      </c>
      <c r="F1541" s="1">
        <f t="shared" si="263"/>
        <v>-176.78179926027894</v>
      </c>
      <c r="G1541" s="1">
        <f t="shared" si="260"/>
        <v>1.6774132929350562E-77</v>
      </c>
      <c r="H1541" s="1">
        <f t="shared" si="253"/>
        <v>1.7377646706702851E-78</v>
      </c>
      <c r="I1541">
        <f t="shared" si="254"/>
        <v>8</v>
      </c>
      <c r="J1541">
        <f t="shared" si="255"/>
        <v>1508</v>
      </c>
      <c r="K1541" s="5">
        <f t="shared" si="256"/>
        <v>0</v>
      </c>
      <c r="L1541">
        <f t="shared" si="257"/>
        <v>53.4</v>
      </c>
      <c r="M1541">
        <f t="shared" si="258"/>
        <v>1</v>
      </c>
      <c r="N1541">
        <f t="shared" si="259"/>
        <v>0</v>
      </c>
    </row>
    <row r="1542" spans="4:14" x14ac:dyDescent="0.2">
      <c r="D1542">
        <f t="shared" si="261"/>
        <v>1519</v>
      </c>
      <c r="E1542" s="1">
        <f t="shared" si="262"/>
        <v>-176.3217197122309</v>
      </c>
      <c r="F1542" s="1">
        <f t="shared" si="263"/>
        <v>-176.8983330765349</v>
      </c>
      <c r="G1542" s="1">
        <f t="shared" si="260"/>
        <v>1.492897830712199E-77</v>
      </c>
      <c r="H1542" s="1">
        <f t="shared" si="253"/>
        <v>1.5466105568965528E-78</v>
      </c>
      <c r="I1542">
        <f t="shared" si="254"/>
        <v>8</v>
      </c>
      <c r="J1542">
        <f t="shared" si="255"/>
        <v>1509</v>
      </c>
      <c r="K1542" s="5">
        <f t="shared" si="256"/>
        <v>0</v>
      </c>
      <c r="L1542">
        <f t="shared" si="257"/>
        <v>53.4</v>
      </c>
      <c r="M1542">
        <f t="shared" si="258"/>
        <v>1</v>
      </c>
      <c r="N1542">
        <f t="shared" si="259"/>
        <v>0</v>
      </c>
    </row>
    <row r="1543" spans="4:14" x14ac:dyDescent="0.2">
      <c r="D1543">
        <f t="shared" si="261"/>
        <v>1520</v>
      </c>
      <c r="E1543" s="1">
        <f t="shared" si="262"/>
        <v>-176.43825352848685</v>
      </c>
      <c r="F1543" s="1">
        <f t="shared" si="263"/>
        <v>-177.01486689279085</v>
      </c>
      <c r="G1543" s="1">
        <f t="shared" si="260"/>
        <v>1.3286790693338563E-77</v>
      </c>
      <c r="H1543" s="1">
        <f t="shared" si="253"/>
        <v>1.3764833956379313E-78</v>
      </c>
      <c r="I1543">
        <f t="shared" si="254"/>
        <v>8</v>
      </c>
      <c r="J1543">
        <f t="shared" si="255"/>
        <v>1510</v>
      </c>
      <c r="K1543" s="5">
        <f t="shared" si="256"/>
        <v>0</v>
      </c>
      <c r="L1543">
        <f t="shared" si="257"/>
        <v>53.4</v>
      </c>
      <c r="M1543">
        <f t="shared" si="258"/>
        <v>1</v>
      </c>
      <c r="N1543">
        <f t="shared" si="259"/>
        <v>0</v>
      </c>
    </row>
    <row r="1544" spans="4:14" x14ac:dyDescent="0.2">
      <c r="D1544">
        <f t="shared" si="261"/>
        <v>1521</v>
      </c>
      <c r="E1544" s="1">
        <f t="shared" si="262"/>
        <v>-176.55478734474281</v>
      </c>
      <c r="F1544" s="1">
        <f t="shared" si="263"/>
        <v>-177.1314007090468</v>
      </c>
      <c r="G1544" s="1">
        <f t="shared" si="260"/>
        <v>1.1825243717071313E-77</v>
      </c>
      <c r="H1544" s="1">
        <f t="shared" si="253"/>
        <v>1.2250702221177579E-78</v>
      </c>
      <c r="I1544">
        <f t="shared" si="254"/>
        <v>8</v>
      </c>
      <c r="J1544">
        <f t="shared" si="255"/>
        <v>1511</v>
      </c>
      <c r="K1544" s="5">
        <f t="shared" si="256"/>
        <v>0</v>
      </c>
      <c r="L1544">
        <f t="shared" si="257"/>
        <v>53.4</v>
      </c>
      <c r="M1544">
        <f t="shared" si="258"/>
        <v>1</v>
      </c>
      <c r="N1544">
        <f t="shared" si="259"/>
        <v>0</v>
      </c>
    </row>
    <row r="1545" spans="4:14" x14ac:dyDescent="0.2">
      <c r="D1545">
        <f t="shared" si="261"/>
        <v>1522</v>
      </c>
      <c r="E1545" s="1">
        <f t="shared" si="262"/>
        <v>-176.67132116099876</v>
      </c>
      <c r="F1545" s="1">
        <f t="shared" si="263"/>
        <v>-177.24793452530275</v>
      </c>
      <c r="G1545" s="1">
        <f t="shared" si="260"/>
        <v>1.0524466908193462E-77</v>
      </c>
      <c r="H1545" s="1">
        <f t="shared" si="253"/>
        <v>1.0903124976848039E-78</v>
      </c>
      <c r="I1545">
        <f t="shared" si="254"/>
        <v>8</v>
      </c>
      <c r="J1545">
        <f t="shared" si="255"/>
        <v>1512</v>
      </c>
      <c r="K1545" s="5">
        <f t="shared" si="256"/>
        <v>0</v>
      </c>
      <c r="L1545">
        <f t="shared" si="257"/>
        <v>53.4</v>
      </c>
      <c r="M1545">
        <f t="shared" si="258"/>
        <v>1</v>
      </c>
      <c r="N1545">
        <f t="shared" si="259"/>
        <v>0</v>
      </c>
    </row>
    <row r="1546" spans="4:14" x14ac:dyDescent="0.2">
      <c r="D1546">
        <f t="shared" si="261"/>
        <v>1523</v>
      </c>
      <c r="E1546" s="1">
        <f t="shared" si="262"/>
        <v>-176.78785497725471</v>
      </c>
      <c r="F1546" s="1">
        <f t="shared" si="263"/>
        <v>-177.36446834155871</v>
      </c>
      <c r="G1546" s="1">
        <f t="shared" si="260"/>
        <v>9.3667755482921759E-78</v>
      </c>
      <c r="H1546" s="1">
        <f t="shared" si="253"/>
        <v>9.7037812293947487E-79</v>
      </c>
      <c r="I1546">
        <f t="shared" si="254"/>
        <v>8</v>
      </c>
      <c r="J1546">
        <f t="shared" si="255"/>
        <v>1513</v>
      </c>
      <c r="K1546" s="5">
        <f t="shared" si="256"/>
        <v>0</v>
      </c>
      <c r="L1546">
        <f t="shared" si="257"/>
        <v>53.4</v>
      </c>
      <c r="M1546">
        <f t="shared" si="258"/>
        <v>1</v>
      </c>
      <c r="N1546">
        <f t="shared" si="259"/>
        <v>0</v>
      </c>
    </row>
    <row r="1547" spans="4:14" x14ac:dyDescent="0.2">
      <c r="D1547">
        <f t="shared" si="261"/>
        <v>1524</v>
      </c>
      <c r="E1547" s="1">
        <f t="shared" si="262"/>
        <v>-176.90438879351066</v>
      </c>
      <c r="F1547" s="1">
        <f t="shared" si="263"/>
        <v>-177.48100215781466</v>
      </c>
      <c r="G1547" s="1">
        <f t="shared" si="260"/>
        <v>8.3364302379800309E-78</v>
      </c>
      <c r="H1547" s="1">
        <f t="shared" si="253"/>
        <v>8.6363652941613203E-79</v>
      </c>
      <c r="I1547">
        <f t="shared" si="254"/>
        <v>8</v>
      </c>
      <c r="J1547">
        <f t="shared" si="255"/>
        <v>1514</v>
      </c>
      <c r="K1547" s="5">
        <f t="shared" si="256"/>
        <v>0</v>
      </c>
      <c r="L1547">
        <f t="shared" si="257"/>
        <v>53.4</v>
      </c>
      <c r="M1547">
        <f t="shared" si="258"/>
        <v>1</v>
      </c>
      <c r="N1547">
        <f t="shared" si="259"/>
        <v>0</v>
      </c>
    </row>
    <row r="1548" spans="4:14" x14ac:dyDescent="0.2">
      <c r="D1548">
        <f t="shared" si="261"/>
        <v>1525</v>
      </c>
      <c r="E1548" s="1">
        <f t="shared" si="262"/>
        <v>-177.02092260976661</v>
      </c>
      <c r="F1548" s="1">
        <f t="shared" si="263"/>
        <v>-177.59753597407061</v>
      </c>
      <c r="G1548" s="1">
        <f t="shared" si="260"/>
        <v>7.4194229118022226E-78</v>
      </c>
      <c r="H1548" s="1">
        <f t="shared" si="253"/>
        <v>7.6863651118035708E-79</v>
      </c>
      <c r="I1548">
        <f t="shared" si="254"/>
        <v>8</v>
      </c>
      <c r="J1548">
        <f t="shared" si="255"/>
        <v>1515</v>
      </c>
      <c r="K1548" s="5">
        <f t="shared" si="256"/>
        <v>0</v>
      </c>
      <c r="L1548">
        <f t="shared" si="257"/>
        <v>53.4</v>
      </c>
      <c r="M1548">
        <f t="shared" si="258"/>
        <v>1</v>
      </c>
      <c r="N1548">
        <f t="shared" si="259"/>
        <v>0</v>
      </c>
    </row>
    <row r="1549" spans="4:14" x14ac:dyDescent="0.2">
      <c r="D1549">
        <f t="shared" si="261"/>
        <v>1526</v>
      </c>
      <c r="E1549" s="1">
        <f t="shared" si="262"/>
        <v>-177.13745642602257</v>
      </c>
      <c r="F1549" s="1">
        <f t="shared" si="263"/>
        <v>-177.71406979032656</v>
      </c>
      <c r="G1549" s="1">
        <f t="shared" si="260"/>
        <v>6.6032863915039741E-78</v>
      </c>
      <c r="H1549" s="1">
        <f t="shared" si="253"/>
        <v>6.8408649495051739E-79</v>
      </c>
      <c r="I1549">
        <f t="shared" si="254"/>
        <v>8</v>
      </c>
      <c r="J1549">
        <f t="shared" si="255"/>
        <v>1516</v>
      </c>
      <c r="K1549" s="5">
        <f t="shared" si="256"/>
        <v>0</v>
      </c>
      <c r="L1549">
        <f t="shared" si="257"/>
        <v>53.4</v>
      </c>
      <c r="M1549">
        <f t="shared" si="258"/>
        <v>1</v>
      </c>
      <c r="N1549">
        <f t="shared" si="259"/>
        <v>0</v>
      </c>
    </row>
    <row r="1550" spans="4:14" x14ac:dyDescent="0.2">
      <c r="D1550">
        <f t="shared" si="261"/>
        <v>1527</v>
      </c>
      <c r="E1550" s="1">
        <f t="shared" si="262"/>
        <v>-177.25399024227852</v>
      </c>
      <c r="F1550" s="1">
        <f t="shared" si="263"/>
        <v>-177.83060360658251</v>
      </c>
      <c r="G1550" s="1">
        <f t="shared" si="260"/>
        <v>5.8769248884385332E-78</v>
      </c>
      <c r="H1550" s="1">
        <f t="shared" si="253"/>
        <v>6.0883698050596004E-79</v>
      </c>
      <c r="I1550">
        <f t="shared" si="254"/>
        <v>8</v>
      </c>
      <c r="J1550">
        <f t="shared" si="255"/>
        <v>1517</v>
      </c>
      <c r="K1550" s="5">
        <f t="shared" si="256"/>
        <v>0</v>
      </c>
      <c r="L1550">
        <f t="shared" si="257"/>
        <v>53.4</v>
      </c>
      <c r="M1550">
        <f t="shared" si="258"/>
        <v>1</v>
      </c>
      <c r="N1550">
        <f t="shared" si="259"/>
        <v>0</v>
      </c>
    </row>
    <row r="1551" spans="4:14" x14ac:dyDescent="0.2">
      <c r="D1551">
        <f t="shared" si="261"/>
        <v>1528</v>
      </c>
      <c r="E1551" s="1">
        <f t="shared" si="262"/>
        <v>-177.37052405853447</v>
      </c>
      <c r="F1551" s="1">
        <f t="shared" si="263"/>
        <v>-177.94713742283847</v>
      </c>
      <c r="G1551" s="1">
        <f t="shared" si="260"/>
        <v>5.2304631507102918E-78</v>
      </c>
      <c r="H1551" s="1">
        <f t="shared" si="253"/>
        <v>5.418649126503042E-79</v>
      </c>
      <c r="I1551">
        <f t="shared" si="254"/>
        <v>8</v>
      </c>
      <c r="J1551">
        <f t="shared" si="255"/>
        <v>1518</v>
      </c>
      <c r="K1551" s="5">
        <f t="shared" si="256"/>
        <v>0</v>
      </c>
      <c r="L1551">
        <f t="shared" si="257"/>
        <v>53.4</v>
      </c>
      <c r="M1551">
        <f t="shared" si="258"/>
        <v>1</v>
      </c>
      <c r="N1551">
        <f t="shared" si="259"/>
        <v>0</v>
      </c>
    </row>
    <row r="1552" spans="4:14" x14ac:dyDescent="0.2">
      <c r="D1552">
        <f t="shared" si="261"/>
        <v>1529</v>
      </c>
      <c r="E1552" s="1">
        <f t="shared" si="262"/>
        <v>-177.48705787479042</v>
      </c>
      <c r="F1552" s="1">
        <f t="shared" si="263"/>
        <v>-178.06367123909442</v>
      </c>
      <c r="G1552" s="1">
        <f t="shared" si="260"/>
        <v>4.6551122041321559E-78</v>
      </c>
      <c r="H1552" s="1">
        <f t="shared" si="253"/>
        <v>4.8225977225877031E-79</v>
      </c>
      <c r="I1552">
        <f t="shared" si="254"/>
        <v>8</v>
      </c>
      <c r="J1552">
        <f t="shared" si="255"/>
        <v>1519</v>
      </c>
      <c r="K1552" s="5">
        <f t="shared" si="256"/>
        <v>0</v>
      </c>
      <c r="L1552">
        <f t="shared" si="257"/>
        <v>53.4</v>
      </c>
      <c r="M1552">
        <f t="shared" si="258"/>
        <v>1</v>
      </c>
      <c r="N1552">
        <f t="shared" si="259"/>
        <v>0</v>
      </c>
    </row>
    <row r="1553" spans="4:14" x14ac:dyDescent="0.2">
      <c r="D1553">
        <f t="shared" si="261"/>
        <v>1530</v>
      </c>
      <c r="E1553" s="1">
        <f t="shared" si="262"/>
        <v>-177.60359169104638</v>
      </c>
      <c r="F1553" s="1">
        <f t="shared" si="263"/>
        <v>-178.18020505535037</v>
      </c>
      <c r="G1553" s="1">
        <f t="shared" si="260"/>
        <v>4.1430498616776164E-78</v>
      </c>
      <c r="H1553" s="1">
        <f t="shared" si="253"/>
        <v>4.2921119731030531E-79</v>
      </c>
      <c r="I1553">
        <f t="shared" si="254"/>
        <v>8</v>
      </c>
      <c r="J1553">
        <f t="shared" si="255"/>
        <v>1520</v>
      </c>
      <c r="K1553" s="5">
        <f t="shared" si="256"/>
        <v>0</v>
      </c>
      <c r="L1553">
        <f t="shared" si="257"/>
        <v>53.4</v>
      </c>
      <c r="M1553">
        <f t="shared" si="258"/>
        <v>1</v>
      </c>
      <c r="N1553">
        <f t="shared" si="259"/>
        <v>0</v>
      </c>
    </row>
    <row r="1554" spans="4:14" x14ac:dyDescent="0.2">
      <c r="D1554">
        <f t="shared" si="261"/>
        <v>1531</v>
      </c>
      <c r="E1554" s="1">
        <f t="shared" si="262"/>
        <v>-177.72012550730233</v>
      </c>
      <c r="F1554" s="1">
        <f t="shared" si="263"/>
        <v>-178.29673887160632</v>
      </c>
      <c r="G1554" s="1">
        <f t="shared" si="260"/>
        <v>3.6873143768930765E-78</v>
      </c>
      <c r="H1554" s="1">
        <f t="shared" si="253"/>
        <v>3.8199796560617149E-79</v>
      </c>
      <c r="I1554">
        <f t="shared" si="254"/>
        <v>8</v>
      </c>
      <c r="J1554">
        <f t="shared" si="255"/>
        <v>1521</v>
      </c>
      <c r="K1554" s="5">
        <f t="shared" si="256"/>
        <v>0</v>
      </c>
      <c r="L1554">
        <f t="shared" si="257"/>
        <v>53.4</v>
      </c>
      <c r="M1554">
        <f t="shared" si="258"/>
        <v>1</v>
      </c>
      <c r="N1554">
        <f t="shared" si="259"/>
        <v>0</v>
      </c>
    </row>
    <row r="1555" spans="4:14" x14ac:dyDescent="0.2">
      <c r="D1555">
        <f t="shared" si="261"/>
        <v>1532</v>
      </c>
      <c r="E1555" s="1">
        <f t="shared" si="262"/>
        <v>-177.83665932355828</v>
      </c>
      <c r="F1555" s="1">
        <f t="shared" si="263"/>
        <v>-178.41327268786227</v>
      </c>
      <c r="G1555" s="1">
        <f t="shared" si="260"/>
        <v>3.281709795434836E-78</v>
      </c>
      <c r="H1555" s="1">
        <f t="shared" si="253"/>
        <v>3.3997818938949245E-79</v>
      </c>
      <c r="I1555">
        <f t="shared" si="254"/>
        <v>8</v>
      </c>
      <c r="J1555">
        <f t="shared" si="255"/>
        <v>1522</v>
      </c>
      <c r="K1555" s="5">
        <f t="shared" si="256"/>
        <v>0</v>
      </c>
      <c r="L1555">
        <f t="shared" si="257"/>
        <v>53.4</v>
      </c>
      <c r="M1555">
        <f t="shared" si="258"/>
        <v>1</v>
      </c>
      <c r="N1555">
        <f t="shared" si="259"/>
        <v>0</v>
      </c>
    </row>
    <row r="1556" spans="4:14" x14ac:dyDescent="0.2">
      <c r="D1556">
        <f t="shared" si="261"/>
        <v>1533</v>
      </c>
      <c r="E1556" s="1">
        <f t="shared" si="262"/>
        <v>-177.95319313981423</v>
      </c>
      <c r="F1556" s="1">
        <f t="shared" si="263"/>
        <v>-178.52980650411823</v>
      </c>
      <c r="G1556" s="1">
        <f t="shared" si="260"/>
        <v>2.9207217179370022E-78</v>
      </c>
      <c r="H1556" s="1">
        <f t="shared" si="253"/>
        <v>3.0258058855664811E-79</v>
      </c>
      <c r="I1556">
        <f t="shared" si="254"/>
        <v>8</v>
      </c>
      <c r="J1556">
        <f t="shared" si="255"/>
        <v>1523</v>
      </c>
      <c r="K1556" s="5">
        <f t="shared" si="256"/>
        <v>0</v>
      </c>
      <c r="L1556">
        <f t="shared" si="257"/>
        <v>53.4</v>
      </c>
      <c r="M1556">
        <f t="shared" si="258"/>
        <v>1</v>
      </c>
      <c r="N1556">
        <f t="shared" si="259"/>
        <v>0</v>
      </c>
    </row>
    <row r="1557" spans="4:14" x14ac:dyDescent="0.2">
      <c r="D1557">
        <f t="shared" si="261"/>
        <v>1534</v>
      </c>
      <c r="E1557" s="1">
        <f t="shared" si="262"/>
        <v>-178.06972695607018</v>
      </c>
      <c r="F1557" s="1">
        <f t="shared" si="263"/>
        <v>-178.64634032037418</v>
      </c>
      <c r="G1557" s="1">
        <f t="shared" si="260"/>
        <v>2.5994423289639305E-78</v>
      </c>
      <c r="H1557" s="1">
        <f t="shared" si="253"/>
        <v>2.6929672381541664E-79</v>
      </c>
      <c r="I1557">
        <f t="shared" si="254"/>
        <v>8</v>
      </c>
      <c r="J1557">
        <f t="shared" si="255"/>
        <v>1524</v>
      </c>
      <c r="K1557" s="5">
        <f t="shared" si="256"/>
        <v>0</v>
      </c>
      <c r="L1557">
        <f t="shared" si="257"/>
        <v>53.4</v>
      </c>
      <c r="M1557">
        <f t="shared" si="258"/>
        <v>1</v>
      </c>
      <c r="N1557">
        <f t="shared" si="259"/>
        <v>0</v>
      </c>
    </row>
    <row r="1558" spans="4:14" x14ac:dyDescent="0.2">
      <c r="D1558">
        <f t="shared" si="261"/>
        <v>1535</v>
      </c>
      <c r="E1558" s="1">
        <f t="shared" si="262"/>
        <v>-178.18626077232614</v>
      </c>
      <c r="F1558" s="1">
        <f t="shared" si="263"/>
        <v>-178.76287413663013</v>
      </c>
      <c r="G1558" s="1">
        <f t="shared" si="260"/>
        <v>2.3135036727778966E-78</v>
      </c>
      <c r="H1558" s="1">
        <f t="shared" si="253"/>
        <v>2.3967408419572064E-79</v>
      </c>
      <c r="I1558">
        <f t="shared" si="254"/>
        <v>8</v>
      </c>
      <c r="J1558">
        <f t="shared" si="255"/>
        <v>1525</v>
      </c>
      <c r="K1558" s="5">
        <f t="shared" si="256"/>
        <v>0</v>
      </c>
      <c r="L1558">
        <f t="shared" si="257"/>
        <v>53.4</v>
      </c>
      <c r="M1558">
        <f t="shared" si="258"/>
        <v>1</v>
      </c>
      <c r="N1558">
        <f t="shared" si="259"/>
        <v>0</v>
      </c>
    </row>
    <row r="1559" spans="4:14" x14ac:dyDescent="0.2">
      <c r="D1559">
        <f t="shared" si="261"/>
        <v>1536</v>
      </c>
      <c r="E1559" s="1">
        <f t="shared" si="262"/>
        <v>-178.30279458858209</v>
      </c>
      <c r="F1559" s="1">
        <f t="shared" si="263"/>
        <v>-178.87940795288608</v>
      </c>
      <c r="G1559" s="1">
        <f t="shared" si="260"/>
        <v>2.0590182687723266E-78</v>
      </c>
      <c r="H1559" s="1">
        <f t="shared" ref="H1559:H1622" si="264">G1559/$G$21</f>
        <v>2.1330993493419123E-79</v>
      </c>
      <c r="I1559">
        <f t="shared" ref="I1559:I1622" si="265">IF($F$11&lt;=D1559, IF(D1559&lt;=$A$15,D1559-$F$11,$C$11),0)</f>
        <v>8</v>
      </c>
      <c r="J1559">
        <f t="shared" ref="J1559:J1622" si="266">IF(D1559&lt;=$A$15,0,D1559-$A$15)</f>
        <v>1526</v>
      </c>
      <c r="K1559" s="5">
        <f t="shared" ref="K1559:K1622" si="267">IF(D1559&lt;$F$11,H1559,0)</f>
        <v>0</v>
      </c>
      <c r="L1559">
        <f t="shared" ref="L1559:L1622" si="268">IF(D1559&lt;$A$15,$D$11,$D$11*(1-$H$11))</f>
        <v>53.4</v>
      </c>
      <c r="M1559">
        <f t="shared" ref="M1559:M1622" si="269">IF(D1559&lt;$A$15,0,1)</f>
        <v>1</v>
      </c>
      <c r="N1559">
        <f t="shared" ref="N1559:N1622" si="270">IF(SUM(I1559:J1559)&lt;=($G$11/60*$F$11/($E$11/60)),1,0)</f>
        <v>0</v>
      </c>
    </row>
    <row r="1560" spans="4:14" x14ac:dyDescent="0.2">
      <c r="D1560">
        <f t="shared" si="261"/>
        <v>1537</v>
      </c>
      <c r="E1560" s="1">
        <f t="shared" si="262"/>
        <v>-178.41932840483804</v>
      </c>
      <c r="F1560" s="1">
        <f t="shared" si="263"/>
        <v>-178.99594176914204</v>
      </c>
      <c r="G1560" s="1">
        <f t="shared" ref="G1560:G1623" si="271">EXP(F1560)</f>
        <v>1.8325262592073695E-78</v>
      </c>
      <c r="H1560" s="1">
        <f t="shared" si="264"/>
        <v>1.8984584209143006E-79</v>
      </c>
      <c r="I1560">
        <f t="shared" si="265"/>
        <v>8</v>
      </c>
      <c r="J1560">
        <f t="shared" si="266"/>
        <v>1527</v>
      </c>
      <c r="K1560" s="5">
        <f t="shared" si="267"/>
        <v>0</v>
      </c>
      <c r="L1560">
        <f t="shared" si="268"/>
        <v>53.4</v>
      </c>
      <c r="M1560">
        <f t="shared" si="269"/>
        <v>1</v>
      </c>
      <c r="N1560">
        <f t="shared" si="270"/>
        <v>0</v>
      </c>
    </row>
    <row r="1561" spans="4:14" x14ac:dyDescent="0.2">
      <c r="D1561">
        <f t="shared" ref="D1561:D1624" si="272">1+D1560</f>
        <v>1538</v>
      </c>
      <c r="E1561" s="1">
        <f t="shared" ref="E1561:E1624" si="273">IF($H$11=1,IF(D1561&lt;=$A$15, E1560+LN($D$11)-LN(60/$E$11)-LN(MIN(D1561,$F$11)), E1560-LN(60/$E$11)-LN(MIN(D1561,$F$11))), IF(D1561&lt;=$A$15, E1560+LN($D$11)-LN(60/$E$11)-LN(MIN(D1561,$F$11)), E1560+LN($D$11)+LN(1-$H$11)-LN(60/$E$11)-LN(MIN(D1561,$F$11))))</f>
        <v>-178.53586222109399</v>
      </c>
      <c r="F1561" s="1">
        <f t="shared" ref="F1561:F1624" si="274">E1561-$E$21</f>
        <v>-179.11247558539799</v>
      </c>
      <c r="G1561" s="1">
        <f t="shared" si="271"/>
        <v>1.6309483706945577E-78</v>
      </c>
      <c r="H1561" s="1">
        <f t="shared" si="264"/>
        <v>1.6896279946137267E-79</v>
      </c>
      <c r="I1561">
        <f t="shared" si="265"/>
        <v>8</v>
      </c>
      <c r="J1561">
        <f t="shared" si="266"/>
        <v>1528</v>
      </c>
      <c r="K1561" s="5">
        <f t="shared" si="267"/>
        <v>0</v>
      </c>
      <c r="L1561">
        <f t="shared" si="268"/>
        <v>53.4</v>
      </c>
      <c r="M1561">
        <f t="shared" si="269"/>
        <v>1</v>
      </c>
      <c r="N1561">
        <f t="shared" si="270"/>
        <v>0</v>
      </c>
    </row>
    <row r="1562" spans="4:14" x14ac:dyDescent="0.2">
      <c r="D1562">
        <f t="shared" si="272"/>
        <v>1539</v>
      </c>
      <c r="E1562" s="1">
        <f t="shared" si="273"/>
        <v>-178.65239603734994</v>
      </c>
      <c r="F1562" s="1">
        <f t="shared" si="274"/>
        <v>-179.22900940165394</v>
      </c>
      <c r="G1562" s="1">
        <f t="shared" si="271"/>
        <v>1.4515440499181555E-78</v>
      </c>
      <c r="H1562" s="1">
        <f t="shared" si="264"/>
        <v>1.5037689152062158E-79</v>
      </c>
      <c r="I1562">
        <f t="shared" si="265"/>
        <v>8</v>
      </c>
      <c r="J1562">
        <f t="shared" si="266"/>
        <v>1529</v>
      </c>
      <c r="K1562" s="5">
        <f t="shared" si="267"/>
        <v>0</v>
      </c>
      <c r="L1562">
        <f t="shared" si="268"/>
        <v>53.4</v>
      </c>
      <c r="M1562">
        <f t="shared" si="269"/>
        <v>1</v>
      </c>
      <c r="N1562">
        <f t="shared" si="270"/>
        <v>0</v>
      </c>
    </row>
    <row r="1563" spans="4:14" x14ac:dyDescent="0.2">
      <c r="D1563">
        <f t="shared" si="272"/>
        <v>1540</v>
      </c>
      <c r="E1563" s="1">
        <f t="shared" si="273"/>
        <v>-178.7689298536059</v>
      </c>
      <c r="F1563" s="1">
        <f t="shared" si="274"/>
        <v>-179.34554321790989</v>
      </c>
      <c r="G1563" s="1">
        <f t="shared" si="271"/>
        <v>1.2918742044271575E-78</v>
      </c>
      <c r="H1563" s="1">
        <f t="shared" si="264"/>
        <v>1.3383543345335311E-79</v>
      </c>
      <c r="I1563">
        <f t="shared" si="265"/>
        <v>8</v>
      </c>
      <c r="J1563">
        <f t="shared" si="266"/>
        <v>1530</v>
      </c>
      <c r="K1563" s="5">
        <f t="shared" si="267"/>
        <v>0</v>
      </c>
      <c r="L1563">
        <f t="shared" si="268"/>
        <v>53.4</v>
      </c>
      <c r="M1563">
        <f t="shared" si="269"/>
        <v>1</v>
      </c>
      <c r="N1563">
        <f t="shared" si="270"/>
        <v>0</v>
      </c>
    </row>
    <row r="1564" spans="4:14" x14ac:dyDescent="0.2">
      <c r="D1564">
        <f t="shared" si="272"/>
        <v>1541</v>
      </c>
      <c r="E1564" s="1">
        <f t="shared" si="273"/>
        <v>-178.88546366986185</v>
      </c>
      <c r="F1564" s="1">
        <f t="shared" si="274"/>
        <v>-179.46207703416584</v>
      </c>
      <c r="G1564" s="1">
        <f t="shared" si="271"/>
        <v>1.1497680419401696E-78</v>
      </c>
      <c r="H1564" s="1">
        <f t="shared" si="264"/>
        <v>1.191135357734842E-79</v>
      </c>
      <c r="I1564">
        <f t="shared" si="265"/>
        <v>8</v>
      </c>
      <c r="J1564">
        <f t="shared" si="266"/>
        <v>1531</v>
      </c>
      <c r="K1564" s="5">
        <f t="shared" si="267"/>
        <v>0</v>
      </c>
      <c r="L1564">
        <f t="shared" si="268"/>
        <v>53.4</v>
      </c>
      <c r="M1564">
        <f t="shared" si="269"/>
        <v>1</v>
      </c>
      <c r="N1564">
        <f t="shared" si="270"/>
        <v>0</v>
      </c>
    </row>
    <row r="1565" spans="4:14" x14ac:dyDescent="0.2">
      <c r="D1565">
        <f t="shared" si="272"/>
        <v>1542</v>
      </c>
      <c r="E1565" s="1">
        <f t="shared" si="273"/>
        <v>-179.0019974861178</v>
      </c>
      <c r="F1565" s="1">
        <f t="shared" si="274"/>
        <v>-179.5786108504218</v>
      </c>
      <c r="G1565" s="1">
        <f t="shared" si="271"/>
        <v>1.0232935573267502E-78</v>
      </c>
      <c r="H1565" s="1">
        <f t="shared" si="264"/>
        <v>1.0601104683840087E-79</v>
      </c>
      <c r="I1565">
        <f t="shared" si="265"/>
        <v>8</v>
      </c>
      <c r="J1565">
        <f t="shared" si="266"/>
        <v>1532</v>
      </c>
      <c r="K1565" s="5">
        <f t="shared" si="267"/>
        <v>0</v>
      </c>
      <c r="L1565">
        <f t="shared" si="268"/>
        <v>53.4</v>
      </c>
      <c r="M1565">
        <f t="shared" si="269"/>
        <v>1</v>
      </c>
      <c r="N1565">
        <f t="shared" si="270"/>
        <v>0</v>
      </c>
    </row>
    <row r="1566" spans="4:14" x14ac:dyDescent="0.2">
      <c r="D1566">
        <f t="shared" si="272"/>
        <v>1543</v>
      </c>
      <c r="E1566" s="1">
        <f t="shared" si="273"/>
        <v>-179.11853130237375</v>
      </c>
      <c r="F1566" s="1">
        <f t="shared" si="274"/>
        <v>-179.69514466667775</v>
      </c>
      <c r="G1566" s="1">
        <f t="shared" si="271"/>
        <v>9.1073126602080721E-79</v>
      </c>
      <c r="H1566" s="1">
        <f t="shared" si="264"/>
        <v>9.4349831686176721E-80</v>
      </c>
      <c r="I1566">
        <f t="shared" si="265"/>
        <v>8</v>
      </c>
      <c r="J1566">
        <f t="shared" si="266"/>
        <v>1533</v>
      </c>
      <c r="K1566" s="5">
        <f t="shared" si="267"/>
        <v>0</v>
      </c>
      <c r="L1566">
        <f t="shared" si="268"/>
        <v>53.4</v>
      </c>
      <c r="M1566">
        <f t="shared" si="269"/>
        <v>1</v>
      </c>
      <c r="N1566">
        <f t="shared" si="270"/>
        <v>0</v>
      </c>
    </row>
    <row r="1567" spans="4:14" x14ac:dyDescent="0.2">
      <c r="D1567">
        <f t="shared" si="272"/>
        <v>1544</v>
      </c>
      <c r="E1567" s="1">
        <f t="shared" si="273"/>
        <v>-179.23506511862971</v>
      </c>
      <c r="F1567" s="1">
        <f t="shared" si="274"/>
        <v>-179.8116784829337</v>
      </c>
      <c r="G1567" s="1">
        <f t="shared" si="271"/>
        <v>8.1055082675851781E-79</v>
      </c>
      <c r="H1567" s="1">
        <f t="shared" si="264"/>
        <v>8.3971350200697218E-80</v>
      </c>
      <c r="I1567">
        <f t="shared" si="265"/>
        <v>8</v>
      </c>
      <c r="J1567">
        <f t="shared" si="266"/>
        <v>1534</v>
      </c>
      <c r="K1567" s="5">
        <f t="shared" si="267"/>
        <v>0</v>
      </c>
      <c r="L1567">
        <f t="shared" si="268"/>
        <v>53.4</v>
      </c>
      <c r="M1567">
        <f t="shared" si="269"/>
        <v>1</v>
      </c>
      <c r="N1567">
        <f t="shared" si="270"/>
        <v>0</v>
      </c>
    </row>
    <row r="1568" spans="4:14" x14ac:dyDescent="0.2">
      <c r="D1568">
        <f t="shared" si="272"/>
        <v>1545</v>
      </c>
      <c r="E1568" s="1">
        <f t="shared" si="273"/>
        <v>-179.35159893488566</v>
      </c>
      <c r="F1568" s="1">
        <f t="shared" si="274"/>
        <v>-179.92821229918965</v>
      </c>
      <c r="G1568" s="1">
        <f t="shared" si="271"/>
        <v>7.2139023581508045E-79</v>
      </c>
      <c r="H1568" s="1">
        <f t="shared" si="264"/>
        <v>7.4734501678620485E-80</v>
      </c>
      <c r="I1568">
        <f t="shared" si="265"/>
        <v>8</v>
      </c>
      <c r="J1568">
        <f t="shared" si="266"/>
        <v>1535</v>
      </c>
      <c r="K1568" s="5">
        <f t="shared" si="267"/>
        <v>0</v>
      </c>
      <c r="L1568">
        <f t="shared" si="268"/>
        <v>53.4</v>
      </c>
      <c r="M1568">
        <f t="shared" si="269"/>
        <v>1</v>
      </c>
      <c r="N1568">
        <f t="shared" si="270"/>
        <v>0</v>
      </c>
    </row>
    <row r="1569" spans="4:14" x14ac:dyDescent="0.2">
      <c r="D1569">
        <f t="shared" si="272"/>
        <v>1546</v>
      </c>
      <c r="E1569" s="1">
        <f t="shared" si="273"/>
        <v>-179.46813275114161</v>
      </c>
      <c r="F1569" s="1">
        <f t="shared" si="274"/>
        <v>-180.04474611544561</v>
      </c>
      <c r="G1569" s="1">
        <f t="shared" si="271"/>
        <v>6.420373098754212E-79</v>
      </c>
      <c r="H1569" s="1">
        <f t="shared" si="264"/>
        <v>6.6513706493972187E-80</v>
      </c>
      <c r="I1569">
        <f t="shared" si="265"/>
        <v>8</v>
      </c>
      <c r="J1569">
        <f t="shared" si="266"/>
        <v>1536</v>
      </c>
      <c r="K1569" s="5">
        <f t="shared" si="267"/>
        <v>0</v>
      </c>
      <c r="L1569">
        <f t="shared" si="268"/>
        <v>53.4</v>
      </c>
      <c r="M1569">
        <f t="shared" si="269"/>
        <v>1</v>
      </c>
      <c r="N1569">
        <f t="shared" si="270"/>
        <v>0</v>
      </c>
    </row>
    <row r="1570" spans="4:14" x14ac:dyDescent="0.2">
      <c r="D1570">
        <f t="shared" si="272"/>
        <v>1547</v>
      </c>
      <c r="E1570" s="1">
        <f t="shared" si="273"/>
        <v>-179.58466656739756</v>
      </c>
      <c r="F1570" s="1">
        <f t="shared" si="274"/>
        <v>-180.16127993170156</v>
      </c>
      <c r="G1570" s="1">
        <f t="shared" si="271"/>
        <v>5.7141320578912451E-79</v>
      </c>
      <c r="H1570" s="1">
        <f t="shared" si="264"/>
        <v>5.9197198779635214E-80</v>
      </c>
      <c r="I1570">
        <f t="shared" si="265"/>
        <v>8</v>
      </c>
      <c r="J1570">
        <f t="shared" si="266"/>
        <v>1537</v>
      </c>
      <c r="K1570" s="5">
        <f t="shared" si="267"/>
        <v>0</v>
      </c>
      <c r="L1570">
        <f t="shared" si="268"/>
        <v>53.4</v>
      </c>
      <c r="M1570">
        <f t="shared" si="269"/>
        <v>1</v>
      </c>
      <c r="N1570">
        <f t="shared" si="270"/>
        <v>0</v>
      </c>
    </row>
    <row r="1571" spans="4:14" x14ac:dyDescent="0.2">
      <c r="D1571">
        <f t="shared" si="272"/>
        <v>1548</v>
      </c>
      <c r="E1571" s="1">
        <f t="shared" si="273"/>
        <v>-179.70120038365351</v>
      </c>
      <c r="F1571" s="1">
        <f t="shared" si="274"/>
        <v>-180.27781374795751</v>
      </c>
      <c r="G1571" s="1">
        <f t="shared" si="271"/>
        <v>5.0855775315232049E-79</v>
      </c>
      <c r="H1571" s="1">
        <f t="shared" si="264"/>
        <v>5.2685506913875301E-80</v>
      </c>
      <c r="I1571">
        <f t="shared" si="265"/>
        <v>8</v>
      </c>
      <c r="J1571">
        <f t="shared" si="266"/>
        <v>1538</v>
      </c>
      <c r="K1571" s="5">
        <f t="shared" si="267"/>
        <v>0</v>
      </c>
      <c r="L1571">
        <f t="shared" si="268"/>
        <v>53.4</v>
      </c>
      <c r="M1571">
        <f t="shared" si="269"/>
        <v>1</v>
      </c>
      <c r="N1571">
        <f t="shared" si="270"/>
        <v>0</v>
      </c>
    </row>
    <row r="1572" spans="4:14" x14ac:dyDescent="0.2">
      <c r="D1572">
        <f t="shared" si="272"/>
        <v>1549</v>
      </c>
      <c r="E1572" s="1">
        <f t="shared" si="273"/>
        <v>-179.81773419990947</v>
      </c>
      <c r="F1572" s="1">
        <f t="shared" si="274"/>
        <v>-180.39434756421346</v>
      </c>
      <c r="G1572" s="1">
        <f t="shared" si="271"/>
        <v>4.5261640030556492E-79</v>
      </c>
      <c r="H1572" s="1">
        <f t="shared" si="264"/>
        <v>4.6890101153348988E-80</v>
      </c>
      <c r="I1572">
        <f t="shared" si="265"/>
        <v>8</v>
      </c>
      <c r="J1572">
        <f t="shared" si="266"/>
        <v>1539</v>
      </c>
      <c r="K1572" s="5">
        <f t="shared" si="267"/>
        <v>0</v>
      </c>
      <c r="L1572">
        <f t="shared" si="268"/>
        <v>53.4</v>
      </c>
      <c r="M1572">
        <f t="shared" si="269"/>
        <v>1</v>
      </c>
      <c r="N1572">
        <f t="shared" si="270"/>
        <v>0</v>
      </c>
    </row>
    <row r="1573" spans="4:14" x14ac:dyDescent="0.2">
      <c r="D1573">
        <f t="shared" si="272"/>
        <v>1550</v>
      </c>
      <c r="E1573" s="1">
        <f t="shared" si="273"/>
        <v>-179.93426801616542</v>
      </c>
      <c r="F1573" s="1">
        <f t="shared" si="274"/>
        <v>-180.51088138046941</v>
      </c>
      <c r="G1573" s="1">
        <f t="shared" si="271"/>
        <v>4.0282859627195253E-79</v>
      </c>
      <c r="H1573" s="1">
        <f t="shared" si="264"/>
        <v>4.1732190026480571E-80</v>
      </c>
      <c r="I1573">
        <f t="shared" si="265"/>
        <v>8</v>
      </c>
      <c r="J1573">
        <f t="shared" si="266"/>
        <v>1540</v>
      </c>
      <c r="K1573" s="5">
        <f t="shared" si="267"/>
        <v>0</v>
      </c>
      <c r="L1573">
        <f t="shared" si="268"/>
        <v>53.4</v>
      </c>
      <c r="M1573">
        <f t="shared" si="269"/>
        <v>1</v>
      </c>
      <c r="N1573">
        <f t="shared" si="270"/>
        <v>0</v>
      </c>
    </row>
    <row r="1574" spans="4:14" x14ac:dyDescent="0.2">
      <c r="D1574">
        <f t="shared" si="272"/>
        <v>1551</v>
      </c>
      <c r="E1574" s="1">
        <f t="shared" si="273"/>
        <v>-180.05080183242137</v>
      </c>
      <c r="F1574" s="1">
        <f t="shared" si="274"/>
        <v>-180.62741519672537</v>
      </c>
      <c r="G1574" s="1">
        <f t="shared" si="271"/>
        <v>3.5851745068203753E-79</v>
      </c>
      <c r="H1574" s="1">
        <f t="shared" si="264"/>
        <v>3.7141649123567685E-80</v>
      </c>
      <c r="I1574">
        <f t="shared" si="265"/>
        <v>8</v>
      </c>
      <c r="J1574">
        <f t="shared" si="266"/>
        <v>1541</v>
      </c>
      <c r="K1574" s="5">
        <f t="shared" si="267"/>
        <v>0</v>
      </c>
      <c r="L1574">
        <f t="shared" si="268"/>
        <v>53.4</v>
      </c>
      <c r="M1574">
        <f t="shared" si="269"/>
        <v>1</v>
      </c>
      <c r="N1574">
        <f t="shared" si="270"/>
        <v>0</v>
      </c>
    </row>
    <row r="1575" spans="4:14" x14ac:dyDescent="0.2">
      <c r="D1575">
        <f t="shared" si="272"/>
        <v>1552</v>
      </c>
      <c r="E1575" s="1">
        <f t="shared" si="273"/>
        <v>-180.16733564867732</v>
      </c>
      <c r="F1575" s="1">
        <f t="shared" si="274"/>
        <v>-180.74394901298132</v>
      </c>
      <c r="G1575" s="1">
        <f t="shared" si="271"/>
        <v>3.190805311070132E-79</v>
      </c>
      <c r="H1575" s="1">
        <f t="shared" si="264"/>
        <v>3.3056067719975223E-80</v>
      </c>
      <c r="I1575">
        <f t="shared" si="265"/>
        <v>8</v>
      </c>
      <c r="J1575">
        <f t="shared" si="266"/>
        <v>1542</v>
      </c>
      <c r="K1575" s="5">
        <f t="shared" si="267"/>
        <v>0</v>
      </c>
      <c r="L1575">
        <f t="shared" si="268"/>
        <v>53.4</v>
      </c>
      <c r="M1575">
        <f t="shared" si="269"/>
        <v>1</v>
      </c>
      <c r="N1575">
        <f t="shared" si="270"/>
        <v>0</v>
      </c>
    </row>
    <row r="1576" spans="4:14" x14ac:dyDescent="0.2">
      <c r="D1576">
        <f t="shared" si="272"/>
        <v>1553</v>
      </c>
      <c r="E1576" s="1">
        <f t="shared" si="273"/>
        <v>-180.28386946493328</v>
      </c>
      <c r="F1576" s="1">
        <f t="shared" si="274"/>
        <v>-180.86048282923727</v>
      </c>
      <c r="G1576" s="1">
        <f t="shared" si="271"/>
        <v>2.8398167268524159E-79</v>
      </c>
      <c r="H1576" s="1">
        <f t="shared" si="264"/>
        <v>2.9419900270777929E-80</v>
      </c>
      <c r="I1576">
        <f t="shared" si="265"/>
        <v>8</v>
      </c>
      <c r="J1576">
        <f t="shared" si="266"/>
        <v>1543</v>
      </c>
      <c r="K1576" s="5">
        <f t="shared" si="267"/>
        <v>0</v>
      </c>
      <c r="L1576">
        <f t="shared" si="268"/>
        <v>53.4</v>
      </c>
      <c r="M1576">
        <f t="shared" si="269"/>
        <v>1</v>
      </c>
      <c r="N1576">
        <f t="shared" si="270"/>
        <v>0</v>
      </c>
    </row>
    <row r="1577" spans="4:14" x14ac:dyDescent="0.2">
      <c r="D1577">
        <f t="shared" si="272"/>
        <v>1554</v>
      </c>
      <c r="E1577" s="1">
        <f t="shared" si="273"/>
        <v>-180.40040328118923</v>
      </c>
      <c r="F1577" s="1">
        <f t="shared" si="274"/>
        <v>-180.97701664549322</v>
      </c>
      <c r="G1577" s="1">
        <f t="shared" si="271"/>
        <v>2.5274368868986483E-79</v>
      </c>
      <c r="H1577" s="1">
        <f t="shared" si="264"/>
        <v>2.6183711240992339E-80</v>
      </c>
      <c r="I1577">
        <f t="shared" si="265"/>
        <v>8</v>
      </c>
      <c r="J1577">
        <f t="shared" si="266"/>
        <v>1544</v>
      </c>
      <c r="K1577" s="5">
        <f t="shared" si="267"/>
        <v>0</v>
      </c>
      <c r="L1577">
        <f t="shared" si="268"/>
        <v>53.4</v>
      </c>
      <c r="M1577">
        <f t="shared" si="269"/>
        <v>1</v>
      </c>
      <c r="N1577">
        <f t="shared" si="270"/>
        <v>0</v>
      </c>
    </row>
    <row r="1578" spans="4:14" x14ac:dyDescent="0.2">
      <c r="D1578">
        <f t="shared" si="272"/>
        <v>1555</v>
      </c>
      <c r="E1578" s="1">
        <f t="shared" si="273"/>
        <v>-180.51693709744518</v>
      </c>
      <c r="F1578" s="1">
        <f t="shared" si="274"/>
        <v>-181.09355046174917</v>
      </c>
      <c r="G1578" s="1">
        <f t="shared" si="271"/>
        <v>2.2494188293397955E-79</v>
      </c>
      <c r="H1578" s="1">
        <f t="shared" si="264"/>
        <v>2.3303503004483168E-80</v>
      </c>
      <c r="I1578">
        <f t="shared" si="265"/>
        <v>8</v>
      </c>
      <c r="J1578">
        <f t="shared" si="266"/>
        <v>1545</v>
      </c>
      <c r="K1578" s="5">
        <f t="shared" si="267"/>
        <v>0</v>
      </c>
      <c r="L1578">
        <f t="shared" si="268"/>
        <v>53.4</v>
      </c>
      <c r="M1578">
        <f t="shared" si="269"/>
        <v>1</v>
      </c>
      <c r="N1578">
        <f t="shared" si="270"/>
        <v>0</v>
      </c>
    </row>
    <row r="1579" spans="4:14" x14ac:dyDescent="0.2">
      <c r="D1579">
        <f t="shared" si="272"/>
        <v>1556</v>
      </c>
      <c r="E1579" s="1">
        <f t="shared" si="273"/>
        <v>-180.63347091370113</v>
      </c>
      <c r="F1579" s="1">
        <f t="shared" si="274"/>
        <v>-181.21008427800513</v>
      </c>
      <c r="G1579" s="1">
        <f t="shared" si="271"/>
        <v>2.0019827581124168E-79</v>
      </c>
      <c r="H1579" s="1">
        <f t="shared" si="264"/>
        <v>2.0740117673990006E-80</v>
      </c>
      <c r="I1579">
        <f t="shared" si="265"/>
        <v>8</v>
      </c>
      <c r="J1579">
        <f t="shared" si="266"/>
        <v>1546</v>
      </c>
      <c r="K1579" s="5">
        <f t="shared" si="267"/>
        <v>0</v>
      </c>
      <c r="L1579">
        <f t="shared" si="268"/>
        <v>53.4</v>
      </c>
      <c r="M1579">
        <f t="shared" si="269"/>
        <v>1</v>
      </c>
      <c r="N1579">
        <f t="shared" si="270"/>
        <v>0</v>
      </c>
    </row>
    <row r="1580" spans="4:14" x14ac:dyDescent="0.2">
      <c r="D1580">
        <f t="shared" si="272"/>
        <v>1557</v>
      </c>
      <c r="E1580" s="1">
        <f t="shared" si="273"/>
        <v>-180.75000472995708</v>
      </c>
      <c r="F1580" s="1">
        <f t="shared" si="274"/>
        <v>-181.32661809426108</v>
      </c>
      <c r="G1580" s="1">
        <f t="shared" si="271"/>
        <v>1.7817646547200498E-79</v>
      </c>
      <c r="H1580" s="1">
        <f t="shared" si="264"/>
        <v>1.8458704729851093E-80</v>
      </c>
      <c r="I1580">
        <f t="shared" si="265"/>
        <v>8</v>
      </c>
      <c r="J1580">
        <f t="shared" si="266"/>
        <v>1547</v>
      </c>
      <c r="K1580" s="5">
        <f t="shared" si="267"/>
        <v>0</v>
      </c>
      <c r="L1580">
        <f t="shared" si="268"/>
        <v>53.4</v>
      </c>
      <c r="M1580">
        <f t="shared" si="269"/>
        <v>1</v>
      </c>
      <c r="N1580">
        <f t="shared" si="270"/>
        <v>0</v>
      </c>
    </row>
    <row r="1581" spans="4:14" x14ac:dyDescent="0.2">
      <c r="D1581">
        <f t="shared" si="272"/>
        <v>1558</v>
      </c>
      <c r="E1581" s="1">
        <f t="shared" si="273"/>
        <v>-180.86653854621304</v>
      </c>
      <c r="F1581" s="1">
        <f t="shared" si="274"/>
        <v>-181.44315191051703</v>
      </c>
      <c r="G1581" s="1">
        <f t="shared" si="271"/>
        <v>1.5857705427008434E-79</v>
      </c>
      <c r="H1581" s="1">
        <f t="shared" si="264"/>
        <v>1.6428247209567463E-80</v>
      </c>
      <c r="I1581">
        <f t="shared" si="265"/>
        <v>8</v>
      </c>
      <c r="J1581">
        <f t="shared" si="266"/>
        <v>1548</v>
      </c>
      <c r="K1581" s="5">
        <f t="shared" si="267"/>
        <v>0</v>
      </c>
      <c r="L1581">
        <f t="shared" si="268"/>
        <v>53.4</v>
      </c>
      <c r="M1581">
        <f t="shared" si="269"/>
        <v>1</v>
      </c>
      <c r="N1581">
        <f t="shared" si="270"/>
        <v>0</v>
      </c>
    </row>
    <row r="1582" spans="4:14" x14ac:dyDescent="0.2">
      <c r="D1582">
        <f t="shared" si="272"/>
        <v>1559</v>
      </c>
      <c r="E1582" s="1">
        <f t="shared" si="273"/>
        <v>-180.98307236246899</v>
      </c>
      <c r="F1582" s="1">
        <f t="shared" si="274"/>
        <v>-181.55968572677298</v>
      </c>
      <c r="G1582" s="1">
        <f t="shared" si="271"/>
        <v>1.4113357830037497E-79</v>
      </c>
      <c r="H1582" s="1">
        <f t="shared" si="264"/>
        <v>1.4621140016515033E-80</v>
      </c>
      <c r="I1582">
        <f t="shared" si="265"/>
        <v>8</v>
      </c>
      <c r="J1582">
        <f t="shared" si="266"/>
        <v>1549</v>
      </c>
      <c r="K1582" s="5">
        <f t="shared" si="267"/>
        <v>0</v>
      </c>
      <c r="L1582">
        <f t="shared" si="268"/>
        <v>53.4</v>
      </c>
      <c r="M1582">
        <f t="shared" si="269"/>
        <v>1</v>
      </c>
      <c r="N1582">
        <f t="shared" si="270"/>
        <v>0</v>
      </c>
    </row>
    <row r="1583" spans="4:14" x14ac:dyDescent="0.2">
      <c r="D1583">
        <f t="shared" si="272"/>
        <v>1560</v>
      </c>
      <c r="E1583" s="1">
        <f t="shared" si="273"/>
        <v>-181.09960617872494</v>
      </c>
      <c r="F1583" s="1">
        <f t="shared" si="274"/>
        <v>-181.67621954302894</v>
      </c>
      <c r="G1583" s="1">
        <f t="shared" si="271"/>
        <v>1.2560888468733365E-79</v>
      </c>
      <c r="H1583" s="1">
        <f t="shared" si="264"/>
        <v>1.301281461469837E-80</v>
      </c>
      <c r="I1583">
        <f t="shared" si="265"/>
        <v>8</v>
      </c>
      <c r="J1583">
        <f t="shared" si="266"/>
        <v>1550</v>
      </c>
      <c r="K1583" s="5">
        <f t="shared" si="267"/>
        <v>0</v>
      </c>
      <c r="L1583">
        <f t="shared" si="268"/>
        <v>53.4</v>
      </c>
      <c r="M1583">
        <f t="shared" si="269"/>
        <v>1</v>
      </c>
      <c r="N1583">
        <f t="shared" si="270"/>
        <v>0</v>
      </c>
    </row>
    <row r="1584" spans="4:14" x14ac:dyDescent="0.2">
      <c r="D1584">
        <f t="shared" si="272"/>
        <v>1561</v>
      </c>
      <c r="E1584" s="1">
        <f t="shared" si="273"/>
        <v>-181.21613999498089</v>
      </c>
      <c r="F1584" s="1">
        <f t="shared" si="274"/>
        <v>-181.79275335928489</v>
      </c>
      <c r="G1584" s="1">
        <f t="shared" si="271"/>
        <v>1.1179190737172688E-79</v>
      </c>
      <c r="H1584" s="1">
        <f t="shared" si="264"/>
        <v>1.1581405007081543E-80</v>
      </c>
      <c r="I1584">
        <f t="shared" si="265"/>
        <v>8</v>
      </c>
      <c r="J1584">
        <f t="shared" si="266"/>
        <v>1551</v>
      </c>
      <c r="K1584" s="5">
        <f t="shared" si="267"/>
        <v>0</v>
      </c>
      <c r="L1584">
        <f t="shared" si="268"/>
        <v>53.4</v>
      </c>
      <c r="M1584">
        <f t="shared" si="269"/>
        <v>1</v>
      </c>
      <c r="N1584">
        <f t="shared" si="270"/>
        <v>0</v>
      </c>
    </row>
    <row r="1585" spans="4:14" x14ac:dyDescent="0.2">
      <c r="D1585">
        <f t="shared" si="272"/>
        <v>1562</v>
      </c>
      <c r="E1585" s="1">
        <f t="shared" si="273"/>
        <v>-181.33267381123684</v>
      </c>
      <c r="F1585" s="1">
        <f t="shared" si="274"/>
        <v>-181.90928717554084</v>
      </c>
      <c r="G1585" s="1">
        <f t="shared" si="271"/>
        <v>9.9494797560836857E-80</v>
      </c>
      <c r="H1585" s="1">
        <f t="shared" si="264"/>
        <v>1.0307450456302567E-80</v>
      </c>
      <c r="I1585">
        <f t="shared" si="265"/>
        <v>8</v>
      </c>
      <c r="J1585">
        <f t="shared" si="266"/>
        <v>1552</v>
      </c>
      <c r="K1585" s="5">
        <f t="shared" si="267"/>
        <v>0</v>
      </c>
      <c r="L1585">
        <f t="shared" si="268"/>
        <v>53.4</v>
      </c>
      <c r="M1585">
        <f t="shared" si="269"/>
        <v>1</v>
      </c>
      <c r="N1585">
        <f t="shared" si="270"/>
        <v>0</v>
      </c>
    </row>
    <row r="1586" spans="4:14" x14ac:dyDescent="0.2">
      <c r="D1586">
        <f t="shared" si="272"/>
        <v>1563</v>
      </c>
      <c r="E1586" s="1">
        <f t="shared" si="273"/>
        <v>-181.4492076274928</v>
      </c>
      <c r="F1586" s="1">
        <f t="shared" si="274"/>
        <v>-182.02582099179679</v>
      </c>
      <c r="G1586" s="1">
        <f t="shared" si="271"/>
        <v>8.8550369829144743E-80</v>
      </c>
      <c r="H1586" s="1">
        <f t="shared" si="264"/>
        <v>9.1736309061092774E-81</v>
      </c>
      <c r="I1586">
        <f t="shared" si="265"/>
        <v>8</v>
      </c>
      <c r="J1586">
        <f t="shared" si="266"/>
        <v>1553</v>
      </c>
      <c r="K1586" s="5">
        <f t="shared" si="267"/>
        <v>0</v>
      </c>
      <c r="L1586">
        <f t="shared" si="268"/>
        <v>53.4</v>
      </c>
      <c r="M1586">
        <f t="shared" si="269"/>
        <v>1</v>
      </c>
      <c r="N1586">
        <f t="shared" si="270"/>
        <v>0</v>
      </c>
    </row>
    <row r="1587" spans="4:14" x14ac:dyDescent="0.2">
      <c r="D1587">
        <f t="shared" si="272"/>
        <v>1564</v>
      </c>
      <c r="E1587" s="1">
        <f t="shared" si="273"/>
        <v>-181.56574144374875</v>
      </c>
      <c r="F1587" s="1">
        <f t="shared" si="274"/>
        <v>-182.14235480805274</v>
      </c>
      <c r="G1587" s="1">
        <f t="shared" si="271"/>
        <v>7.8809829147938768E-80</v>
      </c>
      <c r="H1587" s="1">
        <f t="shared" si="264"/>
        <v>8.1645315064372526E-81</v>
      </c>
      <c r="I1587">
        <f t="shared" si="265"/>
        <v>8</v>
      </c>
      <c r="J1587">
        <f t="shared" si="266"/>
        <v>1554</v>
      </c>
      <c r="K1587" s="5">
        <f t="shared" si="267"/>
        <v>0</v>
      </c>
      <c r="L1587">
        <f t="shared" si="268"/>
        <v>53.4</v>
      </c>
      <c r="M1587">
        <f t="shared" si="269"/>
        <v>1</v>
      </c>
      <c r="N1587">
        <f t="shared" si="270"/>
        <v>0</v>
      </c>
    </row>
    <row r="1588" spans="4:14" x14ac:dyDescent="0.2">
      <c r="D1588">
        <f t="shared" si="272"/>
        <v>1565</v>
      </c>
      <c r="E1588" s="1">
        <f t="shared" si="273"/>
        <v>-181.6822752600047</v>
      </c>
      <c r="F1588" s="1">
        <f t="shared" si="274"/>
        <v>-182.2588886243087</v>
      </c>
      <c r="G1588" s="1">
        <f t="shared" si="271"/>
        <v>7.0140747941665467E-80</v>
      </c>
      <c r="H1588" s="1">
        <f t="shared" si="264"/>
        <v>7.2664330407291506E-81</v>
      </c>
      <c r="I1588">
        <f t="shared" si="265"/>
        <v>8</v>
      </c>
      <c r="J1588">
        <f t="shared" si="266"/>
        <v>1555</v>
      </c>
      <c r="K1588" s="5">
        <f t="shared" si="267"/>
        <v>0</v>
      </c>
      <c r="L1588">
        <f t="shared" si="268"/>
        <v>53.4</v>
      </c>
      <c r="M1588">
        <f t="shared" si="269"/>
        <v>1</v>
      </c>
      <c r="N1588">
        <f t="shared" si="270"/>
        <v>0</v>
      </c>
    </row>
    <row r="1589" spans="4:14" x14ac:dyDescent="0.2">
      <c r="D1589">
        <f t="shared" si="272"/>
        <v>1566</v>
      </c>
      <c r="E1589" s="1">
        <f t="shared" si="273"/>
        <v>-181.79880907626065</v>
      </c>
      <c r="F1589" s="1">
        <f t="shared" si="274"/>
        <v>-182.37542244056465</v>
      </c>
      <c r="G1589" s="1">
        <f t="shared" si="271"/>
        <v>6.2425265668082226E-80</v>
      </c>
      <c r="H1589" s="1">
        <f t="shared" si="264"/>
        <v>6.4671254062489396E-81</v>
      </c>
      <c r="I1589">
        <f t="shared" si="265"/>
        <v>8</v>
      </c>
      <c r="J1589">
        <f t="shared" si="266"/>
        <v>1556</v>
      </c>
      <c r="K1589" s="5">
        <f t="shared" si="267"/>
        <v>0</v>
      </c>
      <c r="L1589">
        <f t="shared" si="268"/>
        <v>53.4</v>
      </c>
      <c r="M1589">
        <f t="shared" si="269"/>
        <v>1</v>
      </c>
      <c r="N1589">
        <f t="shared" si="270"/>
        <v>0</v>
      </c>
    </row>
    <row r="1590" spans="4:14" x14ac:dyDescent="0.2">
      <c r="D1590">
        <f t="shared" si="272"/>
        <v>1567</v>
      </c>
      <c r="E1590" s="1">
        <f t="shared" si="273"/>
        <v>-181.91534289251661</v>
      </c>
      <c r="F1590" s="1">
        <f t="shared" si="274"/>
        <v>-182.4919562568206</v>
      </c>
      <c r="G1590" s="1">
        <f t="shared" si="271"/>
        <v>5.5558486444593146E-80</v>
      </c>
      <c r="H1590" s="1">
        <f t="shared" si="264"/>
        <v>5.7557416115615531E-81</v>
      </c>
      <c r="I1590">
        <f t="shared" si="265"/>
        <v>8</v>
      </c>
      <c r="J1590">
        <f t="shared" si="266"/>
        <v>1557</v>
      </c>
      <c r="K1590" s="5">
        <f t="shared" si="267"/>
        <v>0</v>
      </c>
      <c r="L1590">
        <f t="shared" si="268"/>
        <v>53.4</v>
      </c>
      <c r="M1590">
        <f t="shared" si="269"/>
        <v>1</v>
      </c>
      <c r="N1590">
        <f t="shared" si="270"/>
        <v>0</v>
      </c>
    </row>
    <row r="1591" spans="4:14" x14ac:dyDescent="0.2">
      <c r="D1591">
        <f t="shared" si="272"/>
        <v>1568</v>
      </c>
      <c r="E1591" s="1">
        <f t="shared" si="273"/>
        <v>-182.03187670877256</v>
      </c>
      <c r="F1591" s="1">
        <f t="shared" si="274"/>
        <v>-182.60849007307655</v>
      </c>
      <c r="G1591" s="1">
        <f t="shared" si="271"/>
        <v>4.9447052935687872E-80</v>
      </c>
      <c r="H1591" s="1">
        <f t="shared" si="264"/>
        <v>5.1226100342897787E-81</v>
      </c>
      <c r="I1591">
        <f t="shared" si="265"/>
        <v>8</v>
      </c>
      <c r="J1591">
        <f t="shared" si="266"/>
        <v>1558</v>
      </c>
      <c r="K1591" s="5">
        <f t="shared" si="267"/>
        <v>0</v>
      </c>
      <c r="L1591">
        <f t="shared" si="268"/>
        <v>53.4</v>
      </c>
      <c r="M1591">
        <f t="shared" si="269"/>
        <v>1</v>
      </c>
      <c r="N1591">
        <f t="shared" si="270"/>
        <v>0</v>
      </c>
    </row>
    <row r="1592" spans="4:14" x14ac:dyDescent="0.2">
      <c r="D1592">
        <f t="shared" si="272"/>
        <v>1569</v>
      </c>
      <c r="E1592" s="1">
        <f t="shared" si="273"/>
        <v>-182.14841052502851</v>
      </c>
      <c r="F1592" s="1">
        <f t="shared" si="274"/>
        <v>-182.7250238893325</v>
      </c>
      <c r="G1592" s="1">
        <f t="shared" si="271"/>
        <v>4.4007877112762171E-80</v>
      </c>
      <c r="H1592" s="1">
        <f t="shared" si="264"/>
        <v>4.5591229305178998E-81</v>
      </c>
      <c r="I1592">
        <f t="shared" si="265"/>
        <v>8</v>
      </c>
      <c r="J1592">
        <f t="shared" si="266"/>
        <v>1559</v>
      </c>
      <c r="K1592" s="5">
        <f t="shared" si="267"/>
        <v>0</v>
      </c>
      <c r="L1592">
        <f t="shared" si="268"/>
        <v>53.4</v>
      </c>
      <c r="M1592">
        <f t="shared" si="269"/>
        <v>1</v>
      </c>
      <c r="N1592">
        <f t="shared" si="270"/>
        <v>0</v>
      </c>
    </row>
    <row r="1593" spans="4:14" x14ac:dyDescent="0.2">
      <c r="D1593">
        <f t="shared" si="272"/>
        <v>1570</v>
      </c>
      <c r="E1593" s="1">
        <f t="shared" si="273"/>
        <v>-182.26494434128446</v>
      </c>
      <c r="F1593" s="1">
        <f t="shared" si="274"/>
        <v>-182.84155770558846</v>
      </c>
      <c r="G1593" s="1">
        <f t="shared" si="271"/>
        <v>3.9167010630358311E-80</v>
      </c>
      <c r="H1593" s="1">
        <f t="shared" si="264"/>
        <v>4.0576194081609285E-81</v>
      </c>
      <c r="I1593">
        <f t="shared" si="265"/>
        <v>8</v>
      </c>
      <c r="J1593">
        <f t="shared" si="266"/>
        <v>1560</v>
      </c>
      <c r="K1593" s="5">
        <f t="shared" si="267"/>
        <v>0</v>
      </c>
      <c r="L1593">
        <f t="shared" si="268"/>
        <v>53.4</v>
      </c>
      <c r="M1593">
        <f t="shared" si="269"/>
        <v>1</v>
      </c>
      <c r="N1593">
        <f t="shared" si="270"/>
        <v>0</v>
      </c>
    </row>
    <row r="1594" spans="4:14" x14ac:dyDescent="0.2">
      <c r="D1594">
        <f t="shared" si="272"/>
        <v>1571</v>
      </c>
      <c r="E1594" s="1">
        <f t="shared" si="273"/>
        <v>-182.38147815754041</v>
      </c>
      <c r="F1594" s="1">
        <f t="shared" si="274"/>
        <v>-182.95809152184441</v>
      </c>
      <c r="G1594" s="1">
        <f t="shared" si="271"/>
        <v>3.4858639461018874E-80</v>
      </c>
      <c r="H1594" s="1">
        <f t="shared" si="264"/>
        <v>3.611281273263224E-81</v>
      </c>
      <c r="I1594">
        <f t="shared" si="265"/>
        <v>8</v>
      </c>
      <c r="J1594">
        <f t="shared" si="266"/>
        <v>1561</v>
      </c>
      <c r="K1594" s="5">
        <f t="shared" si="267"/>
        <v>0</v>
      </c>
      <c r="L1594">
        <f t="shared" si="268"/>
        <v>53.4</v>
      </c>
      <c r="M1594">
        <f t="shared" si="269"/>
        <v>1</v>
      </c>
      <c r="N1594">
        <f t="shared" si="270"/>
        <v>0</v>
      </c>
    </row>
    <row r="1595" spans="4:14" x14ac:dyDescent="0.2">
      <c r="D1595">
        <f t="shared" si="272"/>
        <v>1572</v>
      </c>
      <c r="E1595" s="1">
        <f t="shared" si="273"/>
        <v>-182.49801197379637</v>
      </c>
      <c r="F1595" s="1">
        <f t="shared" si="274"/>
        <v>-183.07462533810036</v>
      </c>
      <c r="G1595" s="1">
        <f t="shared" si="271"/>
        <v>3.1024189120306779E-80</v>
      </c>
      <c r="H1595" s="1">
        <f t="shared" si="264"/>
        <v>3.2140403332042677E-81</v>
      </c>
      <c r="I1595">
        <f t="shared" si="265"/>
        <v>8</v>
      </c>
      <c r="J1595">
        <f t="shared" si="266"/>
        <v>1562</v>
      </c>
      <c r="K1595" s="5">
        <f t="shared" si="267"/>
        <v>0</v>
      </c>
      <c r="L1595">
        <f t="shared" si="268"/>
        <v>53.4</v>
      </c>
      <c r="M1595">
        <f t="shared" si="269"/>
        <v>1</v>
      </c>
      <c r="N1595">
        <f t="shared" si="270"/>
        <v>0</v>
      </c>
    </row>
    <row r="1596" spans="4:14" x14ac:dyDescent="0.2">
      <c r="D1596">
        <f t="shared" si="272"/>
        <v>1573</v>
      </c>
      <c r="E1596" s="1">
        <f t="shared" si="273"/>
        <v>-182.61454579005232</v>
      </c>
      <c r="F1596" s="1">
        <f t="shared" si="274"/>
        <v>-183.19115915435631</v>
      </c>
      <c r="G1596" s="1">
        <f t="shared" si="271"/>
        <v>2.7611528317073015E-80</v>
      </c>
      <c r="H1596" s="1">
        <f t="shared" si="264"/>
        <v>2.860495896551796E-81</v>
      </c>
      <c r="I1596">
        <f t="shared" si="265"/>
        <v>8</v>
      </c>
      <c r="J1596">
        <f t="shared" si="266"/>
        <v>1563</v>
      </c>
      <c r="K1596" s="5">
        <f t="shared" si="267"/>
        <v>0</v>
      </c>
      <c r="L1596">
        <f t="shared" si="268"/>
        <v>53.4</v>
      </c>
      <c r="M1596">
        <f t="shared" si="269"/>
        <v>1</v>
      </c>
      <c r="N1596">
        <f t="shared" si="270"/>
        <v>0</v>
      </c>
    </row>
    <row r="1597" spans="4:14" x14ac:dyDescent="0.2">
      <c r="D1597">
        <f t="shared" si="272"/>
        <v>1574</v>
      </c>
      <c r="E1597" s="1">
        <f t="shared" si="273"/>
        <v>-182.73107960630827</v>
      </c>
      <c r="F1597" s="1">
        <f t="shared" si="274"/>
        <v>-183.30769297061227</v>
      </c>
      <c r="G1597" s="1">
        <f t="shared" si="271"/>
        <v>2.4574260202194969E-80</v>
      </c>
      <c r="H1597" s="1">
        <f t="shared" si="264"/>
        <v>2.5458413479310974E-81</v>
      </c>
      <c r="I1597">
        <f t="shared" si="265"/>
        <v>8</v>
      </c>
      <c r="J1597">
        <f t="shared" si="266"/>
        <v>1564</v>
      </c>
      <c r="K1597" s="5">
        <f t="shared" si="267"/>
        <v>0</v>
      </c>
      <c r="L1597">
        <f t="shared" si="268"/>
        <v>53.4</v>
      </c>
      <c r="M1597">
        <f t="shared" si="269"/>
        <v>1</v>
      </c>
      <c r="N1597">
        <f t="shared" si="270"/>
        <v>0</v>
      </c>
    </row>
    <row r="1598" spans="4:14" x14ac:dyDescent="0.2">
      <c r="D1598">
        <f t="shared" si="272"/>
        <v>1575</v>
      </c>
      <c r="E1598" s="1">
        <f t="shared" si="273"/>
        <v>-182.84761342256422</v>
      </c>
      <c r="F1598" s="1">
        <f t="shared" si="274"/>
        <v>-183.42422678686822</v>
      </c>
      <c r="G1598" s="1">
        <f t="shared" si="271"/>
        <v>2.1871091579953506E-80</v>
      </c>
      <c r="H1598" s="1">
        <f t="shared" si="264"/>
        <v>2.2657987996586749E-81</v>
      </c>
      <c r="I1598">
        <f t="shared" si="265"/>
        <v>8</v>
      </c>
      <c r="J1598">
        <f t="shared" si="266"/>
        <v>1565</v>
      </c>
      <c r="K1598" s="5">
        <f t="shared" si="267"/>
        <v>0</v>
      </c>
      <c r="L1598">
        <f t="shared" si="268"/>
        <v>53.4</v>
      </c>
      <c r="M1598">
        <f t="shared" si="269"/>
        <v>1</v>
      </c>
      <c r="N1598">
        <f t="shared" si="270"/>
        <v>0</v>
      </c>
    </row>
    <row r="1599" spans="4:14" x14ac:dyDescent="0.2">
      <c r="D1599">
        <f t="shared" si="272"/>
        <v>1576</v>
      </c>
      <c r="E1599" s="1">
        <f t="shared" si="273"/>
        <v>-182.96414723882017</v>
      </c>
      <c r="F1599" s="1">
        <f t="shared" si="274"/>
        <v>-183.54076060312417</v>
      </c>
      <c r="G1599" s="1">
        <f t="shared" si="271"/>
        <v>1.9465271506158611E-80</v>
      </c>
      <c r="H1599" s="1">
        <f t="shared" si="264"/>
        <v>2.0165609316962196E-81</v>
      </c>
      <c r="I1599">
        <f t="shared" si="265"/>
        <v>8</v>
      </c>
      <c r="J1599">
        <f t="shared" si="266"/>
        <v>1566</v>
      </c>
      <c r="K1599" s="5">
        <f t="shared" si="267"/>
        <v>0</v>
      </c>
      <c r="L1599">
        <f t="shared" si="268"/>
        <v>53.4</v>
      </c>
      <c r="M1599">
        <f t="shared" si="269"/>
        <v>1</v>
      </c>
      <c r="N1599">
        <f t="shared" si="270"/>
        <v>0</v>
      </c>
    </row>
    <row r="1600" spans="4:14" x14ac:dyDescent="0.2">
      <c r="D1600">
        <f t="shared" si="272"/>
        <v>1577</v>
      </c>
      <c r="E1600" s="1">
        <f t="shared" si="273"/>
        <v>-183.08068105507613</v>
      </c>
      <c r="F1600" s="1">
        <f t="shared" si="274"/>
        <v>-183.65729441938012</v>
      </c>
      <c r="G1600" s="1">
        <f t="shared" si="271"/>
        <v>1.7324091640481152E-80</v>
      </c>
      <c r="H1600" s="1">
        <f t="shared" si="264"/>
        <v>1.7947392292096342E-81</v>
      </c>
      <c r="I1600">
        <f t="shared" si="265"/>
        <v>8</v>
      </c>
      <c r="J1600">
        <f t="shared" si="266"/>
        <v>1567</v>
      </c>
      <c r="K1600" s="5">
        <f t="shared" si="267"/>
        <v>0</v>
      </c>
      <c r="L1600">
        <f t="shared" si="268"/>
        <v>53.4</v>
      </c>
      <c r="M1600">
        <f t="shared" si="269"/>
        <v>1</v>
      </c>
      <c r="N1600">
        <f t="shared" si="270"/>
        <v>0</v>
      </c>
    </row>
    <row r="1601" spans="4:14" x14ac:dyDescent="0.2">
      <c r="D1601">
        <f t="shared" si="272"/>
        <v>1578</v>
      </c>
      <c r="E1601" s="1">
        <f t="shared" si="273"/>
        <v>-183.19721487133208</v>
      </c>
      <c r="F1601" s="1">
        <f t="shared" si="274"/>
        <v>-183.77382823563607</v>
      </c>
      <c r="G1601" s="1">
        <f t="shared" si="271"/>
        <v>1.5418441560028215E-80</v>
      </c>
      <c r="H1601" s="1">
        <f t="shared" si="264"/>
        <v>1.5973179139965734E-81</v>
      </c>
      <c r="I1601">
        <f t="shared" si="265"/>
        <v>8</v>
      </c>
      <c r="J1601">
        <f t="shared" si="266"/>
        <v>1568</v>
      </c>
      <c r="K1601" s="5">
        <f t="shared" si="267"/>
        <v>0</v>
      </c>
      <c r="L1601">
        <f t="shared" si="268"/>
        <v>53.4</v>
      </c>
      <c r="M1601">
        <f t="shared" si="269"/>
        <v>1</v>
      </c>
      <c r="N1601">
        <f t="shared" si="270"/>
        <v>0</v>
      </c>
    </row>
    <row r="1602" spans="4:14" x14ac:dyDescent="0.2">
      <c r="D1602">
        <f t="shared" si="272"/>
        <v>1579</v>
      </c>
      <c r="E1602" s="1">
        <f t="shared" si="273"/>
        <v>-183.31374868758803</v>
      </c>
      <c r="F1602" s="1">
        <f t="shared" si="274"/>
        <v>-183.89036205189203</v>
      </c>
      <c r="G1602" s="1">
        <f t="shared" si="271"/>
        <v>1.3722412988425102E-80</v>
      </c>
      <c r="H1602" s="1">
        <f t="shared" si="264"/>
        <v>1.4216129434569493E-81</v>
      </c>
      <c r="I1602">
        <f t="shared" si="265"/>
        <v>8</v>
      </c>
      <c r="J1602">
        <f t="shared" si="266"/>
        <v>1569</v>
      </c>
      <c r="K1602" s="5">
        <f t="shared" si="267"/>
        <v>0</v>
      </c>
      <c r="L1602">
        <f t="shared" si="268"/>
        <v>53.4</v>
      </c>
      <c r="M1602">
        <f t="shared" si="269"/>
        <v>1</v>
      </c>
      <c r="N1602">
        <f t="shared" si="270"/>
        <v>0</v>
      </c>
    </row>
    <row r="1603" spans="4:14" x14ac:dyDescent="0.2">
      <c r="D1603">
        <f t="shared" si="272"/>
        <v>1580</v>
      </c>
      <c r="E1603" s="1">
        <f t="shared" si="273"/>
        <v>-183.43028250384398</v>
      </c>
      <c r="F1603" s="1">
        <f t="shared" si="274"/>
        <v>-184.00689586814798</v>
      </c>
      <c r="G1603" s="1">
        <f t="shared" si="271"/>
        <v>1.2212947559698334E-80</v>
      </c>
      <c r="H1603" s="1">
        <f t="shared" si="264"/>
        <v>1.2652355196766842E-81</v>
      </c>
      <c r="I1603">
        <f t="shared" si="265"/>
        <v>8</v>
      </c>
      <c r="J1603">
        <f t="shared" si="266"/>
        <v>1570</v>
      </c>
      <c r="K1603" s="5">
        <f t="shared" si="267"/>
        <v>0</v>
      </c>
      <c r="L1603">
        <f t="shared" si="268"/>
        <v>53.4</v>
      </c>
      <c r="M1603">
        <f t="shared" si="269"/>
        <v>1</v>
      </c>
      <c r="N1603">
        <f t="shared" si="270"/>
        <v>0</v>
      </c>
    </row>
    <row r="1604" spans="4:14" x14ac:dyDescent="0.2">
      <c r="D1604">
        <f t="shared" si="272"/>
        <v>1581</v>
      </c>
      <c r="E1604" s="1">
        <f t="shared" si="273"/>
        <v>-183.54681632009994</v>
      </c>
      <c r="F1604" s="1">
        <f t="shared" si="274"/>
        <v>-184.12342968440393</v>
      </c>
      <c r="G1604" s="1">
        <f t="shared" si="271"/>
        <v>1.0869523328131511E-80</v>
      </c>
      <c r="H1604" s="1">
        <f t="shared" si="264"/>
        <v>1.1260596125122484E-81</v>
      </c>
      <c r="I1604">
        <f t="shared" si="265"/>
        <v>8</v>
      </c>
      <c r="J1604">
        <f t="shared" si="266"/>
        <v>1571</v>
      </c>
      <c r="K1604" s="5">
        <f t="shared" si="267"/>
        <v>0</v>
      </c>
      <c r="L1604">
        <f t="shared" si="268"/>
        <v>53.4</v>
      </c>
      <c r="M1604">
        <f t="shared" si="269"/>
        <v>1</v>
      </c>
      <c r="N1604">
        <f t="shared" si="270"/>
        <v>0</v>
      </c>
    </row>
    <row r="1605" spans="4:14" x14ac:dyDescent="0.2">
      <c r="D1605">
        <f t="shared" si="272"/>
        <v>1582</v>
      </c>
      <c r="E1605" s="1">
        <f t="shared" si="273"/>
        <v>-183.66335013635589</v>
      </c>
      <c r="F1605" s="1">
        <f t="shared" si="274"/>
        <v>-184.23996350065988</v>
      </c>
      <c r="G1605" s="1">
        <f t="shared" si="271"/>
        <v>9.673875762037038E-81</v>
      </c>
      <c r="H1605" s="1">
        <f t="shared" si="264"/>
        <v>1.0021930551359002E-81</v>
      </c>
      <c r="I1605">
        <f t="shared" si="265"/>
        <v>8</v>
      </c>
      <c r="J1605">
        <f t="shared" si="266"/>
        <v>1572</v>
      </c>
      <c r="K1605" s="5">
        <f t="shared" si="267"/>
        <v>0</v>
      </c>
      <c r="L1605">
        <f t="shared" si="268"/>
        <v>53.4</v>
      </c>
      <c r="M1605">
        <f t="shared" si="269"/>
        <v>1</v>
      </c>
      <c r="N1605">
        <f t="shared" si="270"/>
        <v>0</v>
      </c>
    </row>
    <row r="1606" spans="4:14" x14ac:dyDescent="0.2">
      <c r="D1606">
        <f t="shared" si="272"/>
        <v>1583</v>
      </c>
      <c r="E1606" s="1">
        <f t="shared" si="273"/>
        <v>-183.77988395261184</v>
      </c>
      <c r="F1606" s="1">
        <f t="shared" si="274"/>
        <v>-184.35649731691583</v>
      </c>
      <c r="G1606" s="1">
        <f t="shared" si="271"/>
        <v>8.6097494282129587E-81</v>
      </c>
      <c r="H1606" s="1">
        <f t="shared" si="264"/>
        <v>8.9195181907095076E-82</v>
      </c>
      <c r="I1606">
        <f t="shared" si="265"/>
        <v>8</v>
      </c>
      <c r="J1606">
        <f t="shared" si="266"/>
        <v>1573</v>
      </c>
      <c r="K1606" s="5">
        <f t="shared" si="267"/>
        <v>0</v>
      </c>
      <c r="L1606">
        <f t="shared" si="268"/>
        <v>53.4</v>
      </c>
      <c r="M1606">
        <f t="shared" si="269"/>
        <v>1</v>
      </c>
      <c r="N1606">
        <f t="shared" si="270"/>
        <v>0</v>
      </c>
    </row>
    <row r="1607" spans="4:14" x14ac:dyDescent="0.2">
      <c r="D1607">
        <f t="shared" si="272"/>
        <v>1584</v>
      </c>
      <c r="E1607" s="1">
        <f t="shared" si="273"/>
        <v>-183.89641776886779</v>
      </c>
      <c r="F1607" s="1">
        <f t="shared" si="274"/>
        <v>-184.47303113317179</v>
      </c>
      <c r="G1607" s="1">
        <f t="shared" si="271"/>
        <v>7.6626769911095287E-81</v>
      </c>
      <c r="H1607" s="1">
        <f t="shared" si="264"/>
        <v>7.9383711897314566E-82</v>
      </c>
      <c r="I1607">
        <f t="shared" si="265"/>
        <v>8</v>
      </c>
      <c r="J1607">
        <f t="shared" si="266"/>
        <v>1574</v>
      </c>
      <c r="K1607" s="5">
        <f t="shared" si="267"/>
        <v>0</v>
      </c>
      <c r="L1607">
        <f t="shared" si="268"/>
        <v>53.4</v>
      </c>
      <c r="M1607">
        <f t="shared" si="269"/>
        <v>1</v>
      </c>
      <c r="N1607">
        <f t="shared" si="270"/>
        <v>0</v>
      </c>
    </row>
    <row r="1608" spans="4:14" x14ac:dyDescent="0.2">
      <c r="D1608">
        <f t="shared" si="272"/>
        <v>1585</v>
      </c>
      <c r="E1608" s="1">
        <f t="shared" si="273"/>
        <v>-184.01295158512374</v>
      </c>
      <c r="F1608" s="1">
        <f t="shared" si="274"/>
        <v>-184.58956494942774</v>
      </c>
      <c r="G1608" s="1">
        <f t="shared" si="271"/>
        <v>6.8197825220874758E-81</v>
      </c>
      <c r="H1608" s="1">
        <f t="shared" si="264"/>
        <v>7.0651503588609911E-82</v>
      </c>
      <c r="I1608">
        <f t="shared" si="265"/>
        <v>8</v>
      </c>
      <c r="J1608">
        <f t="shared" si="266"/>
        <v>1575</v>
      </c>
      <c r="K1608" s="5">
        <f t="shared" si="267"/>
        <v>0</v>
      </c>
      <c r="L1608">
        <f t="shared" si="268"/>
        <v>53.4</v>
      </c>
      <c r="M1608">
        <f t="shared" si="269"/>
        <v>1</v>
      </c>
      <c r="N1608">
        <f t="shared" si="270"/>
        <v>0</v>
      </c>
    </row>
    <row r="1609" spans="4:14" x14ac:dyDescent="0.2">
      <c r="D1609">
        <f t="shared" si="272"/>
        <v>1586</v>
      </c>
      <c r="E1609" s="1">
        <f t="shared" si="273"/>
        <v>-184.1294854013797</v>
      </c>
      <c r="F1609" s="1">
        <f t="shared" si="274"/>
        <v>-184.70609876568369</v>
      </c>
      <c r="G1609" s="1">
        <f t="shared" si="271"/>
        <v>6.0696064446578498E-81</v>
      </c>
      <c r="H1609" s="1">
        <f t="shared" si="264"/>
        <v>6.2879838193862784E-82</v>
      </c>
      <c r="I1609">
        <f t="shared" si="265"/>
        <v>8</v>
      </c>
      <c r="J1609">
        <f t="shared" si="266"/>
        <v>1576</v>
      </c>
      <c r="K1609" s="5">
        <f t="shared" si="267"/>
        <v>0</v>
      </c>
      <c r="L1609">
        <f t="shared" si="268"/>
        <v>53.4</v>
      </c>
      <c r="M1609">
        <f t="shared" si="269"/>
        <v>1</v>
      </c>
      <c r="N1609">
        <f t="shared" si="270"/>
        <v>0</v>
      </c>
    </row>
    <row r="1610" spans="4:14" x14ac:dyDescent="0.2">
      <c r="D1610">
        <f t="shared" si="272"/>
        <v>1587</v>
      </c>
      <c r="E1610" s="1">
        <f t="shared" si="273"/>
        <v>-184.24601921763565</v>
      </c>
      <c r="F1610" s="1">
        <f t="shared" si="274"/>
        <v>-184.82263258193964</v>
      </c>
      <c r="G1610" s="1">
        <f t="shared" si="271"/>
        <v>5.4019497357454831E-81</v>
      </c>
      <c r="H1610" s="1">
        <f t="shared" si="264"/>
        <v>5.5963055992537851E-82</v>
      </c>
      <c r="I1610">
        <f t="shared" si="265"/>
        <v>8</v>
      </c>
      <c r="J1610">
        <f t="shared" si="266"/>
        <v>1577</v>
      </c>
      <c r="K1610" s="5">
        <f t="shared" si="267"/>
        <v>0</v>
      </c>
      <c r="L1610">
        <f t="shared" si="268"/>
        <v>53.4</v>
      </c>
      <c r="M1610">
        <f t="shared" si="269"/>
        <v>1</v>
      </c>
      <c r="N1610">
        <f t="shared" si="270"/>
        <v>0</v>
      </c>
    </row>
    <row r="1611" spans="4:14" x14ac:dyDescent="0.2">
      <c r="D1611">
        <f t="shared" si="272"/>
        <v>1588</v>
      </c>
      <c r="E1611" s="1">
        <f t="shared" si="273"/>
        <v>-184.3625530338916</v>
      </c>
      <c r="F1611" s="1">
        <f t="shared" si="274"/>
        <v>-184.9391663981956</v>
      </c>
      <c r="G1611" s="1">
        <f t="shared" si="271"/>
        <v>4.8077352648134768E-81</v>
      </c>
      <c r="H1611" s="1">
        <f t="shared" si="264"/>
        <v>4.9807119833358648E-82</v>
      </c>
      <c r="I1611">
        <f t="shared" si="265"/>
        <v>8</v>
      </c>
      <c r="J1611">
        <f t="shared" si="266"/>
        <v>1578</v>
      </c>
      <c r="K1611" s="5">
        <f t="shared" si="267"/>
        <v>0</v>
      </c>
      <c r="L1611">
        <f t="shared" si="268"/>
        <v>53.4</v>
      </c>
      <c r="M1611">
        <f t="shared" si="269"/>
        <v>1</v>
      </c>
      <c r="N1611">
        <f t="shared" si="270"/>
        <v>0</v>
      </c>
    </row>
    <row r="1612" spans="4:14" x14ac:dyDescent="0.2">
      <c r="D1612">
        <f t="shared" si="272"/>
        <v>1589</v>
      </c>
      <c r="E1612" s="1">
        <f t="shared" si="273"/>
        <v>-184.47908685014755</v>
      </c>
      <c r="F1612" s="1">
        <f t="shared" si="274"/>
        <v>-185.05570021445155</v>
      </c>
      <c r="G1612" s="1">
        <f t="shared" si="271"/>
        <v>4.2788843856839919E-81</v>
      </c>
      <c r="H1612" s="1">
        <f t="shared" si="264"/>
        <v>4.4328336651689175E-82</v>
      </c>
      <c r="I1612">
        <f t="shared" si="265"/>
        <v>8</v>
      </c>
      <c r="J1612">
        <f t="shared" si="266"/>
        <v>1579</v>
      </c>
      <c r="K1612" s="5">
        <f t="shared" si="267"/>
        <v>0</v>
      </c>
      <c r="L1612">
        <f t="shared" si="268"/>
        <v>53.4</v>
      </c>
      <c r="M1612">
        <f t="shared" si="269"/>
        <v>1</v>
      </c>
      <c r="N1612">
        <f t="shared" si="270"/>
        <v>0</v>
      </c>
    </row>
    <row r="1613" spans="4:14" x14ac:dyDescent="0.2">
      <c r="D1613">
        <f t="shared" si="272"/>
        <v>1590</v>
      </c>
      <c r="E1613" s="1">
        <f t="shared" si="273"/>
        <v>-184.59562066640351</v>
      </c>
      <c r="F1613" s="1">
        <f t="shared" si="274"/>
        <v>-185.1722340307075</v>
      </c>
      <c r="G1613" s="1">
        <f t="shared" si="271"/>
        <v>3.8082071032587502E-81</v>
      </c>
      <c r="H1613" s="1">
        <f t="shared" si="264"/>
        <v>3.9452219620003336E-82</v>
      </c>
      <c r="I1613">
        <f t="shared" si="265"/>
        <v>8</v>
      </c>
      <c r="J1613">
        <f t="shared" si="266"/>
        <v>1580</v>
      </c>
      <c r="K1613" s="5">
        <f t="shared" si="267"/>
        <v>0</v>
      </c>
      <c r="L1613">
        <f t="shared" si="268"/>
        <v>53.4</v>
      </c>
      <c r="M1613">
        <f t="shared" si="269"/>
        <v>1</v>
      </c>
      <c r="N1613">
        <f t="shared" si="270"/>
        <v>0</v>
      </c>
    </row>
    <row r="1614" spans="4:14" x14ac:dyDescent="0.2">
      <c r="D1614">
        <f t="shared" si="272"/>
        <v>1591</v>
      </c>
      <c r="E1614" s="1">
        <f t="shared" si="273"/>
        <v>-184.71215448265946</v>
      </c>
      <c r="F1614" s="1">
        <f t="shared" si="274"/>
        <v>-185.28876784696345</v>
      </c>
      <c r="G1614" s="1">
        <f t="shared" si="271"/>
        <v>3.3893043219002855E-81</v>
      </c>
      <c r="H1614" s="1">
        <f t="shared" si="264"/>
        <v>3.5112475461802946E-82</v>
      </c>
      <c r="I1614">
        <f t="shared" si="265"/>
        <v>8</v>
      </c>
      <c r="J1614">
        <f t="shared" si="266"/>
        <v>1581</v>
      </c>
      <c r="K1614" s="5">
        <f t="shared" si="267"/>
        <v>0</v>
      </c>
      <c r="L1614">
        <f t="shared" si="268"/>
        <v>53.4</v>
      </c>
      <c r="M1614">
        <f t="shared" si="269"/>
        <v>1</v>
      </c>
      <c r="N1614">
        <f t="shared" si="270"/>
        <v>0</v>
      </c>
    </row>
    <row r="1615" spans="4:14" x14ac:dyDescent="0.2">
      <c r="D1615">
        <f t="shared" si="272"/>
        <v>1592</v>
      </c>
      <c r="E1615" s="1">
        <f t="shared" si="273"/>
        <v>-184.82868829891541</v>
      </c>
      <c r="F1615" s="1">
        <f t="shared" si="274"/>
        <v>-185.4053016632194</v>
      </c>
      <c r="G1615" s="1">
        <f t="shared" si="271"/>
        <v>3.0164808464912519E-81</v>
      </c>
      <c r="H1615" s="1">
        <f t="shared" si="264"/>
        <v>3.1250103161004604E-82</v>
      </c>
      <c r="I1615">
        <f t="shared" si="265"/>
        <v>8</v>
      </c>
      <c r="J1615">
        <f t="shared" si="266"/>
        <v>1582</v>
      </c>
      <c r="K1615" s="5">
        <f t="shared" si="267"/>
        <v>0</v>
      </c>
      <c r="L1615">
        <f t="shared" si="268"/>
        <v>53.4</v>
      </c>
      <c r="M1615">
        <f t="shared" si="269"/>
        <v>1</v>
      </c>
      <c r="N1615">
        <f t="shared" si="270"/>
        <v>0</v>
      </c>
    </row>
    <row r="1616" spans="4:14" x14ac:dyDescent="0.2">
      <c r="D1616">
        <f t="shared" si="272"/>
        <v>1593</v>
      </c>
      <c r="E1616" s="1">
        <f t="shared" si="273"/>
        <v>-184.94522211517136</v>
      </c>
      <c r="F1616" s="1">
        <f t="shared" si="274"/>
        <v>-185.52183547947536</v>
      </c>
      <c r="G1616" s="1">
        <f t="shared" si="271"/>
        <v>2.6846679533772129E-81</v>
      </c>
      <c r="H1616" s="1">
        <f t="shared" si="264"/>
        <v>2.7812591813294084E-82</v>
      </c>
      <c r="I1616">
        <f t="shared" si="265"/>
        <v>8</v>
      </c>
      <c r="J1616">
        <f t="shared" si="266"/>
        <v>1583</v>
      </c>
      <c r="K1616" s="5">
        <f t="shared" si="267"/>
        <v>0</v>
      </c>
      <c r="L1616">
        <f t="shared" si="268"/>
        <v>53.4</v>
      </c>
      <c r="M1616">
        <f t="shared" si="269"/>
        <v>1</v>
      </c>
      <c r="N1616">
        <f t="shared" si="270"/>
        <v>0</v>
      </c>
    </row>
    <row r="1617" spans="4:14" x14ac:dyDescent="0.2">
      <c r="D1617">
        <f t="shared" si="272"/>
        <v>1594</v>
      </c>
      <c r="E1617" s="1">
        <f t="shared" si="273"/>
        <v>-185.06175593142731</v>
      </c>
      <c r="F1617" s="1">
        <f t="shared" si="274"/>
        <v>-185.63836929573131</v>
      </c>
      <c r="G1617" s="1">
        <f t="shared" si="271"/>
        <v>2.3893544785057178E-81</v>
      </c>
      <c r="H1617" s="1">
        <f t="shared" si="264"/>
        <v>2.4753206713831715E-82</v>
      </c>
      <c r="I1617">
        <f t="shared" si="265"/>
        <v>8</v>
      </c>
      <c r="J1617">
        <f t="shared" si="266"/>
        <v>1584</v>
      </c>
      <c r="K1617" s="5">
        <f t="shared" si="267"/>
        <v>0</v>
      </c>
      <c r="L1617">
        <f t="shared" si="268"/>
        <v>53.4</v>
      </c>
      <c r="M1617">
        <f t="shared" si="269"/>
        <v>1</v>
      </c>
      <c r="N1617">
        <f t="shared" si="270"/>
        <v>0</v>
      </c>
    </row>
    <row r="1618" spans="4:14" x14ac:dyDescent="0.2">
      <c r="D1618">
        <f t="shared" si="272"/>
        <v>1595</v>
      </c>
      <c r="E1618" s="1">
        <f t="shared" si="273"/>
        <v>-185.17828974768327</v>
      </c>
      <c r="F1618" s="1">
        <f t="shared" si="274"/>
        <v>-185.75490311198726</v>
      </c>
      <c r="G1618" s="1">
        <f t="shared" si="271"/>
        <v>2.1265254858700873E-81</v>
      </c>
      <c r="H1618" s="1">
        <f t="shared" si="264"/>
        <v>2.203035397531021E-82</v>
      </c>
      <c r="I1618">
        <f t="shared" si="265"/>
        <v>8</v>
      </c>
      <c r="J1618">
        <f t="shared" si="266"/>
        <v>1585</v>
      </c>
      <c r="K1618" s="5">
        <f t="shared" si="267"/>
        <v>0</v>
      </c>
      <c r="L1618">
        <f t="shared" si="268"/>
        <v>53.4</v>
      </c>
      <c r="M1618">
        <f t="shared" si="269"/>
        <v>1</v>
      </c>
      <c r="N1618">
        <f t="shared" si="270"/>
        <v>0</v>
      </c>
    </row>
    <row r="1619" spans="4:14" x14ac:dyDescent="0.2">
      <c r="D1619">
        <f t="shared" si="272"/>
        <v>1596</v>
      </c>
      <c r="E1619" s="1">
        <f t="shared" si="273"/>
        <v>-185.29482356393922</v>
      </c>
      <c r="F1619" s="1">
        <f t="shared" si="274"/>
        <v>-185.87143692824321</v>
      </c>
      <c r="G1619" s="1">
        <f t="shared" si="271"/>
        <v>1.8926076824243767E-81</v>
      </c>
      <c r="H1619" s="1">
        <f t="shared" si="264"/>
        <v>1.9607015038026077E-82</v>
      </c>
      <c r="I1619">
        <f t="shared" si="265"/>
        <v>8</v>
      </c>
      <c r="J1619">
        <f t="shared" si="266"/>
        <v>1586</v>
      </c>
      <c r="K1619" s="5">
        <f t="shared" si="267"/>
        <v>0</v>
      </c>
      <c r="L1619">
        <f t="shared" si="268"/>
        <v>53.4</v>
      </c>
      <c r="M1619">
        <f t="shared" si="269"/>
        <v>1</v>
      </c>
      <c r="N1619">
        <f t="shared" si="270"/>
        <v>0</v>
      </c>
    </row>
    <row r="1620" spans="4:14" x14ac:dyDescent="0.2">
      <c r="D1620">
        <f t="shared" si="272"/>
        <v>1597</v>
      </c>
      <c r="E1620" s="1">
        <f t="shared" si="273"/>
        <v>-185.41135738019517</v>
      </c>
      <c r="F1620" s="1">
        <f t="shared" si="274"/>
        <v>-185.98797074449917</v>
      </c>
      <c r="G1620" s="1">
        <f t="shared" si="271"/>
        <v>1.6844208373576942E-81</v>
      </c>
      <c r="H1620" s="1">
        <f t="shared" si="264"/>
        <v>1.7450243383843196E-82</v>
      </c>
      <c r="I1620">
        <f t="shared" si="265"/>
        <v>8</v>
      </c>
      <c r="J1620">
        <f t="shared" si="266"/>
        <v>1587</v>
      </c>
      <c r="K1620" s="5">
        <f t="shared" si="267"/>
        <v>0</v>
      </c>
      <c r="L1620">
        <f t="shared" si="268"/>
        <v>53.4</v>
      </c>
      <c r="M1620">
        <f t="shared" si="269"/>
        <v>1</v>
      </c>
      <c r="N1620">
        <f t="shared" si="270"/>
        <v>0</v>
      </c>
    </row>
    <row r="1621" spans="4:14" x14ac:dyDescent="0.2">
      <c r="D1621">
        <f t="shared" si="272"/>
        <v>1598</v>
      </c>
      <c r="E1621" s="1">
        <f t="shared" si="273"/>
        <v>-185.52789119645112</v>
      </c>
      <c r="F1621" s="1">
        <f t="shared" si="274"/>
        <v>-186.10450456075512</v>
      </c>
      <c r="G1621" s="1">
        <f t="shared" si="271"/>
        <v>1.4991345452483469E-81</v>
      </c>
      <c r="H1621" s="1">
        <f t="shared" si="264"/>
        <v>1.5530716611620436E-82</v>
      </c>
      <c r="I1621">
        <f t="shared" si="265"/>
        <v>8</v>
      </c>
      <c r="J1621">
        <f t="shared" si="266"/>
        <v>1588</v>
      </c>
      <c r="K1621" s="5">
        <f t="shared" si="267"/>
        <v>0</v>
      </c>
      <c r="L1621">
        <f t="shared" si="268"/>
        <v>53.4</v>
      </c>
      <c r="M1621">
        <f t="shared" si="269"/>
        <v>1</v>
      </c>
      <c r="N1621">
        <f t="shared" si="270"/>
        <v>0</v>
      </c>
    </row>
    <row r="1622" spans="4:14" x14ac:dyDescent="0.2">
      <c r="D1622">
        <f t="shared" si="272"/>
        <v>1599</v>
      </c>
      <c r="E1622" s="1">
        <f t="shared" si="273"/>
        <v>-185.64442501270707</v>
      </c>
      <c r="F1622" s="1">
        <f t="shared" si="274"/>
        <v>-186.22103837701107</v>
      </c>
      <c r="G1622" s="1">
        <f t="shared" si="271"/>
        <v>1.3342297452710278E-81</v>
      </c>
      <c r="H1622" s="1">
        <f t="shared" si="264"/>
        <v>1.3822337784342179E-82</v>
      </c>
      <c r="I1622">
        <f t="shared" si="265"/>
        <v>8</v>
      </c>
      <c r="J1622">
        <f t="shared" si="266"/>
        <v>1589</v>
      </c>
      <c r="K1622" s="5">
        <f t="shared" si="267"/>
        <v>0</v>
      </c>
      <c r="L1622">
        <f t="shared" si="268"/>
        <v>53.4</v>
      </c>
      <c r="M1622">
        <f t="shared" si="269"/>
        <v>1</v>
      </c>
      <c r="N1622">
        <f t="shared" si="270"/>
        <v>0</v>
      </c>
    </row>
    <row r="1623" spans="4:14" x14ac:dyDescent="0.2">
      <c r="D1623">
        <f t="shared" si="272"/>
        <v>1600</v>
      </c>
      <c r="E1623" s="1">
        <f t="shared" si="273"/>
        <v>-185.76095882896303</v>
      </c>
      <c r="F1623" s="1">
        <f t="shared" si="274"/>
        <v>-186.33757219326702</v>
      </c>
      <c r="G1623" s="1">
        <f t="shared" si="271"/>
        <v>1.1874644732912141E-81</v>
      </c>
      <c r="H1623" s="1">
        <f t="shared" ref="H1623:H1686" si="275">G1623/$G$21</f>
        <v>1.2301880628064531E-82</v>
      </c>
      <c r="I1623">
        <f t="shared" ref="I1623:I1686" si="276">IF($F$11&lt;=D1623, IF(D1623&lt;=$A$15,D1623-$F$11,$C$11),0)</f>
        <v>8</v>
      </c>
      <c r="J1623">
        <f t="shared" ref="J1623:J1686" si="277">IF(D1623&lt;=$A$15,0,D1623-$A$15)</f>
        <v>1590</v>
      </c>
      <c r="K1623" s="5">
        <f t="shared" ref="K1623:K1686" si="278">IF(D1623&lt;$F$11,H1623,0)</f>
        <v>0</v>
      </c>
      <c r="L1623">
        <f t="shared" ref="L1623:L1686" si="279">IF(D1623&lt;$A$15,$D$11,$D$11*(1-$H$11))</f>
        <v>53.4</v>
      </c>
      <c r="M1623">
        <f t="shared" ref="M1623:M1686" si="280">IF(D1623&lt;$A$15,0,1)</f>
        <v>1</v>
      </c>
      <c r="N1623">
        <f t="shared" ref="N1623:N1686" si="281">IF(SUM(I1623:J1623)&lt;=($G$11/60*$F$11/($E$11/60)),1,0)</f>
        <v>0</v>
      </c>
    </row>
    <row r="1624" spans="4:14" x14ac:dyDescent="0.2">
      <c r="D1624">
        <f t="shared" si="272"/>
        <v>1601</v>
      </c>
      <c r="E1624" s="1">
        <f t="shared" si="273"/>
        <v>-185.87749264521898</v>
      </c>
      <c r="F1624" s="1">
        <f t="shared" si="274"/>
        <v>-186.45410600952297</v>
      </c>
      <c r="G1624" s="1">
        <f t="shared" ref="G1624:G1687" si="282">EXP(F1624)</f>
        <v>1.05684338122918E-81</v>
      </c>
      <c r="H1624" s="1">
        <f t="shared" si="275"/>
        <v>1.0948673758977427E-82</v>
      </c>
      <c r="I1624">
        <f t="shared" si="276"/>
        <v>8</v>
      </c>
      <c r="J1624">
        <f t="shared" si="277"/>
        <v>1591</v>
      </c>
      <c r="K1624" s="5">
        <f t="shared" si="278"/>
        <v>0</v>
      </c>
      <c r="L1624">
        <f t="shared" si="279"/>
        <v>53.4</v>
      </c>
      <c r="M1624">
        <f t="shared" si="280"/>
        <v>1</v>
      </c>
      <c r="N1624">
        <f t="shared" si="281"/>
        <v>0</v>
      </c>
    </row>
    <row r="1625" spans="4:14" x14ac:dyDescent="0.2">
      <c r="D1625">
        <f t="shared" ref="D1625:D1688" si="283">1+D1624</f>
        <v>1602</v>
      </c>
      <c r="E1625" s="1">
        <f t="shared" ref="E1625:E1688" si="284">IF($H$11=1,IF(D1625&lt;=$A$15, E1624+LN($D$11)-LN(60/$E$11)-LN(MIN(D1625,$F$11)), E1624-LN(60/$E$11)-LN(MIN(D1625,$F$11))), IF(D1625&lt;=$A$15, E1624+LN($D$11)-LN(60/$E$11)-LN(MIN(D1625,$F$11)), E1624+LN($D$11)+LN(1-$H$11)-LN(60/$E$11)-LN(MIN(D1625,$F$11))))</f>
        <v>-185.99402646147493</v>
      </c>
      <c r="F1625" s="1">
        <f t="shared" ref="F1625:F1688" si="285">E1625-$E$21</f>
        <v>-186.57063982577893</v>
      </c>
      <c r="G1625" s="1">
        <f t="shared" si="282"/>
        <v>9.4059060929396951E-82</v>
      </c>
      <c r="H1625" s="1">
        <f t="shared" si="275"/>
        <v>9.7443196454899033E-83</v>
      </c>
      <c r="I1625">
        <f t="shared" si="276"/>
        <v>8</v>
      </c>
      <c r="J1625">
        <f t="shared" si="277"/>
        <v>1592</v>
      </c>
      <c r="K1625" s="5">
        <f t="shared" si="278"/>
        <v>0</v>
      </c>
      <c r="L1625">
        <f t="shared" si="279"/>
        <v>53.4</v>
      </c>
      <c r="M1625">
        <f t="shared" si="280"/>
        <v>1</v>
      </c>
      <c r="N1625">
        <f t="shared" si="281"/>
        <v>0</v>
      </c>
    </row>
    <row r="1626" spans="4:14" x14ac:dyDescent="0.2">
      <c r="D1626">
        <f t="shared" si="283"/>
        <v>1603</v>
      </c>
      <c r="E1626" s="1">
        <f t="shared" si="284"/>
        <v>-186.11056027773088</v>
      </c>
      <c r="F1626" s="1">
        <f t="shared" si="285"/>
        <v>-186.68717364203488</v>
      </c>
      <c r="G1626" s="1">
        <f t="shared" si="282"/>
        <v>8.3712564227163231E-82</v>
      </c>
      <c r="H1626" s="1">
        <f t="shared" si="275"/>
        <v>8.6724444844860091E-83</v>
      </c>
      <c r="I1626">
        <f t="shared" si="276"/>
        <v>8</v>
      </c>
      <c r="J1626">
        <f t="shared" si="277"/>
        <v>1593</v>
      </c>
      <c r="K1626" s="5">
        <f t="shared" si="278"/>
        <v>0</v>
      </c>
      <c r="L1626">
        <f t="shared" si="279"/>
        <v>53.4</v>
      </c>
      <c r="M1626">
        <f t="shared" si="280"/>
        <v>1</v>
      </c>
      <c r="N1626">
        <f t="shared" si="281"/>
        <v>0</v>
      </c>
    </row>
    <row r="1627" spans="4:14" x14ac:dyDescent="0.2">
      <c r="D1627">
        <f t="shared" si="283"/>
        <v>1604</v>
      </c>
      <c r="E1627" s="1">
        <f t="shared" si="284"/>
        <v>-186.22709409398684</v>
      </c>
      <c r="F1627" s="1">
        <f t="shared" si="285"/>
        <v>-186.80370745829083</v>
      </c>
      <c r="G1627" s="1">
        <f t="shared" si="282"/>
        <v>7.4504182162175225E-82</v>
      </c>
      <c r="H1627" s="1">
        <f t="shared" si="275"/>
        <v>7.7184755911925426E-83</v>
      </c>
      <c r="I1627">
        <f t="shared" si="276"/>
        <v>8</v>
      </c>
      <c r="J1627">
        <f t="shared" si="277"/>
        <v>1594</v>
      </c>
      <c r="K1627" s="5">
        <f t="shared" si="278"/>
        <v>0</v>
      </c>
      <c r="L1627">
        <f t="shared" si="279"/>
        <v>53.4</v>
      </c>
      <c r="M1627">
        <f t="shared" si="280"/>
        <v>1</v>
      </c>
      <c r="N1627">
        <f t="shared" si="281"/>
        <v>0</v>
      </c>
    </row>
    <row r="1628" spans="4:14" x14ac:dyDescent="0.2">
      <c r="D1628">
        <f t="shared" si="283"/>
        <v>1605</v>
      </c>
      <c r="E1628" s="1">
        <f t="shared" si="284"/>
        <v>-186.34362791024279</v>
      </c>
      <c r="F1628" s="1">
        <f t="shared" si="285"/>
        <v>-186.92024127454678</v>
      </c>
      <c r="G1628" s="1">
        <f t="shared" si="282"/>
        <v>6.6308722124335906E-82</v>
      </c>
      <c r="H1628" s="1">
        <f t="shared" si="275"/>
        <v>6.8694432761613581E-83</v>
      </c>
      <c r="I1628">
        <f t="shared" si="276"/>
        <v>8</v>
      </c>
      <c r="J1628">
        <f t="shared" si="277"/>
        <v>1595</v>
      </c>
      <c r="K1628" s="5">
        <f t="shared" si="278"/>
        <v>0</v>
      </c>
      <c r="L1628">
        <f t="shared" si="279"/>
        <v>53.4</v>
      </c>
      <c r="M1628">
        <f t="shared" si="280"/>
        <v>1</v>
      </c>
      <c r="N1628">
        <f t="shared" si="281"/>
        <v>0</v>
      </c>
    </row>
    <row r="1629" spans="4:14" x14ac:dyDescent="0.2">
      <c r="D1629">
        <f t="shared" si="283"/>
        <v>1606</v>
      </c>
      <c r="E1629" s="1">
        <f t="shared" si="284"/>
        <v>-186.46016172649874</v>
      </c>
      <c r="F1629" s="1">
        <f t="shared" si="285"/>
        <v>-187.03677509080273</v>
      </c>
      <c r="G1629" s="1">
        <f t="shared" si="282"/>
        <v>5.9014762690658928E-82</v>
      </c>
      <c r="H1629" s="1">
        <f t="shared" si="275"/>
        <v>6.1138045157836055E-83</v>
      </c>
      <c r="I1629">
        <f t="shared" si="276"/>
        <v>8</v>
      </c>
      <c r="J1629">
        <f t="shared" si="277"/>
        <v>1596</v>
      </c>
      <c r="K1629" s="5">
        <f t="shared" si="278"/>
        <v>0</v>
      </c>
      <c r="L1629">
        <f t="shared" si="279"/>
        <v>53.4</v>
      </c>
      <c r="M1629">
        <f t="shared" si="280"/>
        <v>1</v>
      </c>
      <c r="N1629">
        <f t="shared" si="281"/>
        <v>0</v>
      </c>
    </row>
    <row r="1630" spans="4:14" x14ac:dyDescent="0.2">
      <c r="D1630">
        <f t="shared" si="283"/>
        <v>1607</v>
      </c>
      <c r="E1630" s="1">
        <f t="shared" si="284"/>
        <v>-186.57669554275469</v>
      </c>
      <c r="F1630" s="1">
        <f t="shared" si="285"/>
        <v>-187.15330890705869</v>
      </c>
      <c r="G1630" s="1">
        <f t="shared" si="282"/>
        <v>5.252313879468641E-82</v>
      </c>
      <c r="H1630" s="1">
        <f t="shared" si="275"/>
        <v>5.4412860190474055E-83</v>
      </c>
      <c r="I1630">
        <f t="shared" si="276"/>
        <v>8</v>
      </c>
      <c r="J1630">
        <f t="shared" si="277"/>
        <v>1597</v>
      </c>
      <c r="K1630" s="5">
        <f t="shared" si="278"/>
        <v>0</v>
      </c>
      <c r="L1630">
        <f t="shared" si="279"/>
        <v>53.4</v>
      </c>
      <c r="M1630">
        <f t="shared" si="280"/>
        <v>1</v>
      </c>
      <c r="N1630">
        <f t="shared" si="281"/>
        <v>0</v>
      </c>
    </row>
    <row r="1631" spans="4:14" x14ac:dyDescent="0.2">
      <c r="D1631">
        <f t="shared" si="283"/>
        <v>1608</v>
      </c>
      <c r="E1631" s="1">
        <f t="shared" si="284"/>
        <v>-186.69322935901064</v>
      </c>
      <c r="F1631" s="1">
        <f t="shared" si="285"/>
        <v>-187.26984272331464</v>
      </c>
      <c r="G1631" s="1">
        <f t="shared" si="282"/>
        <v>4.6745593527270877E-82</v>
      </c>
      <c r="H1631" s="1">
        <f t="shared" si="275"/>
        <v>4.842744556952188E-83</v>
      </c>
      <c r="I1631">
        <f t="shared" si="276"/>
        <v>8</v>
      </c>
      <c r="J1631">
        <f t="shared" si="277"/>
        <v>1598</v>
      </c>
      <c r="K1631" s="5">
        <f t="shared" si="278"/>
        <v>0</v>
      </c>
      <c r="L1631">
        <f t="shared" si="279"/>
        <v>53.4</v>
      </c>
      <c r="M1631">
        <f t="shared" si="280"/>
        <v>1</v>
      </c>
      <c r="N1631">
        <f t="shared" si="281"/>
        <v>0</v>
      </c>
    </row>
    <row r="1632" spans="4:14" x14ac:dyDescent="0.2">
      <c r="D1632">
        <f t="shared" si="283"/>
        <v>1609</v>
      </c>
      <c r="E1632" s="1">
        <f t="shared" si="284"/>
        <v>-186.8097631752666</v>
      </c>
      <c r="F1632" s="1">
        <f t="shared" si="285"/>
        <v>-187.38637653957059</v>
      </c>
      <c r="G1632" s="1">
        <f t="shared" si="282"/>
        <v>4.1603578239271052E-82</v>
      </c>
      <c r="H1632" s="1">
        <f t="shared" si="275"/>
        <v>4.3100426556874446E-83</v>
      </c>
      <c r="I1632">
        <f t="shared" si="276"/>
        <v>8</v>
      </c>
      <c r="J1632">
        <f t="shared" si="277"/>
        <v>1599</v>
      </c>
      <c r="K1632" s="5">
        <f t="shared" si="278"/>
        <v>0</v>
      </c>
      <c r="L1632">
        <f t="shared" si="279"/>
        <v>53.4</v>
      </c>
      <c r="M1632">
        <f t="shared" si="280"/>
        <v>1</v>
      </c>
      <c r="N1632">
        <f t="shared" si="281"/>
        <v>0</v>
      </c>
    </row>
    <row r="1633" spans="4:14" x14ac:dyDescent="0.2">
      <c r="D1633">
        <f t="shared" si="283"/>
        <v>1610</v>
      </c>
      <c r="E1633" s="1">
        <f t="shared" si="284"/>
        <v>-186.92629699152255</v>
      </c>
      <c r="F1633" s="1">
        <f t="shared" si="285"/>
        <v>-187.50291035582654</v>
      </c>
      <c r="G1633" s="1">
        <f t="shared" si="282"/>
        <v>3.7027184632951215E-82</v>
      </c>
      <c r="H1633" s="1">
        <f t="shared" si="275"/>
        <v>3.8359379635618233E-83</v>
      </c>
      <c r="I1633">
        <f t="shared" si="276"/>
        <v>8</v>
      </c>
      <c r="J1633">
        <f t="shared" si="277"/>
        <v>1600</v>
      </c>
      <c r="K1633" s="5">
        <f t="shared" si="278"/>
        <v>0</v>
      </c>
      <c r="L1633">
        <f t="shared" si="279"/>
        <v>53.4</v>
      </c>
      <c r="M1633">
        <f t="shared" si="280"/>
        <v>1</v>
      </c>
      <c r="N1633">
        <f t="shared" si="281"/>
        <v>0</v>
      </c>
    </row>
    <row r="1634" spans="4:14" x14ac:dyDescent="0.2">
      <c r="D1634">
        <f t="shared" si="283"/>
        <v>1611</v>
      </c>
      <c r="E1634" s="1">
        <f t="shared" si="284"/>
        <v>-187.0428308077785</v>
      </c>
      <c r="F1634" s="1">
        <f t="shared" si="285"/>
        <v>-187.6194441720825</v>
      </c>
      <c r="G1634" s="1">
        <f t="shared" si="282"/>
        <v>3.2954194323326558E-82</v>
      </c>
      <c r="H1634" s="1">
        <f t="shared" si="275"/>
        <v>3.4139847875700203E-83</v>
      </c>
      <c r="I1634">
        <f t="shared" si="276"/>
        <v>8</v>
      </c>
      <c r="J1634">
        <f t="shared" si="277"/>
        <v>1601</v>
      </c>
      <c r="K1634" s="5">
        <f t="shared" si="278"/>
        <v>0</v>
      </c>
      <c r="L1634">
        <f t="shared" si="279"/>
        <v>53.4</v>
      </c>
      <c r="M1634">
        <f t="shared" si="280"/>
        <v>1</v>
      </c>
      <c r="N1634">
        <f t="shared" si="281"/>
        <v>0</v>
      </c>
    </row>
    <row r="1635" spans="4:14" x14ac:dyDescent="0.2">
      <c r="D1635">
        <f t="shared" si="283"/>
        <v>1612</v>
      </c>
      <c r="E1635" s="1">
        <f t="shared" si="284"/>
        <v>-187.15936462403445</v>
      </c>
      <c r="F1635" s="1">
        <f t="shared" si="285"/>
        <v>-187.73597798833845</v>
      </c>
      <c r="G1635" s="1">
        <f t="shared" si="282"/>
        <v>2.9329232947760619E-82</v>
      </c>
      <c r="H1635" s="1">
        <f t="shared" si="275"/>
        <v>3.0384464609373162E-83</v>
      </c>
      <c r="I1635">
        <f t="shared" si="276"/>
        <v>8</v>
      </c>
      <c r="J1635">
        <f t="shared" si="277"/>
        <v>1602</v>
      </c>
      <c r="K1635" s="5">
        <f t="shared" si="278"/>
        <v>0</v>
      </c>
      <c r="L1635">
        <f t="shared" si="279"/>
        <v>53.4</v>
      </c>
      <c r="M1635">
        <f t="shared" si="280"/>
        <v>1</v>
      </c>
      <c r="N1635">
        <f t="shared" si="281"/>
        <v>0</v>
      </c>
    </row>
    <row r="1636" spans="4:14" x14ac:dyDescent="0.2">
      <c r="D1636">
        <f t="shared" si="283"/>
        <v>1613</v>
      </c>
      <c r="E1636" s="1">
        <f t="shared" si="284"/>
        <v>-187.2758984402904</v>
      </c>
      <c r="F1636" s="1">
        <f t="shared" si="285"/>
        <v>-187.8525118045944</v>
      </c>
      <c r="G1636" s="1">
        <f t="shared" si="282"/>
        <v>2.6103017323506934E-82</v>
      </c>
      <c r="H1636" s="1">
        <f t="shared" si="275"/>
        <v>2.7042173502342097E-83</v>
      </c>
      <c r="I1636">
        <f t="shared" si="276"/>
        <v>8</v>
      </c>
      <c r="J1636">
        <f t="shared" si="277"/>
        <v>1603</v>
      </c>
      <c r="K1636" s="5">
        <f t="shared" si="278"/>
        <v>0</v>
      </c>
      <c r="L1636">
        <f t="shared" si="279"/>
        <v>53.4</v>
      </c>
      <c r="M1636">
        <f t="shared" si="280"/>
        <v>1</v>
      </c>
      <c r="N1636">
        <f t="shared" si="281"/>
        <v>0</v>
      </c>
    </row>
    <row r="1637" spans="4:14" x14ac:dyDescent="0.2">
      <c r="D1637">
        <f t="shared" si="283"/>
        <v>1614</v>
      </c>
      <c r="E1637" s="1">
        <f t="shared" si="284"/>
        <v>-187.39243225654636</v>
      </c>
      <c r="F1637" s="1">
        <f t="shared" si="285"/>
        <v>-187.96904562085035</v>
      </c>
      <c r="G1637" s="1">
        <f t="shared" si="282"/>
        <v>2.3231685417921158E-82</v>
      </c>
      <c r="H1637" s="1">
        <f t="shared" si="275"/>
        <v>2.4067534417084454E-83</v>
      </c>
      <c r="I1637">
        <f t="shared" si="276"/>
        <v>8</v>
      </c>
      <c r="J1637">
        <f t="shared" si="277"/>
        <v>1604</v>
      </c>
      <c r="K1637" s="5">
        <f t="shared" si="278"/>
        <v>0</v>
      </c>
      <c r="L1637">
        <f t="shared" si="279"/>
        <v>53.4</v>
      </c>
      <c r="M1637">
        <f t="shared" si="280"/>
        <v>1</v>
      </c>
      <c r="N1637">
        <f t="shared" si="281"/>
        <v>0</v>
      </c>
    </row>
    <row r="1638" spans="4:14" x14ac:dyDescent="0.2">
      <c r="D1638">
        <f t="shared" si="283"/>
        <v>1615</v>
      </c>
      <c r="E1638" s="1">
        <f t="shared" si="284"/>
        <v>-187.50896607280231</v>
      </c>
      <c r="F1638" s="1">
        <f t="shared" si="285"/>
        <v>-188.0855794371063</v>
      </c>
      <c r="G1638" s="1">
        <f t="shared" si="282"/>
        <v>2.0676200021949816E-82</v>
      </c>
      <c r="H1638" s="1">
        <f t="shared" si="275"/>
        <v>2.1420105631205148E-83</v>
      </c>
      <c r="I1638">
        <f t="shared" si="276"/>
        <v>8</v>
      </c>
      <c r="J1638">
        <f t="shared" si="277"/>
        <v>1605</v>
      </c>
      <c r="K1638" s="5">
        <f t="shared" si="278"/>
        <v>0</v>
      </c>
      <c r="L1638">
        <f t="shared" si="279"/>
        <v>53.4</v>
      </c>
      <c r="M1638">
        <f t="shared" si="280"/>
        <v>1</v>
      </c>
      <c r="N1638">
        <f t="shared" si="281"/>
        <v>0</v>
      </c>
    </row>
    <row r="1639" spans="4:14" x14ac:dyDescent="0.2">
      <c r="D1639">
        <f t="shared" si="283"/>
        <v>1616</v>
      </c>
      <c r="E1639" s="1">
        <f t="shared" si="284"/>
        <v>-187.62549988905826</v>
      </c>
      <c r="F1639" s="1">
        <f t="shared" si="285"/>
        <v>-188.20211325336226</v>
      </c>
      <c r="G1639" s="1">
        <f t="shared" si="282"/>
        <v>1.8401818019535325E-82</v>
      </c>
      <c r="H1639" s="1">
        <f t="shared" si="275"/>
        <v>1.9063894011772569E-83</v>
      </c>
      <c r="I1639">
        <f t="shared" si="276"/>
        <v>8</v>
      </c>
      <c r="J1639">
        <f t="shared" si="277"/>
        <v>1606</v>
      </c>
      <c r="K1639" s="5">
        <f t="shared" si="278"/>
        <v>0</v>
      </c>
      <c r="L1639">
        <f t="shared" si="279"/>
        <v>53.4</v>
      </c>
      <c r="M1639">
        <f t="shared" si="280"/>
        <v>1</v>
      </c>
      <c r="N1639">
        <f t="shared" si="281"/>
        <v>0</v>
      </c>
    </row>
    <row r="1640" spans="4:14" x14ac:dyDescent="0.2">
      <c r="D1640">
        <f t="shared" si="283"/>
        <v>1617</v>
      </c>
      <c r="E1640" s="1">
        <f t="shared" si="284"/>
        <v>-187.74203370531421</v>
      </c>
      <c r="F1640" s="1">
        <f t="shared" si="285"/>
        <v>-188.31864706961821</v>
      </c>
      <c r="G1640" s="1">
        <f t="shared" si="282"/>
        <v>1.6377618037386428E-82</v>
      </c>
      <c r="H1640" s="1">
        <f t="shared" si="275"/>
        <v>1.6966865670477575E-83</v>
      </c>
      <c r="I1640">
        <f t="shared" si="276"/>
        <v>8</v>
      </c>
      <c r="J1640">
        <f t="shared" si="277"/>
        <v>1607</v>
      </c>
      <c r="K1640" s="5">
        <f t="shared" si="278"/>
        <v>0</v>
      </c>
      <c r="L1640">
        <f t="shared" si="279"/>
        <v>53.4</v>
      </c>
      <c r="M1640">
        <f t="shared" si="280"/>
        <v>1</v>
      </c>
      <c r="N1640">
        <f t="shared" si="281"/>
        <v>0</v>
      </c>
    </row>
    <row r="1641" spans="4:14" x14ac:dyDescent="0.2">
      <c r="D1641">
        <f t="shared" si="283"/>
        <v>1618</v>
      </c>
      <c r="E1641" s="1">
        <f t="shared" si="284"/>
        <v>-187.85856752157017</v>
      </c>
      <c r="F1641" s="1">
        <f t="shared" si="285"/>
        <v>-188.43518088587416</v>
      </c>
      <c r="G1641" s="1">
        <f t="shared" si="282"/>
        <v>1.4576080053273912E-82</v>
      </c>
      <c r="H1641" s="1">
        <f t="shared" si="275"/>
        <v>1.5100510446725033E-83</v>
      </c>
      <c r="I1641">
        <f t="shared" si="276"/>
        <v>8</v>
      </c>
      <c r="J1641">
        <f t="shared" si="277"/>
        <v>1608</v>
      </c>
      <c r="K1641" s="5">
        <f t="shared" si="278"/>
        <v>0</v>
      </c>
      <c r="L1641">
        <f t="shared" si="279"/>
        <v>53.4</v>
      </c>
      <c r="M1641">
        <f t="shared" si="280"/>
        <v>1</v>
      </c>
      <c r="N1641">
        <f t="shared" si="281"/>
        <v>0</v>
      </c>
    </row>
    <row r="1642" spans="4:14" x14ac:dyDescent="0.2">
      <c r="D1642">
        <f t="shared" si="283"/>
        <v>1619</v>
      </c>
      <c r="E1642" s="1">
        <f t="shared" si="284"/>
        <v>-187.97510133782612</v>
      </c>
      <c r="F1642" s="1">
        <f t="shared" si="285"/>
        <v>-188.55171470213011</v>
      </c>
      <c r="G1642" s="1">
        <f t="shared" si="282"/>
        <v>1.2972711247413774E-82</v>
      </c>
      <c r="H1642" s="1">
        <f t="shared" si="275"/>
        <v>1.3439454297585271E-83</v>
      </c>
      <c r="I1642">
        <f t="shared" si="276"/>
        <v>8</v>
      </c>
      <c r="J1642">
        <f t="shared" si="277"/>
        <v>1609</v>
      </c>
      <c r="K1642" s="5">
        <f t="shared" si="278"/>
        <v>0</v>
      </c>
      <c r="L1642">
        <f t="shared" si="279"/>
        <v>53.4</v>
      </c>
      <c r="M1642">
        <f t="shared" si="280"/>
        <v>1</v>
      </c>
      <c r="N1642">
        <f t="shared" si="281"/>
        <v>0</v>
      </c>
    </row>
    <row r="1643" spans="4:14" x14ac:dyDescent="0.2">
      <c r="D1643">
        <f t="shared" si="283"/>
        <v>1620</v>
      </c>
      <c r="E1643" s="1">
        <f t="shared" si="284"/>
        <v>-188.09163515408207</v>
      </c>
      <c r="F1643" s="1">
        <f t="shared" si="285"/>
        <v>-188.66824851838606</v>
      </c>
      <c r="G1643" s="1">
        <f t="shared" si="282"/>
        <v>1.1545713010198252E-82</v>
      </c>
      <c r="H1643" s="1">
        <f t="shared" si="275"/>
        <v>1.1961114324850885E-83</v>
      </c>
      <c r="I1643">
        <f t="shared" si="276"/>
        <v>8</v>
      </c>
      <c r="J1643">
        <f t="shared" si="277"/>
        <v>1610</v>
      </c>
      <c r="K1643" s="5">
        <f t="shared" si="278"/>
        <v>0</v>
      </c>
      <c r="L1643">
        <f t="shared" si="279"/>
        <v>53.4</v>
      </c>
      <c r="M1643">
        <f t="shared" si="280"/>
        <v>1</v>
      </c>
      <c r="N1643">
        <f t="shared" si="281"/>
        <v>0</v>
      </c>
    </row>
    <row r="1644" spans="4:14" x14ac:dyDescent="0.2">
      <c r="D1644">
        <f t="shared" si="283"/>
        <v>1621</v>
      </c>
      <c r="E1644" s="1">
        <f t="shared" si="284"/>
        <v>-188.20816897033802</v>
      </c>
      <c r="F1644" s="1">
        <f t="shared" si="285"/>
        <v>-188.78478233464202</v>
      </c>
      <c r="G1644" s="1">
        <f t="shared" si="282"/>
        <v>1.0275684579076438E-82</v>
      </c>
      <c r="H1644" s="1">
        <f t="shared" si="275"/>
        <v>1.0645391749117279E-83</v>
      </c>
      <c r="I1644">
        <f t="shared" si="276"/>
        <v>8</v>
      </c>
      <c r="J1644">
        <f t="shared" si="277"/>
        <v>1611</v>
      </c>
      <c r="K1644" s="5">
        <f t="shared" si="278"/>
        <v>0</v>
      </c>
      <c r="L1644">
        <f t="shared" si="279"/>
        <v>53.4</v>
      </c>
      <c r="M1644">
        <f t="shared" si="280"/>
        <v>1</v>
      </c>
      <c r="N1644">
        <f t="shared" si="281"/>
        <v>0</v>
      </c>
    </row>
    <row r="1645" spans="4:14" x14ac:dyDescent="0.2">
      <c r="D1645">
        <f t="shared" si="283"/>
        <v>1622</v>
      </c>
      <c r="E1645" s="1">
        <f t="shared" si="284"/>
        <v>-188.32470278659397</v>
      </c>
      <c r="F1645" s="1">
        <f t="shared" si="285"/>
        <v>-188.90131615089797</v>
      </c>
      <c r="G1645" s="1">
        <f t="shared" si="282"/>
        <v>9.1453592753780234E-83</v>
      </c>
      <c r="H1645" s="1">
        <f t="shared" si="275"/>
        <v>9.4743986567143735E-84</v>
      </c>
      <c r="I1645">
        <f t="shared" si="276"/>
        <v>8</v>
      </c>
      <c r="J1645">
        <f t="shared" si="277"/>
        <v>1612</v>
      </c>
      <c r="K1645" s="5">
        <f t="shared" si="278"/>
        <v>0</v>
      </c>
      <c r="L1645">
        <f t="shared" si="279"/>
        <v>53.4</v>
      </c>
      <c r="M1645">
        <f t="shared" si="280"/>
        <v>1</v>
      </c>
      <c r="N1645">
        <f t="shared" si="281"/>
        <v>0</v>
      </c>
    </row>
    <row r="1646" spans="4:14" x14ac:dyDescent="0.2">
      <c r="D1646">
        <f t="shared" si="283"/>
        <v>1623</v>
      </c>
      <c r="E1646" s="1">
        <f t="shared" si="284"/>
        <v>-188.44123660284993</v>
      </c>
      <c r="F1646" s="1">
        <f t="shared" si="285"/>
        <v>-189.01784996715392</v>
      </c>
      <c r="G1646" s="1">
        <f t="shared" si="282"/>
        <v>8.1393697550864365E-83</v>
      </c>
      <c r="H1646" s="1">
        <f t="shared" si="275"/>
        <v>8.4322148044757869E-84</v>
      </c>
      <c r="I1646">
        <f t="shared" si="276"/>
        <v>8</v>
      </c>
      <c r="J1646">
        <f t="shared" si="277"/>
        <v>1613</v>
      </c>
      <c r="K1646" s="5">
        <f t="shared" si="278"/>
        <v>0</v>
      </c>
      <c r="L1646">
        <f t="shared" si="279"/>
        <v>53.4</v>
      </c>
      <c r="M1646">
        <f t="shared" si="280"/>
        <v>1</v>
      </c>
      <c r="N1646">
        <f t="shared" si="281"/>
        <v>0</v>
      </c>
    </row>
    <row r="1647" spans="4:14" x14ac:dyDescent="0.2">
      <c r="D1647">
        <f t="shared" si="283"/>
        <v>1624</v>
      </c>
      <c r="E1647" s="1">
        <f t="shared" si="284"/>
        <v>-188.55777041910588</v>
      </c>
      <c r="F1647" s="1">
        <f t="shared" si="285"/>
        <v>-189.13438378340987</v>
      </c>
      <c r="G1647" s="1">
        <f t="shared" si="282"/>
        <v>7.2440390820269235E-83</v>
      </c>
      <c r="H1647" s="1">
        <f t="shared" si="275"/>
        <v>7.5046711759834457E-84</v>
      </c>
      <c r="I1647">
        <f t="shared" si="276"/>
        <v>8</v>
      </c>
      <c r="J1647">
        <f t="shared" si="277"/>
        <v>1614</v>
      </c>
      <c r="K1647" s="5">
        <f t="shared" si="278"/>
        <v>0</v>
      </c>
      <c r="L1647">
        <f t="shared" si="279"/>
        <v>53.4</v>
      </c>
      <c r="M1647">
        <f t="shared" si="280"/>
        <v>1</v>
      </c>
      <c r="N1647">
        <f t="shared" si="281"/>
        <v>0</v>
      </c>
    </row>
    <row r="1648" spans="4:14" x14ac:dyDescent="0.2">
      <c r="D1648">
        <f t="shared" si="283"/>
        <v>1625</v>
      </c>
      <c r="E1648" s="1">
        <f t="shared" si="284"/>
        <v>-188.67430423536183</v>
      </c>
      <c r="F1648" s="1">
        <f t="shared" si="285"/>
        <v>-189.25091759966583</v>
      </c>
      <c r="G1648" s="1">
        <f t="shared" si="282"/>
        <v>6.4471947830039574E-83</v>
      </c>
      <c r="H1648" s="1">
        <f t="shared" si="275"/>
        <v>6.6791573466252624E-84</v>
      </c>
      <c r="I1648">
        <f t="shared" si="276"/>
        <v>8</v>
      </c>
      <c r="J1648">
        <f t="shared" si="277"/>
        <v>1615</v>
      </c>
      <c r="K1648" s="5">
        <f t="shared" si="278"/>
        <v>0</v>
      </c>
      <c r="L1648">
        <f t="shared" si="279"/>
        <v>53.4</v>
      </c>
      <c r="M1648">
        <f t="shared" si="280"/>
        <v>1</v>
      </c>
      <c r="N1648">
        <f t="shared" si="281"/>
        <v>0</v>
      </c>
    </row>
    <row r="1649" spans="4:14" x14ac:dyDescent="0.2">
      <c r="D1649">
        <f t="shared" si="283"/>
        <v>1626</v>
      </c>
      <c r="E1649" s="1">
        <f t="shared" si="284"/>
        <v>-188.79083805161778</v>
      </c>
      <c r="F1649" s="1">
        <f t="shared" si="285"/>
        <v>-189.36745141592178</v>
      </c>
      <c r="G1649" s="1">
        <f t="shared" si="282"/>
        <v>5.7380033568735191E-83</v>
      </c>
      <c r="H1649" s="1">
        <f t="shared" si="275"/>
        <v>5.9444500384964805E-84</v>
      </c>
      <c r="I1649">
        <f t="shared" si="276"/>
        <v>8</v>
      </c>
      <c r="J1649">
        <f t="shared" si="277"/>
        <v>1616</v>
      </c>
      <c r="K1649" s="5">
        <f t="shared" si="278"/>
        <v>0</v>
      </c>
      <c r="L1649">
        <f t="shared" si="279"/>
        <v>53.4</v>
      </c>
      <c r="M1649">
        <f t="shared" si="280"/>
        <v>1</v>
      </c>
      <c r="N1649">
        <f t="shared" si="281"/>
        <v>0</v>
      </c>
    </row>
    <row r="1650" spans="4:14" x14ac:dyDescent="0.2">
      <c r="D1650">
        <f t="shared" si="283"/>
        <v>1627</v>
      </c>
      <c r="E1650" s="1">
        <f t="shared" si="284"/>
        <v>-188.90737186787374</v>
      </c>
      <c r="F1650" s="1">
        <f t="shared" si="285"/>
        <v>-189.48398523217773</v>
      </c>
      <c r="G1650" s="1">
        <f t="shared" si="282"/>
        <v>5.1068229876174283E-83</v>
      </c>
      <c r="H1650" s="1">
        <f t="shared" si="275"/>
        <v>5.2905605342618636E-84</v>
      </c>
      <c r="I1650">
        <f t="shared" si="276"/>
        <v>8</v>
      </c>
      <c r="J1650">
        <f t="shared" si="277"/>
        <v>1617</v>
      </c>
      <c r="K1650" s="5">
        <f t="shared" si="278"/>
        <v>0</v>
      </c>
      <c r="L1650">
        <f t="shared" si="279"/>
        <v>53.4</v>
      </c>
      <c r="M1650">
        <f t="shared" si="280"/>
        <v>1</v>
      </c>
      <c r="N1650">
        <f t="shared" si="281"/>
        <v>0</v>
      </c>
    </row>
    <row r="1651" spans="4:14" x14ac:dyDescent="0.2">
      <c r="D1651">
        <f t="shared" si="283"/>
        <v>1628</v>
      </c>
      <c r="E1651" s="1">
        <f t="shared" si="284"/>
        <v>-189.02390568412969</v>
      </c>
      <c r="F1651" s="1">
        <f t="shared" si="285"/>
        <v>-189.60051904843368</v>
      </c>
      <c r="G1651" s="1">
        <f t="shared" si="282"/>
        <v>4.545072458979508E-83</v>
      </c>
      <c r="H1651" s="1">
        <f t="shared" si="275"/>
        <v>4.7085988754930552E-84</v>
      </c>
      <c r="I1651">
        <f t="shared" si="276"/>
        <v>8</v>
      </c>
      <c r="J1651">
        <f t="shared" si="277"/>
        <v>1618</v>
      </c>
      <c r="K1651" s="5">
        <f t="shared" si="278"/>
        <v>0</v>
      </c>
      <c r="L1651">
        <f t="shared" si="279"/>
        <v>53.4</v>
      </c>
      <c r="M1651">
        <f t="shared" si="280"/>
        <v>1</v>
      </c>
      <c r="N1651">
        <f t="shared" si="281"/>
        <v>0</v>
      </c>
    </row>
    <row r="1652" spans="4:14" x14ac:dyDescent="0.2">
      <c r="D1652">
        <f t="shared" si="283"/>
        <v>1629</v>
      </c>
      <c r="E1652" s="1">
        <f t="shared" si="284"/>
        <v>-189.14043950038564</v>
      </c>
      <c r="F1652" s="1">
        <f t="shared" si="285"/>
        <v>-189.71705286468963</v>
      </c>
      <c r="G1652" s="1">
        <f t="shared" si="282"/>
        <v>4.0451144884917597E-83</v>
      </c>
      <c r="H1652" s="1">
        <f t="shared" si="275"/>
        <v>4.1906529991888167E-84</v>
      </c>
      <c r="I1652">
        <f t="shared" si="276"/>
        <v>8</v>
      </c>
      <c r="J1652">
        <f t="shared" si="277"/>
        <v>1619</v>
      </c>
      <c r="K1652" s="5">
        <f t="shared" si="278"/>
        <v>0</v>
      </c>
      <c r="L1652">
        <f t="shared" si="279"/>
        <v>53.4</v>
      </c>
      <c r="M1652">
        <f t="shared" si="280"/>
        <v>1</v>
      </c>
      <c r="N1652">
        <f t="shared" si="281"/>
        <v>0</v>
      </c>
    </row>
    <row r="1653" spans="4:14" x14ac:dyDescent="0.2">
      <c r="D1653">
        <f t="shared" si="283"/>
        <v>1630</v>
      </c>
      <c r="E1653" s="1">
        <f t="shared" si="284"/>
        <v>-189.25697331664159</v>
      </c>
      <c r="F1653" s="1">
        <f t="shared" si="285"/>
        <v>-189.83358668094559</v>
      </c>
      <c r="G1653" s="1">
        <f t="shared" si="282"/>
        <v>3.6001518947576644E-83</v>
      </c>
      <c r="H1653" s="1">
        <f t="shared" si="275"/>
        <v>3.7296811692780449E-84</v>
      </c>
      <c r="I1653">
        <f t="shared" si="276"/>
        <v>8</v>
      </c>
      <c r="J1653">
        <f t="shared" si="277"/>
        <v>1620</v>
      </c>
      <c r="K1653" s="5">
        <f t="shared" si="278"/>
        <v>0</v>
      </c>
      <c r="L1653">
        <f t="shared" si="279"/>
        <v>53.4</v>
      </c>
      <c r="M1653">
        <f t="shared" si="280"/>
        <v>1</v>
      </c>
      <c r="N1653">
        <f t="shared" si="281"/>
        <v>0</v>
      </c>
    </row>
    <row r="1654" spans="4:14" x14ac:dyDescent="0.2">
      <c r="D1654">
        <f t="shared" si="283"/>
        <v>1631</v>
      </c>
      <c r="E1654" s="1">
        <f t="shared" si="284"/>
        <v>-189.37350713289754</v>
      </c>
      <c r="F1654" s="1">
        <f t="shared" si="285"/>
        <v>-189.95012049720154</v>
      </c>
      <c r="G1654" s="1">
        <f t="shared" si="282"/>
        <v>3.2041351863343191E-83</v>
      </c>
      <c r="H1654" s="1">
        <f t="shared" si="275"/>
        <v>3.3194162406574577E-84</v>
      </c>
      <c r="I1654">
        <f t="shared" si="276"/>
        <v>8</v>
      </c>
      <c r="J1654">
        <f t="shared" si="277"/>
        <v>1621</v>
      </c>
      <c r="K1654" s="5">
        <f t="shared" si="278"/>
        <v>0</v>
      </c>
      <c r="L1654">
        <f t="shared" si="279"/>
        <v>53.4</v>
      </c>
      <c r="M1654">
        <f t="shared" si="280"/>
        <v>1</v>
      </c>
      <c r="N1654">
        <f t="shared" si="281"/>
        <v>0</v>
      </c>
    </row>
    <row r="1655" spans="4:14" x14ac:dyDescent="0.2">
      <c r="D1655">
        <f t="shared" si="283"/>
        <v>1632</v>
      </c>
      <c r="E1655" s="1">
        <f t="shared" si="284"/>
        <v>-189.4900409491535</v>
      </c>
      <c r="F1655" s="1">
        <f t="shared" si="285"/>
        <v>-190.06665431345749</v>
      </c>
      <c r="G1655" s="1">
        <f t="shared" si="282"/>
        <v>2.851680315837542E-83</v>
      </c>
      <c r="H1655" s="1">
        <f t="shared" si="275"/>
        <v>2.9542804541851354E-84</v>
      </c>
      <c r="I1655">
        <f t="shared" si="276"/>
        <v>8</v>
      </c>
      <c r="J1655">
        <f t="shared" si="277"/>
        <v>1622</v>
      </c>
      <c r="K1655" s="5">
        <f t="shared" si="278"/>
        <v>0</v>
      </c>
      <c r="L1655">
        <f t="shared" si="279"/>
        <v>53.4</v>
      </c>
      <c r="M1655">
        <f t="shared" si="280"/>
        <v>1</v>
      </c>
      <c r="N1655">
        <f t="shared" si="281"/>
        <v>0</v>
      </c>
    </row>
    <row r="1656" spans="4:14" x14ac:dyDescent="0.2">
      <c r="D1656">
        <f t="shared" si="283"/>
        <v>1633</v>
      </c>
      <c r="E1656" s="1">
        <f t="shared" si="284"/>
        <v>-189.60657476540945</v>
      </c>
      <c r="F1656" s="1">
        <f t="shared" si="285"/>
        <v>-190.18318812971344</v>
      </c>
      <c r="G1656" s="1">
        <f t="shared" si="282"/>
        <v>2.5379954810954108E-83</v>
      </c>
      <c r="H1656" s="1">
        <f t="shared" si="275"/>
        <v>2.6293096042247689E-84</v>
      </c>
      <c r="I1656">
        <f t="shared" si="276"/>
        <v>8</v>
      </c>
      <c r="J1656">
        <f t="shared" si="277"/>
        <v>1623</v>
      </c>
      <c r="K1656" s="5">
        <f t="shared" si="278"/>
        <v>0</v>
      </c>
      <c r="L1656">
        <f t="shared" si="279"/>
        <v>53.4</v>
      </c>
      <c r="M1656">
        <f t="shared" si="280"/>
        <v>1</v>
      </c>
      <c r="N1656">
        <f t="shared" si="281"/>
        <v>0</v>
      </c>
    </row>
    <row r="1657" spans="4:14" x14ac:dyDescent="0.2">
      <c r="D1657">
        <f t="shared" si="283"/>
        <v>1634</v>
      </c>
      <c r="E1657" s="1">
        <f t="shared" si="284"/>
        <v>-189.7231085816654</v>
      </c>
      <c r="F1657" s="1">
        <f t="shared" si="285"/>
        <v>-190.2997219459694</v>
      </c>
      <c r="G1657" s="1">
        <f t="shared" si="282"/>
        <v>2.2588159781749144E-83</v>
      </c>
      <c r="H1657" s="1">
        <f t="shared" si="275"/>
        <v>2.3400855477600428E-84</v>
      </c>
      <c r="I1657">
        <f t="shared" si="276"/>
        <v>8</v>
      </c>
      <c r="J1657">
        <f t="shared" si="277"/>
        <v>1624</v>
      </c>
      <c r="K1657" s="5">
        <f t="shared" si="278"/>
        <v>0</v>
      </c>
      <c r="L1657">
        <f t="shared" si="279"/>
        <v>53.4</v>
      </c>
      <c r="M1657">
        <f t="shared" si="280"/>
        <v>1</v>
      </c>
      <c r="N1657">
        <f t="shared" si="281"/>
        <v>0</v>
      </c>
    </row>
    <row r="1658" spans="4:14" x14ac:dyDescent="0.2">
      <c r="D1658">
        <f t="shared" si="283"/>
        <v>1635</v>
      </c>
      <c r="E1658" s="1">
        <f t="shared" si="284"/>
        <v>-189.83964239792135</v>
      </c>
      <c r="F1658" s="1">
        <f t="shared" si="285"/>
        <v>-190.41625576222535</v>
      </c>
      <c r="G1658" s="1">
        <f t="shared" si="282"/>
        <v>2.0103462205756723E-83</v>
      </c>
      <c r="H1658" s="1">
        <f t="shared" si="275"/>
        <v>2.0826761375064365E-84</v>
      </c>
      <c r="I1658">
        <f t="shared" si="276"/>
        <v>8</v>
      </c>
      <c r="J1658">
        <f t="shared" si="277"/>
        <v>1625</v>
      </c>
      <c r="K1658" s="5">
        <f t="shared" si="278"/>
        <v>0</v>
      </c>
      <c r="L1658">
        <f t="shared" si="279"/>
        <v>53.4</v>
      </c>
      <c r="M1658">
        <f t="shared" si="280"/>
        <v>1</v>
      </c>
      <c r="N1658">
        <f t="shared" si="281"/>
        <v>0</v>
      </c>
    </row>
    <row r="1659" spans="4:14" x14ac:dyDescent="0.2">
      <c r="D1659">
        <f t="shared" si="283"/>
        <v>1636</v>
      </c>
      <c r="E1659" s="1">
        <f t="shared" si="284"/>
        <v>-189.9561762141773</v>
      </c>
      <c r="F1659" s="1">
        <f t="shared" si="285"/>
        <v>-190.5327895784813</v>
      </c>
      <c r="G1659" s="1">
        <f t="shared" si="282"/>
        <v>1.7892081363123475E-83</v>
      </c>
      <c r="H1659" s="1">
        <f t="shared" si="275"/>
        <v>1.8535817623807278E-84</v>
      </c>
      <c r="I1659">
        <f t="shared" si="276"/>
        <v>8</v>
      </c>
      <c r="J1659">
        <f t="shared" si="277"/>
        <v>1626</v>
      </c>
      <c r="K1659" s="5">
        <f t="shared" si="278"/>
        <v>0</v>
      </c>
      <c r="L1659">
        <f t="shared" si="279"/>
        <v>53.4</v>
      </c>
      <c r="M1659">
        <f t="shared" si="280"/>
        <v>1</v>
      </c>
      <c r="N1659">
        <f t="shared" si="281"/>
        <v>0</v>
      </c>
    </row>
    <row r="1660" spans="4:14" x14ac:dyDescent="0.2">
      <c r="D1660">
        <f t="shared" si="283"/>
        <v>1637</v>
      </c>
      <c r="E1660" s="1">
        <f t="shared" si="284"/>
        <v>-190.07271003043326</v>
      </c>
      <c r="F1660" s="1">
        <f t="shared" si="285"/>
        <v>-190.64932339473725</v>
      </c>
      <c r="G1660" s="1">
        <f t="shared" si="282"/>
        <v>1.5923952413179882E-83</v>
      </c>
      <c r="H1660" s="1">
        <f t="shared" si="275"/>
        <v>1.6496877685188465E-84</v>
      </c>
      <c r="I1660">
        <f t="shared" si="276"/>
        <v>8</v>
      </c>
      <c r="J1660">
        <f t="shared" si="277"/>
        <v>1627</v>
      </c>
      <c r="K1660" s="5">
        <f t="shared" si="278"/>
        <v>0</v>
      </c>
      <c r="L1660">
        <f t="shared" si="279"/>
        <v>53.4</v>
      </c>
      <c r="M1660">
        <f t="shared" si="280"/>
        <v>1</v>
      </c>
      <c r="N1660">
        <f t="shared" si="281"/>
        <v>0</v>
      </c>
    </row>
    <row r="1661" spans="4:14" x14ac:dyDescent="0.2">
      <c r="D1661">
        <f t="shared" si="283"/>
        <v>1638</v>
      </c>
      <c r="E1661" s="1">
        <f t="shared" si="284"/>
        <v>-190.18924384668921</v>
      </c>
      <c r="F1661" s="1">
        <f t="shared" si="285"/>
        <v>-190.7658572109932</v>
      </c>
      <c r="G1661" s="1">
        <f t="shared" si="282"/>
        <v>1.4172317647730085E-83</v>
      </c>
      <c r="H1661" s="1">
        <f t="shared" si="275"/>
        <v>1.4682221139817726E-84</v>
      </c>
      <c r="I1661">
        <f t="shared" si="276"/>
        <v>8</v>
      </c>
      <c r="J1661">
        <f t="shared" si="277"/>
        <v>1628</v>
      </c>
      <c r="K1661" s="5">
        <f t="shared" si="278"/>
        <v>0</v>
      </c>
      <c r="L1661">
        <f t="shared" si="279"/>
        <v>53.4</v>
      </c>
      <c r="M1661">
        <f t="shared" si="280"/>
        <v>1</v>
      </c>
      <c r="N1661">
        <f t="shared" si="281"/>
        <v>0</v>
      </c>
    </row>
    <row r="1662" spans="4:14" x14ac:dyDescent="0.2">
      <c r="D1662">
        <f t="shared" si="283"/>
        <v>1639</v>
      </c>
      <c r="E1662" s="1">
        <f t="shared" si="284"/>
        <v>-190.30577766294516</v>
      </c>
      <c r="F1662" s="1">
        <f t="shared" si="285"/>
        <v>-190.88239102724916</v>
      </c>
      <c r="G1662" s="1">
        <f t="shared" si="282"/>
        <v>1.2613362706479767E-83</v>
      </c>
      <c r="H1662" s="1">
        <f t="shared" si="275"/>
        <v>1.3067176814437767E-84</v>
      </c>
      <c r="I1662">
        <f t="shared" si="276"/>
        <v>8</v>
      </c>
      <c r="J1662">
        <f t="shared" si="277"/>
        <v>1629</v>
      </c>
      <c r="K1662" s="5">
        <f t="shared" si="278"/>
        <v>0</v>
      </c>
      <c r="L1662">
        <f t="shared" si="279"/>
        <v>53.4</v>
      </c>
      <c r="M1662">
        <f t="shared" si="280"/>
        <v>1</v>
      </c>
      <c r="N1662">
        <f t="shared" si="281"/>
        <v>0</v>
      </c>
    </row>
    <row r="1663" spans="4:14" x14ac:dyDescent="0.2">
      <c r="D1663">
        <f t="shared" si="283"/>
        <v>1640</v>
      </c>
      <c r="E1663" s="1">
        <f t="shared" si="284"/>
        <v>-190.42231147920111</v>
      </c>
      <c r="F1663" s="1">
        <f t="shared" si="285"/>
        <v>-190.99892484350511</v>
      </c>
      <c r="G1663" s="1">
        <f t="shared" si="282"/>
        <v>1.1225892808766986E-83</v>
      </c>
      <c r="H1663" s="1">
        <f t="shared" si="275"/>
        <v>1.1629787364849604E-84</v>
      </c>
      <c r="I1663">
        <f t="shared" si="276"/>
        <v>8</v>
      </c>
      <c r="J1663">
        <f t="shared" si="277"/>
        <v>1630</v>
      </c>
      <c r="K1663" s="5">
        <f t="shared" si="278"/>
        <v>0</v>
      </c>
      <c r="L1663">
        <f t="shared" si="279"/>
        <v>53.4</v>
      </c>
      <c r="M1663">
        <f t="shared" si="280"/>
        <v>1</v>
      </c>
      <c r="N1663">
        <f t="shared" si="281"/>
        <v>0</v>
      </c>
    </row>
    <row r="1664" spans="4:14" x14ac:dyDescent="0.2">
      <c r="D1664">
        <f t="shared" si="283"/>
        <v>1641</v>
      </c>
      <c r="E1664" s="1">
        <f t="shared" si="284"/>
        <v>-190.53884529545707</v>
      </c>
      <c r="F1664" s="1">
        <f t="shared" si="285"/>
        <v>-191.11545865976106</v>
      </c>
      <c r="G1664" s="1">
        <f t="shared" si="282"/>
        <v>9.9910445998026118E-84</v>
      </c>
      <c r="H1664" s="1">
        <f t="shared" si="275"/>
        <v>1.0350510754716141E-84</v>
      </c>
      <c r="I1664">
        <f t="shared" si="276"/>
        <v>8</v>
      </c>
      <c r="J1664">
        <f t="shared" si="277"/>
        <v>1631</v>
      </c>
      <c r="K1664" s="5">
        <f t="shared" si="278"/>
        <v>0</v>
      </c>
      <c r="L1664">
        <f t="shared" si="279"/>
        <v>53.4</v>
      </c>
      <c r="M1664">
        <f t="shared" si="280"/>
        <v>1</v>
      </c>
      <c r="N1664">
        <f t="shared" si="281"/>
        <v>0</v>
      </c>
    </row>
    <row r="1665" spans="4:14" x14ac:dyDescent="0.2">
      <c r="D1665">
        <f t="shared" si="283"/>
        <v>1642</v>
      </c>
      <c r="E1665" s="1">
        <f t="shared" si="284"/>
        <v>-190.65537911171302</v>
      </c>
      <c r="F1665" s="1">
        <f t="shared" si="285"/>
        <v>-191.23199247601701</v>
      </c>
      <c r="G1665" s="1">
        <f t="shared" si="282"/>
        <v>8.8920296938243184E-84</v>
      </c>
      <c r="H1665" s="1">
        <f t="shared" si="275"/>
        <v>9.2119545716973596E-85</v>
      </c>
      <c r="I1665">
        <f t="shared" si="276"/>
        <v>8</v>
      </c>
      <c r="J1665">
        <f t="shared" si="277"/>
        <v>1632</v>
      </c>
      <c r="K1665" s="5">
        <f t="shared" si="278"/>
        <v>0</v>
      </c>
      <c r="L1665">
        <f t="shared" si="279"/>
        <v>53.4</v>
      </c>
      <c r="M1665">
        <f t="shared" si="280"/>
        <v>1</v>
      </c>
      <c r="N1665">
        <f t="shared" si="281"/>
        <v>0</v>
      </c>
    </row>
    <row r="1666" spans="4:14" x14ac:dyDescent="0.2">
      <c r="D1666">
        <f t="shared" si="283"/>
        <v>1643</v>
      </c>
      <c r="E1666" s="1">
        <f t="shared" si="284"/>
        <v>-190.77191292796897</v>
      </c>
      <c r="F1666" s="1">
        <f t="shared" si="285"/>
        <v>-191.34852629227296</v>
      </c>
      <c r="G1666" s="1">
        <f t="shared" si="282"/>
        <v>7.9139064275036385E-84</v>
      </c>
      <c r="H1666" s="1">
        <f t="shared" si="275"/>
        <v>8.1986395688106456E-85</v>
      </c>
      <c r="I1666">
        <f t="shared" si="276"/>
        <v>8</v>
      </c>
      <c r="J1666">
        <f t="shared" si="277"/>
        <v>1633</v>
      </c>
      <c r="K1666" s="5">
        <f t="shared" si="278"/>
        <v>0</v>
      </c>
      <c r="L1666">
        <f t="shared" si="279"/>
        <v>53.4</v>
      </c>
      <c r="M1666">
        <f t="shared" si="280"/>
        <v>1</v>
      </c>
      <c r="N1666">
        <f t="shared" si="281"/>
        <v>0</v>
      </c>
    </row>
    <row r="1667" spans="4:14" x14ac:dyDescent="0.2">
      <c r="D1667">
        <f t="shared" si="283"/>
        <v>1644</v>
      </c>
      <c r="E1667" s="1">
        <f t="shared" si="284"/>
        <v>-190.88844674422492</v>
      </c>
      <c r="F1667" s="1">
        <f t="shared" si="285"/>
        <v>-191.46506010852892</v>
      </c>
      <c r="G1667" s="1">
        <f t="shared" si="282"/>
        <v>7.0433767204782336E-84</v>
      </c>
      <c r="H1667" s="1">
        <f t="shared" si="275"/>
        <v>7.2967892162414696E-85</v>
      </c>
      <c r="I1667">
        <f t="shared" si="276"/>
        <v>8</v>
      </c>
      <c r="J1667">
        <f t="shared" si="277"/>
        <v>1634</v>
      </c>
      <c r="K1667" s="5">
        <f t="shared" si="278"/>
        <v>0</v>
      </c>
      <c r="L1667">
        <f t="shared" si="279"/>
        <v>53.4</v>
      </c>
      <c r="M1667">
        <f t="shared" si="280"/>
        <v>1</v>
      </c>
      <c r="N1667">
        <f t="shared" si="281"/>
        <v>0</v>
      </c>
    </row>
    <row r="1668" spans="4:14" x14ac:dyDescent="0.2">
      <c r="D1668">
        <f t="shared" si="283"/>
        <v>1645</v>
      </c>
      <c r="E1668" s="1">
        <f t="shared" si="284"/>
        <v>-191.00498056048087</v>
      </c>
      <c r="F1668" s="1">
        <f t="shared" si="285"/>
        <v>-191.58159392478487</v>
      </c>
      <c r="G1668" s="1">
        <f t="shared" si="282"/>
        <v>6.2686052812256238E-84</v>
      </c>
      <c r="H1668" s="1">
        <f t="shared" si="275"/>
        <v>6.4941424024549033E-85</v>
      </c>
      <c r="I1668">
        <f t="shared" si="276"/>
        <v>8</v>
      </c>
      <c r="J1668">
        <f t="shared" si="277"/>
        <v>1635</v>
      </c>
      <c r="K1668" s="5">
        <f t="shared" si="278"/>
        <v>0</v>
      </c>
      <c r="L1668">
        <f t="shared" si="279"/>
        <v>53.4</v>
      </c>
      <c r="M1668">
        <f t="shared" si="280"/>
        <v>1</v>
      </c>
      <c r="N1668">
        <f t="shared" si="281"/>
        <v>0</v>
      </c>
    </row>
    <row r="1669" spans="4:14" x14ac:dyDescent="0.2">
      <c r="D1669">
        <f t="shared" si="283"/>
        <v>1646</v>
      </c>
      <c r="E1669" s="1">
        <f t="shared" si="284"/>
        <v>-191.12151437673683</v>
      </c>
      <c r="F1669" s="1">
        <f t="shared" si="285"/>
        <v>-191.69812774104082</v>
      </c>
      <c r="G1669" s="1">
        <f t="shared" si="282"/>
        <v>5.5790587002908024E-84</v>
      </c>
      <c r="H1669" s="1">
        <f t="shared" si="275"/>
        <v>5.779786738184861E-85</v>
      </c>
      <c r="I1669">
        <f t="shared" si="276"/>
        <v>8</v>
      </c>
      <c r="J1669">
        <f t="shared" si="277"/>
        <v>1636</v>
      </c>
      <c r="K1669" s="5">
        <f t="shared" si="278"/>
        <v>0</v>
      </c>
      <c r="L1669">
        <f t="shared" si="279"/>
        <v>53.4</v>
      </c>
      <c r="M1669">
        <f t="shared" si="280"/>
        <v>1</v>
      </c>
      <c r="N1669">
        <f t="shared" si="281"/>
        <v>0</v>
      </c>
    </row>
    <row r="1670" spans="4:14" x14ac:dyDescent="0.2">
      <c r="D1670">
        <f t="shared" si="283"/>
        <v>1647</v>
      </c>
      <c r="E1670" s="1">
        <f t="shared" si="284"/>
        <v>-191.23804819299278</v>
      </c>
      <c r="F1670" s="1">
        <f t="shared" si="285"/>
        <v>-191.81466155729677</v>
      </c>
      <c r="G1670" s="1">
        <f t="shared" si="282"/>
        <v>4.9653622432588109E-84</v>
      </c>
      <c r="H1670" s="1">
        <f t="shared" si="275"/>
        <v>5.1440101969845233E-85</v>
      </c>
      <c r="I1670">
        <f t="shared" si="276"/>
        <v>8</v>
      </c>
      <c r="J1670">
        <f t="shared" si="277"/>
        <v>1637</v>
      </c>
      <c r="K1670" s="5">
        <f t="shared" si="278"/>
        <v>0</v>
      </c>
      <c r="L1670">
        <f t="shared" si="279"/>
        <v>53.4</v>
      </c>
      <c r="M1670">
        <f t="shared" si="280"/>
        <v>1</v>
      </c>
      <c r="N1670">
        <f t="shared" si="281"/>
        <v>0</v>
      </c>
    </row>
    <row r="1671" spans="4:14" x14ac:dyDescent="0.2">
      <c r="D1671">
        <f t="shared" si="283"/>
        <v>1648</v>
      </c>
      <c r="E1671" s="1">
        <f t="shared" si="284"/>
        <v>-191.35458200924873</v>
      </c>
      <c r="F1671" s="1">
        <f t="shared" si="285"/>
        <v>-191.93119537355273</v>
      </c>
      <c r="G1671" s="1">
        <f t="shared" si="282"/>
        <v>4.4191723965003389E-84</v>
      </c>
      <c r="H1671" s="1">
        <f t="shared" si="275"/>
        <v>4.5781690753162229E-85</v>
      </c>
      <c r="I1671">
        <f t="shared" si="276"/>
        <v>8</v>
      </c>
      <c r="J1671">
        <f t="shared" si="277"/>
        <v>1638</v>
      </c>
      <c r="K1671" s="5">
        <f t="shared" si="278"/>
        <v>0</v>
      </c>
      <c r="L1671">
        <f t="shared" si="279"/>
        <v>53.4</v>
      </c>
      <c r="M1671">
        <f t="shared" si="280"/>
        <v>1</v>
      </c>
      <c r="N1671">
        <f t="shared" si="281"/>
        <v>0</v>
      </c>
    </row>
    <row r="1672" spans="4:14" x14ac:dyDescent="0.2">
      <c r="D1672">
        <f t="shared" si="283"/>
        <v>1649</v>
      </c>
      <c r="E1672" s="1">
        <f t="shared" si="284"/>
        <v>-191.47111582550468</v>
      </c>
      <c r="F1672" s="1">
        <f t="shared" si="285"/>
        <v>-192.04772918980868</v>
      </c>
      <c r="G1672" s="1">
        <f t="shared" si="282"/>
        <v>3.9330634328852989E-84</v>
      </c>
      <c r="H1672" s="1">
        <f t="shared" si="275"/>
        <v>4.0745704770314355E-85</v>
      </c>
      <c r="I1672">
        <f t="shared" si="276"/>
        <v>8</v>
      </c>
      <c r="J1672">
        <f t="shared" si="277"/>
        <v>1639</v>
      </c>
      <c r="K1672" s="5">
        <f t="shared" si="278"/>
        <v>0</v>
      </c>
      <c r="L1672">
        <f t="shared" si="279"/>
        <v>53.4</v>
      </c>
      <c r="M1672">
        <f t="shared" si="280"/>
        <v>1</v>
      </c>
      <c r="N1672">
        <f t="shared" si="281"/>
        <v>0</v>
      </c>
    </row>
    <row r="1673" spans="4:14" x14ac:dyDescent="0.2">
      <c r="D1673">
        <f t="shared" si="283"/>
        <v>1650</v>
      </c>
      <c r="E1673" s="1">
        <f t="shared" si="284"/>
        <v>-191.58764964176063</v>
      </c>
      <c r="F1673" s="1">
        <f t="shared" si="285"/>
        <v>-192.16426300606463</v>
      </c>
      <c r="G1673" s="1">
        <f t="shared" si="282"/>
        <v>3.5004264552679139E-84</v>
      </c>
      <c r="H1673" s="1">
        <f t="shared" si="275"/>
        <v>3.6263677245579755E-85</v>
      </c>
      <c r="I1673">
        <f t="shared" si="276"/>
        <v>8</v>
      </c>
      <c r="J1673">
        <f t="shared" si="277"/>
        <v>1640</v>
      </c>
      <c r="K1673" s="5">
        <f t="shared" si="278"/>
        <v>0</v>
      </c>
      <c r="L1673">
        <f t="shared" si="279"/>
        <v>53.4</v>
      </c>
      <c r="M1673">
        <f t="shared" si="280"/>
        <v>1</v>
      </c>
      <c r="N1673">
        <f t="shared" si="281"/>
        <v>0</v>
      </c>
    </row>
    <row r="1674" spans="4:14" x14ac:dyDescent="0.2">
      <c r="D1674">
        <f t="shared" si="283"/>
        <v>1651</v>
      </c>
      <c r="E1674" s="1">
        <f t="shared" si="284"/>
        <v>-191.70418345801659</v>
      </c>
      <c r="F1674" s="1">
        <f t="shared" si="285"/>
        <v>-192.28079682232058</v>
      </c>
      <c r="G1674" s="1">
        <f t="shared" si="282"/>
        <v>3.1153795451884416E-84</v>
      </c>
      <c r="H1674" s="1">
        <f t="shared" si="275"/>
        <v>3.2274672748565962E-85</v>
      </c>
      <c r="I1674">
        <f t="shared" si="276"/>
        <v>8</v>
      </c>
      <c r="J1674">
        <f t="shared" si="277"/>
        <v>1641</v>
      </c>
      <c r="K1674" s="5">
        <f t="shared" si="278"/>
        <v>0</v>
      </c>
      <c r="L1674">
        <f t="shared" si="279"/>
        <v>53.4</v>
      </c>
      <c r="M1674">
        <f t="shared" si="280"/>
        <v>1</v>
      </c>
      <c r="N1674">
        <f t="shared" si="281"/>
        <v>0</v>
      </c>
    </row>
    <row r="1675" spans="4:14" x14ac:dyDescent="0.2">
      <c r="D1675">
        <f t="shared" si="283"/>
        <v>1652</v>
      </c>
      <c r="E1675" s="1">
        <f t="shared" si="284"/>
        <v>-191.82071727427254</v>
      </c>
      <c r="F1675" s="1">
        <f t="shared" si="285"/>
        <v>-192.39733063857653</v>
      </c>
      <c r="G1675" s="1">
        <f t="shared" si="282"/>
        <v>2.7726877952177111E-84</v>
      </c>
      <c r="H1675" s="1">
        <f t="shared" si="275"/>
        <v>2.8724458746223688E-85</v>
      </c>
      <c r="I1675">
        <f t="shared" si="276"/>
        <v>8</v>
      </c>
      <c r="J1675">
        <f t="shared" si="277"/>
        <v>1642</v>
      </c>
      <c r="K1675" s="5">
        <f t="shared" si="278"/>
        <v>0</v>
      </c>
      <c r="L1675">
        <f t="shared" si="279"/>
        <v>53.4</v>
      </c>
      <c r="M1675">
        <f t="shared" si="280"/>
        <v>1</v>
      </c>
      <c r="N1675">
        <f t="shared" si="281"/>
        <v>0</v>
      </c>
    </row>
    <row r="1676" spans="4:14" x14ac:dyDescent="0.2">
      <c r="D1676">
        <f t="shared" si="283"/>
        <v>1653</v>
      </c>
      <c r="E1676" s="1">
        <f t="shared" si="284"/>
        <v>-191.93725109052849</v>
      </c>
      <c r="F1676" s="1">
        <f t="shared" si="285"/>
        <v>-192.51386445483249</v>
      </c>
      <c r="G1676" s="1">
        <f t="shared" si="282"/>
        <v>2.4676921377437613E-84</v>
      </c>
      <c r="H1676" s="1">
        <f t="shared" si="275"/>
        <v>2.5564768284139065E-85</v>
      </c>
      <c r="I1676">
        <f t="shared" si="276"/>
        <v>8</v>
      </c>
      <c r="J1676">
        <f t="shared" si="277"/>
        <v>1643</v>
      </c>
      <c r="K1676" s="5">
        <f t="shared" si="278"/>
        <v>0</v>
      </c>
      <c r="L1676">
        <f t="shared" si="279"/>
        <v>53.4</v>
      </c>
      <c r="M1676">
        <f t="shared" si="280"/>
        <v>1</v>
      </c>
      <c r="N1676">
        <f t="shared" si="281"/>
        <v>0</v>
      </c>
    </row>
    <row r="1677" spans="4:14" x14ac:dyDescent="0.2">
      <c r="D1677">
        <f t="shared" si="283"/>
        <v>1654</v>
      </c>
      <c r="E1677" s="1">
        <f t="shared" si="284"/>
        <v>-192.05378490678444</v>
      </c>
      <c r="F1677" s="1">
        <f t="shared" si="285"/>
        <v>-192.63039827108844</v>
      </c>
      <c r="G1677" s="1">
        <f t="shared" si="282"/>
        <v>2.1962460025919462E-84</v>
      </c>
      <c r="H1677" s="1">
        <f t="shared" si="275"/>
        <v>2.2752643772883755E-85</v>
      </c>
      <c r="I1677">
        <f t="shared" si="276"/>
        <v>8</v>
      </c>
      <c r="J1677">
        <f t="shared" si="277"/>
        <v>1644</v>
      </c>
      <c r="K1677" s="5">
        <f t="shared" si="278"/>
        <v>0</v>
      </c>
      <c r="L1677">
        <f t="shared" si="279"/>
        <v>53.4</v>
      </c>
      <c r="M1677">
        <f t="shared" si="280"/>
        <v>1</v>
      </c>
      <c r="N1677">
        <f t="shared" si="281"/>
        <v>0</v>
      </c>
    </row>
    <row r="1678" spans="4:14" x14ac:dyDescent="0.2">
      <c r="D1678">
        <f t="shared" si="283"/>
        <v>1655</v>
      </c>
      <c r="E1678" s="1">
        <f t="shared" si="284"/>
        <v>-192.1703187230404</v>
      </c>
      <c r="F1678" s="1">
        <f t="shared" si="285"/>
        <v>-192.74693208734439</v>
      </c>
      <c r="G1678" s="1">
        <f t="shared" si="282"/>
        <v>1.954658942306831E-84</v>
      </c>
      <c r="H1678" s="1">
        <f t="shared" si="275"/>
        <v>2.0249852957866528E-85</v>
      </c>
      <c r="I1678">
        <f t="shared" si="276"/>
        <v>8</v>
      </c>
      <c r="J1678">
        <f t="shared" si="277"/>
        <v>1645</v>
      </c>
      <c r="K1678" s="5">
        <f t="shared" si="278"/>
        <v>0</v>
      </c>
      <c r="L1678">
        <f t="shared" si="279"/>
        <v>53.4</v>
      </c>
      <c r="M1678">
        <f t="shared" si="280"/>
        <v>1</v>
      </c>
      <c r="N1678">
        <f t="shared" si="281"/>
        <v>0</v>
      </c>
    </row>
    <row r="1679" spans="4:14" x14ac:dyDescent="0.2">
      <c r="D1679">
        <f t="shared" si="283"/>
        <v>1656</v>
      </c>
      <c r="E1679" s="1">
        <f t="shared" si="284"/>
        <v>-192.28685253929635</v>
      </c>
      <c r="F1679" s="1">
        <f t="shared" si="285"/>
        <v>-192.86346590360034</v>
      </c>
      <c r="G1679" s="1">
        <f t="shared" si="282"/>
        <v>1.7396464586530783E-84</v>
      </c>
      <c r="H1679" s="1">
        <f t="shared" si="275"/>
        <v>1.8022369132501197E-85</v>
      </c>
      <c r="I1679">
        <f t="shared" si="276"/>
        <v>8</v>
      </c>
      <c r="J1679">
        <f t="shared" si="277"/>
        <v>1646</v>
      </c>
      <c r="K1679" s="5">
        <f t="shared" si="278"/>
        <v>0</v>
      </c>
      <c r="L1679">
        <f t="shared" si="279"/>
        <v>53.4</v>
      </c>
      <c r="M1679">
        <f t="shared" si="280"/>
        <v>1</v>
      </c>
      <c r="N1679">
        <f t="shared" si="281"/>
        <v>0</v>
      </c>
    </row>
    <row r="1680" spans="4:14" x14ac:dyDescent="0.2">
      <c r="D1680">
        <f t="shared" si="283"/>
        <v>1657</v>
      </c>
      <c r="E1680" s="1">
        <f t="shared" si="284"/>
        <v>-192.4033863555523</v>
      </c>
      <c r="F1680" s="1">
        <f t="shared" si="285"/>
        <v>-192.97999971985629</v>
      </c>
      <c r="G1680" s="1">
        <f t="shared" si="282"/>
        <v>1.5482853482012388E-84</v>
      </c>
      <c r="H1680" s="1">
        <f t="shared" si="275"/>
        <v>1.6039908527926057E-85</v>
      </c>
      <c r="I1680">
        <f t="shared" si="276"/>
        <v>8</v>
      </c>
      <c r="J1680">
        <f t="shared" si="277"/>
        <v>1647</v>
      </c>
      <c r="K1680" s="5">
        <f t="shared" si="278"/>
        <v>0</v>
      </c>
      <c r="L1680">
        <f t="shared" si="279"/>
        <v>53.4</v>
      </c>
      <c r="M1680">
        <f t="shared" si="280"/>
        <v>1</v>
      </c>
      <c r="N1680">
        <f t="shared" si="281"/>
        <v>0</v>
      </c>
    </row>
    <row r="1681" spans="4:14" x14ac:dyDescent="0.2">
      <c r="D1681">
        <f t="shared" si="283"/>
        <v>1658</v>
      </c>
      <c r="E1681" s="1">
        <f t="shared" si="284"/>
        <v>-192.51992017180825</v>
      </c>
      <c r="F1681" s="1">
        <f t="shared" si="285"/>
        <v>-193.09653353611225</v>
      </c>
      <c r="G1681" s="1">
        <f t="shared" si="282"/>
        <v>1.3779739598991016E-84</v>
      </c>
      <c r="H1681" s="1">
        <f t="shared" si="275"/>
        <v>1.4275518589854181E-85</v>
      </c>
      <c r="I1681">
        <f t="shared" si="276"/>
        <v>8</v>
      </c>
      <c r="J1681">
        <f t="shared" si="277"/>
        <v>1648</v>
      </c>
      <c r="K1681" s="5">
        <f t="shared" si="278"/>
        <v>0</v>
      </c>
      <c r="L1681">
        <f t="shared" si="279"/>
        <v>53.4</v>
      </c>
      <c r="M1681">
        <f t="shared" si="280"/>
        <v>1</v>
      </c>
      <c r="N1681">
        <f t="shared" si="281"/>
        <v>0</v>
      </c>
    </row>
    <row r="1682" spans="4:14" x14ac:dyDescent="0.2">
      <c r="D1682">
        <f t="shared" si="283"/>
        <v>1659</v>
      </c>
      <c r="E1682" s="1">
        <f t="shared" si="284"/>
        <v>-192.6364539880642</v>
      </c>
      <c r="F1682" s="1">
        <f t="shared" si="285"/>
        <v>-193.2130673523682</v>
      </c>
      <c r="G1682" s="1">
        <f t="shared" si="282"/>
        <v>1.2263968243101997E-84</v>
      </c>
      <c r="H1682" s="1">
        <f t="shared" si="275"/>
        <v>1.2705211544970214E-85</v>
      </c>
      <c r="I1682">
        <f t="shared" si="276"/>
        <v>8</v>
      </c>
      <c r="J1682">
        <f t="shared" si="277"/>
        <v>1649</v>
      </c>
      <c r="K1682" s="5">
        <f t="shared" si="278"/>
        <v>0</v>
      </c>
      <c r="L1682">
        <f t="shared" si="279"/>
        <v>53.4</v>
      </c>
      <c r="M1682">
        <f t="shared" si="280"/>
        <v>1</v>
      </c>
      <c r="N1682">
        <f t="shared" si="281"/>
        <v>0</v>
      </c>
    </row>
    <row r="1683" spans="4:14" x14ac:dyDescent="0.2">
      <c r="D1683">
        <f t="shared" si="283"/>
        <v>1660</v>
      </c>
      <c r="E1683" s="1">
        <f t="shared" si="284"/>
        <v>-192.75298780432016</v>
      </c>
      <c r="F1683" s="1">
        <f t="shared" si="285"/>
        <v>-193.32960116862415</v>
      </c>
      <c r="G1683" s="1">
        <f t="shared" si="282"/>
        <v>1.0914931736360771E-84</v>
      </c>
      <c r="H1683" s="1">
        <f t="shared" si="275"/>
        <v>1.1307638275023483E-85</v>
      </c>
      <c r="I1683">
        <f t="shared" si="276"/>
        <v>8</v>
      </c>
      <c r="J1683">
        <f t="shared" si="277"/>
        <v>1650</v>
      </c>
      <c r="K1683" s="5">
        <f t="shared" si="278"/>
        <v>0</v>
      </c>
      <c r="L1683">
        <f t="shared" si="279"/>
        <v>53.4</v>
      </c>
      <c r="M1683">
        <f t="shared" si="280"/>
        <v>1</v>
      </c>
      <c r="N1683">
        <f t="shared" si="281"/>
        <v>0</v>
      </c>
    </row>
    <row r="1684" spans="4:14" x14ac:dyDescent="0.2">
      <c r="D1684">
        <f t="shared" si="283"/>
        <v>1661</v>
      </c>
      <c r="E1684" s="1">
        <f t="shared" si="284"/>
        <v>-192.86952162057611</v>
      </c>
      <c r="F1684" s="1">
        <f t="shared" si="285"/>
        <v>-193.4461349848801</v>
      </c>
      <c r="G1684" s="1">
        <f t="shared" si="282"/>
        <v>9.7142892453610799E-85</v>
      </c>
      <c r="H1684" s="1">
        <f t="shared" si="275"/>
        <v>1.0063798064770893E-85</v>
      </c>
      <c r="I1684">
        <f t="shared" si="276"/>
        <v>8</v>
      </c>
      <c r="J1684">
        <f t="shared" si="277"/>
        <v>1651</v>
      </c>
      <c r="K1684" s="5">
        <f t="shared" si="278"/>
        <v>0</v>
      </c>
      <c r="L1684">
        <f t="shared" si="279"/>
        <v>53.4</v>
      </c>
      <c r="M1684">
        <f t="shared" si="280"/>
        <v>1</v>
      </c>
      <c r="N1684">
        <f t="shared" si="281"/>
        <v>0</v>
      </c>
    </row>
    <row r="1685" spans="4:14" x14ac:dyDescent="0.2">
      <c r="D1685">
        <f t="shared" si="283"/>
        <v>1662</v>
      </c>
      <c r="E1685" s="1">
        <f t="shared" si="284"/>
        <v>-192.98605543683206</v>
      </c>
      <c r="F1685" s="1">
        <f t="shared" si="285"/>
        <v>-193.56266880113606</v>
      </c>
      <c r="G1685" s="1">
        <f t="shared" si="282"/>
        <v>8.6457174283713554E-85</v>
      </c>
      <c r="H1685" s="1">
        <f t="shared" si="275"/>
        <v>8.9567802776460899E-86</v>
      </c>
      <c r="I1685">
        <f t="shared" si="276"/>
        <v>8</v>
      </c>
      <c r="J1685">
        <f t="shared" si="277"/>
        <v>1652</v>
      </c>
      <c r="K1685" s="5">
        <f t="shared" si="278"/>
        <v>0</v>
      </c>
      <c r="L1685">
        <f t="shared" si="279"/>
        <v>53.4</v>
      </c>
      <c r="M1685">
        <f t="shared" si="280"/>
        <v>1</v>
      </c>
      <c r="N1685">
        <f t="shared" si="281"/>
        <v>0</v>
      </c>
    </row>
    <row r="1686" spans="4:14" x14ac:dyDescent="0.2">
      <c r="D1686">
        <f t="shared" si="283"/>
        <v>1663</v>
      </c>
      <c r="E1686" s="1">
        <f t="shared" si="284"/>
        <v>-193.10258925308801</v>
      </c>
      <c r="F1686" s="1">
        <f t="shared" si="285"/>
        <v>-193.67920261739201</v>
      </c>
      <c r="G1686" s="1">
        <f t="shared" si="282"/>
        <v>7.6946885112505018E-85</v>
      </c>
      <c r="H1686" s="1">
        <f t="shared" si="275"/>
        <v>7.9715344471050152E-86</v>
      </c>
      <c r="I1686">
        <f t="shared" si="276"/>
        <v>8</v>
      </c>
      <c r="J1686">
        <f t="shared" si="277"/>
        <v>1653</v>
      </c>
      <c r="K1686" s="5">
        <f t="shared" si="278"/>
        <v>0</v>
      </c>
      <c r="L1686">
        <f t="shared" si="279"/>
        <v>53.4</v>
      </c>
      <c r="M1686">
        <f t="shared" si="280"/>
        <v>1</v>
      </c>
      <c r="N1686">
        <f t="shared" si="281"/>
        <v>0</v>
      </c>
    </row>
    <row r="1687" spans="4:14" x14ac:dyDescent="0.2">
      <c r="D1687">
        <f t="shared" si="283"/>
        <v>1664</v>
      </c>
      <c r="E1687" s="1">
        <f t="shared" si="284"/>
        <v>-193.21912306934396</v>
      </c>
      <c r="F1687" s="1">
        <f t="shared" si="285"/>
        <v>-193.79573643364796</v>
      </c>
      <c r="G1687" s="1">
        <f t="shared" si="282"/>
        <v>6.8482727750129417E-85</v>
      </c>
      <c r="H1687" s="1">
        <f t="shared" ref="H1687:H1750" si="286">G1687/$G$21</f>
        <v>7.0946656579234582E-86</v>
      </c>
      <c r="I1687">
        <f t="shared" ref="I1687:I1750" si="287">IF($F$11&lt;=D1687, IF(D1687&lt;=$A$15,D1687-$F$11,$C$11),0)</f>
        <v>8</v>
      </c>
      <c r="J1687">
        <f t="shared" ref="J1687:J1750" si="288">IF(D1687&lt;=$A$15,0,D1687-$A$15)</f>
        <v>1654</v>
      </c>
      <c r="K1687" s="5">
        <f t="shared" ref="K1687:K1750" si="289">IF(D1687&lt;$F$11,H1687,0)</f>
        <v>0</v>
      </c>
      <c r="L1687">
        <f t="shared" ref="L1687:L1750" si="290">IF(D1687&lt;$A$15,$D$11,$D$11*(1-$H$11))</f>
        <v>53.4</v>
      </c>
      <c r="M1687">
        <f t="shared" ref="M1687:M1750" si="291">IF(D1687&lt;$A$15,0,1)</f>
        <v>1</v>
      </c>
      <c r="N1687">
        <f t="shared" ref="N1687:N1750" si="292">IF(SUM(I1687:J1687)&lt;=($G$11/60*$F$11/($E$11/60)),1,0)</f>
        <v>0</v>
      </c>
    </row>
    <row r="1688" spans="4:14" x14ac:dyDescent="0.2">
      <c r="D1688">
        <f t="shared" si="283"/>
        <v>1665</v>
      </c>
      <c r="E1688" s="1">
        <f t="shared" si="284"/>
        <v>-193.33565688559992</v>
      </c>
      <c r="F1688" s="1">
        <f t="shared" si="285"/>
        <v>-193.91227024990391</v>
      </c>
      <c r="G1688" s="1">
        <f t="shared" ref="G1688:G1751" si="293">EXP(F1688)</f>
        <v>6.094962769761515E-85</v>
      </c>
      <c r="H1688" s="1">
        <f t="shared" si="286"/>
        <v>6.3142524355518746E-86</v>
      </c>
      <c r="I1688">
        <f t="shared" si="287"/>
        <v>8</v>
      </c>
      <c r="J1688">
        <f t="shared" si="288"/>
        <v>1655</v>
      </c>
      <c r="K1688" s="5">
        <f t="shared" si="289"/>
        <v>0</v>
      </c>
      <c r="L1688">
        <f t="shared" si="290"/>
        <v>53.4</v>
      </c>
      <c r="M1688">
        <f t="shared" si="291"/>
        <v>1</v>
      </c>
      <c r="N1688">
        <f t="shared" si="292"/>
        <v>0</v>
      </c>
    </row>
    <row r="1689" spans="4:14" x14ac:dyDescent="0.2">
      <c r="D1689">
        <f t="shared" ref="D1689:D1752" si="294">1+D1688</f>
        <v>1666</v>
      </c>
      <c r="E1689" s="1">
        <f t="shared" ref="E1689:E1752" si="295">IF($H$11=1,IF(D1689&lt;=$A$15, E1688+LN($D$11)-LN(60/$E$11)-LN(MIN(D1689,$F$11)), E1688-LN(60/$E$11)-LN(MIN(D1689,$F$11))), IF(D1689&lt;=$A$15, E1688+LN($D$11)-LN(60/$E$11)-LN(MIN(D1689,$F$11)), E1688+LN($D$11)+LN(1-$H$11)-LN(60/$E$11)-LN(MIN(D1689,$F$11))))</f>
        <v>-193.45219070185587</v>
      </c>
      <c r="F1689" s="1">
        <f t="shared" ref="F1689:F1752" si="296">E1689-$E$21</f>
        <v>-194.02880406615986</v>
      </c>
      <c r="G1689" s="1">
        <f t="shared" si="293"/>
        <v>5.4245168650877441E-85</v>
      </c>
      <c r="H1689" s="1">
        <f t="shared" si="286"/>
        <v>5.6196846676411641E-86</v>
      </c>
      <c r="I1689">
        <f t="shared" si="287"/>
        <v>8</v>
      </c>
      <c r="J1689">
        <f t="shared" si="288"/>
        <v>1656</v>
      </c>
      <c r="K1689" s="5">
        <f t="shared" si="289"/>
        <v>0</v>
      </c>
      <c r="L1689">
        <f t="shared" si="290"/>
        <v>53.4</v>
      </c>
      <c r="M1689">
        <f t="shared" si="291"/>
        <v>1</v>
      </c>
      <c r="N1689">
        <f t="shared" si="292"/>
        <v>0</v>
      </c>
    </row>
    <row r="1690" spans="4:14" x14ac:dyDescent="0.2">
      <c r="D1690">
        <f t="shared" si="294"/>
        <v>1667</v>
      </c>
      <c r="E1690" s="1">
        <f t="shared" si="295"/>
        <v>-193.56872451811182</v>
      </c>
      <c r="F1690" s="1">
        <f t="shared" si="296"/>
        <v>-194.14533788241582</v>
      </c>
      <c r="G1690" s="1">
        <f t="shared" si="293"/>
        <v>4.8278200099280893E-85</v>
      </c>
      <c r="H1690" s="1">
        <f t="shared" si="286"/>
        <v>5.0015193542006333E-86</v>
      </c>
      <c r="I1690">
        <f t="shared" si="287"/>
        <v>8</v>
      </c>
      <c r="J1690">
        <f t="shared" si="288"/>
        <v>1657</v>
      </c>
      <c r="K1690" s="5">
        <f t="shared" si="289"/>
        <v>0</v>
      </c>
      <c r="L1690">
        <f t="shared" si="290"/>
        <v>53.4</v>
      </c>
      <c r="M1690">
        <f t="shared" si="291"/>
        <v>1</v>
      </c>
      <c r="N1690">
        <f t="shared" si="292"/>
        <v>0</v>
      </c>
    </row>
    <row r="1691" spans="4:14" x14ac:dyDescent="0.2">
      <c r="D1691">
        <f t="shared" si="294"/>
        <v>1668</v>
      </c>
      <c r="E1691" s="1">
        <f t="shared" si="295"/>
        <v>-193.68525833436777</v>
      </c>
      <c r="F1691" s="1">
        <f t="shared" si="296"/>
        <v>-194.26187169867177</v>
      </c>
      <c r="G1691" s="1">
        <f t="shared" si="293"/>
        <v>4.2967598088359969E-85</v>
      </c>
      <c r="H1691" s="1">
        <f t="shared" si="286"/>
        <v>4.4513522252385603E-86</v>
      </c>
      <c r="I1691">
        <f t="shared" si="287"/>
        <v>8</v>
      </c>
      <c r="J1691">
        <f t="shared" si="288"/>
        <v>1658</v>
      </c>
      <c r="K1691" s="5">
        <f t="shared" si="289"/>
        <v>0</v>
      </c>
      <c r="L1691">
        <f t="shared" si="290"/>
        <v>53.4</v>
      </c>
      <c r="M1691">
        <f t="shared" si="291"/>
        <v>1</v>
      </c>
      <c r="N1691">
        <f t="shared" si="292"/>
        <v>0</v>
      </c>
    </row>
    <row r="1692" spans="4:14" x14ac:dyDescent="0.2">
      <c r="D1692">
        <f t="shared" si="294"/>
        <v>1669</v>
      </c>
      <c r="E1692" s="1">
        <f t="shared" si="295"/>
        <v>-193.80179215062373</v>
      </c>
      <c r="F1692" s="1">
        <f t="shared" si="296"/>
        <v>-194.37840551492772</v>
      </c>
      <c r="G1692" s="1">
        <f t="shared" si="293"/>
        <v>3.8241162298640346E-85</v>
      </c>
      <c r="H1692" s="1">
        <f t="shared" si="286"/>
        <v>3.9617034804623166E-86</v>
      </c>
      <c r="I1692">
        <f t="shared" si="287"/>
        <v>8</v>
      </c>
      <c r="J1692">
        <f t="shared" si="288"/>
        <v>1659</v>
      </c>
      <c r="K1692" s="5">
        <f t="shared" si="289"/>
        <v>0</v>
      </c>
      <c r="L1692">
        <f t="shared" si="290"/>
        <v>53.4</v>
      </c>
      <c r="M1692">
        <f t="shared" si="291"/>
        <v>1</v>
      </c>
      <c r="N1692">
        <f t="shared" si="292"/>
        <v>0</v>
      </c>
    </row>
    <row r="1693" spans="4:14" x14ac:dyDescent="0.2">
      <c r="D1693">
        <f t="shared" si="294"/>
        <v>1670</v>
      </c>
      <c r="E1693" s="1">
        <f t="shared" si="295"/>
        <v>-193.91832596687968</v>
      </c>
      <c r="F1693" s="1">
        <f t="shared" si="296"/>
        <v>-194.49493933118367</v>
      </c>
      <c r="G1693" s="1">
        <f t="shared" si="293"/>
        <v>3.403463444578989E-85</v>
      </c>
      <c r="H1693" s="1">
        <f t="shared" si="286"/>
        <v>3.5259160976114599E-86</v>
      </c>
      <c r="I1693">
        <f t="shared" si="287"/>
        <v>8</v>
      </c>
      <c r="J1693">
        <f t="shared" si="288"/>
        <v>1660</v>
      </c>
      <c r="K1693" s="5">
        <f t="shared" si="289"/>
        <v>0</v>
      </c>
      <c r="L1693">
        <f t="shared" si="290"/>
        <v>53.4</v>
      </c>
      <c r="M1693">
        <f t="shared" si="291"/>
        <v>1</v>
      </c>
      <c r="N1693">
        <f t="shared" si="292"/>
        <v>0</v>
      </c>
    </row>
    <row r="1694" spans="4:14" x14ac:dyDescent="0.2">
      <c r="D1694">
        <f t="shared" si="294"/>
        <v>1671</v>
      </c>
      <c r="E1694" s="1">
        <f t="shared" si="295"/>
        <v>-194.03485978313563</v>
      </c>
      <c r="F1694" s="1">
        <f t="shared" si="296"/>
        <v>-194.61147314743963</v>
      </c>
      <c r="G1694" s="1">
        <f t="shared" si="293"/>
        <v>3.0290824656752982E-85</v>
      </c>
      <c r="H1694" s="1">
        <f t="shared" si="286"/>
        <v>3.138065326874197E-86</v>
      </c>
      <c r="I1694">
        <f t="shared" si="287"/>
        <v>8</v>
      </c>
      <c r="J1694">
        <f t="shared" si="288"/>
        <v>1661</v>
      </c>
      <c r="K1694" s="5">
        <f t="shared" si="289"/>
        <v>0</v>
      </c>
      <c r="L1694">
        <f t="shared" si="290"/>
        <v>53.4</v>
      </c>
      <c r="M1694">
        <f t="shared" si="291"/>
        <v>1</v>
      </c>
      <c r="N1694">
        <f t="shared" si="292"/>
        <v>0</v>
      </c>
    </row>
    <row r="1695" spans="4:14" x14ac:dyDescent="0.2">
      <c r="D1695">
        <f t="shared" si="294"/>
        <v>1672</v>
      </c>
      <c r="E1695" s="1">
        <f t="shared" si="295"/>
        <v>-194.15139359939158</v>
      </c>
      <c r="F1695" s="1">
        <f t="shared" si="296"/>
        <v>-194.72800696369558</v>
      </c>
      <c r="G1695" s="1">
        <f t="shared" si="293"/>
        <v>2.6958833944510137E-85</v>
      </c>
      <c r="H1695" s="1">
        <f t="shared" si="286"/>
        <v>2.7928781409180336E-86</v>
      </c>
      <c r="I1695">
        <f t="shared" si="287"/>
        <v>8</v>
      </c>
      <c r="J1695">
        <f t="shared" si="288"/>
        <v>1662</v>
      </c>
      <c r="K1695" s="5">
        <f t="shared" si="289"/>
        <v>0</v>
      </c>
      <c r="L1695">
        <f t="shared" si="290"/>
        <v>53.4</v>
      </c>
      <c r="M1695">
        <f t="shared" si="291"/>
        <v>1</v>
      </c>
      <c r="N1695">
        <f t="shared" si="292"/>
        <v>0</v>
      </c>
    </row>
    <row r="1696" spans="4:14" x14ac:dyDescent="0.2">
      <c r="D1696">
        <f t="shared" si="294"/>
        <v>1673</v>
      </c>
      <c r="E1696" s="1">
        <f t="shared" si="295"/>
        <v>-194.26792741564753</v>
      </c>
      <c r="F1696" s="1">
        <f t="shared" si="296"/>
        <v>-194.84454077995153</v>
      </c>
      <c r="G1696" s="1">
        <f t="shared" si="293"/>
        <v>2.3993362210614005E-85</v>
      </c>
      <c r="H1696" s="1">
        <f t="shared" si="286"/>
        <v>2.4856615454170481E-86</v>
      </c>
      <c r="I1696">
        <f t="shared" si="287"/>
        <v>8</v>
      </c>
      <c r="J1696">
        <f t="shared" si="288"/>
        <v>1663</v>
      </c>
      <c r="K1696" s="5">
        <f t="shared" si="289"/>
        <v>0</v>
      </c>
      <c r="L1696">
        <f t="shared" si="290"/>
        <v>53.4</v>
      </c>
      <c r="M1696">
        <f t="shared" si="291"/>
        <v>1</v>
      </c>
      <c r="N1696">
        <f t="shared" si="292"/>
        <v>0</v>
      </c>
    </row>
    <row r="1697" spans="4:14" x14ac:dyDescent="0.2">
      <c r="D1697">
        <f t="shared" si="294"/>
        <v>1674</v>
      </c>
      <c r="E1697" s="1">
        <f t="shared" si="295"/>
        <v>-194.38446123190349</v>
      </c>
      <c r="F1697" s="1">
        <f t="shared" si="296"/>
        <v>-194.96107459620748</v>
      </c>
      <c r="G1697" s="1">
        <f t="shared" si="293"/>
        <v>2.1354092367446453E-85</v>
      </c>
      <c r="H1697" s="1">
        <f t="shared" si="286"/>
        <v>2.2122387754211717E-86</v>
      </c>
      <c r="I1697">
        <f t="shared" si="287"/>
        <v>8</v>
      </c>
      <c r="J1697">
        <f t="shared" si="288"/>
        <v>1664</v>
      </c>
      <c r="K1697" s="5">
        <f t="shared" si="289"/>
        <v>0</v>
      </c>
      <c r="L1697">
        <f t="shared" si="290"/>
        <v>53.4</v>
      </c>
      <c r="M1697">
        <f t="shared" si="291"/>
        <v>1</v>
      </c>
      <c r="N1697">
        <f t="shared" si="292"/>
        <v>0</v>
      </c>
    </row>
    <row r="1698" spans="4:14" x14ac:dyDescent="0.2">
      <c r="D1698">
        <f t="shared" si="294"/>
        <v>1675</v>
      </c>
      <c r="E1698" s="1">
        <f t="shared" si="295"/>
        <v>-194.50099504815944</v>
      </c>
      <c r="F1698" s="1">
        <f t="shared" si="296"/>
        <v>-195.07760841246343</v>
      </c>
      <c r="G1698" s="1">
        <f t="shared" si="293"/>
        <v>1.900514220702733E-85</v>
      </c>
      <c r="H1698" s="1">
        <f t="shared" si="286"/>
        <v>1.9688925101248415E-86</v>
      </c>
      <c r="I1698">
        <f t="shared" si="287"/>
        <v>8</v>
      </c>
      <c r="J1698">
        <f t="shared" si="288"/>
        <v>1665</v>
      </c>
      <c r="K1698" s="5">
        <f t="shared" si="289"/>
        <v>0</v>
      </c>
      <c r="L1698">
        <f t="shared" si="290"/>
        <v>53.4</v>
      </c>
      <c r="M1698">
        <f t="shared" si="291"/>
        <v>1</v>
      </c>
      <c r="N1698">
        <f t="shared" si="292"/>
        <v>0</v>
      </c>
    </row>
    <row r="1699" spans="4:14" x14ac:dyDescent="0.2">
      <c r="D1699">
        <f t="shared" si="294"/>
        <v>1676</v>
      </c>
      <c r="E1699" s="1">
        <f t="shared" si="295"/>
        <v>-194.61752886441539</v>
      </c>
      <c r="F1699" s="1">
        <f t="shared" si="296"/>
        <v>-195.19414222871939</v>
      </c>
      <c r="G1699" s="1">
        <f t="shared" si="293"/>
        <v>1.6914576564254313E-85</v>
      </c>
      <c r="H1699" s="1">
        <f t="shared" si="286"/>
        <v>1.7523143340111077E-86</v>
      </c>
      <c r="I1699">
        <f t="shared" si="287"/>
        <v>8</v>
      </c>
      <c r="J1699">
        <f t="shared" si="288"/>
        <v>1666</v>
      </c>
      <c r="K1699" s="5">
        <f t="shared" si="289"/>
        <v>0</v>
      </c>
      <c r="L1699">
        <f t="shared" si="290"/>
        <v>53.4</v>
      </c>
      <c r="M1699">
        <f t="shared" si="291"/>
        <v>1</v>
      </c>
      <c r="N1699">
        <f t="shared" si="292"/>
        <v>0</v>
      </c>
    </row>
    <row r="1700" spans="4:14" x14ac:dyDescent="0.2">
      <c r="D1700">
        <f t="shared" si="294"/>
        <v>1677</v>
      </c>
      <c r="E1700" s="1">
        <f t="shared" si="295"/>
        <v>-194.73406268067134</v>
      </c>
      <c r="F1700" s="1">
        <f t="shared" si="296"/>
        <v>-195.31067604497534</v>
      </c>
      <c r="G1700" s="1">
        <f t="shared" si="293"/>
        <v>1.5053973142186329E-85</v>
      </c>
      <c r="H1700" s="1">
        <f t="shared" si="286"/>
        <v>1.5595597572698849E-86</v>
      </c>
      <c r="I1700">
        <f t="shared" si="287"/>
        <v>8</v>
      </c>
      <c r="J1700">
        <f t="shared" si="288"/>
        <v>1667</v>
      </c>
      <c r="K1700" s="5">
        <f t="shared" si="289"/>
        <v>0</v>
      </c>
      <c r="L1700">
        <f t="shared" si="290"/>
        <v>53.4</v>
      </c>
      <c r="M1700">
        <f t="shared" si="291"/>
        <v>1</v>
      </c>
      <c r="N1700">
        <f t="shared" si="292"/>
        <v>0</v>
      </c>
    </row>
    <row r="1701" spans="4:14" x14ac:dyDescent="0.2">
      <c r="D1701">
        <f t="shared" si="294"/>
        <v>1678</v>
      </c>
      <c r="E1701" s="1">
        <f t="shared" si="295"/>
        <v>-194.8505964969273</v>
      </c>
      <c r="F1701" s="1">
        <f t="shared" si="296"/>
        <v>-195.42720986123129</v>
      </c>
      <c r="G1701" s="1">
        <f t="shared" si="293"/>
        <v>1.3398036096545825E-85</v>
      </c>
      <c r="H1701" s="1">
        <f t="shared" si="286"/>
        <v>1.3880081839701969E-86</v>
      </c>
      <c r="I1701">
        <f t="shared" si="287"/>
        <v>8</v>
      </c>
      <c r="J1701">
        <f t="shared" si="288"/>
        <v>1668</v>
      </c>
      <c r="K1701" s="5">
        <f t="shared" si="289"/>
        <v>0</v>
      </c>
      <c r="L1701">
        <f t="shared" si="290"/>
        <v>53.4</v>
      </c>
      <c r="M1701">
        <f t="shared" si="291"/>
        <v>1</v>
      </c>
      <c r="N1701">
        <f t="shared" si="292"/>
        <v>0</v>
      </c>
    </row>
    <row r="1702" spans="4:14" x14ac:dyDescent="0.2">
      <c r="D1702">
        <f t="shared" si="294"/>
        <v>1679</v>
      </c>
      <c r="E1702" s="1">
        <f t="shared" si="295"/>
        <v>-194.96713031318325</v>
      </c>
      <c r="F1702" s="1">
        <f t="shared" si="296"/>
        <v>-195.54374367748724</v>
      </c>
      <c r="G1702" s="1">
        <f t="shared" si="293"/>
        <v>1.1924252125925776E-85</v>
      </c>
      <c r="H1702" s="1">
        <f t="shared" si="286"/>
        <v>1.2353272837334743E-86</v>
      </c>
      <c r="I1702">
        <f t="shared" si="287"/>
        <v>8</v>
      </c>
      <c r="J1702">
        <f t="shared" si="288"/>
        <v>1669</v>
      </c>
      <c r="K1702" s="5">
        <f t="shared" si="289"/>
        <v>0</v>
      </c>
      <c r="L1702">
        <f t="shared" si="290"/>
        <v>53.4</v>
      </c>
      <c r="M1702">
        <f t="shared" si="291"/>
        <v>1</v>
      </c>
      <c r="N1702">
        <f t="shared" si="292"/>
        <v>0</v>
      </c>
    </row>
    <row r="1703" spans="4:14" x14ac:dyDescent="0.2">
      <c r="D1703">
        <f t="shared" si="294"/>
        <v>1680</v>
      </c>
      <c r="E1703" s="1">
        <f t="shared" si="295"/>
        <v>-195.0836641294392</v>
      </c>
      <c r="F1703" s="1">
        <f t="shared" si="296"/>
        <v>-195.66027749374319</v>
      </c>
      <c r="G1703" s="1">
        <f t="shared" si="293"/>
        <v>1.0612584392073935E-85</v>
      </c>
      <c r="H1703" s="1">
        <f t="shared" si="286"/>
        <v>1.0994412825227915E-86</v>
      </c>
      <c r="I1703">
        <f t="shared" si="287"/>
        <v>8</v>
      </c>
      <c r="J1703">
        <f t="shared" si="288"/>
        <v>1670</v>
      </c>
      <c r="K1703" s="5">
        <f t="shared" si="289"/>
        <v>0</v>
      </c>
      <c r="L1703">
        <f t="shared" si="290"/>
        <v>53.4</v>
      </c>
      <c r="M1703">
        <f t="shared" si="291"/>
        <v>1</v>
      </c>
      <c r="N1703">
        <f t="shared" si="292"/>
        <v>0</v>
      </c>
    </row>
    <row r="1704" spans="4:14" x14ac:dyDescent="0.2">
      <c r="D1704">
        <f t="shared" si="294"/>
        <v>1681</v>
      </c>
      <c r="E1704" s="1">
        <f t="shared" si="295"/>
        <v>-195.20019794569515</v>
      </c>
      <c r="F1704" s="1">
        <f t="shared" si="296"/>
        <v>-195.77681130999915</v>
      </c>
      <c r="G1704" s="1">
        <f t="shared" si="293"/>
        <v>9.4452001089457958E-86</v>
      </c>
      <c r="H1704" s="1">
        <f t="shared" si="286"/>
        <v>9.7850274144528372E-87</v>
      </c>
      <c r="I1704">
        <f t="shared" si="287"/>
        <v>8</v>
      </c>
      <c r="J1704">
        <f t="shared" si="288"/>
        <v>1671</v>
      </c>
      <c r="K1704" s="5">
        <f t="shared" si="289"/>
        <v>0</v>
      </c>
      <c r="L1704">
        <f t="shared" si="290"/>
        <v>53.4</v>
      </c>
      <c r="M1704">
        <f t="shared" si="291"/>
        <v>1</v>
      </c>
      <c r="N1704">
        <f t="shared" si="292"/>
        <v>0</v>
      </c>
    </row>
    <row r="1705" spans="4:14" x14ac:dyDescent="0.2">
      <c r="D1705">
        <f t="shared" si="294"/>
        <v>1682</v>
      </c>
      <c r="E1705" s="1">
        <f t="shared" si="295"/>
        <v>-195.3167317619511</v>
      </c>
      <c r="F1705" s="1">
        <f t="shared" si="296"/>
        <v>-195.8933451262551</v>
      </c>
      <c r="G1705" s="1">
        <f t="shared" si="293"/>
        <v>8.4062280969617526E-86</v>
      </c>
      <c r="H1705" s="1">
        <f t="shared" si="286"/>
        <v>8.7086743988630205E-87</v>
      </c>
      <c r="I1705">
        <f t="shared" si="287"/>
        <v>8</v>
      </c>
      <c r="J1705">
        <f t="shared" si="288"/>
        <v>1672</v>
      </c>
      <c r="K1705" s="5">
        <f t="shared" si="289"/>
        <v>0</v>
      </c>
      <c r="L1705">
        <f t="shared" si="290"/>
        <v>53.4</v>
      </c>
      <c r="M1705">
        <f t="shared" si="291"/>
        <v>1</v>
      </c>
      <c r="N1705">
        <f t="shared" si="292"/>
        <v>0</v>
      </c>
    </row>
    <row r="1706" spans="4:14" x14ac:dyDescent="0.2">
      <c r="D1706">
        <f t="shared" si="294"/>
        <v>1683</v>
      </c>
      <c r="E1706" s="1">
        <f t="shared" si="295"/>
        <v>-195.43326557820706</v>
      </c>
      <c r="F1706" s="1">
        <f t="shared" si="296"/>
        <v>-196.00987894251105</v>
      </c>
      <c r="G1706" s="1">
        <f t="shared" si="293"/>
        <v>7.4815430062959557E-86</v>
      </c>
      <c r="H1706" s="1">
        <f t="shared" si="286"/>
        <v>7.7507202149880834E-87</v>
      </c>
      <c r="I1706">
        <f t="shared" si="287"/>
        <v>8</v>
      </c>
      <c r="J1706">
        <f t="shared" si="288"/>
        <v>1673</v>
      </c>
      <c r="K1706" s="5">
        <f t="shared" si="289"/>
        <v>0</v>
      </c>
      <c r="L1706">
        <f t="shared" si="290"/>
        <v>53.4</v>
      </c>
      <c r="M1706">
        <f t="shared" si="291"/>
        <v>1</v>
      </c>
      <c r="N1706">
        <f t="shared" si="292"/>
        <v>0</v>
      </c>
    </row>
    <row r="1707" spans="4:14" x14ac:dyDescent="0.2">
      <c r="D1707">
        <f t="shared" si="294"/>
        <v>1684</v>
      </c>
      <c r="E1707" s="1">
        <f t="shared" si="295"/>
        <v>-195.54979939446301</v>
      </c>
      <c r="F1707" s="1">
        <f t="shared" si="296"/>
        <v>-196.126412758767</v>
      </c>
      <c r="G1707" s="1">
        <f t="shared" si="293"/>
        <v>6.6585732756033961E-86</v>
      </c>
      <c r="H1707" s="1">
        <f t="shared" si="286"/>
        <v>6.8981409913393896E-87</v>
      </c>
      <c r="I1707">
        <f t="shared" si="287"/>
        <v>8</v>
      </c>
      <c r="J1707">
        <f t="shared" si="288"/>
        <v>1674</v>
      </c>
      <c r="K1707" s="5">
        <f t="shared" si="289"/>
        <v>0</v>
      </c>
      <c r="L1707">
        <f t="shared" si="290"/>
        <v>53.4</v>
      </c>
      <c r="M1707">
        <f t="shared" si="291"/>
        <v>1</v>
      </c>
      <c r="N1707">
        <f t="shared" si="292"/>
        <v>0</v>
      </c>
    </row>
    <row r="1708" spans="4:14" x14ac:dyDescent="0.2">
      <c r="D1708">
        <f t="shared" si="294"/>
        <v>1685</v>
      </c>
      <c r="E1708" s="1">
        <f t="shared" si="295"/>
        <v>-195.66633321071896</v>
      </c>
      <c r="F1708" s="1">
        <f t="shared" si="296"/>
        <v>-196.24294657502296</v>
      </c>
      <c r="G1708" s="1">
        <f t="shared" si="293"/>
        <v>5.9261302152870191E-86</v>
      </c>
      <c r="H1708" s="1">
        <f t="shared" si="286"/>
        <v>6.1393454822920533E-87</v>
      </c>
      <c r="I1708">
        <f t="shared" si="287"/>
        <v>8</v>
      </c>
      <c r="J1708">
        <f t="shared" si="288"/>
        <v>1675</v>
      </c>
      <c r="K1708" s="5">
        <f t="shared" si="289"/>
        <v>0</v>
      </c>
      <c r="L1708">
        <f t="shared" si="290"/>
        <v>53.4</v>
      </c>
      <c r="M1708">
        <f t="shared" si="291"/>
        <v>1</v>
      </c>
      <c r="N1708">
        <f t="shared" si="292"/>
        <v>0</v>
      </c>
    </row>
    <row r="1709" spans="4:14" x14ac:dyDescent="0.2">
      <c r="D1709">
        <f t="shared" si="294"/>
        <v>1686</v>
      </c>
      <c r="E1709" s="1">
        <f t="shared" si="295"/>
        <v>-195.78286702697491</v>
      </c>
      <c r="F1709" s="1">
        <f t="shared" si="296"/>
        <v>-196.35948039127891</v>
      </c>
      <c r="G1709" s="1">
        <f t="shared" si="293"/>
        <v>5.2742558916054433E-86</v>
      </c>
      <c r="H1709" s="1">
        <f t="shared" si="286"/>
        <v>5.4640174792399234E-87</v>
      </c>
      <c r="I1709">
        <f t="shared" si="287"/>
        <v>8</v>
      </c>
      <c r="J1709">
        <f t="shared" si="288"/>
        <v>1676</v>
      </c>
      <c r="K1709" s="5">
        <f t="shared" si="289"/>
        <v>0</v>
      </c>
      <c r="L1709">
        <f t="shared" si="290"/>
        <v>53.4</v>
      </c>
      <c r="M1709">
        <f t="shared" si="291"/>
        <v>1</v>
      </c>
      <c r="N1709">
        <f t="shared" si="292"/>
        <v>0</v>
      </c>
    </row>
    <row r="1710" spans="4:14" x14ac:dyDescent="0.2">
      <c r="D1710">
        <f t="shared" si="294"/>
        <v>1687</v>
      </c>
      <c r="E1710" s="1">
        <f t="shared" si="295"/>
        <v>-195.89940084323086</v>
      </c>
      <c r="F1710" s="1">
        <f t="shared" si="296"/>
        <v>-196.47601420753486</v>
      </c>
      <c r="G1710" s="1">
        <f t="shared" si="293"/>
        <v>4.6940877435288419E-86</v>
      </c>
      <c r="H1710" s="1">
        <f t="shared" si="286"/>
        <v>4.8629755565235293E-87</v>
      </c>
      <c r="I1710">
        <f t="shared" si="287"/>
        <v>8</v>
      </c>
      <c r="J1710">
        <f t="shared" si="288"/>
        <v>1677</v>
      </c>
      <c r="K1710" s="5">
        <f t="shared" si="289"/>
        <v>0</v>
      </c>
      <c r="L1710">
        <f t="shared" si="290"/>
        <v>53.4</v>
      </c>
      <c r="M1710">
        <f t="shared" si="291"/>
        <v>1</v>
      </c>
      <c r="N1710">
        <f t="shared" si="292"/>
        <v>0</v>
      </c>
    </row>
    <row r="1711" spans="4:14" x14ac:dyDescent="0.2">
      <c r="D1711">
        <f t="shared" si="294"/>
        <v>1688</v>
      </c>
      <c r="E1711" s="1">
        <f t="shared" si="295"/>
        <v>-196.01593465948682</v>
      </c>
      <c r="F1711" s="1">
        <f t="shared" si="296"/>
        <v>-196.59254802379081</v>
      </c>
      <c r="G1711" s="1">
        <f t="shared" si="293"/>
        <v>4.1777380917406667E-86</v>
      </c>
      <c r="H1711" s="1">
        <f t="shared" si="286"/>
        <v>4.328048245305938E-87</v>
      </c>
      <c r="I1711">
        <f t="shared" si="287"/>
        <v>8</v>
      </c>
      <c r="J1711">
        <f t="shared" si="288"/>
        <v>1678</v>
      </c>
      <c r="K1711" s="5">
        <f t="shared" si="289"/>
        <v>0</v>
      </c>
      <c r="L1711">
        <f t="shared" si="290"/>
        <v>53.4</v>
      </c>
      <c r="M1711">
        <f t="shared" si="291"/>
        <v>1</v>
      </c>
      <c r="N1711">
        <f t="shared" si="292"/>
        <v>0</v>
      </c>
    </row>
    <row r="1712" spans="4:14" x14ac:dyDescent="0.2">
      <c r="D1712">
        <f t="shared" si="294"/>
        <v>1689</v>
      </c>
      <c r="E1712" s="1">
        <f t="shared" si="295"/>
        <v>-196.13246847574277</v>
      </c>
      <c r="F1712" s="1">
        <f t="shared" si="296"/>
        <v>-196.70908184004676</v>
      </c>
      <c r="G1712" s="1">
        <f t="shared" si="293"/>
        <v>3.7181869016491907E-86</v>
      </c>
      <c r="H1712" s="1">
        <f t="shared" si="286"/>
        <v>3.8519629383222822E-87</v>
      </c>
      <c r="I1712">
        <f t="shared" si="287"/>
        <v>8</v>
      </c>
      <c r="J1712">
        <f t="shared" si="288"/>
        <v>1679</v>
      </c>
      <c r="K1712" s="5">
        <f t="shared" si="289"/>
        <v>0</v>
      </c>
      <c r="L1712">
        <f t="shared" si="290"/>
        <v>53.4</v>
      </c>
      <c r="M1712">
        <f t="shared" si="291"/>
        <v>1</v>
      </c>
      <c r="N1712">
        <f t="shared" si="292"/>
        <v>0</v>
      </c>
    </row>
    <row r="1713" spans="4:14" x14ac:dyDescent="0.2">
      <c r="D1713">
        <f t="shared" si="294"/>
        <v>1690</v>
      </c>
      <c r="E1713" s="1">
        <f t="shared" si="295"/>
        <v>-196.24900229199872</v>
      </c>
      <c r="F1713" s="1">
        <f t="shared" si="296"/>
        <v>-196.82561565630272</v>
      </c>
      <c r="G1713" s="1">
        <f t="shared" si="293"/>
        <v>3.3091863424677775E-86</v>
      </c>
      <c r="H1713" s="1">
        <f t="shared" si="286"/>
        <v>3.4282470151068287E-87</v>
      </c>
      <c r="I1713">
        <f t="shared" si="287"/>
        <v>8</v>
      </c>
      <c r="J1713">
        <f t="shared" si="288"/>
        <v>1680</v>
      </c>
      <c r="K1713" s="5">
        <f t="shared" si="289"/>
        <v>0</v>
      </c>
      <c r="L1713">
        <f t="shared" si="290"/>
        <v>53.4</v>
      </c>
      <c r="M1713">
        <f t="shared" si="291"/>
        <v>1</v>
      </c>
      <c r="N1713">
        <f t="shared" si="292"/>
        <v>0</v>
      </c>
    </row>
    <row r="1714" spans="4:14" x14ac:dyDescent="0.2">
      <c r="D1714">
        <f t="shared" si="294"/>
        <v>1691</v>
      </c>
      <c r="E1714" s="1">
        <f t="shared" si="295"/>
        <v>-196.36553610825467</v>
      </c>
      <c r="F1714" s="1">
        <f t="shared" si="296"/>
        <v>-196.94214947255867</v>
      </c>
      <c r="G1714" s="1">
        <f t="shared" si="293"/>
        <v>2.9451758447963203E-86</v>
      </c>
      <c r="H1714" s="1">
        <f t="shared" si="286"/>
        <v>3.0511398434450762E-87</v>
      </c>
      <c r="I1714">
        <f t="shared" si="287"/>
        <v>8</v>
      </c>
      <c r="J1714">
        <f t="shared" si="288"/>
        <v>1681</v>
      </c>
      <c r="K1714" s="5">
        <f t="shared" si="289"/>
        <v>0</v>
      </c>
      <c r="L1714">
        <f t="shared" si="290"/>
        <v>53.4</v>
      </c>
      <c r="M1714">
        <f t="shared" si="291"/>
        <v>1</v>
      </c>
      <c r="N1714">
        <f t="shared" si="292"/>
        <v>0</v>
      </c>
    </row>
    <row r="1715" spans="4:14" x14ac:dyDescent="0.2">
      <c r="D1715">
        <f t="shared" si="294"/>
        <v>1692</v>
      </c>
      <c r="E1715" s="1">
        <f t="shared" si="295"/>
        <v>-196.48206992451063</v>
      </c>
      <c r="F1715" s="1">
        <f t="shared" si="296"/>
        <v>-197.05868328881462</v>
      </c>
      <c r="G1715" s="1">
        <f t="shared" si="293"/>
        <v>2.6212065018687234E-86</v>
      </c>
      <c r="H1715" s="1">
        <f t="shared" si="286"/>
        <v>2.715514460666116E-87</v>
      </c>
      <c r="I1715">
        <f t="shared" si="287"/>
        <v>8</v>
      </c>
      <c r="J1715">
        <f t="shared" si="288"/>
        <v>1682</v>
      </c>
      <c r="K1715" s="5">
        <f t="shared" si="289"/>
        <v>0</v>
      </c>
      <c r="L1715">
        <f t="shared" si="290"/>
        <v>53.4</v>
      </c>
      <c r="M1715">
        <f t="shared" si="291"/>
        <v>1</v>
      </c>
      <c r="N1715">
        <f t="shared" si="292"/>
        <v>0</v>
      </c>
    </row>
    <row r="1716" spans="4:14" x14ac:dyDescent="0.2">
      <c r="D1716">
        <f t="shared" si="294"/>
        <v>1693</v>
      </c>
      <c r="E1716" s="1">
        <f t="shared" si="295"/>
        <v>-196.59860374076658</v>
      </c>
      <c r="F1716" s="1">
        <f t="shared" si="296"/>
        <v>-197.17521710507057</v>
      </c>
      <c r="G1716" s="1">
        <f t="shared" si="293"/>
        <v>2.3328737866631624E-86</v>
      </c>
      <c r="H1716" s="1">
        <f t="shared" si="286"/>
        <v>2.4168078699928415E-87</v>
      </c>
      <c r="I1716">
        <f t="shared" si="287"/>
        <v>8</v>
      </c>
      <c r="J1716">
        <f t="shared" si="288"/>
        <v>1683</v>
      </c>
      <c r="K1716" s="5">
        <f t="shared" si="289"/>
        <v>0</v>
      </c>
      <c r="L1716">
        <f t="shared" si="290"/>
        <v>53.4</v>
      </c>
      <c r="M1716">
        <f t="shared" si="291"/>
        <v>1</v>
      </c>
      <c r="N1716">
        <f t="shared" si="292"/>
        <v>0</v>
      </c>
    </row>
    <row r="1717" spans="4:14" x14ac:dyDescent="0.2">
      <c r="D1717">
        <f t="shared" si="294"/>
        <v>1694</v>
      </c>
      <c r="E1717" s="1">
        <f t="shared" si="295"/>
        <v>-196.71513755702253</v>
      </c>
      <c r="F1717" s="1">
        <f t="shared" si="296"/>
        <v>-197.29175092132652</v>
      </c>
      <c r="G1717" s="1">
        <f t="shared" si="293"/>
        <v>2.0762576701302134E-86</v>
      </c>
      <c r="H1717" s="1">
        <f t="shared" si="286"/>
        <v>2.1509590042936279E-87</v>
      </c>
      <c r="I1717">
        <f t="shared" si="287"/>
        <v>8</v>
      </c>
      <c r="J1717">
        <f t="shared" si="288"/>
        <v>1684</v>
      </c>
      <c r="K1717" s="5">
        <f t="shared" si="289"/>
        <v>0</v>
      </c>
      <c r="L1717">
        <f t="shared" si="290"/>
        <v>53.4</v>
      </c>
      <c r="M1717">
        <f t="shared" si="291"/>
        <v>1</v>
      </c>
      <c r="N1717">
        <f t="shared" si="292"/>
        <v>0</v>
      </c>
    </row>
    <row r="1718" spans="4:14" x14ac:dyDescent="0.2">
      <c r="D1718">
        <f t="shared" si="294"/>
        <v>1695</v>
      </c>
      <c r="E1718" s="1">
        <f t="shared" si="295"/>
        <v>-196.83167137327848</v>
      </c>
      <c r="F1718" s="1">
        <f t="shared" si="296"/>
        <v>-197.40828473758248</v>
      </c>
      <c r="G1718" s="1">
        <f t="shared" si="293"/>
        <v>1.8478693264158886E-86</v>
      </c>
      <c r="H1718" s="1">
        <f t="shared" si="286"/>
        <v>1.9143535138213274E-87</v>
      </c>
      <c r="I1718">
        <f t="shared" si="287"/>
        <v>8</v>
      </c>
      <c r="J1718">
        <f t="shared" si="288"/>
        <v>1685</v>
      </c>
      <c r="K1718" s="5">
        <f t="shared" si="289"/>
        <v>0</v>
      </c>
      <c r="L1718">
        <f t="shared" si="290"/>
        <v>53.4</v>
      </c>
      <c r="M1718">
        <f t="shared" si="291"/>
        <v>1</v>
      </c>
      <c r="N1718">
        <f t="shared" si="292"/>
        <v>0</v>
      </c>
    </row>
    <row r="1719" spans="4:14" x14ac:dyDescent="0.2">
      <c r="D1719">
        <f t="shared" si="294"/>
        <v>1696</v>
      </c>
      <c r="E1719" s="1">
        <f t="shared" si="295"/>
        <v>-196.94820518953443</v>
      </c>
      <c r="F1719" s="1">
        <f t="shared" si="296"/>
        <v>-197.52481855383843</v>
      </c>
      <c r="G1719" s="1">
        <f t="shared" si="293"/>
        <v>1.6446037005101397E-86</v>
      </c>
      <c r="H1719" s="1">
        <f t="shared" si="286"/>
        <v>1.7037746273009803E-87</v>
      </c>
      <c r="I1719">
        <f t="shared" si="287"/>
        <v>8</v>
      </c>
      <c r="J1719">
        <f t="shared" si="288"/>
        <v>1686</v>
      </c>
      <c r="K1719" s="5">
        <f t="shared" si="289"/>
        <v>0</v>
      </c>
      <c r="L1719">
        <f t="shared" si="290"/>
        <v>53.4</v>
      </c>
      <c r="M1719">
        <f t="shared" si="291"/>
        <v>1</v>
      </c>
      <c r="N1719">
        <f t="shared" si="292"/>
        <v>0</v>
      </c>
    </row>
    <row r="1720" spans="4:14" x14ac:dyDescent="0.2">
      <c r="D1720">
        <f t="shared" si="294"/>
        <v>1697</v>
      </c>
      <c r="E1720" s="1">
        <f t="shared" si="295"/>
        <v>-197.06473900579039</v>
      </c>
      <c r="F1720" s="1">
        <f t="shared" si="296"/>
        <v>-197.64135237009438</v>
      </c>
      <c r="G1720" s="1">
        <f t="shared" si="293"/>
        <v>1.4636972934540235E-86</v>
      </c>
      <c r="H1720" s="1">
        <f t="shared" si="286"/>
        <v>1.5163594182978716E-87</v>
      </c>
      <c r="I1720">
        <f t="shared" si="287"/>
        <v>8</v>
      </c>
      <c r="J1720">
        <f t="shared" si="288"/>
        <v>1687</v>
      </c>
      <c r="K1720" s="5">
        <f t="shared" si="289"/>
        <v>0</v>
      </c>
      <c r="L1720">
        <f t="shared" si="290"/>
        <v>53.4</v>
      </c>
      <c r="M1720">
        <f t="shared" si="291"/>
        <v>1</v>
      </c>
      <c r="N1720">
        <f t="shared" si="292"/>
        <v>0</v>
      </c>
    </row>
    <row r="1721" spans="4:14" x14ac:dyDescent="0.2">
      <c r="D1721">
        <f t="shared" si="294"/>
        <v>1698</v>
      </c>
      <c r="E1721" s="1">
        <f t="shared" si="295"/>
        <v>-197.18127282204634</v>
      </c>
      <c r="F1721" s="1">
        <f t="shared" si="296"/>
        <v>-197.75788618635033</v>
      </c>
      <c r="G1721" s="1">
        <f t="shared" si="293"/>
        <v>1.30269059117408E-86</v>
      </c>
      <c r="H1721" s="1">
        <f t="shared" si="286"/>
        <v>1.3495598822851046E-87</v>
      </c>
      <c r="I1721">
        <f t="shared" si="287"/>
        <v>8</v>
      </c>
      <c r="J1721">
        <f t="shared" si="288"/>
        <v>1688</v>
      </c>
      <c r="K1721" s="5">
        <f t="shared" si="289"/>
        <v>0</v>
      </c>
      <c r="L1721">
        <f t="shared" si="290"/>
        <v>53.4</v>
      </c>
      <c r="M1721">
        <f t="shared" si="291"/>
        <v>1</v>
      </c>
      <c r="N1721">
        <f t="shared" si="292"/>
        <v>0</v>
      </c>
    </row>
    <row r="1722" spans="4:14" x14ac:dyDescent="0.2">
      <c r="D1722">
        <f t="shared" si="294"/>
        <v>1699</v>
      </c>
      <c r="E1722" s="1">
        <f t="shared" si="295"/>
        <v>-197.29780663830229</v>
      </c>
      <c r="F1722" s="1">
        <f t="shared" si="296"/>
        <v>-197.87442000260629</v>
      </c>
      <c r="G1722" s="1">
        <f t="shared" si="293"/>
        <v>1.1593946261449306E-86</v>
      </c>
      <c r="H1722" s="1">
        <f t="shared" si="286"/>
        <v>1.2011082952337425E-87</v>
      </c>
      <c r="I1722">
        <f t="shared" si="287"/>
        <v>8</v>
      </c>
      <c r="J1722">
        <f t="shared" si="288"/>
        <v>1689</v>
      </c>
      <c r="K1722" s="5">
        <f t="shared" si="289"/>
        <v>0</v>
      </c>
      <c r="L1722">
        <f t="shared" si="290"/>
        <v>53.4</v>
      </c>
      <c r="M1722">
        <f t="shared" si="291"/>
        <v>1</v>
      </c>
      <c r="N1722">
        <f t="shared" si="292"/>
        <v>0</v>
      </c>
    </row>
    <row r="1723" spans="4:14" x14ac:dyDescent="0.2">
      <c r="D1723">
        <f t="shared" si="294"/>
        <v>1700</v>
      </c>
      <c r="E1723" s="1">
        <f t="shared" si="295"/>
        <v>-197.41434045455824</v>
      </c>
      <c r="F1723" s="1">
        <f t="shared" si="296"/>
        <v>-197.99095381886224</v>
      </c>
      <c r="G1723" s="1">
        <f t="shared" si="293"/>
        <v>1.0318612172689875E-86</v>
      </c>
      <c r="H1723" s="1">
        <f t="shared" si="286"/>
        <v>1.06898638275803E-87</v>
      </c>
      <c r="I1723">
        <f t="shared" si="287"/>
        <v>8</v>
      </c>
      <c r="J1723">
        <f t="shared" si="288"/>
        <v>1690</v>
      </c>
      <c r="K1723" s="5">
        <f t="shared" si="289"/>
        <v>0</v>
      </c>
      <c r="L1723">
        <f t="shared" si="290"/>
        <v>53.4</v>
      </c>
      <c r="M1723">
        <f t="shared" si="291"/>
        <v>1</v>
      </c>
      <c r="N1723">
        <f t="shared" si="292"/>
        <v>0</v>
      </c>
    </row>
    <row r="1724" spans="4:14" x14ac:dyDescent="0.2">
      <c r="D1724">
        <f t="shared" si="294"/>
        <v>1701</v>
      </c>
      <c r="E1724" s="1">
        <f t="shared" si="295"/>
        <v>-197.53087427081419</v>
      </c>
      <c r="F1724" s="1">
        <f t="shared" si="296"/>
        <v>-198.10748763511819</v>
      </c>
      <c r="G1724" s="1">
        <f t="shared" si="293"/>
        <v>9.1835648336939833E-87</v>
      </c>
      <c r="H1724" s="1">
        <f t="shared" si="286"/>
        <v>9.5139788065464625E-88</v>
      </c>
      <c r="I1724">
        <f t="shared" si="287"/>
        <v>8</v>
      </c>
      <c r="J1724">
        <f t="shared" si="288"/>
        <v>1691</v>
      </c>
      <c r="K1724" s="5">
        <f t="shared" si="289"/>
        <v>0</v>
      </c>
      <c r="L1724">
        <f t="shared" si="290"/>
        <v>53.4</v>
      </c>
      <c r="M1724">
        <f t="shared" si="291"/>
        <v>1</v>
      </c>
      <c r="N1724">
        <f t="shared" si="292"/>
        <v>0</v>
      </c>
    </row>
    <row r="1725" spans="4:14" x14ac:dyDescent="0.2">
      <c r="D1725">
        <f t="shared" si="294"/>
        <v>1702</v>
      </c>
      <c r="E1725" s="1">
        <f t="shared" si="295"/>
        <v>-197.64740808707015</v>
      </c>
      <c r="F1725" s="1">
        <f t="shared" si="296"/>
        <v>-198.22402145137414</v>
      </c>
      <c r="G1725" s="1">
        <f t="shared" si="293"/>
        <v>8.1733727019876392E-87</v>
      </c>
      <c r="H1725" s="1">
        <f t="shared" si="286"/>
        <v>8.467441137826346E-88</v>
      </c>
      <c r="I1725">
        <f t="shared" si="287"/>
        <v>8</v>
      </c>
      <c r="J1725">
        <f t="shared" si="288"/>
        <v>1692</v>
      </c>
      <c r="K1725" s="5">
        <f t="shared" si="289"/>
        <v>0</v>
      </c>
      <c r="L1725">
        <f t="shared" si="290"/>
        <v>53.4</v>
      </c>
      <c r="M1725">
        <f t="shared" si="291"/>
        <v>1</v>
      </c>
      <c r="N1725">
        <f t="shared" si="292"/>
        <v>0</v>
      </c>
    </row>
    <row r="1726" spans="4:14" x14ac:dyDescent="0.2">
      <c r="D1726">
        <f t="shared" si="294"/>
        <v>1703</v>
      </c>
      <c r="E1726" s="1">
        <f t="shared" si="295"/>
        <v>-197.7639419033261</v>
      </c>
      <c r="F1726" s="1">
        <f t="shared" si="296"/>
        <v>-198.34055526763009</v>
      </c>
      <c r="G1726" s="1">
        <f t="shared" si="293"/>
        <v>7.2743017047689948E-87</v>
      </c>
      <c r="H1726" s="1">
        <f t="shared" si="286"/>
        <v>7.5360226126654429E-88</v>
      </c>
      <c r="I1726">
        <f t="shared" si="287"/>
        <v>8</v>
      </c>
      <c r="J1726">
        <f t="shared" si="288"/>
        <v>1693</v>
      </c>
      <c r="K1726" s="5">
        <f t="shared" si="289"/>
        <v>0</v>
      </c>
      <c r="L1726">
        <f t="shared" si="290"/>
        <v>53.4</v>
      </c>
      <c r="M1726">
        <f t="shared" si="291"/>
        <v>1</v>
      </c>
      <c r="N1726">
        <f t="shared" si="292"/>
        <v>0</v>
      </c>
    </row>
    <row r="1727" spans="4:14" x14ac:dyDescent="0.2">
      <c r="D1727">
        <f t="shared" si="294"/>
        <v>1704</v>
      </c>
      <c r="E1727" s="1">
        <f t="shared" si="295"/>
        <v>-197.88047571958205</v>
      </c>
      <c r="F1727" s="1">
        <f t="shared" si="296"/>
        <v>-198.45708908388605</v>
      </c>
      <c r="G1727" s="1">
        <f t="shared" si="293"/>
        <v>6.4741285172444015E-87</v>
      </c>
      <c r="H1727" s="1">
        <f t="shared" si="286"/>
        <v>6.7070601252722403E-88</v>
      </c>
      <c r="I1727">
        <f t="shared" si="287"/>
        <v>8</v>
      </c>
      <c r="J1727">
        <f t="shared" si="288"/>
        <v>1694</v>
      </c>
      <c r="K1727" s="5">
        <f t="shared" si="289"/>
        <v>0</v>
      </c>
      <c r="L1727">
        <f t="shared" si="290"/>
        <v>53.4</v>
      </c>
      <c r="M1727">
        <f t="shared" si="291"/>
        <v>1</v>
      </c>
      <c r="N1727">
        <f t="shared" si="292"/>
        <v>0</v>
      </c>
    </row>
    <row r="1728" spans="4:14" x14ac:dyDescent="0.2">
      <c r="D1728">
        <f t="shared" si="294"/>
        <v>1705</v>
      </c>
      <c r="E1728" s="1">
        <f t="shared" si="295"/>
        <v>-197.997009535838</v>
      </c>
      <c r="F1728" s="1">
        <f t="shared" si="296"/>
        <v>-198.573622900142</v>
      </c>
      <c r="G1728" s="1">
        <f t="shared" si="293"/>
        <v>5.761974380347514E-87</v>
      </c>
      <c r="H1728" s="1">
        <f t="shared" si="286"/>
        <v>5.9692835114922903E-88</v>
      </c>
      <c r="I1728">
        <f t="shared" si="287"/>
        <v>8</v>
      </c>
      <c r="J1728">
        <f t="shared" si="288"/>
        <v>1695</v>
      </c>
      <c r="K1728" s="5">
        <f t="shared" si="289"/>
        <v>0</v>
      </c>
      <c r="L1728">
        <f t="shared" si="290"/>
        <v>53.4</v>
      </c>
      <c r="M1728">
        <f t="shared" si="291"/>
        <v>1</v>
      </c>
      <c r="N1728">
        <f t="shared" si="292"/>
        <v>0</v>
      </c>
    </row>
    <row r="1729" spans="4:14" x14ac:dyDescent="0.2">
      <c r="D1729">
        <f t="shared" si="294"/>
        <v>1706</v>
      </c>
      <c r="E1729" s="1">
        <f t="shared" si="295"/>
        <v>-198.11354335209396</v>
      </c>
      <c r="F1729" s="1">
        <f t="shared" si="296"/>
        <v>-198.69015671639795</v>
      </c>
      <c r="G1729" s="1">
        <f t="shared" si="293"/>
        <v>5.1281571985092835E-87</v>
      </c>
      <c r="H1729" s="1">
        <f t="shared" si="286"/>
        <v>5.3126623252281348E-88</v>
      </c>
      <c r="I1729">
        <f t="shared" si="287"/>
        <v>8</v>
      </c>
      <c r="J1729">
        <f t="shared" si="288"/>
        <v>1696</v>
      </c>
      <c r="K1729" s="5">
        <f t="shared" si="289"/>
        <v>0</v>
      </c>
      <c r="L1729">
        <f t="shared" si="290"/>
        <v>53.4</v>
      </c>
      <c r="M1729">
        <f t="shared" si="291"/>
        <v>1</v>
      </c>
      <c r="N1729">
        <f t="shared" si="292"/>
        <v>0</v>
      </c>
    </row>
    <row r="1730" spans="4:14" x14ac:dyDescent="0.2">
      <c r="D1730">
        <f t="shared" si="294"/>
        <v>1707</v>
      </c>
      <c r="E1730" s="1">
        <f t="shared" si="295"/>
        <v>-198.23007716834991</v>
      </c>
      <c r="F1730" s="1">
        <f t="shared" si="296"/>
        <v>-198.8066905326539</v>
      </c>
      <c r="G1730" s="1">
        <f t="shared" si="293"/>
        <v>4.5640599066732601E-87</v>
      </c>
      <c r="H1730" s="1">
        <f t="shared" si="286"/>
        <v>4.7282694694530374E-88</v>
      </c>
      <c r="I1730">
        <f t="shared" si="287"/>
        <v>8</v>
      </c>
      <c r="J1730">
        <f t="shared" si="288"/>
        <v>1697</v>
      </c>
      <c r="K1730" s="5">
        <f t="shared" si="289"/>
        <v>0</v>
      </c>
      <c r="L1730">
        <f t="shared" si="290"/>
        <v>53.4</v>
      </c>
      <c r="M1730">
        <f t="shared" si="291"/>
        <v>1</v>
      </c>
      <c r="N1730">
        <f t="shared" si="292"/>
        <v>0</v>
      </c>
    </row>
    <row r="1731" spans="4:14" x14ac:dyDescent="0.2">
      <c r="D1731">
        <f t="shared" si="294"/>
        <v>1708</v>
      </c>
      <c r="E1731" s="1">
        <f t="shared" si="295"/>
        <v>-198.34661098460586</v>
      </c>
      <c r="F1731" s="1">
        <f t="shared" si="296"/>
        <v>-198.92322434890986</v>
      </c>
      <c r="G1731" s="1">
        <f t="shared" si="293"/>
        <v>4.0620133169391983E-87</v>
      </c>
      <c r="H1731" s="1">
        <f t="shared" si="286"/>
        <v>4.2081598278132001E-88</v>
      </c>
      <c r="I1731">
        <f t="shared" si="287"/>
        <v>8</v>
      </c>
      <c r="J1731">
        <f t="shared" si="288"/>
        <v>1698</v>
      </c>
      <c r="K1731" s="5">
        <f t="shared" si="289"/>
        <v>0</v>
      </c>
      <c r="L1731">
        <f t="shared" si="290"/>
        <v>53.4</v>
      </c>
      <c r="M1731">
        <f t="shared" si="291"/>
        <v>1</v>
      </c>
      <c r="N1731">
        <f t="shared" si="292"/>
        <v>0</v>
      </c>
    </row>
    <row r="1732" spans="4:14" x14ac:dyDescent="0.2">
      <c r="D1732">
        <f t="shared" si="294"/>
        <v>1709</v>
      </c>
      <c r="E1732" s="1">
        <f t="shared" si="295"/>
        <v>-198.46314480086181</v>
      </c>
      <c r="F1732" s="1">
        <f t="shared" si="296"/>
        <v>-199.03975816516581</v>
      </c>
      <c r="G1732" s="1">
        <f t="shared" si="293"/>
        <v>3.6151918520758848E-87</v>
      </c>
      <c r="H1732" s="1">
        <f t="shared" si="286"/>
        <v>3.7452622467537465E-88</v>
      </c>
      <c r="I1732">
        <f t="shared" si="287"/>
        <v>8</v>
      </c>
      <c r="J1732">
        <f t="shared" si="288"/>
        <v>1699</v>
      </c>
      <c r="K1732" s="5">
        <f t="shared" si="289"/>
        <v>0</v>
      </c>
      <c r="L1732">
        <f t="shared" si="290"/>
        <v>53.4</v>
      </c>
      <c r="M1732">
        <f t="shared" si="291"/>
        <v>1</v>
      </c>
      <c r="N1732">
        <f t="shared" si="292"/>
        <v>0</v>
      </c>
    </row>
    <row r="1733" spans="4:14" x14ac:dyDescent="0.2">
      <c r="D1733">
        <f t="shared" si="294"/>
        <v>1710</v>
      </c>
      <c r="E1733" s="1">
        <f t="shared" si="295"/>
        <v>-198.57967861711776</v>
      </c>
      <c r="F1733" s="1">
        <f t="shared" si="296"/>
        <v>-199.15629198142176</v>
      </c>
      <c r="G1733" s="1">
        <f t="shared" si="293"/>
        <v>3.2175207483475352E-87</v>
      </c>
      <c r="H1733" s="1">
        <f t="shared" si="286"/>
        <v>3.3332833996108319E-88</v>
      </c>
      <c r="I1733">
        <f t="shared" si="287"/>
        <v>8</v>
      </c>
      <c r="J1733">
        <f t="shared" si="288"/>
        <v>1700</v>
      </c>
      <c r="K1733" s="5">
        <f t="shared" si="289"/>
        <v>0</v>
      </c>
      <c r="L1733">
        <f t="shared" si="290"/>
        <v>53.4</v>
      </c>
      <c r="M1733">
        <f t="shared" si="291"/>
        <v>1</v>
      </c>
      <c r="N1733">
        <f t="shared" si="292"/>
        <v>0</v>
      </c>
    </row>
    <row r="1734" spans="4:14" x14ac:dyDescent="0.2">
      <c r="D1734">
        <f t="shared" si="294"/>
        <v>1711</v>
      </c>
      <c r="E1734" s="1">
        <f t="shared" si="295"/>
        <v>-198.69621243337372</v>
      </c>
      <c r="F1734" s="1">
        <f t="shared" si="296"/>
        <v>-199.27282579767771</v>
      </c>
      <c r="G1734" s="1">
        <f t="shared" si="293"/>
        <v>2.8635934660293043E-87</v>
      </c>
      <c r="H1734" s="1">
        <f t="shared" si="286"/>
        <v>2.966622225653638E-88</v>
      </c>
      <c r="I1734">
        <f t="shared" si="287"/>
        <v>8</v>
      </c>
      <c r="J1734">
        <f t="shared" si="288"/>
        <v>1701</v>
      </c>
      <c r="K1734" s="5">
        <f t="shared" si="289"/>
        <v>0</v>
      </c>
      <c r="L1734">
        <f t="shared" si="290"/>
        <v>53.4</v>
      </c>
      <c r="M1734">
        <f t="shared" si="291"/>
        <v>1</v>
      </c>
      <c r="N1734">
        <f t="shared" si="292"/>
        <v>0</v>
      </c>
    </row>
    <row r="1735" spans="4:14" x14ac:dyDescent="0.2">
      <c r="D1735">
        <f t="shared" si="294"/>
        <v>1712</v>
      </c>
      <c r="E1735" s="1">
        <f t="shared" si="295"/>
        <v>-198.81274624962967</v>
      </c>
      <c r="F1735" s="1">
        <f t="shared" si="296"/>
        <v>-199.38935961393366</v>
      </c>
      <c r="G1735" s="1">
        <f t="shared" si="293"/>
        <v>2.5485981847660793E-87</v>
      </c>
      <c r="H1735" s="1">
        <f t="shared" si="286"/>
        <v>2.6402937808317365E-88</v>
      </c>
      <c r="I1735">
        <f t="shared" si="287"/>
        <v>8</v>
      </c>
      <c r="J1735">
        <f t="shared" si="288"/>
        <v>1702</v>
      </c>
      <c r="K1735" s="5">
        <f t="shared" si="289"/>
        <v>0</v>
      </c>
      <c r="L1735">
        <f t="shared" si="290"/>
        <v>53.4</v>
      </c>
      <c r="M1735">
        <f t="shared" si="291"/>
        <v>1</v>
      </c>
      <c r="N1735">
        <f t="shared" si="292"/>
        <v>0</v>
      </c>
    </row>
    <row r="1736" spans="4:14" x14ac:dyDescent="0.2">
      <c r="D1736">
        <f t="shared" si="294"/>
        <v>1713</v>
      </c>
      <c r="E1736" s="1">
        <f t="shared" si="295"/>
        <v>-198.92928006588562</v>
      </c>
      <c r="F1736" s="1">
        <f t="shared" si="296"/>
        <v>-199.50589343018962</v>
      </c>
      <c r="G1736" s="1">
        <f t="shared" si="293"/>
        <v>2.2682523844418094E-87</v>
      </c>
      <c r="H1736" s="1">
        <f t="shared" si="286"/>
        <v>2.3498614649402441E-88</v>
      </c>
      <c r="I1736">
        <f t="shared" si="287"/>
        <v>8</v>
      </c>
      <c r="J1736">
        <f t="shared" si="288"/>
        <v>1703</v>
      </c>
      <c r="K1736" s="5">
        <f t="shared" si="289"/>
        <v>0</v>
      </c>
      <c r="L1736">
        <f t="shared" si="290"/>
        <v>53.4</v>
      </c>
      <c r="M1736">
        <f t="shared" si="291"/>
        <v>1</v>
      </c>
      <c r="N1736">
        <f t="shared" si="292"/>
        <v>0</v>
      </c>
    </row>
    <row r="1737" spans="4:14" x14ac:dyDescent="0.2">
      <c r="D1737">
        <f t="shared" si="294"/>
        <v>1714</v>
      </c>
      <c r="E1737" s="1">
        <f t="shared" si="295"/>
        <v>-199.04581388214157</v>
      </c>
      <c r="F1737" s="1">
        <f t="shared" si="296"/>
        <v>-199.62242724644557</v>
      </c>
      <c r="G1737" s="1">
        <f t="shared" si="293"/>
        <v>2.0187446221532091E-87</v>
      </c>
      <c r="H1737" s="1">
        <f t="shared" si="286"/>
        <v>2.091376703796816E-88</v>
      </c>
      <c r="I1737">
        <f t="shared" si="287"/>
        <v>8</v>
      </c>
      <c r="J1737">
        <f t="shared" si="288"/>
        <v>1704</v>
      </c>
      <c r="K1737" s="5">
        <f t="shared" si="289"/>
        <v>0</v>
      </c>
      <c r="L1737">
        <f t="shared" si="290"/>
        <v>53.4</v>
      </c>
      <c r="M1737">
        <f t="shared" si="291"/>
        <v>1</v>
      </c>
      <c r="N1737">
        <f t="shared" si="292"/>
        <v>0</v>
      </c>
    </row>
    <row r="1738" spans="4:14" x14ac:dyDescent="0.2">
      <c r="D1738">
        <f t="shared" si="294"/>
        <v>1715</v>
      </c>
      <c r="E1738" s="1">
        <f t="shared" si="295"/>
        <v>-199.16234769839753</v>
      </c>
      <c r="F1738" s="1">
        <f t="shared" si="296"/>
        <v>-199.73896106270152</v>
      </c>
      <c r="G1738" s="1">
        <f t="shared" si="293"/>
        <v>1.7966827137163549E-87</v>
      </c>
      <c r="H1738" s="1">
        <f t="shared" si="286"/>
        <v>1.861325266379165E-88</v>
      </c>
      <c r="I1738">
        <f t="shared" si="287"/>
        <v>8</v>
      </c>
      <c r="J1738">
        <f t="shared" si="288"/>
        <v>1705</v>
      </c>
      <c r="K1738" s="5">
        <f t="shared" si="289"/>
        <v>0</v>
      </c>
      <c r="L1738">
        <f t="shared" si="290"/>
        <v>53.4</v>
      </c>
      <c r="M1738">
        <f t="shared" si="291"/>
        <v>1</v>
      </c>
      <c r="N1738">
        <f t="shared" si="292"/>
        <v>0</v>
      </c>
    </row>
    <row r="1739" spans="4:14" x14ac:dyDescent="0.2">
      <c r="D1739">
        <f t="shared" si="294"/>
        <v>1716</v>
      </c>
      <c r="E1739" s="1">
        <f t="shared" si="295"/>
        <v>-199.27888151465348</v>
      </c>
      <c r="F1739" s="1">
        <f t="shared" si="296"/>
        <v>-199.85549487895747</v>
      </c>
      <c r="G1739" s="1">
        <f t="shared" si="293"/>
        <v>1.5990476152075548E-87</v>
      </c>
      <c r="H1739" s="1">
        <f t="shared" si="286"/>
        <v>1.6565794870774559E-88</v>
      </c>
      <c r="I1739">
        <f t="shared" si="287"/>
        <v>8</v>
      </c>
      <c r="J1739">
        <f t="shared" si="288"/>
        <v>1706</v>
      </c>
      <c r="K1739" s="5">
        <f t="shared" si="289"/>
        <v>0</v>
      </c>
      <c r="L1739">
        <f t="shared" si="290"/>
        <v>53.4</v>
      </c>
      <c r="M1739">
        <f t="shared" si="291"/>
        <v>1</v>
      </c>
      <c r="N1739">
        <f t="shared" si="292"/>
        <v>0</v>
      </c>
    </row>
    <row r="1740" spans="4:14" x14ac:dyDescent="0.2">
      <c r="D1740">
        <f t="shared" si="294"/>
        <v>1717</v>
      </c>
      <c r="E1740" s="1">
        <f t="shared" si="295"/>
        <v>-199.39541533090943</v>
      </c>
      <c r="F1740" s="1">
        <f t="shared" si="296"/>
        <v>-199.97202869521342</v>
      </c>
      <c r="G1740" s="1">
        <f t="shared" si="293"/>
        <v>1.4231523775347229E-87</v>
      </c>
      <c r="H1740" s="1">
        <f t="shared" si="286"/>
        <v>1.4743557434989347E-88</v>
      </c>
      <c r="I1740">
        <f t="shared" si="287"/>
        <v>8</v>
      </c>
      <c r="J1740">
        <f t="shared" si="288"/>
        <v>1707</v>
      </c>
      <c r="K1740" s="5">
        <f t="shared" si="289"/>
        <v>0</v>
      </c>
      <c r="L1740">
        <f t="shared" si="290"/>
        <v>53.4</v>
      </c>
      <c r="M1740">
        <f t="shared" si="291"/>
        <v>1</v>
      </c>
      <c r="N1740">
        <f t="shared" si="292"/>
        <v>0</v>
      </c>
    </row>
    <row r="1741" spans="4:14" x14ac:dyDescent="0.2">
      <c r="D1741">
        <f t="shared" si="294"/>
        <v>1718</v>
      </c>
      <c r="E1741" s="1">
        <f t="shared" si="295"/>
        <v>-199.51194914716538</v>
      </c>
      <c r="F1741" s="1">
        <f t="shared" si="296"/>
        <v>-200.08856251146938</v>
      </c>
      <c r="G1741" s="1">
        <f t="shared" si="293"/>
        <v>1.2666056160059025E-87</v>
      </c>
      <c r="H1741" s="1">
        <f t="shared" si="286"/>
        <v>1.312176611714051E-88</v>
      </c>
      <c r="I1741">
        <f t="shared" si="287"/>
        <v>8</v>
      </c>
      <c r="J1741">
        <f t="shared" si="288"/>
        <v>1708</v>
      </c>
      <c r="K1741" s="5">
        <f t="shared" si="289"/>
        <v>0</v>
      </c>
      <c r="L1741">
        <f t="shared" si="290"/>
        <v>53.4</v>
      </c>
      <c r="M1741">
        <f t="shared" si="291"/>
        <v>1</v>
      </c>
      <c r="N1741">
        <f t="shared" si="292"/>
        <v>0</v>
      </c>
    </row>
    <row r="1742" spans="4:14" x14ac:dyDescent="0.2">
      <c r="D1742">
        <f t="shared" si="294"/>
        <v>1719</v>
      </c>
      <c r="E1742" s="1">
        <f t="shared" si="295"/>
        <v>-199.62848296342133</v>
      </c>
      <c r="F1742" s="1">
        <f t="shared" si="296"/>
        <v>-200.20509632772533</v>
      </c>
      <c r="G1742" s="1">
        <f t="shared" si="293"/>
        <v>1.1272789982452525E-87</v>
      </c>
      <c r="H1742" s="1">
        <f t="shared" si="286"/>
        <v>1.1678371844255046E-88</v>
      </c>
      <c r="I1742">
        <f t="shared" si="287"/>
        <v>8</v>
      </c>
      <c r="J1742">
        <f t="shared" si="288"/>
        <v>1709</v>
      </c>
      <c r="K1742" s="5">
        <f t="shared" si="289"/>
        <v>0</v>
      </c>
      <c r="L1742">
        <f t="shared" si="290"/>
        <v>53.4</v>
      </c>
      <c r="M1742">
        <f t="shared" si="291"/>
        <v>1</v>
      </c>
      <c r="N1742">
        <f t="shared" si="292"/>
        <v>0</v>
      </c>
    </row>
    <row r="1743" spans="4:14" x14ac:dyDescent="0.2">
      <c r="D1743">
        <f t="shared" si="294"/>
        <v>1720</v>
      </c>
      <c r="E1743" s="1">
        <f t="shared" si="295"/>
        <v>-199.74501677967729</v>
      </c>
      <c r="F1743" s="1">
        <f t="shared" si="296"/>
        <v>-200.32163014398128</v>
      </c>
      <c r="G1743" s="1">
        <f t="shared" si="293"/>
        <v>1.0032783084382742E-87</v>
      </c>
      <c r="H1743" s="1">
        <f t="shared" si="286"/>
        <v>1.0393750941386987E-88</v>
      </c>
      <c r="I1743">
        <f t="shared" si="287"/>
        <v>8</v>
      </c>
      <c r="J1743">
        <f t="shared" si="288"/>
        <v>1710</v>
      </c>
      <c r="K1743" s="5">
        <f t="shared" si="289"/>
        <v>0</v>
      </c>
      <c r="L1743">
        <f t="shared" si="290"/>
        <v>53.4</v>
      </c>
      <c r="M1743">
        <f t="shared" si="291"/>
        <v>1</v>
      </c>
      <c r="N1743">
        <f t="shared" si="292"/>
        <v>0</v>
      </c>
    </row>
    <row r="1744" spans="4:14" x14ac:dyDescent="0.2">
      <c r="D1744">
        <f t="shared" si="294"/>
        <v>1721</v>
      </c>
      <c r="E1744" s="1">
        <f t="shared" si="295"/>
        <v>-199.86155059593324</v>
      </c>
      <c r="F1744" s="1">
        <f t="shared" si="296"/>
        <v>-200.43816396023723</v>
      </c>
      <c r="G1744" s="1">
        <f t="shared" si="293"/>
        <v>8.9291769451006349E-88</v>
      </c>
      <c r="H1744" s="1">
        <f t="shared" si="286"/>
        <v>9.2504383378344114E-89</v>
      </c>
      <c r="I1744">
        <f t="shared" si="287"/>
        <v>8</v>
      </c>
      <c r="J1744">
        <f t="shared" si="288"/>
        <v>1711</v>
      </c>
      <c r="K1744" s="5">
        <f t="shared" si="289"/>
        <v>0</v>
      </c>
      <c r="L1744">
        <f t="shared" si="290"/>
        <v>53.4</v>
      </c>
      <c r="M1744">
        <f t="shared" si="291"/>
        <v>1</v>
      </c>
      <c r="N1744">
        <f t="shared" si="292"/>
        <v>0</v>
      </c>
    </row>
    <row r="1745" spans="4:14" x14ac:dyDescent="0.2">
      <c r="D1745">
        <f t="shared" si="294"/>
        <v>1722</v>
      </c>
      <c r="E1745" s="1">
        <f t="shared" si="295"/>
        <v>-199.97808441218919</v>
      </c>
      <c r="F1745" s="1">
        <f t="shared" si="296"/>
        <v>-200.55469777649319</v>
      </c>
      <c r="G1745" s="1">
        <f t="shared" si="293"/>
        <v>7.9469674811395598E-88</v>
      </c>
      <c r="H1745" s="1">
        <f t="shared" si="286"/>
        <v>8.2328901206726209E-89</v>
      </c>
      <c r="I1745">
        <f t="shared" si="287"/>
        <v>8</v>
      </c>
      <c r="J1745">
        <f t="shared" si="288"/>
        <v>1712</v>
      </c>
      <c r="K1745" s="5">
        <f t="shared" si="289"/>
        <v>0</v>
      </c>
      <c r="L1745">
        <f t="shared" si="290"/>
        <v>53.4</v>
      </c>
      <c r="M1745">
        <f t="shared" si="291"/>
        <v>1</v>
      </c>
      <c r="N1745">
        <f t="shared" si="292"/>
        <v>0</v>
      </c>
    </row>
    <row r="1746" spans="4:14" x14ac:dyDescent="0.2">
      <c r="D1746">
        <f t="shared" si="294"/>
        <v>1723</v>
      </c>
      <c r="E1746" s="1">
        <f t="shared" si="295"/>
        <v>-200.09461822844514</v>
      </c>
      <c r="F1746" s="1">
        <f t="shared" si="296"/>
        <v>-200.67123159274914</v>
      </c>
      <c r="G1746" s="1">
        <f t="shared" si="293"/>
        <v>7.0728010582142037E-88</v>
      </c>
      <c r="H1746" s="1">
        <f t="shared" si="286"/>
        <v>7.3272722073986284E-89</v>
      </c>
      <c r="I1746">
        <f t="shared" si="287"/>
        <v>8</v>
      </c>
      <c r="J1746">
        <f t="shared" si="288"/>
        <v>1713</v>
      </c>
      <c r="K1746" s="5">
        <f t="shared" si="289"/>
        <v>0</v>
      </c>
      <c r="L1746">
        <f t="shared" si="290"/>
        <v>53.4</v>
      </c>
      <c r="M1746">
        <f t="shared" si="291"/>
        <v>1</v>
      </c>
      <c r="N1746">
        <f t="shared" si="292"/>
        <v>0</v>
      </c>
    </row>
    <row r="1747" spans="4:14" x14ac:dyDescent="0.2">
      <c r="D1747">
        <f t="shared" si="294"/>
        <v>1724</v>
      </c>
      <c r="E1747" s="1">
        <f t="shared" si="295"/>
        <v>-200.21115204470109</v>
      </c>
      <c r="F1747" s="1">
        <f t="shared" si="296"/>
        <v>-200.78776540900509</v>
      </c>
      <c r="G1747" s="1">
        <f t="shared" si="293"/>
        <v>6.2947929418106373E-88</v>
      </c>
      <c r="H1747" s="1">
        <f t="shared" si="286"/>
        <v>6.5212722645847743E-89</v>
      </c>
      <c r="I1747">
        <f t="shared" si="287"/>
        <v>8</v>
      </c>
      <c r="J1747">
        <f t="shared" si="288"/>
        <v>1714</v>
      </c>
      <c r="K1747" s="5">
        <f t="shared" si="289"/>
        <v>0</v>
      </c>
      <c r="L1747">
        <f t="shared" si="290"/>
        <v>53.4</v>
      </c>
      <c r="M1747">
        <f t="shared" si="291"/>
        <v>1</v>
      </c>
      <c r="N1747">
        <f t="shared" si="292"/>
        <v>0</v>
      </c>
    </row>
    <row r="1748" spans="4:14" x14ac:dyDescent="0.2">
      <c r="D1748">
        <f t="shared" si="294"/>
        <v>1725</v>
      </c>
      <c r="E1748" s="1">
        <f t="shared" si="295"/>
        <v>-200.32768586095705</v>
      </c>
      <c r="F1748" s="1">
        <f t="shared" si="296"/>
        <v>-200.90429922526104</v>
      </c>
      <c r="G1748" s="1">
        <f t="shared" si="293"/>
        <v>5.6023657182114632E-88</v>
      </c>
      <c r="H1748" s="1">
        <f t="shared" si="286"/>
        <v>5.8039323154804455E-89</v>
      </c>
      <c r="I1748">
        <f t="shared" si="287"/>
        <v>8</v>
      </c>
      <c r="J1748">
        <f t="shared" si="288"/>
        <v>1715</v>
      </c>
      <c r="K1748" s="5">
        <f t="shared" si="289"/>
        <v>0</v>
      </c>
      <c r="L1748">
        <f t="shared" si="290"/>
        <v>53.4</v>
      </c>
      <c r="M1748">
        <f t="shared" si="291"/>
        <v>1</v>
      </c>
      <c r="N1748">
        <f t="shared" si="292"/>
        <v>0</v>
      </c>
    </row>
    <row r="1749" spans="4:14" x14ac:dyDescent="0.2">
      <c r="D1749">
        <f t="shared" si="294"/>
        <v>1726</v>
      </c>
      <c r="E1749" s="1">
        <f t="shared" si="295"/>
        <v>-200.444219677213</v>
      </c>
      <c r="F1749" s="1">
        <f t="shared" si="296"/>
        <v>-201.02083304151699</v>
      </c>
      <c r="G1749" s="1">
        <f t="shared" si="293"/>
        <v>4.9861054892081992E-88</v>
      </c>
      <c r="H1749" s="1">
        <f t="shared" si="286"/>
        <v>5.1654997607775934E-89</v>
      </c>
      <c r="I1749">
        <f t="shared" si="287"/>
        <v>8</v>
      </c>
      <c r="J1749">
        <f t="shared" si="288"/>
        <v>1716</v>
      </c>
      <c r="K1749" s="5">
        <f t="shared" si="289"/>
        <v>0</v>
      </c>
      <c r="L1749">
        <f t="shared" si="290"/>
        <v>53.4</v>
      </c>
      <c r="M1749">
        <f t="shared" si="291"/>
        <v>1</v>
      </c>
      <c r="N1749">
        <f t="shared" si="292"/>
        <v>0</v>
      </c>
    </row>
    <row r="1750" spans="4:14" x14ac:dyDescent="0.2">
      <c r="D1750">
        <f t="shared" si="294"/>
        <v>1727</v>
      </c>
      <c r="E1750" s="1">
        <f t="shared" si="295"/>
        <v>-200.56075349346895</v>
      </c>
      <c r="F1750" s="1">
        <f t="shared" si="296"/>
        <v>-201.13736685777295</v>
      </c>
      <c r="G1750" s="1">
        <f t="shared" si="293"/>
        <v>4.437633885395295E-88</v>
      </c>
      <c r="H1750" s="1">
        <f t="shared" si="286"/>
        <v>4.5972947870920556E-89</v>
      </c>
      <c r="I1750">
        <f t="shared" si="287"/>
        <v>8</v>
      </c>
      <c r="J1750">
        <f t="shared" si="288"/>
        <v>1717</v>
      </c>
      <c r="K1750" s="5">
        <f t="shared" si="289"/>
        <v>0</v>
      </c>
      <c r="L1750">
        <f t="shared" si="290"/>
        <v>53.4</v>
      </c>
      <c r="M1750">
        <f t="shared" si="291"/>
        <v>1</v>
      </c>
      <c r="N1750">
        <f t="shared" si="292"/>
        <v>0</v>
      </c>
    </row>
    <row r="1751" spans="4:14" x14ac:dyDescent="0.2">
      <c r="D1751">
        <f t="shared" si="294"/>
        <v>1728</v>
      </c>
      <c r="E1751" s="1">
        <f t="shared" si="295"/>
        <v>-200.6772873097249</v>
      </c>
      <c r="F1751" s="1">
        <f t="shared" si="296"/>
        <v>-201.2539006740289</v>
      </c>
      <c r="G1751" s="1">
        <f t="shared" si="293"/>
        <v>3.9494941580018098E-88</v>
      </c>
      <c r="H1751" s="1">
        <f t="shared" ref="H1751:H1814" si="297">G1751/$G$21</f>
        <v>4.091592360511927E-89</v>
      </c>
      <c r="I1751">
        <f t="shared" ref="I1751:I1814" si="298">IF($F$11&lt;=D1751, IF(D1751&lt;=$A$15,D1751-$F$11,$C$11),0)</f>
        <v>8</v>
      </c>
      <c r="J1751">
        <f t="shared" ref="J1751:J1814" si="299">IF(D1751&lt;=$A$15,0,D1751-$A$15)</f>
        <v>1718</v>
      </c>
      <c r="K1751" s="5">
        <f t="shared" ref="K1751:K1814" si="300">IF(D1751&lt;$F$11,H1751,0)</f>
        <v>0</v>
      </c>
      <c r="L1751">
        <f t="shared" ref="L1751:L1814" si="301">IF(D1751&lt;$A$15,$D$11,$D$11*(1-$H$11))</f>
        <v>53.4</v>
      </c>
      <c r="M1751">
        <f t="shared" ref="M1751:M1814" si="302">IF(D1751&lt;$A$15,0,1)</f>
        <v>1</v>
      </c>
      <c r="N1751">
        <f t="shared" ref="N1751:N1814" si="303">IF(SUM(I1751:J1751)&lt;=($G$11/60*$F$11/($E$11/60)),1,0)</f>
        <v>0</v>
      </c>
    </row>
    <row r="1752" spans="4:14" x14ac:dyDescent="0.2">
      <c r="D1752">
        <f t="shared" si="294"/>
        <v>1729</v>
      </c>
      <c r="E1752" s="1">
        <f t="shared" si="295"/>
        <v>-200.79382112598086</v>
      </c>
      <c r="F1752" s="1">
        <f t="shared" si="296"/>
        <v>-201.37043449028485</v>
      </c>
      <c r="G1752" s="1">
        <f t="shared" ref="G1752:G1815" si="304">EXP(F1752)</f>
        <v>3.5150498006216083E-88</v>
      </c>
      <c r="H1752" s="1">
        <f t="shared" si="297"/>
        <v>3.6415172008556121E-89</v>
      </c>
      <c r="I1752">
        <f t="shared" si="298"/>
        <v>8</v>
      </c>
      <c r="J1752">
        <f t="shared" si="299"/>
        <v>1719</v>
      </c>
      <c r="K1752" s="5">
        <f t="shared" si="300"/>
        <v>0</v>
      </c>
      <c r="L1752">
        <f t="shared" si="301"/>
        <v>53.4</v>
      </c>
      <c r="M1752">
        <f t="shared" si="302"/>
        <v>1</v>
      </c>
      <c r="N1752">
        <f t="shared" si="303"/>
        <v>0</v>
      </c>
    </row>
    <row r="1753" spans="4:14" x14ac:dyDescent="0.2">
      <c r="D1753">
        <f t="shared" ref="D1753:D1816" si="305">1+D1752</f>
        <v>1730</v>
      </c>
      <c r="E1753" s="1">
        <f t="shared" ref="E1753:E1816" si="306">IF($H$11=1,IF(D1753&lt;=$A$15, E1752+LN($D$11)-LN(60/$E$11)-LN(MIN(D1753,$F$11)), E1752-LN(60/$E$11)-LN(MIN(D1753,$F$11))), IF(D1753&lt;=$A$15, E1752+LN($D$11)-LN(60/$E$11)-LN(MIN(D1753,$F$11)), E1752+LN($D$11)+LN(1-$H$11)-LN(60/$E$11)-LN(MIN(D1753,$F$11))))</f>
        <v>-200.91035494223681</v>
      </c>
      <c r="F1753" s="1">
        <f t="shared" ref="F1753:F1816" si="307">E1753-$E$21</f>
        <v>-201.4869683065408</v>
      </c>
      <c r="G1753" s="1">
        <f t="shared" si="304"/>
        <v>3.1283943225532297E-88</v>
      </c>
      <c r="H1753" s="1">
        <f t="shared" si="297"/>
        <v>3.2409503087614934E-89</v>
      </c>
      <c r="I1753">
        <f t="shared" si="298"/>
        <v>8</v>
      </c>
      <c r="J1753">
        <f t="shared" si="299"/>
        <v>1720</v>
      </c>
      <c r="K1753" s="5">
        <f t="shared" si="300"/>
        <v>0</v>
      </c>
      <c r="L1753">
        <f t="shared" si="301"/>
        <v>53.4</v>
      </c>
      <c r="M1753">
        <f t="shared" si="302"/>
        <v>1</v>
      </c>
      <c r="N1753">
        <f t="shared" si="303"/>
        <v>0</v>
      </c>
    </row>
    <row r="1754" spans="4:14" x14ac:dyDescent="0.2">
      <c r="D1754">
        <f t="shared" si="305"/>
        <v>1731</v>
      </c>
      <c r="E1754" s="1">
        <f t="shared" si="306"/>
        <v>-201.02688875849276</v>
      </c>
      <c r="F1754" s="1">
        <f t="shared" si="307"/>
        <v>-201.60350212279675</v>
      </c>
      <c r="G1754" s="1">
        <f t="shared" si="304"/>
        <v>2.7842709470723723E-88</v>
      </c>
      <c r="H1754" s="1">
        <f t="shared" si="297"/>
        <v>2.8844457747977268E-89</v>
      </c>
      <c r="I1754">
        <f t="shared" si="298"/>
        <v>8</v>
      </c>
      <c r="J1754">
        <f t="shared" si="299"/>
        <v>1721</v>
      </c>
      <c r="K1754" s="5">
        <f t="shared" si="300"/>
        <v>0</v>
      </c>
      <c r="L1754">
        <f t="shared" si="301"/>
        <v>53.4</v>
      </c>
      <c r="M1754">
        <f t="shared" si="302"/>
        <v>1</v>
      </c>
      <c r="N1754">
        <f t="shared" si="303"/>
        <v>0</v>
      </c>
    </row>
    <row r="1755" spans="4:14" x14ac:dyDescent="0.2">
      <c r="D1755">
        <f t="shared" si="305"/>
        <v>1732</v>
      </c>
      <c r="E1755" s="1">
        <f t="shared" si="306"/>
        <v>-201.14342257474871</v>
      </c>
      <c r="F1755" s="1">
        <f t="shared" si="307"/>
        <v>-201.72003593905271</v>
      </c>
      <c r="G1755" s="1">
        <f t="shared" si="304"/>
        <v>2.4780011428944099E-88</v>
      </c>
      <c r="H1755" s="1">
        <f t="shared" si="297"/>
        <v>2.5671567395699755E-89</v>
      </c>
      <c r="I1755">
        <f t="shared" si="298"/>
        <v>8</v>
      </c>
      <c r="J1755">
        <f t="shared" si="299"/>
        <v>1722</v>
      </c>
      <c r="K1755" s="5">
        <f t="shared" si="300"/>
        <v>0</v>
      </c>
      <c r="L1755">
        <f t="shared" si="301"/>
        <v>53.4</v>
      </c>
      <c r="M1755">
        <f t="shared" si="302"/>
        <v>1</v>
      </c>
      <c r="N1755">
        <f t="shared" si="303"/>
        <v>0</v>
      </c>
    </row>
    <row r="1756" spans="4:14" x14ac:dyDescent="0.2">
      <c r="D1756">
        <f t="shared" si="305"/>
        <v>1733</v>
      </c>
      <c r="E1756" s="1">
        <f t="shared" si="306"/>
        <v>-201.25995639100466</v>
      </c>
      <c r="F1756" s="1">
        <f t="shared" si="307"/>
        <v>-201.83656975530866</v>
      </c>
      <c r="G1756" s="1">
        <f t="shared" si="304"/>
        <v>2.2054210171760236E-88</v>
      </c>
      <c r="H1756" s="1">
        <f t="shared" si="297"/>
        <v>2.2847694982172768E-89</v>
      </c>
      <c r="I1756">
        <f t="shared" si="298"/>
        <v>8</v>
      </c>
      <c r="J1756">
        <f t="shared" si="299"/>
        <v>1723</v>
      </c>
      <c r="K1756" s="5">
        <f t="shared" si="300"/>
        <v>0</v>
      </c>
      <c r="L1756">
        <f t="shared" si="301"/>
        <v>53.4</v>
      </c>
      <c r="M1756">
        <f t="shared" si="302"/>
        <v>1</v>
      </c>
      <c r="N1756">
        <f t="shared" si="303"/>
        <v>0</v>
      </c>
    </row>
    <row r="1757" spans="4:14" x14ac:dyDescent="0.2">
      <c r="D1757">
        <f t="shared" si="305"/>
        <v>1734</v>
      </c>
      <c r="E1757" s="1">
        <f t="shared" si="306"/>
        <v>-201.37649020726062</v>
      </c>
      <c r="F1757" s="1">
        <f t="shared" si="307"/>
        <v>-201.95310357156461</v>
      </c>
      <c r="G1757" s="1">
        <f t="shared" si="304"/>
        <v>1.9628247052866598E-88</v>
      </c>
      <c r="H1757" s="1">
        <f t="shared" si="297"/>
        <v>2.0334448534133751E-89</v>
      </c>
      <c r="I1757">
        <f t="shared" si="298"/>
        <v>8</v>
      </c>
      <c r="J1757">
        <f t="shared" si="299"/>
        <v>1724</v>
      </c>
      <c r="K1757" s="5">
        <f t="shared" si="300"/>
        <v>0</v>
      </c>
      <c r="L1757">
        <f t="shared" si="301"/>
        <v>53.4</v>
      </c>
      <c r="M1757">
        <f t="shared" si="302"/>
        <v>1</v>
      </c>
      <c r="N1757">
        <f t="shared" si="303"/>
        <v>0</v>
      </c>
    </row>
    <row r="1758" spans="4:14" x14ac:dyDescent="0.2">
      <c r="D1758">
        <f t="shared" si="305"/>
        <v>1735</v>
      </c>
      <c r="E1758" s="1">
        <f t="shared" si="306"/>
        <v>-201.49302402351657</v>
      </c>
      <c r="F1758" s="1">
        <f t="shared" si="307"/>
        <v>-202.06963738782056</v>
      </c>
      <c r="G1758" s="1">
        <f t="shared" si="304"/>
        <v>1.7469139877051261E-88</v>
      </c>
      <c r="H1758" s="1">
        <f t="shared" si="297"/>
        <v>1.8097659195379028E-89</v>
      </c>
      <c r="I1758">
        <f t="shared" si="298"/>
        <v>8</v>
      </c>
      <c r="J1758">
        <f t="shared" si="299"/>
        <v>1725</v>
      </c>
      <c r="K1758" s="5">
        <f t="shared" si="300"/>
        <v>0</v>
      </c>
      <c r="L1758">
        <f t="shared" si="301"/>
        <v>53.4</v>
      </c>
      <c r="M1758">
        <f t="shared" si="302"/>
        <v>1</v>
      </c>
      <c r="N1758">
        <f t="shared" si="303"/>
        <v>0</v>
      </c>
    </row>
    <row r="1759" spans="4:14" x14ac:dyDescent="0.2">
      <c r="D1759">
        <f t="shared" si="305"/>
        <v>1736</v>
      </c>
      <c r="E1759" s="1">
        <f t="shared" si="306"/>
        <v>-201.60955783977252</v>
      </c>
      <c r="F1759" s="1">
        <f t="shared" si="307"/>
        <v>-202.18617120407652</v>
      </c>
      <c r="G1759" s="1">
        <f t="shared" si="304"/>
        <v>1.5547534490575613E-88</v>
      </c>
      <c r="H1759" s="1">
        <f t="shared" si="297"/>
        <v>1.6106916683887323E-89</v>
      </c>
      <c r="I1759">
        <f t="shared" si="298"/>
        <v>8</v>
      </c>
      <c r="J1759">
        <f t="shared" si="299"/>
        <v>1726</v>
      </c>
      <c r="K1759" s="5">
        <f t="shared" si="300"/>
        <v>0</v>
      </c>
      <c r="L1759">
        <f t="shared" si="301"/>
        <v>53.4</v>
      </c>
      <c r="M1759">
        <f t="shared" si="302"/>
        <v>1</v>
      </c>
      <c r="N1759">
        <f t="shared" si="303"/>
        <v>0</v>
      </c>
    </row>
    <row r="1760" spans="4:14" x14ac:dyDescent="0.2">
      <c r="D1760">
        <f t="shared" si="305"/>
        <v>1737</v>
      </c>
      <c r="E1760" s="1">
        <f t="shared" si="306"/>
        <v>-201.72609165602847</v>
      </c>
      <c r="F1760" s="1">
        <f t="shared" si="307"/>
        <v>-202.30270502033247</v>
      </c>
      <c r="G1760" s="1">
        <f t="shared" si="304"/>
        <v>1.3837305696612285E-88</v>
      </c>
      <c r="H1760" s="1">
        <f t="shared" si="297"/>
        <v>1.4335155848659707E-89</v>
      </c>
      <c r="I1760">
        <f t="shared" si="298"/>
        <v>8</v>
      </c>
      <c r="J1760">
        <f t="shared" si="299"/>
        <v>1727</v>
      </c>
      <c r="K1760" s="5">
        <f t="shared" si="300"/>
        <v>0</v>
      </c>
      <c r="L1760">
        <f t="shared" si="301"/>
        <v>53.4</v>
      </c>
      <c r="M1760">
        <f t="shared" si="302"/>
        <v>1</v>
      </c>
      <c r="N1760">
        <f t="shared" si="303"/>
        <v>0</v>
      </c>
    </row>
    <row r="1761" spans="4:14" x14ac:dyDescent="0.2">
      <c r="D1761">
        <f t="shared" si="305"/>
        <v>1738</v>
      </c>
      <c r="E1761" s="1">
        <f t="shared" si="306"/>
        <v>-201.84262547228442</v>
      </c>
      <c r="F1761" s="1">
        <f t="shared" si="307"/>
        <v>-202.41923883658842</v>
      </c>
      <c r="G1761" s="1">
        <f t="shared" si="304"/>
        <v>1.2315202069984927E-88</v>
      </c>
      <c r="H1761" s="1">
        <f t="shared" si="297"/>
        <v>1.2758288705307132E-89</v>
      </c>
      <c r="I1761">
        <f t="shared" si="298"/>
        <v>8</v>
      </c>
      <c r="J1761">
        <f t="shared" si="299"/>
        <v>1728</v>
      </c>
      <c r="K1761" s="5">
        <f t="shared" si="300"/>
        <v>0</v>
      </c>
      <c r="L1761">
        <f t="shared" si="301"/>
        <v>53.4</v>
      </c>
      <c r="M1761">
        <f t="shared" si="302"/>
        <v>1</v>
      </c>
      <c r="N1761">
        <f t="shared" si="303"/>
        <v>0</v>
      </c>
    </row>
    <row r="1762" spans="4:14" x14ac:dyDescent="0.2">
      <c r="D1762">
        <f t="shared" si="305"/>
        <v>1739</v>
      </c>
      <c r="E1762" s="1">
        <f t="shared" si="306"/>
        <v>-201.95915928854038</v>
      </c>
      <c r="F1762" s="1">
        <f t="shared" si="307"/>
        <v>-202.53577265284437</v>
      </c>
      <c r="G1762" s="1">
        <f t="shared" si="304"/>
        <v>1.0960529842286578E-88</v>
      </c>
      <c r="H1762" s="1">
        <f t="shared" si="297"/>
        <v>1.1354876947723342E-89</v>
      </c>
      <c r="I1762">
        <f t="shared" si="298"/>
        <v>8</v>
      </c>
      <c r="J1762">
        <f t="shared" si="299"/>
        <v>1729</v>
      </c>
      <c r="K1762" s="5">
        <f t="shared" si="300"/>
        <v>0</v>
      </c>
      <c r="L1762">
        <f t="shared" si="301"/>
        <v>53.4</v>
      </c>
      <c r="M1762">
        <f t="shared" si="302"/>
        <v>1</v>
      </c>
      <c r="N1762">
        <f t="shared" si="303"/>
        <v>0</v>
      </c>
    </row>
    <row r="1763" spans="4:14" x14ac:dyDescent="0.2">
      <c r="D1763">
        <f t="shared" si="305"/>
        <v>1740</v>
      </c>
      <c r="E1763" s="1">
        <f t="shared" si="306"/>
        <v>-202.07569310479633</v>
      </c>
      <c r="F1763" s="1">
        <f t="shared" si="307"/>
        <v>-202.65230646910032</v>
      </c>
      <c r="G1763" s="1">
        <f t="shared" si="304"/>
        <v>9.7548715596350486E-89</v>
      </c>
      <c r="H1763" s="1">
        <f t="shared" si="297"/>
        <v>1.0105840483473767E-89</v>
      </c>
      <c r="I1763">
        <f t="shared" si="298"/>
        <v>8</v>
      </c>
      <c r="J1763">
        <f t="shared" si="299"/>
        <v>1730</v>
      </c>
      <c r="K1763" s="5">
        <f t="shared" si="300"/>
        <v>0</v>
      </c>
      <c r="L1763">
        <f t="shared" si="301"/>
        <v>53.4</v>
      </c>
      <c r="M1763">
        <f t="shared" si="302"/>
        <v>1</v>
      </c>
      <c r="N1763">
        <f t="shared" si="303"/>
        <v>0</v>
      </c>
    </row>
    <row r="1764" spans="4:14" x14ac:dyDescent="0.2">
      <c r="D1764">
        <f t="shared" si="305"/>
        <v>1741</v>
      </c>
      <c r="E1764" s="1">
        <f t="shared" si="306"/>
        <v>-202.19222692105228</v>
      </c>
      <c r="F1764" s="1">
        <f t="shared" si="307"/>
        <v>-202.76884028535628</v>
      </c>
      <c r="G1764" s="1">
        <f t="shared" si="304"/>
        <v>8.6818356880751868E-89</v>
      </c>
      <c r="H1764" s="1">
        <f t="shared" si="297"/>
        <v>8.9941980302916454E-90</v>
      </c>
      <c r="I1764">
        <f t="shared" si="298"/>
        <v>8</v>
      </c>
      <c r="J1764">
        <f t="shared" si="299"/>
        <v>1731</v>
      </c>
      <c r="K1764" s="5">
        <f t="shared" si="300"/>
        <v>0</v>
      </c>
      <c r="L1764">
        <f t="shared" si="301"/>
        <v>53.4</v>
      </c>
      <c r="M1764">
        <f t="shared" si="302"/>
        <v>1</v>
      </c>
      <c r="N1764">
        <f t="shared" si="303"/>
        <v>0</v>
      </c>
    </row>
    <row r="1765" spans="4:14" x14ac:dyDescent="0.2">
      <c r="D1765">
        <f t="shared" si="305"/>
        <v>1742</v>
      </c>
      <c r="E1765" s="1">
        <f t="shared" si="306"/>
        <v>-202.30876073730823</v>
      </c>
      <c r="F1765" s="1">
        <f t="shared" si="307"/>
        <v>-202.88537410161223</v>
      </c>
      <c r="G1765" s="1">
        <f t="shared" si="304"/>
        <v>7.7268337623869125E-89</v>
      </c>
      <c r="H1765" s="1">
        <f t="shared" si="297"/>
        <v>8.0048362469595612E-90</v>
      </c>
      <c r="I1765">
        <f t="shared" si="298"/>
        <v>8</v>
      </c>
      <c r="J1765">
        <f t="shared" si="299"/>
        <v>1732</v>
      </c>
      <c r="K1765" s="5">
        <f t="shared" si="300"/>
        <v>0</v>
      </c>
      <c r="L1765">
        <f t="shared" si="301"/>
        <v>53.4</v>
      </c>
      <c r="M1765">
        <f t="shared" si="302"/>
        <v>1</v>
      </c>
      <c r="N1765">
        <f t="shared" si="303"/>
        <v>0</v>
      </c>
    </row>
    <row r="1766" spans="4:14" x14ac:dyDescent="0.2">
      <c r="D1766">
        <f t="shared" si="305"/>
        <v>1743</v>
      </c>
      <c r="E1766" s="1">
        <f t="shared" si="306"/>
        <v>-202.42529455356419</v>
      </c>
      <c r="F1766" s="1">
        <f t="shared" si="307"/>
        <v>-203.00190791786818</v>
      </c>
      <c r="G1766" s="1">
        <f t="shared" si="304"/>
        <v>6.8768820485243473E-89</v>
      </c>
      <c r="H1766" s="1">
        <f t="shared" si="297"/>
        <v>7.1243042597940044E-90</v>
      </c>
      <c r="I1766">
        <f t="shared" si="298"/>
        <v>8</v>
      </c>
      <c r="J1766">
        <f t="shared" si="299"/>
        <v>1733</v>
      </c>
      <c r="K1766" s="5">
        <f t="shared" si="300"/>
        <v>0</v>
      </c>
      <c r="L1766">
        <f t="shared" si="301"/>
        <v>53.4</v>
      </c>
      <c r="M1766">
        <f t="shared" si="302"/>
        <v>1</v>
      </c>
      <c r="N1766">
        <f t="shared" si="303"/>
        <v>0</v>
      </c>
    </row>
    <row r="1767" spans="4:14" x14ac:dyDescent="0.2">
      <c r="D1767">
        <f t="shared" si="305"/>
        <v>1744</v>
      </c>
      <c r="E1767" s="1">
        <f t="shared" si="306"/>
        <v>-202.54182836982014</v>
      </c>
      <c r="F1767" s="1">
        <f t="shared" si="307"/>
        <v>-203.11844173412413</v>
      </c>
      <c r="G1767" s="1">
        <f t="shared" si="304"/>
        <v>6.120425023186665E-89</v>
      </c>
      <c r="H1767" s="1">
        <f t="shared" si="297"/>
        <v>6.3406307912166601E-90</v>
      </c>
      <c r="I1767">
        <f t="shared" si="298"/>
        <v>8</v>
      </c>
      <c r="J1767">
        <f t="shared" si="299"/>
        <v>1734</v>
      </c>
      <c r="K1767" s="5">
        <f t="shared" si="300"/>
        <v>0</v>
      </c>
      <c r="L1767">
        <f t="shared" si="301"/>
        <v>53.4</v>
      </c>
      <c r="M1767">
        <f t="shared" si="302"/>
        <v>1</v>
      </c>
      <c r="N1767">
        <f t="shared" si="303"/>
        <v>0</v>
      </c>
    </row>
    <row r="1768" spans="4:14" x14ac:dyDescent="0.2">
      <c r="D1768">
        <f t="shared" si="305"/>
        <v>1745</v>
      </c>
      <c r="E1768" s="1">
        <f t="shared" si="306"/>
        <v>-202.65836218607609</v>
      </c>
      <c r="F1768" s="1">
        <f t="shared" si="307"/>
        <v>-203.23497555038008</v>
      </c>
      <c r="G1768" s="1">
        <f t="shared" si="304"/>
        <v>5.4471782706361285E-89</v>
      </c>
      <c r="H1768" s="1">
        <f t="shared" si="297"/>
        <v>5.6431614041828234E-90</v>
      </c>
      <c r="I1768">
        <f t="shared" si="298"/>
        <v>8</v>
      </c>
      <c r="J1768">
        <f t="shared" si="299"/>
        <v>1735</v>
      </c>
      <c r="K1768" s="5">
        <f t="shared" si="300"/>
        <v>0</v>
      </c>
      <c r="L1768">
        <f t="shared" si="301"/>
        <v>53.4</v>
      </c>
      <c r="M1768">
        <f t="shared" si="302"/>
        <v>1</v>
      </c>
      <c r="N1768">
        <f t="shared" si="303"/>
        <v>0</v>
      </c>
    </row>
    <row r="1769" spans="4:14" x14ac:dyDescent="0.2">
      <c r="D1769">
        <f t="shared" si="305"/>
        <v>1746</v>
      </c>
      <c r="E1769" s="1">
        <f t="shared" si="306"/>
        <v>-202.77489600233204</v>
      </c>
      <c r="F1769" s="1">
        <f t="shared" si="307"/>
        <v>-203.35150936663604</v>
      </c>
      <c r="G1769" s="1">
        <f t="shared" si="304"/>
        <v>4.8479886608661514E-89</v>
      </c>
      <c r="H1769" s="1">
        <f t="shared" si="297"/>
        <v>5.0224136497227104E-90</v>
      </c>
      <c r="I1769">
        <f t="shared" si="298"/>
        <v>8</v>
      </c>
      <c r="J1769">
        <f t="shared" si="299"/>
        <v>1736</v>
      </c>
      <c r="K1769" s="5">
        <f t="shared" si="300"/>
        <v>0</v>
      </c>
      <c r="L1769">
        <f t="shared" si="301"/>
        <v>53.4</v>
      </c>
      <c r="M1769">
        <f t="shared" si="302"/>
        <v>1</v>
      </c>
      <c r="N1769">
        <f t="shared" si="303"/>
        <v>0</v>
      </c>
    </row>
    <row r="1770" spans="4:14" x14ac:dyDescent="0.2">
      <c r="D1770">
        <f t="shared" si="305"/>
        <v>1747</v>
      </c>
      <c r="E1770" s="1">
        <f t="shared" si="306"/>
        <v>-202.89142981858799</v>
      </c>
      <c r="F1770" s="1">
        <f t="shared" si="307"/>
        <v>-203.46804318289199</v>
      </c>
      <c r="G1770" s="1">
        <f t="shared" si="304"/>
        <v>4.3147099081708722E-89</v>
      </c>
      <c r="H1770" s="1">
        <f t="shared" si="297"/>
        <v>4.4699481482532091E-90</v>
      </c>
      <c r="I1770">
        <f t="shared" si="298"/>
        <v>8</v>
      </c>
      <c r="J1770">
        <f t="shared" si="299"/>
        <v>1737</v>
      </c>
      <c r="K1770" s="5">
        <f t="shared" si="300"/>
        <v>0</v>
      </c>
      <c r="L1770">
        <f t="shared" si="301"/>
        <v>53.4</v>
      </c>
      <c r="M1770">
        <f t="shared" si="302"/>
        <v>1</v>
      </c>
      <c r="N1770">
        <f t="shared" si="303"/>
        <v>0</v>
      </c>
    </row>
    <row r="1771" spans="4:14" x14ac:dyDescent="0.2">
      <c r="D1771">
        <f t="shared" si="305"/>
        <v>1748</v>
      </c>
      <c r="E1771" s="1">
        <f t="shared" si="306"/>
        <v>-203.00796363484395</v>
      </c>
      <c r="F1771" s="1">
        <f t="shared" si="307"/>
        <v>-203.58457699914794</v>
      </c>
      <c r="G1771" s="1">
        <f t="shared" si="304"/>
        <v>3.8400918182720738E-89</v>
      </c>
      <c r="H1771" s="1">
        <f t="shared" si="297"/>
        <v>3.9782538519453539E-90</v>
      </c>
      <c r="I1771">
        <f t="shared" si="298"/>
        <v>8</v>
      </c>
      <c r="J1771">
        <f t="shared" si="299"/>
        <v>1738</v>
      </c>
      <c r="K1771" s="5">
        <f t="shared" si="300"/>
        <v>0</v>
      </c>
      <c r="L1771">
        <f t="shared" si="301"/>
        <v>53.4</v>
      </c>
      <c r="M1771">
        <f t="shared" si="302"/>
        <v>1</v>
      </c>
      <c r="N1771">
        <f t="shared" si="303"/>
        <v>0</v>
      </c>
    </row>
    <row r="1772" spans="4:14" x14ac:dyDescent="0.2">
      <c r="D1772">
        <f t="shared" si="305"/>
        <v>1749</v>
      </c>
      <c r="E1772" s="1">
        <f t="shared" si="306"/>
        <v>-203.1244974510999</v>
      </c>
      <c r="F1772" s="1">
        <f t="shared" si="307"/>
        <v>-203.70111081540389</v>
      </c>
      <c r="G1772" s="1">
        <f t="shared" si="304"/>
        <v>3.4176817182621433E-89</v>
      </c>
      <c r="H1772" s="1">
        <f t="shared" si="297"/>
        <v>3.5406459282313625E-90</v>
      </c>
      <c r="I1772">
        <f t="shared" si="298"/>
        <v>8</v>
      </c>
      <c r="J1772">
        <f t="shared" si="299"/>
        <v>1739</v>
      </c>
      <c r="K1772" s="5">
        <f t="shared" si="300"/>
        <v>0</v>
      </c>
      <c r="L1772">
        <f t="shared" si="301"/>
        <v>53.4</v>
      </c>
      <c r="M1772">
        <f t="shared" si="302"/>
        <v>1</v>
      </c>
      <c r="N1772">
        <f t="shared" si="303"/>
        <v>0</v>
      </c>
    </row>
    <row r="1773" spans="4:14" x14ac:dyDescent="0.2">
      <c r="D1773">
        <f t="shared" si="305"/>
        <v>1750</v>
      </c>
      <c r="E1773" s="1">
        <f t="shared" si="306"/>
        <v>-203.24103126735585</v>
      </c>
      <c r="F1773" s="1">
        <f t="shared" si="307"/>
        <v>-203.81764463165985</v>
      </c>
      <c r="G1773" s="1">
        <f t="shared" si="304"/>
        <v>3.0417367292533056E-89</v>
      </c>
      <c r="H1773" s="1">
        <f t="shared" si="297"/>
        <v>3.1511748761259106E-90</v>
      </c>
      <c r="I1773">
        <f t="shared" si="298"/>
        <v>8</v>
      </c>
      <c r="J1773">
        <f t="shared" si="299"/>
        <v>1740</v>
      </c>
      <c r="K1773" s="5">
        <f t="shared" si="300"/>
        <v>0</v>
      </c>
      <c r="L1773">
        <f t="shared" si="301"/>
        <v>53.4</v>
      </c>
      <c r="M1773">
        <f t="shared" si="302"/>
        <v>1</v>
      </c>
      <c r="N1773">
        <f t="shared" si="303"/>
        <v>0</v>
      </c>
    </row>
    <row r="1774" spans="4:14" x14ac:dyDescent="0.2">
      <c r="D1774">
        <f t="shared" si="305"/>
        <v>1751</v>
      </c>
      <c r="E1774" s="1">
        <f t="shared" si="306"/>
        <v>-203.3575650836118</v>
      </c>
      <c r="F1774" s="1">
        <f t="shared" si="307"/>
        <v>-203.9341784479158</v>
      </c>
      <c r="G1774" s="1">
        <f t="shared" si="304"/>
        <v>2.7071456890354405E-89</v>
      </c>
      <c r="H1774" s="1">
        <f t="shared" si="297"/>
        <v>2.8045456397520586E-90</v>
      </c>
      <c r="I1774">
        <f t="shared" si="298"/>
        <v>8</v>
      </c>
      <c r="J1774">
        <f t="shared" si="299"/>
        <v>1741</v>
      </c>
      <c r="K1774" s="5">
        <f t="shared" si="300"/>
        <v>0</v>
      </c>
      <c r="L1774">
        <f t="shared" si="301"/>
        <v>53.4</v>
      </c>
      <c r="M1774">
        <f t="shared" si="302"/>
        <v>1</v>
      </c>
      <c r="N1774">
        <f t="shared" si="303"/>
        <v>0</v>
      </c>
    </row>
    <row r="1775" spans="4:14" x14ac:dyDescent="0.2">
      <c r="D1775">
        <f t="shared" si="305"/>
        <v>1752</v>
      </c>
      <c r="E1775" s="1">
        <f t="shared" si="306"/>
        <v>-203.47409889986776</v>
      </c>
      <c r="F1775" s="1">
        <f t="shared" si="307"/>
        <v>-204.05071226417175</v>
      </c>
      <c r="G1775" s="1">
        <f t="shared" si="304"/>
        <v>2.4093596632415404E-89</v>
      </c>
      <c r="H1775" s="1">
        <f t="shared" si="297"/>
        <v>2.4960456193793304E-90</v>
      </c>
      <c r="I1775">
        <f t="shared" si="298"/>
        <v>8</v>
      </c>
      <c r="J1775">
        <f t="shared" si="299"/>
        <v>1742</v>
      </c>
      <c r="K1775" s="5">
        <f t="shared" si="300"/>
        <v>0</v>
      </c>
      <c r="L1775">
        <f t="shared" si="301"/>
        <v>53.4</v>
      </c>
      <c r="M1775">
        <f t="shared" si="302"/>
        <v>1</v>
      </c>
      <c r="N1775">
        <f t="shared" si="303"/>
        <v>0</v>
      </c>
    </row>
    <row r="1776" spans="4:14" x14ac:dyDescent="0.2">
      <c r="D1776">
        <f t="shared" si="305"/>
        <v>1753</v>
      </c>
      <c r="E1776" s="1">
        <f t="shared" si="306"/>
        <v>-203.59063271612371</v>
      </c>
      <c r="F1776" s="1">
        <f t="shared" si="307"/>
        <v>-204.1672460804277</v>
      </c>
      <c r="G1776" s="1">
        <f t="shared" si="304"/>
        <v>2.1443301002849695E-89</v>
      </c>
      <c r="H1776" s="1">
        <f t="shared" si="297"/>
        <v>2.2214806012476028E-90</v>
      </c>
      <c r="I1776">
        <f t="shared" si="298"/>
        <v>8</v>
      </c>
      <c r="J1776">
        <f t="shared" si="299"/>
        <v>1743</v>
      </c>
      <c r="K1776" s="5">
        <f t="shared" si="300"/>
        <v>0</v>
      </c>
      <c r="L1776">
        <f t="shared" si="301"/>
        <v>53.4</v>
      </c>
      <c r="M1776">
        <f t="shared" si="302"/>
        <v>1</v>
      </c>
      <c r="N1776">
        <f t="shared" si="303"/>
        <v>0</v>
      </c>
    </row>
    <row r="1777" spans="4:14" x14ac:dyDescent="0.2">
      <c r="D1777">
        <f t="shared" si="305"/>
        <v>1754</v>
      </c>
      <c r="E1777" s="1">
        <f t="shared" si="306"/>
        <v>-203.70716653237966</v>
      </c>
      <c r="F1777" s="1">
        <f t="shared" si="307"/>
        <v>-204.28377989668365</v>
      </c>
      <c r="G1777" s="1">
        <f t="shared" si="304"/>
        <v>1.9084537892536216E-89</v>
      </c>
      <c r="H1777" s="1">
        <f t="shared" si="297"/>
        <v>1.977117735110365E-90</v>
      </c>
      <c r="I1777">
        <f t="shared" si="298"/>
        <v>8</v>
      </c>
      <c r="J1777">
        <f t="shared" si="299"/>
        <v>1744</v>
      </c>
      <c r="K1777" s="5">
        <f t="shared" si="300"/>
        <v>0</v>
      </c>
      <c r="L1777">
        <f t="shared" si="301"/>
        <v>53.4</v>
      </c>
      <c r="M1777">
        <f t="shared" si="302"/>
        <v>1</v>
      </c>
      <c r="N1777">
        <f t="shared" si="303"/>
        <v>0</v>
      </c>
    </row>
    <row r="1778" spans="4:14" x14ac:dyDescent="0.2">
      <c r="D1778">
        <f t="shared" si="305"/>
        <v>1755</v>
      </c>
      <c r="E1778" s="1">
        <f t="shared" si="306"/>
        <v>-203.82370034863561</v>
      </c>
      <c r="F1778" s="1">
        <f t="shared" si="307"/>
        <v>-204.40031371293961</v>
      </c>
      <c r="G1778" s="1">
        <f t="shared" si="304"/>
        <v>1.6985238724357222E-89</v>
      </c>
      <c r="H1778" s="1">
        <f t="shared" si="297"/>
        <v>1.7596347842482239E-90</v>
      </c>
      <c r="I1778">
        <f t="shared" si="298"/>
        <v>8</v>
      </c>
      <c r="J1778">
        <f t="shared" si="299"/>
        <v>1745</v>
      </c>
      <c r="K1778" s="5">
        <f t="shared" si="300"/>
        <v>0</v>
      </c>
      <c r="L1778">
        <f t="shared" si="301"/>
        <v>53.4</v>
      </c>
      <c r="M1778">
        <f t="shared" si="302"/>
        <v>1</v>
      </c>
      <c r="N1778">
        <f t="shared" si="303"/>
        <v>0</v>
      </c>
    </row>
    <row r="1779" spans="4:14" x14ac:dyDescent="0.2">
      <c r="D1779">
        <f t="shared" si="305"/>
        <v>1756</v>
      </c>
      <c r="E1779" s="1">
        <f t="shared" si="306"/>
        <v>-203.94023416489156</v>
      </c>
      <c r="F1779" s="1">
        <f t="shared" si="307"/>
        <v>-204.51684752919556</v>
      </c>
      <c r="G1779" s="1">
        <f t="shared" si="304"/>
        <v>1.5116862464677919E-89</v>
      </c>
      <c r="H1779" s="1">
        <f t="shared" si="297"/>
        <v>1.5660749579809183E-90</v>
      </c>
      <c r="I1779">
        <f t="shared" si="298"/>
        <v>8</v>
      </c>
      <c r="J1779">
        <f t="shared" si="299"/>
        <v>1746</v>
      </c>
      <c r="K1779" s="5">
        <f t="shared" si="300"/>
        <v>0</v>
      </c>
      <c r="L1779">
        <f t="shared" si="301"/>
        <v>53.4</v>
      </c>
      <c r="M1779">
        <f t="shared" si="302"/>
        <v>1</v>
      </c>
      <c r="N1779">
        <f t="shared" si="303"/>
        <v>0</v>
      </c>
    </row>
    <row r="1780" spans="4:14" x14ac:dyDescent="0.2">
      <c r="D1780">
        <f t="shared" si="305"/>
        <v>1757</v>
      </c>
      <c r="E1780" s="1">
        <f t="shared" si="306"/>
        <v>-204.05676798114752</v>
      </c>
      <c r="F1780" s="1">
        <f t="shared" si="307"/>
        <v>-204.63338134545151</v>
      </c>
      <c r="G1780" s="1">
        <f t="shared" si="304"/>
        <v>1.345400759356334E-89</v>
      </c>
      <c r="H1780" s="1">
        <f t="shared" si="297"/>
        <v>1.3938067126030164E-90</v>
      </c>
      <c r="I1780">
        <f t="shared" si="298"/>
        <v>8</v>
      </c>
      <c r="J1780">
        <f t="shared" si="299"/>
        <v>1747</v>
      </c>
      <c r="K1780" s="5">
        <f t="shared" si="300"/>
        <v>0</v>
      </c>
      <c r="L1780">
        <f t="shared" si="301"/>
        <v>53.4</v>
      </c>
      <c r="M1780">
        <f t="shared" si="302"/>
        <v>1</v>
      </c>
      <c r="N1780">
        <f t="shared" si="303"/>
        <v>0</v>
      </c>
    </row>
    <row r="1781" spans="4:14" x14ac:dyDescent="0.2">
      <c r="D1781">
        <f t="shared" si="305"/>
        <v>1758</v>
      </c>
      <c r="E1781" s="1">
        <f t="shared" si="306"/>
        <v>-204.17330179740347</v>
      </c>
      <c r="F1781" s="1">
        <f t="shared" si="307"/>
        <v>-204.74991516170746</v>
      </c>
      <c r="G1781" s="1">
        <f t="shared" si="304"/>
        <v>1.1974066758271364E-89</v>
      </c>
      <c r="H1781" s="1">
        <f t="shared" si="297"/>
        <v>1.2404879742166839E-90</v>
      </c>
      <c r="I1781">
        <f t="shared" si="298"/>
        <v>8</v>
      </c>
      <c r="J1781">
        <f t="shared" si="299"/>
        <v>1748</v>
      </c>
      <c r="K1781" s="5">
        <f t="shared" si="300"/>
        <v>0</v>
      </c>
      <c r="L1781">
        <f t="shared" si="301"/>
        <v>53.4</v>
      </c>
      <c r="M1781">
        <f t="shared" si="302"/>
        <v>1</v>
      </c>
      <c r="N1781">
        <f t="shared" si="303"/>
        <v>0</v>
      </c>
    </row>
    <row r="1782" spans="4:14" x14ac:dyDescent="0.2">
      <c r="D1782">
        <f t="shared" si="305"/>
        <v>1759</v>
      </c>
      <c r="E1782" s="1">
        <f t="shared" si="306"/>
        <v>-204.28983561365942</v>
      </c>
      <c r="F1782" s="1">
        <f t="shared" si="307"/>
        <v>-204.86644897796342</v>
      </c>
      <c r="G1782" s="1">
        <f t="shared" si="304"/>
        <v>1.0656919414861508E-89</v>
      </c>
      <c r="H1782" s="1">
        <f t="shared" si="297"/>
        <v>1.1040342970528481E-90</v>
      </c>
      <c r="I1782">
        <f t="shared" si="298"/>
        <v>8</v>
      </c>
      <c r="J1782">
        <f t="shared" si="299"/>
        <v>1749</v>
      </c>
      <c r="K1782" s="5">
        <f t="shared" si="300"/>
        <v>0</v>
      </c>
      <c r="L1782">
        <f t="shared" si="301"/>
        <v>53.4</v>
      </c>
      <c r="M1782">
        <f t="shared" si="302"/>
        <v>1</v>
      </c>
      <c r="N1782">
        <f t="shared" si="303"/>
        <v>0</v>
      </c>
    </row>
    <row r="1783" spans="4:14" x14ac:dyDescent="0.2">
      <c r="D1783">
        <f t="shared" si="305"/>
        <v>1760</v>
      </c>
      <c r="E1783" s="1">
        <f t="shared" si="306"/>
        <v>-204.40636942991537</v>
      </c>
      <c r="F1783" s="1">
        <f t="shared" si="307"/>
        <v>-204.98298279421937</v>
      </c>
      <c r="G1783" s="1">
        <f t="shared" si="304"/>
        <v>9.4846582792267359E-90</v>
      </c>
      <c r="H1783" s="1">
        <f t="shared" si="297"/>
        <v>9.8259052437703417E-91</v>
      </c>
      <c r="I1783">
        <f t="shared" si="298"/>
        <v>8</v>
      </c>
      <c r="J1783">
        <f t="shared" si="299"/>
        <v>1750</v>
      </c>
      <c r="K1783" s="5">
        <f t="shared" si="300"/>
        <v>0</v>
      </c>
      <c r="L1783">
        <f t="shared" si="301"/>
        <v>53.4</v>
      </c>
      <c r="M1783">
        <f t="shared" si="302"/>
        <v>1</v>
      </c>
      <c r="N1783">
        <f t="shared" si="303"/>
        <v>0</v>
      </c>
    </row>
    <row r="1784" spans="4:14" x14ac:dyDescent="0.2">
      <c r="D1784">
        <f t="shared" si="305"/>
        <v>1761</v>
      </c>
      <c r="E1784" s="1">
        <f t="shared" si="306"/>
        <v>-204.52290324617132</v>
      </c>
      <c r="F1784" s="1">
        <f t="shared" si="307"/>
        <v>-205.09951661047532</v>
      </c>
      <c r="G1784" s="1">
        <f t="shared" si="304"/>
        <v>8.4413458685117889E-90</v>
      </c>
      <c r="H1784" s="1">
        <f t="shared" si="297"/>
        <v>8.7450556669555966E-91</v>
      </c>
      <c r="I1784">
        <f t="shared" si="298"/>
        <v>8</v>
      </c>
      <c r="J1784">
        <f t="shared" si="299"/>
        <v>1751</v>
      </c>
      <c r="K1784" s="5">
        <f t="shared" si="300"/>
        <v>0</v>
      </c>
      <c r="L1784">
        <f t="shared" si="301"/>
        <v>53.4</v>
      </c>
      <c r="M1784">
        <f t="shared" si="302"/>
        <v>1</v>
      </c>
      <c r="N1784">
        <f t="shared" si="303"/>
        <v>0</v>
      </c>
    </row>
    <row r="1785" spans="4:14" x14ac:dyDescent="0.2">
      <c r="D1785">
        <f t="shared" si="305"/>
        <v>1762</v>
      </c>
      <c r="E1785" s="1">
        <f t="shared" si="306"/>
        <v>-204.63943706242728</v>
      </c>
      <c r="F1785" s="1">
        <f t="shared" si="307"/>
        <v>-205.21605042673127</v>
      </c>
      <c r="G1785" s="1">
        <f t="shared" si="304"/>
        <v>7.512797822975488E-90</v>
      </c>
      <c r="H1785" s="1">
        <f t="shared" si="297"/>
        <v>7.7830995435904765E-91</v>
      </c>
      <c r="I1785">
        <f t="shared" si="298"/>
        <v>8</v>
      </c>
      <c r="J1785">
        <f t="shared" si="299"/>
        <v>1752</v>
      </c>
      <c r="K1785" s="5">
        <f t="shared" si="300"/>
        <v>0</v>
      </c>
      <c r="L1785">
        <f t="shared" si="301"/>
        <v>53.4</v>
      </c>
      <c r="M1785">
        <f t="shared" si="302"/>
        <v>1</v>
      </c>
      <c r="N1785">
        <f t="shared" si="303"/>
        <v>0</v>
      </c>
    </row>
    <row r="1786" spans="4:14" x14ac:dyDescent="0.2">
      <c r="D1786">
        <f t="shared" si="305"/>
        <v>1763</v>
      </c>
      <c r="E1786" s="1">
        <f t="shared" si="306"/>
        <v>-204.75597087868323</v>
      </c>
      <c r="F1786" s="1">
        <f t="shared" si="307"/>
        <v>-205.33258424298722</v>
      </c>
      <c r="G1786" s="1">
        <f t="shared" si="304"/>
        <v>6.6863900624481797E-90</v>
      </c>
      <c r="H1786" s="1">
        <f t="shared" si="297"/>
        <v>6.9269585937955202E-91</v>
      </c>
      <c r="I1786">
        <f t="shared" si="298"/>
        <v>8</v>
      </c>
      <c r="J1786">
        <f t="shared" si="299"/>
        <v>1753</v>
      </c>
      <c r="K1786" s="5">
        <f t="shared" si="300"/>
        <v>0</v>
      </c>
      <c r="L1786">
        <f t="shared" si="301"/>
        <v>53.4</v>
      </c>
      <c r="M1786">
        <f t="shared" si="302"/>
        <v>1</v>
      </c>
      <c r="N1786">
        <f t="shared" si="303"/>
        <v>0</v>
      </c>
    </row>
    <row r="1787" spans="4:14" x14ac:dyDescent="0.2">
      <c r="D1787">
        <f t="shared" si="305"/>
        <v>1764</v>
      </c>
      <c r="E1787" s="1">
        <f t="shared" si="306"/>
        <v>-204.87250469493918</v>
      </c>
      <c r="F1787" s="1">
        <f t="shared" si="307"/>
        <v>-205.44911805924318</v>
      </c>
      <c r="G1787" s="1">
        <f t="shared" si="304"/>
        <v>5.9508871555788762E-90</v>
      </c>
      <c r="H1787" s="1">
        <f t="shared" si="297"/>
        <v>6.1649931484780092E-91</v>
      </c>
      <c r="I1787">
        <f t="shared" si="298"/>
        <v>8</v>
      </c>
      <c r="J1787">
        <f t="shared" si="299"/>
        <v>1754</v>
      </c>
      <c r="K1787" s="5">
        <f t="shared" si="300"/>
        <v>0</v>
      </c>
      <c r="L1787">
        <f t="shared" si="301"/>
        <v>53.4</v>
      </c>
      <c r="M1787">
        <f t="shared" si="302"/>
        <v>1</v>
      </c>
      <c r="N1787">
        <f t="shared" si="303"/>
        <v>0</v>
      </c>
    </row>
    <row r="1788" spans="4:14" x14ac:dyDescent="0.2">
      <c r="D1788">
        <f t="shared" si="305"/>
        <v>1765</v>
      </c>
      <c r="E1788" s="1">
        <f t="shared" si="306"/>
        <v>-204.98903851119513</v>
      </c>
      <c r="F1788" s="1">
        <f t="shared" si="307"/>
        <v>-205.56565187549913</v>
      </c>
      <c r="G1788" s="1">
        <f t="shared" si="304"/>
        <v>5.2962895684651968E-90</v>
      </c>
      <c r="H1788" s="1">
        <f t="shared" si="297"/>
        <v>5.4868439021454247E-91</v>
      </c>
      <c r="I1788">
        <f t="shared" si="298"/>
        <v>8</v>
      </c>
      <c r="J1788">
        <f t="shared" si="299"/>
        <v>1755</v>
      </c>
      <c r="K1788" s="5">
        <f t="shared" si="300"/>
        <v>0</v>
      </c>
      <c r="L1788">
        <f t="shared" si="301"/>
        <v>53.4</v>
      </c>
      <c r="M1788">
        <f t="shared" si="302"/>
        <v>1</v>
      </c>
      <c r="N1788">
        <f t="shared" si="303"/>
        <v>0</v>
      </c>
    </row>
    <row r="1789" spans="4:14" x14ac:dyDescent="0.2">
      <c r="D1789">
        <f t="shared" si="305"/>
        <v>1766</v>
      </c>
      <c r="E1789" s="1">
        <f t="shared" si="306"/>
        <v>-205.10557232745109</v>
      </c>
      <c r="F1789" s="1">
        <f t="shared" si="307"/>
        <v>-205.68218569175508</v>
      </c>
      <c r="G1789" s="1">
        <f t="shared" si="304"/>
        <v>4.7136977159340217E-90</v>
      </c>
      <c r="H1789" s="1">
        <f t="shared" si="297"/>
        <v>4.8832910729094244E-91</v>
      </c>
      <c r="I1789">
        <f t="shared" si="298"/>
        <v>8</v>
      </c>
      <c r="J1789">
        <f t="shared" si="299"/>
        <v>1756</v>
      </c>
      <c r="K1789" s="5">
        <f t="shared" si="300"/>
        <v>0</v>
      </c>
      <c r="L1789">
        <f t="shared" si="301"/>
        <v>53.4</v>
      </c>
      <c r="M1789">
        <f t="shared" si="302"/>
        <v>1</v>
      </c>
      <c r="N1789">
        <f t="shared" si="303"/>
        <v>0</v>
      </c>
    </row>
    <row r="1790" spans="4:14" x14ac:dyDescent="0.2">
      <c r="D1790">
        <f t="shared" si="305"/>
        <v>1767</v>
      </c>
      <c r="E1790" s="1">
        <f t="shared" si="306"/>
        <v>-205.22210614370704</v>
      </c>
      <c r="F1790" s="1">
        <f t="shared" si="307"/>
        <v>-205.79871950801103</v>
      </c>
      <c r="G1790" s="1">
        <f t="shared" si="304"/>
        <v>4.1951909671812769E-90</v>
      </c>
      <c r="H1790" s="1">
        <f t="shared" si="297"/>
        <v>4.3461290548893852E-91</v>
      </c>
      <c r="I1790">
        <f t="shared" si="298"/>
        <v>8</v>
      </c>
      <c r="J1790">
        <f t="shared" si="299"/>
        <v>1757</v>
      </c>
      <c r="K1790" s="5">
        <f t="shared" si="300"/>
        <v>0</v>
      </c>
      <c r="L1790">
        <f t="shared" si="301"/>
        <v>53.4</v>
      </c>
      <c r="M1790">
        <f t="shared" si="302"/>
        <v>1</v>
      </c>
      <c r="N1790">
        <f t="shared" si="303"/>
        <v>0</v>
      </c>
    </row>
    <row r="1791" spans="4:14" x14ac:dyDescent="0.2">
      <c r="D1791">
        <f t="shared" si="305"/>
        <v>1768</v>
      </c>
      <c r="E1791" s="1">
        <f t="shared" si="306"/>
        <v>-205.33863995996299</v>
      </c>
      <c r="F1791" s="1">
        <f t="shared" si="307"/>
        <v>-205.91525332426698</v>
      </c>
      <c r="G1791" s="1">
        <f t="shared" si="304"/>
        <v>3.7337199607913342E-90</v>
      </c>
      <c r="H1791" s="1">
        <f t="shared" si="297"/>
        <v>3.8680548588515505E-91</v>
      </c>
      <c r="I1791">
        <f t="shared" si="298"/>
        <v>8</v>
      </c>
      <c r="J1791">
        <f t="shared" si="299"/>
        <v>1758</v>
      </c>
      <c r="K1791" s="5">
        <f t="shared" si="300"/>
        <v>0</v>
      </c>
      <c r="L1791">
        <f t="shared" si="301"/>
        <v>53.4</v>
      </c>
      <c r="M1791">
        <f t="shared" si="302"/>
        <v>1</v>
      </c>
      <c r="N1791">
        <f t="shared" si="303"/>
        <v>0</v>
      </c>
    </row>
    <row r="1792" spans="4:14" x14ac:dyDescent="0.2">
      <c r="D1792">
        <f t="shared" si="305"/>
        <v>1769</v>
      </c>
      <c r="E1792" s="1">
        <f t="shared" si="306"/>
        <v>-205.45517377621894</v>
      </c>
      <c r="F1792" s="1">
        <f t="shared" si="307"/>
        <v>-206.03178714052294</v>
      </c>
      <c r="G1792" s="1">
        <f t="shared" si="304"/>
        <v>3.3230107651042853E-90</v>
      </c>
      <c r="H1792" s="1">
        <f t="shared" si="297"/>
        <v>3.4425688243778777E-91</v>
      </c>
      <c r="I1792">
        <f t="shared" si="298"/>
        <v>8</v>
      </c>
      <c r="J1792">
        <f t="shared" si="299"/>
        <v>1759</v>
      </c>
      <c r="K1792" s="5">
        <f t="shared" si="300"/>
        <v>0</v>
      </c>
      <c r="L1792">
        <f t="shared" si="301"/>
        <v>53.4</v>
      </c>
      <c r="M1792">
        <f t="shared" si="302"/>
        <v>1</v>
      </c>
      <c r="N1792">
        <f t="shared" si="303"/>
        <v>0</v>
      </c>
    </row>
    <row r="1793" spans="4:14" x14ac:dyDescent="0.2">
      <c r="D1793">
        <f t="shared" si="305"/>
        <v>1770</v>
      </c>
      <c r="E1793" s="1">
        <f t="shared" si="306"/>
        <v>-205.57170759247489</v>
      </c>
      <c r="F1793" s="1">
        <f t="shared" si="307"/>
        <v>-206.14832095677889</v>
      </c>
      <c r="G1793" s="1">
        <f t="shared" si="304"/>
        <v>2.957479580942812E-90</v>
      </c>
      <c r="H1793" s="1">
        <f t="shared" si="297"/>
        <v>3.0638862536963091E-91</v>
      </c>
      <c r="I1793">
        <f t="shared" si="298"/>
        <v>8</v>
      </c>
      <c r="J1793">
        <f t="shared" si="299"/>
        <v>1760</v>
      </c>
      <c r="K1793" s="5">
        <f t="shared" si="300"/>
        <v>0</v>
      </c>
      <c r="L1793">
        <f t="shared" si="301"/>
        <v>53.4</v>
      </c>
      <c r="M1793">
        <f t="shared" si="302"/>
        <v>1</v>
      </c>
      <c r="N1793">
        <f t="shared" si="303"/>
        <v>0</v>
      </c>
    </row>
    <row r="1794" spans="4:14" x14ac:dyDescent="0.2">
      <c r="D1794">
        <f t="shared" si="305"/>
        <v>1771</v>
      </c>
      <c r="E1794" s="1">
        <f t="shared" si="306"/>
        <v>-205.68824140873085</v>
      </c>
      <c r="F1794" s="1">
        <f t="shared" si="307"/>
        <v>-206.26485477303484</v>
      </c>
      <c r="G1794" s="1">
        <f t="shared" si="304"/>
        <v>2.6321568270391009E-90</v>
      </c>
      <c r="H1794" s="1">
        <f t="shared" si="297"/>
        <v>2.7268587657897135E-91</v>
      </c>
      <c r="I1794">
        <f t="shared" si="298"/>
        <v>8</v>
      </c>
      <c r="J1794">
        <f t="shared" si="299"/>
        <v>1761</v>
      </c>
      <c r="K1794" s="5">
        <f t="shared" si="300"/>
        <v>0</v>
      </c>
      <c r="L1794">
        <f t="shared" si="301"/>
        <v>53.4</v>
      </c>
      <c r="M1794">
        <f t="shared" si="302"/>
        <v>1</v>
      </c>
      <c r="N1794">
        <f t="shared" si="303"/>
        <v>0</v>
      </c>
    </row>
    <row r="1795" spans="4:14" x14ac:dyDescent="0.2">
      <c r="D1795">
        <f t="shared" si="305"/>
        <v>1772</v>
      </c>
      <c r="E1795" s="1">
        <f t="shared" si="306"/>
        <v>-205.8047752249868</v>
      </c>
      <c r="F1795" s="1">
        <f t="shared" si="307"/>
        <v>-206.38138858929079</v>
      </c>
      <c r="G1795" s="1">
        <f t="shared" si="304"/>
        <v>2.3426195760647983E-90</v>
      </c>
      <c r="H1795" s="1">
        <f t="shared" si="297"/>
        <v>2.4269043015528434E-91</v>
      </c>
      <c r="I1795">
        <f t="shared" si="298"/>
        <v>8</v>
      </c>
      <c r="J1795">
        <f t="shared" si="299"/>
        <v>1762</v>
      </c>
      <c r="K1795" s="5">
        <f t="shared" si="300"/>
        <v>0</v>
      </c>
      <c r="L1795">
        <f t="shared" si="301"/>
        <v>53.4</v>
      </c>
      <c r="M1795">
        <f t="shared" si="302"/>
        <v>1</v>
      </c>
      <c r="N1795">
        <f t="shared" si="303"/>
        <v>0</v>
      </c>
    </row>
    <row r="1796" spans="4:14" x14ac:dyDescent="0.2">
      <c r="D1796">
        <f t="shared" si="305"/>
        <v>1773</v>
      </c>
      <c r="E1796" s="1">
        <f t="shared" si="306"/>
        <v>-205.92130904124275</v>
      </c>
      <c r="F1796" s="1">
        <f t="shared" si="307"/>
        <v>-206.49792240554675</v>
      </c>
      <c r="G1796" s="1">
        <f t="shared" si="304"/>
        <v>2.0849314226976692E-90</v>
      </c>
      <c r="H1796" s="1">
        <f t="shared" si="297"/>
        <v>2.1599448283820291E-91</v>
      </c>
      <c r="I1796">
        <f t="shared" si="298"/>
        <v>8</v>
      </c>
      <c r="J1796">
        <f t="shared" si="299"/>
        <v>1763</v>
      </c>
      <c r="K1796" s="5">
        <f t="shared" si="300"/>
        <v>0</v>
      </c>
      <c r="L1796">
        <f t="shared" si="301"/>
        <v>53.4</v>
      </c>
      <c r="M1796">
        <f t="shared" si="302"/>
        <v>1</v>
      </c>
      <c r="N1796">
        <f t="shared" si="303"/>
        <v>0</v>
      </c>
    </row>
    <row r="1797" spans="4:14" x14ac:dyDescent="0.2">
      <c r="D1797">
        <f t="shared" si="305"/>
        <v>1774</v>
      </c>
      <c r="E1797" s="1">
        <f t="shared" si="306"/>
        <v>-206.0378428574987</v>
      </c>
      <c r="F1797" s="1">
        <f t="shared" si="307"/>
        <v>-206.6144562218027</v>
      </c>
      <c r="G1797" s="1">
        <f t="shared" si="304"/>
        <v>1.8555889662009245E-90</v>
      </c>
      <c r="H1797" s="1">
        <f t="shared" si="297"/>
        <v>1.9223508972600048E-91</v>
      </c>
      <c r="I1797">
        <f t="shared" si="298"/>
        <v>8</v>
      </c>
      <c r="J1797">
        <f t="shared" si="299"/>
        <v>1764</v>
      </c>
      <c r="K1797" s="5">
        <f t="shared" si="300"/>
        <v>0</v>
      </c>
      <c r="L1797">
        <f t="shared" si="301"/>
        <v>53.4</v>
      </c>
      <c r="M1797">
        <f t="shared" si="302"/>
        <v>1</v>
      </c>
      <c r="N1797">
        <f t="shared" si="303"/>
        <v>0</v>
      </c>
    </row>
    <row r="1798" spans="4:14" x14ac:dyDescent="0.2">
      <c r="D1798">
        <f t="shared" si="305"/>
        <v>1775</v>
      </c>
      <c r="E1798" s="1">
        <f t="shared" si="306"/>
        <v>-206.15437667375465</v>
      </c>
      <c r="F1798" s="1">
        <f t="shared" si="307"/>
        <v>-206.73099003805865</v>
      </c>
      <c r="G1798" s="1">
        <f t="shared" si="304"/>
        <v>1.6514741799188217E-90</v>
      </c>
      <c r="H1798" s="1">
        <f t="shared" si="297"/>
        <v>1.7108922985614033E-91</v>
      </c>
      <c r="I1798">
        <f t="shared" si="298"/>
        <v>8</v>
      </c>
      <c r="J1798">
        <f t="shared" si="299"/>
        <v>1765</v>
      </c>
      <c r="K1798" s="5">
        <f t="shared" si="300"/>
        <v>0</v>
      </c>
      <c r="L1798">
        <f t="shared" si="301"/>
        <v>53.4</v>
      </c>
      <c r="M1798">
        <f t="shared" si="302"/>
        <v>1</v>
      </c>
      <c r="N1798">
        <f t="shared" si="303"/>
        <v>0</v>
      </c>
    </row>
    <row r="1799" spans="4:14" x14ac:dyDescent="0.2">
      <c r="D1799">
        <f t="shared" si="305"/>
        <v>1776</v>
      </c>
      <c r="E1799" s="1">
        <f t="shared" si="306"/>
        <v>-206.27091049001061</v>
      </c>
      <c r="F1799" s="1">
        <f t="shared" si="307"/>
        <v>-206.8475238543146</v>
      </c>
      <c r="G1799" s="1">
        <f t="shared" si="304"/>
        <v>1.4698120201277505E-90</v>
      </c>
      <c r="H1799" s="1">
        <f t="shared" si="297"/>
        <v>1.522694145719648E-91</v>
      </c>
      <c r="I1799">
        <f t="shared" si="298"/>
        <v>8</v>
      </c>
      <c r="J1799">
        <f t="shared" si="299"/>
        <v>1766</v>
      </c>
      <c r="K1799" s="5">
        <f t="shared" si="300"/>
        <v>0</v>
      </c>
      <c r="L1799">
        <f t="shared" si="301"/>
        <v>53.4</v>
      </c>
      <c r="M1799">
        <f t="shared" si="302"/>
        <v>1</v>
      </c>
      <c r="N1799">
        <f t="shared" si="303"/>
        <v>0</v>
      </c>
    </row>
    <row r="1800" spans="4:14" x14ac:dyDescent="0.2">
      <c r="D1800">
        <f t="shared" si="305"/>
        <v>1777</v>
      </c>
      <c r="E1800" s="1">
        <f t="shared" si="306"/>
        <v>-206.38744430626656</v>
      </c>
      <c r="F1800" s="1">
        <f t="shared" si="307"/>
        <v>-206.96405767057055</v>
      </c>
      <c r="G1800" s="1">
        <f t="shared" si="304"/>
        <v>1.3081326979136971E-90</v>
      </c>
      <c r="H1800" s="1">
        <f t="shared" si="297"/>
        <v>1.3551977896904858E-91</v>
      </c>
      <c r="I1800">
        <f t="shared" si="298"/>
        <v>8</v>
      </c>
      <c r="J1800">
        <f t="shared" si="299"/>
        <v>1767</v>
      </c>
      <c r="K1800" s="5">
        <f t="shared" si="300"/>
        <v>0</v>
      </c>
      <c r="L1800">
        <f t="shared" si="301"/>
        <v>53.4</v>
      </c>
      <c r="M1800">
        <f t="shared" si="302"/>
        <v>1</v>
      </c>
      <c r="N1800">
        <f t="shared" si="303"/>
        <v>0</v>
      </c>
    </row>
    <row r="1801" spans="4:14" x14ac:dyDescent="0.2">
      <c r="D1801">
        <f t="shared" si="305"/>
        <v>1778</v>
      </c>
      <c r="E1801" s="1">
        <f t="shared" si="306"/>
        <v>-206.50397812252251</v>
      </c>
      <c r="F1801" s="1">
        <f t="shared" si="307"/>
        <v>-207.08059148682651</v>
      </c>
      <c r="G1801" s="1">
        <f t="shared" si="304"/>
        <v>1.1642381011431897E-90</v>
      </c>
      <c r="H1801" s="1">
        <f t="shared" si="297"/>
        <v>1.2061260328245317E-91</v>
      </c>
      <c r="I1801">
        <f t="shared" si="298"/>
        <v>8</v>
      </c>
      <c r="J1801">
        <f t="shared" si="299"/>
        <v>1768</v>
      </c>
      <c r="K1801" s="5">
        <f t="shared" si="300"/>
        <v>0</v>
      </c>
      <c r="L1801">
        <f t="shared" si="301"/>
        <v>53.4</v>
      </c>
      <c r="M1801">
        <f t="shared" si="302"/>
        <v>1</v>
      </c>
      <c r="N1801">
        <f t="shared" si="303"/>
        <v>0</v>
      </c>
    </row>
    <row r="1802" spans="4:14" x14ac:dyDescent="0.2">
      <c r="D1802">
        <f t="shared" si="305"/>
        <v>1779</v>
      </c>
      <c r="E1802" s="1">
        <f t="shared" si="306"/>
        <v>-206.62051193877846</v>
      </c>
      <c r="F1802" s="1">
        <f t="shared" si="307"/>
        <v>-207.19712530308246</v>
      </c>
      <c r="G1802" s="1">
        <f t="shared" si="304"/>
        <v>1.0361719100174382E-90</v>
      </c>
      <c r="H1802" s="1">
        <f t="shared" si="297"/>
        <v>1.0734521692138325E-91</v>
      </c>
      <c r="I1802">
        <f t="shared" si="298"/>
        <v>8</v>
      </c>
      <c r="J1802">
        <f t="shared" si="299"/>
        <v>1769</v>
      </c>
      <c r="K1802" s="5">
        <f t="shared" si="300"/>
        <v>0</v>
      </c>
      <c r="L1802">
        <f t="shared" si="301"/>
        <v>53.4</v>
      </c>
      <c r="M1802">
        <f t="shared" si="302"/>
        <v>1</v>
      </c>
      <c r="N1802">
        <f t="shared" si="303"/>
        <v>0</v>
      </c>
    </row>
    <row r="1803" spans="4:14" x14ac:dyDescent="0.2">
      <c r="D1803">
        <f t="shared" si="305"/>
        <v>1780</v>
      </c>
      <c r="E1803" s="1">
        <f t="shared" si="306"/>
        <v>-206.73704575503442</v>
      </c>
      <c r="F1803" s="1">
        <f t="shared" si="307"/>
        <v>-207.31365911933841</v>
      </c>
      <c r="G1803" s="1">
        <f t="shared" si="304"/>
        <v>9.2219299991551934E-91</v>
      </c>
      <c r="H1803" s="1">
        <f t="shared" si="297"/>
        <v>9.5537243060031024E-92</v>
      </c>
      <c r="I1803">
        <f t="shared" si="298"/>
        <v>8</v>
      </c>
      <c r="J1803">
        <f t="shared" si="299"/>
        <v>1770</v>
      </c>
      <c r="K1803" s="5">
        <f t="shared" si="300"/>
        <v>0</v>
      </c>
      <c r="L1803">
        <f t="shared" si="301"/>
        <v>53.4</v>
      </c>
      <c r="M1803">
        <f t="shared" si="302"/>
        <v>1</v>
      </c>
      <c r="N1803">
        <f t="shared" si="303"/>
        <v>0</v>
      </c>
    </row>
    <row r="1804" spans="4:14" x14ac:dyDescent="0.2">
      <c r="D1804">
        <f t="shared" si="305"/>
        <v>1781</v>
      </c>
      <c r="E1804" s="1">
        <f t="shared" si="306"/>
        <v>-206.85357957129037</v>
      </c>
      <c r="F1804" s="1">
        <f t="shared" si="307"/>
        <v>-207.43019293559436</v>
      </c>
      <c r="G1804" s="1">
        <f t="shared" si="304"/>
        <v>8.2075176992481171E-91</v>
      </c>
      <c r="H1804" s="1">
        <f t="shared" si="297"/>
        <v>8.5028146323427564E-92</v>
      </c>
      <c r="I1804">
        <f t="shared" si="298"/>
        <v>8</v>
      </c>
      <c r="J1804">
        <f t="shared" si="299"/>
        <v>1771</v>
      </c>
      <c r="K1804" s="5">
        <f t="shared" si="300"/>
        <v>0</v>
      </c>
      <c r="L1804">
        <f t="shared" si="301"/>
        <v>53.4</v>
      </c>
      <c r="M1804">
        <f t="shared" si="302"/>
        <v>1</v>
      </c>
      <c r="N1804">
        <f t="shared" si="303"/>
        <v>0</v>
      </c>
    </row>
    <row r="1805" spans="4:14" x14ac:dyDescent="0.2">
      <c r="D1805">
        <f t="shared" si="305"/>
        <v>1782</v>
      </c>
      <c r="E1805" s="1">
        <f t="shared" si="306"/>
        <v>-206.97011338754632</v>
      </c>
      <c r="F1805" s="1">
        <f t="shared" si="307"/>
        <v>-207.54672675185031</v>
      </c>
      <c r="G1805" s="1">
        <f t="shared" si="304"/>
        <v>7.30469075233082E-91</v>
      </c>
      <c r="H1805" s="1">
        <f t="shared" si="297"/>
        <v>7.5675050227850479E-92</v>
      </c>
      <c r="I1805">
        <f t="shared" si="298"/>
        <v>8</v>
      </c>
      <c r="J1805">
        <f t="shared" si="299"/>
        <v>1772</v>
      </c>
      <c r="K1805" s="5">
        <f t="shared" si="300"/>
        <v>0</v>
      </c>
      <c r="L1805">
        <f t="shared" si="301"/>
        <v>53.4</v>
      </c>
      <c r="M1805">
        <f t="shared" si="302"/>
        <v>1</v>
      </c>
      <c r="N1805">
        <f t="shared" si="303"/>
        <v>0</v>
      </c>
    </row>
    <row r="1806" spans="4:14" x14ac:dyDescent="0.2">
      <c r="D1806">
        <f t="shared" si="305"/>
        <v>1783</v>
      </c>
      <c r="E1806" s="1">
        <f t="shared" si="306"/>
        <v>-207.08664720380227</v>
      </c>
      <c r="F1806" s="1">
        <f t="shared" si="307"/>
        <v>-207.66326056810627</v>
      </c>
      <c r="G1806" s="1">
        <f t="shared" si="304"/>
        <v>6.5011747695744257E-91</v>
      </c>
      <c r="H1806" s="1">
        <f t="shared" si="297"/>
        <v>6.7350794702786883E-92</v>
      </c>
      <c r="I1806">
        <f t="shared" si="298"/>
        <v>8</v>
      </c>
      <c r="J1806">
        <f t="shared" si="299"/>
        <v>1773</v>
      </c>
      <c r="K1806" s="5">
        <f t="shared" si="300"/>
        <v>0</v>
      </c>
      <c r="L1806">
        <f t="shared" si="301"/>
        <v>53.4</v>
      </c>
      <c r="M1806">
        <f t="shared" si="302"/>
        <v>1</v>
      </c>
      <c r="N1806">
        <f t="shared" si="303"/>
        <v>0</v>
      </c>
    </row>
    <row r="1807" spans="4:14" x14ac:dyDescent="0.2">
      <c r="D1807">
        <f t="shared" si="305"/>
        <v>1784</v>
      </c>
      <c r="E1807" s="1">
        <f t="shared" si="306"/>
        <v>-207.20318102005822</v>
      </c>
      <c r="F1807" s="1">
        <f t="shared" si="307"/>
        <v>-207.77979438436222</v>
      </c>
      <c r="G1807" s="1">
        <f t="shared" si="304"/>
        <v>5.7860455449212354E-91</v>
      </c>
      <c r="H1807" s="1">
        <f t="shared" si="297"/>
        <v>5.9942207285480292E-92</v>
      </c>
      <c r="I1807">
        <f t="shared" si="298"/>
        <v>8</v>
      </c>
      <c r="J1807">
        <f t="shared" si="299"/>
        <v>1774</v>
      </c>
      <c r="K1807" s="5">
        <f t="shared" si="300"/>
        <v>0</v>
      </c>
      <c r="L1807">
        <f t="shared" si="301"/>
        <v>53.4</v>
      </c>
      <c r="M1807">
        <f t="shared" si="302"/>
        <v>1</v>
      </c>
      <c r="N1807">
        <f t="shared" si="303"/>
        <v>0</v>
      </c>
    </row>
    <row r="1808" spans="4:14" x14ac:dyDescent="0.2">
      <c r="D1808">
        <f t="shared" si="305"/>
        <v>1785</v>
      </c>
      <c r="E1808" s="1">
        <f t="shared" si="306"/>
        <v>-207.31971483631418</v>
      </c>
      <c r="F1808" s="1">
        <f t="shared" si="307"/>
        <v>-207.89632820061817</v>
      </c>
      <c r="G1808" s="1">
        <f t="shared" si="304"/>
        <v>5.1495805349798956E-91</v>
      </c>
      <c r="H1808" s="1">
        <f t="shared" si="297"/>
        <v>5.3348564484077424E-92</v>
      </c>
      <c r="I1808">
        <f t="shared" si="298"/>
        <v>8</v>
      </c>
      <c r="J1808">
        <f t="shared" si="299"/>
        <v>1775</v>
      </c>
      <c r="K1808" s="5">
        <f t="shared" si="300"/>
        <v>0</v>
      </c>
      <c r="L1808">
        <f t="shared" si="301"/>
        <v>53.4</v>
      </c>
      <c r="M1808">
        <f t="shared" si="302"/>
        <v>1</v>
      </c>
      <c r="N1808">
        <f t="shared" si="303"/>
        <v>0</v>
      </c>
    </row>
    <row r="1809" spans="4:14" x14ac:dyDescent="0.2">
      <c r="D1809">
        <f t="shared" si="305"/>
        <v>1786</v>
      </c>
      <c r="E1809" s="1">
        <f t="shared" si="306"/>
        <v>-207.43624865257013</v>
      </c>
      <c r="F1809" s="1">
        <f t="shared" si="307"/>
        <v>-208.01286201687412</v>
      </c>
      <c r="G1809" s="1">
        <f t="shared" si="304"/>
        <v>4.5831266761321047E-91</v>
      </c>
      <c r="H1809" s="1">
        <f t="shared" si="297"/>
        <v>4.7480222390828881E-92</v>
      </c>
      <c r="I1809">
        <f t="shared" si="298"/>
        <v>8</v>
      </c>
      <c r="J1809">
        <f t="shared" si="299"/>
        <v>1776</v>
      </c>
      <c r="K1809" s="5">
        <f t="shared" si="300"/>
        <v>0</v>
      </c>
      <c r="L1809">
        <f t="shared" si="301"/>
        <v>53.4</v>
      </c>
      <c r="M1809">
        <f t="shared" si="302"/>
        <v>1</v>
      </c>
      <c r="N1809">
        <f t="shared" si="303"/>
        <v>0</v>
      </c>
    </row>
    <row r="1810" spans="4:14" x14ac:dyDescent="0.2">
      <c r="D1810">
        <f t="shared" si="305"/>
        <v>1787</v>
      </c>
      <c r="E1810" s="1">
        <f t="shared" si="306"/>
        <v>-207.55278246882608</v>
      </c>
      <c r="F1810" s="1">
        <f t="shared" si="307"/>
        <v>-208.12939583313008</v>
      </c>
      <c r="G1810" s="1">
        <f t="shared" si="304"/>
        <v>4.0789827417575704E-91</v>
      </c>
      <c r="H1810" s="1">
        <f t="shared" si="297"/>
        <v>4.2257397927837674E-92</v>
      </c>
      <c r="I1810">
        <f t="shared" si="298"/>
        <v>8</v>
      </c>
      <c r="J1810">
        <f t="shared" si="299"/>
        <v>1777</v>
      </c>
      <c r="K1810" s="5">
        <f t="shared" si="300"/>
        <v>0</v>
      </c>
      <c r="L1810">
        <f t="shared" si="301"/>
        <v>53.4</v>
      </c>
      <c r="M1810">
        <f t="shared" si="302"/>
        <v>1</v>
      </c>
      <c r="N1810">
        <f t="shared" si="303"/>
        <v>0</v>
      </c>
    </row>
    <row r="1811" spans="4:14" x14ac:dyDescent="0.2">
      <c r="D1811">
        <f t="shared" si="305"/>
        <v>1788</v>
      </c>
      <c r="E1811" s="1">
        <f t="shared" si="306"/>
        <v>-207.66931628508203</v>
      </c>
      <c r="F1811" s="1">
        <f t="shared" si="307"/>
        <v>-208.24592964938603</v>
      </c>
      <c r="G1811" s="1">
        <f t="shared" si="304"/>
        <v>3.6302946401642355E-91</v>
      </c>
      <c r="H1811" s="1">
        <f t="shared" si="297"/>
        <v>3.7609084155775506E-92</v>
      </c>
      <c r="I1811">
        <f t="shared" si="298"/>
        <v>8</v>
      </c>
      <c r="J1811">
        <f t="shared" si="299"/>
        <v>1778</v>
      </c>
      <c r="K1811" s="5">
        <f t="shared" si="300"/>
        <v>0</v>
      </c>
      <c r="L1811">
        <f t="shared" si="301"/>
        <v>53.4</v>
      </c>
      <c r="M1811">
        <f t="shared" si="302"/>
        <v>1</v>
      </c>
      <c r="N1811">
        <f t="shared" si="303"/>
        <v>0</v>
      </c>
    </row>
    <row r="1812" spans="4:14" x14ac:dyDescent="0.2">
      <c r="D1812">
        <f t="shared" si="305"/>
        <v>1789</v>
      </c>
      <c r="E1812" s="1">
        <f t="shared" si="306"/>
        <v>-207.78585010133799</v>
      </c>
      <c r="F1812" s="1">
        <f t="shared" si="307"/>
        <v>-208.36246346564198</v>
      </c>
      <c r="G1812" s="1">
        <f t="shared" si="304"/>
        <v>3.2309622297461672E-91</v>
      </c>
      <c r="H1812" s="1">
        <f t="shared" si="297"/>
        <v>3.3472084898640178E-92</v>
      </c>
      <c r="I1812">
        <f t="shared" si="298"/>
        <v>8</v>
      </c>
      <c r="J1812">
        <f t="shared" si="299"/>
        <v>1779</v>
      </c>
      <c r="K1812" s="5">
        <f t="shared" si="300"/>
        <v>0</v>
      </c>
      <c r="L1812">
        <f t="shared" si="301"/>
        <v>53.4</v>
      </c>
      <c r="M1812">
        <f t="shared" si="302"/>
        <v>1</v>
      </c>
      <c r="N1812">
        <f t="shared" si="303"/>
        <v>0</v>
      </c>
    </row>
    <row r="1813" spans="4:14" x14ac:dyDescent="0.2">
      <c r="D1813">
        <f t="shared" si="305"/>
        <v>1790</v>
      </c>
      <c r="E1813" s="1">
        <f t="shared" si="306"/>
        <v>-207.90238391759394</v>
      </c>
      <c r="F1813" s="1">
        <f t="shared" si="307"/>
        <v>-208.47899728189793</v>
      </c>
      <c r="G1813" s="1">
        <f t="shared" si="304"/>
        <v>2.875556384474087E-91</v>
      </c>
      <c r="H1813" s="1">
        <f t="shared" si="297"/>
        <v>2.979015555978974E-92</v>
      </c>
      <c r="I1813">
        <f t="shared" si="298"/>
        <v>8</v>
      </c>
      <c r="J1813">
        <f t="shared" si="299"/>
        <v>1780</v>
      </c>
      <c r="K1813" s="5">
        <f t="shared" si="300"/>
        <v>0</v>
      </c>
      <c r="L1813">
        <f t="shared" si="301"/>
        <v>53.4</v>
      </c>
      <c r="M1813">
        <f t="shared" si="302"/>
        <v>1</v>
      </c>
      <c r="N1813">
        <f t="shared" si="303"/>
        <v>0</v>
      </c>
    </row>
    <row r="1814" spans="4:14" x14ac:dyDescent="0.2">
      <c r="D1814">
        <f t="shared" si="305"/>
        <v>1791</v>
      </c>
      <c r="E1814" s="1">
        <f t="shared" si="306"/>
        <v>-208.01891773384989</v>
      </c>
      <c r="F1814" s="1">
        <f t="shared" si="307"/>
        <v>-208.59553109815388</v>
      </c>
      <c r="G1814" s="1">
        <f t="shared" si="304"/>
        <v>2.559245182181936E-91</v>
      </c>
      <c r="H1814" s="1">
        <f t="shared" si="297"/>
        <v>2.6513238448212853E-92</v>
      </c>
      <c r="I1814">
        <f t="shared" si="298"/>
        <v>8</v>
      </c>
      <c r="J1814">
        <f t="shared" si="299"/>
        <v>1781</v>
      </c>
      <c r="K1814" s="5">
        <f t="shared" si="300"/>
        <v>0</v>
      </c>
      <c r="L1814">
        <f t="shared" si="301"/>
        <v>53.4</v>
      </c>
      <c r="M1814">
        <f t="shared" si="302"/>
        <v>1</v>
      </c>
      <c r="N1814">
        <f t="shared" si="303"/>
        <v>0</v>
      </c>
    </row>
    <row r="1815" spans="4:14" x14ac:dyDescent="0.2">
      <c r="D1815">
        <f t="shared" si="305"/>
        <v>1792</v>
      </c>
      <c r="E1815" s="1">
        <f t="shared" si="306"/>
        <v>-208.13545155010584</v>
      </c>
      <c r="F1815" s="1">
        <f t="shared" si="307"/>
        <v>-208.71206491440984</v>
      </c>
      <c r="G1815" s="1">
        <f t="shared" si="304"/>
        <v>2.2777282121419217E-91</v>
      </c>
      <c r="H1815" s="1">
        <f t="shared" ref="H1815:H1878" si="308">G1815/$G$21</f>
        <v>2.3596782218909427E-92</v>
      </c>
      <c r="I1815">
        <f t="shared" ref="I1815:I1878" si="309">IF($F$11&lt;=D1815, IF(D1815&lt;=$A$15,D1815-$F$11,$C$11),0)</f>
        <v>8</v>
      </c>
      <c r="J1815">
        <f t="shared" ref="J1815:J1878" si="310">IF(D1815&lt;=$A$15,0,D1815-$A$15)</f>
        <v>1782</v>
      </c>
      <c r="K1815" s="5">
        <f t="shared" ref="K1815:K1878" si="311">IF(D1815&lt;$F$11,H1815,0)</f>
        <v>0</v>
      </c>
      <c r="L1815">
        <f t="shared" ref="L1815:L1878" si="312">IF(D1815&lt;$A$15,$D$11,$D$11*(1-$H$11))</f>
        <v>53.4</v>
      </c>
      <c r="M1815">
        <f t="shared" ref="M1815:M1878" si="313">IF(D1815&lt;$A$15,0,1)</f>
        <v>1</v>
      </c>
      <c r="N1815">
        <f t="shared" ref="N1815:N1878" si="314">IF(SUM(I1815:J1815)&lt;=($G$11/60*$F$11/($E$11/60)),1,0)</f>
        <v>0</v>
      </c>
    </row>
    <row r="1816" spans="4:14" x14ac:dyDescent="0.2">
      <c r="D1816">
        <f t="shared" si="305"/>
        <v>1793</v>
      </c>
      <c r="E1816" s="1">
        <f t="shared" si="306"/>
        <v>-208.25198536636179</v>
      </c>
      <c r="F1816" s="1">
        <f t="shared" si="307"/>
        <v>-208.82859873066579</v>
      </c>
      <c r="G1816" s="1">
        <f t="shared" ref="G1816:G1879" si="315">EXP(F1816)</f>
        <v>2.0271781088063089E-91</v>
      </c>
      <c r="H1816" s="1">
        <f t="shared" si="308"/>
        <v>2.1001136174829375E-92</v>
      </c>
      <c r="I1816">
        <f t="shared" si="309"/>
        <v>8</v>
      </c>
      <c r="J1816">
        <f t="shared" si="310"/>
        <v>1783</v>
      </c>
      <c r="K1816" s="5">
        <f t="shared" si="311"/>
        <v>0</v>
      </c>
      <c r="L1816">
        <f t="shared" si="312"/>
        <v>53.4</v>
      </c>
      <c r="M1816">
        <f t="shared" si="313"/>
        <v>1</v>
      </c>
      <c r="N1816">
        <f t="shared" si="314"/>
        <v>0</v>
      </c>
    </row>
    <row r="1817" spans="4:14" x14ac:dyDescent="0.2">
      <c r="D1817">
        <f t="shared" ref="D1817:D1880" si="316">1+D1816</f>
        <v>1794</v>
      </c>
      <c r="E1817" s="1">
        <f t="shared" ref="E1817:E1880" si="317">IF($H$11=1,IF(D1817&lt;=$A$15, E1816+LN($D$11)-LN(60/$E$11)-LN(MIN(D1817,$F$11)), E1816-LN(60/$E$11)-LN(MIN(D1817,$F$11))), IF(D1817&lt;=$A$15, E1816+LN($D$11)-LN(60/$E$11)-LN(MIN(D1817,$F$11)), E1816+LN($D$11)+LN(1-$H$11)-LN(60/$E$11)-LN(MIN(D1817,$F$11))))</f>
        <v>-208.36851918261775</v>
      </c>
      <c r="F1817" s="1">
        <f t="shared" ref="F1817:F1880" si="318">E1817-$E$21</f>
        <v>-208.94513254692174</v>
      </c>
      <c r="G1817" s="1">
        <f t="shared" si="315"/>
        <v>1.8041885168376137E-91</v>
      </c>
      <c r="H1817" s="1">
        <f t="shared" si="308"/>
        <v>1.869101119559813E-92</v>
      </c>
      <c r="I1817">
        <f t="shared" si="309"/>
        <v>8</v>
      </c>
      <c r="J1817">
        <f t="shared" si="310"/>
        <v>1784</v>
      </c>
      <c r="K1817" s="5">
        <f t="shared" si="311"/>
        <v>0</v>
      </c>
      <c r="L1817">
        <f t="shared" si="312"/>
        <v>53.4</v>
      </c>
      <c r="M1817">
        <f t="shared" si="313"/>
        <v>1</v>
      </c>
      <c r="N1817">
        <f t="shared" si="314"/>
        <v>0</v>
      </c>
    </row>
    <row r="1818" spans="4:14" x14ac:dyDescent="0.2">
      <c r="D1818">
        <f t="shared" si="316"/>
        <v>1795</v>
      </c>
      <c r="E1818" s="1">
        <f t="shared" si="317"/>
        <v>-208.4850529988737</v>
      </c>
      <c r="F1818" s="1">
        <f t="shared" si="318"/>
        <v>-209.06166636317769</v>
      </c>
      <c r="G1818" s="1">
        <f t="shared" si="315"/>
        <v>1.6057277799854752E-91</v>
      </c>
      <c r="H1818" s="1">
        <f t="shared" si="308"/>
        <v>1.6634999964082326E-92</v>
      </c>
      <c r="I1818">
        <f t="shared" si="309"/>
        <v>8</v>
      </c>
      <c r="J1818">
        <f t="shared" si="310"/>
        <v>1785</v>
      </c>
      <c r="K1818" s="5">
        <f t="shared" si="311"/>
        <v>0</v>
      </c>
      <c r="L1818">
        <f t="shared" si="312"/>
        <v>53.4</v>
      </c>
      <c r="M1818">
        <f t="shared" si="313"/>
        <v>1</v>
      </c>
      <c r="N1818">
        <f t="shared" si="314"/>
        <v>0</v>
      </c>
    </row>
    <row r="1819" spans="4:14" x14ac:dyDescent="0.2">
      <c r="D1819">
        <f t="shared" si="316"/>
        <v>1796</v>
      </c>
      <c r="E1819" s="1">
        <f t="shared" si="317"/>
        <v>-208.60158681512965</v>
      </c>
      <c r="F1819" s="1">
        <f t="shared" si="318"/>
        <v>-209.17820017943365</v>
      </c>
      <c r="G1819" s="1">
        <f t="shared" si="315"/>
        <v>1.429097724187072E-91</v>
      </c>
      <c r="H1819" s="1">
        <f t="shared" si="308"/>
        <v>1.480514996803326E-92</v>
      </c>
      <c r="I1819">
        <f t="shared" si="309"/>
        <v>8</v>
      </c>
      <c r="J1819">
        <f t="shared" si="310"/>
        <v>1786</v>
      </c>
      <c r="K1819" s="5">
        <f t="shared" si="311"/>
        <v>0</v>
      </c>
      <c r="L1819">
        <f t="shared" si="312"/>
        <v>53.4</v>
      </c>
      <c r="M1819">
        <f t="shared" si="313"/>
        <v>1</v>
      </c>
      <c r="N1819">
        <f t="shared" si="314"/>
        <v>0</v>
      </c>
    </row>
    <row r="1820" spans="4:14" x14ac:dyDescent="0.2">
      <c r="D1820">
        <f t="shared" si="316"/>
        <v>1797</v>
      </c>
      <c r="E1820" s="1">
        <f t="shared" si="317"/>
        <v>-208.7181206313856</v>
      </c>
      <c r="F1820" s="1">
        <f t="shared" si="318"/>
        <v>-209.2947339956896</v>
      </c>
      <c r="G1820" s="1">
        <f t="shared" si="315"/>
        <v>1.2718969745264934E-91</v>
      </c>
      <c r="H1820" s="1">
        <f t="shared" si="308"/>
        <v>1.3176583471549595E-92</v>
      </c>
      <c r="I1820">
        <f t="shared" si="309"/>
        <v>8</v>
      </c>
      <c r="J1820">
        <f t="shared" si="310"/>
        <v>1787</v>
      </c>
      <c r="K1820" s="5">
        <f t="shared" si="311"/>
        <v>0</v>
      </c>
      <c r="L1820">
        <f t="shared" si="312"/>
        <v>53.4</v>
      </c>
      <c r="M1820">
        <f t="shared" si="313"/>
        <v>1</v>
      </c>
      <c r="N1820">
        <f t="shared" si="314"/>
        <v>0</v>
      </c>
    </row>
    <row r="1821" spans="4:14" x14ac:dyDescent="0.2">
      <c r="D1821">
        <f t="shared" si="316"/>
        <v>1798</v>
      </c>
      <c r="E1821" s="1">
        <f t="shared" si="317"/>
        <v>-208.83465444764155</v>
      </c>
      <c r="F1821" s="1">
        <f t="shared" si="318"/>
        <v>-209.41126781194555</v>
      </c>
      <c r="G1821" s="1">
        <f t="shared" si="315"/>
        <v>1.1319883073285783E-91</v>
      </c>
      <c r="H1821" s="1">
        <f t="shared" si="308"/>
        <v>1.172715928967913E-92</v>
      </c>
      <c r="I1821">
        <f t="shared" si="309"/>
        <v>8</v>
      </c>
      <c r="J1821">
        <f t="shared" si="310"/>
        <v>1788</v>
      </c>
      <c r="K1821" s="5">
        <f t="shared" si="311"/>
        <v>0</v>
      </c>
      <c r="L1821">
        <f t="shared" si="312"/>
        <v>53.4</v>
      </c>
      <c r="M1821">
        <f t="shared" si="313"/>
        <v>1</v>
      </c>
      <c r="N1821">
        <f t="shared" si="314"/>
        <v>0</v>
      </c>
    </row>
    <row r="1822" spans="4:14" x14ac:dyDescent="0.2">
      <c r="D1822">
        <f t="shared" si="316"/>
        <v>1799</v>
      </c>
      <c r="E1822" s="1">
        <f t="shared" si="317"/>
        <v>-208.95118826389751</v>
      </c>
      <c r="F1822" s="1">
        <f t="shared" si="318"/>
        <v>-209.5278016282015</v>
      </c>
      <c r="G1822" s="1">
        <f t="shared" si="315"/>
        <v>1.0074695935224341E-91</v>
      </c>
      <c r="H1822" s="1">
        <f t="shared" si="308"/>
        <v>1.043717176781442E-92</v>
      </c>
      <c r="I1822">
        <f t="shared" si="309"/>
        <v>8</v>
      </c>
      <c r="J1822">
        <f t="shared" si="310"/>
        <v>1789</v>
      </c>
      <c r="K1822" s="5">
        <f t="shared" si="311"/>
        <v>0</v>
      </c>
      <c r="L1822">
        <f t="shared" si="312"/>
        <v>53.4</v>
      </c>
      <c r="M1822">
        <f t="shared" si="313"/>
        <v>1</v>
      </c>
      <c r="N1822">
        <f t="shared" si="314"/>
        <v>0</v>
      </c>
    </row>
    <row r="1823" spans="4:14" x14ac:dyDescent="0.2">
      <c r="D1823">
        <f t="shared" si="316"/>
        <v>1800</v>
      </c>
      <c r="E1823" s="1">
        <f t="shared" si="317"/>
        <v>-209.06772208015346</v>
      </c>
      <c r="F1823" s="1">
        <f t="shared" si="318"/>
        <v>-209.64433544445745</v>
      </c>
      <c r="G1823" s="1">
        <f t="shared" si="315"/>
        <v>8.9664793823496585E-92</v>
      </c>
      <c r="H1823" s="1">
        <f t="shared" si="308"/>
        <v>9.2890828733548281E-93</v>
      </c>
      <c r="I1823">
        <f t="shared" si="309"/>
        <v>8</v>
      </c>
      <c r="J1823">
        <f t="shared" si="310"/>
        <v>1790</v>
      </c>
      <c r="K1823" s="5">
        <f t="shared" si="311"/>
        <v>0</v>
      </c>
      <c r="L1823">
        <f t="shared" si="312"/>
        <v>53.4</v>
      </c>
      <c r="M1823">
        <f t="shared" si="313"/>
        <v>1</v>
      </c>
      <c r="N1823">
        <f t="shared" si="314"/>
        <v>0</v>
      </c>
    </row>
    <row r="1824" spans="4:14" x14ac:dyDescent="0.2">
      <c r="D1824">
        <f t="shared" si="316"/>
        <v>1801</v>
      </c>
      <c r="E1824" s="1">
        <f t="shared" si="317"/>
        <v>-209.18425589640941</v>
      </c>
      <c r="F1824" s="1">
        <f t="shared" si="318"/>
        <v>-209.76086926071341</v>
      </c>
      <c r="G1824" s="1">
        <f t="shared" si="315"/>
        <v>7.9801666502911911E-92</v>
      </c>
      <c r="H1824" s="1">
        <f t="shared" si="308"/>
        <v>8.2672837572857928E-93</v>
      </c>
      <c r="I1824">
        <f t="shared" si="309"/>
        <v>8</v>
      </c>
      <c r="J1824">
        <f t="shared" si="310"/>
        <v>1791</v>
      </c>
      <c r="K1824" s="5">
        <f t="shared" si="311"/>
        <v>0</v>
      </c>
      <c r="L1824">
        <f t="shared" si="312"/>
        <v>53.4</v>
      </c>
      <c r="M1824">
        <f t="shared" si="313"/>
        <v>1</v>
      </c>
      <c r="N1824">
        <f t="shared" si="314"/>
        <v>0</v>
      </c>
    </row>
    <row r="1825" spans="4:14" x14ac:dyDescent="0.2">
      <c r="D1825">
        <f t="shared" si="316"/>
        <v>1802</v>
      </c>
      <c r="E1825" s="1">
        <f t="shared" si="317"/>
        <v>-209.30078971266536</v>
      </c>
      <c r="F1825" s="1">
        <f t="shared" si="318"/>
        <v>-209.87740307696936</v>
      </c>
      <c r="G1825" s="1">
        <f t="shared" si="315"/>
        <v>7.1023483187591555E-92</v>
      </c>
      <c r="H1825" s="1">
        <f t="shared" si="308"/>
        <v>7.3578825439843509E-93</v>
      </c>
      <c r="I1825">
        <f t="shared" si="309"/>
        <v>8</v>
      </c>
      <c r="J1825">
        <f t="shared" si="310"/>
        <v>1792</v>
      </c>
      <c r="K1825" s="5">
        <f t="shared" si="311"/>
        <v>0</v>
      </c>
      <c r="L1825">
        <f t="shared" si="312"/>
        <v>53.4</v>
      </c>
      <c r="M1825">
        <f t="shared" si="313"/>
        <v>1</v>
      </c>
      <c r="N1825">
        <f t="shared" si="314"/>
        <v>0</v>
      </c>
    </row>
    <row r="1826" spans="4:14" x14ac:dyDescent="0.2">
      <c r="D1826">
        <f t="shared" si="316"/>
        <v>1803</v>
      </c>
      <c r="E1826" s="1">
        <f t="shared" si="317"/>
        <v>-209.41732352892132</v>
      </c>
      <c r="F1826" s="1">
        <f t="shared" si="318"/>
        <v>-209.99393689322531</v>
      </c>
      <c r="G1826" s="1">
        <f t="shared" si="315"/>
        <v>6.3210900036956449E-92</v>
      </c>
      <c r="H1826" s="1">
        <f t="shared" si="308"/>
        <v>6.5485154641460681E-93</v>
      </c>
      <c r="I1826">
        <f t="shared" si="309"/>
        <v>8</v>
      </c>
      <c r="J1826">
        <f t="shared" si="310"/>
        <v>1793</v>
      </c>
      <c r="K1826" s="5">
        <f t="shared" si="311"/>
        <v>0</v>
      </c>
      <c r="L1826">
        <f t="shared" si="312"/>
        <v>53.4</v>
      </c>
      <c r="M1826">
        <f t="shared" si="313"/>
        <v>1</v>
      </c>
      <c r="N1826">
        <f t="shared" si="314"/>
        <v>0</v>
      </c>
    </row>
    <row r="1827" spans="4:14" x14ac:dyDescent="0.2">
      <c r="D1827">
        <f t="shared" si="316"/>
        <v>1804</v>
      </c>
      <c r="E1827" s="1">
        <f t="shared" si="317"/>
        <v>-209.53385734517727</v>
      </c>
      <c r="F1827" s="1">
        <f t="shared" si="318"/>
        <v>-210.11047070948126</v>
      </c>
      <c r="G1827" s="1">
        <f t="shared" si="315"/>
        <v>5.6257701032891195E-92</v>
      </c>
      <c r="H1827" s="1">
        <f t="shared" si="308"/>
        <v>5.828178763089996E-93</v>
      </c>
      <c r="I1827">
        <f t="shared" si="309"/>
        <v>8</v>
      </c>
      <c r="J1827">
        <f t="shared" si="310"/>
        <v>1794</v>
      </c>
      <c r="K1827" s="5">
        <f t="shared" si="311"/>
        <v>0</v>
      </c>
      <c r="L1827">
        <f t="shared" si="312"/>
        <v>53.4</v>
      </c>
      <c r="M1827">
        <f t="shared" si="313"/>
        <v>1</v>
      </c>
      <c r="N1827">
        <f t="shared" si="314"/>
        <v>0</v>
      </c>
    </row>
    <row r="1828" spans="4:14" x14ac:dyDescent="0.2">
      <c r="D1828">
        <f t="shared" si="316"/>
        <v>1805</v>
      </c>
      <c r="E1828" s="1">
        <f t="shared" si="317"/>
        <v>-209.65039116143322</v>
      </c>
      <c r="F1828" s="1">
        <f t="shared" si="318"/>
        <v>-210.22700452573721</v>
      </c>
      <c r="G1828" s="1">
        <f t="shared" si="315"/>
        <v>5.0069353919273136E-92</v>
      </c>
      <c r="H1828" s="1">
        <f t="shared" si="308"/>
        <v>5.187079099150094E-93</v>
      </c>
      <c r="I1828">
        <f t="shared" si="309"/>
        <v>8</v>
      </c>
      <c r="J1828">
        <f t="shared" si="310"/>
        <v>1795</v>
      </c>
      <c r="K1828" s="5">
        <f t="shared" si="311"/>
        <v>0</v>
      </c>
      <c r="L1828">
        <f t="shared" si="312"/>
        <v>53.4</v>
      </c>
      <c r="M1828">
        <f t="shared" si="313"/>
        <v>1</v>
      </c>
      <c r="N1828">
        <f t="shared" si="314"/>
        <v>0</v>
      </c>
    </row>
    <row r="1829" spans="4:14" x14ac:dyDescent="0.2">
      <c r="D1829">
        <f t="shared" si="316"/>
        <v>1806</v>
      </c>
      <c r="E1829" s="1">
        <f t="shared" si="317"/>
        <v>-209.76692497768917</v>
      </c>
      <c r="F1829" s="1">
        <f t="shared" si="318"/>
        <v>-210.34353834199317</v>
      </c>
      <c r="G1829" s="1">
        <f t="shared" si="315"/>
        <v>4.4561724988153062E-92</v>
      </c>
      <c r="H1829" s="1">
        <f t="shared" si="308"/>
        <v>4.6165003982435804E-93</v>
      </c>
      <c r="I1829">
        <f t="shared" si="309"/>
        <v>8</v>
      </c>
      <c r="J1829">
        <f t="shared" si="310"/>
        <v>1796</v>
      </c>
      <c r="K1829" s="5">
        <f t="shared" si="311"/>
        <v>0</v>
      </c>
      <c r="L1829">
        <f t="shared" si="312"/>
        <v>53.4</v>
      </c>
      <c r="M1829">
        <f t="shared" si="313"/>
        <v>1</v>
      </c>
      <c r="N1829">
        <f t="shared" si="314"/>
        <v>0</v>
      </c>
    </row>
    <row r="1830" spans="4:14" x14ac:dyDescent="0.2">
      <c r="D1830">
        <f t="shared" si="316"/>
        <v>1807</v>
      </c>
      <c r="E1830" s="1">
        <f t="shared" si="317"/>
        <v>-209.88345879394512</v>
      </c>
      <c r="F1830" s="1">
        <f t="shared" si="318"/>
        <v>-210.46007215824912</v>
      </c>
      <c r="G1830" s="1">
        <f t="shared" si="315"/>
        <v>3.9659935239456198E-92</v>
      </c>
      <c r="H1830" s="1">
        <f t="shared" si="308"/>
        <v>4.1086853544367835E-93</v>
      </c>
      <c r="I1830">
        <f t="shared" si="309"/>
        <v>8</v>
      </c>
      <c r="J1830">
        <f t="shared" si="310"/>
        <v>1797</v>
      </c>
      <c r="K1830" s="5">
        <f t="shared" si="311"/>
        <v>0</v>
      </c>
      <c r="L1830">
        <f t="shared" si="312"/>
        <v>53.4</v>
      </c>
      <c r="M1830">
        <f t="shared" si="313"/>
        <v>1</v>
      </c>
      <c r="N1830">
        <f t="shared" si="314"/>
        <v>0</v>
      </c>
    </row>
    <row r="1831" spans="4:14" x14ac:dyDescent="0.2">
      <c r="D1831">
        <f t="shared" si="316"/>
        <v>1808</v>
      </c>
      <c r="E1831" s="1">
        <f t="shared" si="317"/>
        <v>-209.99999261020108</v>
      </c>
      <c r="F1831" s="1">
        <f t="shared" si="318"/>
        <v>-210.57660597450507</v>
      </c>
      <c r="G1831" s="1">
        <f t="shared" si="315"/>
        <v>3.5297342363115993E-92</v>
      </c>
      <c r="H1831" s="1">
        <f t="shared" si="308"/>
        <v>3.6567299654487354E-93</v>
      </c>
      <c r="I1831">
        <f t="shared" si="309"/>
        <v>8</v>
      </c>
      <c r="J1831">
        <f t="shared" si="310"/>
        <v>1798</v>
      </c>
      <c r="K1831" s="5">
        <f t="shared" si="311"/>
        <v>0</v>
      </c>
      <c r="L1831">
        <f t="shared" si="312"/>
        <v>53.4</v>
      </c>
      <c r="M1831">
        <f t="shared" si="313"/>
        <v>1</v>
      </c>
      <c r="N1831">
        <f t="shared" si="314"/>
        <v>0</v>
      </c>
    </row>
    <row r="1832" spans="4:14" x14ac:dyDescent="0.2">
      <c r="D1832">
        <f t="shared" si="316"/>
        <v>1809</v>
      </c>
      <c r="E1832" s="1">
        <f t="shared" si="317"/>
        <v>-210.11652642645703</v>
      </c>
      <c r="F1832" s="1">
        <f t="shared" si="318"/>
        <v>-210.69313979076102</v>
      </c>
      <c r="G1832" s="1">
        <f t="shared" si="315"/>
        <v>3.1414634703173214E-92</v>
      </c>
      <c r="H1832" s="1">
        <f t="shared" si="308"/>
        <v>3.2544896692493723E-93</v>
      </c>
      <c r="I1832">
        <f t="shared" si="309"/>
        <v>8</v>
      </c>
      <c r="J1832">
        <f t="shared" si="310"/>
        <v>1799</v>
      </c>
      <c r="K1832" s="5">
        <f t="shared" si="311"/>
        <v>0</v>
      </c>
      <c r="L1832">
        <f t="shared" si="312"/>
        <v>53.4</v>
      </c>
      <c r="M1832">
        <f t="shared" si="313"/>
        <v>1</v>
      </c>
      <c r="N1832">
        <f t="shared" si="314"/>
        <v>0</v>
      </c>
    </row>
    <row r="1833" spans="4:14" x14ac:dyDescent="0.2">
      <c r="D1833">
        <f t="shared" si="316"/>
        <v>1810</v>
      </c>
      <c r="E1833" s="1">
        <f t="shared" si="317"/>
        <v>-210.23306024271298</v>
      </c>
      <c r="F1833" s="1">
        <f t="shared" si="318"/>
        <v>-210.80967360701698</v>
      </c>
      <c r="G1833" s="1">
        <f t="shared" si="315"/>
        <v>2.7959024885824144E-92</v>
      </c>
      <c r="H1833" s="1">
        <f t="shared" si="308"/>
        <v>2.8964958056319395E-93</v>
      </c>
      <c r="I1833">
        <f t="shared" si="309"/>
        <v>8</v>
      </c>
      <c r="J1833">
        <f t="shared" si="310"/>
        <v>1800</v>
      </c>
      <c r="K1833" s="5">
        <f t="shared" si="311"/>
        <v>0</v>
      </c>
      <c r="L1833">
        <f t="shared" si="312"/>
        <v>53.4</v>
      </c>
      <c r="M1833">
        <f t="shared" si="313"/>
        <v>1</v>
      </c>
      <c r="N1833">
        <f t="shared" si="314"/>
        <v>0</v>
      </c>
    </row>
    <row r="1834" spans="4:14" x14ac:dyDescent="0.2">
      <c r="D1834">
        <f t="shared" si="316"/>
        <v>1811</v>
      </c>
      <c r="E1834" s="1">
        <f t="shared" si="317"/>
        <v>-210.34959405896893</v>
      </c>
      <c r="F1834" s="1">
        <f t="shared" si="318"/>
        <v>-210.92620742327293</v>
      </c>
      <c r="G1834" s="1">
        <f t="shared" si="315"/>
        <v>2.4883532148383473E-92</v>
      </c>
      <c r="H1834" s="1">
        <f t="shared" si="308"/>
        <v>2.5778812670124245E-93</v>
      </c>
      <c r="I1834">
        <f t="shared" si="309"/>
        <v>8</v>
      </c>
      <c r="J1834">
        <f t="shared" si="310"/>
        <v>1801</v>
      </c>
      <c r="K1834" s="5">
        <f t="shared" si="311"/>
        <v>0</v>
      </c>
      <c r="L1834">
        <f t="shared" si="312"/>
        <v>53.4</v>
      </c>
      <c r="M1834">
        <f t="shared" si="313"/>
        <v>1</v>
      </c>
      <c r="N1834">
        <f t="shared" si="314"/>
        <v>0</v>
      </c>
    </row>
    <row r="1835" spans="4:14" x14ac:dyDescent="0.2">
      <c r="D1835">
        <f t="shared" si="316"/>
        <v>1812</v>
      </c>
      <c r="E1835" s="1">
        <f t="shared" si="317"/>
        <v>-210.46612787522488</v>
      </c>
      <c r="F1835" s="1">
        <f t="shared" si="318"/>
        <v>-211.04274123952888</v>
      </c>
      <c r="G1835" s="1">
        <f t="shared" si="315"/>
        <v>2.2146343612061278E-92</v>
      </c>
      <c r="H1835" s="1">
        <f t="shared" si="308"/>
        <v>2.2943143276410567E-93</v>
      </c>
      <c r="I1835">
        <f t="shared" si="309"/>
        <v>8</v>
      </c>
      <c r="J1835">
        <f t="shared" si="310"/>
        <v>1802</v>
      </c>
      <c r="K1835" s="5">
        <f t="shared" si="311"/>
        <v>0</v>
      </c>
      <c r="L1835">
        <f t="shared" si="312"/>
        <v>53.4</v>
      </c>
      <c r="M1835">
        <f t="shared" si="313"/>
        <v>1</v>
      </c>
      <c r="N1835">
        <f t="shared" si="314"/>
        <v>0</v>
      </c>
    </row>
    <row r="1836" spans="4:14" x14ac:dyDescent="0.2">
      <c r="D1836">
        <f t="shared" si="316"/>
        <v>1813</v>
      </c>
      <c r="E1836" s="1">
        <f t="shared" si="317"/>
        <v>-210.58266169148084</v>
      </c>
      <c r="F1836" s="1">
        <f t="shared" si="318"/>
        <v>-211.15927505578483</v>
      </c>
      <c r="G1836" s="1">
        <f t="shared" si="315"/>
        <v>1.9710245814734526E-92</v>
      </c>
      <c r="H1836" s="1">
        <f t="shared" si="308"/>
        <v>2.0419397516005393E-93</v>
      </c>
      <c r="I1836">
        <f t="shared" si="309"/>
        <v>8</v>
      </c>
      <c r="J1836">
        <f t="shared" si="310"/>
        <v>1803</v>
      </c>
      <c r="K1836" s="5">
        <f t="shared" si="311"/>
        <v>0</v>
      </c>
      <c r="L1836">
        <f t="shared" si="312"/>
        <v>53.4</v>
      </c>
      <c r="M1836">
        <f t="shared" si="313"/>
        <v>1</v>
      </c>
      <c r="N1836">
        <f t="shared" si="314"/>
        <v>0</v>
      </c>
    </row>
    <row r="1837" spans="4:14" x14ac:dyDescent="0.2">
      <c r="D1837">
        <f t="shared" si="316"/>
        <v>1814</v>
      </c>
      <c r="E1837" s="1">
        <f t="shared" si="317"/>
        <v>-210.69919550773679</v>
      </c>
      <c r="F1837" s="1">
        <f t="shared" si="318"/>
        <v>-211.27580887204078</v>
      </c>
      <c r="G1837" s="1">
        <f t="shared" si="315"/>
        <v>1.7542118775113717E-92</v>
      </c>
      <c r="H1837" s="1">
        <f t="shared" si="308"/>
        <v>1.8173263789244786E-93</v>
      </c>
      <c r="I1837">
        <f t="shared" si="309"/>
        <v>8</v>
      </c>
      <c r="J1837">
        <f t="shared" si="310"/>
        <v>1804</v>
      </c>
      <c r="K1837" s="5">
        <f t="shared" si="311"/>
        <v>0</v>
      </c>
      <c r="L1837">
        <f t="shared" si="312"/>
        <v>53.4</v>
      </c>
      <c r="M1837">
        <f t="shared" si="313"/>
        <v>1</v>
      </c>
      <c r="N1837">
        <f t="shared" si="314"/>
        <v>0</v>
      </c>
    </row>
    <row r="1838" spans="4:14" x14ac:dyDescent="0.2">
      <c r="D1838">
        <f t="shared" si="316"/>
        <v>1815</v>
      </c>
      <c r="E1838" s="1">
        <f t="shared" si="317"/>
        <v>-210.81572932399274</v>
      </c>
      <c r="F1838" s="1">
        <f t="shared" si="318"/>
        <v>-211.39234268829674</v>
      </c>
      <c r="G1838" s="1">
        <f t="shared" si="315"/>
        <v>1.5612485709851198E-92</v>
      </c>
      <c r="H1838" s="1">
        <f t="shared" si="308"/>
        <v>1.6174204772427851E-93</v>
      </c>
      <c r="I1838">
        <f t="shared" si="309"/>
        <v>8</v>
      </c>
      <c r="J1838">
        <f t="shared" si="310"/>
        <v>1805</v>
      </c>
      <c r="K1838" s="5">
        <f t="shared" si="311"/>
        <v>0</v>
      </c>
      <c r="L1838">
        <f t="shared" si="312"/>
        <v>53.4</v>
      </c>
      <c r="M1838">
        <f t="shared" si="313"/>
        <v>1</v>
      </c>
      <c r="N1838">
        <f t="shared" si="314"/>
        <v>0</v>
      </c>
    </row>
    <row r="1839" spans="4:14" x14ac:dyDescent="0.2">
      <c r="D1839">
        <f t="shared" si="316"/>
        <v>1816</v>
      </c>
      <c r="E1839" s="1">
        <f t="shared" si="317"/>
        <v>-210.93226314024869</v>
      </c>
      <c r="F1839" s="1">
        <f t="shared" si="318"/>
        <v>-211.50887650455269</v>
      </c>
      <c r="G1839" s="1">
        <f t="shared" si="315"/>
        <v>1.3895112281767556E-92</v>
      </c>
      <c r="H1839" s="1">
        <f t="shared" si="308"/>
        <v>1.4395042247460778E-93</v>
      </c>
      <c r="I1839">
        <f t="shared" si="309"/>
        <v>8</v>
      </c>
      <c r="J1839">
        <f t="shared" si="310"/>
        <v>1806</v>
      </c>
      <c r="K1839" s="5">
        <f t="shared" si="311"/>
        <v>0</v>
      </c>
      <c r="L1839">
        <f t="shared" si="312"/>
        <v>53.4</v>
      </c>
      <c r="M1839">
        <f t="shared" si="313"/>
        <v>1</v>
      </c>
      <c r="N1839">
        <f t="shared" si="314"/>
        <v>0</v>
      </c>
    </row>
    <row r="1840" spans="4:14" x14ac:dyDescent="0.2">
      <c r="D1840">
        <f t="shared" si="316"/>
        <v>1817</v>
      </c>
      <c r="E1840" s="1">
        <f t="shared" si="317"/>
        <v>-211.04879695650465</v>
      </c>
      <c r="F1840" s="1">
        <f t="shared" si="318"/>
        <v>-211.62541032080864</v>
      </c>
      <c r="G1840" s="1">
        <f t="shared" si="315"/>
        <v>1.2366649930773118E-92</v>
      </c>
      <c r="H1840" s="1">
        <f t="shared" si="308"/>
        <v>1.2811587600240083E-93</v>
      </c>
      <c r="I1840">
        <f t="shared" si="309"/>
        <v>8</v>
      </c>
      <c r="J1840">
        <f t="shared" si="310"/>
        <v>1807</v>
      </c>
      <c r="K1840" s="5">
        <f t="shared" si="311"/>
        <v>0</v>
      </c>
      <c r="L1840">
        <f t="shared" si="312"/>
        <v>53.4</v>
      </c>
      <c r="M1840">
        <f t="shared" si="313"/>
        <v>1</v>
      </c>
      <c r="N1840">
        <f t="shared" si="314"/>
        <v>0</v>
      </c>
    </row>
    <row r="1841" spans="4:14" x14ac:dyDescent="0.2">
      <c r="D1841">
        <f t="shared" si="316"/>
        <v>1818</v>
      </c>
      <c r="E1841" s="1">
        <f t="shared" si="317"/>
        <v>-211.1653307727606</v>
      </c>
      <c r="F1841" s="1">
        <f t="shared" si="318"/>
        <v>-211.74194413706459</v>
      </c>
      <c r="G1841" s="1">
        <f t="shared" si="315"/>
        <v>1.1006318438388068E-92</v>
      </c>
      <c r="H1841" s="1">
        <f t="shared" si="308"/>
        <v>1.1402312964213668E-93</v>
      </c>
      <c r="I1841">
        <f t="shared" si="309"/>
        <v>8</v>
      </c>
      <c r="J1841">
        <f t="shared" si="310"/>
        <v>1808</v>
      </c>
      <c r="K1841" s="5">
        <f t="shared" si="311"/>
        <v>0</v>
      </c>
      <c r="L1841">
        <f t="shared" si="312"/>
        <v>53.4</v>
      </c>
      <c r="M1841">
        <f t="shared" si="313"/>
        <v>1</v>
      </c>
      <c r="N1841">
        <f t="shared" si="314"/>
        <v>0</v>
      </c>
    </row>
    <row r="1842" spans="4:14" x14ac:dyDescent="0.2">
      <c r="D1842">
        <f t="shared" si="316"/>
        <v>1819</v>
      </c>
      <c r="E1842" s="1">
        <f t="shared" si="317"/>
        <v>-211.28186458901655</v>
      </c>
      <c r="F1842" s="1">
        <f t="shared" si="318"/>
        <v>-211.85847795332054</v>
      </c>
      <c r="G1842" s="1">
        <f t="shared" si="315"/>
        <v>9.7956234101653743E-93</v>
      </c>
      <c r="H1842" s="1">
        <f t="shared" si="308"/>
        <v>1.0148058538150157E-93</v>
      </c>
      <c r="I1842">
        <f t="shared" si="309"/>
        <v>8</v>
      </c>
      <c r="J1842">
        <f t="shared" si="310"/>
        <v>1809</v>
      </c>
      <c r="K1842" s="5">
        <f t="shared" si="311"/>
        <v>0</v>
      </c>
      <c r="L1842">
        <f t="shared" si="312"/>
        <v>53.4</v>
      </c>
      <c r="M1842">
        <f t="shared" si="313"/>
        <v>1</v>
      </c>
      <c r="N1842">
        <f t="shared" si="314"/>
        <v>0</v>
      </c>
    </row>
    <row r="1843" spans="4:14" x14ac:dyDescent="0.2">
      <c r="D1843">
        <f t="shared" si="316"/>
        <v>1820</v>
      </c>
      <c r="E1843" s="1">
        <f t="shared" si="317"/>
        <v>-211.3983984052725</v>
      </c>
      <c r="F1843" s="1">
        <f t="shared" si="318"/>
        <v>-211.9750117695765</v>
      </c>
      <c r="G1843" s="1">
        <f t="shared" si="315"/>
        <v>8.7181048350471768E-93</v>
      </c>
      <c r="H1843" s="1">
        <f t="shared" si="308"/>
        <v>9.031772098953634E-94</v>
      </c>
      <c r="I1843">
        <f t="shared" si="309"/>
        <v>8</v>
      </c>
      <c r="J1843">
        <f t="shared" si="310"/>
        <v>1810</v>
      </c>
      <c r="K1843" s="5">
        <f t="shared" si="311"/>
        <v>0</v>
      </c>
      <c r="L1843">
        <f t="shared" si="312"/>
        <v>53.4</v>
      </c>
      <c r="M1843">
        <f t="shared" si="313"/>
        <v>1</v>
      </c>
      <c r="N1843">
        <f t="shared" si="314"/>
        <v>0</v>
      </c>
    </row>
    <row r="1844" spans="4:14" x14ac:dyDescent="0.2">
      <c r="D1844">
        <f t="shared" si="316"/>
        <v>1821</v>
      </c>
      <c r="E1844" s="1">
        <f t="shared" si="317"/>
        <v>-211.51493222152845</v>
      </c>
      <c r="F1844" s="1">
        <f t="shared" si="318"/>
        <v>-212.09154558583245</v>
      </c>
      <c r="G1844" s="1">
        <f t="shared" si="315"/>
        <v>7.7591133031919829E-93</v>
      </c>
      <c r="H1844" s="1">
        <f t="shared" si="308"/>
        <v>8.0382771680687293E-94</v>
      </c>
      <c r="I1844">
        <f t="shared" si="309"/>
        <v>8</v>
      </c>
      <c r="J1844">
        <f t="shared" si="310"/>
        <v>1811</v>
      </c>
      <c r="K1844" s="5">
        <f t="shared" si="311"/>
        <v>0</v>
      </c>
      <c r="L1844">
        <f t="shared" si="312"/>
        <v>53.4</v>
      </c>
      <c r="M1844">
        <f t="shared" si="313"/>
        <v>1</v>
      </c>
      <c r="N1844">
        <f t="shared" si="314"/>
        <v>0</v>
      </c>
    </row>
    <row r="1845" spans="4:14" x14ac:dyDescent="0.2">
      <c r="D1845">
        <f t="shared" si="316"/>
        <v>1822</v>
      </c>
      <c r="E1845" s="1">
        <f t="shared" si="317"/>
        <v>-211.63146603778441</v>
      </c>
      <c r="F1845" s="1">
        <f t="shared" si="318"/>
        <v>-212.2080794020884</v>
      </c>
      <c r="G1845" s="1">
        <f t="shared" si="315"/>
        <v>6.9056108398408605E-93</v>
      </c>
      <c r="H1845" s="1">
        <f t="shared" si="308"/>
        <v>7.1540666795811648E-94</v>
      </c>
      <c r="I1845">
        <f t="shared" si="309"/>
        <v>8</v>
      </c>
      <c r="J1845">
        <f t="shared" si="310"/>
        <v>1812</v>
      </c>
      <c r="K1845" s="5">
        <f t="shared" si="311"/>
        <v>0</v>
      </c>
      <c r="L1845">
        <f t="shared" si="312"/>
        <v>53.4</v>
      </c>
      <c r="M1845">
        <f t="shared" si="313"/>
        <v>1</v>
      </c>
      <c r="N1845">
        <f t="shared" si="314"/>
        <v>0</v>
      </c>
    </row>
    <row r="1846" spans="4:14" x14ac:dyDescent="0.2">
      <c r="D1846">
        <f t="shared" si="316"/>
        <v>1823</v>
      </c>
      <c r="E1846" s="1">
        <f t="shared" si="317"/>
        <v>-211.74799985404036</v>
      </c>
      <c r="F1846" s="1">
        <f t="shared" si="318"/>
        <v>-212.32461321834435</v>
      </c>
      <c r="G1846" s="1">
        <f t="shared" si="315"/>
        <v>6.1459936474583623E-93</v>
      </c>
      <c r="H1846" s="1">
        <f t="shared" si="308"/>
        <v>6.3671193448272334E-94</v>
      </c>
      <c r="I1846">
        <f t="shared" si="309"/>
        <v>8</v>
      </c>
      <c r="J1846">
        <f t="shared" si="310"/>
        <v>1813</v>
      </c>
      <c r="K1846" s="5">
        <f t="shared" si="311"/>
        <v>0</v>
      </c>
      <c r="L1846">
        <f t="shared" si="312"/>
        <v>53.4</v>
      </c>
      <c r="M1846">
        <f t="shared" si="313"/>
        <v>1</v>
      </c>
      <c r="N1846">
        <f t="shared" si="314"/>
        <v>0</v>
      </c>
    </row>
    <row r="1847" spans="4:14" x14ac:dyDescent="0.2">
      <c r="D1847">
        <f t="shared" si="316"/>
        <v>1824</v>
      </c>
      <c r="E1847" s="1">
        <f t="shared" si="317"/>
        <v>-211.86453367029631</v>
      </c>
      <c r="F1847" s="1">
        <f t="shared" si="318"/>
        <v>-212.44114703460031</v>
      </c>
      <c r="G1847" s="1">
        <f t="shared" si="315"/>
        <v>5.4699343462379389E-93</v>
      </c>
      <c r="H1847" s="1">
        <f t="shared" si="308"/>
        <v>5.6667362168962331E-94</v>
      </c>
      <c r="I1847">
        <f t="shared" si="309"/>
        <v>8</v>
      </c>
      <c r="J1847">
        <f t="shared" si="310"/>
        <v>1814</v>
      </c>
      <c r="K1847" s="5">
        <f t="shared" si="311"/>
        <v>0</v>
      </c>
      <c r="L1847">
        <f t="shared" si="312"/>
        <v>53.4</v>
      </c>
      <c r="M1847">
        <f t="shared" si="313"/>
        <v>1</v>
      </c>
      <c r="N1847">
        <f t="shared" si="314"/>
        <v>0</v>
      </c>
    </row>
    <row r="1848" spans="4:14" x14ac:dyDescent="0.2">
      <c r="D1848">
        <f t="shared" si="316"/>
        <v>1825</v>
      </c>
      <c r="E1848" s="1">
        <f t="shared" si="317"/>
        <v>-211.98106748655226</v>
      </c>
      <c r="F1848" s="1">
        <f t="shared" si="318"/>
        <v>-212.55768085085626</v>
      </c>
      <c r="G1848" s="1">
        <f t="shared" si="315"/>
        <v>4.8682415681517623E-93</v>
      </c>
      <c r="H1848" s="1">
        <f t="shared" si="308"/>
        <v>5.0433952330376442E-94</v>
      </c>
      <c r="I1848">
        <f t="shared" si="309"/>
        <v>8</v>
      </c>
      <c r="J1848">
        <f t="shared" si="310"/>
        <v>1815</v>
      </c>
      <c r="K1848" s="5">
        <f t="shared" si="311"/>
        <v>0</v>
      </c>
      <c r="L1848">
        <f t="shared" si="312"/>
        <v>53.4</v>
      </c>
      <c r="M1848">
        <f t="shared" si="313"/>
        <v>1</v>
      </c>
      <c r="N1848">
        <f t="shared" si="314"/>
        <v>0</v>
      </c>
    </row>
    <row r="1849" spans="4:14" x14ac:dyDescent="0.2">
      <c r="D1849">
        <f t="shared" si="316"/>
        <v>1826</v>
      </c>
      <c r="E1849" s="1">
        <f t="shared" si="317"/>
        <v>-212.09760130280821</v>
      </c>
      <c r="F1849" s="1">
        <f t="shared" si="318"/>
        <v>-212.67421466711221</v>
      </c>
      <c r="G1849" s="1">
        <f t="shared" si="315"/>
        <v>4.3327349956550661E-93</v>
      </c>
      <c r="H1849" s="1">
        <f t="shared" si="308"/>
        <v>4.4886217574035013E-94</v>
      </c>
      <c r="I1849">
        <f t="shared" si="309"/>
        <v>8</v>
      </c>
      <c r="J1849">
        <f t="shared" si="310"/>
        <v>1816</v>
      </c>
      <c r="K1849" s="5">
        <f t="shared" si="311"/>
        <v>0</v>
      </c>
      <c r="L1849">
        <f t="shared" si="312"/>
        <v>53.4</v>
      </c>
      <c r="M1849">
        <f t="shared" si="313"/>
        <v>1</v>
      </c>
      <c r="N1849">
        <f t="shared" si="314"/>
        <v>0</v>
      </c>
    </row>
    <row r="1850" spans="4:14" x14ac:dyDescent="0.2">
      <c r="D1850">
        <f t="shared" si="316"/>
        <v>1827</v>
      </c>
      <c r="E1850" s="1">
        <f t="shared" si="317"/>
        <v>-212.21413511906417</v>
      </c>
      <c r="F1850" s="1">
        <f t="shared" si="318"/>
        <v>-212.79074848336816</v>
      </c>
      <c r="G1850" s="1">
        <f t="shared" si="315"/>
        <v>3.856134146133006E-93</v>
      </c>
      <c r="H1850" s="1">
        <f t="shared" si="308"/>
        <v>3.9948733640891131E-94</v>
      </c>
      <c r="I1850">
        <f t="shared" si="309"/>
        <v>8</v>
      </c>
      <c r="J1850">
        <f t="shared" si="310"/>
        <v>1817</v>
      </c>
      <c r="K1850" s="5">
        <f t="shared" si="311"/>
        <v>0</v>
      </c>
      <c r="L1850">
        <f t="shared" si="312"/>
        <v>53.4</v>
      </c>
      <c r="M1850">
        <f t="shared" si="313"/>
        <v>1</v>
      </c>
      <c r="N1850">
        <f t="shared" si="314"/>
        <v>0</v>
      </c>
    </row>
    <row r="1851" spans="4:14" x14ac:dyDescent="0.2">
      <c r="D1851">
        <f t="shared" si="316"/>
        <v>1828</v>
      </c>
      <c r="E1851" s="1">
        <f t="shared" si="317"/>
        <v>-212.33066893532012</v>
      </c>
      <c r="F1851" s="1">
        <f t="shared" si="318"/>
        <v>-212.90728229962411</v>
      </c>
      <c r="G1851" s="1">
        <f t="shared" si="315"/>
        <v>3.4319593900583731E-93</v>
      </c>
      <c r="H1851" s="1">
        <f t="shared" si="308"/>
        <v>3.5554372940393085E-94</v>
      </c>
      <c r="I1851">
        <f t="shared" si="309"/>
        <v>8</v>
      </c>
      <c r="J1851">
        <f t="shared" si="310"/>
        <v>1818</v>
      </c>
      <c r="K1851" s="5">
        <f t="shared" si="311"/>
        <v>0</v>
      </c>
      <c r="L1851">
        <f t="shared" si="312"/>
        <v>53.4</v>
      </c>
      <c r="M1851">
        <f t="shared" si="313"/>
        <v>1</v>
      </c>
      <c r="N1851">
        <f t="shared" si="314"/>
        <v>0</v>
      </c>
    </row>
    <row r="1852" spans="4:14" x14ac:dyDescent="0.2">
      <c r="D1852">
        <f t="shared" si="316"/>
        <v>1829</v>
      </c>
      <c r="E1852" s="1">
        <f t="shared" si="317"/>
        <v>-212.44720275157607</v>
      </c>
      <c r="F1852" s="1">
        <f t="shared" si="318"/>
        <v>-213.02381611588007</v>
      </c>
      <c r="G1852" s="1">
        <f t="shared" si="315"/>
        <v>3.0544438571519504E-93</v>
      </c>
      <c r="H1852" s="1">
        <f t="shared" si="308"/>
        <v>3.1643391916949828E-94</v>
      </c>
      <c r="I1852">
        <f t="shared" si="309"/>
        <v>8</v>
      </c>
      <c r="J1852">
        <f t="shared" si="310"/>
        <v>1819</v>
      </c>
      <c r="K1852" s="5">
        <f t="shared" si="311"/>
        <v>0</v>
      </c>
      <c r="L1852">
        <f t="shared" si="312"/>
        <v>53.4</v>
      </c>
      <c r="M1852">
        <f t="shared" si="313"/>
        <v>1</v>
      </c>
      <c r="N1852">
        <f t="shared" si="314"/>
        <v>0</v>
      </c>
    </row>
    <row r="1853" spans="4:14" x14ac:dyDescent="0.2">
      <c r="D1853">
        <f t="shared" si="316"/>
        <v>1830</v>
      </c>
      <c r="E1853" s="1">
        <f t="shared" si="317"/>
        <v>-212.56373656783202</v>
      </c>
      <c r="F1853" s="1">
        <f t="shared" si="318"/>
        <v>-213.14034993213602</v>
      </c>
      <c r="G1853" s="1">
        <f t="shared" si="315"/>
        <v>2.7184550328652339E-93</v>
      </c>
      <c r="H1853" s="1">
        <f t="shared" si="308"/>
        <v>2.8162618806085327E-94</v>
      </c>
      <c r="I1853">
        <f t="shared" si="309"/>
        <v>8</v>
      </c>
      <c r="J1853">
        <f t="shared" si="310"/>
        <v>1820</v>
      </c>
      <c r="K1853" s="5">
        <f t="shared" si="311"/>
        <v>0</v>
      </c>
      <c r="L1853">
        <f t="shared" si="312"/>
        <v>53.4</v>
      </c>
      <c r="M1853">
        <f t="shared" si="313"/>
        <v>1</v>
      </c>
      <c r="N1853">
        <f t="shared" si="314"/>
        <v>0</v>
      </c>
    </row>
    <row r="1854" spans="4:14" x14ac:dyDescent="0.2">
      <c r="D1854">
        <f t="shared" si="316"/>
        <v>1831</v>
      </c>
      <c r="E1854" s="1">
        <f t="shared" si="317"/>
        <v>-212.68027038408798</v>
      </c>
      <c r="F1854" s="1">
        <f t="shared" si="318"/>
        <v>-213.25688374839197</v>
      </c>
      <c r="G1854" s="1">
        <f t="shared" si="315"/>
        <v>2.4194249792500567E-93</v>
      </c>
      <c r="H1854" s="1">
        <f t="shared" si="308"/>
        <v>2.5064730737415922E-94</v>
      </c>
      <c r="I1854">
        <f t="shared" si="309"/>
        <v>8</v>
      </c>
      <c r="J1854">
        <f t="shared" si="310"/>
        <v>1821</v>
      </c>
      <c r="K1854" s="5">
        <f t="shared" si="311"/>
        <v>0</v>
      </c>
      <c r="L1854">
        <f t="shared" si="312"/>
        <v>53.4</v>
      </c>
      <c r="M1854">
        <f t="shared" si="313"/>
        <v>1</v>
      </c>
      <c r="N1854">
        <f t="shared" si="314"/>
        <v>0</v>
      </c>
    </row>
    <row r="1855" spans="4:14" x14ac:dyDescent="0.2">
      <c r="D1855">
        <f t="shared" si="316"/>
        <v>1832</v>
      </c>
      <c r="E1855" s="1">
        <f t="shared" si="317"/>
        <v>-212.79680420034393</v>
      </c>
      <c r="F1855" s="1">
        <f t="shared" si="318"/>
        <v>-213.37341756464792</v>
      </c>
      <c r="G1855" s="1">
        <f t="shared" si="315"/>
        <v>2.1532882315325492E-93</v>
      </c>
      <c r="H1855" s="1">
        <f t="shared" si="308"/>
        <v>2.230761035630016E-94</v>
      </c>
      <c r="I1855">
        <f t="shared" si="309"/>
        <v>8</v>
      </c>
      <c r="J1855">
        <f t="shared" si="310"/>
        <v>1822</v>
      </c>
      <c r="K1855" s="5">
        <f t="shared" si="311"/>
        <v>0</v>
      </c>
      <c r="L1855">
        <f t="shared" si="312"/>
        <v>53.4</v>
      </c>
      <c r="M1855">
        <f t="shared" si="313"/>
        <v>1</v>
      </c>
      <c r="N1855">
        <f t="shared" si="314"/>
        <v>0</v>
      </c>
    </row>
    <row r="1856" spans="4:14" x14ac:dyDescent="0.2">
      <c r="D1856">
        <f t="shared" si="316"/>
        <v>1833</v>
      </c>
      <c r="E1856" s="1">
        <f t="shared" si="317"/>
        <v>-212.91333801659988</v>
      </c>
      <c r="F1856" s="1">
        <f t="shared" si="318"/>
        <v>-213.48995138090388</v>
      </c>
      <c r="G1856" s="1">
        <f t="shared" si="315"/>
        <v>1.9164265260639675E-93</v>
      </c>
      <c r="H1856" s="1">
        <f t="shared" si="308"/>
        <v>1.9853773217107128E-94</v>
      </c>
      <c r="I1856">
        <f t="shared" si="309"/>
        <v>8</v>
      </c>
      <c r="J1856">
        <f t="shared" si="310"/>
        <v>1823</v>
      </c>
      <c r="K1856" s="5">
        <f t="shared" si="311"/>
        <v>0</v>
      </c>
      <c r="L1856">
        <f t="shared" si="312"/>
        <v>53.4</v>
      </c>
      <c r="M1856">
        <f t="shared" si="313"/>
        <v>1</v>
      </c>
      <c r="N1856">
        <f t="shared" si="314"/>
        <v>0</v>
      </c>
    </row>
    <row r="1857" spans="4:14" x14ac:dyDescent="0.2">
      <c r="D1857">
        <f t="shared" si="316"/>
        <v>1834</v>
      </c>
      <c r="E1857" s="1">
        <f t="shared" si="317"/>
        <v>-213.02987183285583</v>
      </c>
      <c r="F1857" s="1">
        <f t="shared" si="318"/>
        <v>-213.60648519715983</v>
      </c>
      <c r="G1857" s="1">
        <f t="shared" si="315"/>
        <v>1.70561960819693E-93</v>
      </c>
      <c r="H1857" s="1">
        <f t="shared" si="308"/>
        <v>1.7669858163225333E-94</v>
      </c>
      <c r="I1857">
        <f t="shared" si="309"/>
        <v>8</v>
      </c>
      <c r="J1857">
        <f t="shared" si="310"/>
        <v>1824</v>
      </c>
      <c r="K1857" s="5">
        <f t="shared" si="311"/>
        <v>0</v>
      </c>
      <c r="L1857">
        <f t="shared" si="312"/>
        <v>53.4</v>
      </c>
      <c r="M1857">
        <f t="shared" si="313"/>
        <v>1</v>
      </c>
      <c r="N1857">
        <f t="shared" si="314"/>
        <v>0</v>
      </c>
    </row>
    <row r="1858" spans="4:14" x14ac:dyDescent="0.2">
      <c r="D1858">
        <f t="shared" si="316"/>
        <v>1835</v>
      </c>
      <c r="E1858" s="1">
        <f t="shared" si="317"/>
        <v>-213.14640564911178</v>
      </c>
      <c r="F1858" s="1">
        <f t="shared" si="318"/>
        <v>-213.72301901341578</v>
      </c>
      <c r="G1858" s="1">
        <f t="shared" si="315"/>
        <v>1.5180014512952668E-93</v>
      </c>
      <c r="H1858" s="1">
        <f t="shared" si="308"/>
        <v>1.5726173765270536E-94</v>
      </c>
      <c r="I1858">
        <f t="shared" si="309"/>
        <v>8</v>
      </c>
      <c r="J1858">
        <f t="shared" si="310"/>
        <v>1825</v>
      </c>
      <c r="K1858" s="5">
        <f t="shared" si="311"/>
        <v>0</v>
      </c>
      <c r="L1858">
        <f t="shared" si="312"/>
        <v>53.4</v>
      </c>
      <c r="M1858">
        <f t="shared" si="313"/>
        <v>1</v>
      </c>
      <c r="N1858">
        <f t="shared" si="314"/>
        <v>0</v>
      </c>
    </row>
    <row r="1859" spans="4:14" x14ac:dyDescent="0.2">
      <c r="D1859">
        <f t="shared" si="316"/>
        <v>1836</v>
      </c>
      <c r="E1859" s="1">
        <f t="shared" si="317"/>
        <v>-213.26293946536774</v>
      </c>
      <c r="F1859" s="1">
        <f t="shared" si="318"/>
        <v>-213.83955282967173</v>
      </c>
      <c r="G1859" s="1">
        <f t="shared" si="315"/>
        <v>1.3510212916527865E-93</v>
      </c>
      <c r="H1859" s="1">
        <f t="shared" si="308"/>
        <v>1.3996294651090768E-94</v>
      </c>
      <c r="I1859">
        <f t="shared" si="309"/>
        <v>8</v>
      </c>
      <c r="J1859">
        <f t="shared" si="310"/>
        <v>1826</v>
      </c>
      <c r="K1859" s="5">
        <f t="shared" si="311"/>
        <v>0</v>
      </c>
      <c r="L1859">
        <f t="shared" si="312"/>
        <v>53.4</v>
      </c>
      <c r="M1859">
        <f t="shared" si="313"/>
        <v>1</v>
      </c>
      <c r="N1859">
        <f t="shared" si="314"/>
        <v>0</v>
      </c>
    </row>
    <row r="1860" spans="4:14" x14ac:dyDescent="0.2">
      <c r="D1860">
        <f t="shared" si="316"/>
        <v>1837</v>
      </c>
      <c r="E1860" s="1">
        <f t="shared" si="317"/>
        <v>-213.37947328162369</v>
      </c>
      <c r="F1860" s="1">
        <f t="shared" si="318"/>
        <v>-213.95608664592768</v>
      </c>
      <c r="G1860" s="1">
        <f t="shared" si="315"/>
        <v>1.2024089495709793E-93</v>
      </c>
      <c r="H1860" s="1">
        <f t="shared" si="308"/>
        <v>1.2456702239470775E-94</v>
      </c>
      <c r="I1860">
        <f t="shared" si="309"/>
        <v>8</v>
      </c>
      <c r="J1860">
        <f t="shared" si="310"/>
        <v>1827</v>
      </c>
      <c r="K1860" s="5">
        <f t="shared" si="311"/>
        <v>0</v>
      </c>
      <c r="L1860">
        <f t="shared" si="312"/>
        <v>53.4</v>
      </c>
      <c r="M1860">
        <f t="shared" si="313"/>
        <v>1</v>
      </c>
      <c r="N1860">
        <f t="shared" si="314"/>
        <v>0</v>
      </c>
    </row>
    <row r="1861" spans="4:14" x14ac:dyDescent="0.2">
      <c r="D1861">
        <f t="shared" si="316"/>
        <v>1838</v>
      </c>
      <c r="E1861" s="1">
        <f t="shared" si="317"/>
        <v>-213.49600709787964</v>
      </c>
      <c r="F1861" s="1">
        <f t="shared" si="318"/>
        <v>-214.07262046218364</v>
      </c>
      <c r="G1861" s="1">
        <f t="shared" si="315"/>
        <v>1.0701439651181709E-93</v>
      </c>
      <c r="H1861" s="1">
        <f t="shared" si="308"/>
        <v>1.1086464993128984E-94</v>
      </c>
      <c r="I1861">
        <f t="shared" si="309"/>
        <v>8</v>
      </c>
      <c r="J1861">
        <f t="shared" si="310"/>
        <v>1828</v>
      </c>
      <c r="K1861" s="5">
        <f t="shared" si="311"/>
        <v>0</v>
      </c>
      <c r="L1861">
        <f t="shared" si="312"/>
        <v>53.4</v>
      </c>
      <c r="M1861">
        <f t="shared" si="313"/>
        <v>1</v>
      </c>
      <c r="N1861">
        <f t="shared" si="314"/>
        <v>0</v>
      </c>
    </row>
    <row r="1862" spans="4:14" x14ac:dyDescent="0.2">
      <c r="D1862">
        <f t="shared" si="316"/>
        <v>1839</v>
      </c>
      <c r="E1862" s="1">
        <f t="shared" si="317"/>
        <v>-213.61254091413559</v>
      </c>
      <c r="F1862" s="1">
        <f t="shared" si="318"/>
        <v>-214.18915427843959</v>
      </c>
      <c r="G1862" s="1">
        <f t="shared" si="315"/>
        <v>9.5242812895517151E-94</v>
      </c>
      <c r="H1862" s="1">
        <f t="shared" si="308"/>
        <v>9.8669538438847905E-95</v>
      </c>
      <c r="I1862">
        <f t="shared" si="309"/>
        <v>8</v>
      </c>
      <c r="J1862">
        <f t="shared" si="310"/>
        <v>1829</v>
      </c>
      <c r="K1862" s="5">
        <f t="shared" si="311"/>
        <v>0</v>
      </c>
      <c r="L1862">
        <f t="shared" si="312"/>
        <v>53.4</v>
      </c>
      <c r="M1862">
        <f t="shared" si="313"/>
        <v>1</v>
      </c>
      <c r="N1862">
        <f t="shared" si="314"/>
        <v>0</v>
      </c>
    </row>
    <row r="1863" spans="4:14" x14ac:dyDescent="0.2">
      <c r="D1863">
        <f t="shared" si="316"/>
        <v>1840</v>
      </c>
      <c r="E1863" s="1">
        <f t="shared" si="317"/>
        <v>-213.72907473039155</v>
      </c>
      <c r="F1863" s="1">
        <f t="shared" si="318"/>
        <v>-214.30568809469554</v>
      </c>
      <c r="G1863" s="1">
        <f t="shared" si="315"/>
        <v>8.4766103477010215E-94</v>
      </c>
      <c r="H1863" s="1">
        <f t="shared" si="308"/>
        <v>8.7815889210574583E-95</v>
      </c>
      <c r="I1863">
        <f t="shared" si="309"/>
        <v>8</v>
      </c>
      <c r="J1863">
        <f t="shared" si="310"/>
        <v>1830</v>
      </c>
      <c r="K1863" s="5">
        <f t="shared" si="311"/>
        <v>0</v>
      </c>
      <c r="L1863">
        <f t="shared" si="312"/>
        <v>53.4</v>
      </c>
      <c r="M1863">
        <f t="shared" si="313"/>
        <v>1</v>
      </c>
      <c r="N1863">
        <f t="shared" si="314"/>
        <v>0</v>
      </c>
    </row>
    <row r="1864" spans="4:14" x14ac:dyDescent="0.2">
      <c r="D1864">
        <f t="shared" si="316"/>
        <v>1841</v>
      </c>
      <c r="E1864" s="1">
        <f t="shared" si="317"/>
        <v>-213.8456085466475</v>
      </c>
      <c r="F1864" s="1">
        <f t="shared" si="318"/>
        <v>-214.42222191095149</v>
      </c>
      <c r="G1864" s="1">
        <f t="shared" si="315"/>
        <v>7.5441832094539037E-94</v>
      </c>
      <c r="H1864" s="1">
        <f t="shared" si="308"/>
        <v>7.8156141397411317E-95</v>
      </c>
      <c r="I1864">
        <f t="shared" si="309"/>
        <v>8</v>
      </c>
      <c r="J1864">
        <f t="shared" si="310"/>
        <v>1831</v>
      </c>
      <c r="K1864" s="5">
        <f t="shared" si="311"/>
        <v>0</v>
      </c>
      <c r="L1864">
        <f t="shared" si="312"/>
        <v>53.4</v>
      </c>
      <c r="M1864">
        <f t="shared" si="313"/>
        <v>1</v>
      </c>
      <c r="N1864">
        <f t="shared" si="314"/>
        <v>0</v>
      </c>
    </row>
    <row r="1865" spans="4:14" x14ac:dyDescent="0.2">
      <c r="D1865">
        <f t="shared" si="316"/>
        <v>1842</v>
      </c>
      <c r="E1865" s="1">
        <f t="shared" si="317"/>
        <v>-213.96214236290345</v>
      </c>
      <c r="F1865" s="1">
        <f t="shared" si="318"/>
        <v>-214.53875572720744</v>
      </c>
      <c r="G1865" s="1">
        <f t="shared" si="315"/>
        <v>6.7143230564139698E-94</v>
      </c>
      <c r="H1865" s="1">
        <f t="shared" si="308"/>
        <v>6.9558965843696029E-95</v>
      </c>
      <c r="I1865">
        <f t="shared" si="309"/>
        <v>8</v>
      </c>
      <c r="J1865">
        <f t="shared" si="310"/>
        <v>1832</v>
      </c>
      <c r="K1865" s="5">
        <f t="shared" si="311"/>
        <v>0</v>
      </c>
      <c r="L1865">
        <f t="shared" si="312"/>
        <v>53.4</v>
      </c>
      <c r="M1865">
        <f t="shared" si="313"/>
        <v>1</v>
      </c>
      <c r="N1865">
        <f t="shared" si="314"/>
        <v>0</v>
      </c>
    </row>
    <row r="1866" spans="4:14" x14ac:dyDescent="0.2">
      <c r="D1866">
        <f t="shared" si="316"/>
        <v>1843</v>
      </c>
      <c r="E1866" s="1">
        <f t="shared" si="317"/>
        <v>-214.0786761791594</v>
      </c>
      <c r="F1866" s="1">
        <f t="shared" si="318"/>
        <v>-214.6552895434634</v>
      </c>
      <c r="G1866" s="1">
        <f t="shared" si="315"/>
        <v>5.9757475202084298E-94</v>
      </c>
      <c r="H1866" s="1">
        <f t="shared" si="308"/>
        <v>6.1907479600889427E-95</v>
      </c>
      <c r="I1866">
        <f t="shared" si="309"/>
        <v>8</v>
      </c>
      <c r="J1866">
        <f t="shared" si="310"/>
        <v>1833</v>
      </c>
      <c r="K1866" s="5">
        <f t="shared" si="311"/>
        <v>0</v>
      </c>
      <c r="L1866">
        <f t="shared" si="312"/>
        <v>53.4</v>
      </c>
      <c r="M1866">
        <f t="shared" si="313"/>
        <v>1</v>
      </c>
      <c r="N1866">
        <f t="shared" si="314"/>
        <v>0</v>
      </c>
    </row>
    <row r="1867" spans="4:14" x14ac:dyDescent="0.2">
      <c r="D1867">
        <f t="shared" si="316"/>
        <v>1844</v>
      </c>
      <c r="E1867" s="1">
        <f t="shared" si="317"/>
        <v>-214.19520999541535</v>
      </c>
      <c r="F1867" s="1">
        <f t="shared" si="318"/>
        <v>-214.77182335971935</v>
      </c>
      <c r="G1867" s="1">
        <f t="shared" si="315"/>
        <v>5.3184152929854993E-94</v>
      </c>
      <c r="H1867" s="1">
        <f t="shared" si="308"/>
        <v>5.509765684479156E-95</v>
      </c>
      <c r="I1867">
        <f t="shared" si="309"/>
        <v>8</v>
      </c>
      <c r="J1867">
        <f t="shared" si="310"/>
        <v>1834</v>
      </c>
      <c r="K1867" s="5">
        <f t="shared" si="311"/>
        <v>0</v>
      </c>
      <c r="L1867">
        <f t="shared" si="312"/>
        <v>53.4</v>
      </c>
      <c r="M1867">
        <f t="shared" si="313"/>
        <v>1</v>
      </c>
      <c r="N1867">
        <f t="shared" si="314"/>
        <v>0</v>
      </c>
    </row>
    <row r="1868" spans="4:14" x14ac:dyDescent="0.2">
      <c r="D1868">
        <f t="shared" si="316"/>
        <v>1845</v>
      </c>
      <c r="E1868" s="1">
        <f t="shared" si="317"/>
        <v>-214.31174381167131</v>
      </c>
      <c r="F1868" s="1">
        <f t="shared" si="318"/>
        <v>-214.8883571759753</v>
      </c>
      <c r="G1868" s="1">
        <f t="shared" si="315"/>
        <v>4.7333896107570915E-94</v>
      </c>
      <c r="H1868" s="1">
        <f t="shared" si="308"/>
        <v>4.9036914591864456E-95</v>
      </c>
      <c r="I1868">
        <f t="shared" si="309"/>
        <v>8</v>
      </c>
      <c r="J1868">
        <f t="shared" si="310"/>
        <v>1835</v>
      </c>
      <c r="K1868" s="5">
        <f t="shared" si="311"/>
        <v>0</v>
      </c>
      <c r="L1868">
        <f t="shared" si="312"/>
        <v>53.4</v>
      </c>
      <c r="M1868">
        <f t="shared" si="313"/>
        <v>1</v>
      </c>
      <c r="N1868">
        <f t="shared" si="314"/>
        <v>0</v>
      </c>
    </row>
    <row r="1869" spans="4:14" x14ac:dyDescent="0.2">
      <c r="D1869">
        <f t="shared" si="316"/>
        <v>1846</v>
      </c>
      <c r="E1869" s="1">
        <f t="shared" si="317"/>
        <v>-214.42827762792726</v>
      </c>
      <c r="F1869" s="1">
        <f t="shared" si="318"/>
        <v>-215.00489099223125</v>
      </c>
      <c r="G1869" s="1">
        <f t="shared" si="315"/>
        <v>4.2127167535738084E-94</v>
      </c>
      <c r="H1869" s="1">
        <f t="shared" si="308"/>
        <v>4.3642853986759339E-95</v>
      </c>
      <c r="I1869">
        <f t="shared" si="309"/>
        <v>8</v>
      </c>
      <c r="J1869">
        <f t="shared" si="310"/>
        <v>1836</v>
      </c>
      <c r="K1869" s="5">
        <f t="shared" si="311"/>
        <v>0</v>
      </c>
      <c r="L1869">
        <f t="shared" si="312"/>
        <v>53.4</v>
      </c>
      <c r="M1869">
        <f t="shared" si="313"/>
        <v>1</v>
      </c>
      <c r="N1869">
        <f t="shared" si="314"/>
        <v>0</v>
      </c>
    </row>
    <row r="1870" spans="4:14" x14ac:dyDescent="0.2">
      <c r="D1870">
        <f t="shared" si="316"/>
        <v>1847</v>
      </c>
      <c r="E1870" s="1">
        <f t="shared" si="317"/>
        <v>-214.54481144418321</v>
      </c>
      <c r="F1870" s="1">
        <f t="shared" si="318"/>
        <v>-215.12142480848721</v>
      </c>
      <c r="G1870" s="1">
        <f t="shared" si="315"/>
        <v>3.7493179106806874E-94</v>
      </c>
      <c r="H1870" s="1">
        <f t="shared" si="308"/>
        <v>3.8842140048215791E-95</v>
      </c>
      <c r="I1870">
        <f t="shared" si="309"/>
        <v>8</v>
      </c>
      <c r="J1870">
        <f t="shared" si="310"/>
        <v>1837</v>
      </c>
      <c r="K1870" s="5">
        <f t="shared" si="311"/>
        <v>0</v>
      </c>
      <c r="L1870">
        <f t="shared" si="312"/>
        <v>53.4</v>
      </c>
      <c r="M1870">
        <f t="shared" si="313"/>
        <v>1</v>
      </c>
      <c r="N1870">
        <f t="shared" si="314"/>
        <v>0</v>
      </c>
    </row>
    <row r="1871" spans="4:14" x14ac:dyDescent="0.2">
      <c r="D1871">
        <f t="shared" si="316"/>
        <v>1848</v>
      </c>
      <c r="E1871" s="1">
        <f t="shared" si="317"/>
        <v>-214.66134526043916</v>
      </c>
      <c r="F1871" s="1">
        <f t="shared" si="318"/>
        <v>-215.23795862474316</v>
      </c>
      <c r="G1871" s="1">
        <f t="shared" si="315"/>
        <v>3.3368929405058096E-94</v>
      </c>
      <c r="H1871" s="1">
        <f t="shared" si="308"/>
        <v>3.4569504642912031E-95</v>
      </c>
      <c r="I1871">
        <f t="shared" si="309"/>
        <v>8</v>
      </c>
      <c r="J1871">
        <f t="shared" si="310"/>
        <v>1838</v>
      </c>
      <c r="K1871" s="5">
        <f t="shared" si="311"/>
        <v>0</v>
      </c>
      <c r="L1871">
        <f t="shared" si="312"/>
        <v>53.4</v>
      </c>
      <c r="M1871">
        <f t="shared" si="313"/>
        <v>1</v>
      </c>
      <c r="N1871">
        <f t="shared" si="314"/>
        <v>0</v>
      </c>
    </row>
    <row r="1872" spans="4:14" x14ac:dyDescent="0.2">
      <c r="D1872">
        <f t="shared" si="316"/>
        <v>1849</v>
      </c>
      <c r="E1872" s="1">
        <f t="shared" si="317"/>
        <v>-214.77787907669511</v>
      </c>
      <c r="F1872" s="1">
        <f t="shared" si="318"/>
        <v>-215.35449244099911</v>
      </c>
      <c r="G1872" s="1">
        <f t="shared" si="315"/>
        <v>2.9698347170501684E-94</v>
      </c>
      <c r="H1872" s="1">
        <f t="shared" si="308"/>
        <v>3.0766859132191685E-95</v>
      </c>
      <c r="I1872">
        <f t="shared" si="309"/>
        <v>8</v>
      </c>
      <c r="J1872">
        <f t="shared" si="310"/>
        <v>1839</v>
      </c>
      <c r="K1872" s="5">
        <f t="shared" si="311"/>
        <v>0</v>
      </c>
      <c r="L1872">
        <f t="shared" si="312"/>
        <v>53.4</v>
      </c>
      <c r="M1872">
        <f t="shared" si="313"/>
        <v>1</v>
      </c>
      <c r="N1872">
        <f t="shared" si="314"/>
        <v>0</v>
      </c>
    </row>
    <row r="1873" spans="4:14" x14ac:dyDescent="0.2">
      <c r="D1873">
        <f t="shared" si="316"/>
        <v>1850</v>
      </c>
      <c r="E1873" s="1">
        <f t="shared" si="317"/>
        <v>-214.89441289295107</v>
      </c>
      <c r="F1873" s="1">
        <f t="shared" si="318"/>
        <v>-215.47102625725506</v>
      </c>
      <c r="G1873" s="1">
        <f t="shared" si="315"/>
        <v>2.6431528981746483E-94</v>
      </c>
      <c r="H1873" s="1">
        <f t="shared" si="308"/>
        <v>2.7382504627650582E-95</v>
      </c>
      <c r="I1873">
        <f t="shared" si="309"/>
        <v>8</v>
      </c>
      <c r="J1873">
        <f t="shared" si="310"/>
        <v>1840</v>
      </c>
      <c r="K1873" s="5">
        <f t="shared" si="311"/>
        <v>0</v>
      </c>
      <c r="L1873">
        <f t="shared" si="312"/>
        <v>53.4</v>
      </c>
      <c r="M1873">
        <f t="shared" si="313"/>
        <v>1</v>
      </c>
      <c r="N1873">
        <f t="shared" si="314"/>
        <v>0</v>
      </c>
    </row>
    <row r="1874" spans="4:14" x14ac:dyDescent="0.2">
      <c r="D1874">
        <f t="shared" si="316"/>
        <v>1851</v>
      </c>
      <c r="E1874" s="1">
        <f t="shared" si="317"/>
        <v>-215.01094670920702</v>
      </c>
      <c r="F1874" s="1">
        <f t="shared" si="318"/>
        <v>-215.58756007351101</v>
      </c>
      <c r="G1874" s="1">
        <f t="shared" si="315"/>
        <v>2.3524060793754356E-94</v>
      </c>
      <c r="H1874" s="1">
        <f t="shared" si="308"/>
        <v>2.4370429118609005E-95</v>
      </c>
      <c r="I1874">
        <f t="shared" si="309"/>
        <v>8</v>
      </c>
      <c r="J1874">
        <f t="shared" si="310"/>
        <v>1841</v>
      </c>
      <c r="K1874" s="5">
        <f t="shared" si="311"/>
        <v>0</v>
      </c>
      <c r="L1874">
        <f t="shared" si="312"/>
        <v>53.4</v>
      </c>
      <c r="M1874">
        <f t="shared" si="313"/>
        <v>1</v>
      </c>
      <c r="N1874">
        <f t="shared" si="314"/>
        <v>0</v>
      </c>
    </row>
    <row r="1875" spans="4:14" x14ac:dyDescent="0.2">
      <c r="D1875">
        <f t="shared" si="316"/>
        <v>1852</v>
      </c>
      <c r="E1875" s="1">
        <f t="shared" si="317"/>
        <v>-215.12748052546297</v>
      </c>
      <c r="F1875" s="1">
        <f t="shared" si="318"/>
        <v>-215.70409388976697</v>
      </c>
      <c r="G1875" s="1">
        <f t="shared" si="315"/>
        <v>2.0936414106441365E-94</v>
      </c>
      <c r="H1875" s="1">
        <f t="shared" si="308"/>
        <v>2.1689681915562E-95</v>
      </c>
      <c r="I1875">
        <f t="shared" si="309"/>
        <v>8</v>
      </c>
      <c r="J1875">
        <f t="shared" si="310"/>
        <v>1842</v>
      </c>
      <c r="K1875" s="5">
        <f t="shared" si="311"/>
        <v>0</v>
      </c>
      <c r="L1875">
        <f t="shared" si="312"/>
        <v>53.4</v>
      </c>
      <c r="M1875">
        <f t="shared" si="313"/>
        <v>1</v>
      </c>
      <c r="N1875">
        <f t="shared" si="314"/>
        <v>0</v>
      </c>
    </row>
    <row r="1876" spans="4:14" x14ac:dyDescent="0.2">
      <c r="D1876">
        <f t="shared" si="316"/>
        <v>1853</v>
      </c>
      <c r="E1876" s="1">
        <f t="shared" si="317"/>
        <v>-215.24401434171892</v>
      </c>
      <c r="F1876" s="1">
        <f t="shared" si="318"/>
        <v>-215.82062770602292</v>
      </c>
      <c r="G1876" s="1">
        <f t="shared" si="315"/>
        <v>1.8633408554732801E-94</v>
      </c>
      <c r="H1876" s="1">
        <f t="shared" si="308"/>
        <v>1.9303816904850166E-95</v>
      </c>
      <c r="I1876">
        <f t="shared" si="309"/>
        <v>8</v>
      </c>
      <c r="J1876">
        <f t="shared" si="310"/>
        <v>1843</v>
      </c>
      <c r="K1876" s="5">
        <f t="shared" si="311"/>
        <v>0</v>
      </c>
      <c r="L1876">
        <f t="shared" si="312"/>
        <v>53.4</v>
      </c>
      <c r="M1876">
        <f t="shared" si="313"/>
        <v>1</v>
      </c>
      <c r="N1876">
        <f t="shared" si="314"/>
        <v>0</v>
      </c>
    </row>
    <row r="1877" spans="4:14" x14ac:dyDescent="0.2">
      <c r="D1877">
        <f t="shared" si="316"/>
        <v>1854</v>
      </c>
      <c r="E1877" s="1">
        <f t="shared" si="317"/>
        <v>-215.36054815797488</v>
      </c>
      <c r="F1877" s="1">
        <f t="shared" si="318"/>
        <v>-215.93716152227887</v>
      </c>
      <c r="G1877" s="1">
        <f t="shared" si="315"/>
        <v>1.6583733613712182E-94</v>
      </c>
      <c r="H1877" s="1">
        <f t="shared" si="308"/>
        <v>1.7180397045316637E-95</v>
      </c>
      <c r="I1877">
        <f t="shared" si="309"/>
        <v>8</v>
      </c>
      <c r="J1877">
        <f t="shared" si="310"/>
        <v>1844</v>
      </c>
      <c r="K1877" s="5">
        <f t="shared" si="311"/>
        <v>0</v>
      </c>
      <c r="L1877">
        <f t="shared" si="312"/>
        <v>53.4</v>
      </c>
      <c r="M1877">
        <f t="shared" si="313"/>
        <v>1</v>
      </c>
      <c r="N1877">
        <f t="shared" si="314"/>
        <v>0</v>
      </c>
    </row>
    <row r="1878" spans="4:14" x14ac:dyDescent="0.2">
      <c r="D1878">
        <f t="shared" si="316"/>
        <v>1855</v>
      </c>
      <c r="E1878" s="1">
        <f t="shared" si="317"/>
        <v>-215.47708197423083</v>
      </c>
      <c r="F1878" s="1">
        <f t="shared" si="318"/>
        <v>-216.05369533853482</v>
      </c>
      <c r="G1878" s="1">
        <f t="shared" si="315"/>
        <v>1.4759522916203834E-94</v>
      </c>
      <c r="H1878" s="1">
        <f t="shared" si="308"/>
        <v>1.5290553370331797E-95</v>
      </c>
      <c r="I1878">
        <f t="shared" si="309"/>
        <v>8</v>
      </c>
      <c r="J1878">
        <f t="shared" si="310"/>
        <v>1845</v>
      </c>
      <c r="K1878" s="5">
        <f t="shared" si="311"/>
        <v>0</v>
      </c>
      <c r="L1878">
        <f t="shared" si="312"/>
        <v>53.4</v>
      </c>
      <c r="M1878">
        <f t="shared" si="313"/>
        <v>1</v>
      </c>
      <c r="N1878">
        <f t="shared" si="314"/>
        <v>0</v>
      </c>
    </row>
    <row r="1879" spans="4:14" x14ac:dyDescent="0.2">
      <c r="D1879">
        <f t="shared" si="316"/>
        <v>1856</v>
      </c>
      <c r="E1879" s="1">
        <f t="shared" si="317"/>
        <v>-215.59361579048678</v>
      </c>
      <c r="F1879" s="1">
        <f t="shared" si="318"/>
        <v>-216.17022915479077</v>
      </c>
      <c r="G1879" s="1">
        <f t="shared" si="315"/>
        <v>1.3135975395421403E-94</v>
      </c>
      <c r="H1879" s="1">
        <f t="shared" ref="H1879:H1942" si="319">G1879/$G$21</f>
        <v>1.3608592499595291E-95</v>
      </c>
      <c r="I1879">
        <f t="shared" ref="I1879:I1942" si="320">IF($F$11&lt;=D1879, IF(D1879&lt;=$A$15,D1879-$F$11,$C$11),0)</f>
        <v>8</v>
      </c>
      <c r="J1879">
        <f t="shared" ref="J1879:J1942" si="321">IF(D1879&lt;=$A$15,0,D1879-$A$15)</f>
        <v>1846</v>
      </c>
      <c r="K1879" s="5">
        <f t="shared" ref="K1879:K1942" si="322">IF(D1879&lt;$F$11,H1879,0)</f>
        <v>0</v>
      </c>
      <c r="L1879">
        <f t="shared" ref="L1879:L1942" si="323">IF(D1879&lt;$A$15,$D$11,$D$11*(1-$H$11))</f>
        <v>53.4</v>
      </c>
      <c r="M1879">
        <f t="shared" ref="M1879:M1942" si="324">IF(D1879&lt;$A$15,0,1)</f>
        <v>1</v>
      </c>
      <c r="N1879">
        <f t="shared" ref="N1879:N1942" si="325">IF(SUM(I1879:J1879)&lt;=($G$11/60*$F$11/($E$11/60)),1,0)</f>
        <v>0</v>
      </c>
    </row>
    <row r="1880" spans="4:14" x14ac:dyDescent="0.2">
      <c r="D1880">
        <f t="shared" si="316"/>
        <v>1857</v>
      </c>
      <c r="E1880" s="1">
        <f t="shared" si="317"/>
        <v>-215.71014960674273</v>
      </c>
      <c r="F1880" s="1">
        <f t="shared" si="318"/>
        <v>-216.28676297104673</v>
      </c>
      <c r="G1880" s="1">
        <f t="shared" ref="G1880:G1943" si="326">EXP(F1880)</f>
        <v>1.1691018101925042E-94</v>
      </c>
      <c r="H1880" s="1">
        <f t="shared" si="319"/>
        <v>1.2111647324639802E-95</v>
      </c>
      <c r="I1880">
        <f t="shared" si="320"/>
        <v>8</v>
      </c>
      <c r="J1880">
        <f t="shared" si="321"/>
        <v>1847</v>
      </c>
      <c r="K1880" s="5">
        <f t="shared" si="322"/>
        <v>0</v>
      </c>
      <c r="L1880">
        <f t="shared" si="323"/>
        <v>53.4</v>
      </c>
      <c r="M1880">
        <f t="shared" si="324"/>
        <v>1</v>
      </c>
      <c r="N1880">
        <f t="shared" si="325"/>
        <v>0</v>
      </c>
    </row>
    <row r="1881" spans="4:14" x14ac:dyDescent="0.2">
      <c r="D1881">
        <f t="shared" ref="D1881:D1944" si="327">1+D1880</f>
        <v>1858</v>
      </c>
      <c r="E1881" s="1">
        <f t="shared" ref="E1881:E1944" si="328">IF($H$11=1,IF(D1881&lt;=$A$15, E1880+LN($D$11)-LN(60/$E$11)-LN(MIN(D1881,$F$11)), E1880-LN(60/$E$11)-LN(MIN(D1881,$F$11))), IF(D1881&lt;=$A$15, E1880+LN($D$11)-LN(60/$E$11)-LN(MIN(D1881,$F$11)), E1880+LN($D$11)+LN(1-$H$11)-LN(60/$E$11)-LN(MIN(D1881,$F$11))))</f>
        <v>-215.82668342299868</v>
      </c>
      <c r="F1881" s="1">
        <f t="shared" ref="F1881:F1944" si="329">E1881-$E$21</f>
        <v>-216.40329678730268</v>
      </c>
      <c r="G1881" s="1">
        <f t="shared" si="326"/>
        <v>1.040500611071328E-94</v>
      </c>
      <c r="H1881" s="1">
        <f t="shared" si="319"/>
        <v>1.0779366118929416E-95</v>
      </c>
      <c r="I1881">
        <f t="shared" si="320"/>
        <v>8</v>
      </c>
      <c r="J1881">
        <f t="shared" si="321"/>
        <v>1848</v>
      </c>
      <c r="K1881" s="5">
        <f t="shared" si="322"/>
        <v>0</v>
      </c>
      <c r="L1881">
        <f t="shared" si="323"/>
        <v>53.4</v>
      </c>
      <c r="M1881">
        <f t="shared" si="324"/>
        <v>1</v>
      </c>
      <c r="N1881">
        <f t="shared" si="325"/>
        <v>0</v>
      </c>
    </row>
    <row r="1882" spans="4:14" x14ac:dyDescent="0.2">
      <c r="D1882">
        <f t="shared" si="327"/>
        <v>1859</v>
      </c>
      <c r="E1882" s="1">
        <f t="shared" si="328"/>
        <v>-215.94321723925464</v>
      </c>
      <c r="F1882" s="1">
        <f t="shared" si="329"/>
        <v>-216.51983060355863</v>
      </c>
      <c r="G1882" s="1">
        <f t="shared" si="326"/>
        <v>9.2604554385348145E-95</v>
      </c>
      <c r="H1882" s="1">
        <f t="shared" si="319"/>
        <v>9.5936358458471759E-96</v>
      </c>
      <c r="I1882">
        <f t="shared" si="320"/>
        <v>8</v>
      </c>
      <c r="J1882">
        <f t="shared" si="321"/>
        <v>1849</v>
      </c>
      <c r="K1882" s="5">
        <f t="shared" si="322"/>
        <v>0</v>
      </c>
      <c r="L1882">
        <f t="shared" si="323"/>
        <v>53.4</v>
      </c>
      <c r="M1882">
        <f t="shared" si="324"/>
        <v>1</v>
      </c>
      <c r="N1882">
        <f t="shared" si="325"/>
        <v>0</v>
      </c>
    </row>
    <row r="1883" spans="4:14" x14ac:dyDescent="0.2">
      <c r="D1883">
        <f t="shared" si="327"/>
        <v>1860</v>
      </c>
      <c r="E1883" s="1">
        <f t="shared" si="328"/>
        <v>-216.05975105551059</v>
      </c>
      <c r="F1883" s="1">
        <f t="shared" si="329"/>
        <v>-216.63636441981458</v>
      </c>
      <c r="G1883" s="1">
        <f t="shared" si="326"/>
        <v>8.2418053402959793E-95</v>
      </c>
      <c r="H1883" s="1">
        <f t="shared" si="319"/>
        <v>8.5383359028039801E-96</v>
      </c>
      <c r="I1883">
        <f t="shared" si="320"/>
        <v>8</v>
      </c>
      <c r="J1883">
        <f t="shared" si="321"/>
        <v>1850</v>
      </c>
      <c r="K1883" s="5">
        <f t="shared" si="322"/>
        <v>0</v>
      </c>
      <c r="L1883">
        <f t="shared" si="323"/>
        <v>53.4</v>
      </c>
      <c r="M1883">
        <f t="shared" si="324"/>
        <v>1</v>
      </c>
      <c r="N1883">
        <f t="shared" si="325"/>
        <v>0</v>
      </c>
    </row>
    <row r="1884" spans="4:14" x14ac:dyDescent="0.2">
      <c r="D1884">
        <f t="shared" si="327"/>
        <v>1861</v>
      </c>
      <c r="E1884" s="1">
        <f t="shared" si="328"/>
        <v>-216.17628487176654</v>
      </c>
      <c r="F1884" s="1">
        <f t="shared" si="329"/>
        <v>-216.75289823607054</v>
      </c>
      <c r="G1884" s="1">
        <f t="shared" si="326"/>
        <v>7.3352067528634172E-95</v>
      </c>
      <c r="H1884" s="1">
        <f t="shared" si="319"/>
        <v>7.5991189534955382E-96</v>
      </c>
      <c r="I1884">
        <f t="shared" si="320"/>
        <v>8</v>
      </c>
      <c r="J1884">
        <f t="shared" si="321"/>
        <v>1851</v>
      </c>
      <c r="K1884" s="5">
        <f t="shared" si="322"/>
        <v>0</v>
      </c>
      <c r="L1884">
        <f t="shared" si="323"/>
        <v>53.4</v>
      </c>
      <c r="M1884">
        <f t="shared" si="324"/>
        <v>1</v>
      </c>
      <c r="N1884">
        <f t="shared" si="325"/>
        <v>0</v>
      </c>
    </row>
    <row r="1885" spans="4:14" x14ac:dyDescent="0.2">
      <c r="D1885">
        <f t="shared" si="327"/>
        <v>1862</v>
      </c>
      <c r="E1885" s="1">
        <f t="shared" si="328"/>
        <v>-216.29281868802249</v>
      </c>
      <c r="F1885" s="1">
        <f t="shared" si="329"/>
        <v>-216.86943205232649</v>
      </c>
      <c r="G1885" s="1">
        <f t="shared" si="326"/>
        <v>6.5283340100484372E-95</v>
      </c>
      <c r="H1885" s="1">
        <f t="shared" si="319"/>
        <v>6.7632158686110243E-96</v>
      </c>
      <c r="I1885">
        <f t="shared" si="320"/>
        <v>8</v>
      </c>
      <c r="J1885">
        <f t="shared" si="321"/>
        <v>1852</v>
      </c>
      <c r="K1885" s="5">
        <f t="shared" si="322"/>
        <v>0</v>
      </c>
      <c r="L1885">
        <f t="shared" si="323"/>
        <v>53.4</v>
      </c>
      <c r="M1885">
        <f t="shared" si="324"/>
        <v>1</v>
      </c>
      <c r="N1885">
        <f t="shared" si="325"/>
        <v>0</v>
      </c>
    </row>
    <row r="1886" spans="4:14" x14ac:dyDescent="0.2">
      <c r="D1886">
        <f t="shared" si="327"/>
        <v>1863</v>
      </c>
      <c r="E1886" s="1">
        <f t="shared" si="328"/>
        <v>-216.40935250427844</v>
      </c>
      <c r="F1886" s="1">
        <f t="shared" si="329"/>
        <v>-216.98596586858244</v>
      </c>
      <c r="G1886" s="1">
        <f t="shared" si="326"/>
        <v>5.8102172689431056E-95</v>
      </c>
      <c r="H1886" s="1">
        <f t="shared" si="319"/>
        <v>6.019262123063808E-96</v>
      </c>
      <c r="I1886">
        <f t="shared" si="320"/>
        <v>8</v>
      </c>
      <c r="J1886">
        <f t="shared" si="321"/>
        <v>1853</v>
      </c>
      <c r="K1886" s="5">
        <f t="shared" si="322"/>
        <v>0</v>
      </c>
      <c r="L1886">
        <f t="shared" si="323"/>
        <v>53.4</v>
      </c>
      <c r="M1886">
        <f t="shared" si="324"/>
        <v>1</v>
      </c>
      <c r="N1886">
        <f t="shared" si="325"/>
        <v>0</v>
      </c>
    </row>
    <row r="1887" spans="4:14" x14ac:dyDescent="0.2">
      <c r="D1887">
        <f t="shared" si="327"/>
        <v>1864</v>
      </c>
      <c r="E1887" s="1">
        <f t="shared" si="328"/>
        <v>-216.5258863205344</v>
      </c>
      <c r="F1887" s="1">
        <f t="shared" si="329"/>
        <v>-217.10249968483839</v>
      </c>
      <c r="G1887" s="1">
        <f t="shared" si="326"/>
        <v>5.1710933693593607E-95</v>
      </c>
      <c r="H1887" s="1">
        <f t="shared" si="319"/>
        <v>5.3571432895267856E-96</v>
      </c>
      <c r="I1887">
        <f t="shared" si="320"/>
        <v>8</v>
      </c>
      <c r="J1887">
        <f t="shared" si="321"/>
        <v>1854</v>
      </c>
      <c r="K1887" s="5">
        <f t="shared" si="322"/>
        <v>0</v>
      </c>
      <c r="L1887">
        <f t="shared" si="323"/>
        <v>53.4</v>
      </c>
      <c r="M1887">
        <f t="shared" si="324"/>
        <v>1</v>
      </c>
      <c r="N1887">
        <f t="shared" si="325"/>
        <v>0</v>
      </c>
    </row>
    <row r="1888" spans="4:14" x14ac:dyDescent="0.2">
      <c r="D1888">
        <f t="shared" si="327"/>
        <v>1865</v>
      </c>
      <c r="E1888" s="1">
        <f t="shared" si="328"/>
        <v>-216.64242013679035</v>
      </c>
      <c r="F1888" s="1">
        <f t="shared" si="329"/>
        <v>-217.21903350109434</v>
      </c>
      <c r="G1888" s="1">
        <f t="shared" si="326"/>
        <v>4.6022730987298279E-95</v>
      </c>
      <c r="H1888" s="1">
        <f t="shared" si="319"/>
        <v>4.7678575276788364E-96</v>
      </c>
      <c r="I1888">
        <f t="shared" si="320"/>
        <v>8</v>
      </c>
      <c r="J1888">
        <f t="shared" si="321"/>
        <v>1855</v>
      </c>
      <c r="K1888" s="5">
        <f t="shared" si="322"/>
        <v>0</v>
      </c>
      <c r="L1888">
        <f t="shared" si="323"/>
        <v>53.4</v>
      </c>
      <c r="M1888">
        <f t="shared" si="324"/>
        <v>1</v>
      </c>
      <c r="N1888">
        <f t="shared" si="325"/>
        <v>0</v>
      </c>
    </row>
    <row r="1889" spans="4:14" x14ac:dyDescent="0.2">
      <c r="D1889">
        <f t="shared" si="327"/>
        <v>1866</v>
      </c>
      <c r="E1889" s="1">
        <f t="shared" si="328"/>
        <v>-216.7589539530463</v>
      </c>
      <c r="F1889" s="1">
        <f t="shared" si="329"/>
        <v>-217.3355673173503</v>
      </c>
      <c r="G1889" s="1">
        <f t="shared" si="326"/>
        <v>4.0960230578695444E-95</v>
      </c>
      <c r="H1889" s="1">
        <f t="shared" si="319"/>
        <v>4.2433931996341618E-96</v>
      </c>
      <c r="I1889">
        <f t="shared" si="320"/>
        <v>8</v>
      </c>
      <c r="J1889">
        <f t="shared" si="321"/>
        <v>1856</v>
      </c>
      <c r="K1889" s="5">
        <f t="shared" si="322"/>
        <v>0</v>
      </c>
      <c r="L1889">
        <f t="shared" si="323"/>
        <v>53.4</v>
      </c>
      <c r="M1889">
        <f t="shared" si="324"/>
        <v>1</v>
      </c>
      <c r="N1889">
        <f t="shared" si="325"/>
        <v>0</v>
      </c>
    </row>
    <row r="1890" spans="4:14" x14ac:dyDescent="0.2">
      <c r="D1890">
        <f t="shared" si="327"/>
        <v>1867</v>
      </c>
      <c r="E1890" s="1">
        <f t="shared" si="328"/>
        <v>-216.87548776930225</v>
      </c>
      <c r="F1890" s="1">
        <f t="shared" si="329"/>
        <v>-217.45210113360625</v>
      </c>
      <c r="G1890" s="1">
        <f t="shared" si="326"/>
        <v>3.6454605215038919E-95</v>
      </c>
      <c r="H1890" s="1">
        <f t="shared" si="319"/>
        <v>3.7766199476744016E-96</v>
      </c>
      <c r="I1890">
        <f t="shared" si="320"/>
        <v>8</v>
      </c>
      <c r="J1890">
        <f t="shared" si="321"/>
        <v>1857</v>
      </c>
      <c r="K1890" s="5">
        <f t="shared" si="322"/>
        <v>0</v>
      </c>
      <c r="L1890">
        <f t="shared" si="323"/>
        <v>53.4</v>
      </c>
      <c r="M1890">
        <f t="shared" si="324"/>
        <v>1</v>
      </c>
      <c r="N1890">
        <f t="shared" si="325"/>
        <v>0</v>
      </c>
    </row>
    <row r="1891" spans="4:14" x14ac:dyDescent="0.2">
      <c r="D1891">
        <f t="shared" si="327"/>
        <v>1868</v>
      </c>
      <c r="E1891" s="1">
        <f t="shared" si="328"/>
        <v>-216.99202158555821</v>
      </c>
      <c r="F1891" s="1">
        <f t="shared" si="329"/>
        <v>-217.5686349498622</v>
      </c>
      <c r="G1891" s="1">
        <f t="shared" si="326"/>
        <v>3.2444598641384617E-95</v>
      </c>
      <c r="H1891" s="1">
        <f t="shared" si="319"/>
        <v>3.361191753430215E-96</v>
      </c>
      <c r="I1891">
        <f t="shared" si="320"/>
        <v>8</v>
      </c>
      <c r="J1891">
        <f t="shared" si="321"/>
        <v>1858</v>
      </c>
      <c r="K1891" s="5">
        <f t="shared" si="322"/>
        <v>0</v>
      </c>
      <c r="L1891">
        <f t="shared" si="323"/>
        <v>53.4</v>
      </c>
      <c r="M1891">
        <f t="shared" si="324"/>
        <v>1</v>
      </c>
      <c r="N1891">
        <f t="shared" si="325"/>
        <v>0</v>
      </c>
    </row>
    <row r="1892" spans="4:14" x14ac:dyDescent="0.2">
      <c r="D1892">
        <f t="shared" si="327"/>
        <v>1869</v>
      </c>
      <c r="E1892" s="1">
        <f t="shared" si="328"/>
        <v>-217.10855540181416</v>
      </c>
      <c r="F1892" s="1">
        <f t="shared" si="329"/>
        <v>-217.68516876611815</v>
      </c>
      <c r="G1892" s="1">
        <f t="shared" si="326"/>
        <v>2.8875692790832294E-95</v>
      </c>
      <c r="H1892" s="1">
        <f t="shared" si="319"/>
        <v>2.9914606605528899E-96</v>
      </c>
      <c r="I1892">
        <f t="shared" si="320"/>
        <v>8</v>
      </c>
      <c r="J1892">
        <f t="shared" si="321"/>
        <v>1859</v>
      </c>
      <c r="K1892" s="5">
        <f t="shared" si="322"/>
        <v>0</v>
      </c>
      <c r="L1892">
        <f t="shared" si="323"/>
        <v>53.4</v>
      </c>
      <c r="M1892">
        <f t="shared" si="324"/>
        <v>1</v>
      </c>
      <c r="N1892">
        <f t="shared" si="325"/>
        <v>0</v>
      </c>
    </row>
    <row r="1893" spans="4:14" x14ac:dyDescent="0.2">
      <c r="D1893">
        <f t="shared" si="327"/>
        <v>1870</v>
      </c>
      <c r="E1893" s="1">
        <f t="shared" si="328"/>
        <v>-217.22508921807011</v>
      </c>
      <c r="F1893" s="1">
        <f t="shared" si="329"/>
        <v>-217.80170258237411</v>
      </c>
      <c r="G1893" s="1">
        <f t="shared" si="326"/>
        <v>2.5699366583840723E-95</v>
      </c>
      <c r="H1893" s="1">
        <f t="shared" si="319"/>
        <v>2.66239998789207E-96</v>
      </c>
      <c r="I1893">
        <f t="shared" si="320"/>
        <v>8</v>
      </c>
      <c r="J1893">
        <f t="shared" si="321"/>
        <v>1860</v>
      </c>
      <c r="K1893" s="5">
        <f t="shared" si="322"/>
        <v>0</v>
      </c>
      <c r="L1893">
        <f t="shared" si="323"/>
        <v>53.4</v>
      </c>
      <c r="M1893">
        <f t="shared" si="324"/>
        <v>1</v>
      </c>
      <c r="N1893">
        <f t="shared" si="325"/>
        <v>0</v>
      </c>
    </row>
    <row r="1894" spans="4:14" x14ac:dyDescent="0.2">
      <c r="D1894">
        <f t="shared" si="327"/>
        <v>1871</v>
      </c>
      <c r="E1894" s="1">
        <f t="shared" si="328"/>
        <v>-217.34162303432606</v>
      </c>
      <c r="F1894" s="1">
        <f t="shared" si="329"/>
        <v>-217.91823639863006</v>
      </c>
      <c r="G1894" s="1">
        <f t="shared" si="326"/>
        <v>2.287243625961823E-95</v>
      </c>
      <c r="H1894" s="1">
        <f t="shared" si="319"/>
        <v>2.3695359892239409E-96</v>
      </c>
      <c r="I1894">
        <f t="shared" si="320"/>
        <v>8</v>
      </c>
      <c r="J1894">
        <f t="shared" si="321"/>
        <v>1861</v>
      </c>
      <c r="K1894" s="5">
        <f t="shared" si="322"/>
        <v>0</v>
      </c>
      <c r="L1894">
        <f t="shared" si="323"/>
        <v>53.4</v>
      </c>
      <c r="M1894">
        <f t="shared" si="324"/>
        <v>1</v>
      </c>
      <c r="N1894">
        <f t="shared" si="325"/>
        <v>0</v>
      </c>
    </row>
    <row r="1895" spans="4:14" x14ac:dyDescent="0.2">
      <c r="D1895">
        <f t="shared" si="327"/>
        <v>1872</v>
      </c>
      <c r="E1895" s="1">
        <f t="shared" si="328"/>
        <v>-217.45815685058201</v>
      </c>
      <c r="F1895" s="1">
        <f t="shared" si="329"/>
        <v>-218.03477021488601</v>
      </c>
      <c r="G1895" s="1">
        <f t="shared" si="326"/>
        <v>2.0356468271060211E-95</v>
      </c>
      <c r="H1895" s="1">
        <f t="shared" si="319"/>
        <v>2.108887030409306E-96</v>
      </c>
      <c r="I1895">
        <f t="shared" si="320"/>
        <v>8</v>
      </c>
      <c r="J1895">
        <f t="shared" si="321"/>
        <v>1862</v>
      </c>
      <c r="K1895" s="5">
        <f t="shared" si="322"/>
        <v>0</v>
      </c>
      <c r="L1895">
        <f t="shared" si="323"/>
        <v>53.4</v>
      </c>
      <c r="M1895">
        <f t="shared" si="324"/>
        <v>1</v>
      </c>
      <c r="N1895">
        <f t="shared" si="325"/>
        <v>0</v>
      </c>
    </row>
    <row r="1896" spans="4:14" x14ac:dyDescent="0.2">
      <c r="D1896">
        <f t="shared" si="327"/>
        <v>1873</v>
      </c>
      <c r="E1896" s="1">
        <f t="shared" si="328"/>
        <v>-217.57469066683797</v>
      </c>
      <c r="F1896" s="1">
        <f t="shared" si="329"/>
        <v>-218.15130403114196</v>
      </c>
      <c r="G1896" s="1">
        <f t="shared" si="326"/>
        <v>1.8117256761243576E-95</v>
      </c>
      <c r="H1896" s="1">
        <f t="shared" si="319"/>
        <v>1.8769094570642811E-96</v>
      </c>
      <c r="I1896">
        <f t="shared" si="320"/>
        <v>8</v>
      </c>
      <c r="J1896">
        <f t="shared" si="321"/>
        <v>1863</v>
      </c>
      <c r="K1896" s="5">
        <f t="shared" si="322"/>
        <v>0</v>
      </c>
      <c r="L1896">
        <f t="shared" si="323"/>
        <v>53.4</v>
      </c>
      <c r="M1896">
        <f t="shared" si="324"/>
        <v>1</v>
      </c>
      <c r="N1896">
        <f t="shared" si="325"/>
        <v>0</v>
      </c>
    </row>
    <row r="1897" spans="4:14" x14ac:dyDescent="0.2">
      <c r="D1897">
        <f t="shared" si="327"/>
        <v>1874</v>
      </c>
      <c r="E1897" s="1">
        <f t="shared" si="328"/>
        <v>-217.69122448309392</v>
      </c>
      <c r="F1897" s="1">
        <f t="shared" si="329"/>
        <v>-218.26783784739791</v>
      </c>
      <c r="G1897" s="1">
        <f t="shared" si="326"/>
        <v>1.6124358517506775E-95</v>
      </c>
      <c r="H1897" s="1">
        <f t="shared" si="319"/>
        <v>1.6704494167872094E-96</v>
      </c>
      <c r="I1897">
        <f t="shared" si="320"/>
        <v>8</v>
      </c>
      <c r="J1897">
        <f t="shared" si="321"/>
        <v>1864</v>
      </c>
      <c r="K1897" s="5">
        <f t="shared" si="322"/>
        <v>0</v>
      </c>
      <c r="L1897">
        <f t="shared" si="323"/>
        <v>53.4</v>
      </c>
      <c r="M1897">
        <f t="shared" si="324"/>
        <v>1</v>
      </c>
      <c r="N1897">
        <f t="shared" si="325"/>
        <v>0</v>
      </c>
    </row>
    <row r="1898" spans="4:14" x14ac:dyDescent="0.2">
      <c r="D1898">
        <f t="shared" si="327"/>
        <v>1875</v>
      </c>
      <c r="E1898" s="1">
        <f t="shared" si="328"/>
        <v>-217.80775829934987</v>
      </c>
      <c r="F1898" s="1">
        <f t="shared" si="329"/>
        <v>-218.38437166365387</v>
      </c>
      <c r="G1898" s="1">
        <f t="shared" si="326"/>
        <v>1.4350679080581019E-95</v>
      </c>
      <c r="H1898" s="1">
        <f t="shared" si="319"/>
        <v>1.4866999809406152E-96</v>
      </c>
      <c r="I1898">
        <f t="shared" si="320"/>
        <v>8</v>
      </c>
      <c r="J1898">
        <f t="shared" si="321"/>
        <v>1865</v>
      </c>
      <c r="K1898" s="5">
        <f t="shared" si="322"/>
        <v>0</v>
      </c>
      <c r="L1898">
        <f t="shared" si="323"/>
        <v>53.4</v>
      </c>
      <c r="M1898">
        <f t="shared" si="324"/>
        <v>1</v>
      </c>
      <c r="N1898">
        <f t="shared" si="325"/>
        <v>0</v>
      </c>
    </row>
    <row r="1899" spans="4:14" x14ac:dyDescent="0.2">
      <c r="D1899">
        <f t="shared" si="327"/>
        <v>1876</v>
      </c>
      <c r="E1899" s="1">
        <f t="shared" si="328"/>
        <v>-217.92429211560582</v>
      </c>
      <c r="F1899" s="1">
        <f t="shared" si="329"/>
        <v>-218.50090547990982</v>
      </c>
      <c r="G1899" s="1">
        <f t="shared" si="326"/>
        <v>1.2772104381717099E-95</v>
      </c>
      <c r="H1899" s="1">
        <f t="shared" si="319"/>
        <v>1.3231629830371466E-96</v>
      </c>
      <c r="I1899">
        <f t="shared" si="320"/>
        <v>8</v>
      </c>
      <c r="J1899">
        <f t="shared" si="321"/>
        <v>1866</v>
      </c>
      <c r="K1899" s="5">
        <f t="shared" si="322"/>
        <v>0</v>
      </c>
      <c r="L1899">
        <f t="shared" si="323"/>
        <v>53.4</v>
      </c>
      <c r="M1899">
        <f t="shared" si="324"/>
        <v>1</v>
      </c>
      <c r="N1899">
        <f t="shared" si="325"/>
        <v>0</v>
      </c>
    </row>
    <row r="1900" spans="4:14" x14ac:dyDescent="0.2">
      <c r="D1900">
        <f t="shared" si="327"/>
        <v>1877</v>
      </c>
      <c r="E1900" s="1">
        <f t="shared" si="328"/>
        <v>-218.04082593186178</v>
      </c>
      <c r="F1900" s="1">
        <f t="shared" si="329"/>
        <v>-218.61743929616577</v>
      </c>
      <c r="G1900" s="1">
        <f t="shared" si="326"/>
        <v>1.136717289972821E-95</v>
      </c>
      <c r="H1900" s="1">
        <f t="shared" si="319"/>
        <v>1.1776150549030597E-96</v>
      </c>
      <c r="I1900">
        <f t="shared" si="320"/>
        <v>8</v>
      </c>
      <c r="J1900">
        <f t="shared" si="321"/>
        <v>1867</v>
      </c>
      <c r="K1900" s="5">
        <f t="shared" si="322"/>
        <v>0</v>
      </c>
      <c r="L1900">
        <f t="shared" si="323"/>
        <v>53.4</v>
      </c>
      <c r="M1900">
        <f t="shared" si="324"/>
        <v>1</v>
      </c>
      <c r="N1900">
        <f t="shared" si="325"/>
        <v>0</v>
      </c>
    </row>
    <row r="1901" spans="4:14" x14ac:dyDescent="0.2">
      <c r="D1901">
        <f t="shared" si="327"/>
        <v>1878</v>
      </c>
      <c r="E1901" s="1">
        <f t="shared" si="328"/>
        <v>-218.15735974811773</v>
      </c>
      <c r="F1901" s="1">
        <f t="shared" si="329"/>
        <v>-218.73397311242172</v>
      </c>
      <c r="G1901" s="1">
        <f t="shared" si="326"/>
        <v>1.0116783880758102E-95</v>
      </c>
      <c r="H1901" s="1">
        <f t="shared" si="319"/>
        <v>1.0480773988637226E-96</v>
      </c>
      <c r="I1901">
        <f t="shared" si="320"/>
        <v>8</v>
      </c>
      <c r="J1901">
        <f t="shared" si="321"/>
        <v>1868</v>
      </c>
      <c r="K1901" s="5">
        <f t="shared" si="322"/>
        <v>0</v>
      </c>
      <c r="L1901">
        <f t="shared" si="323"/>
        <v>53.4</v>
      </c>
      <c r="M1901">
        <f t="shared" si="324"/>
        <v>1</v>
      </c>
      <c r="N1901">
        <f t="shared" si="325"/>
        <v>0</v>
      </c>
    </row>
    <row r="1902" spans="4:14" x14ac:dyDescent="0.2">
      <c r="D1902">
        <f t="shared" si="327"/>
        <v>1879</v>
      </c>
      <c r="E1902" s="1">
        <f t="shared" si="328"/>
        <v>-218.27389356437368</v>
      </c>
      <c r="F1902" s="1">
        <f t="shared" si="329"/>
        <v>-218.85050692867767</v>
      </c>
      <c r="G1902" s="1">
        <f t="shared" si="326"/>
        <v>9.0039376538747053E-96</v>
      </c>
      <c r="H1902" s="1">
        <f t="shared" si="319"/>
        <v>9.3278888498871263E-97</v>
      </c>
      <c r="I1902">
        <f t="shared" si="320"/>
        <v>8</v>
      </c>
      <c r="J1902">
        <f t="shared" si="321"/>
        <v>1869</v>
      </c>
      <c r="K1902" s="5">
        <f t="shared" si="322"/>
        <v>0</v>
      </c>
      <c r="L1902">
        <f t="shared" si="323"/>
        <v>53.4</v>
      </c>
      <c r="M1902">
        <f t="shared" si="324"/>
        <v>1</v>
      </c>
      <c r="N1902">
        <f t="shared" si="325"/>
        <v>0</v>
      </c>
    </row>
    <row r="1903" spans="4:14" x14ac:dyDescent="0.2">
      <c r="D1903">
        <f t="shared" si="327"/>
        <v>1880</v>
      </c>
      <c r="E1903" s="1">
        <f t="shared" si="328"/>
        <v>-218.39042738062963</v>
      </c>
      <c r="F1903" s="1">
        <f t="shared" si="329"/>
        <v>-218.96704074493363</v>
      </c>
      <c r="G1903" s="1">
        <f t="shared" si="326"/>
        <v>8.013504511948482E-96</v>
      </c>
      <c r="H1903" s="1">
        <f t="shared" si="319"/>
        <v>8.3018210763995361E-97</v>
      </c>
      <c r="I1903">
        <f t="shared" si="320"/>
        <v>8</v>
      </c>
      <c r="J1903">
        <f t="shared" si="321"/>
        <v>1870</v>
      </c>
      <c r="K1903" s="5">
        <f t="shared" si="322"/>
        <v>0</v>
      </c>
      <c r="L1903">
        <f t="shared" si="323"/>
        <v>53.4</v>
      </c>
      <c r="M1903">
        <f t="shared" si="324"/>
        <v>1</v>
      </c>
      <c r="N1903">
        <f t="shared" si="325"/>
        <v>0</v>
      </c>
    </row>
    <row r="1904" spans="4:14" x14ac:dyDescent="0.2">
      <c r="D1904">
        <f t="shared" si="327"/>
        <v>1881</v>
      </c>
      <c r="E1904" s="1">
        <f t="shared" si="328"/>
        <v>-218.50696119688558</v>
      </c>
      <c r="F1904" s="1">
        <f t="shared" si="329"/>
        <v>-219.08357456118958</v>
      </c>
      <c r="G1904" s="1">
        <f t="shared" si="326"/>
        <v>7.1320190156341447E-96</v>
      </c>
      <c r="H1904" s="1">
        <f t="shared" si="319"/>
        <v>7.3886207579955831E-97</v>
      </c>
      <c r="I1904">
        <f t="shared" si="320"/>
        <v>8</v>
      </c>
      <c r="J1904">
        <f t="shared" si="321"/>
        <v>1871</v>
      </c>
      <c r="K1904" s="5">
        <f t="shared" si="322"/>
        <v>0</v>
      </c>
      <c r="L1904">
        <f t="shared" si="323"/>
        <v>53.4</v>
      </c>
      <c r="M1904">
        <f t="shared" si="324"/>
        <v>1</v>
      </c>
      <c r="N1904">
        <f t="shared" si="325"/>
        <v>0</v>
      </c>
    </row>
    <row r="1905" spans="4:14" x14ac:dyDescent="0.2">
      <c r="D1905">
        <f t="shared" si="327"/>
        <v>1882</v>
      </c>
      <c r="E1905" s="1">
        <f t="shared" si="328"/>
        <v>-218.62349501314154</v>
      </c>
      <c r="F1905" s="1">
        <f t="shared" si="329"/>
        <v>-219.20010837744553</v>
      </c>
      <c r="G1905" s="1">
        <f t="shared" si="326"/>
        <v>6.3474969239143843E-96</v>
      </c>
      <c r="H1905" s="1">
        <f t="shared" si="319"/>
        <v>6.5758724746160642E-97</v>
      </c>
      <c r="I1905">
        <f t="shared" si="320"/>
        <v>8</v>
      </c>
      <c r="J1905">
        <f t="shared" si="321"/>
        <v>1872</v>
      </c>
      <c r="K1905" s="5">
        <f t="shared" si="322"/>
        <v>0</v>
      </c>
      <c r="L1905">
        <f t="shared" si="323"/>
        <v>53.4</v>
      </c>
      <c r="M1905">
        <f t="shared" si="324"/>
        <v>1</v>
      </c>
      <c r="N1905">
        <f t="shared" si="325"/>
        <v>0</v>
      </c>
    </row>
    <row r="1906" spans="4:14" x14ac:dyDescent="0.2">
      <c r="D1906">
        <f t="shared" si="327"/>
        <v>1883</v>
      </c>
      <c r="E1906" s="1">
        <f t="shared" si="328"/>
        <v>-218.74002882939749</v>
      </c>
      <c r="F1906" s="1">
        <f t="shared" si="329"/>
        <v>-219.31664219370148</v>
      </c>
      <c r="G1906" s="1">
        <f t="shared" si="326"/>
        <v>5.6492722622837987E-96</v>
      </c>
      <c r="H1906" s="1">
        <f t="shared" si="319"/>
        <v>5.852526502408293E-97</v>
      </c>
      <c r="I1906">
        <f t="shared" si="320"/>
        <v>8</v>
      </c>
      <c r="J1906">
        <f t="shared" si="321"/>
        <v>1873</v>
      </c>
      <c r="K1906" s="5">
        <f t="shared" si="322"/>
        <v>0</v>
      </c>
      <c r="L1906">
        <f t="shared" si="323"/>
        <v>53.4</v>
      </c>
      <c r="M1906">
        <f t="shared" si="324"/>
        <v>1</v>
      </c>
      <c r="N1906">
        <f t="shared" si="325"/>
        <v>0</v>
      </c>
    </row>
    <row r="1907" spans="4:14" x14ac:dyDescent="0.2">
      <c r="D1907">
        <f t="shared" si="327"/>
        <v>1884</v>
      </c>
      <c r="E1907" s="1">
        <f t="shared" si="328"/>
        <v>-218.85656264565344</v>
      </c>
      <c r="F1907" s="1">
        <f t="shared" si="329"/>
        <v>-219.43317600995744</v>
      </c>
      <c r="G1907" s="1">
        <f t="shared" si="326"/>
        <v>5.0278523134325774E-96</v>
      </c>
      <c r="H1907" s="1">
        <f t="shared" si="319"/>
        <v>5.2087485871433776E-97</v>
      </c>
      <c r="I1907">
        <f t="shared" si="320"/>
        <v>8</v>
      </c>
      <c r="J1907">
        <f t="shared" si="321"/>
        <v>1874</v>
      </c>
      <c r="K1907" s="5">
        <f t="shared" si="322"/>
        <v>0</v>
      </c>
      <c r="L1907">
        <f t="shared" si="323"/>
        <v>53.4</v>
      </c>
      <c r="M1907">
        <f t="shared" si="324"/>
        <v>1</v>
      </c>
      <c r="N1907">
        <f t="shared" si="325"/>
        <v>0</v>
      </c>
    </row>
    <row r="1908" spans="4:14" x14ac:dyDescent="0.2">
      <c r="D1908">
        <f t="shared" si="327"/>
        <v>1885</v>
      </c>
      <c r="E1908" s="1">
        <f t="shared" si="328"/>
        <v>-218.97309646190939</v>
      </c>
      <c r="F1908" s="1">
        <f t="shared" si="329"/>
        <v>-219.54970982621339</v>
      </c>
      <c r="G1908" s="1">
        <f t="shared" si="326"/>
        <v>4.4747885589549915E-96</v>
      </c>
      <c r="H1908" s="1">
        <f t="shared" si="319"/>
        <v>4.635786242557604E-97</v>
      </c>
      <c r="I1908">
        <f t="shared" si="320"/>
        <v>8</v>
      </c>
      <c r="J1908">
        <f t="shared" si="321"/>
        <v>1875</v>
      </c>
      <c r="K1908" s="5">
        <f t="shared" si="322"/>
        <v>0</v>
      </c>
      <c r="L1908">
        <f t="shared" si="323"/>
        <v>53.4</v>
      </c>
      <c r="M1908">
        <f t="shared" si="324"/>
        <v>1</v>
      </c>
      <c r="N1908">
        <f t="shared" si="325"/>
        <v>0</v>
      </c>
    </row>
    <row r="1909" spans="4:14" x14ac:dyDescent="0.2">
      <c r="D1909">
        <f t="shared" si="327"/>
        <v>1886</v>
      </c>
      <c r="E1909" s="1">
        <f t="shared" si="328"/>
        <v>-219.08963027816534</v>
      </c>
      <c r="F1909" s="1">
        <f t="shared" si="329"/>
        <v>-219.66624364246934</v>
      </c>
      <c r="G1909" s="1">
        <f t="shared" si="326"/>
        <v>3.9825618174699393E-96</v>
      </c>
      <c r="H1909" s="1">
        <f t="shared" si="319"/>
        <v>4.125849755876264E-97</v>
      </c>
      <c r="I1909">
        <f t="shared" si="320"/>
        <v>8</v>
      </c>
      <c r="J1909">
        <f t="shared" si="321"/>
        <v>1876</v>
      </c>
      <c r="K1909" s="5">
        <f t="shared" si="322"/>
        <v>0</v>
      </c>
      <c r="L1909">
        <f t="shared" si="323"/>
        <v>53.4</v>
      </c>
      <c r="M1909">
        <f t="shared" si="324"/>
        <v>1</v>
      </c>
      <c r="N1909">
        <f t="shared" si="325"/>
        <v>0</v>
      </c>
    </row>
    <row r="1910" spans="4:14" x14ac:dyDescent="0.2">
      <c r="D1910">
        <f t="shared" si="327"/>
        <v>1887</v>
      </c>
      <c r="E1910" s="1">
        <f t="shared" si="328"/>
        <v>-219.2061640944213</v>
      </c>
      <c r="F1910" s="1">
        <f t="shared" si="329"/>
        <v>-219.78277745872529</v>
      </c>
      <c r="G1910" s="1">
        <f t="shared" si="326"/>
        <v>3.5444800175482442E-96</v>
      </c>
      <c r="H1910" s="1">
        <f t="shared" si="319"/>
        <v>3.6720062827298732E-97</v>
      </c>
      <c r="I1910">
        <f t="shared" si="320"/>
        <v>8</v>
      </c>
      <c r="J1910">
        <f t="shared" si="321"/>
        <v>1877</v>
      </c>
      <c r="K1910" s="5">
        <f t="shared" si="322"/>
        <v>0</v>
      </c>
      <c r="L1910">
        <f t="shared" si="323"/>
        <v>53.4</v>
      </c>
      <c r="M1910">
        <f t="shared" si="324"/>
        <v>1</v>
      </c>
      <c r="N1910">
        <f t="shared" si="325"/>
        <v>0</v>
      </c>
    </row>
    <row r="1911" spans="4:14" x14ac:dyDescent="0.2">
      <c r="D1911">
        <f t="shared" si="327"/>
        <v>1888</v>
      </c>
      <c r="E1911" s="1">
        <f t="shared" si="328"/>
        <v>-219.32269791067725</v>
      </c>
      <c r="F1911" s="1">
        <f t="shared" si="329"/>
        <v>-219.89931127498124</v>
      </c>
      <c r="G1911" s="1">
        <f t="shared" si="326"/>
        <v>3.1545872156179354E-96</v>
      </c>
      <c r="H1911" s="1">
        <f t="shared" si="319"/>
        <v>3.2680855916295852E-97</v>
      </c>
      <c r="I1911">
        <f t="shared" si="320"/>
        <v>8</v>
      </c>
      <c r="J1911">
        <f t="shared" si="321"/>
        <v>1878</v>
      </c>
      <c r="K1911" s="5">
        <f t="shared" si="322"/>
        <v>0</v>
      </c>
      <c r="L1911">
        <f t="shared" si="323"/>
        <v>53.4</v>
      </c>
      <c r="M1911">
        <f t="shared" si="324"/>
        <v>1</v>
      </c>
      <c r="N1911">
        <f t="shared" si="325"/>
        <v>0</v>
      </c>
    </row>
    <row r="1912" spans="4:14" x14ac:dyDescent="0.2">
      <c r="D1912">
        <f t="shared" si="327"/>
        <v>1889</v>
      </c>
      <c r="E1912" s="1">
        <f t="shared" si="328"/>
        <v>-219.4392317269332</v>
      </c>
      <c r="F1912" s="1">
        <f t="shared" si="329"/>
        <v>-220.0158450912372</v>
      </c>
      <c r="G1912" s="1">
        <f t="shared" si="326"/>
        <v>2.8075826218999607E-96</v>
      </c>
      <c r="H1912" s="1">
        <f t="shared" si="319"/>
        <v>2.9085961765503287E-97</v>
      </c>
      <c r="I1912">
        <f t="shared" si="320"/>
        <v>8</v>
      </c>
      <c r="J1912">
        <f t="shared" si="321"/>
        <v>1879</v>
      </c>
      <c r="K1912" s="5">
        <f t="shared" si="322"/>
        <v>0</v>
      </c>
      <c r="L1912">
        <f t="shared" si="323"/>
        <v>53.4</v>
      </c>
      <c r="M1912">
        <f t="shared" si="324"/>
        <v>1</v>
      </c>
      <c r="N1912">
        <f t="shared" si="325"/>
        <v>0</v>
      </c>
    </row>
    <row r="1913" spans="4:14" x14ac:dyDescent="0.2">
      <c r="D1913">
        <f t="shared" si="327"/>
        <v>1890</v>
      </c>
      <c r="E1913" s="1">
        <f t="shared" si="328"/>
        <v>-219.55576554318915</v>
      </c>
      <c r="F1913" s="1">
        <f t="shared" si="329"/>
        <v>-220.13237890749315</v>
      </c>
      <c r="G1913" s="1">
        <f t="shared" si="326"/>
        <v>2.4987485334909634E-96</v>
      </c>
      <c r="H1913" s="1">
        <f t="shared" si="319"/>
        <v>2.5886505971297911E-97</v>
      </c>
      <c r="I1913">
        <f t="shared" si="320"/>
        <v>8</v>
      </c>
      <c r="J1913">
        <f t="shared" si="321"/>
        <v>1880</v>
      </c>
      <c r="K1913" s="5">
        <f t="shared" si="322"/>
        <v>0</v>
      </c>
      <c r="L1913">
        <f t="shared" si="323"/>
        <v>53.4</v>
      </c>
      <c r="M1913">
        <f t="shared" si="324"/>
        <v>1</v>
      </c>
      <c r="N1913">
        <f t="shared" si="325"/>
        <v>0</v>
      </c>
    </row>
    <row r="1914" spans="4:14" x14ac:dyDescent="0.2">
      <c r="D1914">
        <f t="shared" si="327"/>
        <v>1891</v>
      </c>
      <c r="E1914" s="1">
        <f t="shared" si="328"/>
        <v>-219.67229935944511</v>
      </c>
      <c r="F1914" s="1">
        <f t="shared" si="329"/>
        <v>-220.2489127237491</v>
      </c>
      <c r="G1914" s="1">
        <f t="shared" si="326"/>
        <v>2.2238861948069562E-96</v>
      </c>
      <c r="H1914" s="1">
        <f t="shared" si="319"/>
        <v>2.3038990314455128E-97</v>
      </c>
      <c r="I1914">
        <f t="shared" si="320"/>
        <v>8</v>
      </c>
      <c r="J1914">
        <f t="shared" si="321"/>
        <v>1881</v>
      </c>
      <c r="K1914" s="5">
        <f t="shared" si="322"/>
        <v>0</v>
      </c>
      <c r="L1914">
        <f t="shared" si="323"/>
        <v>53.4</v>
      </c>
      <c r="M1914">
        <f t="shared" si="324"/>
        <v>1</v>
      </c>
      <c r="N1914">
        <f t="shared" si="325"/>
        <v>0</v>
      </c>
    </row>
    <row r="1915" spans="4:14" x14ac:dyDescent="0.2">
      <c r="D1915">
        <f t="shared" si="327"/>
        <v>1892</v>
      </c>
      <c r="E1915" s="1">
        <f t="shared" si="328"/>
        <v>-219.78883317570106</v>
      </c>
      <c r="F1915" s="1">
        <f t="shared" si="329"/>
        <v>-220.36544654000505</v>
      </c>
      <c r="G1915" s="1">
        <f t="shared" si="326"/>
        <v>1.9792587133781894E-96</v>
      </c>
      <c r="H1915" s="1">
        <f t="shared" si="319"/>
        <v>2.0504701379865047E-97</v>
      </c>
      <c r="I1915">
        <f t="shared" si="320"/>
        <v>8</v>
      </c>
      <c r="J1915">
        <f t="shared" si="321"/>
        <v>1882</v>
      </c>
      <c r="K1915" s="5">
        <f t="shared" si="322"/>
        <v>0</v>
      </c>
      <c r="L1915">
        <f t="shared" si="323"/>
        <v>53.4</v>
      </c>
      <c r="M1915">
        <f t="shared" si="324"/>
        <v>1</v>
      </c>
      <c r="N1915">
        <f t="shared" si="325"/>
        <v>0</v>
      </c>
    </row>
    <row r="1916" spans="4:14" x14ac:dyDescent="0.2">
      <c r="D1916">
        <f t="shared" si="327"/>
        <v>1893</v>
      </c>
      <c r="E1916" s="1">
        <f t="shared" si="328"/>
        <v>-219.90536699195701</v>
      </c>
      <c r="F1916" s="1">
        <f t="shared" si="329"/>
        <v>-220.481980356261</v>
      </c>
      <c r="G1916" s="1">
        <f t="shared" si="326"/>
        <v>1.7615402549065877E-96</v>
      </c>
      <c r="H1916" s="1">
        <f t="shared" si="319"/>
        <v>1.8249184228079883E-97</v>
      </c>
      <c r="I1916">
        <f t="shared" si="320"/>
        <v>8</v>
      </c>
      <c r="J1916">
        <f t="shared" si="321"/>
        <v>1883</v>
      </c>
      <c r="K1916" s="5">
        <f t="shared" si="322"/>
        <v>0</v>
      </c>
      <c r="L1916">
        <f t="shared" si="323"/>
        <v>53.4</v>
      </c>
      <c r="M1916">
        <f t="shared" si="324"/>
        <v>1</v>
      </c>
      <c r="N1916">
        <f t="shared" si="325"/>
        <v>0</v>
      </c>
    </row>
    <row r="1917" spans="4:14" x14ac:dyDescent="0.2">
      <c r="D1917">
        <f t="shared" si="327"/>
        <v>1894</v>
      </c>
      <c r="E1917" s="1">
        <f t="shared" si="328"/>
        <v>-220.02190080821296</v>
      </c>
      <c r="F1917" s="1">
        <f t="shared" si="329"/>
        <v>-220.59851417251696</v>
      </c>
      <c r="G1917" s="1">
        <f t="shared" si="326"/>
        <v>1.567770826866862E-96</v>
      </c>
      <c r="H1917" s="1">
        <f t="shared" si="319"/>
        <v>1.6241773962991083E-97</v>
      </c>
      <c r="I1917">
        <f t="shared" si="320"/>
        <v>8</v>
      </c>
      <c r="J1917">
        <f t="shared" si="321"/>
        <v>1884</v>
      </c>
      <c r="K1917" s="5">
        <f t="shared" si="322"/>
        <v>0</v>
      </c>
      <c r="L1917">
        <f t="shared" si="323"/>
        <v>53.4</v>
      </c>
      <c r="M1917">
        <f t="shared" si="324"/>
        <v>1</v>
      </c>
      <c r="N1917">
        <f t="shared" si="325"/>
        <v>0</v>
      </c>
    </row>
    <row r="1918" spans="4:14" x14ac:dyDescent="0.2">
      <c r="D1918">
        <f t="shared" si="327"/>
        <v>1895</v>
      </c>
      <c r="E1918" s="1">
        <f t="shared" si="328"/>
        <v>-220.13843462446891</v>
      </c>
      <c r="F1918" s="1">
        <f t="shared" si="329"/>
        <v>-220.71504798877291</v>
      </c>
      <c r="G1918" s="1">
        <f t="shared" si="326"/>
        <v>1.3953160359115062E-96</v>
      </c>
      <c r="H1918" s="1">
        <f t="shared" si="319"/>
        <v>1.4455178827062055E-97</v>
      </c>
      <c r="I1918">
        <f t="shared" si="320"/>
        <v>8</v>
      </c>
      <c r="J1918">
        <f t="shared" si="321"/>
        <v>1885</v>
      </c>
      <c r="K1918" s="5">
        <f t="shared" si="322"/>
        <v>0</v>
      </c>
      <c r="L1918">
        <f t="shared" si="323"/>
        <v>53.4</v>
      </c>
      <c r="M1918">
        <f t="shared" si="324"/>
        <v>1</v>
      </c>
      <c r="N1918">
        <f t="shared" si="325"/>
        <v>0</v>
      </c>
    </row>
    <row r="1919" spans="4:14" x14ac:dyDescent="0.2">
      <c r="D1919">
        <f t="shared" si="327"/>
        <v>1896</v>
      </c>
      <c r="E1919" s="1">
        <f t="shared" si="328"/>
        <v>-220.25496844072487</v>
      </c>
      <c r="F1919" s="1">
        <f t="shared" si="329"/>
        <v>-220.83158180502886</v>
      </c>
      <c r="G1919" s="1">
        <f t="shared" si="326"/>
        <v>1.2418312719612398E-96</v>
      </c>
      <c r="H1919" s="1">
        <f t="shared" si="319"/>
        <v>1.2865109156085222E-97</v>
      </c>
      <c r="I1919">
        <f t="shared" si="320"/>
        <v>8</v>
      </c>
      <c r="J1919">
        <f t="shared" si="321"/>
        <v>1886</v>
      </c>
      <c r="K1919" s="5">
        <f t="shared" si="322"/>
        <v>0</v>
      </c>
      <c r="L1919">
        <f t="shared" si="323"/>
        <v>53.4</v>
      </c>
      <c r="M1919">
        <f t="shared" si="324"/>
        <v>1</v>
      </c>
      <c r="N1919">
        <f t="shared" si="325"/>
        <v>0</v>
      </c>
    </row>
    <row r="1920" spans="4:14" x14ac:dyDescent="0.2">
      <c r="D1920">
        <f t="shared" si="327"/>
        <v>1897</v>
      </c>
      <c r="E1920" s="1">
        <f t="shared" si="328"/>
        <v>-220.37150225698082</v>
      </c>
      <c r="F1920" s="1">
        <f t="shared" si="329"/>
        <v>-220.94811562128481</v>
      </c>
      <c r="G1920" s="1">
        <f t="shared" si="326"/>
        <v>1.1052298320455028E-96</v>
      </c>
      <c r="H1920" s="1">
        <f t="shared" si="319"/>
        <v>1.1449947148915841E-97</v>
      </c>
      <c r="I1920">
        <f t="shared" si="320"/>
        <v>8</v>
      </c>
      <c r="J1920">
        <f t="shared" si="321"/>
        <v>1887</v>
      </c>
      <c r="K1920" s="5">
        <f t="shared" si="322"/>
        <v>0</v>
      </c>
      <c r="L1920">
        <f t="shared" si="323"/>
        <v>53.4</v>
      </c>
      <c r="M1920">
        <f t="shared" si="324"/>
        <v>1</v>
      </c>
      <c r="N1920">
        <f t="shared" si="325"/>
        <v>0</v>
      </c>
    </row>
    <row r="1921" spans="4:14" x14ac:dyDescent="0.2">
      <c r="D1921">
        <f t="shared" si="327"/>
        <v>1898</v>
      </c>
      <c r="E1921" s="1">
        <f t="shared" si="328"/>
        <v>-220.48803607323677</v>
      </c>
      <c r="F1921" s="1">
        <f t="shared" si="329"/>
        <v>-221.06464943754077</v>
      </c>
      <c r="G1921" s="1">
        <f t="shared" si="326"/>
        <v>9.8365455052049681E-97</v>
      </c>
      <c r="H1921" s="1">
        <f t="shared" si="319"/>
        <v>1.0190452962535091E-97</v>
      </c>
      <c r="I1921">
        <f t="shared" si="320"/>
        <v>8</v>
      </c>
      <c r="J1921">
        <f t="shared" si="321"/>
        <v>1888</v>
      </c>
      <c r="K1921" s="5">
        <f t="shared" si="322"/>
        <v>0</v>
      </c>
      <c r="L1921">
        <f t="shared" si="323"/>
        <v>53.4</v>
      </c>
      <c r="M1921">
        <f t="shared" si="324"/>
        <v>1</v>
      </c>
      <c r="N1921">
        <f t="shared" si="325"/>
        <v>0</v>
      </c>
    </row>
    <row r="1922" spans="4:14" x14ac:dyDescent="0.2">
      <c r="D1922">
        <f t="shared" si="327"/>
        <v>1899</v>
      </c>
      <c r="E1922" s="1">
        <f t="shared" si="328"/>
        <v>-220.60456988949272</v>
      </c>
      <c r="F1922" s="1">
        <f t="shared" si="329"/>
        <v>-221.18118325379672</v>
      </c>
      <c r="G1922" s="1">
        <f t="shared" si="326"/>
        <v>8.7545254996324167E-97</v>
      </c>
      <c r="H1922" s="1">
        <f t="shared" si="319"/>
        <v>9.0695031366562258E-98</v>
      </c>
      <c r="I1922">
        <f t="shared" si="320"/>
        <v>8</v>
      </c>
      <c r="J1922">
        <f t="shared" si="321"/>
        <v>1889</v>
      </c>
      <c r="K1922" s="5">
        <f t="shared" si="322"/>
        <v>0</v>
      </c>
      <c r="L1922">
        <f t="shared" si="323"/>
        <v>53.4</v>
      </c>
      <c r="M1922">
        <f t="shared" si="324"/>
        <v>1</v>
      </c>
      <c r="N1922">
        <f t="shared" si="325"/>
        <v>0</v>
      </c>
    </row>
    <row r="1923" spans="4:14" x14ac:dyDescent="0.2">
      <c r="D1923">
        <f t="shared" si="327"/>
        <v>1900</v>
      </c>
      <c r="E1923" s="1">
        <f t="shared" si="328"/>
        <v>-220.72110370574867</v>
      </c>
      <c r="F1923" s="1">
        <f t="shared" si="329"/>
        <v>-221.29771707005267</v>
      </c>
      <c r="G1923" s="1">
        <f t="shared" si="326"/>
        <v>7.7915276946728456E-97</v>
      </c>
      <c r="H1923" s="1">
        <f t="shared" si="319"/>
        <v>8.0718577916240362E-98</v>
      </c>
      <c r="I1923">
        <f t="shared" si="320"/>
        <v>8</v>
      </c>
      <c r="J1923">
        <f t="shared" si="321"/>
        <v>1890</v>
      </c>
      <c r="K1923" s="5">
        <f t="shared" si="322"/>
        <v>0</v>
      </c>
      <c r="L1923">
        <f t="shared" si="323"/>
        <v>53.4</v>
      </c>
      <c r="M1923">
        <f t="shared" si="324"/>
        <v>1</v>
      </c>
      <c r="N1923">
        <f t="shared" si="325"/>
        <v>0</v>
      </c>
    </row>
    <row r="1924" spans="4:14" x14ac:dyDescent="0.2">
      <c r="D1924">
        <f t="shared" si="327"/>
        <v>1901</v>
      </c>
      <c r="E1924" s="1">
        <f t="shared" si="328"/>
        <v>-220.83763752200463</v>
      </c>
      <c r="F1924" s="1">
        <f t="shared" si="329"/>
        <v>-221.41425088630862</v>
      </c>
      <c r="G1924" s="1">
        <f t="shared" si="326"/>
        <v>6.9344596482588279E-97</v>
      </c>
      <c r="H1924" s="1">
        <f t="shared" si="319"/>
        <v>7.1839534345453875E-98</v>
      </c>
      <c r="I1924">
        <f t="shared" si="320"/>
        <v>8</v>
      </c>
      <c r="J1924">
        <f t="shared" si="321"/>
        <v>1891</v>
      </c>
      <c r="K1924" s="5">
        <f t="shared" si="322"/>
        <v>0</v>
      </c>
      <c r="L1924">
        <f t="shared" si="323"/>
        <v>53.4</v>
      </c>
      <c r="M1924">
        <f t="shared" si="324"/>
        <v>1</v>
      </c>
      <c r="N1924">
        <f t="shared" si="325"/>
        <v>0</v>
      </c>
    </row>
    <row r="1925" spans="4:14" x14ac:dyDescent="0.2">
      <c r="D1925">
        <f t="shared" si="327"/>
        <v>1902</v>
      </c>
      <c r="E1925" s="1">
        <f t="shared" si="328"/>
        <v>-220.95417133826058</v>
      </c>
      <c r="F1925" s="1">
        <f t="shared" si="329"/>
        <v>-221.53078470256457</v>
      </c>
      <c r="G1925" s="1">
        <f t="shared" si="326"/>
        <v>6.1716690869503528E-97</v>
      </c>
      <c r="H1925" s="1">
        <f t="shared" si="319"/>
        <v>6.3937185567453907E-98</v>
      </c>
      <c r="I1925">
        <f t="shared" si="320"/>
        <v>8</v>
      </c>
      <c r="J1925">
        <f t="shared" si="321"/>
        <v>1892</v>
      </c>
      <c r="K1925" s="5">
        <f t="shared" si="322"/>
        <v>0</v>
      </c>
      <c r="L1925">
        <f t="shared" si="323"/>
        <v>53.4</v>
      </c>
      <c r="M1925">
        <f t="shared" si="324"/>
        <v>1</v>
      </c>
      <c r="N1925">
        <f t="shared" si="325"/>
        <v>0</v>
      </c>
    </row>
    <row r="1926" spans="4:14" x14ac:dyDescent="0.2">
      <c r="D1926">
        <f t="shared" si="327"/>
        <v>1903</v>
      </c>
      <c r="E1926" s="1">
        <f t="shared" si="328"/>
        <v>-221.07070515451653</v>
      </c>
      <c r="F1926" s="1">
        <f t="shared" si="329"/>
        <v>-221.64731851882053</v>
      </c>
      <c r="G1926" s="1">
        <f t="shared" si="326"/>
        <v>5.4927854873858107E-97</v>
      </c>
      <c r="H1926" s="1">
        <f t="shared" si="319"/>
        <v>5.6904095155033936E-98</v>
      </c>
      <c r="I1926">
        <f t="shared" si="320"/>
        <v>8</v>
      </c>
      <c r="J1926">
        <f t="shared" si="321"/>
        <v>1893</v>
      </c>
      <c r="K1926" s="5">
        <f t="shared" si="322"/>
        <v>0</v>
      </c>
      <c r="L1926">
        <f t="shared" si="323"/>
        <v>53.4</v>
      </c>
      <c r="M1926">
        <f t="shared" si="324"/>
        <v>1</v>
      </c>
      <c r="N1926">
        <f t="shared" si="325"/>
        <v>0</v>
      </c>
    </row>
    <row r="1927" spans="4:14" x14ac:dyDescent="0.2">
      <c r="D1927">
        <f t="shared" si="327"/>
        <v>1904</v>
      </c>
      <c r="E1927" s="1">
        <f t="shared" si="328"/>
        <v>-221.18723897077248</v>
      </c>
      <c r="F1927" s="1">
        <f t="shared" si="329"/>
        <v>-221.76385233507648</v>
      </c>
      <c r="G1927" s="1">
        <f t="shared" si="326"/>
        <v>4.8885790837733683E-97</v>
      </c>
      <c r="H1927" s="1">
        <f t="shared" si="319"/>
        <v>5.064464468798017E-98</v>
      </c>
      <c r="I1927">
        <f t="shared" si="320"/>
        <v>8</v>
      </c>
      <c r="J1927">
        <f t="shared" si="321"/>
        <v>1894</v>
      </c>
      <c r="K1927" s="5">
        <f t="shared" si="322"/>
        <v>0</v>
      </c>
      <c r="L1927">
        <f t="shared" si="323"/>
        <v>53.4</v>
      </c>
      <c r="M1927">
        <f t="shared" si="324"/>
        <v>1</v>
      </c>
      <c r="N1927">
        <f t="shared" si="325"/>
        <v>0</v>
      </c>
    </row>
    <row r="1928" spans="4:14" x14ac:dyDescent="0.2">
      <c r="D1928">
        <f t="shared" si="327"/>
        <v>1905</v>
      </c>
      <c r="E1928" s="1">
        <f t="shared" si="328"/>
        <v>-221.30377278702844</v>
      </c>
      <c r="F1928" s="1">
        <f t="shared" si="329"/>
        <v>-221.88038615133243</v>
      </c>
      <c r="G1928" s="1">
        <f t="shared" si="326"/>
        <v>4.3508353845582952E-97</v>
      </c>
      <c r="H1928" s="1">
        <f t="shared" si="319"/>
        <v>4.5073733772302324E-98</v>
      </c>
      <c r="I1928">
        <f t="shared" si="320"/>
        <v>8</v>
      </c>
      <c r="J1928">
        <f t="shared" si="321"/>
        <v>1895</v>
      </c>
      <c r="K1928" s="5">
        <f t="shared" si="322"/>
        <v>0</v>
      </c>
      <c r="L1928">
        <f t="shared" si="323"/>
        <v>53.4</v>
      </c>
      <c r="M1928">
        <f t="shared" si="324"/>
        <v>1</v>
      </c>
      <c r="N1928">
        <f t="shared" si="325"/>
        <v>0</v>
      </c>
    </row>
    <row r="1929" spans="4:14" x14ac:dyDescent="0.2">
      <c r="D1929">
        <f t="shared" si="327"/>
        <v>1906</v>
      </c>
      <c r="E1929" s="1">
        <f t="shared" si="328"/>
        <v>-221.42030660328439</v>
      </c>
      <c r="F1929" s="1">
        <f t="shared" si="329"/>
        <v>-221.99691996758838</v>
      </c>
      <c r="G1929" s="1">
        <f t="shared" si="326"/>
        <v>3.8722434922568805E-97</v>
      </c>
      <c r="H1929" s="1">
        <f t="shared" si="319"/>
        <v>4.0115623057349046E-98</v>
      </c>
      <c r="I1929">
        <f t="shared" si="320"/>
        <v>8</v>
      </c>
      <c r="J1929">
        <f t="shared" si="321"/>
        <v>1896</v>
      </c>
      <c r="K1929" s="5">
        <f t="shared" si="322"/>
        <v>0</v>
      </c>
      <c r="L1929">
        <f t="shared" si="323"/>
        <v>53.4</v>
      </c>
      <c r="M1929">
        <f t="shared" si="324"/>
        <v>1</v>
      </c>
      <c r="N1929">
        <f t="shared" si="325"/>
        <v>0</v>
      </c>
    </row>
    <row r="1930" spans="4:14" x14ac:dyDescent="0.2">
      <c r="D1930">
        <f t="shared" si="327"/>
        <v>1907</v>
      </c>
      <c r="E1930" s="1">
        <f t="shared" si="328"/>
        <v>-221.53684041954034</v>
      </c>
      <c r="F1930" s="1">
        <f t="shared" si="329"/>
        <v>-222.11345378384434</v>
      </c>
      <c r="G1930" s="1">
        <f t="shared" si="326"/>
        <v>3.4462967081086213E-97</v>
      </c>
      <c r="H1930" s="1">
        <f t="shared" si="319"/>
        <v>3.5702904521040631E-98</v>
      </c>
      <c r="I1930">
        <f t="shared" si="320"/>
        <v>8</v>
      </c>
      <c r="J1930">
        <f t="shared" si="321"/>
        <v>1897</v>
      </c>
      <c r="K1930" s="5">
        <f t="shared" si="322"/>
        <v>0</v>
      </c>
      <c r="L1930">
        <f t="shared" si="323"/>
        <v>53.4</v>
      </c>
      <c r="M1930">
        <f t="shared" si="324"/>
        <v>1</v>
      </c>
      <c r="N1930">
        <f t="shared" si="325"/>
        <v>0</v>
      </c>
    </row>
    <row r="1931" spans="4:14" x14ac:dyDescent="0.2">
      <c r="D1931">
        <f t="shared" si="327"/>
        <v>1908</v>
      </c>
      <c r="E1931" s="1">
        <f t="shared" si="328"/>
        <v>-221.65337423579629</v>
      </c>
      <c r="F1931" s="1">
        <f t="shared" si="329"/>
        <v>-222.22998760010029</v>
      </c>
      <c r="G1931" s="1">
        <f t="shared" si="326"/>
        <v>3.067204070216671E-97</v>
      </c>
      <c r="H1931" s="1">
        <f t="shared" si="319"/>
        <v>3.1775585023726137E-98</v>
      </c>
      <c r="I1931">
        <f t="shared" si="320"/>
        <v>8</v>
      </c>
      <c r="J1931">
        <f t="shared" si="321"/>
        <v>1898</v>
      </c>
      <c r="K1931" s="5">
        <f t="shared" si="322"/>
        <v>0</v>
      </c>
      <c r="L1931">
        <f t="shared" si="323"/>
        <v>53.4</v>
      </c>
      <c r="M1931">
        <f t="shared" si="324"/>
        <v>1</v>
      </c>
      <c r="N1931">
        <f t="shared" si="325"/>
        <v>0</v>
      </c>
    </row>
    <row r="1932" spans="4:14" x14ac:dyDescent="0.2">
      <c r="D1932">
        <f t="shared" si="327"/>
        <v>1909</v>
      </c>
      <c r="E1932" s="1">
        <f t="shared" si="328"/>
        <v>-221.76990805205224</v>
      </c>
      <c r="F1932" s="1">
        <f t="shared" si="329"/>
        <v>-222.34652141635624</v>
      </c>
      <c r="G1932" s="1">
        <f t="shared" si="326"/>
        <v>2.7298116224928358E-97</v>
      </c>
      <c r="H1932" s="1">
        <f t="shared" si="319"/>
        <v>2.828027067111625E-98</v>
      </c>
      <c r="I1932">
        <f t="shared" si="320"/>
        <v>8</v>
      </c>
      <c r="J1932">
        <f t="shared" si="321"/>
        <v>1899</v>
      </c>
      <c r="K1932" s="5">
        <f t="shared" si="322"/>
        <v>0</v>
      </c>
      <c r="L1932">
        <f t="shared" si="323"/>
        <v>53.4</v>
      </c>
      <c r="M1932">
        <f t="shared" si="324"/>
        <v>1</v>
      </c>
      <c r="N1932">
        <f t="shared" si="325"/>
        <v>0</v>
      </c>
    </row>
    <row r="1933" spans="4:14" x14ac:dyDescent="0.2">
      <c r="D1933">
        <f t="shared" si="327"/>
        <v>1910</v>
      </c>
      <c r="E1933" s="1">
        <f t="shared" si="328"/>
        <v>-221.8864418683082</v>
      </c>
      <c r="F1933" s="1">
        <f t="shared" si="329"/>
        <v>-222.46305523261219</v>
      </c>
      <c r="G1933" s="1">
        <f t="shared" si="326"/>
        <v>2.4295323440186222E-97</v>
      </c>
      <c r="H1933" s="1">
        <f t="shared" si="319"/>
        <v>2.5169440897293445E-98</v>
      </c>
      <c r="I1933">
        <f t="shared" si="320"/>
        <v>8</v>
      </c>
      <c r="J1933">
        <f t="shared" si="321"/>
        <v>1900</v>
      </c>
      <c r="K1933" s="5">
        <f t="shared" si="322"/>
        <v>0</v>
      </c>
      <c r="L1933">
        <f t="shared" si="323"/>
        <v>53.4</v>
      </c>
      <c r="M1933">
        <f t="shared" si="324"/>
        <v>1</v>
      </c>
      <c r="N1933">
        <f t="shared" si="325"/>
        <v>0</v>
      </c>
    </row>
    <row r="1934" spans="4:14" x14ac:dyDescent="0.2">
      <c r="D1934">
        <f t="shared" si="327"/>
        <v>1911</v>
      </c>
      <c r="E1934" s="1">
        <f t="shared" si="328"/>
        <v>-222.00297568456415</v>
      </c>
      <c r="F1934" s="1">
        <f t="shared" si="329"/>
        <v>-222.57958904886814</v>
      </c>
      <c r="G1934" s="1">
        <f t="shared" si="326"/>
        <v>2.1622837861765723E-97</v>
      </c>
      <c r="H1934" s="1">
        <f t="shared" si="319"/>
        <v>2.2400802398591151E-98</v>
      </c>
      <c r="I1934">
        <f t="shared" si="320"/>
        <v>8</v>
      </c>
      <c r="J1934">
        <f t="shared" si="321"/>
        <v>1901</v>
      </c>
      <c r="K1934" s="5">
        <f t="shared" si="322"/>
        <v>0</v>
      </c>
      <c r="L1934">
        <f t="shared" si="323"/>
        <v>53.4</v>
      </c>
      <c r="M1934">
        <f t="shared" si="324"/>
        <v>1</v>
      </c>
      <c r="N1934">
        <f t="shared" si="325"/>
        <v>0</v>
      </c>
    </row>
    <row r="1935" spans="4:14" x14ac:dyDescent="0.2">
      <c r="D1935">
        <f t="shared" si="327"/>
        <v>1912</v>
      </c>
      <c r="E1935" s="1">
        <f t="shared" si="328"/>
        <v>-222.1195095008201</v>
      </c>
      <c r="F1935" s="1">
        <f t="shared" si="329"/>
        <v>-222.6961228651241</v>
      </c>
      <c r="G1935" s="1">
        <f t="shared" si="326"/>
        <v>1.9244325696971481E-97</v>
      </c>
      <c r="H1935" s="1">
        <f t="shared" si="319"/>
        <v>1.9936714134746112E-98</v>
      </c>
      <c r="I1935">
        <f t="shared" si="320"/>
        <v>8</v>
      </c>
      <c r="J1935">
        <f t="shared" si="321"/>
        <v>1902</v>
      </c>
      <c r="K1935" s="5">
        <f t="shared" si="322"/>
        <v>0</v>
      </c>
      <c r="L1935">
        <f t="shared" si="323"/>
        <v>53.4</v>
      </c>
      <c r="M1935">
        <f t="shared" si="324"/>
        <v>1</v>
      </c>
      <c r="N1935">
        <f t="shared" si="325"/>
        <v>0</v>
      </c>
    </row>
    <row r="1936" spans="4:14" x14ac:dyDescent="0.2">
      <c r="D1936">
        <f t="shared" si="327"/>
        <v>1913</v>
      </c>
      <c r="E1936" s="1">
        <f t="shared" si="328"/>
        <v>-222.23604331707605</v>
      </c>
      <c r="F1936" s="1">
        <f t="shared" si="329"/>
        <v>-222.81265668138005</v>
      </c>
      <c r="G1936" s="1">
        <f t="shared" si="326"/>
        <v>1.7127449870304608E-97</v>
      </c>
      <c r="H1936" s="1">
        <f t="shared" si="319"/>
        <v>1.7743675579924028E-98</v>
      </c>
      <c r="I1936">
        <f t="shared" si="320"/>
        <v>8</v>
      </c>
      <c r="J1936">
        <f t="shared" si="321"/>
        <v>1903</v>
      </c>
      <c r="K1936" s="5">
        <f t="shared" si="322"/>
        <v>0</v>
      </c>
      <c r="L1936">
        <f t="shared" si="323"/>
        <v>53.4</v>
      </c>
      <c r="M1936">
        <f t="shared" si="324"/>
        <v>1</v>
      </c>
      <c r="N1936">
        <f t="shared" si="325"/>
        <v>0</v>
      </c>
    </row>
    <row r="1937" spans="4:14" x14ac:dyDescent="0.2">
      <c r="D1937">
        <f t="shared" si="327"/>
        <v>1914</v>
      </c>
      <c r="E1937" s="1">
        <f t="shared" si="328"/>
        <v>-222.35257713333201</v>
      </c>
      <c r="F1937" s="1">
        <f t="shared" si="329"/>
        <v>-222.929190497636</v>
      </c>
      <c r="G1937" s="1">
        <f t="shared" si="326"/>
        <v>1.524343038457109E-97</v>
      </c>
      <c r="H1937" s="1">
        <f t="shared" si="319"/>
        <v>1.5791871266132375E-98</v>
      </c>
      <c r="I1937">
        <f t="shared" si="320"/>
        <v>8</v>
      </c>
      <c r="J1937">
        <f t="shared" si="321"/>
        <v>1904</v>
      </c>
      <c r="K1937" s="5">
        <f t="shared" si="322"/>
        <v>0</v>
      </c>
      <c r="L1937">
        <f t="shared" si="323"/>
        <v>53.4</v>
      </c>
      <c r="M1937">
        <f t="shared" si="324"/>
        <v>1</v>
      </c>
      <c r="N1937">
        <f t="shared" si="325"/>
        <v>0</v>
      </c>
    </row>
    <row r="1938" spans="4:14" x14ac:dyDescent="0.2">
      <c r="D1938">
        <f t="shared" si="327"/>
        <v>1915</v>
      </c>
      <c r="E1938" s="1">
        <f t="shared" si="328"/>
        <v>-222.46911094958796</v>
      </c>
      <c r="F1938" s="1">
        <f t="shared" si="329"/>
        <v>-223.04572431389195</v>
      </c>
      <c r="G1938" s="1">
        <f t="shared" si="326"/>
        <v>1.3566653042268262E-97</v>
      </c>
      <c r="H1938" s="1">
        <f t="shared" si="319"/>
        <v>1.4054765426857805E-98</v>
      </c>
      <c r="I1938">
        <f t="shared" si="320"/>
        <v>8</v>
      </c>
      <c r="J1938">
        <f t="shared" si="321"/>
        <v>1905</v>
      </c>
      <c r="K1938" s="5">
        <f t="shared" si="322"/>
        <v>0</v>
      </c>
      <c r="L1938">
        <f t="shared" si="323"/>
        <v>53.4</v>
      </c>
      <c r="M1938">
        <f t="shared" si="324"/>
        <v>1</v>
      </c>
      <c r="N1938">
        <f t="shared" si="325"/>
        <v>0</v>
      </c>
    </row>
    <row r="1939" spans="4:14" x14ac:dyDescent="0.2">
      <c r="D1939">
        <f t="shared" si="327"/>
        <v>1916</v>
      </c>
      <c r="E1939" s="1">
        <f t="shared" si="328"/>
        <v>-222.58564476584391</v>
      </c>
      <c r="F1939" s="1">
        <f t="shared" si="329"/>
        <v>-223.1622581301479</v>
      </c>
      <c r="G1939" s="1">
        <f t="shared" si="326"/>
        <v>1.2074321207618746E-97</v>
      </c>
      <c r="H1939" s="1">
        <f t="shared" si="319"/>
        <v>1.2508741229903439E-98</v>
      </c>
      <c r="I1939">
        <f t="shared" si="320"/>
        <v>8</v>
      </c>
      <c r="J1939">
        <f t="shared" si="321"/>
        <v>1906</v>
      </c>
      <c r="K1939" s="5">
        <f t="shared" si="322"/>
        <v>0</v>
      </c>
      <c r="L1939">
        <f t="shared" si="323"/>
        <v>53.4</v>
      </c>
      <c r="M1939">
        <f t="shared" si="324"/>
        <v>1</v>
      </c>
      <c r="N1939">
        <f t="shared" si="325"/>
        <v>0</v>
      </c>
    </row>
    <row r="1940" spans="4:14" x14ac:dyDescent="0.2">
      <c r="D1940">
        <f t="shared" si="327"/>
        <v>1917</v>
      </c>
      <c r="E1940" s="1">
        <f t="shared" si="328"/>
        <v>-222.70217858209986</v>
      </c>
      <c r="F1940" s="1">
        <f t="shared" si="329"/>
        <v>-223.27879194640386</v>
      </c>
      <c r="G1940" s="1">
        <f t="shared" si="326"/>
        <v>1.0746145874780677E-97</v>
      </c>
      <c r="H1940" s="1">
        <f t="shared" si="319"/>
        <v>1.1132779694614052E-98</v>
      </c>
      <c r="I1940">
        <f t="shared" si="320"/>
        <v>8</v>
      </c>
      <c r="J1940">
        <f t="shared" si="321"/>
        <v>1907</v>
      </c>
      <c r="K1940" s="5">
        <f t="shared" si="322"/>
        <v>0</v>
      </c>
      <c r="L1940">
        <f t="shared" si="323"/>
        <v>53.4</v>
      </c>
      <c r="M1940">
        <f t="shared" si="324"/>
        <v>1</v>
      </c>
      <c r="N1940">
        <f t="shared" si="325"/>
        <v>0</v>
      </c>
    </row>
    <row r="1941" spans="4:14" x14ac:dyDescent="0.2">
      <c r="D1941">
        <f t="shared" si="327"/>
        <v>1918</v>
      </c>
      <c r="E1941" s="1">
        <f t="shared" si="328"/>
        <v>-222.81871239835581</v>
      </c>
      <c r="F1941" s="1">
        <f t="shared" si="329"/>
        <v>-223.39532576265981</v>
      </c>
      <c r="G1941" s="1">
        <f t="shared" si="326"/>
        <v>9.5640698285547965E-98</v>
      </c>
      <c r="H1941" s="1">
        <f t="shared" si="319"/>
        <v>9.9081739282065003E-99</v>
      </c>
      <c r="I1941">
        <f t="shared" si="320"/>
        <v>8</v>
      </c>
      <c r="J1941">
        <f t="shared" si="321"/>
        <v>1908</v>
      </c>
      <c r="K1941" s="5">
        <f t="shared" si="322"/>
        <v>0</v>
      </c>
      <c r="L1941">
        <f t="shared" si="323"/>
        <v>53.4</v>
      </c>
      <c r="M1941">
        <f t="shared" si="324"/>
        <v>1</v>
      </c>
      <c r="N1941">
        <f t="shared" si="325"/>
        <v>0</v>
      </c>
    </row>
    <row r="1942" spans="4:14" x14ac:dyDescent="0.2">
      <c r="D1942">
        <f t="shared" si="327"/>
        <v>1919</v>
      </c>
      <c r="E1942" s="1">
        <f t="shared" si="328"/>
        <v>-222.93524621461177</v>
      </c>
      <c r="F1942" s="1">
        <f t="shared" si="329"/>
        <v>-223.51185957891576</v>
      </c>
      <c r="G1942" s="1">
        <f t="shared" si="326"/>
        <v>8.5120221474137641E-98</v>
      </c>
      <c r="H1942" s="1">
        <f t="shared" si="319"/>
        <v>8.8182747961037799E-99</v>
      </c>
      <c r="I1942">
        <f t="shared" si="320"/>
        <v>8</v>
      </c>
      <c r="J1942">
        <f t="shared" si="321"/>
        <v>1909</v>
      </c>
      <c r="K1942" s="5">
        <f t="shared" si="322"/>
        <v>0</v>
      </c>
      <c r="L1942">
        <f t="shared" si="323"/>
        <v>53.4</v>
      </c>
      <c r="M1942">
        <f t="shared" si="324"/>
        <v>1</v>
      </c>
      <c r="N1942">
        <f t="shared" si="325"/>
        <v>0</v>
      </c>
    </row>
    <row r="1943" spans="4:14" x14ac:dyDescent="0.2">
      <c r="D1943">
        <f t="shared" si="327"/>
        <v>1920</v>
      </c>
      <c r="E1943" s="1">
        <f t="shared" si="328"/>
        <v>-223.05178003086772</v>
      </c>
      <c r="F1943" s="1">
        <f t="shared" si="329"/>
        <v>-223.62839339517171</v>
      </c>
      <c r="G1943" s="1">
        <f t="shared" si="326"/>
        <v>7.5756997111982453E-98</v>
      </c>
      <c r="H1943" s="1">
        <f t="shared" ref="H1943:H2006" si="330">G1943/$G$21</f>
        <v>7.8482645685323601E-99</v>
      </c>
      <c r="I1943">
        <f t="shared" ref="I1943:I2006" si="331">IF($F$11&lt;=D1943, IF(D1943&lt;=$A$15,D1943-$F$11,$C$11),0)</f>
        <v>8</v>
      </c>
      <c r="J1943">
        <f t="shared" ref="J1943:J2006" si="332">IF(D1943&lt;=$A$15,0,D1943-$A$15)</f>
        <v>1910</v>
      </c>
      <c r="K1943" s="5">
        <f t="shared" ref="K1943:K2006" si="333">IF(D1943&lt;$F$11,H1943,0)</f>
        <v>0</v>
      </c>
      <c r="L1943">
        <f t="shared" ref="L1943:L2006" si="334">IF(D1943&lt;$A$15,$D$11,$D$11*(1-$H$11))</f>
        <v>53.4</v>
      </c>
      <c r="M1943">
        <f t="shared" ref="M1943:M2006" si="335">IF(D1943&lt;$A$15,0,1)</f>
        <v>1</v>
      </c>
      <c r="N1943">
        <f t="shared" ref="N1943:N2006" si="336">IF(SUM(I1943:J1943)&lt;=($G$11/60*$F$11/($E$11/60)),1,0)</f>
        <v>0</v>
      </c>
    </row>
    <row r="1944" spans="4:14" x14ac:dyDescent="0.2">
      <c r="D1944">
        <f t="shared" si="327"/>
        <v>1921</v>
      </c>
      <c r="E1944" s="1">
        <f t="shared" si="328"/>
        <v>-223.16831384712367</v>
      </c>
      <c r="F1944" s="1">
        <f t="shared" si="329"/>
        <v>-223.74492721142767</v>
      </c>
      <c r="G1944" s="1">
        <f t="shared" ref="G1944:G2007" si="337">EXP(F1944)</f>
        <v>6.742372742966434E-98</v>
      </c>
      <c r="H1944" s="1">
        <f t="shared" si="330"/>
        <v>6.9849554659937961E-99</v>
      </c>
      <c r="I1944">
        <f t="shared" si="331"/>
        <v>8</v>
      </c>
      <c r="J1944">
        <f t="shared" si="332"/>
        <v>1911</v>
      </c>
      <c r="K1944" s="5">
        <f t="shared" si="333"/>
        <v>0</v>
      </c>
      <c r="L1944">
        <f t="shared" si="334"/>
        <v>53.4</v>
      </c>
      <c r="M1944">
        <f t="shared" si="335"/>
        <v>1</v>
      </c>
      <c r="N1944">
        <f t="shared" si="336"/>
        <v>0</v>
      </c>
    </row>
    <row r="1945" spans="4:14" x14ac:dyDescent="0.2">
      <c r="D1945">
        <f t="shared" ref="D1945:D2008" si="338">1+D1944</f>
        <v>1922</v>
      </c>
      <c r="E1945" s="1">
        <f t="shared" ref="E1945:E2008" si="339">IF($H$11=1,IF(D1945&lt;=$A$15, E1944+LN($D$11)-LN(60/$E$11)-LN(MIN(D1945,$F$11)), E1944-LN(60/$E$11)-LN(MIN(D1945,$F$11))), IF(D1945&lt;=$A$15, E1944+LN($D$11)-LN(60/$E$11)-LN(MIN(D1945,$F$11)), E1944+LN($D$11)+LN(1-$H$11)-LN(60/$E$11)-LN(MIN(D1945,$F$11))))</f>
        <v>-223.28484766337962</v>
      </c>
      <c r="F1945" s="1">
        <f t="shared" ref="F1945:F2008" si="340">E1945-$E$21</f>
        <v>-223.86146102768362</v>
      </c>
      <c r="G1945" s="1">
        <f t="shared" si="337"/>
        <v>6.0007117412401218E-98</v>
      </c>
      <c r="H1945" s="1">
        <f t="shared" si="330"/>
        <v>6.216610364734474E-99</v>
      </c>
      <c r="I1945">
        <f t="shared" si="331"/>
        <v>8</v>
      </c>
      <c r="J1945">
        <f t="shared" si="332"/>
        <v>1912</v>
      </c>
      <c r="K1945" s="5">
        <f t="shared" si="333"/>
        <v>0</v>
      </c>
      <c r="L1945">
        <f t="shared" si="334"/>
        <v>53.4</v>
      </c>
      <c r="M1945">
        <f t="shared" si="335"/>
        <v>1</v>
      </c>
      <c r="N1945">
        <f t="shared" si="336"/>
        <v>0</v>
      </c>
    </row>
    <row r="1946" spans="4:14" x14ac:dyDescent="0.2">
      <c r="D1946">
        <f t="shared" si="338"/>
        <v>1923</v>
      </c>
      <c r="E1946" s="1">
        <f t="shared" si="339"/>
        <v>-223.40138147963557</v>
      </c>
      <c r="F1946" s="1">
        <f t="shared" si="340"/>
        <v>-223.97799484393957</v>
      </c>
      <c r="G1946" s="1">
        <f t="shared" si="337"/>
        <v>5.3406334497037051E-98</v>
      </c>
      <c r="H1946" s="1">
        <f t="shared" si="330"/>
        <v>5.5327832246136784E-99</v>
      </c>
      <c r="I1946">
        <f t="shared" si="331"/>
        <v>8</v>
      </c>
      <c r="J1946">
        <f t="shared" si="332"/>
        <v>1913</v>
      </c>
      <c r="K1946" s="5">
        <f t="shared" si="333"/>
        <v>0</v>
      </c>
      <c r="L1946">
        <f t="shared" si="334"/>
        <v>53.4</v>
      </c>
      <c r="M1946">
        <f t="shared" si="335"/>
        <v>1</v>
      </c>
      <c r="N1946">
        <f t="shared" si="336"/>
        <v>0</v>
      </c>
    </row>
    <row r="1947" spans="4:14" x14ac:dyDescent="0.2">
      <c r="D1947">
        <f t="shared" si="338"/>
        <v>1924</v>
      </c>
      <c r="E1947" s="1">
        <f t="shared" si="339"/>
        <v>-223.51791529589153</v>
      </c>
      <c r="F1947" s="1">
        <f t="shared" si="340"/>
        <v>-224.09452866019552</v>
      </c>
      <c r="G1947" s="1">
        <f t="shared" si="337"/>
        <v>4.7531637702362947E-98</v>
      </c>
      <c r="H1947" s="1">
        <f t="shared" si="330"/>
        <v>4.924177069906171E-99</v>
      </c>
      <c r="I1947">
        <f t="shared" si="331"/>
        <v>8</v>
      </c>
      <c r="J1947">
        <f t="shared" si="332"/>
        <v>1914</v>
      </c>
      <c r="K1947" s="5">
        <f t="shared" si="333"/>
        <v>0</v>
      </c>
      <c r="L1947">
        <f t="shared" si="334"/>
        <v>53.4</v>
      </c>
      <c r="M1947">
        <f t="shared" si="335"/>
        <v>1</v>
      </c>
      <c r="N1947">
        <f t="shared" si="336"/>
        <v>0</v>
      </c>
    </row>
    <row r="1948" spans="4:14" x14ac:dyDescent="0.2">
      <c r="D1948">
        <f t="shared" si="338"/>
        <v>1925</v>
      </c>
      <c r="E1948" s="1">
        <f t="shared" si="339"/>
        <v>-223.63444911214748</v>
      </c>
      <c r="F1948" s="1">
        <f t="shared" si="340"/>
        <v>-224.21106247645147</v>
      </c>
      <c r="G1948" s="1">
        <f t="shared" si="337"/>
        <v>4.2303157555102994E-98</v>
      </c>
      <c r="H1948" s="1">
        <f t="shared" si="330"/>
        <v>4.3825175922164892E-99</v>
      </c>
      <c r="I1948">
        <f t="shared" si="331"/>
        <v>8</v>
      </c>
      <c r="J1948">
        <f t="shared" si="332"/>
        <v>1915</v>
      </c>
      <c r="K1948" s="5">
        <f t="shared" si="333"/>
        <v>0</v>
      </c>
      <c r="L1948">
        <f t="shared" si="334"/>
        <v>53.4</v>
      </c>
      <c r="M1948">
        <f t="shared" si="335"/>
        <v>1</v>
      </c>
      <c r="N1948">
        <f t="shared" si="336"/>
        <v>0</v>
      </c>
    </row>
    <row r="1949" spans="4:14" x14ac:dyDescent="0.2">
      <c r="D1949">
        <f t="shared" si="338"/>
        <v>1926</v>
      </c>
      <c r="E1949" s="1">
        <f t="shared" si="339"/>
        <v>-223.75098292840343</v>
      </c>
      <c r="F1949" s="1">
        <f t="shared" si="340"/>
        <v>-224.32759629270743</v>
      </c>
      <c r="G1949" s="1">
        <f t="shared" si="337"/>
        <v>3.764981022404164E-98</v>
      </c>
      <c r="H1949" s="1">
        <f t="shared" si="330"/>
        <v>3.9004406570726726E-99</v>
      </c>
      <c r="I1949">
        <f t="shared" si="331"/>
        <v>8</v>
      </c>
      <c r="J1949">
        <f t="shared" si="332"/>
        <v>1916</v>
      </c>
      <c r="K1949" s="5">
        <f t="shared" si="333"/>
        <v>0</v>
      </c>
      <c r="L1949">
        <f t="shared" si="334"/>
        <v>53.4</v>
      </c>
      <c r="M1949">
        <f t="shared" si="335"/>
        <v>1</v>
      </c>
      <c r="N1949">
        <f t="shared" si="336"/>
        <v>0</v>
      </c>
    </row>
    <row r="1950" spans="4:14" x14ac:dyDescent="0.2">
      <c r="D1950">
        <f t="shared" si="338"/>
        <v>1927</v>
      </c>
      <c r="E1950" s="1">
        <f t="shared" si="339"/>
        <v>-223.86751674465938</v>
      </c>
      <c r="F1950" s="1">
        <f t="shared" si="340"/>
        <v>-224.44413010896338</v>
      </c>
      <c r="G1950" s="1">
        <f t="shared" si="337"/>
        <v>3.350833109939704E-98</v>
      </c>
      <c r="H1950" s="1">
        <f t="shared" si="330"/>
        <v>3.4713921847946766E-99</v>
      </c>
      <c r="I1950">
        <f t="shared" si="331"/>
        <v>8</v>
      </c>
      <c r="J1950">
        <f t="shared" si="332"/>
        <v>1917</v>
      </c>
      <c r="K1950" s="5">
        <f t="shared" si="333"/>
        <v>0</v>
      </c>
      <c r="L1950">
        <f t="shared" si="334"/>
        <v>53.4</v>
      </c>
      <c r="M1950">
        <f t="shared" si="335"/>
        <v>1</v>
      </c>
      <c r="N1950">
        <f t="shared" si="336"/>
        <v>0</v>
      </c>
    </row>
    <row r="1951" spans="4:14" x14ac:dyDescent="0.2">
      <c r="D1951">
        <f t="shared" si="338"/>
        <v>1928</v>
      </c>
      <c r="E1951" s="1">
        <f t="shared" si="339"/>
        <v>-223.98405056091534</v>
      </c>
      <c r="F1951" s="1">
        <f t="shared" si="340"/>
        <v>-224.56066392521933</v>
      </c>
      <c r="G1951" s="1">
        <f t="shared" si="337"/>
        <v>2.9822414678463349E-98</v>
      </c>
      <c r="H1951" s="1">
        <f t="shared" si="330"/>
        <v>3.0895390444672606E-99</v>
      </c>
      <c r="I1951">
        <f t="shared" si="331"/>
        <v>8</v>
      </c>
      <c r="J1951">
        <f t="shared" si="332"/>
        <v>1918</v>
      </c>
      <c r="K1951" s="5">
        <f t="shared" si="333"/>
        <v>0</v>
      </c>
      <c r="L1951">
        <f t="shared" si="334"/>
        <v>53.4</v>
      </c>
      <c r="M1951">
        <f t="shared" si="335"/>
        <v>1</v>
      </c>
      <c r="N1951">
        <f t="shared" si="336"/>
        <v>0</v>
      </c>
    </row>
    <row r="1952" spans="4:14" x14ac:dyDescent="0.2">
      <c r="D1952">
        <f t="shared" si="338"/>
        <v>1929</v>
      </c>
      <c r="E1952" s="1">
        <f t="shared" si="339"/>
        <v>-224.10058437717129</v>
      </c>
      <c r="F1952" s="1">
        <f t="shared" si="340"/>
        <v>-224.67719774147528</v>
      </c>
      <c r="G1952" s="1">
        <f t="shared" si="337"/>
        <v>2.6541949063832362E-98</v>
      </c>
      <c r="H1952" s="1">
        <f t="shared" si="330"/>
        <v>2.7496897495758599E-99</v>
      </c>
      <c r="I1952">
        <f t="shared" si="331"/>
        <v>8</v>
      </c>
      <c r="J1952">
        <f t="shared" si="332"/>
        <v>1919</v>
      </c>
      <c r="K1952" s="5">
        <f t="shared" si="333"/>
        <v>0</v>
      </c>
      <c r="L1952">
        <f t="shared" si="334"/>
        <v>53.4</v>
      </c>
      <c r="M1952">
        <f t="shared" si="335"/>
        <v>1</v>
      </c>
      <c r="N1952">
        <f t="shared" si="336"/>
        <v>0</v>
      </c>
    </row>
    <row r="1953" spans="4:14" x14ac:dyDescent="0.2">
      <c r="D1953">
        <f t="shared" si="338"/>
        <v>1930</v>
      </c>
      <c r="E1953" s="1">
        <f t="shared" si="339"/>
        <v>-224.21711819342724</v>
      </c>
      <c r="F1953" s="1">
        <f t="shared" si="340"/>
        <v>-224.79373155773123</v>
      </c>
      <c r="G1953" s="1">
        <f t="shared" si="337"/>
        <v>2.3622334666810788E-98</v>
      </c>
      <c r="H1953" s="1">
        <f t="shared" si="330"/>
        <v>2.4472238771225137E-99</v>
      </c>
      <c r="I1953">
        <f t="shared" si="331"/>
        <v>8</v>
      </c>
      <c r="J1953">
        <f t="shared" si="332"/>
        <v>1920</v>
      </c>
      <c r="K1953" s="5">
        <f t="shared" si="333"/>
        <v>0</v>
      </c>
      <c r="L1953">
        <f t="shared" si="334"/>
        <v>53.4</v>
      </c>
      <c r="M1953">
        <f t="shared" si="335"/>
        <v>1</v>
      </c>
      <c r="N1953">
        <f t="shared" si="336"/>
        <v>0</v>
      </c>
    </row>
    <row r="1954" spans="4:14" x14ac:dyDescent="0.2">
      <c r="D1954">
        <f t="shared" si="338"/>
        <v>1931</v>
      </c>
      <c r="E1954" s="1">
        <f t="shared" si="339"/>
        <v>-224.33365200968319</v>
      </c>
      <c r="F1954" s="1">
        <f t="shared" si="340"/>
        <v>-224.91026537398719</v>
      </c>
      <c r="G1954" s="1">
        <f t="shared" si="337"/>
        <v>2.1023877853461589E-98</v>
      </c>
      <c r="H1954" s="1">
        <f t="shared" si="330"/>
        <v>2.1780292506390362E-99</v>
      </c>
      <c r="I1954">
        <f t="shared" si="331"/>
        <v>8</v>
      </c>
      <c r="J1954">
        <f t="shared" si="332"/>
        <v>1921</v>
      </c>
      <c r="K1954" s="5">
        <f t="shared" si="333"/>
        <v>0</v>
      </c>
      <c r="L1954">
        <f t="shared" si="334"/>
        <v>53.4</v>
      </c>
      <c r="M1954">
        <f t="shared" si="335"/>
        <v>1</v>
      </c>
      <c r="N1954">
        <f t="shared" si="336"/>
        <v>0</v>
      </c>
    </row>
    <row r="1955" spans="4:14" x14ac:dyDescent="0.2">
      <c r="D1955">
        <f t="shared" si="338"/>
        <v>1932</v>
      </c>
      <c r="E1955" s="1">
        <f t="shared" si="339"/>
        <v>-224.45018582593914</v>
      </c>
      <c r="F1955" s="1">
        <f t="shared" si="340"/>
        <v>-225.02679919024314</v>
      </c>
      <c r="G1955" s="1">
        <f t="shared" si="337"/>
        <v>1.8711251289580803E-98</v>
      </c>
      <c r="H1955" s="1">
        <f t="shared" si="330"/>
        <v>1.938446033068741E-99</v>
      </c>
      <c r="I1955">
        <f t="shared" si="331"/>
        <v>8</v>
      </c>
      <c r="J1955">
        <f t="shared" si="332"/>
        <v>1922</v>
      </c>
      <c r="K1955" s="5">
        <f t="shared" si="333"/>
        <v>0</v>
      </c>
      <c r="L1955">
        <f t="shared" si="334"/>
        <v>53.4</v>
      </c>
      <c r="M1955">
        <f t="shared" si="335"/>
        <v>1</v>
      </c>
      <c r="N1955">
        <f t="shared" si="336"/>
        <v>0</v>
      </c>
    </row>
    <row r="1956" spans="4:14" x14ac:dyDescent="0.2">
      <c r="D1956">
        <f t="shared" si="338"/>
        <v>1933</v>
      </c>
      <c r="E1956" s="1">
        <f t="shared" si="339"/>
        <v>-224.5667196421951</v>
      </c>
      <c r="F1956" s="1">
        <f t="shared" si="340"/>
        <v>-225.14333300649909</v>
      </c>
      <c r="G1956" s="1">
        <f t="shared" si="337"/>
        <v>1.6653013647726902E-98</v>
      </c>
      <c r="H1956" s="1">
        <f t="shared" si="330"/>
        <v>1.7252169694311781E-99</v>
      </c>
      <c r="I1956">
        <f t="shared" si="331"/>
        <v>8</v>
      </c>
      <c r="J1956">
        <f t="shared" si="332"/>
        <v>1923</v>
      </c>
      <c r="K1956" s="5">
        <f t="shared" si="333"/>
        <v>0</v>
      </c>
      <c r="L1956">
        <f t="shared" si="334"/>
        <v>53.4</v>
      </c>
      <c r="M1956">
        <f t="shared" si="335"/>
        <v>1</v>
      </c>
      <c r="N1956">
        <f t="shared" si="336"/>
        <v>0</v>
      </c>
    </row>
    <row r="1957" spans="4:14" x14ac:dyDescent="0.2">
      <c r="D1957">
        <f t="shared" si="338"/>
        <v>1934</v>
      </c>
      <c r="E1957" s="1">
        <f t="shared" si="339"/>
        <v>-224.68325345845105</v>
      </c>
      <c r="F1957" s="1">
        <f t="shared" si="340"/>
        <v>-225.25986682275504</v>
      </c>
      <c r="G1957" s="1">
        <f t="shared" si="337"/>
        <v>1.4821182146476933E-98</v>
      </c>
      <c r="H1957" s="1">
        <f t="shared" si="330"/>
        <v>1.5354431027937476E-99</v>
      </c>
      <c r="I1957">
        <f t="shared" si="331"/>
        <v>8</v>
      </c>
      <c r="J1957">
        <f t="shared" si="332"/>
        <v>1924</v>
      </c>
      <c r="K1957" s="5">
        <f t="shared" si="333"/>
        <v>0</v>
      </c>
      <c r="L1957">
        <f t="shared" si="334"/>
        <v>53.4</v>
      </c>
      <c r="M1957">
        <f t="shared" si="335"/>
        <v>1</v>
      </c>
      <c r="N1957">
        <f t="shared" si="336"/>
        <v>0</v>
      </c>
    </row>
    <row r="1958" spans="4:14" x14ac:dyDescent="0.2">
      <c r="D1958">
        <f t="shared" si="338"/>
        <v>1935</v>
      </c>
      <c r="E1958" s="1">
        <f t="shared" si="339"/>
        <v>-224.799787274707</v>
      </c>
      <c r="F1958" s="1">
        <f t="shared" si="340"/>
        <v>-225.376400639011</v>
      </c>
      <c r="G1958" s="1">
        <f t="shared" si="337"/>
        <v>1.3190852110364462E-98</v>
      </c>
      <c r="H1958" s="1">
        <f t="shared" si="330"/>
        <v>1.3665443614864344E-99</v>
      </c>
      <c r="I1958">
        <f t="shared" si="331"/>
        <v>8</v>
      </c>
      <c r="J1958">
        <f t="shared" si="332"/>
        <v>1925</v>
      </c>
      <c r="K1958" s="5">
        <f t="shared" si="333"/>
        <v>0</v>
      </c>
      <c r="L1958">
        <f t="shared" si="334"/>
        <v>53.4</v>
      </c>
      <c r="M1958">
        <f t="shared" si="335"/>
        <v>1</v>
      </c>
      <c r="N1958">
        <f t="shared" si="336"/>
        <v>0</v>
      </c>
    </row>
    <row r="1959" spans="4:14" x14ac:dyDescent="0.2">
      <c r="D1959">
        <f t="shared" si="338"/>
        <v>1936</v>
      </c>
      <c r="E1959" s="1">
        <f t="shared" si="339"/>
        <v>-224.91632109096295</v>
      </c>
      <c r="F1959" s="1">
        <f t="shared" si="340"/>
        <v>-225.49293445526695</v>
      </c>
      <c r="G1959" s="1">
        <f t="shared" si="337"/>
        <v>1.1739858378224365E-98</v>
      </c>
      <c r="H1959" s="1">
        <f t="shared" si="330"/>
        <v>1.2162244817229259E-99</v>
      </c>
      <c r="I1959">
        <f t="shared" si="331"/>
        <v>8</v>
      </c>
      <c r="J1959">
        <f t="shared" si="332"/>
        <v>1926</v>
      </c>
      <c r="K1959" s="5">
        <f t="shared" si="333"/>
        <v>0</v>
      </c>
      <c r="L1959">
        <f t="shared" si="334"/>
        <v>53.4</v>
      </c>
      <c r="M1959">
        <f t="shared" si="335"/>
        <v>1</v>
      </c>
      <c r="N1959">
        <f t="shared" si="336"/>
        <v>0</v>
      </c>
    </row>
    <row r="1960" spans="4:14" x14ac:dyDescent="0.2">
      <c r="D1960">
        <f t="shared" si="338"/>
        <v>1937</v>
      </c>
      <c r="E1960" s="1">
        <f t="shared" si="339"/>
        <v>-225.0328549072189</v>
      </c>
      <c r="F1960" s="1">
        <f t="shared" si="340"/>
        <v>-225.6094682715229</v>
      </c>
      <c r="G1960" s="1">
        <f t="shared" si="337"/>
        <v>1.0448473956619678E-98</v>
      </c>
      <c r="H1960" s="1">
        <f t="shared" si="330"/>
        <v>1.0824397887334033E-99</v>
      </c>
      <c r="I1960">
        <f t="shared" si="331"/>
        <v>8</v>
      </c>
      <c r="J1960">
        <f t="shared" si="332"/>
        <v>1927</v>
      </c>
      <c r="K1960" s="5">
        <f t="shared" si="333"/>
        <v>0</v>
      </c>
      <c r="L1960">
        <f t="shared" si="334"/>
        <v>53.4</v>
      </c>
      <c r="M1960">
        <f t="shared" si="335"/>
        <v>1</v>
      </c>
      <c r="N1960">
        <f t="shared" si="336"/>
        <v>0</v>
      </c>
    </row>
    <row r="1961" spans="4:14" x14ac:dyDescent="0.2">
      <c r="D1961">
        <f t="shared" si="338"/>
        <v>1938</v>
      </c>
      <c r="E1961" s="1">
        <f t="shared" si="339"/>
        <v>-225.14938872347486</v>
      </c>
      <c r="F1961" s="1">
        <f t="shared" si="340"/>
        <v>-225.72600208777885</v>
      </c>
      <c r="G1961" s="1">
        <f t="shared" si="337"/>
        <v>9.2991418213915069E-99</v>
      </c>
      <c r="H1961" s="1">
        <f t="shared" si="330"/>
        <v>9.6337141197272843E-100</v>
      </c>
      <c r="I1961">
        <f t="shared" si="331"/>
        <v>8</v>
      </c>
      <c r="J1961">
        <f t="shared" si="332"/>
        <v>1928</v>
      </c>
      <c r="K1961" s="5">
        <f t="shared" si="333"/>
        <v>0</v>
      </c>
      <c r="L1961">
        <f t="shared" si="334"/>
        <v>53.4</v>
      </c>
      <c r="M1961">
        <f t="shared" si="335"/>
        <v>1</v>
      </c>
      <c r="N1961">
        <f t="shared" si="336"/>
        <v>0</v>
      </c>
    </row>
    <row r="1962" spans="4:14" x14ac:dyDescent="0.2">
      <c r="D1962">
        <f t="shared" si="338"/>
        <v>1939</v>
      </c>
      <c r="E1962" s="1">
        <f t="shared" si="339"/>
        <v>-225.26592253973081</v>
      </c>
      <c r="F1962" s="1">
        <f t="shared" si="340"/>
        <v>-225.8425359040348</v>
      </c>
      <c r="G1962" s="1">
        <f t="shared" si="337"/>
        <v>8.2762362210384371E-99</v>
      </c>
      <c r="H1962" s="1">
        <f t="shared" si="330"/>
        <v>8.5740055665572784E-100</v>
      </c>
      <c r="I1962">
        <f t="shared" si="331"/>
        <v>8</v>
      </c>
      <c r="J1962">
        <f t="shared" si="332"/>
        <v>1929</v>
      </c>
      <c r="K1962" s="5">
        <f t="shared" si="333"/>
        <v>0</v>
      </c>
      <c r="L1962">
        <f t="shared" si="334"/>
        <v>53.4</v>
      </c>
      <c r="M1962">
        <f t="shared" si="335"/>
        <v>1</v>
      </c>
      <c r="N1962">
        <f t="shared" si="336"/>
        <v>0</v>
      </c>
    </row>
    <row r="1963" spans="4:14" x14ac:dyDescent="0.2">
      <c r="D1963">
        <f t="shared" si="338"/>
        <v>1940</v>
      </c>
      <c r="E1963" s="1">
        <f t="shared" si="339"/>
        <v>-225.38245635598676</v>
      </c>
      <c r="F1963" s="1">
        <f t="shared" si="340"/>
        <v>-225.95906972029076</v>
      </c>
      <c r="G1963" s="1">
        <f t="shared" si="337"/>
        <v>7.3658502367242041E-99</v>
      </c>
      <c r="H1963" s="1">
        <f t="shared" si="330"/>
        <v>7.6308649542359719E-100</v>
      </c>
      <c r="I1963">
        <f t="shared" si="331"/>
        <v>8</v>
      </c>
      <c r="J1963">
        <f t="shared" si="332"/>
        <v>1930</v>
      </c>
      <c r="K1963" s="5">
        <f t="shared" si="333"/>
        <v>0</v>
      </c>
      <c r="L1963">
        <f t="shared" si="334"/>
        <v>53.4</v>
      </c>
      <c r="M1963">
        <f t="shared" si="335"/>
        <v>1</v>
      </c>
      <c r="N1963">
        <f t="shared" si="336"/>
        <v>0</v>
      </c>
    </row>
    <row r="1964" spans="4:14" x14ac:dyDescent="0.2">
      <c r="D1964">
        <f t="shared" si="338"/>
        <v>1941</v>
      </c>
      <c r="E1964" s="1">
        <f t="shared" si="339"/>
        <v>-225.49899017224271</v>
      </c>
      <c r="F1964" s="1">
        <f t="shared" si="340"/>
        <v>-226.07560353654671</v>
      </c>
      <c r="G1964" s="1">
        <f t="shared" si="337"/>
        <v>6.5556067106845375E-99</v>
      </c>
      <c r="H1964" s="1">
        <f t="shared" si="330"/>
        <v>6.7914698092700109E-100</v>
      </c>
      <c r="I1964">
        <f t="shared" si="331"/>
        <v>8</v>
      </c>
      <c r="J1964">
        <f t="shared" si="332"/>
        <v>1931</v>
      </c>
      <c r="K1964" s="5">
        <f t="shared" si="333"/>
        <v>0</v>
      </c>
      <c r="L1964">
        <f t="shared" si="334"/>
        <v>53.4</v>
      </c>
      <c r="M1964">
        <f t="shared" si="335"/>
        <v>1</v>
      </c>
      <c r="N1964">
        <f t="shared" si="336"/>
        <v>0</v>
      </c>
    </row>
    <row r="1965" spans="4:14" x14ac:dyDescent="0.2">
      <c r="D1965">
        <f t="shared" si="338"/>
        <v>1942</v>
      </c>
      <c r="E1965" s="1">
        <f t="shared" si="339"/>
        <v>-225.61552398849867</v>
      </c>
      <c r="F1965" s="1">
        <f t="shared" si="340"/>
        <v>-226.19213735280266</v>
      </c>
      <c r="G1965" s="1">
        <f t="shared" si="337"/>
        <v>5.8344899725092343E-99</v>
      </c>
      <c r="H1965" s="1">
        <f t="shared" si="330"/>
        <v>6.0444081302503059E-100</v>
      </c>
      <c r="I1965">
        <f t="shared" si="331"/>
        <v>8</v>
      </c>
      <c r="J1965">
        <f t="shared" si="332"/>
        <v>1932</v>
      </c>
      <c r="K1965" s="5">
        <f t="shared" si="333"/>
        <v>0</v>
      </c>
      <c r="L1965">
        <f t="shared" si="334"/>
        <v>53.4</v>
      </c>
      <c r="M1965">
        <f t="shared" si="335"/>
        <v>1</v>
      </c>
      <c r="N1965">
        <f t="shared" si="336"/>
        <v>0</v>
      </c>
    </row>
    <row r="1966" spans="4:14" x14ac:dyDescent="0.2">
      <c r="D1966">
        <f t="shared" si="338"/>
        <v>1943</v>
      </c>
      <c r="E1966" s="1">
        <f t="shared" si="339"/>
        <v>-225.73205780475462</v>
      </c>
      <c r="F1966" s="1">
        <f t="shared" si="340"/>
        <v>-226.30867116905861</v>
      </c>
      <c r="G1966" s="1">
        <f t="shared" si="337"/>
        <v>5.1926960755332156E-99</v>
      </c>
      <c r="H1966" s="1">
        <f t="shared" si="330"/>
        <v>5.3795232359227694E-100</v>
      </c>
      <c r="I1966">
        <f t="shared" si="331"/>
        <v>8</v>
      </c>
      <c r="J1966">
        <f t="shared" si="332"/>
        <v>1933</v>
      </c>
      <c r="K1966" s="5">
        <f t="shared" si="333"/>
        <v>0</v>
      </c>
      <c r="L1966">
        <f t="shared" si="334"/>
        <v>53.4</v>
      </c>
      <c r="M1966">
        <f t="shared" si="335"/>
        <v>1</v>
      </c>
      <c r="N1966">
        <f t="shared" si="336"/>
        <v>0</v>
      </c>
    </row>
    <row r="1967" spans="4:14" x14ac:dyDescent="0.2">
      <c r="D1967">
        <f t="shared" si="338"/>
        <v>1944</v>
      </c>
      <c r="E1967" s="1">
        <f t="shared" si="339"/>
        <v>-225.84859162101057</v>
      </c>
      <c r="F1967" s="1">
        <f t="shared" si="340"/>
        <v>-226.42520498531456</v>
      </c>
      <c r="G1967" s="1">
        <f t="shared" si="337"/>
        <v>4.6214995072245587E-99</v>
      </c>
      <c r="H1967" s="1">
        <f t="shared" si="330"/>
        <v>4.7877756799712616E-100</v>
      </c>
      <c r="I1967">
        <f t="shared" si="331"/>
        <v>8</v>
      </c>
      <c r="J1967">
        <f t="shared" si="332"/>
        <v>1934</v>
      </c>
      <c r="K1967" s="5">
        <f t="shared" si="333"/>
        <v>0</v>
      </c>
      <c r="L1967">
        <f t="shared" si="334"/>
        <v>53.4</v>
      </c>
      <c r="M1967">
        <f t="shared" si="335"/>
        <v>1</v>
      </c>
      <c r="N1967">
        <f t="shared" si="336"/>
        <v>0</v>
      </c>
    </row>
    <row r="1968" spans="4:14" x14ac:dyDescent="0.2">
      <c r="D1968">
        <f t="shared" si="338"/>
        <v>1945</v>
      </c>
      <c r="E1968" s="1">
        <f t="shared" si="339"/>
        <v>-225.96512543726652</v>
      </c>
      <c r="F1968" s="1">
        <f t="shared" si="340"/>
        <v>-226.54173880157052</v>
      </c>
      <c r="G1968" s="1">
        <f t="shared" si="337"/>
        <v>4.1131345614298547E-99</v>
      </c>
      <c r="H1968" s="1">
        <f t="shared" si="330"/>
        <v>4.26112035517442E-100</v>
      </c>
      <c r="I1968">
        <f t="shared" si="331"/>
        <v>8</v>
      </c>
      <c r="J1968">
        <f t="shared" si="332"/>
        <v>1935</v>
      </c>
      <c r="K1968" s="5">
        <f t="shared" si="333"/>
        <v>0</v>
      </c>
      <c r="L1968">
        <f t="shared" si="334"/>
        <v>53.4</v>
      </c>
      <c r="M1968">
        <f t="shared" si="335"/>
        <v>1</v>
      </c>
      <c r="N1968">
        <f t="shared" si="336"/>
        <v>0</v>
      </c>
    </row>
    <row r="1969" spans="4:14" x14ac:dyDescent="0.2">
      <c r="D1969">
        <f t="shared" si="338"/>
        <v>1946</v>
      </c>
      <c r="E1969" s="1">
        <f t="shared" si="339"/>
        <v>-226.08165925352247</v>
      </c>
      <c r="F1969" s="1">
        <f t="shared" si="340"/>
        <v>-226.65827261782647</v>
      </c>
      <c r="G1969" s="1">
        <f t="shared" si="337"/>
        <v>3.6606897596725683E-99</v>
      </c>
      <c r="H1969" s="1">
        <f t="shared" si="330"/>
        <v>3.7923971161052309E-100</v>
      </c>
      <c r="I1969">
        <f t="shared" si="331"/>
        <v>8</v>
      </c>
      <c r="J1969">
        <f t="shared" si="332"/>
        <v>1936</v>
      </c>
      <c r="K1969" s="5">
        <f t="shared" si="333"/>
        <v>0</v>
      </c>
      <c r="L1969">
        <f t="shared" si="334"/>
        <v>53.4</v>
      </c>
      <c r="M1969">
        <f t="shared" si="335"/>
        <v>1</v>
      </c>
      <c r="N1969">
        <f t="shared" si="336"/>
        <v>0</v>
      </c>
    </row>
    <row r="1970" spans="4:14" x14ac:dyDescent="0.2">
      <c r="D1970">
        <f t="shared" si="338"/>
        <v>1947</v>
      </c>
      <c r="E1970" s="1">
        <f t="shared" si="339"/>
        <v>-226.19819306977843</v>
      </c>
      <c r="F1970" s="1">
        <f t="shared" si="340"/>
        <v>-226.77480643408242</v>
      </c>
      <c r="G1970" s="1">
        <f t="shared" si="337"/>
        <v>3.2580138861085839E-99</v>
      </c>
      <c r="H1970" s="1">
        <f t="shared" si="330"/>
        <v>3.3752334333336538E-100</v>
      </c>
      <c r="I1970">
        <f t="shared" si="331"/>
        <v>8</v>
      </c>
      <c r="J1970">
        <f t="shared" si="332"/>
        <v>1937</v>
      </c>
      <c r="K1970" s="5">
        <f t="shared" si="333"/>
        <v>0</v>
      </c>
      <c r="L1970">
        <f t="shared" si="334"/>
        <v>53.4</v>
      </c>
      <c r="M1970">
        <f t="shared" si="335"/>
        <v>1</v>
      </c>
      <c r="N1970">
        <f t="shared" si="336"/>
        <v>0</v>
      </c>
    </row>
    <row r="1971" spans="4:14" x14ac:dyDescent="0.2">
      <c r="D1971">
        <f t="shared" si="338"/>
        <v>1948</v>
      </c>
      <c r="E1971" s="1">
        <f t="shared" si="339"/>
        <v>-226.31472688603438</v>
      </c>
      <c r="F1971" s="1">
        <f t="shared" si="340"/>
        <v>-226.89134025033837</v>
      </c>
      <c r="G1971" s="1">
        <f t="shared" si="337"/>
        <v>2.8996323586366377E-99</v>
      </c>
      <c r="H1971" s="1">
        <f t="shared" si="330"/>
        <v>3.0039577556669496E-100</v>
      </c>
      <c r="I1971">
        <f t="shared" si="331"/>
        <v>8</v>
      </c>
      <c r="J1971">
        <f t="shared" si="332"/>
        <v>1938</v>
      </c>
      <c r="K1971" s="5">
        <f t="shared" si="333"/>
        <v>0</v>
      </c>
      <c r="L1971">
        <f t="shared" si="334"/>
        <v>53.4</v>
      </c>
      <c r="M1971">
        <f t="shared" si="335"/>
        <v>1</v>
      </c>
      <c r="N1971">
        <f t="shared" si="336"/>
        <v>0</v>
      </c>
    </row>
    <row r="1972" spans="4:14" x14ac:dyDescent="0.2">
      <c r="D1972">
        <f t="shared" si="338"/>
        <v>1949</v>
      </c>
      <c r="E1972" s="1">
        <f t="shared" si="339"/>
        <v>-226.43126070229033</v>
      </c>
      <c r="F1972" s="1">
        <f t="shared" si="340"/>
        <v>-227.00787406659433</v>
      </c>
      <c r="G1972" s="1">
        <f t="shared" si="337"/>
        <v>2.5806727991866062E-99</v>
      </c>
      <c r="H1972" s="1">
        <f t="shared" si="330"/>
        <v>2.6735224025435837E-100</v>
      </c>
      <c r="I1972">
        <f t="shared" si="331"/>
        <v>8</v>
      </c>
      <c r="J1972">
        <f t="shared" si="332"/>
        <v>1939</v>
      </c>
      <c r="K1972" s="5">
        <f t="shared" si="333"/>
        <v>0</v>
      </c>
      <c r="L1972">
        <f t="shared" si="334"/>
        <v>53.4</v>
      </c>
      <c r="M1972">
        <f t="shared" si="335"/>
        <v>1</v>
      </c>
      <c r="N1972">
        <f t="shared" si="336"/>
        <v>0</v>
      </c>
    </row>
    <row r="1973" spans="4:14" x14ac:dyDescent="0.2">
      <c r="D1973">
        <f t="shared" si="338"/>
        <v>1950</v>
      </c>
      <c r="E1973" s="1">
        <f t="shared" si="339"/>
        <v>-226.54779451854628</v>
      </c>
      <c r="F1973" s="1">
        <f t="shared" si="340"/>
        <v>-227.12440788285028</v>
      </c>
      <c r="G1973" s="1">
        <f t="shared" si="337"/>
        <v>2.296798791276078E-99</v>
      </c>
      <c r="H1973" s="1">
        <f t="shared" si="330"/>
        <v>2.3794349382637883E-100</v>
      </c>
      <c r="I1973">
        <f t="shared" si="331"/>
        <v>8</v>
      </c>
      <c r="J1973">
        <f t="shared" si="332"/>
        <v>1940</v>
      </c>
      <c r="K1973" s="5">
        <f t="shared" si="333"/>
        <v>0</v>
      </c>
      <c r="L1973">
        <f t="shared" si="334"/>
        <v>53.4</v>
      </c>
      <c r="M1973">
        <f t="shared" si="335"/>
        <v>1</v>
      </c>
      <c r="N1973">
        <f t="shared" si="336"/>
        <v>0</v>
      </c>
    </row>
    <row r="1974" spans="4:14" x14ac:dyDescent="0.2">
      <c r="D1974">
        <f t="shared" si="338"/>
        <v>1951</v>
      </c>
      <c r="E1974" s="1">
        <f t="shared" si="339"/>
        <v>-226.66432833480224</v>
      </c>
      <c r="F1974" s="1">
        <f t="shared" si="340"/>
        <v>-227.24094169910623</v>
      </c>
      <c r="G1974" s="1">
        <f t="shared" si="337"/>
        <v>2.0441509242357079E-99</v>
      </c>
      <c r="H1974" s="1">
        <f t="shared" si="330"/>
        <v>2.1176970950547698E-100</v>
      </c>
      <c r="I1974">
        <f t="shared" si="331"/>
        <v>8</v>
      </c>
      <c r="J1974">
        <f t="shared" si="332"/>
        <v>1941</v>
      </c>
      <c r="K1974" s="5">
        <f t="shared" si="333"/>
        <v>0</v>
      </c>
      <c r="L1974">
        <f t="shared" si="334"/>
        <v>53.4</v>
      </c>
      <c r="M1974">
        <f t="shared" si="335"/>
        <v>1</v>
      </c>
      <c r="N1974">
        <f t="shared" si="336"/>
        <v>0</v>
      </c>
    </row>
    <row r="1975" spans="4:14" x14ac:dyDescent="0.2">
      <c r="D1975">
        <f t="shared" si="338"/>
        <v>1952</v>
      </c>
      <c r="E1975" s="1">
        <f t="shared" si="339"/>
        <v>-226.78086215105819</v>
      </c>
      <c r="F1975" s="1">
        <f t="shared" si="340"/>
        <v>-227.35747551536218</v>
      </c>
      <c r="G1975" s="1">
        <f t="shared" si="337"/>
        <v>1.819294322569779E-99</v>
      </c>
      <c r="H1975" s="1">
        <f t="shared" si="330"/>
        <v>1.8847504145987441E-100</v>
      </c>
      <c r="I1975">
        <f t="shared" si="331"/>
        <v>8</v>
      </c>
      <c r="J1975">
        <f t="shared" si="332"/>
        <v>1942</v>
      </c>
      <c r="K1975" s="5">
        <f t="shared" si="333"/>
        <v>0</v>
      </c>
      <c r="L1975">
        <f t="shared" si="334"/>
        <v>53.4</v>
      </c>
      <c r="M1975">
        <f t="shared" si="335"/>
        <v>1</v>
      </c>
      <c r="N1975">
        <f t="shared" si="336"/>
        <v>0</v>
      </c>
    </row>
    <row r="1976" spans="4:14" x14ac:dyDescent="0.2">
      <c r="D1976">
        <f t="shared" si="338"/>
        <v>1953</v>
      </c>
      <c r="E1976" s="1">
        <f t="shared" si="339"/>
        <v>-226.89739596731414</v>
      </c>
      <c r="F1976" s="1">
        <f t="shared" si="340"/>
        <v>-227.47400933161813</v>
      </c>
      <c r="G1976" s="1">
        <f t="shared" si="337"/>
        <v>1.6191719470871023E-99</v>
      </c>
      <c r="H1976" s="1">
        <f t="shared" si="330"/>
        <v>1.6774278689928812E-100</v>
      </c>
      <c r="I1976">
        <f t="shared" si="331"/>
        <v>8</v>
      </c>
      <c r="J1976">
        <f t="shared" si="332"/>
        <v>1943</v>
      </c>
      <c r="K1976" s="5">
        <f t="shared" si="333"/>
        <v>0</v>
      </c>
      <c r="L1976">
        <f t="shared" si="334"/>
        <v>53.4</v>
      </c>
      <c r="M1976">
        <f t="shared" si="335"/>
        <v>1</v>
      </c>
      <c r="N1976">
        <f t="shared" si="336"/>
        <v>0</v>
      </c>
    </row>
    <row r="1977" spans="4:14" x14ac:dyDescent="0.2">
      <c r="D1977">
        <f t="shared" si="338"/>
        <v>1954</v>
      </c>
      <c r="E1977" s="1">
        <f t="shared" si="339"/>
        <v>-227.01392978357009</v>
      </c>
      <c r="F1977" s="1">
        <f t="shared" si="340"/>
        <v>-227.59054314787409</v>
      </c>
      <c r="G1977" s="1">
        <f t="shared" si="337"/>
        <v>1.4410630329075201E-99</v>
      </c>
      <c r="H1977" s="1">
        <f t="shared" si="330"/>
        <v>1.4929108034036633E-100</v>
      </c>
      <c r="I1977">
        <f t="shared" si="331"/>
        <v>8</v>
      </c>
      <c r="J1977">
        <f t="shared" si="332"/>
        <v>1944</v>
      </c>
      <c r="K1977" s="5">
        <f t="shared" si="333"/>
        <v>0</v>
      </c>
      <c r="L1977">
        <f t="shared" si="334"/>
        <v>53.4</v>
      </c>
      <c r="M1977">
        <f t="shared" si="335"/>
        <v>1</v>
      </c>
      <c r="N1977">
        <f t="shared" si="336"/>
        <v>0</v>
      </c>
    </row>
    <row r="1978" spans="4:14" x14ac:dyDescent="0.2">
      <c r="D1978">
        <f t="shared" si="338"/>
        <v>1955</v>
      </c>
      <c r="E1978" s="1">
        <f t="shared" si="339"/>
        <v>-227.13046359982604</v>
      </c>
      <c r="F1978" s="1">
        <f t="shared" si="340"/>
        <v>-227.70707696413004</v>
      </c>
      <c r="G1978" s="1">
        <f t="shared" si="337"/>
        <v>1.2825460992876922E-99</v>
      </c>
      <c r="H1978" s="1">
        <f t="shared" si="330"/>
        <v>1.3286906150292596E-100</v>
      </c>
      <c r="I1978">
        <f t="shared" si="331"/>
        <v>8</v>
      </c>
      <c r="J1978">
        <f t="shared" si="332"/>
        <v>1945</v>
      </c>
      <c r="K1978" s="5">
        <f t="shared" si="333"/>
        <v>0</v>
      </c>
      <c r="L1978">
        <f t="shared" si="334"/>
        <v>53.4</v>
      </c>
      <c r="M1978">
        <f t="shared" si="335"/>
        <v>1</v>
      </c>
      <c r="N1978">
        <f t="shared" si="336"/>
        <v>0</v>
      </c>
    </row>
    <row r="1979" spans="4:14" x14ac:dyDescent="0.2">
      <c r="D1979">
        <f t="shared" si="338"/>
        <v>1956</v>
      </c>
      <c r="E1979" s="1">
        <f t="shared" si="339"/>
        <v>-227.246997416082</v>
      </c>
      <c r="F1979" s="1">
        <f t="shared" si="340"/>
        <v>-227.82361078038599</v>
      </c>
      <c r="G1979" s="1">
        <f t="shared" si="337"/>
        <v>1.1414660283660453E-99</v>
      </c>
      <c r="H1979" s="1">
        <f t="shared" si="330"/>
        <v>1.1825346473760403E-100</v>
      </c>
      <c r="I1979">
        <f t="shared" si="331"/>
        <v>8</v>
      </c>
      <c r="J1979">
        <f t="shared" si="332"/>
        <v>1946</v>
      </c>
      <c r="K1979" s="5">
        <f t="shared" si="333"/>
        <v>0</v>
      </c>
      <c r="L1979">
        <f t="shared" si="334"/>
        <v>53.4</v>
      </c>
      <c r="M1979">
        <f t="shared" si="335"/>
        <v>1</v>
      </c>
      <c r="N1979">
        <f t="shared" si="336"/>
        <v>0</v>
      </c>
    </row>
    <row r="1980" spans="4:14" x14ac:dyDescent="0.2">
      <c r="D1980">
        <f t="shared" si="338"/>
        <v>1957</v>
      </c>
      <c r="E1980" s="1">
        <f t="shared" si="339"/>
        <v>-227.36353123233795</v>
      </c>
      <c r="F1980" s="1">
        <f t="shared" si="340"/>
        <v>-227.94014459664194</v>
      </c>
      <c r="G1980" s="1">
        <f t="shared" si="337"/>
        <v>1.0159047652457796E-99</v>
      </c>
      <c r="H1980" s="1">
        <f t="shared" si="330"/>
        <v>1.0524558361646751E-100</v>
      </c>
      <c r="I1980">
        <f t="shared" si="331"/>
        <v>8</v>
      </c>
      <c r="J1980">
        <f t="shared" si="332"/>
        <v>1947</v>
      </c>
      <c r="K1980" s="5">
        <f t="shared" si="333"/>
        <v>0</v>
      </c>
      <c r="L1980">
        <f t="shared" si="334"/>
        <v>53.4</v>
      </c>
      <c r="M1980">
        <f t="shared" si="335"/>
        <v>1</v>
      </c>
      <c r="N1980">
        <f t="shared" si="336"/>
        <v>0</v>
      </c>
    </row>
    <row r="1981" spans="4:14" x14ac:dyDescent="0.2">
      <c r="D1981">
        <f t="shared" si="338"/>
        <v>1958</v>
      </c>
      <c r="E1981" s="1">
        <f t="shared" si="339"/>
        <v>-227.4800650485939</v>
      </c>
      <c r="F1981" s="1">
        <f t="shared" si="340"/>
        <v>-228.0566784128979</v>
      </c>
      <c r="G1981" s="1">
        <f t="shared" si="337"/>
        <v>9.0415524106874331E-100</v>
      </c>
      <c r="H1981" s="1">
        <f t="shared" si="330"/>
        <v>9.3668569418656022E-101</v>
      </c>
      <c r="I1981">
        <f t="shared" si="331"/>
        <v>8</v>
      </c>
      <c r="J1981">
        <f t="shared" si="332"/>
        <v>1948</v>
      </c>
      <c r="K1981" s="5">
        <f t="shared" si="333"/>
        <v>0</v>
      </c>
      <c r="L1981">
        <f t="shared" si="334"/>
        <v>53.4</v>
      </c>
      <c r="M1981">
        <f t="shared" si="335"/>
        <v>1</v>
      </c>
      <c r="N1981">
        <f t="shared" si="336"/>
        <v>0</v>
      </c>
    </row>
    <row r="1982" spans="4:14" x14ac:dyDescent="0.2">
      <c r="D1982">
        <f t="shared" si="338"/>
        <v>1959</v>
      </c>
      <c r="E1982" s="1">
        <f t="shared" si="339"/>
        <v>-227.59659886484985</v>
      </c>
      <c r="F1982" s="1">
        <f t="shared" si="340"/>
        <v>-228.17321222915385</v>
      </c>
      <c r="G1982" s="1">
        <f t="shared" si="337"/>
        <v>8.0469816455118105E-100</v>
      </c>
      <c r="H1982" s="1">
        <f t="shared" si="330"/>
        <v>8.3365026782603809E-101</v>
      </c>
      <c r="I1982">
        <f t="shared" si="331"/>
        <v>8</v>
      </c>
      <c r="J1982">
        <f t="shared" si="332"/>
        <v>1949</v>
      </c>
      <c r="K1982" s="5">
        <f t="shared" si="333"/>
        <v>0</v>
      </c>
      <c r="L1982">
        <f t="shared" si="334"/>
        <v>53.4</v>
      </c>
      <c r="M1982">
        <f t="shared" si="335"/>
        <v>1</v>
      </c>
      <c r="N1982">
        <f t="shared" si="336"/>
        <v>0</v>
      </c>
    </row>
    <row r="1983" spans="4:14" x14ac:dyDescent="0.2">
      <c r="D1983">
        <f t="shared" si="338"/>
        <v>1960</v>
      </c>
      <c r="E1983" s="1">
        <f t="shared" si="339"/>
        <v>-227.7131326811058</v>
      </c>
      <c r="F1983" s="1">
        <f t="shared" si="340"/>
        <v>-228.2897460454098</v>
      </c>
      <c r="G1983" s="1">
        <f t="shared" si="337"/>
        <v>7.161813664505507E-100</v>
      </c>
      <c r="H1983" s="1">
        <f t="shared" si="330"/>
        <v>7.4194873836517344E-101</v>
      </c>
      <c r="I1983">
        <f t="shared" si="331"/>
        <v>8</v>
      </c>
      <c r="J1983">
        <f t="shared" si="332"/>
        <v>1950</v>
      </c>
      <c r="K1983" s="5">
        <f t="shared" si="333"/>
        <v>0</v>
      </c>
      <c r="L1983">
        <f t="shared" si="334"/>
        <v>53.4</v>
      </c>
      <c r="M1983">
        <f t="shared" si="335"/>
        <v>1</v>
      </c>
      <c r="N1983">
        <f t="shared" si="336"/>
        <v>0</v>
      </c>
    </row>
    <row r="1984" spans="4:14" x14ac:dyDescent="0.2">
      <c r="D1984">
        <f t="shared" si="338"/>
        <v>1961</v>
      </c>
      <c r="E1984" s="1">
        <f t="shared" si="339"/>
        <v>-227.82966649736176</v>
      </c>
      <c r="F1984" s="1">
        <f t="shared" si="340"/>
        <v>-228.40627986166575</v>
      </c>
      <c r="G1984" s="1">
        <f t="shared" si="337"/>
        <v>6.374014161409897E-100</v>
      </c>
      <c r="H1984" s="1">
        <f t="shared" si="330"/>
        <v>6.6033437714500396E-101</v>
      </c>
      <c r="I1984">
        <f t="shared" si="331"/>
        <v>8</v>
      </c>
      <c r="J1984">
        <f t="shared" si="332"/>
        <v>1951</v>
      </c>
      <c r="K1984" s="5">
        <f t="shared" si="333"/>
        <v>0</v>
      </c>
      <c r="L1984">
        <f t="shared" si="334"/>
        <v>53.4</v>
      </c>
      <c r="M1984">
        <f t="shared" si="335"/>
        <v>1</v>
      </c>
      <c r="N1984">
        <f t="shared" si="336"/>
        <v>0</v>
      </c>
    </row>
    <row r="1985" spans="4:14" x14ac:dyDescent="0.2">
      <c r="D1985">
        <f t="shared" si="338"/>
        <v>1962</v>
      </c>
      <c r="E1985" s="1">
        <f t="shared" si="339"/>
        <v>-227.94620031361771</v>
      </c>
      <c r="F1985" s="1">
        <f t="shared" si="340"/>
        <v>-228.5228136779217</v>
      </c>
      <c r="G1985" s="1">
        <f t="shared" si="337"/>
        <v>5.6728726036548053E-100</v>
      </c>
      <c r="H1985" s="1">
        <f t="shared" si="330"/>
        <v>5.8769759565905317E-101</v>
      </c>
      <c r="I1985">
        <f t="shared" si="331"/>
        <v>8</v>
      </c>
      <c r="J1985">
        <f t="shared" si="332"/>
        <v>1952</v>
      </c>
      <c r="K1985" s="5">
        <f t="shared" si="333"/>
        <v>0</v>
      </c>
      <c r="L1985">
        <f t="shared" si="334"/>
        <v>53.4</v>
      </c>
      <c r="M1985">
        <f t="shared" si="335"/>
        <v>1</v>
      </c>
      <c r="N1985">
        <f t="shared" si="336"/>
        <v>0</v>
      </c>
    </row>
    <row r="1986" spans="4:14" x14ac:dyDescent="0.2">
      <c r="D1986">
        <f t="shared" si="338"/>
        <v>1963</v>
      </c>
      <c r="E1986" s="1">
        <f t="shared" si="339"/>
        <v>-228.06273412987366</v>
      </c>
      <c r="F1986" s="1">
        <f t="shared" si="340"/>
        <v>-228.63934749417766</v>
      </c>
      <c r="G1986" s="1">
        <f t="shared" si="337"/>
        <v>5.0488566172527732E-100</v>
      </c>
      <c r="H1986" s="1">
        <f t="shared" si="330"/>
        <v>5.2305086013655697E-101</v>
      </c>
      <c r="I1986">
        <f t="shared" si="331"/>
        <v>8</v>
      </c>
      <c r="J1986">
        <f t="shared" si="332"/>
        <v>1953</v>
      </c>
      <c r="K1986" s="5">
        <f t="shared" si="333"/>
        <v>0</v>
      </c>
      <c r="L1986">
        <f t="shared" si="334"/>
        <v>53.4</v>
      </c>
      <c r="M1986">
        <f t="shared" si="335"/>
        <v>1</v>
      </c>
      <c r="N1986">
        <f t="shared" si="336"/>
        <v>0</v>
      </c>
    </row>
    <row r="1987" spans="4:14" x14ac:dyDescent="0.2">
      <c r="D1987">
        <f t="shared" si="338"/>
        <v>1964</v>
      </c>
      <c r="E1987" s="1">
        <f t="shared" si="339"/>
        <v>-228.17926794612961</v>
      </c>
      <c r="F1987" s="1">
        <f t="shared" si="340"/>
        <v>-228.75588131043361</v>
      </c>
      <c r="G1987" s="1">
        <f t="shared" si="337"/>
        <v>4.493482389354965E-100</v>
      </c>
      <c r="H1987" s="1">
        <f t="shared" si="330"/>
        <v>4.6551526552153542E-101</v>
      </c>
      <c r="I1987">
        <f t="shared" si="331"/>
        <v>8</v>
      </c>
      <c r="J1987">
        <f t="shared" si="332"/>
        <v>1954</v>
      </c>
      <c r="K1987" s="5">
        <f t="shared" si="333"/>
        <v>0</v>
      </c>
      <c r="L1987">
        <f t="shared" si="334"/>
        <v>53.4</v>
      </c>
      <c r="M1987">
        <f t="shared" si="335"/>
        <v>1</v>
      </c>
      <c r="N1987">
        <f t="shared" si="336"/>
        <v>0</v>
      </c>
    </row>
    <row r="1988" spans="4:14" x14ac:dyDescent="0.2">
      <c r="D1988">
        <f t="shared" si="338"/>
        <v>1965</v>
      </c>
      <c r="E1988" s="1">
        <f t="shared" si="339"/>
        <v>-228.29580176238557</v>
      </c>
      <c r="F1988" s="1">
        <f t="shared" si="340"/>
        <v>-228.87241512668956</v>
      </c>
      <c r="G1988" s="1">
        <f t="shared" si="337"/>
        <v>3.9991993265259168E-100</v>
      </c>
      <c r="H1988" s="1">
        <f t="shared" si="330"/>
        <v>4.143085863141663E-101</v>
      </c>
      <c r="I1988">
        <f t="shared" si="331"/>
        <v>8</v>
      </c>
      <c r="J1988">
        <f t="shared" si="332"/>
        <v>1955</v>
      </c>
      <c r="K1988" s="5">
        <f t="shared" si="333"/>
        <v>0</v>
      </c>
      <c r="L1988">
        <f t="shared" si="334"/>
        <v>53.4</v>
      </c>
      <c r="M1988">
        <f t="shared" si="335"/>
        <v>1</v>
      </c>
      <c r="N1988">
        <f t="shared" si="336"/>
        <v>0</v>
      </c>
    </row>
    <row r="1989" spans="4:14" x14ac:dyDescent="0.2">
      <c r="D1989">
        <f t="shared" si="338"/>
        <v>1966</v>
      </c>
      <c r="E1989" s="1">
        <f t="shared" si="339"/>
        <v>-228.41233557864152</v>
      </c>
      <c r="F1989" s="1">
        <f t="shared" si="340"/>
        <v>-228.98894894294551</v>
      </c>
      <c r="G1989" s="1">
        <f t="shared" si="337"/>
        <v>3.5592874006080636E-100</v>
      </c>
      <c r="H1989" s="1">
        <f t="shared" si="330"/>
        <v>3.6873464181960773E-101</v>
      </c>
      <c r="I1989">
        <f t="shared" si="331"/>
        <v>8</v>
      </c>
      <c r="J1989">
        <f t="shared" si="332"/>
        <v>1956</v>
      </c>
      <c r="K1989" s="5">
        <f t="shared" si="333"/>
        <v>0</v>
      </c>
      <c r="L1989">
        <f t="shared" si="334"/>
        <v>53.4</v>
      </c>
      <c r="M1989">
        <f t="shared" si="335"/>
        <v>1</v>
      </c>
      <c r="N1989">
        <f t="shared" si="336"/>
        <v>0</v>
      </c>
    </row>
    <row r="1990" spans="4:14" x14ac:dyDescent="0.2">
      <c r="D1990">
        <f t="shared" si="338"/>
        <v>1967</v>
      </c>
      <c r="E1990" s="1">
        <f t="shared" si="339"/>
        <v>-228.52886939489747</v>
      </c>
      <c r="F1990" s="1">
        <f t="shared" si="340"/>
        <v>-229.10548275920146</v>
      </c>
      <c r="G1990" s="1">
        <f t="shared" si="337"/>
        <v>3.1677657865411743E-100</v>
      </c>
      <c r="H1990" s="1">
        <f t="shared" si="330"/>
        <v>3.2817383121945064E-101</v>
      </c>
      <c r="I1990">
        <f t="shared" si="331"/>
        <v>8</v>
      </c>
      <c r="J1990">
        <f t="shared" si="332"/>
        <v>1957</v>
      </c>
      <c r="K1990" s="5">
        <f t="shared" si="333"/>
        <v>0</v>
      </c>
      <c r="L1990">
        <f t="shared" si="334"/>
        <v>53.4</v>
      </c>
      <c r="M1990">
        <f t="shared" si="335"/>
        <v>1</v>
      </c>
      <c r="N1990">
        <f t="shared" si="336"/>
        <v>0</v>
      </c>
    </row>
    <row r="1991" spans="4:14" x14ac:dyDescent="0.2">
      <c r="D1991">
        <f t="shared" si="338"/>
        <v>1968</v>
      </c>
      <c r="E1991" s="1">
        <f t="shared" si="339"/>
        <v>-228.64540321115342</v>
      </c>
      <c r="F1991" s="1">
        <f t="shared" si="340"/>
        <v>-229.22201657545742</v>
      </c>
      <c r="G1991" s="1">
        <f t="shared" si="337"/>
        <v>2.8193115500216435E-100</v>
      </c>
      <c r="H1991" s="1">
        <f t="shared" si="330"/>
        <v>2.9207470978531092E-101</v>
      </c>
      <c r="I1991">
        <f t="shared" si="331"/>
        <v>8</v>
      </c>
      <c r="J1991">
        <f t="shared" si="332"/>
        <v>1958</v>
      </c>
      <c r="K1991" s="5">
        <f t="shared" si="333"/>
        <v>0</v>
      </c>
      <c r="L1991">
        <f t="shared" si="334"/>
        <v>53.4</v>
      </c>
      <c r="M1991">
        <f t="shared" si="335"/>
        <v>1</v>
      </c>
      <c r="N1991">
        <f t="shared" si="336"/>
        <v>0</v>
      </c>
    </row>
    <row r="1992" spans="4:14" x14ac:dyDescent="0.2">
      <c r="D1992">
        <f t="shared" si="338"/>
        <v>1969</v>
      </c>
      <c r="E1992" s="1">
        <f t="shared" si="339"/>
        <v>-228.76193702740937</v>
      </c>
      <c r="F1992" s="1">
        <f t="shared" si="340"/>
        <v>-229.33855039171337</v>
      </c>
      <c r="G1992" s="1">
        <f t="shared" si="337"/>
        <v>2.5091872795192613E-100</v>
      </c>
      <c r="H1992" s="1">
        <f t="shared" si="330"/>
        <v>2.5994649170892658E-101</v>
      </c>
      <c r="I1992">
        <f t="shared" si="331"/>
        <v>8</v>
      </c>
      <c r="J1992">
        <f t="shared" si="332"/>
        <v>1959</v>
      </c>
      <c r="K1992" s="5">
        <f t="shared" si="333"/>
        <v>0</v>
      </c>
      <c r="L1992">
        <f t="shared" si="334"/>
        <v>53.4</v>
      </c>
      <c r="M1992">
        <f t="shared" si="335"/>
        <v>1</v>
      </c>
      <c r="N1992">
        <f t="shared" si="336"/>
        <v>0</v>
      </c>
    </row>
    <row r="1993" spans="4:14" x14ac:dyDescent="0.2">
      <c r="D1993">
        <f t="shared" si="338"/>
        <v>1970</v>
      </c>
      <c r="E1993" s="1">
        <f t="shared" si="339"/>
        <v>-228.87847084366533</v>
      </c>
      <c r="F1993" s="1">
        <f t="shared" si="340"/>
        <v>-229.45508420796932</v>
      </c>
      <c r="G1993" s="1">
        <f t="shared" si="337"/>
        <v>2.2331766787721409E-100</v>
      </c>
      <c r="H1993" s="1">
        <f t="shared" si="330"/>
        <v>2.3135237762094448E-101</v>
      </c>
      <c r="I1993">
        <f t="shared" si="331"/>
        <v>8</v>
      </c>
      <c r="J1993">
        <f t="shared" si="332"/>
        <v>1960</v>
      </c>
      <c r="K1993" s="5">
        <f t="shared" si="333"/>
        <v>0</v>
      </c>
      <c r="L1993">
        <f t="shared" si="334"/>
        <v>53.4</v>
      </c>
      <c r="M1993">
        <f t="shared" si="335"/>
        <v>1</v>
      </c>
      <c r="N1993">
        <f t="shared" si="336"/>
        <v>0</v>
      </c>
    </row>
    <row r="1994" spans="4:14" x14ac:dyDescent="0.2">
      <c r="D1994">
        <f t="shared" si="338"/>
        <v>1971</v>
      </c>
      <c r="E1994" s="1">
        <f t="shared" si="339"/>
        <v>-228.99500465992128</v>
      </c>
      <c r="F1994" s="1">
        <f t="shared" si="340"/>
        <v>-229.57161802422527</v>
      </c>
      <c r="G1994" s="1">
        <f t="shared" si="337"/>
        <v>1.9875272441072041E-100</v>
      </c>
      <c r="H1994" s="1">
        <f t="shared" si="330"/>
        <v>2.0590361608264044E-101</v>
      </c>
      <c r="I1994">
        <f t="shared" si="331"/>
        <v>8</v>
      </c>
      <c r="J1994">
        <f t="shared" si="332"/>
        <v>1961</v>
      </c>
      <c r="K1994" s="5">
        <f t="shared" si="333"/>
        <v>0</v>
      </c>
      <c r="L1994">
        <f t="shared" si="334"/>
        <v>53.4</v>
      </c>
      <c r="M1994">
        <f t="shared" si="335"/>
        <v>1</v>
      </c>
      <c r="N1994">
        <f t="shared" si="336"/>
        <v>0</v>
      </c>
    </row>
    <row r="1995" spans="4:14" x14ac:dyDescent="0.2">
      <c r="D1995">
        <f t="shared" si="338"/>
        <v>1972</v>
      </c>
      <c r="E1995" s="1">
        <f t="shared" si="339"/>
        <v>-229.11153847617723</v>
      </c>
      <c r="F1995" s="1">
        <f t="shared" si="340"/>
        <v>-229.68815184048123</v>
      </c>
      <c r="G1995" s="1">
        <f t="shared" si="337"/>
        <v>1.7688992472554106E-100</v>
      </c>
      <c r="H1995" s="1">
        <f t="shared" si="330"/>
        <v>1.832542183135499E-101</v>
      </c>
      <c r="I1995">
        <f t="shared" si="331"/>
        <v>8</v>
      </c>
      <c r="J1995">
        <f t="shared" si="332"/>
        <v>1962</v>
      </c>
      <c r="K1995" s="5">
        <f t="shared" si="333"/>
        <v>0</v>
      </c>
      <c r="L1995">
        <f t="shared" si="334"/>
        <v>53.4</v>
      </c>
      <c r="M1995">
        <f t="shared" si="335"/>
        <v>1</v>
      </c>
      <c r="N1995">
        <f t="shared" si="336"/>
        <v>0</v>
      </c>
    </row>
    <row r="1996" spans="4:14" x14ac:dyDescent="0.2">
      <c r="D1996">
        <f t="shared" si="338"/>
        <v>1973</v>
      </c>
      <c r="E1996" s="1">
        <f t="shared" si="339"/>
        <v>-229.22807229243318</v>
      </c>
      <c r="F1996" s="1">
        <f t="shared" si="340"/>
        <v>-229.80468565673718</v>
      </c>
      <c r="G1996" s="1">
        <f t="shared" si="337"/>
        <v>1.5743203300573146E-100</v>
      </c>
      <c r="H1996" s="1">
        <f t="shared" si="330"/>
        <v>1.6309625429905932E-101</v>
      </c>
      <c r="I1996">
        <f t="shared" si="331"/>
        <v>8</v>
      </c>
      <c r="J1996">
        <f t="shared" si="332"/>
        <v>1963</v>
      </c>
      <c r="K1996" s="5">
        <f t="shared" si="333"/>
        <v>0</v>
      </c>
      <c r="L1996">
        <f t="shared" si="334"/>
        <v>53.4</v>
      </c>
      <c r="M1996">
        <f t="shared" si="335"/>
        <v>1</v>
      </c>
      <c r="N1996">
        <f t="shared" si="336"/>
        <v>0</v>
      </c>
    </row>
    <row r="1997" spans="4:14" x14ac:dyDescent="0.2">
      <c r="D1997">
        <f t="shared" si="338"/>
        <v>1974</v>
      </c>
      <c r="E1997" s="1">
        <f t="shared" si="339"/>
        <v>-229.34460610868913</v>
      </c>
      <c r="F1997" s="1">
        <f t="shared" si="340"/>
        <v>-229.92121947299313</v>
      </c>
      <c r="G1997" s="1">
        <f t="shared" si="337"/>
        <v>1.401145093751009E-100</v>
      </c>
      <c r="H1997" s="1">
        <f t="shared" si="330"/>
        <v>1.4515566632616268E-101</v>
      </c>
      <c r="I1997">
        <f t="shared" si="331"/>
        <v>8</v>
      </c>
      <c r="J1997">
        <f t="shared" si="332"/>
        <v>1964</v>
      </c>
      <c r="K1997" s="5">
        <f t="shared" si="333"/>
        <v>0</v>
      </c>
      <c r="L1997">
        <f t="shared" si="334"/>
        <v>53.4</v>
      </c>
      <c r="M1997">
        <f t="shared" si="335"/>
        <v>1</v>
      </c>
      <c r="N1997">
        <f t="shared" si="336"/>
        <v>0</v>
      </c>
    </row>
    <row r="1998" spans="4:14" x14ac:dyDescent="0.2">
      <c r="D1998">
        <f t="shared" si="338"/>
        <v>1975</v>
      </c>
      <c r="E1998" s="1">
        <f t="shared" si="339"/>
        <v>-229.46113992494509</v>
      </c>
      <c r="F1998" s="1">
        <f t="shared" si="340"/>
        <v>-230.03775328924908</v>
      </c>
      <c r="G1998" s="1">
        <f t="shared" si="337"/>
        <v>1.2470191334383972E-100</v>
      </c>
      <c r="H1998" s="1">
        <f t="shared" si="330"/>
        <v>1.2918854303028471E-101</v>
      </c>
      <c r="I1998">
        <f t="shared" si="331"/>
        <v>8</v>
      </c>
      <c r="J1998">
        <f t="shared" si="332"/>
        <v>1965</v>
      </c>
      <c r="K1998" s="5">
        <f t="shared" si="333"/>
        <v>0</v>
      </c>
      <c r="L1998">
        <f t="shared" si="334"/>
        <v>53.4</v>
      </c>
      <c r="M1998">
        <f t="shared" si="335"/>
        <v>1</v>
      </c>
      <c r="N1998">
        <f t="shared" si="336"/>
        <v>0</v>
      </c>
    </row>
    <row r="1999" spans="4:14" x14ac:dyDescent="0.2">
      <c r="D1999">
        <f t="shared" si="338"/>
        <v>1976</v>
      </c>
      <c r="E1999" s="1">
        <f t="shared" si="339"/>
        <v>-229.57767374120104</v>
      </c>
      <c r="F1999" s="1">
        <f t="shared" si="340"/>
        <v>-230.15428710550503</v>
      </c>
      <c r="G1999" s="1">
        <f t="shared" si="337"/>
        <v>1.1098470287601728E-100</v>
      </c>
      <c r="H1999" s="1">
        <f t="shared" si="330"/>
        <v>1.1497780329695331E-101</v>
      </c>
      <c r="I1999">
        <f t="shared" si="331"/>
        <v>8</v>
      </c>
      <c r="J1999">
        <f t="shared" si="332"/>
        <v>1966</v>
      </c>
      <c r="K1999" s="5">
        <f t="shared" si="333"/>
        <v>0</v>
      </c>
      <c r="L1999">
        <f t="shared" si="334"/>
        <v>53.4</v>
      </c>
      <c r="M1999">
        <f t="shared" si="335"/>
        <v>1</v>
      </c>
      <c r="N1999">
        <f t="shared" si="336"/>
        <v>0</v>
      </c>
    </row>
    <row r="2000" spans="4:14" x14ac:dyDescent="0.2">
      <c r="D2000">
        <f t="shared" si="338"/>
        <v>1977</v>
      </c>
      <c r="E2000" s="1">
        <f t="shared" si="339"/>
        <v>-229.69420755745699</v>
      </c>
      <c r="F2000" s="1">
        <f t="shared" si="340"/>
        <v>-230.27082092176099</v>
      </c>
      <c r="G2000" s="1">
        <f t="shared" si="337"/>
        <v>9.8776385559655318E-101</v>
      </c>
      <c r="H2000" s="1">
        <f t="shared" si="330"/>
        <v>1.023302449342884E-101</v>
      </c>
      <c r="I2000">
        <f t="shared" si="331"/>
        <v>8</v>
      </c>
      <c r="J2000">
        <f t="shared" si="332"/>
        <v>1967</v>
      </c>
      <c r="K2000" s="5">
        <f t="shared" si="333"/>
        <v>0</v>
      </c>
      <c r="L2000">
        <f t="shared" si="334"/>
        <v>53.4</v>
      </c>
      <c r="M2000">
        <f t="shared" si="335"/>
        <v>1</v>
      </c>
      <c r="N2000">
        <f t="shared" si="336"/>
        <v>0</v>
      </c>
    </row>
    <row r="2001" spans="4:14" x14ac:dyDescent="0.2">
      <c r="D2001">
        <f t="shared" si="338"/>
        <v>1978</v>
      </c>
      <c r="E2001" s="1">
        <f t="shared" si="339"/>
        <v>-229.81074137371294</v>
      </c>
      <c r="F2001" s="1">
        <f t="shared" si="340"/>
        <v>-230.38735473801694</v>
      </c>
      <c r="G2001" s="1">
        <f t="shared" si="337"/>
        <v>8.7910983148093177E-101</v>
      </c>
      <c r="H2001" s="1">
        <f t="shared" si="330"/>
        <v>9.1073917991516607E-102</v>
      </c>
      <c r="I2001">
        <f t="shared" si="331"/>
        <v>8</v>
      </c>
      <c r="J2001">
        <f t="shared" si="332"/>
        <v>1968</v>
      </c>
      <c r="K2001" s="5">
        <f t="shared" si="333"/>
        <v>0</v>
      </c>
      <c r="L2001">
        <f t="shared" si="334"/>
        <v>53.4</v>
      </c>
      <c r="M2001">
        <f t="shared" si="335"/>
        <v>1</v>
      </c>
      <c r="N2001">
        <f t="shared" si="336"/>
        <v>0</v>
      </c>
    </row>
    <row r="2002" spans="4:14" x14ac:dyDescent="0.2">
      <c r="D2002">
        <f t="shared" si="338"/>
        <v>1979</v>
      </c>
      <c r="E2002" s="1">
        <f t="shared" si="339"/>
        <v>-229.9272751899689</v>
      </c>
      <c r="F2002" s="1">
        <f t="shared" si="340"/>
        <v>-230.50388855427289</v>
      </c>
      <c r="G2002" s="1">
        <f t="shared" si="337"/>
        <v>7.8240775001802884E-101</v>
      </c>
      <c r="H2002" s="1">
        <f t="shared" si="330"/>
        <v>8.1055787012449735E-102</v>
      </c>
      <c r="I2002">
        <f t="shared" si="331"/>
        <v>8</v>
      </c>
      <c r="J2002">
        <f t="shared" si="332"/>
        <v>1969</v>
      </c>
      <c r="K2002" s="5">
        <f t="shared" si="333"/>
        <v>0</v>
      </c>
      <c r="L2002">
        <f t="shared" si="334"/>
        <v>53.4</v>
      </c>
      <c r="M2002">
        <f t="shared" si="335"/>
        <v>1</v>
      </c>
      <c r="N2002">
        <f t="shared" si="336"/>
        <v>0</v>
      </c>
    </row>
    <row r="2003" spans="4:14" x14ac:dyDescent="0.2">
      <c r="D2003">
        <f t="shared" si="338"/>
        <v>1980</v>
      </c>
      <c r="E2003" s="1">
        <f t="shared" si="339"/>
        <v>-230.04380900622485</v>
      </c>
      <c r="F2003" s="1">
        <f t="shared" si="340"/>
        <v>-230.62042237052884</v>
      </c>
      <c r="G2003" s="1">
        <f t="shared" si="337"/>
        <v>6.9634289751604523E-101</v>
      </c>
      <c r="H2003" s="1">
        <f t="shared" si="330"/>
        <v>7.2139650441080215E-102</v>
      </c>
      <c r="I2003">
        <f t="shared" si="331"/>
        <v>8</v>
      </c>
      <c r="J2003">
        <f t="shared" si="332"/>
        <v>1970</v>
      </c>
      <c r="K2003" s="5">
        <f t="shared" si="333"/>
        <v>0</v>
      </c>
      <c r="L2003">
        <f t="shared" si="334"/>
        <v>53.4</v>
      </c>
      <c r="M2003">
        <f t="shared" si="335"/>
        <v>1</v>
      </c>
      <c r="N2003">
        <f t="shared" si="336"/>
        <v>0</v>
      </c>
    </row>
    <row r="2004" spans="4:14" x14ac:dyDescent="0.2">
      <c r="D2004">
        <f t="shared" si="338"/>
        <v>1981</v>
      </c>
      <c r="E2004" s="1">
        <f t="shared" si="339"/>
        <v>-230.1603428224808</v>
      </c>
      <c r="F2004" s="1">
        <f t="shared" si="340"/>
        <v>-230.73695618678479</v>
      </c>
      <c r="G2004" s="1">
        <f t="shared" si="337"/>
        <v>6.1974517878927987E-101</v>
      </c>
      <c r="H2004" s="1">
        <f t="shared" si="330"/>
        <v>6.4204288892561355E-102</v>
      </c>
      <c r="I2004">
        <f t="shared" si="331"/>
        <v>8</v>
      </c>
      <c r="J2004">
        <f t="shared" si="332"/>
        <v>1971</v>
      </c>
      <c r="K2004" s="5">
        <f t="shared" si="333"/>
        <v>0</v>
      </c>
      <c r="L2004">
        <f t="shared" si="334"/>
        <v>53.4</v>
      </c>
      <c r="M2004">
        <f t="shared" si="335"/>
        <v>1</v>
      </c>
      <c r="N2004">
        <f t="shared" si="336"/>
        <v>0</v>
      </c>
    </row>
    <row r="2005" spans="4:14" x14ac:dyDescent="0.2">
      <c r="D2005">
        <f t="shared" si="338"/>
        <v>1982</v>
      </c>
      <c r="E2005" s="1">
        <f t="shared" si="339"/>
        <v>-230.27687663873675</v>
      </c>
      <c r="F2005" s="1">
        <f t="shared" si="340"/>
        <v>-230.85349000304075</v>
      </c>
      <c r="G2005" s="1">
        <f t="shared" si="337"/>
        <v>5.5157320912245869E-101</v>
      </c>
      <c r="H2005" s="1">
        <f t="shared" si="330"/>
        <v>5.7141817114379566E-102</v>
      </c>
      <c r="I2005">
        <f t="shared" si="331"/>
        <v>8</v>
      </c>
      <c r="J2005">
        <f t="shared" si="332"/>
        <v>1972</v>
      </c>
      <c r="K2005" s="5">
        <f t="shared" si="333"/>
        <v>0</v>
      </c>
      <c r="L2005">
        <f t="shared" si="334"/>
        <v>53.4</v>
      </c>
      <c r="M2005">
        <f t="shared" si="335"/>
        <v>1</v>
      </c>
      <c r="N2005">
        <f t="shared" si="336"/>
        <v>0</v>
      </c>
    </row>
    <row r="2006" spans="4:14" x14ac:dyDescent="0.2">
      <c r="D2006">
        <f t="shared" si="338"/>
        <v>1983</v>
      </c>
      <c r="E2006" s="1">
        <f t="shared" si="339"/>
        <v>-230.3934104549927</v>
      </c>
      <c r="F2006" s="1">
        <f t="shared" si="340"/>
        <v>-230.9700238192967</v>
      </c>
      <c r="G2006" s="1">
        <f t="shared" si="337"/>
        <v>4.9090015611898794E-101</v>
      </c>
      <c r="H2006" s="1">
        <f t="shared" si="330"/>
        <v>5.0856217231797785E-102</v>
      </c>
      <c r="I2006">
        <f t="shared" si="331"/>
        <v>8</v>
      </c>
      <c r="J2006">
        <f t="shared" si="332"/>
        <v>1973</v>
      </c>
      <c r="K2006" s="5">
        <f t="shared" si="333"/>
        <v>0</v>
      </c>
      <c r="L2006">
        <f t="shared" si="334"/>
        <v>53.4</v>
      </c>
      <c r="M2006">
        <f t="shared" si="335"/>
        <v>1</v>
      </c>
      <c r="N2006">
        <f t="shared" si="336"/>
        <v>0</v>
      </c>
    </row>
    <row r="2007" spans="4:14" x14ac:dyDescent="0.2">
      <c r="D2007">
        <f t="shared" si="338"/>
        <v>1984</v>
      </c>
      <c r="E2007" s="1">
        <f t="shared" si="339"/>
        <v>-230.50994427124866</v>
      </c>
      <c r="F2007" s="1">
        <f t="shared" si="340"/>
        <v>-231.08655763555265</v>
      </c>
      <c r="G2007" s="1">
        <f t="shared" si="337"/>
        <v>4.3690113894589899E-101</v>
      </c>
      <c r="H2007" s="1">
        <f t="shared" ref="H2007:H2023" si="341">G2007/$G$21</f>
        <v>4.5262033336299996E-102</v>
      </c>
      <c r="I2007">
        <f t="shared" ref="I2007:I2023" si="342">IF($F$11&lt;=D2007, IF(D2007&lt;=$A$15,D2007-$F$11,$C$11),0)</f>
        <v>8</v>
      </c>
      <c r="J2007">
        <f t="shared" ref="J2007:J2023" si="343">IF(D2007&lt;=$A$15,0,D2007-$A$15)</f>
        <v>1974</v>
      </c>
      <c r="K2007" s="5">
        <f t="shared" ref="K2007:K2023" si="344">IF(D2007&lt;$F$11,H2007,0)</f>
        <v>0</v>
      </c>
      <c r="L2007">
        <f t="shared" ref="L2007:L2023" si="345">IF(D2007&lt;$A$15,$D$11,$D$11*(1-$H$11))</f>
        <v>53.4</v>
      </c>
      <c r="M2007">
        <f t="shared" ref="M2007:M2023" si="346">IF(D2007&lt;$A$15,0,1)</f>
        <v>1</v>
      </c>
      <c r="N2007">
        <f t="shared" ref="N2007:N2023" si="347">IF(SUM(I2007:J2007)&lt;=($G$11/60*$F$11/($E$11/60)),1,0)</f>
        <v>0</v>
      </c>
    </row>
    <row r="2008" spans="4:14" x14ac:dyDescent="0.2">
      <c r="D2008">
        <f t="shared" si="338"/>
        <v>1985</v>
      </c>
      <c r="E2008" s="1">
        <f t="shared" si="339"/>
        <v>-230.62647808750461</v>
      </c>
      <c r="F2008" s="1">
        <f t="shared" si="340"/>
        <v>-231.2030914518086</v>
      </c>
      <c r="G2008" s="1">
        <f t="shared" ref="G2008:G2023" si="348">EXP(F2008)</f>
        <v>3.8884201366184986E-101</v>
      </c>
      <c r="H2008" s="1">
        <f t="shared" si="341"/>
        <v>4.0283209669306978E-102</v>
      </c>
      <c r="I2008">
        <f t="shared" si="342"/>
        <v>8</v>
      </c>
      <c r="J2008">
        <f t="shared" si="343"/>
        <v>1975</v>
      </c>
      <c r="K2008" s="5">
        <f t="shared" si="344"/>
        <v>0</v>
      </c>
      <c r="L2008">
        <f t="shared" si="345"/>
        <v>53.4</v>
      </c>
      <c r="M2008">
        <f t="shared" si="346"/>
        <v>1</v>
      </c>
      <c r="N2008">
        <f t="shared" si="347"/>
        <v>0</v>
      </c>
    </row>
    <row r="2009" spans="4:14" x14ac:dyDescent="0.2">
      <c r="D2009">
        <f t="shared" ref="D2009:D2023" si="349">1+D2008</f>
        <v>1986</v>
      </c>
      <c r="E2009" s="1">
        <f t="shared" ref="E2009:E2023" si="350">IF($H$11=1,IF(D2009&lt;=$A$15, E2008+LN($D$11)-LN(60/$E$11)-LN(MIN(D2009,$F$11)), E2008-LN(60/$E$11)-LN(MIN(D2009,$F$11))), IF(D2009&lt;=$A$15, E2008+LN($D$11)-LN(60/$E$11)-LN(MIN(D2009,$F$11)), E2008+LN($D$11)+LN(1-$H$11)-LN(60/$E$11)-LN(MIN(D2009,$F$11))))</f>
        <v>-230.74301190376056</v>
      </c>
      <c r="F2009" s="1">
        <f t="shared" ref="F2009:F2023" si="351">E2009-$E$21</f>
        <v>-231.31962526806456</v>
      </c>
      <c r="G2009" s="1">
        <f t="shared" si="348"/>
        <v>3.4606939215904615E-101</v>
      </c>
      <c r="H2009" s="1">
        <f t="shared" si="341"/>
        <v>3.5852056605683182E-102</v>
      </c>
      <c r="I2009">
        <f t="shared" si="342"/>
        <v>8</v>
      </c>
      <c r="J2009">
        <f t="shared" si="343"/>
        <v>1976</v>
      </c>
      <c r="K2009" s="5">
        <f t="shared" si="344"/>
        <v>0</v>
      </c>
      <c r="L2009">
        <f t="shared" si="345"/>
        <v>53.4</v>
      </c>
      <c r="M2009">
        <f t="shared" si="346"/>
        <v>1</v>
      </c>
      <c r="N2009">
        <f t="shared" si="347"/>
        <v>0</v>
      </c>
    </row>
    <row r="2010" spans="4:14" x14ac:dyDescent="0.2">
      <c r="D2010">
        <f t="shared" si="349"/>
        <v>1987</v>
      </c>
      <c r="E2010" s="1">
        <f t="shared" si="350"/>
        <v>-230.85954572001651</v>
      </c>
      <c r="F2010" s="1">
        <f t="shared" si="351"/>
        <v>-231.43615908432051</v>
      </c>
      <c r="G2010" s="1">
        <f t="shared" si="348"/>
        <v>3.0800175902155089E-101</v>
      </c>
      <c r="H2010" s="1">
        <f t="shared" si="341"/>
        <v>3.1908330379058015E-102</v>
      </c>
      <c r="I2010">
        <f t="shared" si="342"/>
        <v>8</v>
      </c>
      <c r="J2010">
        <f t="shared" si="343"/>
        <v>1977</v>
      </c>
      <c r="K2010" s="5">
        <f t="shared" si="344"/>
        <v>0</v>
      </c>
      <c r="L2010">
        <f t="shared" si="345"/>
        <v>53.4</v>
      </c>
      <c r="M2010">
        <f t="shared" si="346"/>
        <v>1</v>
      </c>
      <c r="N2010">
        <f t="shared" si="347"/>
        <v>0</v>
      </c>
    </row>
    <row r="2011" spans="4:14" x14ac:dyDescent="0.2">
      <c r="D2011">
        <f t="shared" si="349"/>
        <v>1988</v>
      </c>
      <c r="E2011" s="1">
        <f t="shared" si="350"/>
        <v>-230.97607953627247</v>
      </c>
      <c r="F2011" s="1">
        <f t="shared" si="351"/>
        <v>-231.55269290057646</v>
      </c>
      <c r="G2011" s="1">
        <f t="shared" si="348"/>
        <v>2.7412156552918011E-101</v>
      </c>
      <c r="H2011" s="1">
        <f t="shared" si="341"/>
        <v>2.8398414037361614E-102</v>
      </c>
      <c r="I2011">
        <f t="shared" si="342"/>
        <v>8</v>
      </c>
      <c r="J2011">
        <f t="shared" si="343"/>
        <v>1978</v>
      </c>
      <c r="K2011" s="5">
        <f t="shared" si="344"/>
        <v>0</v>
      </c>
      <c r="L2011">
        <f t="shared" si="345"/>
        <v>53.4</v>
      </c>
      <c r="M2011">
        <f t="shared" si="346"/>
        <v>1</v>
      </c>
      <c r="N2011">
        <f t="shared" si="347"/>
        <v>0</v>
      </c>
    </row>
    <row r="2012" spans="4:14" x14ac:dyDescent="0.2">
      <c r="D2012">
        <f t="shared" si="349"/>
        <v>1989</v>
      </c>
      <c r="E2012" s="1">
        <f t="shared" si="350"/>
        <v>-231.09261335252842</v>
      </c>
      <c r="F2012" s="1">
        <f t="shared" si="351"/>
        <v>-231.66922671683241</v>
      </c>
      <c r="G2012" s="1">
        <f t="shared" si="348"/>
        <v>2.4396819332097013E-101</v>
      </c>
      <c r="H2012" s="1">
        <f t="shared" si="341"/>
        <v>2.5274588493251818E-102</v>
      </c>
      <c r="I2012">
        <f t="shared" si="342"/>
        <v>8</v>
      </c>
      <c r="J2012">
        <f t="shared" si="343"/>
        <v>1979</v>
      </c>
      <c r="K2012" s="5">
        <f t="shared" si="344"/>
        <v>0</v>
      </c>
      <c r="L2012">
        <f t="shared" si="345"/>
        <v>53.4</v>
      </c>
      <c r="M2012">
        <f t="shared" si="346"/>
        <v>1</v>
      </c>
      <c r="N2012">
        <f t="shared" si="347"/>
        <v>0</v>
      </c>
    </row>
    <row r="2013" spans="4:14" x14ac:dyDescent="0.2">
      <c r="D2013">
        <f t="shared" si="349"/>
        <v>1990</v>
      </c>
      <c r="E2013" s="1">
        <f t="shared" si="350"/>
        <v>-231.20914716878437</v>
      </c>
      <c r="F2013" s="1">
        <f t="shared" si="351"/>
        <v>-231.78576053308836</v>
      </c>
      <c r="G2013" s="1">
        <f t="shared" si="348"/>
        <v>2.1713169205566328E-101</v>
      </c>
      <c r="H2013" s="1">
        <f t="shared" si="341"/>
        <v>2.2494383758994106E-102</v>
      </c>
      <c r="I2013">
        <f t="shared" si="342"/>
        <v>8</v>
      </c>
      <c r="J2013">
        <f t="shared" si="343"/>
        <v>1980</v>
      </c>
      <c r="K2013" s="5">
        <f t="shared" si="344"/>
        <v>0</v>
      </c>
      <c r="L2013">
        <f t="shared" si="345"/>
        <v>53.4</v>
      </c>
      <c r="M2013">
        <f t="shared" si="346"/>
        <v>1</v>
      </c>
      <c r="N2013">
        <f t="shared" si="347"/>
        <v>0</v>
      </c>
    </row>
    <row r="2014" spans="4:14" x14ac:dyDescent="0.2">
      <c r="D2014">
        <f t="shared" si="349"/>
        <v>1991</v>
      </c>
      <c r="E2014" s="1">
        <f t="shared" si="350"/>
        <v>-231.32568098504032</v>
      </c>
      <c r="F2014" s="1">
        <f t="shared" si="351"/>
        <v>-231.90229434934432</v>
      </c>
      <c r="G2014" s="1">
        <f t="shared" si="348"/>
        <v>1.9324720592954022E-101</v>
      </c>
      <c r="H2014" s="1">
        <f t="shared" si="341"/>
        <v>2.0020001545504745E-102</v>
      </c>
      <c r="I2014">
        <f t="shared" si="342"/>
        <v>8</v>
      </c>
      <c r="J2014">
        <f t="shared" si="343"/>
        <v>1981</v>
      </c>
      <c r="K2014" s="5">
        <f t="shared" si="344"/>
        <v>0</v>
      </c>
      <c r="L2014">
        <f t="shared" si="345"/>
        <v>53.4</v>
      </c>
      <c r="M2014">
        <f t="shared" si="346"/>
        <v>1</v>
      </c>
      <c r="N2014">
        <f t="shared" si="347"/>
        <v>0</v>
      </c>
    </row>
    <row r="2015" spans="4:14" x14ac:dyDescent="0.2">
      <c r="D2015">
        <f t="shared" si="349"/>
        <v>1992</v>
      </c>
      <c r="E2015" s="1">
        <f t="shared" si="350"/>
        <v>-231.44221480129627</v>
      </c>
      <c r="F2015" s="1">
        <f t="shared" si="351"/>
        <v>-232.01882816560027</v>
      </c>
      <c r="G2015" s="1">
        <f t="shared" si="348"/>
        <v>1.7199001327729068E-101</v>
      </c>
      <c r="H2015" s="1">
        <f t="shared" si="341"/>
        <v>1.781780137549921E-102</v>
      </c>
      <c r="I2015">
        <f t="shared" si="342"/>
        <v>8</v>
      </c>
      <c r="J2015">
        <f t="shared" si="343"/>
        <v>1982</v>
      </c>
      <c r="K2015" s="5">
        <f t="shared" si="344"/>
        <v>0</v>
      </c>
      <c r="L2015">
        <f t="shared" si="345"/>
        <v>53.4</v>
      </c>
      <c r="M2015">
        <f t="shared" si="346"/>
        <v>1</v>
      </c>
      <c r="N2015">
        <f t="shared" si="347"/>
        <v>0</v>
      </c>
    </row>
    <row r="2016" spans="4:14" x14ac:dyDescent="0.2">
      <c r="D2016">
        <f t="shared" si="349"/>
        <v>1993</v>
      </c>
      <c r="E2016" s="1">
        <f t="shared" si="350"/>
        <v>-231.55874861755223</v>
      </c>
      <c r="F2016" s="1">
        <f t="shared" si="351"/>
        <v>-232.13536198185622</v>
      </c>
      <c r="G2016" s="1">
        <f t="shared" si="348"/>
        <v>1.5307111181678859E-101</v>
      </c>
      <c r="H2016" s="1">
        <f t="shared" si="341"/>
        <v>1.5857843224194284E-102</v>
      </c>
      <c r="I2016">
        <f t="shared" si="342"/>
        <v>8</v>
      </c>
      <c r="J2016">
        <f t="shared" si="343"/>
        <v>1983</v>
      </c>
      <c r="K2016" s="5">
        <f t="shared" si="344"/>
        <v>0</v>
      </c>
      <c r="L2016">
        <f t="shared" si="345"/>
        <v>53.4</v>
      </c>
      <c r="M2016">
        <f t="shared" si="346"/>
        <v>1</v>
      </c>
      <c r="N2016">
        <f t="shared" si="347"/>
        <v>0</v>
      </c>
    </row>
    <row r="2017" spans="4:14" x14ac:dyDescent="0.2">
      <c r="D2017">
        <f t="shared" si="349"/>
        <v>1994</v>
      </c>
      <c r="E2017" s="1">
        <f t="shared" si="350"/>
        <v>-231.67528243380818</v>
      </c>
      <c r="F2017" s="1">
        <f t="shared" si="351"/>
        <v>-232.25189579811217</v>
      </c>
      <c r="G2017" s="1">
        <f t="shared" si="348"/>
        <v>1.3623328951694178E-101</v>
      </c>
      <c r="H2017" s="1">
        <f t="shared" si="341"/>
        <v>1.4113480469532907E-102</v>
      </c>
      <c r="I2017">
        <f t="shared" si="342"/>
        <v>8</v>
      </c>
      <c r="J2017">
        <f t="shared" si="343"/>
        <v>1984</v>
      </c>
      <c r="K2017" s="5">
        <f t="shared" si="344"/>
        <v>0</v>
      </c>
      <c r="L2017">
        <f t="shared" si="345"/>
        <v>53.4</v>
      </c>
      <c r="M2017">
        <f t="shared" si="346"/>
        <v>1</v>
      </c>
      <c r="N2017">
        <f t="shared" si="347"/>
        <v>0</v>
      </c>
    </row>
    <row r="2018" spans="4:14" x14ac:dyDescent="0.2">
      <c r="D2018">
        <f t="shared" si="349"/>
        <v>1995</v>
      </c>
      <c r="E2018" s="1">
        <f t="shared" si="350"/>
        <v>-231.79181625006413</v>
      </c>
      <c r="F2018" s="1">
        <f t="shared" si="351"/>
        <v>-232.36842961436813</v>
      </c>
      <c r="G2018" s="1">
        <f t="shared" si="348"/>
        <v>1.212476276700781E-101</v>
      </c>
      <c r="H2018" s="1">
        <f t="shared" si="341"/>
        <v>1.2560997617884279E-102</v>
      </c>
      <c r="I2018">
        <f t="shared" si="342"/>
        <v>8</v>
      </c>
      <c r="J2018">
        <f t="shared" si="343"/>
        <v>1985</v>
      </c>
      <c r="K2018" s="5">
        <f t="shared" si="344"/>
        <v>0</v>
      </c>
      <c r="L2018">
        <f t="shared" si="345"/>
        <v>53.4</v>
      </c>
      <c r="M2018">
        <f t="shared" si="346"/>
        <v>1</v>
      </c>
      <c r="N2018">
        <f t="shared" si="347"/>
        <v>0</v>
      </c>
    </row>
    <row r="2019" spans="4:14" x14ac:dyDescent="0.2">
      <c r="D2019">
        <f t="shared" si="349"/>
        <v>1996</v>
      </c>
      <c r="E2019" s="1">
        <f t="shared" si="350"/>
        <v>-231.90835006632008</v>
      </c>
      <c r="F2019" s="1">
        <f t="shared" si="351"/>
        <v>-232.48496343062408</v>
      </c>
      <c r="G2019" s="1">
        <f t="shared" si="348"/>
        <v>1.0791038862636944E-101</v>
      </c>
      <c r="H2019" s="1">
        <f t="shared" si="341"/>
        <v>1.1179287879917E-102</v>
      </c>
      <c r="I2019">
        <f t="shared" si="342"/>
        <v>8</v>
      </c>
      <c r="J2019">
        <f t="shared" si="343"/>
        <v>1986</v>
      </c>
      <c r="K2019" s="5">
        <f t="shared" si="344"/>
        <v>0</v>
      </c>
      <c r="L2019">
        <f t="shared" si="345"/>
        <v>53.4</v>
      </c>
      <c r="M2019">
        <f t="shared" si="346"/>
        <v>1</v>
      </c>
      <c r="N2019">
        <f t="shared" si="347"/>
        <v>0</v>
      </c>
    </row>
    <row r="2020" spans="4:14" x14ac:dyDescent="0.2">
      <c r="D2020">
        <f t="shared" si="349"/>
        <v>1997</v>
      </c>
      <c r="E2020" s="1">
        <f t="shared" si="350"/>
        <v>-232.02488388257603</v>
      </c>
      <c r="F2020" s="1">
        <f t="shared" si="351"/>
        <v>-232.60149724688003</v>
      </c>
      <c r="G2020" s="1">
        <f t="shared" si="348"/>
        <v>9.6040245877468737E-102</v>
      </c>
      <c r="H2020" s="1">
        <f t="shared" si="341"/>
        <v>9.9495662131261231E-103</v>
      </c>
      <c r="I2020">
        <f t="shared" si="342"/>
        <v>8</v>
      </c>
      <c r="J2020">
        <f t="shared" si="343"/>
        <v>1987</v>
      </c>
      <c r="K2020" s="5">
        <f t="shared" si="344"/>
        <v>0</v>
      </c>
      <c r="L2020">
        <f t="shared" si="345"/>
        <v>53.4</v>
      </c>
      <c r="M2020">
        <f t="shared" si="346"/>
        <v>1</v>
      </c>
      <c r="N2020">
        <f t="shared" si="347"/>
        <v>0</v>
      </c>
    </row>
    <row r="2021" spans="4:14" x14ac:dyDescent="0.2">
      <c r="D2021">
        <f t="shared" si="349"/>
        <v>1998</v>
      </c>
      <c r="E2021" s="1">
        <f t="shared" si="350"/>
        <v>-232.14141769883199</v>
      </c>
      <c r="F2021" s="1">
        <f t="shared" si="351"/>
        <v>-232.71803106313598</v>
      </c>
      <c r="G2021" s="1">
        <f t="shared" si="348"/>
        <v>8.5475818830947127E-102</v>
      </c>
      <c r="H2021" s="1">
        <f t="shared" si="341"/>
        <v>8.8551139296822446E-103</v>
      </c>
      <c r="I2021">
        <f t="shared" si="342"/>
        <v>8</v>
      </c>
      <c r="J2021">
        <f t="shared" si="343"/>
        <v>1988</v>
      </c>
      <c r="K2021" s="5">
        <f t="shared" si="344"/>
        <v>0</v>
      </c>
      <c r="L2021">
        <f t="shared" si="345"/>
        <v>53.4</v>
      </c>
      <c r="M2021">
        <f t="shared" si="346"/>
        <v>1</v>
      </c>
      <c r="N2021">
        <f t="shared" si="347"/>
        <v>0</v>
      </c>
    </row>
    <row r="2022" spans="4:14" x14ac:dyDescent="0.2">
      <c r="D2022">
        <f t="shared" si="349"/>
        <v>1999</v>
      </c>
      <c r="E2022" s="1">
        <f t="shared" si="350"/>
        <v>-232.25795151508794</v>
      </c>
      <c r="F2022" s="1">
        <f t="shared" si="351"/>
        <v>-232.83456487939193</v>
      </c>
      <c r="G2022" s="1">
        <f t="shared" si="348"/>
        <v>7.6073478759542899E-102</v>
      </c>
      <c r="H2022" s="1">
        <f t="shared" si="341"/>
        <v>7.8810513974171934E-103</v>
      </c>
      <c r="I2022">
        <f t="shared" si="342"/>
        <v>8</v>
      </c>
      <c r="J2022">
        <f t="shared" si="343"/>
        <v>1989</v>
      </c>
      <c r="K2022" s="5">
        <f t="shared" si="344"/>
        <v>0</v>
      </c>
      <c r="L2022">
        <f t="shared" si="345"/>
        <v>53.4</v>
      </c>
      <c r="M2022">
        <f t="shared" si="346"/>
        <v>1</v>
      </c>
      <c r="N2022">
        <f t="shared" si="347"/>
        <v>0</v>
      </c>
    </row>
    <row r="2023" spans="4:14" x14ac:dyDescent="0.2">
      <c r="D2023">
        <f t="shared" si="349"/>
        <v>2000</v>
      </c>
      <c r="E2023" s="1">
        <f t="shared" si="350"/>
        <v>-232.37448533134389</v>
      </c>
      <c r="F2023" s="1">
        <f t="shared" si="351"/>
        <v>-232.95109869564789</v>
      </c>
      <c r="G2023" s="1">
        <f t="shared" si="348"/>
        <v>6.7705396095993134E-102</v>
      </c>
      <c r="H2023" s="1">
        <f t="shared" si="341"/>
        <v>7.0141357437012971E-103</v>
      </c>
      <c r="I2023">
        <f t="shared" si="342"/>
        <v>8</v>
      </c>
      <c r="J2023">
        <f t="shared" si="343"/>
        <v>1990</v>
      </c>
      <c r="K2023" s="5">
        <f t="shared" si="344"/>
        <v>0</v>
      </c>
      <c r="L2023">
        <f t="shared" si="345"/>
        <v>53.4</v>
      </c>
      <c r="M2023">
        <f t="shared" si="346"/>
        <v>1</v>
      </c>
      <c r="N2023">
        <f t="shared" si="347"/>
        <v>0</v>
      </c>
    </row>
    <row r="2024" spans="4:14" x14ac:dyDescent="0.2">
      <c r="D2024"/>
    </row>
    <row r="2025" spans="4:14" x14ac:dyDescent="0.2">
      <c r="D2025"/>
    </row>
    <row r="2026" spans="4:14" x14ac:dyDescent="0.2">
      <c r="D2026"/>
    </row>
    <row r="2027" spans="4:14" x14ac:dyDescent="0.2">
      <c r="D2027"/>
    </row>
    <row r="2028" spans="4:14" x14ac:dyDescent="0.2">
      <c r="D2028"/>
    </row>
    <row r="2029" spans="4:14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AC1512"/>
  <sheetViews>
    <sheetView tabSelected="1" topLeftCell="A2" workbookViewId="0">
      <pane xSplit="4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I13" sqref="I13"/>
    </sheetView>
  </sheetViews>
  <sheetFormatPr baseColWidth="10" defaultRowHeight="15" outlineLevelRow="1" outlineLevelCol="1" x14ac:dyDescent="0.2"/>
  <cols>
    <col min="1" max="1" width="10.83203125" style="12" hidden="1" customWidth="1" outlineLevel="1"/>
    <col min="2" max="2" width="14.5" customWidth="1" collapsed="1"/>
    <col min="5" max="6" width="13" bestFit="1" customWidth="1"/>
    <col min="8" max="11" width="12.6640625" customWidth="1"/>
    <col min="14" max="14" width="10.83203125" hidden="1" customWidth="1" outlineLevel="1"/>
    <col min="15" max="15" width="1" customWidth="1" collapsed="1"/>
    <col min="16" max="16" width="1" customWidth="1"/>
    <col min="19" max="19" width="12.33203125" customWidth="1"/>
    <col min="21" max="21" width="14.6640625" customWidth="1"/>
    <col min="22" max="22" width="17.6640625" hidden="1" customWidth="1" outlineLevel="1"/>
    <col min="23" max="23" width="15" hidden="1" customWidth="1" outlineLevel="1"/>
    <col min="24" max="24" width="10.83203125" hidden="1" customWidth="1" outlineLevel="1"/>
    <col min="25" max="25" width="15.33203125" hidden="1" customWidth="1" outlineLevel="1"/>
    <col min="26" max="26" width="15" hidden="1" customWidth="1" outlineLevel="1"/>
    <col min="27" max="27" width="15" bestFit="1" customWidth="1" collapsed="1"/>
    <col min="28" max="28" width="1" customWidth="1"/>
    <col min="29" max="29" width="25" customWidth="1"/>
  </cols>
  <sheetData>
    <row r="1" spans="1:29" s="12" customFormat="1" outlineLevel="1" x14ac:dyDescent="0.2">
      <c r="E1" s="12" t="s">
        <v>55</v>
      </c>
    </row>
    <row r="2" spans="1:29" ht="19" x14ac:dyDescent="0.25">
      <c r="A2" s="54" t="s">
        <v>48</v>
      </c>
    </row>
    <row r="3" spans="1:29" ht="21" x14ac:dyDescent="0.25">
      <c r="E3" s="14" t="s">
        <v>20</v>
      </c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t="6" customHeight="1" thickBot="1" x14ac:dyDescent="0.25"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ht="6" customHeight="1" thickTop="1" x14ac:dyDescent="0.2"/>
    <row r="6" spans="1:29" ht="17" customHeight="1" x14ac:dyDescent="0.25">
      <c r="F6" s="17" t="s">
        <v>21</v>
      </c>
      <c r="G6" s="15"/>
      <c r="H6" s="15"/>
      <c r="I6" s="15"/>
      <c r="J6" s="15"/>
      <c r="K6" s="15"/>
      <c r="L6" s="15"/>
      <c r="M6" s="15"/>
      <c r="N6" s="15"/>
      <c r="Q6" s="18" t="s">
        <v>22</v>
      </c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29" ht="6" customHeight="1" x14ac:dyDescent="0.2"/>
    <row r="8" spans="1:29" ht="45" x14ac:dyDescent="0.2">
      <c r="B8" s="6" t="s">
        <v>54</v>
      </c>
      <c r="C8">
        <v>3</v>
      </c>
      <c r="F8" s="7" t="s">
        <v>42</v>
      </c>
      <c r="G8" s="7" t="s">
        <v>50</v>
      </c>
      <c r="H8" s="7" t="s">
        <v>43</v>
      </c>
      <c r="I8" s="7" t="s">
        <v>2</v>
      </c>
      <c r="J8" s="7" t="s">
        <v>0</v>
      </c>
      <c r="K8" s="7" t="s">
        <v>57</v>
      </c>
      <c r="L8" s="7" t="s">
        <v>56</v>
      </c>
      <c r="M8" s="7" t="s">
        <v>41</v>
      </c>
      <c r="N8" s="7" t="s">
        <v>3</v>
      </c>
      <c r="Q8" s="7" t="s">
        <v>6</v>
      </c>
      <c r="R8" s="7" t="s">
        <v>45</v>
      </c>
      <c r="S8" s="7" t="s">
        <v>8</v>
      </c>
      <c r="T8" s="7" t="s">
        <v>49</v>
      </c>
      <c r="U8" s="7" t="s">
        <v>46</v>
      </c>
      <c r="V8" s="7" t="s">
        <v>51</v>
      </c>
      <c r="W8" s="7" t="s">
        <v>52</v>
      </c>
      <c r="X8" s="7" t="s">
        <v>7</v>
      </c>
      <c r="Y8" s="7" t="s">
        <v>11</v>
      </c>
      <c r="Z8" s="7" t="s">
        <v>9</v>
      </c>
      <c r="AA8" s="7" t="s">
        <v>12</v>
      </c>
      <c r="AB8" s="7"/>
      <c r="AC8" s="7" t="s">
        <v>17</v>
      </c>
    </row>
    <row r="9" spans="1:29" ht="30" x14ac:dyDescent="0.2">
      <c r="F9" s="6" t="s">
        <v>1</v>
      </c>
      <c r="G9" s="6" t="s">
        <v>14</v>
      </c>
      <c r="H9" s="6" t="s">
        <v>14</v>
      </c>
      <c r="I9" s="6" t="s">
        <v>14</v>
      </c>
      <c r="J9" s="6" t="s">
        <v>1</v>
      </c>
      <c r="K9" s="6" t="s">
        <v>4</v>
      </c>
      <c r="L9" s="6" t="s">
        <v>5</v>
      </c>
      <c r="M9" s="6" t="s">
        <v>13</v>
      </c>
      <c r="N9" s="6" t="s">
        <v>15</v>
      </c>
      <c r="Q9" s="6" t="s">
        <v>13</v>
      </c>
      <c r="R9" s="6" t="s">
        <v>14</v>
      </c>
      <c r="S9" s="6" t="s">
        <v>14</v>
      </c>
      <c r="T9" s="6" t="s">
        <v>15</v>
      </c>
      <c r="U9" s="6" t="s">
        <v>15</v>
      </c>
      <c r="V9" s="6" t="s">
        <v>14</v>
      </c>
      <c r="W9" s="6" t="s">
        <v>14</v>
      </c>
      <c r="X9" s="6" t="s">
        <v>14</v>
      </c>
      <c r="Y9" s="6" t="s">
        <v>16</v>
      </c>
      <c r="Z9" s="6" t="s">
        <v>15</v>
      </c>
      <c r="AC9" s="6" t="s">
        <v>19</v>
      </c>
    </row>
    <row r="11" spans="1:29" ht="6" customHeight="1" x14ac:dyDescent="0.2"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9"/>
      <c r="AA11" s="19"/>
      <c r="AB11" s="19"/>
    </row>
    <row r="12" spans="1:29" ht="6" customHeight="1" x14ac:dyDescent="0.2"/>
    <row r="13" spans="1:29" x14ac:dyDescent="0.2">
      <c r="A13" s="12">
        <v>1</v>
      </c>
      <c r="E13" s="10" t="str">
        <f t="shared" ref="E13:E76" si="0">IF($C$8&gt;=A13,$E$1&amp;" "&amp;A13,"")</f>
        <v>Polling Place 1</v>
      </c>
      <c r="F13">
        <v>20</v>
      </c>
      <c r="G13">
        <v>5</v>
      </c>
      <c r="H13">
        <v>5</v>
      </c>
      <c r="I13" s="53">
        <f>IF(E13="","",F13-G13-H13)</f>
        <v>10</v>
      </c>
      <c r="J13">
        <v>45</v>
      </c>
      <c r="K13">
        <v>2.5</v>
      </c>
      <c r="L13">
        <v>2</v>
      </c>
      <c r="M13">
        <v>30</v>
      </c>
      <c r="N13" s="8">
        <v>0</v>
      </c>
      <c r="Q13" s="1">
        <v>18.145161290322477</v>
      </c>
      <c r="R13" s="1">
        <v>13.608870967741861</v>
      </c>
      <c r="S13" s="1">
        <v>7.1373149326187004</v>
      </c>
      <c r="T13" s="8">
        <v>0.47582099550791573</v>
      </c>
      <c r="U13" s="8">
        <v>0.18072271704126586</v>
      </c>
      <c r="V13" s="1">
        <v>14.999999999999925</v>
      </c>
      <c r="W13" s="1">
        <v>24</v>
      </c>
      <c r="X13" s="1">
        <v>6.47155603512316</v>
      </c>
      <c r="Y13">
        <v>45.000000000000014</v>
      </c>
      <c r="Z13" s="8">
        <v>9.2741935483871218E-2</v>
      </c>
      <c r="AA13" t="s">
        <v>18</v>
      </c>
    </row>
    <row r="14" spans="1:29" x14ac:dyDescent="0.2">
      <c r="A14" s="12">
        <f>A13+1</f>
        <v>2</v>
      </c>
      <c r="E14" s="10" t="str">
        <f t="shared" si="0"/>
        <v>Polling Place 2</v>
      </c>
      <c r="F14">
        <v>20</v>
      </c>
      <c r="G14">
        <v>5</v>
      </c>
      <c r="H14">
        <v>5</v>
      </c>
      <c r="I14" s="53">
        <f t="shared" ref="I14:I77" si="1">IF(E14="","",F14-G14-H14)</f>
        <v>10</v>
      </c>
      <c r="J14">
        <v>45</v>
      </c>
      <c r="K14">
        <v>2.5</v>
      </c>
      <c r="L14">
        <v>3</v>
      </c>
      <c r="M14">
        <v>30</v>
      </c>
      <c r="N14" s="8">
        <v>0</v>
      </c>
      <c r="Q14" s="1">
        <v>0.86088154269972361</v>
      </c>
      <c r="R14" s="1">
        <v>0.64566115702479332</v>
      </c>
      <c r="S14" s="1">
        <v>5.8722540145462691E-3</v>
      </c>
      <c r="T14" s="8">
        <v>3.5233524087277656E-3</v>
      </c>
      <c r="U14" s="8">
        <v>1.0857166721223166E-8</v>
      </c>
      <c r="V14" s="1">
        <v>1.6666666666666647</v>
      </c>
      <c r="W14" s="1">
        <v>36</v>
      </c>
      <c r="X14" s="1">
        <v>0.63978890301024705</v>
      </c>
      <c r="Y14">
        <v>45.000000000000043</v>
      </c>
      <c r="Z14" s="8">
        <v>0.61260330578512445</v>
      </c>
      <c r="AA14" t="s">
        <v>18</v>
      </c>
    </row>
    <row r="15" spans="1:29" x14ac:dyDescent="0.2">
      <c r="A15" s="12">
        <f t="shared" ref="A15:A78" si="2">A14+1</f>
        <v>3</v>
      </c>
      <c r="E15" s="10" t="str">
        <f t="shared" si="0"/>
        <v>Polling Place 3</v>
      </c>
      <c r="F15">
        <v>25</v>
      </c>
      <c r="G15">
        <v>9</v>
      </c>
      <c r="H15">
        <v>8</v>
      </c>
      <c r="I15" s="53">
        <f t="shared" si="1"/>
        <v>8</v>
      </c>
      <c r="J15">
        <v>53.4</v>
      </c>
      <c r="K15">
        <v>2</v>
      </c>
      <c r="L15">
        <v>2</v>
      </c>
      <c r="M15">
        <v>30</v>
      </c>
      <c r="N15" s="8">
        <v>0</v>
      </c>
      <c r="Q15" s="1">
        <v>7.620009620009605</v>
      </c>
      <c r="R15" s="1">
        <v>6.7818085618085409</v>
      </c>
      <c r="S15" s="1">
        <v>2.6697191666830036</v>
      </c>
      <c r="T15" s="8">
        <v>0.32996529026419147</v>
      </c>
      <c r="U15" s="8">
        <v>2.2617177727945137E-2</v>
      </c>
      <c r="V15" s="1">
        <v>8.0909090909090899</v>
      </c>
      <c r="W15" s="1">
        <v>30</v>
      </c>
      <c r="X15" s="1">
        <v>4.1120893951255377</v>
      </c>
      <c r="Y15">
        <v>53.399999999999935</v>
      </c>
      <c r="Z15" s="8">
        <v>0.16179894179894175</v>
      </c>
      <c r="AA15" t="s">
        <v>18</v>
      </c>
    </row>
    <row r="16" spans="1:29" x14ac:dyDescent="0.2">
      <c r="A16" s="12">
        <f t="shared" si="2"/>
        <v>4</v>
      </c>
      <c r="E16" s="10" t="str">
        <f t="shared" si="0"/>
        <v/>
      </c>
      <c r="I16" s="53" t="str">
        <f t="shared" si="1"/>
        <v/>
      </c>
      <c r="N16" s="8">
        <v>0</v>
      </c>
      <c r="Q16" s="1"/>
      <c r="R16" s="1"/>
      <c r="S16" s="1"/>
      <c r="T16" s="8"/>
      <c r="U16" s="8"/>
      <c r="V16" s="1"/>
      <c r="W16" s="1"/>
      <c r="X16" s="1"/>
      <c r="Z16" s="8"/>
    </row>
    <row r="17" spans="1:26" x14ac:dyDescent="0.2">
      <c r="A17" s="12">
        <f t="shared" si="2"/>
        <v>5</v>
      </c>
      <c r="E17" s="10" t="str">
        <f t="shared" si="0"/>
        <v/>
      </c>
      <c r="I17" s="53" t="str">
        <f t="shared" si="1"/>
        <v/>
      </c>
      <c r="N17" s="8">
        <v>0</v>
      </c>
      <c r="Q17" s="1"/>
      <c r="R17" s="1"/>
      <c r="S17" s="1"/>
      <c r="T17" s="8"/>
      <c r="U17" s="8"/>
      <c r="V17" s="1"/>
      <c r="W17" s="1"/>
      <c r="X17" s="1"/>
      <c r="Z17" s="8"/>
    </row>
    <row r="18" spans="1:26" x14ac:dyDescent="0.2">
      <c r="A18" s="12">
        <f t="shared" si="2"/>
        <v>6</v>
      </c>
      <c r="E18" s="10" t="str">
        <f t="shared" si="0"/>
        <v/>
      </c>
      <c r="I18" s="53" t="str">
        <f t="shared" si="1"/>
        <v/>
      </c>
      <c r="N18" s="8">
        <v>0</v>
      </c>
      <c r="Q18" s="1"/>
      <c r="R18" s="1"/>
      <c r="S18" s="1"/>
      <c r="T18" s="8"/>
      <c r="U18" s="8"/>
      <c r="V18" s="1"/>
      <c r="W18" s="1"/>
      <c r="X18" s="1"/>
      <c r="Z18" s="8"/>
    </row>
    <row r="19" spans="1:26" x14ac:dyDescent="0.2">
      <c r="A19" s="12">
        <f t="shared" si="2"/>
        <v>7</v>
      </c>
      <c r="E19" s="10" t="str">
        <f t="shared" si="0"/>
        <v/>
      </c>
      <c r="I19" s="53" t="str">
        <f t="shared" si="1"/>
        <v/>
      </c>
      <c r="N19" s="8">
        <v>0</v>
      </c>
      <c r="Q19" s="1"/>
      <c r="R19" s="1"/>
      <c r="S19" s="1"/>
      <c r="T19" s="8"/>
      <c r="U19" s="8"/>
      <c r="V19" s="1"/>
      <c r="W19" s="1"/>
      <c r="X19" s="1"/>
      <c r="Z19" s="8"/>
    </row>
    <row r="20" spans="1:26" x14ac:dyDescent="0.2">
      <c r="A20" s="12">
        <f t="shared" si="2"/>
        <v>8</v>
      </c>
      <c r="E20" s="10" t="str">
        <f t="shared" si="0"/>
        <v/>
      </c>
      <c r="I20" s="53" t="str">
        <f t="shared" si="1"/>
        <v/>
      </c>
      <c r="N20" s="8">
        <v>0</v>
      </c>
      <c r="Q20" s="1"/>
      <c r="R20" s="1"/>
      <c r="S20" s="1"/>
      <c r="T20" s="8"/>
      <c r="U20" s="8"/>
      <c r="V20" s="1"/>
      <c r="W20" s="1"/>
      <c r="X20" s="1"/>
      <c r="Z20" s="8"/>
    </row>
    <row r="21" spans="1:26" x14ac:dyDescent="0.2">
      <c r="A21" s="12">
        <f t="shared" si="2"/>
        <v>9</v>
      </c>
      <c r="E21" s="10" t="str">
        <f t="shared" si="0"/>
        <v/>
      </c>
      <c r="I21" s="53" t="str">
        <f t="shared" si="1"/>
        <v/>
      </c>
      <c r="N21" s="8">
        <v>0</v>
      </c>
      <c r="Q21" s="1"/>
      <c r="R21" s="1"/>
      <c r="S21" s="1"/>
      <c r="T21" s="8"/>
      <c r="U21" s="8"/>
      <c r="V21" s="1"/>
      <c r="W21" s="1"/>
      <c r="X21" s="1"/>
      <c r="Z21" s="8"/>
    </row>
    <row r="22" spans="1:26" x14ac:dyDescent="0.2">
      <c r="A22" s="12">
        <f t="shared" si="2"/>
        <v>10</v>
      </c>
      <c r="E22" s="10" t="str">
        <f t="shared" si="0"/>
        <v/>
      </c>
      <c r="I22" s="53" t="str">
        <f t="shared" si="1"/>
        <v/>
      </c>
      <c r="N22" s="8">
        <v>0</v>
      </c>
      <c r="Q22" s="1"/>
      <c r="R22" s="1"/>
      <c r="S22" s="1"/>
      <c r="T22" s="8"/>
      <c r="U22" s="8"/>
      <c r="V22" s="1"/>
      <c r="W22" s="1"/>
      <c r="X22" s="1"/>
      <c r="Z22" s="8"/>
    </row>
    <row r="23" spans="1:26" x14ac:dyDescent="0.2">
      <c r="A23" s="12">
        <f t="shared" si="2"/>
        <v>11</v>
      </c>
      <c r="E23" s="10" t="str">
        <f t="shared" si="0"/>
        <v/>
      </c>
      <c r="I23" s="53" t="str">
        <f t="shared" si="1"/>
        <v/>
      </c>
      <c r="N23" s="8">
        <v>0</v>
      </c>
      <c r="Q23" s="1"/>
      <c r="R23" s="1"/>
      <c r="S23" s="1"/>
      <c r="T23" s="8"/>
      <c r="U23" s="8"/>
      <c r="V23" s="1"/>
      <c r="W23" s="1"/>
      <c r="X23" s="1"/>
      <c r="Z23" s="8"/>
    </row>
    <row r="24" spans="1:26" x14ac:dyDescent="0.2">
      <c r="A24" s="12">
        <f t="shared" si="2"/>
        <v>12</v>
      </c>
      <c r="E24" s="10" t="str">
        <f t="shared" si="0"/>
        <v/>
      </c>
      <c r="I24" s="53" t="str">
        <f t="shared" si="1"/>
        <v/>
      </c>
      <c r="N24" s="8">
        <v>0</v>
      </c>
      <c r="Q24" s="1"/>
      <c r="R24" s="1"/>
      <c r="S24" s="1"/>
      <c r="T24" s="8"/>
      <c r="U24" s="8"/>
      <c r="V24" s="1"/>
      <c r="W24" s="1"/>
      <c r="X24" s="1"/>
      <c r="Z24" s="8"/>
    </row>
    <row r="25" spans="1:26" x14ac:dyDescent="0.2">
      <c r="A25" s="12">
        <f t="shared" si="2"/>
        <v>13</v>
      </c>
      <c r="E25" s="10" t="str">
        <f t="shared" si="0"/>
        <v/>
      </c>
      <c r="I25" s="53" t="str">
        <f t="shared" si="1"/>
        <v/>
      </c>
      <c r="N25" s="8">
        <v>0</v>
      </c>
      <c r="Q25" s="1"/>
      <c r="R25" s="1"/>
      <c r="S25" s="1"/>
      <c r="T25" s="8"/>
      <c r="U25" s="8"/>
      <c r="V25" s="1"/>
      <c r="W25" s="1"/>
      <c r="X25" s="1"/>
      <c r="Z25" s="8"/>
    </row>
    <row r="26" spans="1:26" x14ac:dyDescent="0.2">
      <c r="A26" s="12">
        <f t="shared" si="2"/>
        <v>14</v>
      </c>
      <c r="E26" s="10" t="str">
        <f t="shared" si="0"/>
        <v/>
      </c>
      <c r="I26" s="53" t="str">
        <f t="shared" si="1"/>
        <v/>
      </c>
      <c r="N26" s="8">
        <v>0</v>
      </c>
      <c r="Q26" s="1"/>
      <c r="R26" s="1"/>
      <c r="S26" s="1"/>
      <c r="T26" s="8"/>
      <c r="U26" s="8"/>
      <c r="V26" s="1"/>
      <c r="W26" s="1"/>
      <c r="X26" s="1"/>
      <c r="Z26" s="8"/>
    </row>
    <row r="27" spans="1:26" x14ac:dyDescent="0.2">
      <c r="A27" s="12">
        <f t="shared" si="2"/>
        <v>15</v>
      </c>
      <c r="E27" s="10" t="str">
        <f t="shared" si="0"/>
        <v/>
      </c>
      <c r="I27" s="53" t="str">
        <f t="shared" si="1"/>
        <v/>
      </c>
      <c r="N27" s="8">
        <v>0</v>
      </c>
      <c r="Q27" s="1"/>
      <c r="R27" s="1"/>
      <c r="S27" s="1"/>
      <c r="T27" s="8"/>
      <c r="U27" s="8"/>
      <c r="V27" s="1"/>
      <c r="W27" s="1"/>
      <c r="X27" s="1"/>
      <c r="Z27" s="8"/>
    </row>
    <row r="28" spans="1:26" x14ac:dyDescent="0.2">
      <c r="A28" s="12">
        <f t="shared" si="2"/>
        <v>16</v>
      </c>
      <c r="E28" s="10" t="str">
        <f t="shared" si="0"/>
        <v/>
      </c>
      <c r="I28" s="53" t="str">
        <f t="shared" si="1"/>
        <v/>
      </c>
      <c r="N28" s="8">
        <v>0</v>
      </c>
      <c r="Q28" s="1"/>
      <c r="R28" s="1"/>
      <c r="S28" s="1"/>
      <c r="T28" s="8"/>
      <c r="U28" s="8"/>
      <c r="V28" s="1"/>
      <c r="W28" s="1"/>
      <c r="X28" s="1"/>
      <c r="Z28" s="8"/>
    </row>
    <row r="29" spans="1:26" x14ac:dyDescent="0.2">
      <c r="A29" s="12">
        <f t="shared" si="2"/>
        <v>17</v>
      </c>
      <c r="E29" s="10" t="str">
        <f t="shared" si="0"/>
        <v/>
      </c>
      <c r="I29" s="53" t="str">
        <f t="shared" si="1"/>
        <v/>
      </c>
      <c r="N29" s="8">
        <v>0</v>
      </c>
      <c r="Q29" s="1"/>
      <c r="R29" s="1"/>
      <c r="S29" s="1"/>
      <c r="T29" s="8"/>
      <c r="U29" s="8"/>
      <c r="V29" s="1"/>
      <c r="W29" s="1"/>
      <c r="X29" s="1"/>
      <c r="Z29" s="8"/>
    </row>
    <row r="30" spans="1:26" x14ac:dyDescent="0.2">
      <c r="A30" s="12">
        <f t="shared" si="2"/>
        <v>18</v>
      </c>
      <c r="E30" s="10" t="str">
        <f t="shared" si="0"/>
        <v/>
      </c>
      <c r="I30" s="53" t="str">
        <f t="shared" si="1"/>
        <v/>
      </c>
      <c r="N30" s="8">
        <v>0</v>
      </c>
      <c r="Q30" s="1"/>
      <c r="R30" s="1"/>
      <c r="S30" s="1"/>
      <c r="T30" s="8"/>
      <c r="U30" s="8"/>
      <c r="V30" s="1"/>
      <c r="W30" s="1"/>
      <c r="X30" s="1"/>
      <c r="Z30" s="8"/>
    </row>
    <row r="31" spans="1:26" x14ac:dyDescent="0.2">
      <c r="A31" s="12">
        <f t="shared" si="2"/>
        <v>19</v>
      </c>
      <c r="E31" s="10" t="str">
        <f t="shared" si="0"/>
        <v/>
      </c>
      <c r="I31" s="53" t="str">
        <f t="shared" si="1"/>
        <v/>
      </c>
      <c r="N31" s="8">
        <v>0</v>
      </c>
      <c r="Q31" s="1"/>
      <c r="R31" s="1"/>
      <c r="S31" s="1"/>
      <c r="T31" s="8"/>
      <c r="U31" s="8"/>
      <c r="V31" s="1"/>
      <c r="W31" s="1"/>
      <c r="X31" s="1"/>
      <c r="Z31" s="8"/>
    </row>
    <row r="32" spans="1:26" x14ac:dyDescent="0.2">
      <c r="A32" s="12">
        <f t="shared" si="2"/>
        <v>20</v>
      </c>
      <c r="E32" s="10" t="str">
        <f t="shared" si="0"/>
        <v/>
      </c>
      <c r="I32" s="53" t="str">
        <f t="shared" si="1"/>
        <v/>
      </c>
      <c r="N32" s="8">
        <v>0</v>
      </c>
      <c r="Q32" s="1"/>
      <c r="R32" s="1"/>
      <c r="S32" s="1"/>
      <c r="T32" s="8"/>
      <c r="U32" s="8"/>
      <c r="V32" s="1"/>
      <c r="W32" s="1"/>
      <c r="X32" s="1"/>
      <c r="Z32" s="8"/>
    </row>
    <row r="33" spans="1:26" x14ac:dyDescent="0.2">
      <c r="A33" s="12">
        <f t="shared" si="2"/>
        <v>21</v>
      </c>
      <c r="E33" s="10" t="str">
        <f t="shared" si="0"/>
        <v/>
      </c>
      <c r="I33" s="53" t="str">
        <f t="shared" si="1"/>
        <v/>
      </c>
      <c r="N33" s="8">
        <v>0</v>
      </c>
      <c r="Q33" s="1"/>
      <c r="R33" s="1"/>
      <c r="S33" s="1"/>
      <c r="T33" s="8"/>
      <c r="U33" s="8"/>
      <c r="V33" s="1"/>
      <c r="W33" s="1"/>
      <c r="X33" s="1"/>
      <c r="Z33" s="8"/>
    </row>
    <row r="34" spans="1:26" x14ac:dyDescent="0.2">
      <c r="A34" s="12">
        <f t="shared" si="2"/>
        <v>22</v>
      </c>
      <c r="E34" s="10" t="str">
        <f t="shared" si="0"/>
        <v/>
      </c>
      <c r="I34" s="53" t="str">
        <f t="shared" si="1"/>
        <v/>
      </c>
      <c r="N34" s="8">
        <v>0</v>
      </c>
      <c r="Q34" s="1"/>
      <c r="R34" s="1"/>
      <c r="S34" s="1"/>
      <c r="T34" s="8"/>
      <c r="U34" s="8"/>
      <c r="V34" s="1"/>
      <c r="W34" s="1"/>
      <c r="X34" s="1"/>
      <c r="Z34" s="8"/>
    </row>
    <row r="35" spans="1:26" x14ac:dyDescent="0.2">
      <c r="A35" s="12">
        <f t="shared" si="2"/>
        <v>23</v>
      </c>
      <c r="E35" s="10" t="str">
        <f t="shared" si="0"/>
        <v/>
      </c>
      <c r="I35" s="53" t="str">
        <f t="shared" si="1"/>
        <v/>
      </c>
      <c r="N35" s="8">
        <v>0</v>
      </c>
      <c r="Q35" s="1"/>
      <c r="R35" s="1"/>
      <c r="S35" s="1"/>
      <c r="T35" s="8"/>
      <c r="U35" s="8"/>
      <c r="V35" s="1"/>
      <c r="W35" s="1"/>
      <c r="X35" s="1"/>
      <c r="Z35" s="8"/>
    </row>
    <row r="36" spans="1:26" x14ac:dyDescent="0.2">
      <c r="A36" s="12">
        <f t="shared" si="2"/>
        <v>24</v>
      </c>
      <c r="E36" s="10" t="str">
        <f t="shared" si="0"/>
        <v/>
      </c>
      <c r="I36" s="53" t="str">
        <f t="shared" si="1"/>
        <v/>
      </c>
      <c r="N36" s="8">
        <v>0</v>
      </c>
      <c r="Q36" s="1"/>
      <c r="R36" s="1"/>
      <c r="S36" s="1"/>
      <c r="T36" s="8"/>
      <c r="U36" s="8"/>
      <c r="V36" s="1"/>
      <c r="W36" s="1"/>
      <c r="X36" s="1"/>
      <c r="Z36" s="8"/>
    </row>
    <row r="37" spans="1:26" x14ac:dyDescent="0.2">
      <c r="A37" s="12">
        <f t="shared" si="2"/>
        <v>25</v>
      </c>
      <c r="E37" s="10" t="str">
        <f t="shared" si="0"/>
        <v/>
      </c>
      <c r="I37" s="53" t="str">
        <f t="shared" si="1"/>
        <v/>
      </c>
      <c r="N37" s="8">
        <v>0</v>
      </c>
      <c r="Q37" s="1"/>
      <c r="R37" s="1"/>
      <c r="S37" s="1"/>
      <c r="T37" s="8"/>
      <c r="U37" s="8"/>
      <c r="V37" s="1"/>
      <c r="W37" s="1"/>
      <c r="X37" s="1"/>
      <c r="Z37" s="8"/>
    </row>
    <row r="38" spans="1:26" x14ac:dyDescent="0.2">
      <c r="A38" s="12">
        <f t="shared" si="2"/>
        <v>26</v>
      </c>
      <c r="E38" s="10" t="str">
        <f t="shared" si="0"/>
        <v/>
      </c>
      <c r="I38" s="53" t="str">
        <f t="shared" si="1"/>
        <v/>
      </c>
      <c r="N38" s="8">
        <v>0</v>
      </c>
      <c r="Q38" s="1"/>
      <c r="R38" s="1"/>
      <c r="S38" s="1"/>
      <c r="T38" s="8"/>
      <c r="U38" s="8"/>
      <c r="V38" s="1"/>
      <c r="W38" s="1"/>
      <c r="X38" s="1"/>
      <c r="Z38" s="8"/>
    </row>
    <row r="39" spans="1:26" x14ac:dyDescent="0.2">
      <c r="A39" s="12">
        <f t="shared" si="2"/>
        <v>27</v>
      </c>
      <c r="E39" s="10" t="str">
        <f t="shared" si="0"/>
        <v/>
      </c>
      <c r="I39" s="53" t="str">
        <f t="shared" si="1"/>
        <v/>
      </c>
      <c r="N39" s="8">
        <v>0</v>
      </c>
      <c r="Q39" s="1"/>
      <c r="R39" s="1"/>
      <c r="S39" s="1"/>
      <c r="T39" s="8"/>
      <c r="U39" s="8"/>
      <c r="V39" s="1"/>
      <c r="W39" s="1"/>
      <c r="X39" s="1"/>
      <c r="Z39" s="8"/>
    </row>
    <row r="40" spans="1:26" x14ac:dyDescent="0.2">
      <c r="A40" s="12">
        <f t="shared" si="2"/>
        <v>28</v>
      </c>
      <c r="E40" s="10" t="str">
        <f t="shared" si="0"/>
        <v/>
      </c>
      <c r="I40" s="53" t="str">
        <f t="shared" si="1"/>
        <v/>
      </c>
      <c r="N40" s="8">
        <v>0</v>
      </c>
      <c r="Q40" s="1"/>
      <c r="R40" s="1"/>
      <c r="S40" s="1"/>
      <c r="T40" s="8"/>
      <c r="U40" s="8"/>
      <c r="V40" s="1"/>
      <c r="W40" s="1"/>
      <c r="X40" s="1"/>
      <c r="Z40" s="8"/>
    </row>
    <row r="41" spans="1:26" x14ac:dyDescent="0.2">
      <c r="A41" s="12">
        <f t="shared" si="2"/>
        <v>29</v>
      </c>
      <c r="E41" s="10" t="str">
        <f t="shared" si="0"/>
        <v/>
      </c>
      <c r="I41" s="53" t="str">
        <f t="shared" si="1"/>
        <v/>
      </c>
      <c r="N41" s="8">
        <v>0</v>
      </c>
      <c r="Q41" s="1"/>
      <c r="R41" s="1"/>
      <c r="S41" s="1"/>
      <c r="T41" s="8"/>
      <c r="U41" s="8"/>
      <c r="V41" s="1"/>
      <c r="W41" s="1"/>
      <c r="X41" s="1"/>
      <c r="Z41" s="8"/>
    </row>
    <row r="42" spans="1:26" x14ac:dyDescent="0.2">
      <c r="A42" s="12">
        <f t="shared" si="2"/>
        <v>30</v>
      </c>
      <c r="E42" s="10" t="str">
        <f t="shared" si="0"/>
        <v/>
      </c>
      <c r="I42" s="53" t="str">
        <f t="shared" si="1"/>
        <v/>
      </c>
      <c r="N42" s="8">
        <v>0</v>
      </c>
      <c r="Q42" s="1"/>
      <c r="R42" s="1"/>
      <c r="S42" s="1"/>
      <c r="T42" s="8"/>
      <c r="U42" s="8"/>
      <c r="V42" s="1"/>
      <c r="W42" s="1"/>
      <c r="X42" s="1"/>
      <c r="Z42" s="8"/>
    </row>
    <row r="43" spans="1:26" x14ac:dyDescent="0.2">
      <c r="A43" s="12">
        <f t="shared" si="2"/>
        <v>31</v>
      </c>
      <c r="E43" s="10" t="str">
        <f t="shared" si="0"/>
        <v/>
      </c>
      <c r="I43" s="53" t="str">
        <f t="shared" si="1"/>
        <v/>
      </c>
      <c r="N43" s="8">
        <v>0</v>
      </c>
      <c r="Q43" s="1"/>
      <c r="R43" s="1"/>
      <c r="S43" s="1"/>
      <c r="T43" s="8"/>
      <c r="U43" s="8"/>
      <c r="V43" s="1"/>
      <c r="W43" s="1"/>
      <c r="X43" s="1"/>
      <c r="Z43" s="8"/>
    </row>
    <row r="44" spans="1:26" x14ac:dyDescent="0.2">
      <c r="A44" s="12">
        <f t="shared" si="2"/>
        <v>32</v>
      </c>
      <c r="E44" s="10" t="str">
        <f t="shared" si="0"/>
        <v/>
      </c>
      <c r="I44" s="53" t="str">
        <f t="shared" si="1"/>
        <v/>
      </c>
      <c r="N44" s="8">
        <v>0</v>
      </c>
      <c r="Q44" s="1"/>
      <c r="R44" s="1"/>
      <c r="S44" s="1"/>
      <c r="T44" s="8"/>
      <c r="U44" s="8"/>
      <c r="V44" s="1"/>
      <c r="W44" s="1"/>
      <c r="X44" s="1"/>
      <c r="Z44" s="8"/>
    </row>
    <row r="45" spans="1:26" x14ac:dyDescent="0.2">
      <c r="A45" s="12">
        <f t="shared" si="2"/>
        <v>33</v>
      </c>
      <c r="E45" s="10" t="str">
        <f t="shared" si="0"/>
        <v/>
      </c>
      <c r="I45" s="53" t="str">
        <f t="shared" si="1"/>
        <v/>
      </c>
      <c r="N45" s="8">
        <v>0</v>
      </c>
      <c r="Q45" s="1"/>
      <c r="R45" s="1"/>
      <c r="S45" s="1"/>
      <c r="T45" s="8"/>
      <c r="U45" s="8"/>
      <c r="V45" s="1"/>
      <c r="W45" s="1"/>
      <c r="X45" s="1"/>
      <c r="Z45" s="8"/>
    </row>
    <row r="46" spans="1:26" x14ac:dyDescent="0.2">
      <c r="A46" s="12">
        <f t="shared" si="2"/>
        <v>34</v>
      </c>
      <c r="E46" s="10" t="str">
        <f t="shared" si="0"/>
        <v/>
      </c>
      <c r="I46" s="53" t="str">
        <f t="shared" si="1"/>
        <v/>
      </c>
      <c r="N46" s="8">
        <v>0</v>
      </c>
      <c r="Q46" s="1"/>
      <c r="R46" s="1"/>
      <c r="S46" s="1"/>
      <c r="T46" s="8"/>
      <c r="U46" s="8"/>
      <c r="V46" s="1"/>
      <c r="W46" s="1"/>
      <c r="X46" s="1"/>
      <c r="Z46" s="8"/>
    </row>
    <row r="47" spans="1:26" x14ac:dyDescent="0.2">
      <c r="A47" s="12">
        <f t="shared" si="2"/>
        <v>35</v>
      </c>
      <c r="E47" s="10" t="str">
        <f t="shared" si="0"/>
        <v/>
      </c>
      <c r="I47" s="53" t="str">
        <f t="shared" si="1"/>
        <v/>
      </c>
      <c r="N47" s="8">
        <v>0</v>
      </c>
      <c r="Q47" s="1"/>
      <c r="R47" s="1"/>
      <c r="S47" s="1"/>
      <c r="T47" s="8"/>
      <c r="U47" s="8"/>
      <c r="V47" s="1"/>
      <c r="W47" s="1"/>
      <c r="X47" s="1"/>
      <c r="Z47" s="8"/>
    </row>
    <row r="48" spans="1:26" x14ac:dyDescent="0.2">
      <c r="A48" s="12">
        <f t="shared" si="2"/>
        <v>36</v>
      </c>
      <c r="E48" s="10" t="str">
        <f t="shared" si="0"/>
        <v/>
      </c>
      <c r="I48" s="53" t="str">
        <f t="shared" si="1"/>
        <v/>
      </c>
      <c r="N48" s="8">
        <v>0</v>
      </c>
      <c r="Q48" s="1"/>
      <c r="R48" s="1"/>
      <c r="S48" s="1"/>
      <c r="T48" s="8"/>
      <c r="U48" s="8"/>
      <c r="V48" s="1"/>
      <c r="W48" s="1"/>
      <c r="X48" s="1"/>
      <c r="Z48" s="8"/>
    </row>
    <row r="49" spans="1:26" x14ac:dyDescent="0.2">
      <c r="A49" s="12">
        <f t="shared" si="2"/>
        <v>37</v>
      </c>
      <c r="E49" s="10" t="str">
        <f t="shared" si="0"/>
        <v/>
      </c>
      <c r="I49" s="53" t="str">
        <f t="shared" si="1"/>
        <v/>
      </c>
      <c r="N49" s="8">
        <v>0</v>
      </c>
      <c r="Q49" s="1"/>
      <c r="R49" s="1"/>
      <c r="S49" s="1"/>
      <c r="T49" s="8"/>
      <c r="U49" s="8"/>
      <c r="V49" s="1"/>
      <c r="W49" s="1"/>
      <c r="X49" s="1"/>
      <c r="Z49" s="8"/>
    </row>
    <row r="50" spans="1:26" x14ac:dyDescent="0.2">
      <c r="A50" s="12">
        <f t="shared" si="2"/>
        <v>38</v>
      </c>
      <c r="E50" s="10" t="str">
        <f t="shared" si="0"/>
        <v/>
      </c>
      <c r="I50" s="53" t="str">
        <f t="shared" si="1"/>
        <v/>
      </c>
      <c r="N50" s="8">
        <v>0</v>
      </c>
      <c r="Q50" s="1"/>
      <c r="R50" s="1"/>
      <c r="S50" s="1"/>
      <c r="T50" s="8"/>
      <c r="U50" s="8"/>
      <c r="V50" s="1"/>
      <c r="W50" s="1"/>
      <c r="X50" s="1"/>
      <c r="Z50" s="8"/>
    </row>
    <row r="51" spans="1:26" x14ac:dyDescent="0.2">
      <c r="A51" s="12">
        <f t="shared" si="2"/>
        <v>39</v>
      </c>
      <c r="E51" s="10" t="str">
        <f t="shared" si="0"/>
        <v/>
      </c>
      <c r="I51" s="53" t="str">
        <f t="shared" si="1"/>
        <v/>
      </c>
      <c r="N51" s="8">
        <v>0</v>
      </c>
      <c r="Q51" s="1"/>
      <c r="R51" s="1"/>
      <c r="S51" s="1"/>
      <c r="T51" s="8"/>
      <c r="U51" s="8"/>
      <c r="V51" s="1"/>
      <c r="W51" s="1"/>
      <c r="X51" s="1"/>
      <c r="Z51" s="8"/>
    </row>
    <row r="52" spans="1:26" x14ac:dyDescent="0.2">
      <c r="A52" s="12">
        <f t="shared" si="2"/>
        <v>40</v>
      </c>
      <c r="E52" s="10" t="str">
        <f t="shared" si="0"/>
        <v/>
      </c>
      <c r="I52" s="53" t="str">
        <f t="shared" si="1"/>
        <v/>
      </c>
      <c r="N52" s="8">
        <v>0</v>
      </c>
      <c r="Q52" s="1"/>
      <c r="R52" s="1"/>
      <c r="S52" s="1"/>
      <c r="T52" s="8"/>
      <c r="U52" s="8"/>
      <c r="V52" s="1"/>
      <c r="W52" s="1"/>
      <c r="X52" s="1"/>
      <c r="Z52" s="8"/>
    </row>
    <row r="53" spans="1:26" x14ac:dyDescent="0.2">
      <c r="A53" s="12">
        <f t="shared" si="2"/>
        <v>41</v>
      </c>
      <c r="E53" s="10" t="str">
        <f t="shared" si="0"/>
        <v/>
      </c>
      <c r="I53" s="53" t="str">
        <f t="shared" si="1"/>
        <v/>
      </c>
      <c r="N53" s="8">
        <v>0</v>
      </c>
      <c r="Q53" s="1"/>
      <c r="R53" s="1"/>
      <c r="S53" s="1"/>
      <c r="T53" s="8"/>
      <c r="U53" s="8"/>
      <c r="V53" s="1"/>
      <c r="W53" s="1"/>
      <c r="X53" s="1"/>
      <c r="Z53" s="8"/>
    </row>
    <row r="54" spans="1:26" x14ac:dyDescent="0.2">
      <c r="A54" s="12">
        <f t="shared" si="2"/>
        <v>42</v>
      </c>
      <c r="E54" s="10" t="str">
        <f t="shared" si="0"/>
        <v/>
      </c>
      <c r="I54" s="53" t="str">
        <f t="shared" si="1"/>
        <v/>
      </c>
      <c r="N54" s="8">
        <v>0</v>
      </c>
      <c r="Q54" s="1"/>
      <c r="R54" s="1"/>
      <c r="S54" s="1"/>
      <c r="T54" s="8"/>
      <c r="U54" s="8"/>
      <c r="V54" s="1"/>
      <c r="W54" s="1"/>
      <c r="X54" s="1"/>
      <c r="Z54" s="8"/>
    </row>
    <row r="55" spans="1:26" x14ac:dyDescent="0.2">
      <c r="A55" s="12">
        <f t="shared" si="2"/>
        <v>43</v>
      </c>
      <c r="E55" s="10" t="str">
        <f t="shared" si="0"/>
        <v/>
      </c>
      <c r="I55" s="53" t="str">
        <f t="shared" si="1"/>
        <v/>
      </c>
      <c r="N55" s="8">
        <v>0</v>
      </c>
      <c r="Q55" s="1"/>
      <c r="R55" s="1"/>
      <c r="S55" s="1"/>
      <c r="T55" s="8"/>
      <c r="U55" s="8"/>
      <c r="V55" s="1"/>
      <c r="W55" s="1"/>
      <c r="X55" s="1"/>
      <c r="Z55" s="8"/>
    </row>
    <row r="56" spans="1:26" x14ac:dyDescent="0.2">
      <c r="A56" s="12">
        <f t="shared" si="2"/>
        <v>44</v>
      </c>
      <c r="E56" s="10" t="str">
        <f t="shared" si="0"/>
        <v/>
      </c>
      <c r="I56" s="53" t="str">
        <f t="shared" si="1"/>
        <v/>
      </c>
      <c r="N56" s="8">
        <v>0</v>
      </c>
      <c r="Q56" s="1"/>
      <c r="R56" s="1"/>
      <c r="S56" s="1"/>
      <c r="T56" s="8"/>
      <c r="U56" s="8"/>
      <c r="V56" s="1"/>
      <c r="W56" s="1"/>
      <c r="X56" s="1"/>
      <c r="Z56" s="8"/>
    </row>
    <row r="57" spans="1:26" x14ac:dyDescent="0.2">
      <c r="A57" s="12">
        <f t="shared" si="2"/>
        <v>45</v>
      </c>
      <c r="E57" s="10" t="str">
        <f t="shared" si="0"/>
        <v/>
      </c>
      <c r="I57" s="53" t="str">
        <f t="shared" si="1"/>
        <v/>
      </c>
      <c r="N57" s="8">
        <v>0</v>
      </c>
      <c r="Q57" s="1"/>
      <c r="R57" s="1"/>
      <c r="S57" s="1"/>
      <c r="T57" s="8"/>
      <c r="U57" s="8"/>
      <c r="V57" s="1"/>
      <c r="W57" s="1"/>
      <c r="X57" s="1"/>
      <c r="Z57" s="8"/>
    </row>
    <row r="58" spans="1:26" x14ac:dyDescent="0.2">
      <c r="A58" s="12">
        <f t="shared" si="2"/>
        <v>46</v>
      </c>
      <c r="E58" s="10" t="str">
        <f t="shared" si="0"/>
        <v/>
      </c>
      <c r="I58" s="53" t="str">
        <f t="shared" si="1"/>
        <v/>
      </c>
      <c r="N58" s="8">
        <v>0</v>
      </c>
      <c r="Q58" s="1"/>
      <c r="R58" s="1"/>
      <c r="S58" s="1"/>
      <c r="T58" s="8"/>
      <c r="U58" s="8"/>
      <c r="V58" s="1"/>
      <c r="W58" s="1"/>
      <c r="X58" s="1"/>
      <c r="Z58" s="8"/>
    </row>
    <row r="59" spans="1:26" x14ac:dyDescent="0.2">
      <c r="A59" s="12">
        <f t="shared" si="2"/>
        <v>47</v>
      </c>
      <c r="E59" s="10" t="str">
        <f t="shared" si="0"/>
        <v/>
      </c>
      <c r="I59" s="53" t="str">
        <f t="shared" si="1"/>
        <v/>
      </c>
      <c r="N59" s="8">
        <v>0</v>
      </c>
      <c r="Q59" s="1"/>
      <c r="R59" s="1"/>
      <c r="S59" s="1"/>
      <c r="T59" s="8"/>
      <c r="U59" s="8"/>
      <c r="V59" s="1"/>
      <c r="W59" s="1"/>
      <c r="X59" s="1"/>
      <c r="Z59" s="8"/>
    </row>
    <row r="60" spans="1:26" x14ac:dyDescent="0.2">
      <c r="A60" s="12">
        <f t="shared" si="2"/>
        <v>48</v>
      </c>
      <c r="E60" s="10" t="str">
        <f t="shared" si="0"/>
        <v/>
      </c>
      <c r="I60" s="53" t="str">
        <f t="shared" si="1"/>
        <v/>
      </c>
      <c r="N60" s="8">
        <v>0</v>
      </c>
      <c r="Q60" s="1"/>
      <c r="R60" s="1"/>
      <c r="S60" s="1"/>
      <c r="T60" s="8"/>
      <c r="U60" s="8"/>
      <c r="V60" s="1"/>
      <c r="W60" s="1"/>
      <c r="X60" s="1"/>
      <c r="Z60" s="8"/>
    </row>
    <row r="61" spans="1:26" x14ac:dyDescent="0.2">
      <c r="A61" s="12">
        <f t="shared" si="2"/>
        <v>49</v>
      </c>
      <c r="E61" s="10" t="str">
        <f t="shared" si="0"/>
        <v/>
      </c>
      <c r="I61" s="53" t="str">
        <f t="shared" si="1"/>
        <v/>
      </c>
      <c r="N61" s="8">
        <v>0</v>
      </c>
      <c r="Q61" s="1"/>
      <c r="R61" s="1"/>
      <c r="S61" s="1"/>
      <c r="T61" s="8"/>
      <c r="U61" s="8"/>
      <c r="V61" s="1"/>
      <c r="W61" s="1"/>
      <c r="X61" s="1"/>
      <c r="Z61" s="8"/>
    </row>
    <row r="62" spans="1:26" x14ac:dyDescent="0.2">
      <c r="A62" s="12">
        <f t="shared" si="2"/>
        <v>50</v>
      </c>
      <c r="E62" s="10" t="str">
        <f t="shared" si="0"/>
        <v/>
      </c>
      <c r="I62" s="53" t="str">
        <f t="shared" si="1"/>
        <v/>
      </c>
      <c r="N62" s="8">
        <v>0</v>
      </c>
      <c r="Q62" s="1"/>
      <c r="R62" s="1"/>
      <c r="S62" s="1"/>
      <c r="T62" s="8"/>
      <c r="U62" s="8"/>
      <c r="V62" s="1"/>
      <c r="W62" s="1"/>
      <c r="X62" s="1"/>
      <c r="Z62" s="8"/>
    </row>
    <row r="63" spans="1:26" x14ac:dyDescent="0.2">
      <c r="A63" s="12">
        <f t="shared" si="2"/>
        <v>51</v>
      </c>
      <c r="E63" s="10" t="str">
        <f t="shared" si="0"/>
        <v/>
      </c>
      <c r="I63" s="53" t="str">
        <f t="shared" si="1"/>
        <v/>
      </c>
      <c r="N63" s="8">
        <v>0</v>
      </c>
      <c r="Q63" s="1"/>
      <c r="R63" s="1"/>
      <c r="S63" s="1"/>
      <c r="T63" s="8"/>
      <c r="U63" s="8"/>
      <c r="V63" s="1"/>
      <c r="W63" s="1"/>
      <c r="X63" s="1"/>
      <c r="Z63" s="8"/>
    </row>
    <row r="64" spans="1:26" x14ac:dyDescent="0.2">
      <c r="A64" s="12">
        <f t="shared" si="2"/>
        <v>52</v>
      </c>
      <c r="E64" s="10" t="str">
        <f t="shared" si="0"/>
        <v/>
      </c>
      <c r="I64" s="53" t="str">
        <f t="shared" si="1"/>
        <v/>
      </c>
      <c r="N64" s="8">
        <v>0</v>
      </c>
      <c r="Q64" s="1"/>
      <c r="R64" s="1"/>
      <c r="S64" s="1"/>
      <c r="T64" s="8"/>
      <c r="U64" s="8"/>
      <c r="V64" s="1"/>
      <c r="W64" s="1"/>
      <c r="X64" s="1"/>
      <c r="Z64" s="8"/>
    </row>
    <row r="65" spans="1:26" x14ac:dyDescent="0.2">
      <c r="A65" s="12">
        <f t="shared" si="2"/>
        <v>53</v>
      </c>
      <c r="E65" s="10" t="str">
        <f t="shared" si="0"/>
        <v/>
      </c>
      <c r="I65" s="53" t="str">
        <f t="shared" si="1"/>
        <v/>
      </c>
      <c r="N65" s="8">
        <v>0</v>
      </c>
      <c r="Q65" s="1"/>
      <c r="R65" s="1"/>
      <c r="S65" s="1"/>
      <c r="T65" s="8"/>
      <c r="U65" s="8"/>
      <c r="V65" s="1"/>
      <c r="W65" s="1"/>
      <c r="X65" s="1"/>
      <c r="Z65" s="8"/>
    </row>
    <row r="66" spans="1:26" x14ac:dyDescent="0.2">
      <c r="A66" s="12">
        <f t="shared" si="2"/>
        <v>54</v>
      </c>
      <c r="E66" s="10" t="str">
        <f t="shared" si="0"/>
        <v/>
      </c>
      <c r="I66" s="53" t="str">
        <f t="shared" si="1"/>
        <v/>
      </c>
      <c r="N66" s="8">
        <v>0</v>
      </c>
      <c r="Q66" s="1"/>
      <c r="R66" s="1"/>
      <c r="S66" s="1"/>
      <c r="T66" s="8"/>
      <c r="U66" s="8"/>
      <c r="V66" s="1"/>
      <c r="W66" s="1"/>
      <c r="X66" s="1"/>
      <c r="Z66" s="8"/>
    </row>
    <row r="67" spans="1:26" x14ac:dyDescent="0.2">
      <c r="A67" s="12">
        <f t="shared" si="2"/>
        <v>55</v>
      </c>
      <c r="E67" s="10" t="str">
        <f t="shared" si="0"/>
        <v/>
      </c>
      <c r="I67" s="53" t="str">
        <f t="shared" si="1"/>
        <v/>
      </c>
      <c r="N67" s="8">
        <v>0</v>
      </c>
      <c r="Q67" s="1"/>
      <c r="R67" s="1"/>
      <c r="S67" s="1"/>
      <c r="T67" s="8"/>
      <c r="U67" s="8"/>
      <c r="V67" s="1"/>
      <c r="W67" s="1"/>
      <c r="X67" s="1"/>
      <c r="Z67" s="8"/>
    </row>
    <row r="68" spans="1:26" x14ac:dyDescent="0.2">
      <c r="A68" s="12">
        <f t="shared" si="2"/>
        <v>56</v>
      </c>
      <c r="E68" s="10" t="str">
        <f t="shared" si="0"/>
        <v/>
      </c>
      <c r="I68" s="53" t="str">
        <f t="shared" si="1"/>
        <v/>
      </c>
      <c r="N68" s="8">
        <v>0</v>
      </c>
      <c r="Q68" s="1"/>
      <c r="R68" s="1"/>
      <c r="S68" s="1"/>
      <c r="T68" s="8"/>
      <c r="U68" s="8"/>
      <c r="V68" s="1"/>
      <c r="W68" s="1"/>
      <c r="X68" s="1"/>
      <c r="Z68" s="8"/>
    </row>
    <row r="69" spans="1:26" x14ac:dyDescent="0.2">
      <c r="A69" s="12">
        <f t="shared" si="2"/>
        <v>57</v>
      </c>
      <c r="E69" s="10" t="str">
        <f t="shared" si="0"/>
        <v/>
      </c>
      <c r="I69" s="53" t="str">
        <f t="shared" si="1"/>
        <v/>
      </c>
      <c r="N69" s="8">
        <v>0</v>
      </c>
      <c r="Q69" s="1"/>
      <c r="R69" s="1"/>
      <c r="S69" s="1"/>
      <c r="T69" s="8"/>
      <c r="U69" s="8"/>
      <c r="V69" s="1"/>
      <c r="W69" s="1"/>
      <c r="X69" s="1"/>
      <c r="Z69" s="8"/>
    </row>
    <row r="70" spans="1:26" x14ac:dyDescent="0.2">
      <c r="A70" s="12">
        <f t="shared" si="2"/>
        <v>58</v>
      </c>
      <c r="E70" s="10" t="str">
        <f t="shared" si="0"/>
        <v/>
      </c>
      <c r="I70" s="53" t="str">
        <f t="shared" si="1"/>
        <v/>
      </c>
      <c r="N70" s="8">
        <v>0</v>
      </c>
      <c r="Q70" s="1"/>
      <c r="R70" s="1"/>
      <c r="S70" s="1"/>
      <c r="T70" s="8"/>
      <c r="U70" s="8"/>
      <c r="V70" s="1"/>
      <c r="W70" s="1"/>
      <c r="X70" s="1"/>
      <c r="Z70" s="8"/>
    </row>
    <row r="71" spans="1:26" x14ac:dyDescent="0.2">
      <c r="A71" s="12">
        <f t="shared" si="2"/>
        <v>59</v>
      </c>
      <c r="E71" s="10" t="str">
        <f t="shared" si="0"/>
        <v/>
      </c>
      <c r="I71" s="53" t="str">
        <f t="shared" si="1"/>
        <v/>
      </c>
      <c r="N71" s="8">
        <v>0</v>
      </c>
      <c r="Q71" s="1"/>
      <c r="R71" s="1"/>
      <c r="S71" s="1"/>
      <c r="T71" s="8"/>
      <c r="U71" s="8"/>
      <c r="V71" s="1"/>
      <c r="W71" s="1"/>
      <c r="X71" s="1"/>
      <c r="Z71" s="8"/>
    </row>
    <row r="72" spans="1:26" x14ac:dyDescent="0.2">
      <c r="A72" s="12">
        <f t="shared" si="2"/>
        <v>60</v>
      </c>
      <c r="E72" s="10" t="str">
        <f t="shared" si="0"/>
        <v/>
      </c>
      <c r="I72" s="53" t="str">
        <f t="shared" si="1"/>
        <v/>
      </c>
      <c r="N72" s="8">
        <v>0</v>
      </c>
      <c r="Q72" s="1"/>
      <c r="R72" s="1"/>
      <c r="S72" s="1"/>
      <c r="T72" s="8"/>
      <c r="U72" s="8"/>
      <c r="V72" s="1"/>
      <c r="W72" s="1"/>
      <c r="X72" s="1"/>
      <c r="Z72" s="8"/>
    </row>
    <row r="73" spans="1:26" x14ac:dyDescent="0.2">
      <c r="A73" s="12">
        <f t="shared" si="2"/>
        <v>61</v>
      </c>
      <c r="E73" s="10" t="str">
        <f t="shared" si="0"/>
        <v/>
      </c>
      <c r="I73" s="53" t="str">
        <f t="shared" si="1"/>
        <v/>
      </c>
      <c r="N73" s="8">
        <v>0</v>
      </c>
      <c r="Q73" s="1"/>
      <c r="R73" s="1"/>
      <c r="S73" s="1"/>
      <c r="T73" s="8"/>
      <c r="U73" s="8"/>
      <c r="V73" s="1"/>
      <c r="W73" s="1"/>
      <c r="X73" s="1"/>
      <c r="Z73" s="8"/>
    </row>
    <row r="74" spans="1:26" x14ac:dyDescent="0.2">
      <c r="A74" s="12">
        <f t="shared" si="2"/>
        <v>62</v>
      </c>
      <c r="E74" s="10" t="str">
        <f t="shared" si="0"/>
        <v/>
      </c>
      <c r="I74" s="53" t="str">
        <f t="shared" si="1"/>
        <v/>
      </c>
      <c r="N74" s="8">
        <v>0</v>
      </c>
      <c r="Q74" s="1"/>
      <c r="R74" s="1"/>
      <c r="S74" s="1"/>
      <c r="T74" s="8"/>
      <c r="U74" s="8"/>
      <c r="V74" s="1"/>
      <c r="W74" s="1"/>
      <c r="X74" s="1"/>
      <c r="Z74" s="8"/>
    </row>
    <row r="75" spans="1:26" x14ac:dyDescent="0.2">
      <c r="A75" s="12">
        <f t="shared" si="2"/>
        <v>63</v>
      </c>
      <c r="E75" s="10" t="str">
        <f t="shared" si="0"/>
        <v/>
      </c>
      <c r="I75" s="53" t="str">
        <f t="shared" si="1"/>
        <v/>
      </c>
      <c r="N75" s="8">
        <v>0</v>
      </c>
      <c r="Q75" s="1"/>
      <c r="R75" s="1"/>
      <c r="S75" s="1"/>
      <c r="T75" s="8"/>
      <c r="U75" s="8"/>
      <c r="V75" s="1"/>
      <c r="W75" s="1"/>
      <c r="X75" s="1"/>
      <c r="Z75" s="8"/>
    </row>
    <row r="76" spans="1:26" x14ac:dyDescent="0.2">
      <c r="A76" s="12">
        <f t="shared" si="2"/>
        <v>64</v>
      </c>
      <c r="E76" s="10" t="str">
        <f t="shared" si="0"/>
        <v/>
      </c>
      <c r="I76" s="53" t="str">
        <f t="shared" si="1"/>
        <v/>
      </c>
      <c r="N76" s="8">
        <v>0</v>
      </c>
      <c r="Q76" s="1"/>
      <c r="R76" s="1"/>
      <c r="S76" s="1"/>
      <c r="T76" s="8"/>
      <c r="U76" s="8"/>
      <c r="V76" s="1"/>
      <c r="W76" s="1"/>
      <c r="X76" s="1"/>
      <c r="Z76" s="8"/>
    </row>
    <row r="77" spans="1:26" x14ac:dyDescent="0.2">
      <c r="A77" s="12">
        <f t="shared" si="2"/>
        <v>65</v>
      </c>
      <c r="E77" s="10" t="str">
        <f t="shared" ref="E77:E140" si="3">IF($C$8&gt;=A77,$E$1&amp;" "&amp;A77,"")</f>
        <v/>
      </c>
      <c r="I77" s="53" t="str">
        <f t="shared" si="1"/>
        <v/>
      </c>
      <c r="N77" s="8">
        <v>0</v>
      </c>
      <c r="Q77" s="1"/>
      <c r="R77" s="1"/>
      <c r="S77" s="1"/>
      <c r="T77" s="8"/>
      <c r="U77" s="8"/>
      <c r="V77" s="1"/>
      <c r="W77" s="1"/>
      <c r="X77" s="1"/>
      <c r="Z77" s="8"/>
    </row>
    <row r="78" spans="1:26" x14ac:dyDescent="0.2">
      <c r="A78" s="12">
        <f t="shared" si="2"/>
        <v>66</v>
      </c>
      <c r="E78" s="10" t="str">
        <f t="shared" si="3"/>
        <v/>
      </c>
      <c r="I78" s="53" t="str">
        <f t="shared" ref="I78:I141" si="4">IF(E78="","",F78-G78-H78)</f>
        <v/>
      </c>
      <c r="N78" s="8">
        <v>0</v>
      </c>
      <c r="Q78" s="1"/>
      <c r="R78" s="1"/>
      <c r="S78" s="1"/>
      <c r="T78" s="8"/>
      <c r="U78" s="8"/>
      <c r="V78" s="1"/>
      <c r="W78" s="1"/>
      <c r="X78" s="1"/>
      <c r="Z78" s="8"/>
    </row>
    <row r="79" spans="1:26" x14ac:dyDescent="0.2">
      <c r="A79" s="12">
        <f t="shared" ref="A79:A142" si="5">A78+1</f>
        <v>67</v>
      </c>
      <c r="E79" s="10" t="str">
        <f t="shared" si="3"/>
        <v/>
      </c>
      <c r="I79" s="53" t="str">
        <f t="shared" si="4"/>
        <v/>
      </c>
      <c r="N79" s="8">
        <v>0</v>
      </c>
      <c r="Q79" s="1"/>
      <c r="R79" s="1"/>
      <c r="S79" s="1"/>
      <c r="T79" s="8"/>
      <c r="U79" s="8"/>
      <c r="V79" s="1"/>
      <c r="W79" s="1"/>
      <c r="X79" s="1"/>
      <c r="Z79" s="8"/>
    </row>
    <row r="80" spans="1:26" x14ac:dyDescent="0.2">
      <c r="A80" s="12">
        <f t="shared" si="5"/>
        <v>68</v>
      </c>
      <c r="E80" s="10" t="str">
        <f t="shared" si="3"/>
        <v/>
      </c>
      <c r="I80" s="53" t="str">
        <f t="shared" si="4"/>
        <v/>
      </c>
      <c r="N80" s="8">
        <v>0</v>
      </c>
      <c r="Q80" s="1"/>
      <c r="R80" s="1"/>
      <c r="S80" s="1"/>
      <c r="T80" s="8"/>
      <c r="U80" s="8"/>
      <c r="V80" s="1"/>
      <c r="W80" s="1"/>
      <c r="X80" s="1"/>
      <c r="Z80" s="8"/>
    </row>
    <row r="81" spans="1:26" x14ac:dyDescent="0.2">
      <c r="A81" s="12">
        <f t="shared" si="5"/>
        <v>69</v>
      </c>
      <c r="E81" s="10" t="str">
        <f t="shared" si="3"/>
        <v/>
      </c>
      <c r="I81" s="53" t="str">
        <f t="shared" si="4"/>
        <v/>
      </c>
      <c r="N81" s="8">
        <v>0</v>
      </c>
      <c r="Q81" s="1"/>
      <c r="R81" s="1"/>
      <c r="S81" s="1"/>
      <c r="T81" s="8"/>
      <c r="U81" s="8"/>
      <c r="V81" s="1"/>
      <c r="W81" s="1"/>
      <c r="X81" s="1"/>
      <c r="Z81" s="8"/>
    </row>
    <row r="82" spans="1:26" x14ac:dyDescent="0.2">
      <c r="A82" s="12">
        <f t="shared" si="5"/>
        <v>70</v>
      </c>
      <c r="E82" s="10" t="str">
        <f t="shared" si="3"/>
        <v/>
      </c>
      <c r="I82" s="53" t="str">
        <f t="shared" si="4"/>
        <v/>
      </c>
      <c r="N82" s="8">
        <v>0</v>
      </c>
      <c r="Q82" s="1"/>
      <c r="R82" s="1"/>
      <c r="S82" s="1"/>
      <c r="T82" s="8"/>
      <c r="U82" s="8"/>
      <c r="V82" s="1"/>
      <c r="W82" s="1"/>
      <c r="X82" s="1"/>
      <c r="Z82" s="8"/>
    </row>
    <row r="83" spans="1:26" x14ac:dyDescent="0.2">
      <c r="A83" s="12">
        <f t="shared" si="5"/>
        <v>71</v>
      </c>
      <c r="E83" s="10" t="str">
        <f t="shared" si="3"/>
        <v/>
      </c>
      <c r="I83" s="53" t="str">
        <f t="shared" si="4"/>
        <v/>
      </c>
      <c r="N83" s="8">
        <v>0</v>
      </c>
      <c r="Q83" s="1"/>
      <c r="R83" s="1"/>
      <c r="S83" s="1"/>
      <c r="T83" s="8"/>
      <c r="U83" s="8"/>
      <c r="V83" s="1"/>
      <c r="W83" s="1"/>
      <c r="X83" s="1"/>
      <c r="Z83" s="8"/>
    </row>
    <row r="84" spans="1:26" x14ac:dyDescent="0.2">
      <c r="A84" s="12">
        <f t="shared" si="5"/>
        <v>72</v>
      </c>
      <c r="E84" s="10" t="str">
        <f t="shared" si="3"/>
        <v/>
      </c>
      <c r="I84" s="53" t="str">
        <f t="shared" si="4"/>
        <v/>
      </c>
      <c r="N84" s="8">
        <v>0</v>
      </c>
      <c r="Q84" s="1"/>
      <c r="R84" s="1"/>
      <c r="S84" s="1"/>
      <c r="T84" s="8"/>
      <c r="U84" s="8"/>
      <c r="V84" s="1"/>
      <c r="W84" s="1"/>
      <c r="X84" s="1"/>
      <c r="Z84" s="8"/>
    </row>
    <row r="85" spans="1:26" x14ac:dyDescent="0.2">
      <c r="A85" s="12">
        <f t="shared" si="5"/>
        <v>73</v>
      </c>
      <c r="E85" s="10" t="str">
        <f t="shared" si="3"/>
        <v/>
      </c>
      <c r="I85" s="53" t="str">
        <f t="shared" si="4"/>
        <v/>
      </c>
      <c r="N85" s="8">
        <v>0</v>
      </c>
      <c r="Q85" s="1"/>
      <c r="R85" s="1"/>
      <c r="S85" s="1"/>
      <c r="T85" s="8"/>
      <c r="U85" s="8"/>
      <c r="V85" s="1"/>
      <c r="W85" s="1"/>
      <c r="X85" s="1"/>
      <c r="Z85" s="8"/>
    </row>
    <row r="86" spans="1:26" x14ac:dyDescent="0.2">
      <c r="A86" s="12">
        <f t="shared" si="5"/>
        <v>74</v>
      </c>
      <c r="E86" s="10" t="str">
        <f t="shared" si="3"/>
        <v/>
      </c>
      <c r="I86" s="53" t="str">
        <f t="shared" si="4"/>
        <v/>
      </c>
      <c r="N86" s="8">
        <v>0</v>
      </c>
      <c r="Q86" s="1"/>
      <c r="R86" s="1"/>
      <c r="S86" s="1"/>
      <c r="T86" s="8"/>
      <c r="U86" s="8"/>
      <c r="V86" s="1"/>
      <c r="W86" s="1"/>
      <c r="X86" s="1"/>
      <c r="Z86" s="8"/>
    </row>
    <row r="87" spans="1:26" x14ac:dyDescent="0.2">
      <c r="A87" s="12">
        <f t="shared" si="5"/>
        <v>75</v>
      </c>
      <c r="E87" s="10" t="str">
        <f t="shared" si="3"/>
        <v/>
      </c>
      <c r="I87" s="53" t="str">
        <f t="shared" si="4"/>
        <v/>
      </c>
      <c r="N87" s="8">
        <v>0</v>
      </c>
      <c r="Q87" s="1"/>
      <c r="R87" s="1"/>
      <c r="S87" s="1"/>
      <c r="T87" s="8"/>
      <c r="U87" s="8"/>
      <c r="V87" s="1"/>
      <c r="W87" s="1"/>
      <c r="X87" s="1"/>
      <c r="Z87" s="8"/>
    </row>
    <row r="88" spans="1:26" x14ac:dyDescent="0.2">
      <c r="A88" s="12">
        <f t="shared" si="5"/>
        <v>76</v>
      </c>
      <c r="E88" s="10" t="str">
        <f t="shared" si="3"/>
        <v/>
      </c>
      <c r="I88" s="53" t="str">
        <f t="shared" si="4"/>
        <v/>
      </c>
      <c r="N88" s="8">
        <v>0</v>
      </c>
      <c r="Q88" s="1"/>
      <c r="R88" s="1"/>
      <c r="S88" s="1"/>
      <c r="T88" s="8"/>
      <c r="U88" s="8"/>
      <c r="V88" s="1"/>
      <c r="W88" s="1"/>
      <c r="X88" s="1"/>
      <c r="Z88" s="8"/>
    </row>
    <row r="89" spans="1:26" x14ac:dyDescent="0.2">
      <c r="A89" s="12">
        <f t="shared" si="5"/>
        <v>77</v>
      </c>
      <c r="E89" s="10" t="str">
        <f t="shared" si="3"/>
        <v/>
      </c>
      <c r="I89" s="53" t="str">
        <f t="shared" si="4"/>
        <v/>
      </c>
      <c r="N89" s="8">
        <v>0</v>
      </c>
      <c r="Q89" s="1"/>
      <c r="R89" s="1"/>
      <c r="S89" s="1"/>
      <c r="T89" s="8"/>
      <c r="U89" s="8"/>
      <c r="V89" s="1"/>
      <c r="W89" s="1"/>
      <c r="X89" s="1"/>
      <c r="Z89" s="8"/>
    </row>
    <row r="90" spans="1:26" x14ac:dyDescent="0.2">
      <c r="A90" s="12">
        <f t="shared" si="5"/>
        <v>78</v>
      </c>
      <c r="E90" s="10" t="str">
        <f t="shared" si="3"/>
        <v/>
      </c>
      <c r="I90" s="53" t="str">
        <f t="shared" si="4"/>
        <v/>
      </c>
      <c r="N90" s="8">
        <v>0</v>
      </c>
      <c r="Q90" s="1"/>
      <c r="R90" s="1"/>
      <c r="S90" s="1"/>
      <c r="T90" s="8"/>
      <c r="U90" s="8"/>
      <c r="V90" s="1"/>
      <c r="W90" s="1"/>
      <c r="X90" s="1"/>
      <c r="Z90" s="8"/>
    </row>
    <row r="91" spans="1:26" x14ac:dyDescent="0.2">
      <c r="A91" s="12">
        <f t="shared" si="5"/>
        <v>79</v>
      </c>
      <c r="E91" s="10" t="str">
        <f t="shared" si="3"/>
        <v/>
      </c>
      <c r="I91" s="53" t="str">
        <f t="shared" si="4"/>
        <v/>
      </c>
      <c r="N91" s="8">
        <v>0</v>
      </c>
      <c r="Q91" s="1"/>
      <c r="R91" s="1"/>
      <c r="S91" s="1"/>
      <c r="T91" s="8"/>
      <c r="U91" s="8"/>
      <c r="V91" s="1"/>
      <c r="W91" s="1"/>
      <c r="X91" s="1"/>
      <c r="Z91" s="8"/>
    </row>
    <row r="92" spans="1:26" x14ac:dyDescent="0.2">
      <c r="A92" s="12">
        <f t="shared" si="5"/>
        <v>80</v>
      </c>
      <c r="E92" s="10" t="str">
        <f t="shared" si="3"/>
        <v/>
      </c>
      <c r="I92" s="53" t="str">
        <f t="shared" si="4"/>
        <v/>
      </c>
      <c r="N92" s="8">
        <v>0</v>
      </c>
      <c r="Q92" s="1"/>
      <c r="R92" s="1"/>
      <c r="S92" s="1"/>
      <c r="T92" s="8"/>
      <c r="U92" s="8"/>
      <c r="V92" s="1"/>
      <c r="W92" s="1"/>
      <c r="X92" s="1"/>
      <c r="Z92" s="8"/>
    </row>
    <row r="93" spans="1:26" x14ac:dyDescent="0.2">
      <c r="A93" s="12">
        <f t="shared" si="5"/>
        <v>81</v>
      </c>
      <c r="E93" s="10" t="str">
        <f t="shared" si="3"/>
        <v/>
      </c>
      <c r="I93" s="53" t="str">
        <f t="shared" si="4"/>
        <v/>
      </c>
      <c r="N93" s="8">
        <v>0</v>
      </c>
      <c r="Q93" s="1"/>
      <c r="R93" s="1"/>
      <c r="S93" s="1"/>
      <c r="T93" s="8"/>
      <c r="U93" s="8"/>
      <c r="V93" s="1"/>
      <c r="W93" s="1"/>
      <c r="X93" s="1"/>
      <c r="Z93" s="8"/>
    </row>
    <row r="94" spans="1:26" x14ac:dyDescent="0.2">
      <c r="A94" s="12">
        <f t="shared" si="5"/>
        <v>82</v>
      </c>
      <c r="E94" s="10" t="str">
        <f t="shared" si="3"/>
        <v/>
      </c>
      <c r="I94" s="53" t="str">
        <f t="shared" si="4"/>
        <v/>
      </c>
      <c r="N94" s="8">
        <v>0</v>
      </c>
      <c r="Q94" s="1"/>
      <c r="R94" s="1"/>
      <c r="S94" s="1"/>
      <c r="T94" s="8"/>
      <c r="U94" s="8"/>
      <c r="V94" s="1"/>
      <c r="W94" s="1"/>
      <c r="X94" s="1"/>
      <c r="Z94" s="8"/>
    </row>
    <row r="95" spans="1:26" x14ac:dyDescent="0.2">
      <c r="A95" s="12">
        <f t="shared" si="5"/>
        <v>83</v>
      </c>
      <c r="E95" s="10" t="str">
        <f t="shared" si="3"/>
        <v/>
      </c>
      <c r="I95" s="53" t="str">
        <f t="shared" si="4"/>
        <v/>
      </c>
      <c r="N95" s="8">
        <v>0</v>
      </c>
      <c r="Q95" s="1"/>
      <c r="R95" s="1"/>
      <c r="S95" s="1"/>
      <c r="T95" s="8"/>
      <c r="U95" s="8"/>
      <c r="V95" s="1"/>
      <c r="W95" s="1"/>
      <c r="X95" s="1"/>
      <c r="Z95" s="8"/>
    </row>
    <row r="96" spans="1:26" x14ac:dyDescent="0.2">
      <c r="A96" s="12">
        <f t="shared" si="5"/>
        <v>84</v>
      </c>
      <c r="E96" s="10" t="str">
        <f t="shared" si="3"/>
        <v/>
      </c>
      <c r="I96" s="53" t="str">
        <f t="shared" si="4"/>
        <v/>
      </c>
      <c r="N96" s="8">
        <v>0</v>
      </c>
      <c r="Q96" s="1"/>
      <c r="R96" s="1"/>
      <c r="S96" s="1"/>
      <c r="T96" s="8"/>
      <c r="U96" s="8"/>
      <c r="V96" s="1"/>
      <c r="W96" s="1"/>
      <c r="X96" s="1"/>
      <c r="Z96" s="8"/>
    </row>
    <row r="97" spans="1:26" x14ac:dyDescent="0.2">
      <c r="A97" s="12">
        <f t="shared" si="5"/>
        <v>85</v>
      </c>
      <c r="E97" s="10" t="str">
        <f t="shared" si="3"/>
        <v/>
      </c>
      <c r="I97" s="53" t="str">
        <f t="shared" si="4"/>
        <v/>
      </c>
      <c r="N97" s="8">
        <v>0</v>
      </c>
      <c r="Q97" s="1"/>
      <c r="R97" s="1"/>
      <c r="S97" s="1"/>
      <c r="T97" s="8"/>
      <c r="U97" s="8"/>
      <c r="V97" s="1"/>
      <c r="W97" s="1"/>
      <c r="X97" s="1"/>
      <c r="Z97" s="8"/>
    </row>
    <row r="98" spans="1:26" x14ac:dyDescent="0.2">
      <c r="A98" s="12">
        <f t="shared" si="5"/>
        <v>86</v>
      </c>
      <c r="E98" s="10" t="str">
        <f t="shared" si="3"/>
        <v/>
      </c>
      <c r="I98" s="53" t="str">
        <f t="shared" si="4"/>
        <v/>
      </c>
      <c r="N98" s="8">
        <v>0</v>
      </c>
      <c r="Q98" s="1"/>
      <c r="R98" s="1"/>
      <c r="S98" s="1"/>
      <c r="T98" s="8"/>
      <c r="U98" s="8"/>
      <c r="V98" s="1"/>
      <c r="W98" s="1"/>
      <c r="X98" s="1"/>
      <c r="Z98" s="8"/>
    </row>
    <row r="99" spans="1:26" x14ac:dyDescent="0.2">
      <c r="A99" s="12">
        <f t="shared" si="5"/>
        <v>87</v>
      </c>
      <c r="E99" s="10" t="str">
        <f t="shared" si="3"/>
        <v/>
      </c>
      <c r="I99" s="53" t="str">
        <f t="shared" si="4"/>
        <v/>
      </c>
      <c r="N99" s="8">
        <v>0</v>
      </c>
      <c r="Q99" s="1"/>
      <c r="R99" s="1"/>
      <c r="S99" s="1"/>
      <c r="T99" s="8"/>
      <c r="U99" s="8"/>
      <c r="V99" s="1"/>
      <c r="W99" s="1"/>
      <c r="X99" s="1"/>
      <c r="Z99" s="8"/>
    </row>
    <row r="100" spans="1:26" x14ac:dyDescent="0.2">
      <c r="A100" s="12">
        <f t="shared" si="5"/>
        <v>88</v>
      </c>
      <c r="E100" s="10" t="str">
        <f t="shared" si="3"/>
        <v/>
      </c>
      <c r="I100" s="53" t="str">
        <f t="shared" si="4"/>
        <v/>
      </c>
      <c r="N100" s="8">
        <v>0</v>
      </c>
      <c r="Q100" s="1"/>
      <c r="R100" s="1"/>
      <c r="S100" s="1"/>
      <c r="T100" s="8"/>
      <c r="U100" s="8"/>
      <c r="V100" s="1"/>
      <c r="W100" s="1"/>
      <c r="X100" s="1"/>
      <c r="Z100" s="8"/>
    </row>
    <row r="101" spans="1:26" x14ac:dyDescent="0.2">
      <c r="A101" s="12">
        <f t="shared" si="5"/>
        <v>89</v>
      </c>
      <c r="E101" s="10" t="str">
        <f t="shared" si="3"/>
        <v/>
      </c>
      <c r="I101" s="53" t="str">
        <f t="shared" si="4"/>
        <v/>
      </c>
      <c r="N101" s="8">
        <v>0</v>
      </c>
      <c r="Q101" s="1"/>
      <c r="R101" s="1"/>
      <c r="S101" s="1"/>
      <c r="T101" s="8"/>
      <c r="U101" s="8"/>
      <c r="V101" s="1"/>
      <c r="W101" s="1"/>
      <c r="X101" s="1"/>
      <c r="Z101" s="8"/>
    </row>
    <row r="102" spans="1:26" x14ac:dyDescent="0.2">
      <c r="A102" s="12">
        <f t="shared" si="5"/>
        <v>90</v>
      </c>
      <c r="E102" s="10" t="str">
        <f t="shared" si="3"/>
        <v/>
      </c>
      <c r="I102" s="53" t="str">
        <f t="shared" si="4"/>
        <v/>
      </c>
      <c r="N102" s="8">
        <v>0</v>
      </c>
      <c r="Q102" s="1"/>
      <c r="R102" s="1"/>
      <c r="S102" s="1"/>
      <c r="T102" s="8"/>
      <c r="U102" s="8"/>
      <c r="V102" s="1"/>
      <c r="W102" s="1"/>
      <c r="X102" s="1"/>
      <c r="Z102" s="8"/>
    </row>
    <row r="103" spans="1:26" x14ac:dyDescent="0.2">
      <c r="A103" s="12">
        <f t="shared" si="5"/>
        <v>91</v>
      </c>
      <c r="E103" s="10" t="str">
        <f t="shared" si="3"/>
        <v/>
      </c>
      <c r="I103" s="53" t="str">
        <f t="shared" si="4"/>
        <v/>
      </c>
      <c r="N103" s="8">
        <v>0</v>
      </c>
      <c r="Q103" s="1"/>
      <c r="R103" s="1"/>
      <c r="S103" s="1"/>
      <c r="T103" s="8"/>
      <c r="U103" s="8"/>
      <c r="V103" s="1"/>
      <c r="W103" s="1"/>
      <c r="X103" s="1"/>
      <c r="Z103" s="8"/>
    </row>
    <row r="104" spans="1:26" x14ac:dyDescent="0.2">
      <c r="A104" s="12">
        <f t="shared" si="5"/>
        <v>92</v>
      </c>
      <c r="E104" s="10" t="str">
        <f t="shared" si="3"/>
        <v/>
      </c>
      <c r="I104" s="53" t="str">
        <f t="shared" si="4"/>
        <v/>
      </c>
      <c r="N104" s="8">
        <v>0</v>
      </c>
      <c r="Q104" s="1"/>
      <c r="R104" s="1"/>
      <c r="S104" s="1"/>
      <c r="T104" s="8"/>
      <c r="U104" s="8"/>
      <c r="V104" s="1"/>
      <c r="W104" s="1"/>
      <c r="X104" s="1"/>
      <c r="Z104" s="8"/>
    </row>
    <row r="105" spans="1:26" x14ac:dyDescent="0.2">
      <c r="A105" s="12">
        <f t="shared" si="5"/>
        <v>93</v>
      </c>
      <c r="E105" s="10" t="str">
        <f t="shared" si="3"/>
        <v/>
      </c>
      <c r="I105" s="53" t="str">
        <f t="shared" si="4"/>
        <v/>
      </c>
      <c r="N105" s="8">
        <v>0</v>
      </c>
      <c r="Q105" s="1"/>
      <c r="R105" s="1"/>
      <c r="S105" s="1"/>
      <c r="T105" s="8"/>
      <c r="U105" s="8"/>
      <c r="V105" s="1"/>
      <c r="W105" s="1"/>
      <c r="X105" s="1"/>
      <c r="Z105" s="8"/>
    </row>
    <row r="106" spans="1:26" x14ac:dyDescent="0.2">
      <c r="A106" s="12">
        <f t="shared" si="5"/>
        <v>94</v>
      </c>
      <c r="E106" s="10" t="str">
        <f t="shared" si="3"/>
        <v/>
      </c>
      <c r="I106" s="53" t="str">
        <f t="shared" si="4"/>
        <v/>
      </c>
      <c r="N106" s="8">
        <v>0</v>
      </c>
      <c r="Q106" s="1"/>
      <c r="R106" s="1"/>
      <c r="S106" s="1"/>
      <c r="T106" s="8"/>
      <c r="U106" s="8"/>
      <c r="V106" s="1"/>
      <c r="W106" s="1"/>
      <c r="X106" s="1"/>
      <c r="Z106" s="8"/>
    </row>
    <row r="107" spans="1:26" x14ac:dyDescent="0.2">
      <c r="A107" s="12">
        <f t="shared" si="5"/>
        <v>95</v>
      </c>
      <c r="E107" s="10" t="str">
        <f t="shared" si="3"/>
        <v/>
      </c>
      <c r="I107" s="53" t="str">
        <f t="shared" si="4"/>
        <v/>
      </c>
      <c r="N107" s="8">
        <v>0</v>
      </c>
      <c r="Q107" s="1"/>
      <c r="R107" s="1"/>
      <c r="S107" s="1"/>
      <c r="T107" s="8"/>
      <c r="U107" s="8"/>
      <c r="V107" s="1"/>
      <c r="W107" s="1"/>
      <c r="X107" s="1"/>
      <c r="Z107" s="8"/>
    </row>
    <row r="108" spans="1:26" x14ac:dyDescent="0.2">
      <c r="A108" s="12">
        <f t="shared" si="5"/>
        <v>96</v>
      </c>
      <c r="E108" s="10" t="str">
        <f t="shared" si="3"/>
        <v/>
      </c>
      <c r="I108" s="53" t="str">
        <f t="shared" si="4"/>
        <v/>
      </c>
      <c r="N108" s="8">
        <v>0</v>
      </c>
      <c r="Q108" s="1"/>
      <c r="R108" s="1"/>
      <c r="S108" s="1"/>
      <c r="T108" s="8"/>
      <c r="U108" s="8"/>
      <c r="V108" s="1"/>
      <c r="W108" s="1"/>
      <c r="X108" s="1"/>
      <c r="Z108" s="8"/>
    </row>
    <row r="109" spans="1:26" x14ac:dyDescent="0.2">
      <c r="A109" s="12">
        <f t="shared" si="5"/>
        <v>97</v>
      </c>
      <c r="E109" s="10" t="str">
        <f t="shared" si="3"/>
        <v/>
      </c>
      <c r="I109" s="53" t="str">
        <f t="shared" si="4"/>
        <v/>
      </c>
      <c r="N109" s="8">
        <v>0</v>
      </c>
      <c r="Q109" s="1"/>
      <c r="R109" s="1"/>
      <c r="S109" s="1"/>
      <c r="T109" s="8"/>
      <c r="U109" s="8"/>
      <c r="V109" s="1"/>
      <c r="W109" s="1"/>
      <c r="X109" s="1"/>
      <c r="Z109" s="8"/>
    </row>
    <row r="110" spans="1:26" x14ac:dyDescent="0.2">
      <c r="A110" s="12">
        <f t="shared" si="5"/>
        <v>98</v>
      </c>
      <c r="E110" s="10" t="str">
        <f t="shared" si="3"/>
        <v/>
      </c>
      <c r="I110" s="53" t="str">
        <f t="shared" si="4"/>
        <v/>
      </c>
      <c r="N110" s="8">
        <v>0</v>
      </c>
      <c r="Q110" s="1"/>
      <c r="R110" s="1"/>
      <c r="S110" s="1"/>
      <c r="T110" s="8"/>
      <c r="U110" s="8"/>
      <c r="V110" s="1"/>
      <c r="W110" s="1"/>
      <c r="X110" s="1"/>
      <c r="Z110" s="8"/>
    </row>
    <row r="111" spans="1:26" x14ac:dyDescent="0.2">
      <c r="A111" s="12">
        <f t="shared" si="5"/>
        <v>99</v>
      </c>
      <c r="E111" s="10" t="str">
        <f t="shared" si="3"/>
        <v/>
      </c>
      <c r="I111" s="53" t="str">
        <f t="shared" si="4"/>
        <v/>
      </c>
      <c r="N111" s="8">
        <v>0</v>
      </c>
      <c r="Q111" s="1"/>
      <c r="R111" s="1"/>
      <c r="S111" s="1"/>
      <c r="T111" s="8"/>
      <c r="U111" s="8"/>
      <c r="V111" s="1"/>
      <c r="W111" s="1"/>
      <c r="X111" s="1"/>
      <c r="Z111" s="8"/>
    </row>
    <row r="112" spans="1:26" x14ac:dyDescent="0.2">
      <c r="A112" s="12">
        <f t="shared" si="5"/>
        <v>100</v>
      </c>
      <c r="E112" s="10" t="str">
        <f t="shared" si="3"/>
        <v/>
      </c>
      <c r="I112" s="53" t="str">
        <f t="shared" si="4"/>
        <v/>
      </c>
      <c r="N112" s="8">
        <v>0</v>
      </c>
      <c r="Q112" s="1"/>
      <c r="R112" s="1"/>
      <c r="S112" s="1"/>
      <c r="T112" s="8"/>
      <c r="U112" s="8"/>
      <c r="V112" s="1"/>
      <c r="W112" s="1"/>
      <c r="X112" s="1"/>
      <c r="Z112" s="8"/>
    </row>
    <row r="113" spans="1:26" x14ac:dyDescent="0.2">
      <c r="A113" s="12">
        <f t="shared" si="5"/>
        <v>101</v>
      </c>
      <c r="E113" s="10" t="str">
        <f t="shared" si="3"/>
        <v/>
      </c>
      <c r="I113" s="53" t="str">
        <f t="shared" si="4"/>
        <v/>
      </c>
      <c r="N113" s="8">
        <v>0</v>
      </c>
      <c r="Q113" s="1"/>
      <c r="R113" s="1"/>
      <c r="S113" s="1"/>
      <c r="T113" s="8"/>
      <c r="U113" s="8"/>
      <c r="V113" s="1"/>
      <c r="W113" s="1"/>
      <c r="X113" s="1"/>
      <c r="Z113" s="8"/>
    </row>
    <row r="114" spans="1:26" x14ac:dyDescent="0.2">
      <c r="A114" s="12">
        <f t="shared" si="5"/>
        <v>102</v>
      </c>
      <c r="E114" s="10" t="str">
        <f t="shared" si="3"/>
        <v/>
      </c>
      <c r="I114" s="53" t="str">
        <f t="shared" si="4"/>
        <v/>
      </c>
      <c r="N114" s="8">
        <v>0</v>
      </c>
      <c r="Q114" s="1"/>
      <c r="R114" s="1"/>
      <c r="S114" s="1"/>
      <c r="T114" s="8"/>
      <c r="U114" s="8"/>
      <c r="V114" s="1"/>
      <c r="W114" s="1"/>
      <c r="X114" s="1"/>
      <c r="Z114" s="8"/>
    </row>
    <row r="115" spans="1:26" x14ac:dyDescent="0.2">
      <c r="A115" s="12">
        <f t="shared" si="5"/>
        <v>103</v>
      </c>
      <c r="E115" s="10" t="str">
        <f t="shared" si="3"/>
        <v/>
      </c>
      <c r="I115" s="53" t="str">
        <f t="shared" si="4"/>
        <v/>
      </c>
      <c r="N115" s="8">
        <v>0</v>
      </c>
      <c r="Q115" s="1"/>
      <c r="R115" s="1"/>
      <c r="S115" s="1"/>
      <c r="T115" s="8"/>
      <c r="U115" s="8"/>
      <c r="V115" s="1"/>
      <c r="W115" s="1"/>
      <c r="X115" s="1"/>
      <c r="Z115" s="8"/>
    </row>
    <row r="116" spans="1:26" x14ac:dyDescent="0.2">
      <c r="A116" s="12">
        <f t="shared" si="5"/>
        <v>104</v>
      </c>
      <c r="E116" s="10" t="str">
        <f t="shared" si="3"/>
        <v/>
      </c>
      <c r="I116" s="53" t="str">
        <f t="shared" si="4"/>
        <v/>
      </c>
      <c r="N116" s="8">
        <v>0</v>
      </c>
      <c r="Q116" s="1"/>
      <c r="R116" s="1"/>
      <c r="S116" s="1"/>
      <c r="T116" s="8"/>
      <c r="U116" s="8"/>
      <c r="V116" s="1"/>
      <c r="W116" s="1"/>
      <c r="X116" s="1"/>
      <c r="Z116" s="8"/>
    </row>
    <row r="117" spans="1:26" x14ac:dyDescent="0.2">
      <c r="A117" s="12">
        <f t="shared" si="5"/>
        <v>105</v>
      </c>
      <c r="E117" s="10" t="str">
        <f t="shared" si="3"/>
        <v/>
      </c>
      <c r="I117" s="53" t="str">
        <f t="shared" si="4"/>
        <v/>
      </c>
      <c r="N117" s="8">
        <v>0</v>
      </c>
      <c r="Q117" s="1"/>
      <c r="R117" s="1"/>
      <c r="S117" s="1"/>
      <c r="T117" s="8"/>
      <c r="U117" s="8"/>
      <c r="V117" s="1"/>
      <c r="W117" s="1"/>
      <c r="X117" s="1"/>
      <c r="Z117" s="8"/>
    </row>
    <row r="118" spans="1:26" x14ac:dyDescent="0.2">
      <c r="A118" s="12">
        <f t="shared" si="5"/>
        <v>106</v>
      </c>
      <c r="E118" s="10" t="str">
        <f t="shared" si="3"/>
        <v/>
      </c>
      <c r="I118" s="53" t="str">
        <f t="shared" si="4"/>
        <v/>
      </c>
      <c r="N118" s="8">
        <v>0</v>
      </c>
      <c r="Q118" s="1"/>
      <c r="R118" s="1"/>
      <c r="S118" s="1"/>
      <c r="T118" s="8"/>
      <c r="U118" s="8"/>
      <c r="V118" s="1"/>
      <c r="W118" s="1"/>
      <c r="X118" s="1"/>
      <c r="Z118" s="8"/>
    </row>
    <row r="119" spans="1:26" x14ac:dyDescent="0.2">
      <c r="A119" s="12">
        <f t="shared" si="5"/>
        <v>107</v>
      </c>
      <c r="E119" s="10" t="str">
        <f t="shared" si="3"/>
        <v/>
      </c>
      <c r="I119" s="53" t="str">
        <f t="shared" si="4"/>
        <v/>
      </c>
      <c r="N119" s="8">
        <v>0</v>
      </c>
      <c r="Q119" s="1"/>
      <c r="R119" s="1"/>
      <c r="S119" s="1"/>
      <c r="T119" s="8"/>
      <c r="U119" s="8"/>
      <c r="V119" s="1"/>
      <c r="W119" s="1"/>
      <c r="X119" s="1"/>
      <c r="Z119" s="8"/>
    </row>
    <row r="120" spans="1:26" x14ac:dyDescent="0.2">
      <c r="A120" s="12">
        <f t="shared" si="5"/>
        <v>108</v>
      </c>
      <c r="E120" s="10" t="str">
        <f t="shared" si="3"/>
        <v/>
      </c>
      <c r="I120" s="53" t="str">
        <f t="shared" si="4"/>
        <v/>
      </c>
      <c r="N120" s="8">
        <v>0</v>
      </c>
      <c r="Q120" s="1"/>
      <c r="R120" s="1"/>
      <c r="S120" s="1"/>
      <c r="T120" s="8"/>
      <c r="U120" s="8"/>
      <c r="V120" s="1"/>
      <c r="W120" s="1"/>
      <c r="X120" s="1"/>
      <c r="Z120" s="8"/>
    </row>
    <row r="121" spans="1:26" x14ac:dyDescent="0.2">
      <c r="A121" s="12">
        <f t="shared" si="5"/>
        <v>109</v>
      </c>
      <c r="E121" s="10" t="str">
        <f t="shared" si="3"/>
        <v/>
      </c>
      <c r="I121" s="53" t="str">
        <f t="shared" si="4"/>
        <v/>
      </c>
      <c r="N121" s="8">
        <v>0</v>
      </c>
      <c r="Q121" s="1"/>
      <c r="R121" s="1"/>
      <c r="S121" s="1"/>
      <c r="T121" s="8"/>
      <c r="U121" s="8"/>
      <c r="V121" s="1"/>
      <c r="W121" s="1"/>
      <c r="X121" s="1"/>
      <c r="Z121" s="8"/>
    </row>
    <row r="122" spans="1:26" x14ac:dyDescent="0.2">
      <c r="A122" s="12">
        <f t="shared" si="5"/>
        <v>110</v>
      </c>
      <c r="E122" s="10" t="str">
        <f t="shared" si="3"/>
        <v/>
      </c>
      <c r="I122" s="53" t="str">
        <f t="shared" si="4"/>
        <v/>
      </c>
      <c r="N122" s="8">
        <v>0</v>
      </c>
      <c r="Q122" s="1"/>
      <c r="R122" s="1"/>
      <c r="S122" s="1"/>
      <c r="T122" s="8"/>
      <c r="U122" s="8"/>
      <c r="V122" s="1"/>
      <c r="W122" s="1"/>
      <c r="X122" s="1"/>
      <c r="Z122" s="8"/>
    </row>
    <row r="123" spans="1:26" x14ac:dyDescent="0.2">
      <c r="A123" s="12">
        <f t="shared" si="5"/>
        <v>111</v>
      </c>
      <c r="E123" s="10" t="str">
        <f t="shared" si="3"/>
        <v/>
      </c>
      <c r="I123" s="53" t="str">
        <f t="shared" si="4"/>
        <v/>
      </c>
      <c r="N123" s="8">
        <v>0</v>
      </c>
      <c r="Q123" s="1"/>
      <c r="R123" s="1"/>
      <c r="S123" s="1"/>
      <c r="T123" s="8"/>
      <c r="U123" s="8"/>
      <c r="V123" s="1"/>
      <c r="W123" s="1"/>
      <c r="X123" s="1"/>
      <c r="Z123" s="8"/>
    </row>
    <row r="124" spans="1:26" x14ac:dyDescent="0.2">
      <c r="A124" s="12">
        <f t="shared" si="5"/>
        <v>112</v>
      </c>
      <c r="E124" s="10" t="str">
        <f t="shared" si="3"/>
        <v/>
      </c>
      <c r="I124" s="53" t="str">
        <f t="shared" si="4"/>
        <v/>
      </c>
      <c r="N124" s="8">
        <v>0</v>
      </c>
      <c r="Q124" s="1"/>
      <c r="R124" s="1"/>
      <c r="S124" s="1"/>
      <c r="T124" s="8"/>
      <c r="U124" s="8"/>
      <c r="V124" s="1"/>
      <c r="W124" s="1"/>
      <c r="X124" s="1"/>
      <c r="Z124" s="8"/>
    </row>
    <row r="125" spans="1:26" x14ac:dyDescent="0.2">
      <c r="A125" s="12">
        <f t="shared" si="5"/>
        <v>113</v>
      </c>
      <c r="E125" s="10" t="str">
        <f t="shared" si="3"/>
        <v/>
      </c>
      <c r="I125" s="53" t="str">
        <f t="shared" si="4"/>
        <v/>
      </c>
      <c r="N125" s="8">
        <v>0</v>
      </c>
      <c r="Q125" s="1"/>
      <c r="R125" s="1"/>
      <c r="S125" s="1"/>
      <c r="T125" s="8"/>
      <c r="U125" s="8"/>
      <c r="V125" s="1"/>
      <c r="W125" s="1"/>
      <c r="X125" s="1"/>
      <c r="Z125" s="8"/>
    </row>
    <row r="126" spans="1:26" x14ac:dyDescent="0.2">
      <c r="A126" s="12">
        <f t="shared" si="5"/>
        <v>114</v>
      </c>
      <c r="E126" s="10" t="str">
        <f t="shared" si="3"/>
        <v/>
      </c>
      <c r="I126" s="53" t="str">
        <f t="shared" si="4"/>
        <v/>
      </c>
      <c r="N126" s="8">
        <v>0</v>
      </c>
      <c r="Q126" s="1"/>
      <c r="R126" s="1"/>
      <c r="S126" s="1"/>
      <c r="T126" s="8"/>
      <c r="U126" s="8"/>
      <c r="V126" s="1"/>
      <c r="W126" s="1"/>
      <c r="X126" s="1"/>
      <c r="Z126" s="8"/>
    </row>
    <row r="127" spans="1:26" x14ac:dyDescent="0.2">
      <c r="A127" s="12">
        <f t="shared" si="5"/>
        <v>115</v>
      </c>
      <c r="E127" s="10" t="str">
        <f t="shared" si="3"/>
        <v/>
      </c>
      <c r="I127" s="53" t="str">
        <f t="shared" si="4"/>
        <v/>
      </c>
      <c r="N127" s="8">
        <v>0</v>
      </c>
      <c r="Q127" s="1"/>
      <c r="R127" s="1"/>
      <c r="S127" s="1"/>
      <c r="T127" s="8"/>
      <c r="U127" s="8"/>
      <c r="V127" s="1"/>
      <c r="W127" s="1"/>
      <c r="X127" s="1"/>
      <c r="Z127" s="8"/>
    </row>
    <row r="128" spans="1:26" x14ac:dyDescent="0.2">
      <c r="A128" s="12">
        <f t="shared" si="5"/>
        <v>116</v>
      </c>
      <c r="E128" s="10" t="str">
        <f t="shared" si="3"/>
        <v/>
      </c>
      <c r="I128" s="53" t="str">
        <f t="shared" si="4"/>
        <v/>
      </c>
      <c r="N128" s="8">
        <v>0</v>
      </c>
      <c r="Q128" s="1"/>
      <c r="R128" s="1"/>
      <c r="S128" s="1"/>
      <c r="T128" s="8"/>
      <c r="U128" s="8"/>
      <c r="V128" s="1"/>
      <c r="W128" s="1"/>
      <c r="X128" s="1"/>
      <c r="Z128" s="8"/>
    </row>
    <row r="129" spans="1:26" x14ac:dyDescent="0.2">
      <c r="A129" s="12">
        <f t="shared" si="5"/>
        <v>117</v>
      </c>
      <c r="E129" s="10" t="str">
        <f t="shared" si="3"/>
        <v/>
      </c>
      <c r="I129" s="53" t="str">
        <f t="shared" si="4"/>
        <v/>
      </c>
      <c r="N129" s="8">
        <v>0</v>
      </c>
      <c r="Q129" s="1"/>
      <c r="R129" s="1"/>
      <c r="S129" s="1"/>
      <c r="T129" s="8"/>
      <c r="U129" s="8"/>
      <c r="V129" s="1"/>
      <c r="W129" s="1"/>
      <c r="X129" s="1"/>
      <c r="Z129" s="8"/>
    </row>
    <row r="130" spans="1:26" x14ac:dyDescent="0.2">
      <c r="A130" s="12">
        <f t="shared" si="5"/>
        <v>118</v>
      </c>
      <c r="E130" s="10" t="str">
        <f t="shared" si="3"/>
        <v/>
      </c>
      <c r="I130" s="53" t="str">
        <f t="shared" si="4"/>
        <v/>
      </c>
      <c r="N130" s="8">
        <v>0</v>
      </c>
      <c r="Q130" s="1"/>
      <c r="R130" s="1"/>
      <c r="S130" s="1"/>
      <c r="T130" s="8"/>
      <c r="U130" s="8"/>
      <c r="V130" s="1"/>
      <c r="W130" s="1"/>
      <c r="X130" s="1"/>
      <c r="Z130" s="8"/>
    </row>
    <row r="131" spans="1:26" x14ac:dyDescent="0.2">
      <c r="A131" s="12">
        <f t="shared" si="5"/>
        <v>119</v>
      </c>
      <c r="E131" s="10" t="str">
        <f t="shared" si="3"/>
        <v/>
      </c>
      <c r="I131" s="53" t="str">
        <f t="shared" si="4"/>
        <v/>
      </c>
      <c r="N131" s="8">
        <v>0</v>
      </c>
      <c r="Q131" s="1"/>
      <c r="R131" s="1"/>
      <c r="S131" s="1"/>
      <c r="T131" s="8"/>
      <c r="U131" s="8"/>
      <c r="V131" s="1"/>
      <c r="W131" s="1"/>
      <c r="X131" s="1"/>
      <c r="Z131" s="8"/>
    </row>
    <row r="132" spans="1:26" x14ac:dyDescent="0.2">
      <c r="A132" s="12">
        <f t="shared" si="5"/>
        <v>120</v>
      </c>
      <c r="E132" s="10" t="str">
        <f t="shared" si="3"/>
        <v/>
      </c>
      <c r="I132" s="53" t="str">
        <f t="shared" si="4"/>
        <v/>
      </c>
      <c r="N132" s="8">
        <v>0</v>
      </c>
      <c r="Q132" s="1"/>
      <c r="R132" s="1"/>
      <c r="S132" s="1"/>
      <c r="T132" s="8"/>
      <c r="U132" s="8"/>
      <c r="V132" s="1"/>
      <c r="W132" s="1"/>
      <c r="X132" s="1"/>
      <c r="Z132" s="8"/>
    </row>
    <row r="133" spans="1:26" x14ac:dyDescent="0.2">
      <c r="A133" s="12">
        <f t="shared" si="5"/>
        <v>121</v>
      </c>
      <c r="E133" s="10" t="str">
        <f t="shared" si="3"/>
        <v/>
      </c>
      <c r="I133" s="53" t="str">
        <f t="shared" si="4"/>
        <v/>
      </c>
      <c r="N133" s="8">
        <v>0</v>
      </c>
      <c r="Q133" s="1"/>
      <c r="R133" s="1"/>
      <c r="S133" s="1"/>
      <c r="T133" s="8"/>
      <c r="U133" s="8"/>
      <c r="V133" s="1"/>
      <c r="W133" s="1"/>
      <c r="X133" s="1"/>
      <c r="Z133" s="8"/>
    </row>
    <row r="134" spans="1:26" x14ac:dyDescent="0.2">
      <c r="A134" s="12">
        <f t="shared" si="5"/>
        <v>122</v>
      </c>
      <c r="E134" s="10" t="str">
        <f t="shared" si="3"/>
        <v/>
      </c>
      <c r="I134" s="53" t="str">
        <f t="shared" si="4"/>
        <v/>
      </c>
      <c r="N134" s="8">
        <v>0</v>
      </c>
      <c r="Q134" s="1"/>
      <c r="R134" s="1"/>
      <c r="S134" s="1"/>
      <c r="T134" s="8"/>
      <c r="U134" s="8"/>
      <c r="V134" s="1"/>
      <c r="W134" s="1"/>
      <c r="X134" s="1"/>
      <c r="Z134" s="8"/>
    </row>
    <row r="135" spans="1:26" x14ac:dyDescent="0.2">
      <c r="A135" s="12">
        <f t="shared" si="5"/>
        <v>123</v>
      </c>
      <c r="E135" s="10" t="str">
        <f t="shared" si="3"/>
        <v/>
      </c>
      <c r="I135" s="53" t="str">
        <f t="shared" si="4"/>
        <v/>
      </c>
      <c r="N135" s="8">
        <v>0</v>
      </c>
      <c r="Q135" s="1"/>
      <c r="R135" s="1"/>
      <c r="S135" s="1"/>
      <c r="T135" s="8"/>
      <c r="U135" s="8"/>
      <c r="V135" s="1"/>
      <c r="W135" s="1"/>
      <c r="X135" s="1"/>
      <c r="Z135" s="8"/>
    </row>
    <row r="136" spans="1:26" x14ac:dyDescent="0.2">
      <c r="A136" s="12">
        <f t="shared" si="5"/>
        <v>124</v>
      </c>
      <c r="E136" s="10" t="str">
        <f t="shared" si="3"/>
        <v/>
      </c>
      <c r="I136" s="53" t="str">
        <f t="shared" si="4"/>
        <v/>
      </c>
      <c r="N136" s="8">
        <v>0</v>
      </c>
      <c r="Q136" s="1"/>
      <c r="R136" s="1"/>
      <c r="S136" s="1"/>
      <c r="T136" s="8"/>
      <c r="U136" s="8"/>
      <c r="V136" s="1"/>
      <c r="W136" s="1"/>
      <c r="X136" s="1"/>
      <c r="Z136" s="8"/>
    </row>
    <row r="137" spans="1:26" x14ac:dyDescent="0.2">
      <c r="A137" s="12">
        <f t="shared" si="5"/>
        <v>125</v>
      </c>
      <c r="E137" s="10" t="str">
        <f t="shared" si="3"/>
        <v/>
      </c>
      <c r="I137" s="53" t="str">
        <f t="shared" si="4"/>
        <v/>
      </c>
      <c r="N137" s="8">
        <v>0</v>
      </c>
      <c r="Q137" s="1"/>
      <c r="R137" s="1"/>
      <c r="S137" s="1"/>
      <c r="T137" s="8"/>
      <c r="U137" s="8"/>
      <c r="V137" s="1"/>
      <c r="W137" s="1"/>
      <c r="X137" s="1"/>
      <c r="Z137" s="8"/>
    </row>
    <row r="138" spans="1:26" x14ac:dyDescent="0.2">
      <c r="A138" s="12">
        <f t="shared" si="5"/>
        <v>126</v>
      </c>
      <c r="E138" s="10" t="str">
        <f t="shared" si="3"/>
        <v/>
      </c>
      <c r="I138" s="53" t="str">
        <f t="shared" si="4"/>
        <v/>
      </c>
      <c r="N138" s="8">
        <v>0</v>
      </c>
      <c r="Q138" s="1"/>
      <c r="R138" s="1"/>
      <c r="S138" s="1"/>
      <c r="T138" s="8"/>
      <c r="U138" s="8"/>
      <c r="V138" s="1"/>
      <c r="W138" s="1"/>
      <c r="X138" s="1"/>
      <c r="Z138" s="8"/>
    </row>
    <row r="139" spans="1:26" x14ac:dyDescent="0.2">
      <c r="A139" s="12">
        <f t="shared" si="5"/>
        <v>127</v>
      </c>
      <c r="E139" s="10" t="str">
        <f t="shared" si="3"/>
        <v/>
      </c>
      <c r="I139" s="53" t="str">
        <f t="shared" si="4"/>
        <v/>
      </c>
      <c r="N139" s="8">
        <v>0</v>
      </c>
      <c r="Q139" s="1"/>
      <c r="R139" s="1"/>
      <c r="S139" s="1"/>
      <c r="T139" s="8"/>
      <c r="U139" s="8"/>
      <c r="V139" s="1"/>
      <c r="W139" s="1"/>
      <c r="X139" s="1"/>
      <c r="Z139" s="8"/>
    </row>
    <row r="140" spans="1:26" x14ac:dyDescent="0.2">
      <c r="A140" s="12">
        <f t="shared" si="5"/>
        <v>128</v>
      </c>
      <c r="E140" s="10" t="str">
        <f t="shared" si="3"/>
        <v/>
      </c>
      <c r="I140" s="53" t="str">
        <f t="shared" si="4"/>
        <v/>
      </c>
      <c r="N140" s="8">
        <v>0</v>
      </c>
      <c r="Q140" s="1"/>
      <c r="R140" s="1"/>
      <c r="S140" s="1"/>
      <c r="T140" s="8"/>
      <c r="U140" s="8"/>
      <c r="V140" s="1"/>
      <c r="W140" s="1"/>
      <c r="X140" s="1"/>
      <c r="Z140" s="8"/>
    </row>
    <row r="141" spans="1:26" x14ac:dyDescent="0.2">
      <c r="A141" s="12">
        <f t="shared" si="5"/>
        <v>129</v>
      </c>
      <c r="E141" s="10" t="str">
        <f t="shared" ref="E141:E204" si="6">IF($C$8&gt;=A141,$E$1&amp;" "&amp;A141,"")</f>
        <v/>
      </c>
      <c r="I141" s="53" t="str">
        <f t="shared" si="4"/>
        <v/>
      </c>
      <c r="N141" s="8">
        <v>0</v>
      </c>
      <c r="Q141" s="1"/>
      <c r="R141" s="1"/>
      <c r="S141" s="1"/>
      <c r="T141" s="8"/>
      <c r="U141" s="8"/>
      <c r="V141" s="1"/>
      <c r="W141" s="1"/>
      <c r="X141" s="1"/>
      <c r="Z141" s="8"/>
    </row>
    <row r="142" spans="1:26" x14ac:dyDescent="0.2">
      <c r="A142" s="12">
        <f t="shared" si="5"/>
        <v>130</v>
      </c>
      <c r="E142" s="10" t="str">
        <f t="shared" si="6"/>
        <v/>
      </c>
      <c r="I142" s="53" t="str">
        <f t="shared" ref="I142:I205" si="7">IF(E142="","",F142-G142-H142)</f>
        <v/>
      </c>
      <c r="N142" s="8">
        <v>0</v>
      </c>
      <c r="Q142" s="1"/>
      <c r="R142" s="1"/>
      <c r="S142" s="1"/>
      <c r="T142" s="8"/>
      <c r="U142" s="8"/>
      <c r="V142" s="1"/>
      <c r="W142" s="1"/>
      <c r="X142" s="1"/>
      <c r="Z142" s="8"/>
    </row>
    <row r="143" spans="1:26" x14ac:dyDescent="0.2">
      <c r="A143" s="12">
        <f t="shared" ref="A143:A206" si="8">A142+1</f>
        <v>131</v>
      </c>
      <c r="E143" s="10" t="str">
        <f t="shared" si="6"/>
        <v/>
      </c>
      <c r="I143" s="53" t="str">
        <f t="shared" si="7"/>
        <v/>
      </c>
      <c r="N143" s="8">
        <v>0</v>
      </c>
      <c r="Q143" s="1"/>
      <c r="R143" s="1"/>
      <c r="S143" s="1"/>
      <c r="T143" s="8"/>
      <c r="U143" s="8"/>
      <c r="V143" s="1"/>
      <c r="W143" s="1"/>
      <c r="X143" s="1"/>
      <c r="Z143" s="8"/>
    </row>
    <row r="144" spans="1:26" x14ac:dyDescent="0.2">
      <c r="A144" s="12">
        <f t="shared" si="8"/>
        <v>132</v>
      </c>
      <c r="E144" s="10" t="str">
        <f t="shared" si="6"/>
        <v/>
      </c>
      <c r="I144" s="53" t="str">
        <f t="shared" si="7"/>
        <v/>
      </c>
      <c r="N144" s="8">
        <v>0</v>
      </c>
      <c r="Q144" s="1"/>
      <c r="R144" s="1"/>
      <c r="S144" s="1"/>
      <c r="T144" s="8"/>
      <c r="U144" s="8"/>
      <c r="V144" s="1"/>
      <c r="W144" s="1"/>
      <c r="X144" s="1"/>
      <c r="Z144" s="8"/>
    </row>
    <row r="145" spans="1:26" x14ac:dyDescent="0.2">
      <c r="A145" s="12">
        <f t="shared" si="8"/>
        <v>133</v>
      </c>
      <c r="E145" s="10" t="str">
        <f t="shared" si="6"/>
        <v/>
      </c>
      <c r="I145" s="53" t="str">
        <f t="shared" si="7"/>
        <v/>
      </c>
      <c r="N145" s="8">
        <v>0</v>
      </c>
      <c r="Q145" s="1"/>
      <c r="R145" s="1"/>
      <c r="S145" s="1"/>
      <c r="T145" s="8"/>
      <c r="U145" s="8"/>
      <c r="V145" s="1"/>
      <c r="W145" s="1"/>
      <c r="X145" s="1"/>
      <c r="Z145" s="8"/>
    </row>
    <row r="146" spans="1:26" x14ac:dyDescent="0.2">
      <c r="A146" s="12">
        <f t="shared" si="8"/>
        <v>134</v>
      </c>
      <c r="E146" s="10" t="str">
        <f t="shared" si="6"/>
        <v/>
      </c>
      <c r="I146" s="53" t="str">
        <f t="shared" si="7"/>
        <v/>
      </c>
      <c r="N146" s="8">
        <v>0</v>
      </c>
      <c r="Q146" s="1"/>
      <c r="R146" s="1"/>
      <c r="S146" s="1"/>
      <c r="T146" s="8"/>
      <c r="U146" s="8"/>
      <c r="V146" s="1"/>
      <c r="W146" s="1"/>
      <c r="X146" s="1"/>
      <c r="Z146" s="8"/>
    </row>
    <row r="147" spans="1:26" x14ac:dyDescent="0.2">
      <c r="A147" s="12">
        <f t="shared" si="8"/>
        <v>135</v>
      </c>
      <c r="E147" s="10" t="str">
        <f t="shared" si="6"/>
        <v/>
      </c>
      <c r="I147" s="53" t="str">
        <f t="shared" si="7"/>
        <v/>
      </c>
      <c r="N147" s="8">
        <v>0</v>
      </c>
      <c r="Q147" s="1"/>
      <c r="R147" s="1"/>
      <c r="S147" s="1"/>
      <c r="T147" s="8"/>
      <c r="U147" s="8"/>
      <c r="V147" s="1"/>
      <c r="W147" s="1"/>
      <c r="X147" s="1"/>
      <c r="Z147" s="8"/>
    </row>
    <row r="148" spans="1:26" x14ac:dyDescent="0.2">
      <c r="A148" s="12">
        <f t="shared" si="8"/>
        <v>136</v>
      </c>
      <c r="E148" s="10" t="str">
        <f t="shared" si="6"/>
        <v/>
      </c>
      <c r="I148" s="53" t="str">
        <f t="shared" si="7"/>
        <v/>
      </c>
      <c r="N148" s="8">
        <v>0</v>
      </c>
      <c r="Q148" s="1"/>
      <c r="R148" s="1"/>
      <c r="S148" s="1"/>
      <c r="T148" s="8"/>
      <c r="U148" s="8"/>
      <c r="V148" s="1"/>
      <c r="W148" s="1"/>
      <c r="X148" s="1"/>
      <c r="Z148" s="8"/>
    </row>
    <row r="149" spans="1:26" x14ac:dyDescent="0.2">
      <c r="A149" s="12">
        <f t="shared" si="8"/>
        <v>137</v>
      </c>
      <c r="E149" s="10" t="str">
        <f t="shared" si="6"/>
        <v/>
      </c>
      <c r="I149" s="53" t="str">
        <f t="shared" si="7"/>
        <v/>
      </c>
      <c r="N149" s="8">
        <v>0</v>
      </c>
      <c r="Q149" s="1"/>
      <c r="R149" s="1"/>
      <c r="S149" s="1"/>
      <c r="T149" s="8"/>
      <c r="U149" s="8"/>
      <c r="V149" s="1"/>
      <c r="W149" s="1"/>
      <c r="X149" s="1"/>
      <c r="Z149" s="8"/>
    </row>
    <row r="150" spans="1:26" x14ac:dyDescent="0.2">
      <c r="A150" s="12">
        <f t="shared" si="8"/>
        <v>138</v>
      </c>
      <c r="E150" s="10" t="str">
        <f t="shared" si="6"/>
        <v/>
      </c>
      <c r="I150" s="53" t="str">
        <f t="shared" si="7"/>
        <v/>
      </c>
      <c r="N150" s="8">
        <v>0</v>
      </c>
      <c r="Q150" s="1"/>
      <c r="R150" s="1"/>
      <c r="S150" s="1"/>
      <c r="T150" s="8"/>
      <c r="U150" s="8"/>
      <c r="V150" s="1"/>
      <c r="W150" s="1"/>
      <c r="X150" s="1"/>
      <c r="Z150" s="8"/>
    </row>
    <row r="151" spans="1:26" x14ac:dyDescent="0.2">
      <c r="A151" s="12">
        <f t="shared" si="8"/>
        <v>139</v>
      </c>
      <c r="E151" s="10" t="str">
        <f t="shared" si="6"/>
        <v/>
      </c>
      <c r="I151" s="53" t="str">
        <f t="shared" si="7"/>
        <v/>
      </c>
      <c r="N151" s="8">
        <v>0</v>
      </c>
      <c r="Q151" s="1"/>
      <c r="R151" s="1"/>
      <c r="S151" s="1"/>
      <c r="T151" s="8"/>
      <c r="U151" s="8"/>
      <c r="V151" s="1"/>
      <c r="W151" s="1"/>
      <c r="X151" s="1"/>
      <c r="Z151" s="8"/>
    </row>
    <row r="152" spans="1:26" x14ac:dyDescent="0.2">
      <c r="A152" s="12">
        <f t="shared" si="8"/>
        <v>140</v>
      </c>
      <c r="E152" s="10" t="str">
        <f t="shared" si="6"/>
        <v/>
      </c>
      <c r="I152" s="53" t="str">
        <f t="shared" si="7"/>
        <v/>
      </c>
      <c r="N152" s="8">
        <v>0</v>
      </c>
      <c r="Q152" s="1"/>
      <c r="R152" s="1"/>
      <c r="S152" s="1"/>
      <c r="T152" s="8"/>
      <c r="U152" s="8"/>
      <c r="V152" s="1"/>
      <c r="W152" s="1"/>
      <c r="X152" s="1"/>
      <c r="Z152" s="8"/>
    </row>
    <row r="153" spans="1:26" x14ac:dyDescent="0.2">
      <c r="A153" s="12">
        <f t="shared" si="8"/>
        <v>141</v>
      </c>
      <c r="E153" s="10" t="str">
        <f t="shared" si="6"/>
        <v/>
      </c>
      <c r="I153" s="53" t="str">
        <f t="shared" si="7"/>
        <v/>
      </c>
      <c r="N153" s="8">
        <v>0</v>
      </c>
      <c r="Q153" s="1"/>
      <c r="R153" s="1"/>
      <c r="S153" s="1"/>
      <c r="T153" s="8"/>
      <c r="U153" s="8"/>
      <c r="V153" s="1"/>
      <c r="W153" s="1"/>
      <c r="X153" s="1"/>
      <c r="Z153" s="8"/>
    </row>
    <row r="154" spans="1:26" x14ac:dyDescent="0.2">
      <c r="A154" s="12">
        <f t="shared" si="8"/>
        <v>142</v>
      </c>
      <c r="E154" s="10" t="str">
        <f t="shared" si="6"/>
        <v/>
      </c>
      <c r="I154" s="53" t="str">
        <f t="shared" si="7"/>
        <v/>
      </c>
      <c r="N154" s="8">
        <v>0</v>
      </c>
      <c r="Q154" s="1"/>
      <c r="R154" s="1"/>
      <c r="S154" s="1"/>
      <c r="T154" s="8"/>
      <c r="U154" s="8"/>
      <c r="V154" s="1"/>
      <c r="W154" s="1"/>
      <c r="X154" s="1"/>
      <c r="Z154" s="8"/>
    </row>
    <row r="155" spans="1:26" x14ac:dyDescent="0.2">
      <c r="A155" s="12">
        <f t="shared" si="8"/>
        <v>143</v>
      </c>
      <c r="E155" s="10" t="str">
        <f t="shared" si="6"/>
        <v/>
      </c>
      <c r="I155" s="53" t="str">
        <f t="shared" si="7"/>
        <v/>
      </c>
      <c r="N155" s="8">
        <v>0</v>
      </c>
      <c r="Q155" s="1"/>
      <c r="R155" s="1"/>
      <c r="S155" s="1"/>
      <c r="T155" s="8"/>
      <c r="U155" s="8"/>
      <c r="V155" s="1"/>
      <c r="W155" s="1"/>
      <c r="X155" s="1"/>
      <c r="Z155" s="8"/>
    </row>
    <row r="156" spans="1:26" x14ac:dyDescent="0.2">
      <c r="A156" s="12">
        <f t="shared" si="8"/>
        <v>144</v>
      </c>
      <c r="E156" s="10" t="str">
        <f t="shared" si="6"/>
        <v/>
      </c>
      <c r="I156" s="53" t="str">
        <f t="shared" si="7"/>
        <v/>
      </c>
      <c r="N156" s="8">
        <v>0</v>
      </c>
      <c r="Q156" s="1"/>
      <c r="R156" s="1"/>
      <c r="S156" s="1"/>
      <c r="T156" s="8"/>
      <c r="U156" s="8"/>
      <c r="V156" s="1"/>
      <c r="W156" s="1"/>
      <c r="X156" s="1"/>
      <c r="Z156" s="8"/>
    </row>
    <row r="157" spans="1:26" x14ac:dyDescent="0.2">
      <c r="A157" s="12">
        <f t="shared" si="8"/>
        <v>145</v>
      </c>
      <c r="E157" s="10" t="str">
        <f t="shared" si="6"/>
        <v/>
      </c>
      <c r="I157" s="53" t="str">
        <f t="shared" si="7"/>
        <v/>
      </c>
      <c r="N157" s="8">
        <v>0</v>
      </c>
      <c r="Q157" s="1"/>
      <c r="R157" s="1"/>
      <c r="S157" s="1"/>
      <c r="T157" s="8"/>
      <c r="U157" s="8"/>
      <c r="V157" s="1"/>
      <c r="W157" s="1"/>
      <c r="X157" s="1"/>
      <c r="Z157" s="8"/>
    </row>
    <row r="158" spans="1:26" x14ac:dyDescent="0.2">
      <c r="A158" s="12">
        <f t="shared" si="8"/>
        <v>146</v>
      </c>
      <c r="E158" s="10" t="str">
        <f t="shared" si="6"/>
        <v/>
      </c>
      <c r="I158" s="53" t="str">
        <f t="shared" si="7"/>
        <v/>
      </c>
      <c r="N158" s="8">
        <v>0</v>
      </c>
      <c r="Q158" s="1"/>
      <c r="R158" s="1"/>
      <c r="S158" s="1"/>
      <c r="T158" s="8"/>
      <c r="U158" s="8"/>
      <c r="V158" s="1"/>
      <c r="W158" s="1"/>
      <c r="X158" s="1"/>
      <c r="Z158" s="8"/>
    </row>
    <row r="159" spans="1:26" x14ac:dyDescent="0.2">
      <c r="A159" s="12">
        <f t="shared" si="8"/>
        <v>147</v>
      </c>
      <c r="E159" s="10" t="str">
        <f t="shared" si="6"/>
        <v/>
      </c>
      <c r="I159" s="53" t="str">
        <f t="shared" si="7"/>
        <v/>
      </c>
      <c r="N159" s="8">
        <v>0</v>
      </c>
      <c r="Q159" s="1"/>
      <c r="R159" s="1"/>
      <c r="S159" s="1"/>
      <c r="T159" s="8"/>
      <c r="U159" s="8"/>
      <c r="V159" s="1"/>
      <c r="W159" s="1"/>
      <c r="X159" s="1"/>
      <c r="Z159" s="8"/>
    </row>
    <row r="160" spans="1:26" x14ac:dyDescent="0.2">
      <c r="A160" s="12">
        <f t="shared" si="8"/>
        <v>148</v>
      </c>
      <c r="E160" s="10" t="str">
        <f t="shared" si="6"/>
        <v/>
      </c>
      <c r="I160" s="53" t="str">
        <f t="shared" si="7"/>
        <v/>
      </c>
      <c r="N160" s="8">
        <v>0</v>
      </c>
      <c r="Q160" s="1"/>
      <c r="R160" s="1"/>
      <c r="S160" s="1"/>
      <c r="T160" s="8"/>
      <c r="U160" s="8"/>
      <c r="V160" s="1"/>
      <c r="W160" s="1"/>
      <c r="X160" s="1"/>
      <c r="Z160" s="8"/>
    </row>
    <row r="161" spans="1:26" x14ac:dyDescent="0.2">
      <c r="A161" s="12">
        <f t="shared" si="8"/>
        <v>149</v>
      </c>
      <c r="E161" s="10" t="str">
        <f t="shared" si="6"/>
        <v/>
      </c>
      <c r="I161" s="53" t="str">
        <f t="shared" si="7"/>
        <v/>
      </c>
      <c r="N161" s="8">
        <v>0</v>
      </c>
      <c r="Q161" s="1"/>
      <c r="R161" s="1"/>
      <c r="S161" s="1"/>
      <c r="T161" s="8"/>
      <c r="U161" s="8"/>
      <c r="V161" s="1"/>
      <c r="W161" s="1"/>
      <c r="X161" s="1"/>
      <c r="Z161" s="8"/>
    </row>
    <row r="162" spans="1:26" x14ac:dyDescent="0.2">
      <c r="A162" s="12">
        <f t="shared" si="8"/>
        <v>150</v>
      </c>
      <c r="E162" s="10" t="str">
        <f t="shared" si="6"/>
        <v/>
      </c>
      <c r="I162" s="53" t="str">
        <f t="shared" si="7"/>
        <v/>
      </c>
      <c r="N162" s="8">
        <v>0</v>
      </c>
      <c r="Q162" s="1"/>
      <c r="R162" s="1"/>
      <c r="S162" s="1"/>
      <c r="T162" s="8"/>
      <c r="U162" s="8"/>
      <c r="V162" s="1"/>
      <c r="W162" s="1"/>
      <c r="X162" s="1"/>
      <c r="Z162" s="8"/>
    </row>
    <row r="163" spans="1:26" x14ac:dyDescent="0.2">
      <c r="A163" s="12">
        <f t="shared" si="8"/>
        <v>151</v>
      </c>
      <c r="E163" s="10" t="str">
        <f t="shared" si="6"/>
        <v/>
      </c>
      <c r="I163" s="53" t="str">
        <f t="shared" si="7"/>
        <v/>
      </c>
      <c r="N163" s="8">
        <v>0</v>
      </c>
      <c r="Q163" s="1"/>
      <c r="R163" s="1"/>
      <c r="S163" s="1"/>
      <c r="T163" s="8"/>
      <c r="U163" s="8"/>
      <c r="V163" s="1"/>
      <c r="W163" s="1"/>
      <c r="X163" s="1"/>
      <c r="Z163" s="8"/>
    </row>
    <row r="164" spans="1:26" x14ac:dyDescent="0.2">
      <c r="A164" s="12">
        <f t="shared" si="8"/>
        <v>152</v>
      </c>
      <c r="E164" s="10" t="str">
        <f t="shared" si="6"/>
        <v/>
      </c>
      <c r="I164" s="53" t="str">
        <f t="shared" si="7"/>
        <v/>
      </c>
      <c r="N164" s="8">
        <v>0</v>
      </c>
      <c r="Q164" s="1"/>
      <c r="R164" s="1"/>
      <c r="S164" s="1"/>
      <c r="T164" s="8"/>
      <c r="U164" s="8"/>
      <c r="V164" s="1"/>
      <c r="W164" s="1"/>
      <c r="X164" s="1"/>
      <c r="Z164" s="8"/>
    </row>
    <row r="165" spans="1:26" x14ac:dyDescent="0.2">
      <c r="A165" s="12">
        <f t="shared" si="8"/>
        <v>153</v>
      </c>
      <c r="E165" s="10" t="str">
        <f t="shared" si="6"/>
        <v/>
      </c>
      <c r="I165" s="53" t="str">
        <f t="shared" si="7"/>
        <v/>
      </c>
      <c r="N165" s="8">
        <v>0</v>
      </c>
      <c r="Q165" s="1"/>
      <c r="R165" s="1"/>
      <c r="S165" s="1"/>
      <c r="T165" s="8"/>
      <c r="U165" s="8"/>
      <c r="V165" s="1"/>
      <c r="W165" s="1"/>
      <c r="X165" s="1"/>
      <c r="Z165" s="8"/>
    </row>
    <row r="166" spans="1:26" x14ac:dyDescent="0.2">
      <c r="A166" s="12">
        <f t="shared" si="8"/>
        <v>154</v>
      </c>
      <c r="E166" s="10" t="str">
        <f t="shared" si="6"/>
        <v/>
      </c>
      <c r="I166" s="53" t="str">
        <f t="shared" si="7"/>
        <v/>
      </c>
      <c r="N166" s="8">
        <v>0</v>
      </c>
      <c r="Q166" s="1"/>
      <c r="R166" s="1"/>
      <c r="S166" s="1"/>
      <c r="T166" s="8"/>
      <c r="U166" s="8"/>
      <c r="V166" s="1"/>
      <c r="W166" s="1"/>
      <c r="X166" s="1"/>
      <c r="Z166" s="8"/>
    </row>
    <row r="167" spans="1:26" x14ac:dyDescent="0.2">
      <c r="A167" s="12">
        <f t="shared" si="8"/>
        <v>155</v>
      </c>
      <c r="E167" s="10" t="str">
        <f t="shared" si="6"/>
        <v/>
      </c>
      <c r="I167" s="53" t="str">
        <f t="shared" si="7"/>
        <v/>
      </c>
      <c r="N167" s="8">
        <v>0</v>
      </c>
      <c r="Q167" s="1"/>
      <c r="R167" s="1"/>
      <c r="S167" s="1"/>
      <c r="T167" s="8"/>
      <c r="U167" s="8"/>
      <c r="V167" s="1"/>
      <c r="W167" s="1"/>
      <c r="X167" s="1"/>
      <c r="Z167" s="8"/>
    </row>
    <row r="168" spans="1:26" x14ac:dyDescent="0.2">
      <c r="A168" s="12">
        <f t="shared" si="8"/>
        <v>156</v>
      </c>
      <c r="E168" s="10" t="str">
        <f t="shared" si="6"/>
        <v/>
      </c>
      <c r="I168" s="53" t="str">
        <f t="shared" si="7"/>
        <v/>
      </c>
      <c r="N168" s="8">
        <v>0</v>
      </c>
      <c r="Q168" s="1"/>
      <c r="R168" s="1"/>
      <c r="S168" s="1"/>
      <c r="T168" s="8"/>
      <c r="U168" s="8"/>
      <c r="V168" s="1"/>
      <c r="W168" s="1"/>
      <c r="X168" s="1"/>
      <c r="Z168" s="8"/>
    </row>
    <row r="169" spans="1:26" x14ac:dyDescent="0.2">
      <c r="A169" s="12">
        <f t="shared" si="8"/>
        <v>157</v>
      </c>
      <c r="E169" s="10" t="str">
        <f t="shared" si="6"/>
        <v/>
      </c>
      <c r="I169" s="53" t="str">
        <f t="shared" si="7"/>
        <v/>
      </c>
      <c r="N169" s="8">
        <v>0</v>
      </c>
      <c r="Q169" s="1"/>
      <c r="R169" s="1"/>
      <c r="S169" s="1"/>
      <c r="T169" s="8"/>
      <c r="U169" s="8"/>
      <c r="V169" s="1"/>
      <c r="W169" s="1"/>
      <c r="X169" s="1"/>
      <c r="Z169" s="8"/>
    </row>
    <row r="170" spans="1:26" x14ac:dyDescent="0.2">
      <c r="A170" s="12">
        <f t="shared" si="8"/>
        <v>158</v>
      </c>
      <c r="E170" s="10" t="str">
        <f t="shared" si="6"/>
        <v/>
      </c>
      <c r="I170" s="53" t="str">
        <f t="shared" si="7"/>
        <v/>
      </c>
      <c r="N170" s="8">
        <v>0</v>
      </c>
      <c r="Q170" s="1"/>
      <c r="R170" s="1"/>
      <c r="S170" s="1"/>
      <c r="T170" s="8"/>
      <c r="U170" s="8"/>
      <c r="V170" s="1"/>
      <c r="W170" s="1"/>
      <c r="X170" s="1"/>
      <c r="Z170" s="8"/>
    </row>
    <row r="171" spans="1:26" x14ac:dyDescent="0.2">
      <c r="A171" s="12">
        <f t="shared" si="8"/>
        <v>159</v>
      </c>
      <c r="E171" s="10" t="str">
        <f t="shared" si="6"/>
        <v/>
      </c>
      <c r="I171" s="53" t="str">
        <f t="shared" si="7"/>
        <v/>
      </c>
      <c r="N171" s="8">
        <v>0</v>
      </c>
      <c r="Q171" s="1"/>
      <c r="R171" s="1"/>
      <c r="S171" s="1"/>
      <c r="T171" s="8"/>
      <c r="U171" s="8"/>
      <c r="V171" s="1"/>
      <c r="W171" s="1"/>
      <c r="X171" s="1"/>
      <c r="Z171" s="8"/>
    </row>
    <row r="172" spans="1:26" x14ac:dyDescent="0.2">
      <c r="A172" s="12">
        <f t="shared" si="8"/>
        <v>160</v>
      </c>
      <c r="E172" s="10" t="str">
        <f t="shared" si="6"/>
        <v/>
      </c>
      <c r="I172" s="53" t="str">
        <f t="shared" si="7"/>
        <v/>
      </c>
      <c r="N172" s="8">
        <v>0</v>
      </c>
      <c r="Q172" s="1"/>
      <c r="R172" s="1"/>
      <c r="S172" s="1"/>
      <c r="T172" s="8"/>
      <c r="U172" s="8"/>
      <c r="V172" s="1"/>
      <c r="W172" s="1"/>
      <c r="X172" s="1"/>
      <c r="Z172" s="8"/>
    </row>
    <row r="173" spans="1:26" x14ac:dyDescent="0.2">
      <c r="A173" s="12">
        <f t="shared" si="8"/>
        <v>161</v>
      </c>
      <c r="E173" s="10" t="str">
        <f t="shared" si="6"/>
        <v/>
      </c>
      <c r="I173" s="53" t="str">
        <f t="shared" si="7"/>
        <v/>
      </c>
      <c r="N173" s="8">
        <v>0</v>
      </c>
      <c r="Q173" s="1"/>
      <c r="R173" s="1"/>
      <c r="S173" s="1"/>
      <c r="T173" s="8"/>
      <c r="U173" s="8"/>
      <c r="V173" s="1"/>
      <c r="W173" s="1"/>
      <c r="X173" s="1"/>
      <c r="Z173" s="8"/>
    </row>
    <row r="174" spans="1:26" x14ac:dyDescent="0.2">
      <c r="A174" s="12">
        <f t="shared" si="8"/>
        <v>162</v>
      </c>
      <c r="E174" s="10" t="str">
        <f t="shared" si="6"/>
        <v/>
      </c>
      <c r="I174" s="53" t="str">
        <f t="shared" si="7"/>
        <v/>
      </c>
      <c r="N174" s="8">
        <v>0</v>
      </c>
      <c r="Q174" s="1"/>
      <c r="R174" s="1"/>
      <c r="S174" s="1"/>
      <c r="T174" s="8"/>
      <c r="U174" s="8"/>
      <c r="V174" s="1"/>
      <c r="W174" s="1"/>
      <c r="X174" s="1"/>
      <c r="Z174" s="8"/>
    </row>
    <row r="175" spans="1:26" x14ac:dyDescent="0.2">
      <c r="A175" s="12">
        <f t="shared" si="8"/>
        <v>163</v>
      </c>
      <c r="E175" s="10" t="str">
        <f t="shared" si="6"/>
        <v/>
      </c>
      <c r="I175" s="53" t="str">
        <f t="shared" si="7"/>
        <v/>
      </c>
      <c r="N175" s="8">
        <v>0</v>
      </c>
      <c r="Q175" s="1"/>
      <c r="R175" s="1"/>
      <c r="S175" s="1"/>
      <c r="T175" s="8"/>
      <c r="U175" s="8"/>
      <c r="V175" s="1"/>
      <c r="W175" s="1"/>
      <c r="X175" s="1"/>
      <c r="Z175" s="8"/>
    </row>
    <row r="176" spans="1:26" x14ac:dyDescent="0.2">
      <c r="A176" s="12">
        <f t="shared" si="8"/>
        <v>164</v>
      </c>
      <c r="E176" s="10" t="str">
        <f t="shared" si="6"/>
        <v/>
      </c>
      <c r="I176" s="53" t="str">
        <f t="shared" si="7"/>
        <v/>
      </c>
      <c r="N176" s="8">
        <v>0</v>
      </c>
      <c r="Q176" s="1"/>
      <c r="R176" s="1"/>
      <c r="S176" s="1"/>
      <c r="T176" s="8"/>
      <c r="U176" s="8"/>
      <c r="V176" s="1"/>
      <c r="W176" s="1"/>
      <c r="X176" s="1"/>
      <c r="Z176" s="8"/>
    </row>
    <row r="177" spans="1:26" x14ac:dyDescent="0.2">
      <c r="A177" s="12">
        <f t="shared" si="8"/>
        <v>165</v>
      </c>
      <c r="E177" s="10" t="str">
        <f t="shared" si="6"/>
        <v/>
      </c>
      <c r="I177" s="53" t="str">
        <f t="shared" si="7"/>
        <v/>
      </c>
      <c r="N177" s="8">
        <v>0</v>
      </c>
      <c r="Q177" s="1"/>
      <c r="R177" s="1"/>
      <c r="S177" s="1"/>
      <c r="T177" s="8"/>
      <c r="U177" s="8"/>
      <c r="V177" s="1"/>
      <c r="W177" s="1"/>
      <c r="X177" s="1"/>
      <c r="Z177" s="8"/>
    </row>
    <row r="178" spans="1:26" x14ac:dyDescent="0.2">
      <c r="A178" s="12">
        <f t="shared" si="8"/>
        <v>166</v>
      </c>
      <c r="E178" s="10" t="str">
        <f t="shared" si="6"/>
        <v/>
      </c>
      <c r="I178" s="53" t="str">
        <f t="shared" si="7"/>
        <v/>
      </c>
      <c r="N178" s="8">
        <v>0</v>
      </c>
      <c r="Q178" s="1"/>
      <c r="R178" s="1"/>
      <c r="S178" s="1"/>
      <c r="T178" s="8"/>
      <c r="U178" s="8"/>
      <c r="V178" s="1"/>
      <c r="W178" s="1"/>
      <c r="X178" s="1"/>
      <c r="Z178" s="8"/>
    </row>
    <row r="179" spans="1:26" x14ac:dyDescent="0.2">
      <c r="A179" s="12">
        <f t="shared" si="8"/>
        <v>167</v>
      </c>
      <c r="E179" s="10" t="str">
        <f t="shared" si="6"/>
        <v/>
      </c>
      <c r="I179" s="53" t="str">
        <f t="shared" si="7"/>
        <v/>
      </c>
      <c r="N179" s="8">
        <v>0</v>
      </c>
      <c r="Q179" s="1"/>
      <c r="R179" s="1"/>
      <c r="S179" s="1"/>
      <c r="T179" s="8"/>
      <c r="U179" s="8"/>
      <c r="V179" s="1"/>
      <c r="W179" s="1"/>
      <c r="X179" s="1"/>
      <c r="Z179" s="8"/>
    </row>
    <row r="180" spans="1:26" x14ac:dyDescent="0.2">
      <c r="A180" s="12">
        <f t="shared" si="8"/>
        <v>168</v>
      </c>
      <c r="E180" s="10" t="str">
        <f t="shared" si="6"/>
        <v/>
      </c>
      <c r="I180" s="53" t="str">
        <f t="shared" si="7"/>
        <v/>
      </c>
      <c r="N180" s="8">
        <v>0</v>
      </c>
      <c r="Q180" s="1"/>
      <c r="R180" s="1"/>
      <c r="S180" s="1"/>
      <c r="T180" s="8"/>
      <c r="U180" s="8"/>
      <c r="V180" s="1"/>
      <c r="W180" s="1"/>
      <c r="X180" s="1"/>
      <c r="Z180" s="8"/>
    </row>
    <row r="181" spans="1:26" x14ac:dyDescent="0.2">
      <c r="A181" s="12">
        <f t="shared" si="8"/>
        <v>169</v>
      </c>
      <c r="E181" s="10" t="str">
        <f t="shared" si="6"/>
        <v/>
      </c>
      <c r="I181" s="53" t="str">
        <f t="shared" si="7"/>
        <v/>
      </c>
      <c r="N181" s="8">
        <v>0</v>
      </c>
      <c r="Q181" s="1"/>
      <c r="R181" s="1"/>
      <c r="S181" s="1"/>
      <c r="T181" s="8"/>
      <c r="U181" s="8"/>
      <c r="V181" s="1"/>
      <c r="W181" s="1"/>
      <c r="X181" s="1"/>
      <c r="Z181" s="8"/>
    </row>
    <row r="182" spans="1:26" x14ac:dyDescent="0.2">
      <c r="A182" s="12">
        <f t="shared" si="8"/>
        <v>170</v>
      </c>
      <c r="E182" s="10" t="str">
        <f t="shared" si="6"/>
        <v/>
      </c>
      <c r="I182" s="53" t="str">
        <f t="shared" si="7"/>
        <v/>
      </c>
      <c r="N182" s="8">
        <v>0</v>
      </c>
      <c r="Q182" s="1"/>
      <c r="R182" s="1"/>
      <c r="S182" s="1"/>
      <c r="T182" s="8"/>
      <c r="U182" s="8"/>
      <c r="V182" s="1"/>
      <c r="W182" s="1"/>
      <c r="X182" s="1"/>
      <c r="Z182" s="8"/>
    </row>
    <row r="183" spans="1:26" x14ac:dyDescent="0.2">
      <c r="A183" s="12">
        <f t="shared" si="8"/>
        <v>171</v>
      </c>
      <c r="E183" s="10" t="str">
        <f t="shared" si="6"/>
        <v/>
      </c>
      <c r="I183" s="53" t="str">
        <f t="shared" si="7"/>
        <v/>
      </c>
      <c r="N183" s="8">
        <v>0</v>
      </c>
      <c r="Q183" s="1"/>
      <c r="R183" s="1"/>
      <c r="S183" s="1"/>
      <c r="T183" s="8"/>
      <c r="U183" s="8"/>
      <c r="V183" s="1"/>
      <c r="W183" s="1"/>
      <c r="X183" s="1"/>
      <c r="Z183" s="8"/>
    </row>
    <row r="184" spans="1:26" x14ac:dyDescent="0.2">
      <c r="A184" s="12">
        <f t="shared" si="8"/>
        <v>172</v>
      </c>
      <c r="E184" s="10" t="str">
        <f t="shared" si="6"/>
        <v/>
      </c>
      <c r="I184" s="53" t="str">
        <f t="shared" si="7"/>
        <v/>
      </c>
      <c r="N184" s="8">
        <v>0</v>
      </c>
      <c r="Q184" s="1"/>
      <c r="R184" s="1"/>
      <c r="S184" s="1"/>
      <c r="T184" s="8"/>
      <c r="U184" s="8"/>
      <c r="V184" s="1"/>
      <c r="W184" s="1"/>
      <c r="X184" s="1"/>
      <c r="Z184" s="8"/>
    </row>
    <row r="185" spans="1:26" x14ac:dyDescent="0.2">
      <c r="A185" s="12">
        <f t="shared" si="8"/>
        <v>173</v>
      </c>
      <c r="E185" s="10" t="str">
        <f t="shared" si="6"/>
        <v/>
      </c>
      <c r="I185" s="53" t="str">
        <f t="shared" si="7"/>
        <v/>
      </c>
      <c r="N185" s="8">
        <v>0</v>
      </c>
      <c r="Q185" s="1"/>
      <c r="R185" s="1"/>
      <c r="S185" s="1"/>
      <c r="T185" s="8"/>
      <c r="U185" s="8"/>
      <c r="V185" s="1"/>
      <c r="W185" s="1"/>
      <c r="X185" s="1"/>
      <c r="Z185" s="8"/>
    </row>
    <row r="186" spans="1:26" x14ac:dyDescent="0.2">
      <c r="A186" s="12">
        <f t="shared" si="8"/>
        <v>174</v>
      </c>
      <c r="E186" s="10" t="str">
        <f t="shared" si="6"/>
        <v/>
      </c>
      <c r="I186" s="53" t="str">
        <f t="shared" si="7"/>
        <v/>
      </c>
      <c r="N186" s="8">
        <v>0</v>
      </c>
      <c r="Q186" s="1"/>
      <c r="R186" s="1"/>
      <c r="S186" s="1"/>
      <c r="T186" s="8"/>
      <c r="U186" s="8"/>
      <c r="V186" s="1"/>
      <c r="W186" s="1"/>
      <c r="X186" s="1"/>
      <c r="Z186" s="8"/>
    </row>
    <row r="187" spans="1:26" x14ac:dyDescent="0.2">
      <c r="A187" s="12">
        <f t="shared" si="8"/>
        <v>175</v>
      </c>
      <c r="E187" s="10" t="str">
        <f t="shared" si="6"/>
        <v/>
      </c>
      <c r="I187" s="53" t="str">
        <f t="shared" si="7"/>
        <v/>
      </c>
      <c r="N187" s="8">
        <v>0</v>
      </c>
      <c r="Q187" s="1"/>
      <c r="R187" s="1"/>
      <c r="S187" s="1"/>
      <c r="T187" s="8"/>
      <c r="U187" s="8"/>
      <c r="V187" s="1"/>
      <c r="W187" s="1"/>
      <c r="X187" s="1"/>
      <c r="Z187" s="8"/>
    </row>
    <row r="188" spans="1:26" x14ac:dyDescent="0.2">
      <c r="A188" s="12">
        <f t="shared" si="8"/>
        <v>176</v>
      </c>
      <c r="E188" s="10" t="str">
        <f t="shared" si="6"/>
        <v/>
      </c>
      <c r="I188" s="53" t="str">
        <f t="shared" si="7"/>
        <v/>
      </c>
      <c r="N188" s="8">
        <v>0</v>
      </c>
      <c r="Q188" s="1"/>
      <c r="R188" s="1"/>
      <c r="S188" s="1"/>
      <c r="T188" s="8"/>
      <c r="U188" s="8"/>
      <c r="V188" s="1"/>
      <c r="W188" s="1"/>
      <c r="X188" s="1"/>
      <c r="Z188" s="8"/>
    </row>
    <row r="189" spans="1:26" x14ac:dyDescent="0.2">
      <c r="A189" s="12">
        <f t="shared" si="8"/>
        <v>177</v>
      </c>
      <c r="E189" s="10" t="str">
        <f t="shared" si="6"/>
        <v/>
      </c>
      <c r="I189" s="53" t="str">
        <f t="shared" si="7"/>
        <v/>
      </c>
      <c r="N189" s="8">
        <v>0</v>
      </c>
      <c r="Q189" s="1"/>
      <c r="R189" s="1"/>
      <c r="S189" s="1"/>
      <c r="T189" s="8"/>
      <c r="U189" s="8"/>
      <c r="V189" s="1"/>
      <c r="W189" s="1"/>
      <c r="X189" s="1"/>
      <c r="Z189" s="8"/>
    </row>
    <row r="190" spans="1:26" x14ac:dyDescent="0.2">
      <c r="A190" s="12">
        <f t="shared" si="8"/>
        <v>178</v>
      </c>
      <c r="E190" s="10" t="str">
        <f t="shared" si="6"/>
        <v/>
      </c>
      <c r="I190" s="53" t="str">
        <f t="shared" si="7"/>
        <v/>
      </c>
      <c r="N190" s="8">
        <v>0</v>
      </c>
      <c r="Q190" s="1"/>
      <c r="R190" s="1"/>
      <c r="S190" s="1"/>
      <c r="T190" s="8"/>
      <c r="U190" s="8"/>
      <c r="V190" s="1"/>
      <c r="W190" s="1"/>
      <c r="X190" s="1"/>
      <c r="Z190" s="8"/>
    </row>
    <row r="191" spans="1:26" x14ac:dyDescent="0.2">
      <c r="A191" s="12">
        <f t="shared" si="8"/>
        <v>179</v>
      </c>
      <c r="E191" s="10" t="str">
        <f t="shared" si="6"/>
        <v/>
      </c>
      <c r="I191" s="53" t="str">
        <f t="shared" si="7"/>
        <v/>
      </c>
      <c r="N191" s="8">
        <v>0</v>
      </c>
      <c r="Q191" s="1"/>
      <c r="R191" s="1"/>
      <c r="S191" s="1"/>
      <c r="T191" s="8"/>
      <c r="U191" s="8"/>
      <c r="V191" s="1"/>
      <c r="W191" s="1"/>
      <c r="X191" s="1"/>
      <c r="Z191" s="8"/>
    </row>
    <row r="192" spans="1:26" x14ac:dyDescent="0.2">
      <c r="A192" s="12">
        <f t="shared" si="8"/>
        <v>180</v>
      </c>
      <c r="E192" s="10" t="str">
        <f t="shared" si="6"/>
        <v/>
      </c>
      <c r="I192" s="53" t="str">
        <f t="shared" si="7"/>
        <v/>
      </c>
      <c r="N192" s="8">
        <v>0</v>
      </c>
      <c r="Q192" s="1"/>
      <c r="R192" s="1"/>
      <c r="S192" s="1"/>
      <c r="T192" s="8"/>
      <c r="U192" s="8"/>
      <c r="V192" s="1"/>
      <c r="W192" s="1"/>
      <c r="X192" s="1"/>
      <c r="Z192" s="8"/>
    </row>
    <row r="193" spans="1:26" x14ac:dyDescent="0.2">
      <c r="A193" s="12">
        <f t="shared" si="8"/>
        <v>181</v>
      </c>
      <c r="E193" s="10" t="str">
        <f t="shared" si="6"/>
        <v/>
      </c>
      <c r="I193" s="53" t="str">
        <f t="shared" si="7"/>
        <v/>
      </c>
      <c r="N193" s="8">
        <v>0</v>
      </c>
      <c r="Q193" s="1"/>
      <c r="R193" s="1"/>
      <c r="S193" s="1"/>
      <c r="T193" s="8"/>
      <c r="U193" s="8"/>
      <c r="V193" s="1"/>
      <c r="W193" s="1"/>
      <c r="X193" s="1"/>
      <c r="Z193" s="8"/>
    </row>
    <row r="194" spans="1:26" x14ac:dyDescent="0.2">
      <c r="A194" s="12">
        <f t="shared" si="8"/>
        <v>182</v>
      </c>
      <c r="E194" s="10" t="str">
        <f t="shared" si="6"/>
        <v/>
      </c>
      <c r="I194" s="53" t="str">
        <f t="shared" si="7"/>
        <v/>
      </c>
      <c r="N194" s="8">
        <v>0</v>
      </c>
      <c r="Q194" s="1"/>
      <c r="R194" s="1"/>
      <c r="S194" s="1"/>
      <c r="T194" s="8"/>
      <c r="U194" s="8"/>
      <c r="V194" s="1"/>
      <c r="W194" s="1"/>
      <c r="X194" s="1"/>
      <c r="Z194" s="8"/>
    </row>
    <row r="195" spans="1:26" x14ac:dyDescent="0.2">
      <c r="A195" s="12">
        <f t="shared" si="8"/>
        <v>183</v>
      </c>
      <c r="E195" s="10" t="str">
        <f t="shared" si="6"/>
        <v/>
      </c>
      <c r="I195" s="53" t="str">
        <f t="shared" si="7"/>
        <v/>
      </c>
      <c r="N195" s="8">
        <v>0</v>
      </c>
      <c r="Q195" s="1"/>
      <c r="R195" s="1"/>
      <c r="S195" s="1"/>
      <c r="T195" s="8"/>
      <c r="U195" s="8"/>
      <c r="V195" s="1"/>
      <c r="W195" s="1"/>
      <c r="X195" s="1"/>
      <c r="Z195" s="8"/>
    </row>
    <row r="196" spans="1:26" x14ac:dyDescent="0.2">
      <c r="A196" s="12">
        <f t="shared" si="8"/>
        <v>184</v>
      </c>
      <c r="E196" s="10" t="str">
        <f t="shared" si="6"/>
        <v/>
      </c>
      <c r="I196" s="53" t="str">
        <f t="shared" si="7"/>
        <v/>
      </c>
      <c r="N196" s="8">
        <v>0</v>
      </c>
      <c r="Q196" s="1"/>
      <c r="R196" s="1"/>
      <c r="S196" s="1"/>
      <c r="T196" s="8"/>
      <c r="U196" s="8"/>
      <c r="V196" s="1"/>
      <c r="W196" s="1"/>
      <c r="X196" s="1"/>
      <c r="Z196" s="8"/>
    </row>
    <row r="197" spans="1:26" x14ac:dyDescent="0.2">
      <c r="A197" s="12">
        <f t="shared" si="8"/>
        <v>185</v>
      </c>
      <c r="E197" s="10" t="str">
        <f t="shared" si="6"/>
        <v/>
      </c>
      <c r="I197" s="53" t="str">
        <f t="shared" si="7"/>
        <v/>
      </c>
      <c r="N197" s="8">
        <v>0</v>
      </c>
      <c r="Q197" s="1"/>
      <c r="R197" s="1"/>
      <c r="S197" s="1"/>
      <c r="T197" s="8"/>
      <c r="U197" s="8"/>
      <c r="V197" s="1"/>
      <c r="W197" s="1"/>
      <c r="X197" s="1"/>
      <c r="Z197" s="8"/>
    </row>
    <row r="198" spans="1:26" x14ac:dyDescent="0.2">
      <c r="A198" s="12">
        <f t="shared" si="8"/>
        <v>186</v>
      </c>
      <c r="E198" s="10" t="str">
        <f t="shared" si="6"/>
        <v/>
      </c>
      <c r="I198" s="53" t="str">
        <f t="shared" si="7"/>
        <v/>
      </c>
      <c r="N198" s="8">
        <v>0</v>
      </c>
      <c r="Q198" s="1"/>
      <c r="R198" s="1"/>
      <c r="S198" s="1"/>
      <c r="T198" s="8"/>
      <c r="U198" s="8"/>
      <c r="V198" s="1"/>
      <c r="W198" s="1"/>
      <c r="X198" s="1"/>
      <c r="Z198" s="8"/>
    </row>
    <row r="199" spans="1:26" x14ac:dyDescent="0.2">
      <c r="A199" s="12">
        <f t="shared" si="8"/>
        <v>187</v>
      </c>
      <c r="E199" s="10" t="str">
        <f t="shared" si="6"/>
        <v/>
      </c>
      <c r="I199" s="53" t="str">
        <f t="shared" si="7"/>
        <v/>
      </c>
      <c r="N199" s="8">
        <v>0</v>
      </c>
      <c r="Q199" s="1"/>
      <c r="R199" s="1"/>
      <c r="S199" s="1"/>
      <c r="T199" s="8"/>
      <c r="U199" s="8"/>
      <c r="V199" s="1"/>
      <c r="W199" s="1"/>
      <c r="X199" s="1"/>
      <c r="Z199" s="8"/>
    </row>
    <row r="200" spans="1:26" x14ac:dyDescent="0.2">
      <c r="A200" s="12">
        <f t="shared" si="8"/>
        <v>188</v>
      </c>
      <c r="E200" s="10" t="str">
        <f t="shared" si="6"/>
        <v/>
      </c>
      <c r="I200" s="53" t="str">
        <f t="shared" si="7"/>
        <v/>
      </c>
      <c r="N200" s="8">
        <v>0</v>
      </c>
      <c r="Q200" s="1"/>
      <c r="R200" s="1"/>
      <c r="S200" s="1"/>
      <c r="T200" s="8"/>
      <c r="U200" s="8"/>
      <c r="V200" s="1"/>
      <c r="W200" s="1"/>
      <c r="X200" s="1"/>
      <c r="Z200" s="8"/>
    </row>
    <row r="201" spans="1:26" x14ac:dyDescent="0.2">
      <c r="A201" s="12">
        <f t="shared" si="8"/>
        <v>189</v>
      </c>
      <c r="E201" s="10" t="str">
        <f t="shared" si="6"/>
        <v/>
      </c>
      <c r="I201" s="53" t="str">
        <f t="shared" si="7"/>
        <v/>
      </c>
      <c r="N201" s="8">
        <v>0</v>
      </c>
      <c r="Q201" s="1"/>
      <c r="R201" s="1"/>
      <c r="S201" s="1"/>
      <c r="T201" s="8"/>
      <c r="U201" s="8"/>
      <c r="V201" s="1"/>
      <c r="W201" s="1"/>
      <c r="X201" s="1"/>
      <c r="Z201" s="8"/>
    </row>
    <row r="202" spans="1:26" x14ac:dyDescent="0.2">
      <c r="A202" s="12">
        <f t="shared" si="8"/>
        <v>190</v>
      </c>
      <c r="E202" s="10" t="str">
        <f t="shared" si="6"/>
        <v/>
      </c>
      <c r="I202" s="53" t="str">
        <f t="shared" si="7"/>
        <v/>
      </c>
      <c r="N202" s="8">
        <v>0</v>
      </c>
      <c r="Q202" s="1"/>
      <c r="R202" s="1"/>
      <c r="S202" s="1"/>
      <c r="T202" s="8"/>
      <c r="U202" s="8"/>
      <c r="V202" s="1"/>
      <c r="W202" s="1"/>
      <c r="X202" s="1"/>
      <c r="Z202" s="8"/>
    </row>
    <row r="203" spans="1:26" x14ac:dyDescent="0.2">
      <c r="A203" s="12">
        <f t="shared" si="8"/>
        <v>191</v>
      </c>
      <c r="E203" s="10" t="str">
        <f t="shared" si="6"/>
        <v/>
      </c>
      <c r="I203" s="53" t="str">
        <f t="shared" si="7"/>
        <v/>
      </c>
      <c r="N203" s="8">
        <v>0</v>
      </c>
      <c r="Q203" s="1"/>
      <c r="R203" s="1"/>
      <c r="S203" s="1"/>
      <c r="T203" s="8"/>
      <c r="U203" s="8"/>
      <c r="V203" s="1"/>
      <c r="W203" s="1"/>
      <c r="X203" s="1"/>
      <c r="Z203" s="8"/>
    </row>
    <row r="204" spans="1:26" x14ac:dyDescent="0.2">
      <c r="A204" s="12">
        <f t="shared" si="8"/>
        <v>192</v>
      </c>
      <c r="E204" s="10" t="str">
        <f t="shared" si="6"/>
        <v/>
      </c>
      <c r="I204" s="53" t="str">
        <f t="shared" si="7"/>
        <v/>
      </c>
      <c r="N204" s="8">
        <v>0</v>
      </c>
      <c r="Q204" s="1"/>
      <c r="R204" s="1"/>
      <c r="S204" s="1"/>
      <c r="T204" s="8"/>
      <c r="U204" s="8"/>
      <c r="V204" s="1"/>
      <c r="W204" s="1"/>
      <c r="X204" s="1"/>
      <c r="Z204" s="8"/>
    </row>
    <row r="205" spans="1:26" x14ac:dyDescent="0.2">
      <c r="A205" s="12">
        <f t="shared" si="8"/>
        <v>193</v>
      </c>
      <c r="E205" s="10" t="str">
        <f t="shared" ref="E205:E268" si="9">IF($C$8&gt;=A205,$E$1&amp;" "&amp;A205,"")</f>
        <v/>
      </c>
      <c r="I205" s="53" t="str">
        <f t="shared" si="7"/>
        <v/>
      </c>
      <c r="N205" s="8">
        <v>0</v>
      </c>
      <c r="Q205" s="1"/>
      <c r="R205" s="1"/>
      <c r="S205" s="1"/>
      <c r="T205" s="8"/>
      <c r="U205" s="8"/>
      <c r="V205" s="1"/>
      <c r="W205" s="1"/>
      <c r="X205" s="1"/>
      <c r="Z205" s="8"/>
    </row>
    <row r="206" spans="1:26" x14ac:dyDescent="0.2">
      <c r="A206" s="12">
        <f t="shared" si="8"/>
        <v>194</v>
      </c>
      <c r="E206" s="10" t="str">
        <f t="shared" si="9"/>
        <v/>
      </c>
      <c r="I206" s="53" t="str">
        <f t="shared" ref="I206:I269" si="10">IF(E206="","",F206-G206-H206)</f>
        <v/>
      </c>
      <c r="N206" s="8">
        <v>0</v>
      </c>
      <c r="Q206" s="1"/>
      <c r="R206" s="1"/>
      <c r="S206" s="1"/>
      <c r="T206" s="8"/>
      <c r="U206" s="8"/>
      <c r="V206" s="1"/>
      <c r="W206" s="1"/>
      <c r="X206" s="1"/>
      <c r="Z206" s="8"/>
    </row>
    <row r="207" spans="1:26" x14ac:dyDescent="0.2">
      <c r="A207" s="12">
        <f t="shared" ref="A207:A270" si="11">A206+1</f>
        <v>195</v>
      </c>
      <c r="E207" s="10" t="str">
        <f t="shared" si="9"/>
        <v/>
      </c>
      <c r="I207" s="53" t="str">
        <f t="shared" si="10"/>
        <v/>
      </c>
      <c r="N207" s="8">
        <v>0</v>
      </c>
      <c r="Q207" s="1"/>
      <c r="R207" s="1"/>
      <c r="S207" s="1"/>
      <c r="T207" s="8"/>
      <c r="U207" s="8"/>
      <c r="V207" s="1"/>
      <c r="W207" s="1"/>
      <c r="X207" s="1"/>
      <c r="Z207" s="8"/>
    </row>
    <row r="208" spans="1:26" x14ac:dyDescent="0.2">
      <c r="A208" s="12">
        <f t="shared" si="11"/>
        <v>196</v>
      </c>
      <c r="E208" s="10" t="str">
        <f t="shared" si="9"/>
        <v/>
      </c>
      <c r="I208" s="53" t="str">
        <f t="shared" si="10"/>
        <v/>
      </c>
      <c r="N208" s="8">
        <v>0</v>
      </c>
      <c r="Q208" s="1"/>
      <c r="R208" s="1"/>
      <c r="S208" s="1"/>
      <c r="T208" s="8"/>
      <c r="U208" s="8"/>
      <c r="V208" s="1"/>
      <c r="W208" s="1"/>
      <c r="X208" s="1"/>
      <c r="Z208" s="8"/>
    </row>
    <row r="209" spans="1:26" x14ac:dyDescent="0.2">
      <c r="A209" s="12">
        <f t="shared" si="11"/>
        <v>197</v>
      </c>
      <c r="E209" s="10" t="str">
        <f t="shared" si="9"/>
        <v/>
      </c>
      <c r="I209" s="53" t="str">
        <f t="shared" si="10"/>
        <v/>
      </c>
      <c r="N209" s="8">
        <v>0</v>
      </c>
      <c r="Q209" s="1"/>
      <c r="R209" s="1"/>
      <c r="S209" s="1"/>
      <c r="T209" s="8"/>
      <c r="U209" s="8"/>
      <c r="V209" s="1"/>
      <c r="W209" s="1"/>
      <c r="X209" s="1"/>
      <c r="Z209" s="8"/>
    </row>
    <row r="210" spans="1:26" x14ac:dyDescent="0.2">
      <c r="A210" s="12">
        <f t="shared" si="11"/>
        <v>198</v>
      </c>
      <c r="E210" s="10" t="str">
        <f t="shared" si="9"/>
        <v/>
      </c>
      <c r="I210" s="53" t="str">
        <f t="shared" si="10"/>
        <v/>
      </c>
      <c r="N210" s="8">
        <v>0</v>
      </c>
      <c r="Q210" s="1"/>
      <c r="R210" s="1"/>
      <c r="S210" s="1"/>
      <c r="T210" s="8"/>
      <c r="U210" s="8"/>
      <c r="V210" s="1"/>
      <c r="W210" s="1"/>
      <c r="X210" s="1"/>
      <c r="Z210" s="8"/>
    </row>
    <row r="211" spans="1:26" x14ac:dyDescent="0.2">
      <c r="A211" s="12">
        <f t="shared" si="11"/>
        <v>199</v>
      </c>
      <c r="E211" s="10" t="str">
        <f t="shared" si="9"/>
        <v/>
      </c>
      <c r="I211" s="53" t="str">
        <f t="shared" si="10"/>
        <v/>
      </c>
      <c r="N211" s="8">
        <v>0</v>
      </c>
      <c r="Q211" s="1"/>
      <c r="R211" s="1"/>
      <c r="S211" s="1"/>
      <c r="T211" s="8"/>
      <c r="U211" s="8"/>
      <c r="V211" s="1"/>
      <c r="W211" s="1"/>
      <c r="X211" s="1"/>
      <c r="Z211" s="8"/>
    </row>
    <row r="212" spans="1:26" x14ac:dyDescent="0.2">
      <c r="A212" s="12">
        <f t="shared" si="11"/>
        <v>200</v>
      </c>
      <c r="E212" s="10" t="str">
        <f t="shared" si="9"/>
        <v/>
      </c>
      <c r="I212" s="53" t="str">
        <f t="shared" si="10"/>
        <v/>
      </c>
      <c r="N212" s="8">
        <v>0</v>
      </c>
      <c r="Q212" s="1"/>
      <c r="R212" s="1"/>
      <c r="S212" s="1"/>
      <c r="T212" s="8"/>
      <c r="U212" s="8"/>
      <c r="V212" s="1"/>
      <c r="W212" s="1"/>
      <c r="X212" s="1"/>
      <c r="Z212" s="8"/>
    </row>
    <row r="213" spans="1:26" x14ac:dyDescent="0.2">
      <c r="A213" s="12">
        <f t="shared" si="11"/>
        <v>201</v>
      </c>
      <c r="E213" s="10" t="str">
        <f t="shared" si="9"/>
        <v/>
      </c>
      <c r="I213" s="53" t="str">
        <f t="shared" si="10"/>
        <v/>
      </c>
      <c r="N213" s="8">
        <v>0</v>
      </c>
      <c r="Q213" s="1"/>
      <c r="R213" s="1"/>
      <c r="S213" s="1"/>
      <c r="T213" s="8"/>
      <c r="U213" s="8"/>
      <c r="V213" s="1"/>
      <c r="W213" s="1"/>
      <c r="X213" s="1"/>
      <c r="Z213" s="8"/>
    </row>
    <row r="214" spans="1:26" x14ac:dyDescent="0.2">
      <c r="A214" s="12">
        <f t="shared" si="11"/>
        <v>202</v>
      </c>
      <c r="E214" s="10" t="str">
        <f t="shared" si="9"/>
        <v/>
      </c>
      <c r="I214" s="53" t="str">
        <f t="shared" si="10"/>
        <v/>
      </c>
      <c r="N214" s="8">
        <v>0</v>
      </c>
      <c r="Q214" s="1"/>
      <c r="R214" s="1"/>
      <c r="S214" s="1"/>
      <c r="T214" s="8"/>
      <c r="U214" s="8"/>
      <c r="V214" s="1"/>
      <c r="W214" s="1"/>
      <c r="X214" s="1"/>
      <c r="Z214" s="8"/>
    </row>
    <row r="215" spans="1:26" x14ac:dyDescent="0.2">
      <c r="A215" s="12">
        <f t="shared" si="11"/>
        <v>203</v>
      </c>
      <c r="E215" s="10" t="str">
        <f t="shared" si="9"/>
        <v/>
      </c>
      <c r="I215" s="53" t="str">
        <f t="shared" si="10"/>
        <v/>
      </c>
      <c r="N215" s="8">
        <v>0</v>
      </c>
      <c r="Q215" s="1"/>
      <c r="R215" s="1"/>
      <c r="S215" s="1"/>
      <c r="T215" s="8"/>
      <c r="U215" s="8"/>
      <c r="V215" s="1"/>
      <c r="W215" s="1"/>
      <c r="X215" s="1"/>
      <c r="Z215" s="8"/>
    </row>
    <row r="216" spans="1:26" x14ac:dyDescent="0.2">
      <c r="A216" s="12">
        <f t="shared" si="11"/>
        <v>204</v>
      </c>
      <c r="E216" s="10" t="str">
        <f t="shared" si="9"/>
        <v/>
      </c>
      <c r="I216" s="53" t="str">
        <f t="shared" si="10"/>
        <v/>
      </c>
      <c r="N216" s="8">
        <v>0</v>
      </c>
      <c r="Q216" s="1"/>
      <c r="R216" s="1"/>
      <c r="S216" s="1"/>
      <c r="T216" s="8"/>
      <c r="U216" s="8"/>
      <c r="V216" s="1"/>
      <c r="W216" s="1"/>
      <c r="X216" s="1"/>
      <c r="Z216" s="8"/>
    </row>
    <row r="217" spans="1:26" x14ac:dyDescent="0.2">
      <c r="A217" s="12">
        <f t="shared" si="11"/>
        <v>205</v>
      </c>
      <c r="E217" s="10" t="str">
        <f t="shared" si="9"/>
        <v/>
      </c>
      <c r="I217" s="53" t="str">
        <f t="shared" si="10"/>
        <v/>
      </c>
      <c r="N217" s="8">
        <v>0</v>
      </c>
      <c r="Q217" s="1"/>
      <c r="R217" s="1"/>
      <c r="S217" s="1"/>
      <c r="T217" s="8"/>
      <c r="U217" s="8"/>
      <c r="V217" s="1"/>
      <c r="W217" s="1"/>
      <c r="X217" s="1"/>
      <c r="Z217" s="8"/>
    </row>
    <row r="218" spans="1:26" x14ac:dyDescent="0.2">
      <c r="A218" s="12">
        <f t="shared" si="11"/>
        <v>206</v>
      </c>
      <c r="E218" s="10" t="str">
        <f t="shared" si="9"/>
        <v/>
      </c>
      <c r="I218" s="53" t="str">
        <f t="shared" si="10"/>
        <v/>
      </c>
      <c r="N218" s="8">
        <v>0</v>
      </c>
      <c r="Q218" s="1"/>
      <c r="R218" s="1"/>
      <c r="S218" s="1"/>
      <c r="T218" s="8"/>
      <c r="U218" s="8"/>
      <c r="V218" s="1"/>
      <c r="W218" s="1"/>
      <c r="X218" s="1"/>
      <c r="Z218" s="8"/>
    </row>
    <row r="219" spans="1:26" x14ac:dyDescent="0.2">
      <c r="A219" s="12">
        <f t="shared" si="11"/>
        <v>207</v>
      </c>
      <c r="E219" s="10" t="str">
        <f t="shared" si="9"/>
        <v/>
      </c>
      <c r="I219" s="53" t="str">
        <f t="shared" si="10"/>
        <v/>
      </c>
      <c r="N219" s="8">
        <v>0</v>
      </c>
      <c r="Q219" s="1"/>
      <c r="R219" s="1"/>
      <c r="S219" s="1"/>
      <c r="T219" s="8"/>
      <c r="U219" s="8"/>
      <c r="V219" s="1"/>
      <c r="W219" s="1"/>
      <c r="X219" s="1"/>
      <c r="Z219" s="8"/>
    </row>
    <row r="220" spans="1:26" x14ac:dyDescent="0.2">
      <c r="A220" s="12">
        <f t="shared" si="11"/>
        <v>208</v>
      </c>
      <c r="E220" s="10" t="str">
        <f t="shared" si="9"/>
        <v/>
      </c>
      <c r="I220" s="53" t="str">
        <f t="shared" si="10"/>
        <v/>
      </c>
      <c r="N220" s="8">
        <v>0</v>
      </c>
      <c r="Q220" s="1"/>
      <c r="R220" s="1"/>
      <c r="S220" s="1"/>
      <c r="T220" s="8"/>
      <c r="U220" s="8"/>
      <c r="V220" s="1"/>
      <c r="W220" s="1"/>
      <c r="X220" s="1"/>
      <c r="Z220" s="8"/>
    </row>
    <row r="221" spans="1:26" x14ac:dyDescent="0.2">
      <c r="A221" s="12">
        <f t="shared" si="11"/>
        <v>209</v>
      </c>
      <c r="E221" s="10" t="str">
        <f t="shared" si="9"/>
        <v/>
      </c>
      <c r="I221" s="53" t="str">
        <f t="shared" si="10"/>
        <v/>
      </c>
      <c r="N221" s="8">
        <v>0</v>
      </c>
      <c r="Q221" s="1"/>
      <c r="R221" s="1"/>
      <c r="S221" s="1"/>
      <c r="T221" s="8"/>
      <c r="U221" s="8"/>
      <c r="V221" s="1"/>
      <c r="W221" s="1"/>
      <c r="X221" s="1"/>
      <c r="Z221" s="8"/>
    </row>
    <row r="222" spans="1:26" x14ac:dyDescent="0.2">
      <c r="A222" s="12">
        <f t="shared" si="11"/>
        <v>210</v>
      </c>
      <c r="E222" s="10" t="str">
        <f t="shared" si="9"/>
        <v/>
      </c>
      <c r="I222" s="53" t="str">
        <f t="shared" si="10"/>
        <v/>
      </c>
      <c r="N222" s="8">
        <v>0</v>
      </c>
      <c r="Q222" s="1"/>
      <c r="R222" s="1"/>
      <c r="S222" s="1"/>
      <c r="T222" s="8"/>
      <c r="U222" s="8"/>
      <c r="V222" s="1"/>
      <c r="W222" s="1"/>
      <c r="X222" s="1"/>
      <c r="Z222" s="8"/>
    </row>
    <row r="223" spans="1:26" x14ac:dyDescent="0.2">
      <c r="A223" s="12">
        <f t="shared" si="11"/>
        <v>211</v>
      </c>
      <c r="E223" s="10" t="str">
        <f t="shared" si="9"/>
        <v/>
      </c>
      <c r="I223" s="53" t="str">
        <f t="shared" si="10"/>
        <v/>
      </c>
      <c r="N223" s="8">
        <v>0</v>
      </c>
      <c r="Q223" s="1"/>
      <c r="R223" s="1"/>
      <c r="S223" s="1"/>
      <c r="T223" s="8"/>
      <c r="U223" s="8"/>
      <c r="V223" s="1"/>
      <c r="W223" s="1"/>
      <c r="X223" s="1"/>
      <c r="Z223" s="8"/>
    </row>
    <row r="224" spans="1:26" x14ac:dyDescent="0.2">
      <c r="A224" s="12">
        <f t="shared" si="11"/>
        <v>212</v>
      </c>
      <c r="E224" s="10" t="str">
        <f t="shared" si="9"/>
        <v/>
      </c>
      <c r="I224" s="53" t="str">
        <f t="shared" si="10"/>
        <v/>
      </c>
      <c r="N224" s="8">
        <v>0</v>
      </c>
      <c r="Q224" s="1"/>
      <c r="R224" s="1"/>
      <c r="S224" s="1"/>
      <c r="T224" s="8"/>
      <c r="U224" s="8"/>
      <c r="V224" s="1"/>
      <c r="W224" s="1"/>
      <c r="X224" s="1"/>
      <c r="Z224" s="8"/>
    </row>
    <row r="225" spans="1:26" x14ac:dyDescent="0.2">
      <c r="A225" s="12">
        <f t="shared" si="11"/>
        <v>213</v>
      </c>
      <c r="E225" s="10" t="str">
        <f t="shared" si="9"/>
        <v/>
      </c>
      <c r="I225" s="53" t="str">
        <f t="shared" si="10"/>
        <v/>
      </c>
      <c r="N225" s="8">
        <v>0</v>
      </c>
      <c r="Q225" s="1"/>
      <c r="R225" s="1"/>
      <c r="S225" s="1"/>
      <c r="T225" s="8"/>
      <c r="U225" s="8"/>
      <c r="V225" s="1"/>
      <c r="W225" s="1"/>
      <c r="X225" s="1"/>
      <c r="Z225" s="8"/>
    </row>
    <row r="226" spans="1:26" x14ac:dyDescent="0.2">
      <c r="A226" s="12">
        <f t="shared" si="11"/>
        <v>214</v>
      </c>
      <c r="E226" s="10" t="str">
        <f t="shared" si="9"/>
        <v/>
      </c>
      <c r="I226" s="53" t="str">
        <f t="shared" si="10"/>
        <v/>
      </c>
      <c r="N226" s="8">
        <v>0</v>
      </c>
      <c r="Q226" s="1"/>
      <c r="R226" s="1"/>
      <c r="S226" s="1"/>
      <c r="T226" s="8"/>
      <c r="U226" s="8"/>
      <c r="V226" s="1"/>
      <c r="W226" s="1"/>
      <c r="X226" s="1"/>
      <c r="Z226" s="8"/>
    </row>
    <row r="227" spans="1:26" x14ac:dyDescent="0.2">
      <c r="A227" s="12">
        <f t="shared" si="11"/>
        <v>215</v>
      </c>
      <c r="E227" s="10" t="str">
        <f t="shared" si="9"/>
        <v/>
      </c>
      <c r="I227" s="53" t="str">
        <f t="shared" si="10"/>
        <v/>
      </c>
      <c r="N227" s="8">
        <v>0</v>
      </c>
      <c r="Q227" s="1"/>
      <c r="R227" s="1"/>
      <c r="S227" s="1"/>
      <c r="T227" s="8"/>
      <c r="U227" s="8"/>
      <c r="V227" s="1"/>
      <c r="W227" s="1"/>
      <c r="X227" s="1"/>
      <c r="Z227" s="8"/>
    </row>
    <row r="228" spans="1:26" x14ac:dyDescent="0.2">
      <c r="A228" s="12">
        <f t="shared" si="11"/>
        <v>216</v>
      </c>
      <c r="E228" s="10" t="str">
        <f t="shared" si="9"/>
        <v/>
      </c>
      <c r="I228" s="53" t="str">
        <f t="shared" si="10"/>
        <v/>
      </c>
      <c r="N228" s="8">
        <v>0</v>
      </c>
      <c r="Q228" s="1"/>
      <c r="R228" s="1"/>
      <c r="S228" s="1"/>
      <c r="T228" s="8"/>
      <c r="U228" s="8"/>
      <c r="V228" s="1"/>
      <c r="W228" s="1"/>
      <c r="X228" s="1"/>
      <c r="Z228" s="8"/>
    </row>
    <row r="229" spans="1:26" x14ac:dyDescent="0.2">
      <c r="A229" s="12">
        <f t="shared" si="11"/>
        <v>217</v>
      </c>
      <c r="E229" s="10" t="str">
        <f t="shared" si="9"/>
        <v/>
      </c>
      <c r="I229" s="53" t="str">
        <f t="shared" si="10"/>
        <v/>
      </c>
      <c r="N229" s="8">
        <v>0</v>
      </c>
      <c r="Q229" s="1"/>
      <c r="R229" s="1"/>
      <c r="S229" s="1"/>
      <c r="T229" s="8"/>
      <c r="U229" s="8"/>
      <c r="V229" s="1"/>
      <c r="W229" s="1"/>
      <c r="X229" s="1"/>
      <c r="Z229" s="8"/>
    </row>
    <row r="230" spans="1:26" x14ac:dyDescent="0.2">
      <c r="A230" s="12">
        <f t="shared" si="11"/>
        <v>218</v>
      </c>
      <c r="E230" s="10" t="str">
        <f t="shared" si="9"/>
        <v/>
      </c>
      <c r="I230" s="53" t="str">
        <f t="shared" si="10"/>
        <v/>
      </c>
      <c r="N230" s="8">
        <v>0</v>
      </c>
      <c r="Q230" s="1"/>
      <c r="R230" s="1"/>
      <c r="S230" s="1"/>
      <c r="T230" s="8"/>
      <c r="U230" s="8"/>
      <c r="V230" s="1"/>
      <c r="W230" s="1"/>
      <c r="X230" s="1"/>
      <c r="Z230" s="8"/>
    </row>
    <row r="231" spans="1:26" x14ac:dyDescent="0.2">
      <c r="A231" s="12">
        <f t="shared" si="11"/>
        <v>219</v>
      </c>
      <c r="E231" s="10" t="str">
        <f t="shared" si="9"/>
        <v/>
      </c>
      <c r="I231" s="53" t="str">
        <f t="shared" si="10"/>
        <v/>
      </c>
      <c r="N231" s="8">
        <v>0</v>
      </c>
      <c r="Q231" s="1"/>
      <c r="R231" s="1"/>
      <c r="S231" s="1"/>
      <c r="T231" s="8"/>
      <c r="U231" s="8"/>
      <c r="V231" s="1"/>
      <c r="W231" s="1"/>
      <c r="X231" s="1"/>
      <c r="Z231" s="8"/>
    </row>
    <row r="232" spans="1:26" x14ac:dyDescent="0.2">
      <c r="A232" s="12">
        <f t="shared" si="11"/>
        <v>220</v>
      </c>
      <c r="E232" s="10" t="str">
        <f t="shared" si="9"/>
        <v/>
      </c>
      <c r="I232" s="53" t="str">
        <f t="shared" si="10"/>
        <v/>
      </c>
      <c r="N232" s="8">
        <v>0</v>
      </c>
      <c r="Q232" s="1"/>
      <c r="R232" s="1"/>
      <c r="S232" s="1"/>
      <c r="T232" s="8"/>
      <c r="U232" s="8"/>
      <c r="V232" s="1"/>
      <c r="W232" s="1"/>
      <c r="X232" s="1"/>
      <c r="Z232" s="8"/>
    </row>
    <row r="233" spans="1:26" x14ac:dyDescent="0.2">
      <c r="A233" s="12">
        <f t="shared" si="11"/>
        <v>221</v>
      </c>
      <c r="E233" s="10" t="str">
        <f t="shared" si="9"/>
        <v/>
      </c>
      <c r="I233" s="53" t="str">
        <f t="shared" si="10"/>
        <v/>
      </c>
      <c r="N233" s="8">
        <v>0</v>
      </c>
      <c r="Q233" s="1"/>
      <c r="R233" s="1"/>
      <c r="S233" s="1"/>
      <c r="T233" s="8"/>
      <c r="U233" s="8"/>
      <c r="V233" s="1"/>
      <c r="W233" s="1"/>
      <c r="X233" s="1"/>
      <c r="Z233" s="8"/>
    </row>
    <row r="234" spans="1:26" x14ac:dyDescent="0.2">
      <c r="A234" s="12">
        <f t="shared" si="11"/>
        <v>222</v>
      </c>
      <c r="E234" s="10" t="str">
        <f t="shared" si="9"/>
        <v/>
      </c>
      <c r="I234" s="53" t="str">
        <f t="shared" si="10"/>
        <v/>
      </c>
      <c r="N234" s="8">
        <v>0</v>
      </c>
      <c r="Q234" s="1"/>
      <c r="R234" s="1"/>
      <c r="S234" s="1"/>
      <c r="T234" s="8"/>
      <c r="U234" s="8"/>
      <c r="V234" s="1"/>
      <c r="W234" s="1"/>
      <c r="X234" s="1"/>
      <c r="Z234" s="8"/>
    </row>
    <row r="235" spans="1:26" x14ac:dyDescent="0.2">
      <c r="A235" s="12">
        <f t="shared" si="11"/>
        <v>223</v>
      </c>
      <c r="E235" s="10" t="str">
        <f t="shared" si="9"/>
        <v/>
      </c>
      <c r="I235" s="53" t="str">
        <f t="shared" si="10"/>
        <v/>
      </c>
      <c r="N235" s="8">
        <v>0</v>
      </c>
      <c r="Q235" s="1"/>
      <c r="R235" s="1"/>
      <c r="S235" s="1"/>
      <c r="T235" s="8"/>
      <c r="U235" s="8"/>
      <c r="V235" s="1"/>
      <c r="W235" s="1"/>
      <c r="X235" s="1"/>
      <c r="Z235" s="8"/>
    </row>
    <row r="236" spans="1:26" x14ac:dyDescent="0.2">
      <c r="A236" s="12">
        <f t="shared" si="11"/>
        <v>224</v>
      </c>
      <c r="E236" s="10" t="str">
        <f t="shared" si="9"/>
        <v/>
      </c>
      <c r="I236" s="53" t="str">
        <f t="shared" si="10"/>
        <v/>
      </c>
      <c r="N236" s="8">
        <v>0</v>
      </c>
      <c r="Q236" s="1"/>
      <c r="R236" s="1"/>
      <c r="S236" s="1"/>
      <c r="T236" s="8"/>
      <c r="U236" s="8"/>
      <c r="V236" s="1"/>
      <c r="W236" s="1"/>
      <c r="X236" s="1"/>
      <c r="Z236" s="8"/>
    </row>
    <row r="237" spans="1:26" x14ac:dyDescent="0.2">
      <c r="A237" s="12">
        <f t="shared" si="11"/>
        <v>225</v>
      </c>
      <c r="E237" s="10" t="str">
        <f t="shared" si="9"/>
        <v/>
      </c>
      <c r="I237" s="53" t="str">
        <f t="shared" si="10"/>
        <v/>
      </c>
      <c r="N237" s="8">
        <v>0</v>
      </c>
      <c r="Q237" s="1"/>
      <c r="R237" s="1"/>
      <c r="S237" s="1"/>
      <c r="T237" s="8"/>
      <c r="U237" s="8"/>
      <c r="V237" s="1"/>
      <c r="W237" s="1"/>
      <c r="X237" s="1"/>
      <c r="Z237" s="8"/>
    </row>
    <row r="238" spans="1:26" x14ac:dyDescent="0.2">
      <c r="A238" s="12">
        <f t="shared" si="11"/>
        <v>226</v>
      </c>
      <c r="E238" s="10" t="str">
        <f t="shared" si="9"/>
        <v/>
      </c>
      <c r="I238" s="53" t="str">
        <f t="shared" si="10"/>
        <v/>
      </c>
      <c r="N238" s="8">
        <v>0</v>
      </c>
      <c r="Q238" s="1"/>
      <c r="R238" s="1"/>
      <c r="S238" s="1"/>
      <c r="T238" s="8"/>
      <c r="U238" s="8"/>
      <c r="V238" s="1"/>
      <c r="W238" s="1"/>
      <c r="X238" s="1"/>
      <c r="Z238" s="8"/>
    </row>
    <row r="239" spans="1:26" x14ac:dyDescent="0.2">
      <c r="A239" s="12">
        <f t="shared" si="11"/>
        <v>227</v>
      </c>
      <c r="E239" s="10" t="str">
        <f t="shared" si="9"/>
        <v/>
      </c>
      <c r="I239" s="53" t="str">
        <f t="shared" si="10"/>
        <v/>
      </c>
      <c r="N239" s="8">
        <v>0</v>
      </c>
      <c r="Q239" s="1"/>
      <c r="R239" s="1"/>
      <c r="S239" s="1"/>
      <c r="T239" s="8"/>
      <c r="U239" s="8"/>
      <c r="V239" s="1"/>
      <c r="W239" s="1"/>
      <c r="X239" s="1"/>
      <c r="Z239" s="8"/>
    </row>
    <row r="240" spans="1:26" x14ac:dyDescent="0.2">
      <c r="A240" s="12">
        <f t="shared" si="11"/>
        <v>228</v>
      </c>
      <c r="E240" s="10" t="str">
        <f t="shared" si="9"/>
        <v/>
      </c>
      <c r="I240" s="53" t="str">
        <f t="shared" si="10"/>
        <v/>
      </c>
      <c r="N240" s="8">
        <v>0</v>
      </c>
      <c r="Q240" s="1"/>
      <c r="R240" s="1"/>
      <c r="S240" s="1"/>
      <c r="T240" s="8"/>
      <c r="U240" s="8"/>
      <c r="V240" s="1"/>
      <c r="W240" s="1"/>
      <c r="X240" s="1"/>
      <c r="Z240" s="8"/>
    </row>
    <row r="241" spans="1:26" x14ac:dyDescent="0.2">
      <c r="A241" s="12">
        <f t="shared" si="11"/>
        <v>229</v>
      </c>
      <c r="E241" s="10" t="str">
        <f t="shared" si="9"/>
        <v/>
      </c>
      <c r="I241" s="53" t="str">
        <f t="shared" si="10"/>
        <v/>
      </c>
      <c r="N241" s="8">
        <v>0</v>
      </c>
      <c r="Q241" s="1"/>
      <c r="R241" s="1"/>
      <c r="S241" s="1"/>
      <c r="T241" s="8"/>
      <c r="U241" s="8"/>
      <c r="V241" s="1"/>
      <c r="W241" s="1"/>
      <c r="X241" s="1"/>
      <c r="Z241" s="8"/>
    </row>
    <row r="242" spans="1:26" x14ac:dyDescent="0.2">
      <c r="A242" s="12">
        <f t="shared" si="11"/>
        <v>230</v>
      </c>
      <c r="E242" s="10" t="str">
        <f t="shared" si="9"/>
        <v/>
      </c>
      <c r="I242" s="53" t="str">
        <f t="shared" si="10"/>
        <v/>
      </c>
      <c r="N242" s="8">
        <v>0</v>
      </c>
      <c r="Q242" s="1"/>
      <c r="R242" s="1"/>
      <c r="S242" s="1"/>
      <c r="T242" s="8"/>
      <c r="U242" s="8"/>
      <c r="V242" s="1"/>
      <c r="W242" s="1"/>
      <c r="X242" s="1"/>
      <c r="Z242" s="8"/>
    </row>
    <row r="243" spans="1:26" x14ac:dyDescent="0.2">
      <c r="A243" s="12">
        <f t="shared" si="11"/>
        <v>231</v>
      </c>
      <c r="E243" s="10" t="str">
        <f t="shared" si="9"/>
        <v/>
      </c>
      <c r="I243" s="53" t="str">
        <f t="shared" si="10"/>
        <v/>
      </c>
      <c r="N243" s="8">
        <v>0</v>
      </c>
      <c r="Q243" s="1"/>
      <c r="R243" s="1"/>
      <c r="S243" s="1"/>
      <c r="T243" s="8"/>
      <c r="U243" s="8"/>
      <c r="V243" s="1"/>
      <c r="W243" s="1"/>
      <c r="X243" s="1"/>
      <c r="Z243" s="8"/>
    </row>
    <row r="244" spans="1:26" x14ac:dyDescent="0.2">
      <c r="A244" s="12">
        <f t="shared" si="11"/>
        <v>232</v>
      </c>
      <c r="E244" s="10" t="str">
        <f t="shared" si="9"/>
        <v/>
      </c>
      <c r="I244" s="53" t="str">
        <f t="shared" si="10"/>
        <v/>
      </c>
      <c r="N244" s="8">
        <v>0</v>
      </c>
      <c r="Q244" s="1"/>
      <c r="R244" s="1"/>
      <c r="S244" s="1"/>
      <c r="T244" s="8"/>
      <c r="U244" s="8"/>
      <c r="V244" s="1"/>
      <c r="W244" s="1"/>
      <c r="X244" s="1"/>
      <c r="Z244" s="8"/>
    </row>
    <row r="245" spans="1:26" x14ac:dyDescent="0.2">
      <c r="A245" s="12">
        <f t="shared" si="11"/>
        <v>233</v>
      </c>
      <c r="E245" s="10" t="str">
        <f t="shared" si="9"/>
        <v/>
      </c>
      <c r="I245" s="53" t="str">
        <f t="shared" si="10"/>
        <v/>
      </c>
      <c r="N245" s="8">
        <v>0</v>
      </c>
      <c r="Q245" s="1"/>
      <c r="R245" s="1"/>
      <c r="S245" s="1"/>
      <c r="T245" s="8"/>
      <c r="U245" s="8"/>
      <c r="V245" s="1"/>
      <c r="W245" s="1"/>
      <c r="X245" s="1"/>
      <c r="Z245" s="8"/>
    </row>
    <row r="246" spans="1:26" x14ac:dyDescent="0.2">
      <c r="A246" s="12">
        <f t="shared" si="11"/>
        <v>234</v>
      </c>
      <c r="E246" s="10" t="str">
        <f t="shared" si="9"/>
        <v/>
      </c>
      <c r="I246" s="53" t="str">
        <f t="shared" si="10"/>
        <v/>
      </c>
      <c r="N246" s="8">
        <v>0</v>
      </c>
      <c r="Q246" s="1"/>
      <c r="R246" s="1"/>
      <c r="S246" s="1"/>
      <c r="T246" s="8"/>
      <c r="U246" s="8"/>
      <c r="V246" s="1"/>
      <c r="W246" s="1"/>
      <c r="X246" s="1"/>
      <c r="Z246" s="8"/>
    </row>
    <row r="247" spans="1:26" x14ac:dyDescent="0.2">
      <c r="A247" s="12">
        <f t="shared" si="11"/>
        <v>235</v>
      </c>
      <c r="E247" s="10" t="str">
        <f t="shared" si="9"/>
        <v/>
      </c>
      <c r="I247" s="53" t="str">
        <f t="shared" si="10"/>
        <v/>
      </c>
      <c r="N247" s="8">
        <v>0</v>
      </c>
      <c r="Q247" s="1"/>
      <c r="R247" s="1"/>
      <c r="S247" s="1"/>
      <c r="T247" s="8"/>
      <c r="U247" s="8"/>
      <c r="V247" s="1"/>
      <c r="W247" s="1"/>
      <c r="X247" s="1"/>
      <c r="Z247" s="8"/>
    </row>
    <row r="248" spans="1:26" x14ac:dyDescent="0.2">
      <c r="A248" s="12">
        <f t="shared" si="11"/>
        <v>236</v>
      </c>
      <c r="E248" s="10" t="str">
        <f t="shared" si="9"/>
        <v/>
      </c>
      <c r="I248" s="53" t="str">
        <f t="shared" si="10"/>
        <v/>
      </c>
      <c r="N248" s="8">
        <v>0</v>
      </c>
      <c r="Q248" s="1"/>
      <c r="R248" s="1"/>
      <c r="S248" s="1"/>
      <c r="T248" s="8"/>
      <c r="U248" s="8"/>
      <c r="V248" s="1"/>
      <c r="W248" s="1"/>
      <c r="X248" s="1"/>
      <c r="Z248" s="8"/>
    </row>
    <row r="249" spans="1:26" x14ac:dyDescent="0.2">
      <c r="A249" s="12">
        <f t="shared" si="11"/>
        <v>237</v>
      </c>
      <c r="E249" s="10" t="str">
        <f t="shared" si="9"/>
        <v/>
      </c>
      <c r="I249" s="53" t="str">
        <f t="shared" si="10"/>
        <v/>
      </c>
      <c r="N249" s="8">
        <v>0</v>
      </c>
      <c r="Q249" s="1"/>
      <c r="R249" s="1"/>
      <c r="S249" s="1"/>
      <c r="T249" s="8"/>
      <c r="U249" s="8"/>
      <c r="V249" s="1"/>
      <c r="W249" s="1"/>
      <c r="X249" s="1"/>
      <c r="Z249" s="8"/>
    </row>
    <row r="250" spans="1:26" x14ac:dyDescent="0.2">
      <c r="A250" s="12">
        <f t="shared" si="11"/>
        <v>238</v>
      </c>
      <c r="E250" s="10" t="str">
        <f t="shared" si="9"/>
        <v/>
      </c>
      <c r="I250" s="53" t="str">
        <f t="shared" si="10"/>
        <v/>
      </c>
      <c r="N250" s="8">
        <v>0</v>
      </c>
      <c r="Q250" s="1"/>
      <c r="R250" s="1"/>
      <c r="S250" s="1"/>
      <c r="T250" s="8"/>
      <c r="U250" s="8"/>
      <c r="V250" s="1"/>
      <c r="W250" s="1"/>
      <c r="X250" s="1"/>
      <c r="Z250" s="8"/>
    </row>
    <row r="251" spans="1:26" x14ac:dyDescent="0.2">
      <c r="A251" s="12">
        <f t="shared" si="11"/>
        <v>239</v>
      </c>
      <c r="E251" s="10" t="str">
        <f t="shared" si="9"/>
        <v/>
      </c>
      <c r="I251" s="53" t="str">
        <f t="shared" si="10"/>
        <v/>
      </c>
      <c r="N251" s="8">
        <v>0</v>
      </c>
      <c r="Q251" s="1"/>
      <c r="R251" s="1"/>
      <c r="S251" s="1"/>
      <c r="T251" s="8"/>
      <c r="U251" s="8"/>
      <c r="V251" s="1"/>
      <c r="W251" s="1"/>
      <c r="X251" s="1"/>
      <c r="Z251" s="8"/>
    </row>
    <row r="252" spans="1:26" x14ac:dyDescent="0.2">
      <c r="A252" s="12">
        <f t="shared" si="11"/>
        <v>240</v>
      </c>
      <c r="E252" s="10" t="str">
        <f t="shared" si="9"/>
        <v/>
      </c>
      <c r="I252" s="53" t="str">
        <f t="shared" si="10"/>
        <v/>
      </c>
      <c r="N252" s="8">
        <v>0</v>
      </c>
      <c r="Q252" s="1"/>
      <c r="R252" s="1"/>
      <c r="S252" s="1"/>
      <c r="T252" s="8"/>
      <c r="U252" s="8"/>
      <c r="V252" s="1"/>
      <c r="W252" s="1"/>
      <c r="X252" s="1"/>
      <c r="Z252" s="8"/>
    </row>
    <row r="253" spans="1:26" x14ac:dyDescent="0.2">
      <c r="A253" s="12">
        <f t="shared" si="11"/>
        <v>241</v>
      </c>
      <c r="E253" s="10" t="str">
        <f t="shared" si="9"/>
        <v/>
      </c>
      <c r="I253" s="53" t="str">
        <f t="shared" si="10"/>
        <v/>
      </c>
      <c r="N253" s="8">
        <v>0</v>
      </c>
      <c r="Q253" s="1"/>
      <c r="R253" s="1"/>
      <c r="S253" s="1"/>
      <c r="T253" s="8"/>
      <c r="U253" s="8"/>
      <c r="V253" s="1"/>
      <c r="W253" s="1"/>
      <c r="X253" s="1"/>
      <c r="Z253" s="8"/>
    </row>
    <row r="254" spans="1:26" x14ac:dyDescent="0.2">
      <c r="A254" s="12">
        <f t="shared" si="11"/>
        <v>242</v>
      </c>
      <c r="E254" s="10" t="str">
        <f t="shared" si="9"/>
        <v/>
      </c>
      <c r="I254" s="53" t="str">
        <f t="shared" si="10"/>
        <v/>
      </c>
      <c r="N254" s="8">
        <v>0</v>
      </c>
      <c r="Q254" s="1"/>
      <c r="R254" s="1"/>
      <c r="S254" s="1"/>
      <c r="T254" s="8"/>
      <c r="U254" s="8"/>
      <c r="V254" s="1"/>
      <c r="W254" s="1"/>
      <c r="X254" s="1"/>
      <c r="Z254" s="8"/>
    </row>
    <row r="255" spans="1:26" x14ac:dyDescent="0.2">
      <c r="A255" s="12">
        <f t="shared" si="11"/>
        <v>243</v>
      </c>
      <c r="E255" s="10" t="str">
        <f t="shared" si="9"/>
        <v/>
      </c>
      <c r="I255" s="53" t="str">
        <f t="shared" si="10"/>
        <v/>
      </c>
      <c r="N255" s="8">
        <v>0</v>
      </c>
      <c r="Q255" s="1"/>
      <c r="R255" s="1"/>
      <c r="S255" s="1"/>
      <c r="T255" s="8"/>
      <c r="U255" s="8"/>
      <c r="V255" s="1"/>
      <c r="W255" s="1"/>
      <c r="X255" s="1"/>
      <c r="Z255" s="8"/>
    </row>
    <row r="256" spans="1:26" x14ac:dyDescent="0.2">
      <c r="A256" s="12">
        <f t="shared" si="11"/>
        <v>244</v>
      </c>
      <c r="E256" s="10" t="str">
        <f t="shared" si="9"/>
        <v/>
      </c>
      <c r="I256" s="53" t="str">
        <f t="shared" si="10"/>
        <v/>
      </c>
      <c r="N256" s="8">
        <v>0</v>
      </c>
      <c r="Q256" s="1"/>
      <c r="R256" s="1"/>
      <c r="S256" s="1"/>
      <c r="T256" s="8"/>
      <c r="U256" s="8"/>
      <c r="V256" s="1"/>
      <c r="W256" s="1"/>
      <c r="X256" s="1"/>
      <c r="Z256" s="8"/>
    </row>
    <row r="257" spans="1:26" x14ac:dyDescent="0.2">
      <c r="A257" s="12">
        <f t="shared" si="11"/>
        <v>245</v>
      </c>
      <c r="E257" s="10" t="str">
        <f t="shared" si="9"/>
        <v/>
      </c>
      <c r="I257" s="53" t="str">
        <f t="shared" si="10"/>
        <v/>
      </c>
      <c r="N257" s="8">
        <v>0</v>
      </c>
      <c r="Q257" s="1"/>
      <c r="R257" s="1"/>
      <c r="S257" s="1"/>
      <c r="T257" s="8"/>
      <c r="U257" s="8"/>
      <c r="V257" s="1"/>
      <c r="W257" s="1"/>
      <c r="X257" s="1"/>
      <c r="Z257" s="8"/>
    </row>
    <row r="258" spans="1:26" x14ac:dyDescent="0.2">
      <c r="A258" s="12">
        <f t="shared" si="11"/>
        <v>246</v>
      </c>
      <c r="E258" s="10" t="str">
        <f t="shared" si="9"/>
        <v/>
      </c>
      <c r="I258" s="53" t="str">
        <f t="shared" si="10"/>
        <v/>
      </c>
      <c r="N258" s="8">
        <v>0</v>
      </c>
      <c r="Q258" s="1"/>
      <c r="R258" s="1"/>
      <c r="S258" s="1"/>
      <c r="T258" s="8"/>
      <c r="U258" s="8"/>
      <c r="V258" s="1"/>
      <c r="W258" s="1"/>
      <c r="X258" s="1"/>
      <c r="Z258" s="8"/>
    </row>
    <row r="259" spans="1:26" x14ac:dyDescent="0.2">
      <c r="A259" s="12">
        <f t="shared" si="11"/>
        <v>247</v>
      </c>
      <c r="E259" s="10" t="str">
        <f t="shared" si="9"/>
        <v/>
      </c>
      <c r="I259" s="53" t="str">
        <f t="shared" si="10"/>
        <v/>
      </c>
      <c r="N259" s="8">
        <v>0</v>
      </c>
      <c r="Q259" s="1"/>
      <c r="R259" s="1"/>
      <c r="S259" s="1"/>
      <c r="T259" s="8"/>
      <c r="U259" s="8"/>
      <c r="V259" s="1"/>
      <c r="W259" s="1"/>
      <c r="X259" s="1"/>
      <c r="Z259" s="8"/>
    </row>
    <row r="260" spans="1:26" x14ac:dyDescent="0.2">
      <c r="A260" s="12">
        <f t="shared" si="11"/>
        <v>248</v>
      </c>
      <c r="E260" s="10" t="str">
        <f t="shared" si="9"/>
        <v/>
      </c>
      <c r="I260" s="53" t="str">
        <f t="shared" si="10"/>
        <v/>
      </c>
      <c r="N260" s="8">
        <v>0</v>
      </c>
      <c r="Q260" s="1"/>
      <c r="R260" s="1"/>
      <c r="S260" s="1"/>
      <c r="T260" s="8"/>
      <c r="U260" s="8"/>
      <c r="V260" s="1"/>
      <c r="W260" s="1"/>
      <c r="X260" s="1"/>
      <c r="Z260" s="8"/>
    </row>
    <row r="261" spans="1:26" x14ac:dyDescent="0.2">
      <c r="A261" s="12">
        <f t="shared" si="11"/>
        <v>249</v>
      </c>
      <c r="E261" s="10" t="str">
        <f t="shared" si="9"/>
        <v/>
      </c>
      <c r="I261" s="53" t="str">
        <f t="shared" si="10"/>
        <v/>
      </c>
      <c r="N261" s="8">
        <v>0</v>
      </c>
      <c r="Q261" s="1"/>
      <c r="R261" s="1"/>
      <c r="S261" s="1"/>
      <c r="T261" s="8"/>
      <c r="U261" s="8"/>
      <c r="V261" s="1"/>
      <c r="W261" s="1"/>
      <c r="X261" s="1"/>
      <c r="Z261" s="8"/>
    </row>
    <row r="262" spans="1:26" x14ac:dyDescent="0.2">
      <c r="A262" s="12">
        <f t="shared" si="11"/>
        <v>250</v>
      </c>
      <c r="E262" s="10" t="str">
        <f t="shared" si="9"/>
        <v/>
      </c>
      <c r="I262" s="53" t="str">
        <f t="shared" si="10"/>
        <v/>
      </c>
      <c r="N262" s="8">
        <v>0</v>
      </c>
      <c r="Q262" s="1"/>
      <c r="R262" s="1"/>
      <c r="S262" s="1"/>
      <c r="T262" s="8"/>
      <c r="U262" s="8"/>
      <c r="V262" s="1"/>
      <c r="W262" s="1"/>
      <c r="X262" s="1"/>
      <c r="Z262" s="8"/>
    </row>
    <row r="263" spans="1:26" x14ac:dyDescent="0.2">
      <c r="A263" s="12">
        <f t="shared" si="11"/>
        <v>251</v>
      </c>
      <c r="E263" s="10" t="str">
        <f t="shared" si="9"/>
        <v/>
      </c>
      <c r="I263" s="53" t="str">
        <f t="shared" si="10"/>
        <v/>
      </c>
      <c r="N263" s="8">
        <v>0</v>
      </c>
      <c r="Q263" s="1"/>
      <c r="R263" s="1"/>
      <c r="S263" s="1"/>
      <c r="T263" s="8"/>
      <c r="U263" s="8"/>
      <c r="V263" s="1"/>
      <c r="W263" s="1"/>
      <c r="X263" s="1"/>
      <c r="Z263" s="8"/>
    </row>
    <row r="264" spans="1:26" x14ac:dyDescent="0.2">
      <c r="A264" s="12">
        <f t="shared" si="11"/>
        <v>252</v>
      </c>
      <c r="E264" s="10" t="str">
        <f t="shared" si="9"/>
        <v/>
      </c>
      <c r="I264" s="53" t="str">
        <f t="shared" si="10"/>
        <v/>
      </c>
      <c r="N264" s="8">
        <v>0</v>
      </c>
      <c r="Q264" s="1"/>
      <c r="R264" s="1"/>
      <c r="S264" s="1"/>
      <c r="T264" s="8"/>
      <c r="U264" s="8"/>
      <c r="V264" s="1"/>
      <c r="W264" s="1"/>
      <c r="X264" s="1"/>
      <c r="Z264" s="8"/>
    </row>
    <row r="265" spans="1:26" x14ac:dyDescent="0.2">
      <c r="A265" s="12">
        <f t="shared" si="11"/>
        <v>253</v>
      </c>
      <c r="E265" s="10" t="str">
        <f t="shared" si="9"/>
        <v/>
      </c>
      <c r="I265" s="53" t="str">
        <f t="shared" si="10"/>
        <v/>
      </c>
      <c r="N265" s="8">
        <v>0</v>
      </c>
      <c r="Q265" s="1"/>
      <c r="R265" s="1"/>
      <c r="S265" s="1"/>
      <c r="T265" s="8"/>
      <c r="U265" s="8"/>
      <c r="V265" s="1"/>
      <c r="W265" s="1"/>
      <c r="X265" s="1"/>
      <c r="Z265" s="8"/>
    </row>
    <row r="266" spans="1:26" x14ac:dyDescent="0.2">
      <c r="A266" s="12">
        <f t="shared" si="11"/>
        <v>254</v>
      </c>
      <c r="E266" s="10" t="str">
        <f t="shared" si="9"/>
        <v/>
      </c>
      <c r="I266" s="53" t="str">
        <f t="shared" si="10"/>
        <v/>
      </c>
      <c r="N266" s="8">
        <v>0</v>
      </c>
      <c r="Q266" s="1"/>
      <c r="R266" s="1"/>
      <c r="S266" s="1"/>
      <c r="T266" s="8"/>
      <c r="U266" s="8"/>
      <c r="V266" s="1"/>
      <c r="W266" s="1"/>
      <c r="X266" s="1"/>
      <c r="Z266" s="8"/>
    </row>
    <row r="267" spans="1:26" x14ac:dyDescent="0.2">
      <c r="A267" s="12">
        <f t="shared" si="11"/>
        <v>255</v>
      </c>
      <c r="E267" s="10" t="str">
        <f t="shared" si="9"/>
        <v/>
      </c>
      <c r="I267" s="53" t="str">
        <f t="shared" si="10"/>
        <v/>
      </c>
      <c r="N267" s="8">
        <v>0</v>
      </c>
      <c r="Q267" s="1"/>
      <c r="R267" s="1"/>
      <c r="S267" s="1"/>
      <c r="T267" s="8"/>
      <c r="U267" s="8"/>
      <c r="V267" s="1"/>
      <c r="W267" s="1"/>
      <c r="X267" s="1"/>
      <c r="Z267" s="8"/>
    </row>
    <row r="268" spans="1:26" x14ac:dyDescent="0.2">
      <c r="A268" s="12">
        <f t="shared" si="11"/>
        <v>256</v>
      </c>
      <c r="E268" s="10" t="str">
        <f t="shared" si="9"/>
        <v/>
      </c>
      <c r="I268" s="53" t="str">
        <f t="shared" si="10"/>
        <v/>
      </c>
      <c r="N268" s="8">
        <v>0</v>
      </c>
      <c r="Q268" s="1"/>
      <c r="R268" s="1"/>
      <c r="S268" s="1"/>
      <c r="T268" s="8"/>
      <c r="U268" s="8"/>
      <c r="V268" s="1"/>
      <c r="W268" s="1"/>
      <c r="X268" s="1"/>
      <c r="Z268" s="8"/>
    </row>
    <row r="269" spans="1:26" x14ac:dyDescent="0.2">
      <c r="A269" s="12">
        <f t="shared" si="11"/>
        <v>257</v>
      </c>
      <c r="E269" s="10" t="str">
        <f t="shared" ref="E269:E332" si="12">IF($C$8&gt;=A269,$E$1&amp;" "&amp;A269,"")</f>
        <v/>
      </c>
      <c r="I269" s="53" t="str">
        <f t="shared" si="10"/>
        <v/>
      </c>
      <c r="N269" s="8">
        <v>0</v>
      </c>
      <c r="Q269" s="1"/>
      <c r="R269" s="1"/>
      <c r="S269" s="1"/>
      <c r="T269" s="8"/>
      <c r="U269" s="8"/>
      <c r="V269" s="1"/>
      <c r="W269" s="1"/>
      <c r="X269" s="1"/>
      <c r="Z269" s="8"/>
    </row>
    <row r="270" spans="1:26" x14ac:dyDescent="0.2">
      <c r="A270" s="12">
        <f t="shared" si="11"/>
        <v>258</v>
      </c>
      <c r="E270" s="10" t="str">
        <f t="shared" si="12"/>
        <v/>
      </c>
      <c r="I270" s="53" t="str">
        <f t="shared" ref="I270:I333" si="13">IF(E270="","",F270-G270-H270)</f>
        <v/>
      </c>
      <c r="N270" s="8">
        <v>0</v>
      </c>
      <c r="Q270" s="1"/>
      <c r="R270" s="1"/>
      <c r="S270" s="1"/>
      <c r="T270" s="8"/>
      <c r="U270" s="8"/>
      <c r="V270" s="1"/>
      <c r="W270" s="1"/>
      <c r="X270" s="1"/>
      <c r="Z270" s="8"/>
    </row>
    <row r="271" spans="1:26" x14ac:dyDescent="0.2">
      <c r="A271" s="12">
        <f t="shared" ref="A271:A334" si="14">A270+1</f>
        <v>259</v>
      </c>
      <c r="E271" s="10" t="str">
        <f t="shared" si="12"/>
        <v/>
      </c>
      <c r="I271" s="53" t="str">
        <f t="shared" si="13"/>
        <v/>
      </c>
      <c r="N271" s="8">
        <v>0</v>
      </c>
      <c r="Q271" s="1"/>
      <c r="R271" s="1"/>
      <c r="S271" s="1"/>
      <c r="T271" s="8"/>
      <c r="U271" s="8"/>
      <c r="V271" s="1"/>
      <c r="W271" s="1"/>
      <c r="X271" s="1"/>
      <c r="Z271" s="8"/>
    </row>
    <row r="272" spans="1:26" x14ac:dyDescent="0.2">
      <c r="A272" s="12">
        <f t="shared" si="14"/>
        <v>260</v>
      </c>
      <c r="E272" s="10" t="str">
        <f t="shared" si="12"/>
        <v/>
      </c>
      <c r="I272" s="53" t="str">
        <f t="shared" si="13"/>
        <v/>
      </c>
      <c r="N272" s="8">
        <v>0</v>
      </c>
      <c r="Q272" s="1"/>
      <c r="R272" s="1"/>
      <c r="S272" s="1"/>
      <c r="T272" s="8"/>
      <c r="U272" s="8"/>
      <c r="V272" s="1"/>
      <c r="W272" s="1"/>
      <c r="X272" s="1"/>
      <c r="Z272" s="8"/>
    </row>
    <row r="273" spans="1:26" x14ac:dyDescent="0.2">
      <c r="A273" s="12">
        <f t="shared" si="14"/>
        <v>261</v>
      </c>
      <c r="E273" s="10" t="str">
        <f t="shared" si="12"/>
        <v/>
      </c>
      <c r="I273" s="53" t="str">
        <f t="shared" si="13"/>
        <v/>
      </c>
      <c r="N273" s="8">
        <v>0</v>
      </c>
      <c r="Q273" s="1"/>
      <c r="R273" s="1"/>
      <c r="S273" s="1"/>
      <c r="T273" s="8"/>
      <c r="U273" s="8"/>
      <c r="V273" s="1"/>
      <c r="W273" s="1"/>
      <c r="X273" s="1"/>
      <c r="Z273" s="8"/>
    </row>
    <row r="274" spans="1:26" x14ac:dyDescent="0.2">
      <c r="A274" s="12">
        <f t="shared" si="14"/>
        <v>262</v>
      </c>
      <c r="E274" s="10" t="str">
        <f t="shared" si="12"/>
        <v/>
      </c>
      <c r="I274" s="53" t="str">
        <f t="shared" si="13"/>
        <v/>
      </c>
      <c r="N274" s="8">
        <v>0</v>
      </c>
      <c r="Q274" s="1"/>
      <c r="R274" s="1"/>
      <c r="S274" s="1"/>
      <c r="T274" s="8"/>
      <c r="U274" s="8"/>
      <c r="V274" s="1"/>
      <c r="W274" s="1"/>
      <c r="X274" s="1"/>
      <c r="Z274" s="8"/>
    </row>
    <row r="275" spans="1:26" x14ac:dyDescent="0.2">
      <c r="A275" s="12">
        <f t="shared" si="14"/>
        <v>263</v>
      </c>
      <c r="E275" s="10" t="str">
        <f t="shared" si="12"/>
        <v/>
      </c>
      <c r="I275" s="53" t="str">
        <f t="shared" si="13"/>
        <v/>
      </c>
      <c r="N275" s="8">
        <v>0</v>
      </c>
      <c r="Q275" s="1"/>
      <c r="R275" s="1"/>
      <c r="S275" s="1"/>
      <c r="T275" s="8"/>
      <c r="U275" s="8"/>
      <c r="V275" s="1"/>
      <c r="W275" s="1"/>
      <c r="X275" s="1"/>
      <c r="Z275" s="8"/>
    </row>
    <row r="276" spans="1:26" x14ac:dyDescent="0.2">
      <c r="A276" s="12">
        <f t="shared" si="14"/>
        <v>264</v>
      </c>
      <c r="E276" s="10" t="str">
        <f t="shared" si="12"/>
        <v/>
      </c>
      <c r="I276" s="53" t="str">
        <f t="shared" si="13"/>
        <v/>
      </c>
      <c r="N276" s="8">
        <v>0</v>
      </c>
      <c r="Q276" s="1"/>
      <c r="R276" s="1"/>
      <c r="S276" s="1"/>
      <c r="T276" s="8"/>
      <c r="U276" s="8"/>
      <c r="V276" s="1"/>
      <c r="W276" s="1"/>
      <c r="X276" s="1"/>
      <c r="Z276" s="8"/>
    </row>
    <row r="277" spans="1:26" x14ac:dyDescent="0.2">
      <c r="A277" s="12">
        <f t="shared" si="14"/>
        <v>265</v>
      </c>
      <c r="E277" s="10" t="str">
        <f t="shared" si="12"/>
        <v/>
      </c>
      <c r="I277" s="53" t="str">
        <f t="shared" si="13"/>
        <v/>
      </c>
      <c r="N277" s="8">
        <v>0</v>
      </c>
      <c r="Q277" s="1"/>
      <c r="R277" s="1"/>
      <c r="S277" s="1"/>
      <c r="T277" s="8"/>
      <c r="U277" s="8"/>
      <c r="V277" s="1"/>
      <c r="W277" s="1"/>
      <c r="X277" s="1"/>
      <c r="Z277" s="8"/>
    </row>
    <row r="278" spans="1:26" x14ac:dyDescent="0.2">
      <c r="A278" s="12">
        <f t="shared" si="14"/>
        <v>266</v>
      </c>
      <c r="E278" s="10" t="str">
        <f t="shared" si="12"/>
        <v/>
      </c>
      <c r="I278" s="53" t="str">
        <f t="shared" si="13"/>
        <v/>
      </c>
      <c r="N278" s="8">
        <v>0</v>
      </c>
      <c r="Q278" s="1"/>
      <c r="R278" s="1"/>
      <c r="S278" s="1"/>
      <c r="T278" s="8"/>
      <c r="U278" s="8"/>
      <c r="V278" s="1"/>
      <c r="W278" s="1"/>
      <c r="X278" s="1"/>
      <c r="Z278" s="8"/>
    </row>
    <row r="279" spans="1:26" x14ac:dyDescent="0.2">
      <c r="A279" s="12">
        <f t="shared" si="14"/>
        <v>267</v>
      </c>
      <c r="E279" s="10" t="str">
        <f t="shared" si="12"/>
        <v/>
      </c>
      <c r="I279" s="53" t="str">
        <f t="shared" si="13"/>
        <v/>
      </c>
      <c r="N279" s="8">
        <v>0</v>
      </c>
      <c r="Q279" s="1"/>
      <c r="R279" s="1"/>
      <c r="S279" s="1"/>
      <c r="T279" s="8"/>
      <c r="U279" s="8"/>
      <c r="V279" s="1"/>
      <c r="W279" s="1"/>
      <c r="X279" s="1"/>
      <c r="Z279" s="8"/>
    </row>
    <row r="280" spans="1:26" x14ac:dyDescent="0.2">
      <c r="A280" s="12">
        <f t="shared" si="14"/>
        <v>268</v>
      </c>
      <c r="E280" s="10" t="str">
        <f t="shared" si="12"/>
        <v/>
      </c>
      <c r="I280" s="53" t="str">
        <f t="shared" si="13"/>
        <v/>
      </c>
      <c r="N280" s="8">
        <v>0</v>
      </c>
      <c r="Q280" s="1"/>
      <c r="R280" s="1"/>
      <c r="S280" s="1"/>
      <c r="T280" s="8"/>
      <c r="U280" s="8"/>
      <c r="V280" s="1"/>
      <c r="W280" s="1"/>
      <c r="X280" s="1"/>
      <c r="Z280" s="8"/>
    </row>
    <row r="281" spans="1:26" x14ac:dyDescent="0.2">
      <c r="A281" s="12">
        <f t="shared" si="14"/>
        <v>269</v>
      </c>
      <c r="E281" s="10" t="str">
        <f t="shared" si="12"/>
        <v/>
      </c>
      <c r="I281" s="53" t="str">
        <f t="shared" si="13"/>
        <v/>
      </c>
      <c r="N281" s="8">
        <v>0</v>
      </c>
      <c r="Q281" s="1"/>
      <c r="R281" s="1"/>
      <c r="S281" s="1"/>
      <c r="T281" s="8"/>
      <c r="U281" s="8"/>
      <c r="V281" s="1"/>
      <c r="W281" s="1"/>
      <c r="X281" s="1"/>
      <c r="Z281" s="8"/>
    </row>
    <row r="282" spans="1:26" x14ac:dyDescent="0.2">
      <c r="A282" s="12">
        <f t="shared" si="14"/>
        <v>270</v>
      </c>
      <c r="E282" s="10" t="str">
        <f t="shared" si="12"/>
        <v/>
      </c>
      <c r="I282" s="53" t="str">
        <f t="shared" si="13"/>
        <v/>
      </c>
      <c r="N282" s="8">
        <v>0</v>
      </c>
      <c r="Q282" s="1"/>
      <c r="R282" s="1"/>
      <c r="S282" s="1"/>
      <c r="T282" s="8"/>
      <c r="U282" s="8"/>
      <c r="V282" s="1"/>
      <c r="W282" s="1"/>
      <c r="X282" s="1"/>
      <c r="Z282" s="8"/>
    </row>
    <row r="283" spans="1:26" x14ac:dyDescent="0.2">
      <c r="A283" s="12">
        <f t="shared" si="14"/>
        <v>271</v>
      </c>
      <c r="E283" s="10" t="str">
        <f t="shared" si="12"/>
        <v/>
      </c>
      <c r="I283" s="53" t="str">
        <f t="shared" si="13"/>
        <v/>
      </c>
      <c r="N283" s="8">
        <v>0</v>
      </c>
      <c r="Q283" s="1"/>
      <c r="R283" s="1"/>
      <c r="S283" s="1"/>
      <c r="T283" s="8"/>
      <c r="U283" s="8"/>
      <c r="V283" s="1"/>
      <c r="W283" s="1"/>
      <c r="X283" s="1"/>
      <c r="Z283" s="8"/>
    </row>
    <row r="284" spans="1:26" x14ac:dyDescent="0.2">
      <c r="A284" s="12">
        <f t="shared" si="14"/>
        <v>272</v>
      </c>
      <c r="E284" s="10" t="str">
        <f t="shared" si="12"/>
        <v/>
      </c>
      <c r="I284" s="53" t="str">
        <f t="shared" si="13"/>
        <v/>
      </c>
      <c r="N284" s="8">
        <v>0</v>
      </c>
      <c r="Q284" s="1"/>
      <c r="R284" s="1"/>
      <c r="S284" s="1"/>
      <c r="T284" s="8"/>
      <c r="U284" s="8"/>
      <c r="V284" s="1"/>
      <c r="W284" s="1"/>
      <c r="X284" s="1"/>
      <c r="Z284" s="8"/>
    </row>
    <row r="285" spans="1:26" x14ac:dyDescent="0.2">
      <c r="A285" s="12">
        <f t="shared" si="14"/>
        <v>273</v>
      </c>
      <c r="E285" s="10" t="str">
        <f t="shared" si="12"/>
        <v/>
      </c>
      <c r="I285" s="53" t="str">
        <f t="shared" si="13"/>
        <v/>
      </c>
      <c r="N285" s="8">
        <v>0</v>
      </c>
      <c r="Q285" s="1"/>
      <c r="R285" s="1"/>
      <c r="S285" s="1"/>
      <c r="T285" s="8"/>
      <c r="U285" s="8"/>
      <c r="V285" s="1"/>
      <c r="W285" s="1"/>
      <c r="X285" s="1"/>
      <c r="Z285" s="8"/>
    </row>
    <row r="286" spans="1:26" x14ac:dyDescent="0.2">
      <c r="A286" s="12">
        <f t="shared" si="14"/>
        <v>274</v>
      </c>
      <c r="E286" s="10" t="str">
        <f t="shared" si="12"/>
        <v/>
      </c>
      <c r="I286" s="53" t="str">
        <f t="shared" si="13"/>
        <v/>
      </c>
      <c r="N286" s="8">
        <v>0</v>
      </c>
      <c r="Q286" s="1"/>
      <c r="R286" s="1"/>
      <c r="S286" s="1"/>
      <c r="T286" s="8"/>
      <c r="U286" s="8"/>
      <c r="V286" s="1"/>
      <c r="W286" s="1"/>
      <c r="X286" s="1"/>
      <c r="Z286" s="8"/>
    </row>
    <row r="287" spans="1:26" x14ac:dyDescent="0.2">
      <c r="A287" s="12">
        <f t="shared" si="14"/>
        <v>275</v>
      </c>
      <c r="E287" s="10" t="str">
        <f t="shared" si="12"/>
        <v/>
      </c>
      <c r="I287" s="53" t="str">
        <f t="shared" si="13"/>
        <v/>
      </c>
      <c r="N287" s="8">
        <v>0</v>
      </c>
      <c r="Q287" s="1"/>
      <c r="R287" s="1"/>
      <c r="S287" s="1"/>
      <c r="T287" s="8"/>
      <c r="U287" s="8"/>
      <c r="V287" s="1"/>
      <c r="W287" s="1"/>
      <c r="X287" s="1"/>
      <c r="Z287" s="8"/>
    </row>
    <row r="288" spans="1:26" x14ac:dyDescent="0.2">
      <c r="A288" s="12">
        <f t="shared" si="14"/>
        <v>276</v>
      </c>
      <c r="E288" s="10" t="str">
        <f t="shared" si="12"/>
        <v/>
      </c>
      <c r="I288" s="53" t="str">
        <f t="shared" si="13"/>
        <v/>
      </c>
      <c r="N288" s="8">
        <v>0</v>
      </c>
      <c r="Q288" s="1"/>
      <c r="R288" s="1"/>
      <c r="S288" s="1"/>
      <c r="T288" s="8"/>
      <c r="U288" s="8"/>
      <c r="V288" s="1"/>
      <c r="W288" s="1"/>
      <c r="X288" s="1"/>
      <c r="Z288" s="8"/>
    </row>
    <row r="289" spans="1:26" x14ac:dyDescent="0.2">
      <c r="A289" s="12">
        <f t="shared" si="14"/>
        <v>277</v>
      </c>
      <c r="E289" s="10" t="str">
        <f t="shared" si="12"/>
        <v/>
      </c>
      <c r="I289" s="53" t="str">
        <f t="shared" si="13"/>
        <v/>
      </c>
      <c r="N289" s="8">
        <v>0</v>
      </c>
      <c r="Q289" s="1"/>
      <c r="R289" s="1"/>
      <c r="S289" s="1"/>
      <c r="T289" s="8"/>
      <c r="U289" s="8"/>
      <c r="V289" s="1"/>
      <c r="W289" s="1"/>
      <c r="X289" s="1"/>
      <c r="Z289" s="8"/>
    </row>
    <row r="290" spans="1:26" x14ac:dyDescent="0.2">
      <c r="A290" s="12">
        <f t="shared" si="14"/>
        <v>278</v>
      </c>
      <c r="E290" s="10" t="str">
        <f t="shared" si="12"/>
        <v/>
      </c>
      <c r="I290" s="53" t="str">
        <f t="shared" si="13"/>
        <v/>
      </c>
      <c r="N290" s="8">
        <v>0</v>
      </c>
      <c r="Q290" s="1"/>
      <c r="R290" s="1"/>
      <c r="S290" s="1"/>
      <c r="T290" s="8"/>
      <c r="U290" s="8"/>
      <c r="V290" s="1"/>
      <c r="W290" s="1"/>
      <c r="X290" s="1"/>
      <c r="Z290" s="8"/>
    </row>
    <row r="291" spans="1:26" x14ac:dyDescent="0.2">
      <c r="A291" s="12">
        <f t="shared" si="14"/>
        <v>279</v>
      </c>
      <c r="E291" s="10" t="str">
        <f t="shared" si="12"/>
        <v/>
      </c>
      <c r="I291" s="53" t="str">
        <f t="shared" si="13"/>
        <v/>
      </c>
      <c r="N291" s="8">
        <v>0</v>
      </c>
      <c r="Q291" s="1"/>
      <c r="R291" s="1"/>
      <c r="S291" s="1"/>
      <c r="T291" s="8"/>
      <c r="U291" s="8"/>
      <c r="V291" s="1"/>
      <c r="W291" s="1"/>
      <c r="X291" s="1"/>
      <c r="Z291" s="8"/>
    </row>
    <row r="292" spans="1:26" x14ac:dyDescent="0.2">
      <c r="A292" s="12">
        <f t="shared" si="14"/>
        <v>280</v>
      </c>
      <c r="E292" s="10" t="str">
        <f t="shared" si="12"/>
        <v/>
      </c>
      <c r="I292" s="53" t="str">
        <f t="shared" si="13"/>
        <v/>
      </c>
      <c r="N292" s="8">
        <v>0</v>
      </c>
      <c r="Q292" s="1"/>
      <c r="R292" s="1"/>
      <c r="S292" s="1"/>
      <c r="T292" s="8"/>
      <c r="U292" s="8"/>
      <c r="V292" s="1"/>
      <c r="W292" s="1"/>
      <c r="X292" s="1"/>
      <c r="Z292" s="8"/>
    </row>
    <row r="293" spans="1:26" x14ac:dyDescent="0.2">
      <c r="A293" s="12">
        <f t="shared" si="14"/>
        <v>281</v>
      </c>
      <c r="E293" s="10" t="str">
        <f t="shared" si="12"/>
        <v/>
      </c>
      <c r="I293" s="53" t="str">
        <f t="shared" si="13"/>
        <v/>
      </c>
      <c r="N293" s="8">
        <v>0</v>
      </c>
      <c r="Q293" s="1"/>
      <c r="R293" s="1"/>
      <c r="S293" s="1"/>
      <c r="T293" s="8"/>
      <c r="U293" s="8"/>
      <c r="V293" s="1"/>
      <c r="W293" s="1"/>
      <c r="X293" s="1"/>
      <c r="Z293" s="8"/>
    </row>
    <row r="294" spans="1:26" x14ac:dyDescent="0.2">
      <c r="A294" s="12">
        <f t="shared" si="14"/>
        <v>282</v>
      </c>
      <c r="E294" s="10" t="str">
        <f t="shared" si="12"/>
        <v/>
      </c>
      <c r="I294" s="53" t="str">
        <f t="shared" si="13"/>
        <v/>
      </c>
      <c r="N294" s="8">
        <v>0</v>
      </c>
      <c r="Q294" s="1"/>
      <c r="R294" s="1"/>
      <c r="S294" s="1"/>
      <c r="T294" s="8"/>
      <c r="U294" s="8"/>
      <c r="V294" s="1"/>
      <c r="W294" s="1"/>
      <c r="X294" s="1"/>
      <c r="Z294" s="8"/>
    </row>
    <row r="295" spans="1:26" x14ac:dyDescent="0.2">
      <c r="A295" s="12">
        <f t="shared" si="14"/>
        <v>283</v>
      </c>
      <c r="E295" s="10" t="str">
        <f t="shared" si="12"/>
        <v/>
      </c>
      <c r="I295" s="53" t="str">
        <f t="shared" si="13"/>
        <v/>
      </c>
      <c r="N295" s="8">
        <v>0</v>
      </c>
      <c r="Q295" s="1"/>
      <c r="R295" s="1"/>
      <c r="S295" s="1"/>
      <c r="T295" s="8"/>
      <c r="U295" s="8"/>
      <c r="V295" s="1"/>
      <c r="W295" s="1"/>
      <c r="X295" s="1"/>
      <c r="Z295" s="8"/>
    </row>
    <row r="296" spans="1:26" x14ac:dyDescent="0.2">
      <c r="A296" s="12">
        <f t="shared" si="14"/>
        <v>284</v>
      </c>
      <c r="E296" s="10" t="str">
        <f t="shared" si="12"/>
        <v/>
      </c>
      <c r="I296" s="53" t="str">
        <f t="shared" si="13"/>
        <v/>
      </c>
      <c r="N296" s="8">
        <v>0</v>
      </c>
      <c r="Q296" s="1"/>
      <c r="R296" s="1"/>
      <c r="S296" s="1"/>
      <c r="T296" s="8"/>
      <c r="U296" s="8"/>
      <c r="V296" s="1"/>
      <c r="W296" s="1"/>
      <c r="X296" s="1"/>
      <c r="Z296" s="8"/>
    </row>
    <row r="297" spans="1:26" x14ac:dyDescent="0.2">
      <c r="A297" s="12">
        <f t="shared" si="14"/>
        <v>285</v>
      </c>
      <c r="E297" s="10" t="str">
        <f t="shared" si="12"/>
        <v/>
      </c>
      <c r="I297" s="53" t="str">
        <f t="shared" si="13"/>
        <v/>
      </c>
      <c r="N297" s="8">
        <v>0</v>
      </c>
      <c r="Q297" s="1"/>
      <c r="R297" s="1"/>
      <c r="S297" s="1"/>
      <c r="T297" s="8"/>
      <c r="U297" s="8"/>
      <c r="V297" s="1"/>
      <c r="W297" s="1"/>
      <c r="X297" s="1"/>
      <c r="Z297" s="8"/>
    </row>
    <row r="298" spans="1:26" x14ac:dyDescent="0.2">
      <c r="A298" s="12">
        <f t="shared" si="14"/>
        <v>286</v>
      </c>
      <c r="E298" s="10" t="str">
        <f t="shared" si="12"/>
        <v/>
      </c>
      <c r="I298" s="53" t="str">
        <f t="shared" si="13"/>
        <v/>
      </c>
      <c r="N298" s="8">
        <v>0</v>
      </c>
      <c r="Q298" s="1"/>
      <c r="R298" s="1"/>
      <c r="S298" s="1"/>
      <c r="T298" s="8"/>
      <c r="U298" s="8"/>
      <c r="V298" s="1"/>
      <c r="W298" s="1"/>
      <c r="X298" s="1"/>
      <c r="Z298" s="8"/>
    </row>
    <row r="299" spans="1:26" x14ac:dyDescent="0.2">
      <c r="A299" s="12">
        <f t="shared" si="14"/>
        <v>287</v>
      </c>
      <c r="E299" s="10" t="str">
        <f t="shared" si="12"/>
        <v/>
      </c>
      <c r="I299" s="53" t="str">
        <f t="shared" si="13"/>
        <v/>
      </c>
      <c r="N299" s="8">
        <v>0</v>
      </c>
      <c r="Q299" s="1"/>
      <c r="R299" s="1"/>
      <c r="S299" s="1"/>
      <c r="T299" s="8"/>
      <c r="U299" s="8"/>
      <c r="V299" s="1"/>
      <c r="W299" s="1"/>
      <c r="X299" s="1"/>
      <c r="Z299" s="8"/>
    </row>
    <row r="300" spans="1:26" x14ac:dyDescent="0.2">
      <c r="A300" s="12">
        <f t="shared" si="14"/>
        <v>288</v>
      </c>
      <c r="E300" s="10" t="str">
        <f t="shared" si="12"/>
        <v/>
      </c>
      <c r="I300" s="53" t="str">
        <f t="shared" si="13"/>
        <v/>
      </c>
      <c r="N300" s="8">
        <v>0</v>
      </c>
      <c r="Q300" s="1"/>
      <c r="R300" s="1"/>
      <c r="S300" s="1"/>
      <c r="T300" s="8"/>
      <c r="U300" s="8"/>
      <c r="V300" s="1"/>
      <c r="W300" s="1"/>
      <c r="X300" s="1"/>
      <c r="Z300" s="8"/>
    </row>
    <row r="301" spans="1:26" x14ac:dyDescent="0.2">
      <c r="A301" s="12">
        <f t="shared" si="14"/>
        <v>289</v>
      </c>
      <c r="E301" s="10" t="str">
        <f t="shared" si="12"/>
        <v/>
      </c>
      <c r="I301" s="53" t="str">
        <f t="shared" si="13"/>
        <v/>
      </c>
      <c r="N301" s="8">
        <v>0</v>
      </c>
      <c r="Q301" s="1"/>
      <c r="R301" s="1"/>
      <c r="S301" s="1"/>
      <c r="T301" s="8"/>
      <c r="U301" s="8"/>
      <c r="V301" s="1"/>
      <c r="W301" s="1"/>
      <c r="X301" s="1"/>
      <c r="Z301" s="8"/>
    </row>
    <row r="302" spans="1:26" x14ac:dyDescent="0.2">
      <c r="A302" s="12">
        <f t="shared" si="14"/>
        <v>290</v>
      </c>
      <c r="E302" s="10" t="str">
        <f t="shared" si="12"/>
        <v/>
      </c>
      <c r="I302" s="53" t="str">
        <f t="shared" si="13"/>
        <v/>
      </c>
      <c r="N302" s="8">
        <v>0</v>
      </c>
      <c r="Q302" s="1"/>
      <c r="R302" s="1"/>
      <c r="S302" s="1"/>
      <c r="T302" s="8"/>
      <c r="U302" s="8"/>
      <c r="V302" s="1"/>
      <c r="W302" s="1"/>
      <c r="X302" s="1"/>
      <c r="Z302" s="8"/>
    </row>
    <row r="303" spans="1:26" x14ac:dyDescent="0.2">
      <c r="A303" s="12">
        <f t="shared" si="14"/>
        <v>291</v>
      </c>
      <c r="E303" s="10" t="str">
        <f t="shared" si="12"/>
        <v/>
      </c>
      <c r="I303" s="53" t="str">
        <f t="shared" si="13"/>
        <v/>
      </c>
      <c r="N303" s="8">
        <v>0</v>
      </c>
      <c r="Q303" s="1"/>
      <c r="R303" s="1"/>
      <c r="S303" s="1"/>
      <c r="T303" s="8"/>
      <c r="U303" s="8"/>
      <c r="V303" s="1"/>
      <c r="W303" s="1"/>
      <c r="X303" s="1"/>
      <c r="Z303" s="8"/>
    </row>
    <row r="304" spans="1:26" x14ac:dyDescent="0.2">
      <c r="A304" s="12">
        <f t="shared" si="14"/>
        <v>292</v>
      </c>
      <c r="E304" s="10" t="str">
        <f t="shared" si="12"/>
        <v/>
      </c>
      <c r="I304" s="53" t="str">
        <f t="shared" si="13"/>
        <v/>
      </c>
      <c r="N304" s="8">
        <v>0</v>
      </c>
      <c r="Q304" s="1"/>
      <c r="R304" s="1"/>
      <c r="S304" s="1"/>
      <c r="T304" s="8"/>
      <c r="U304" s="8"/>
      <c r="V304" s="1"/>
      <c r="W304" s="1"/>
      <c r="X304" s="1"/>
      <c r="Z304" s="8"/>
    </row>
    <row r="305" spans="1:26" x14ac:dyDescent="0.2">
      <c r="A305" s="12">
        <f t="shared" si="14"/>
        <v>293</v>
      </c>
      <c r="E305" s="10" t="str">
        <f t="shared" si="12"/>
        <v/>
      </c>
      <c r="I305" s="53" t="str">
        <f t="shared" si="13"/>
        <v/>
      </c>
      <c r="N305" s="8">
        <v>0</v>
      </c>
      <c r="Q305" s="1"/>
      <c r="R305" s="1"/>
      <c r="S305" s="1"/>
      <c r="T305" s="8"/>
      <c r="U305" s="8"/>
      <c r="V305" s="1"/>
      <c r="W305" s="1"/>
      <c r="X305" s="1"/>
      <c r="Z305" s="8"/>
    </row>
    <row r="306" spans="1:26" x14ac:dyDescent="0.2">
      <c r="A306" s="12">
        <f t="shared" si="14"/>
        <v>294</v>
      </c>
      <c r="E306" s="10" t="str">
        <f t="shared" si="12"/>
        <v/>
      </c>
      <c r="I306" s="53" t="str">
        <f t="shared" si="13"/>
        <v/>
      </c>
      <c r="N306" s="8">
        <v>0</v>
      </c>
      <c r="Q306" s="1"/>
      <c r="R306" s="1"/>
      <c r="S306" s="1"/>
      <c r="T306" s="8"/>
      <c r="U306" s="8"/>
      <c r="V306" s="1"/>
      <c r="W306" s="1"/>
      <c r="X306" s="1"/>
      <c r="Z306" s="8"/>
    </row>
    <row r="307" spans="1:26" x14ac:dyDescent="0.2">
      <c r="A307" s="12">
        <f t="shared" si="14"/>
        <v>295</v>
      </c>
      <c r="E307" s="10" t="str">
        <f t="shared" si="12"/>
        <v/>
      </c>
      <c r="I307" s="53" t="str">
        <f t="shared" si="13"/>
        <v/>
      </c>
      <c r="N307" s="8">
        <v>0</v>
      </c>
      <c r="Q307" s="1"/>
      <c r="R307" s="1"/>
      <c r="S307" s="1"/>
      <c r="T307" s="8"/>
      <c r="U307" s="8"/>
      <c r="V307" s="1"/>
      <c r="W307" s="1"/>
      <c r="X307" s="1"/>
      <c r="Z307" s="8"/>
    </row>
    <row r="308" spans="1:26" x14ac:dyDescent="0.2">
      <c r="A308" s="12">
        <f t="shared" si="14"/>
        <v>296</v>
      </c>
      <c r="E308" s="10" t="str">
        <f t="shared" si="12"/>
        <v/>
      </c>
      <c r="I308" s="53" t="str">
        <f t="shared" si="13"/>
        <v/>
      </c>
      <c r="N308" s="8">
        <v>0</v>
      </c>
      <c r="Q308" s="1"/>
      <c r="R308" s="1"/>
      <c r="S308" s="1"/>
      <c r="T308" s="8"/>
      <c r="U308" s="8"/>
      <c r="V308" s="1"/>
      <c r="W308" s="1"/>
      <c r="X308" s="1"/>
      <c r="Z308" s="8"/>
    </row>
    <row r="309" spans="1:26" x14ac:dyDescent="0.2">
      <c r="A309" s="12">
        <f t="shared" si="14"/>
        <v>297</v>
      </c>
      <c r="E309" s="10" t="str">
        <f t="shared" si="12"/>
        <v/>
      </c>
      <c r="I309" s="53" t="str">
        <f t="shared" si="13"/>
        <v/>
      </c>
      <c r="N309" s="8">
        <v>0</v>
      </c>
      <c r="Q309" s="1"/>
      <c r="R309" s="1"/>
      <c r="S309" s="1"/>
      <c r="T309" s="8"/>
      <c r="U309" s="8"/>
      <c r="V309" s="1"/>
      <c r="W309" s="1"/>
      <c r="X309" s="1"/>
      <c r="Z309" s="8"/>
    </row>
    <row r="310" spans="1:26" x14ac:dyDescent="0.2">
      <c r="A310" s="12">
        <f t="shared" si="14"/>
        <v>298</v>
      </c>
      <c r="E310" s="10" t="str">
        <f t="shared" si="12"/>
        <v/>
      </c>
      <c r="I310" s="53" t="str">
        <f t="shared" si="13"/>
        <v/>
      </c>
      <c r="N310" s="8">
        <v>0</v>
      </c>
      <c r="Q310" s="1"/>
      <c r="R310" s="1"/>
      <c r="S310" s="1"/>
      <c r="T310" s="8"/>
      <c r="U310" s="8"/>
      <c r="V310" s="1"/>
      <c r="W310" s="1"/>
      <c r="X310" s="1"/>
      <c r="Z310" s="8"/>
    </row>
    <row r="311" spans="1:26" x14ac:dyDescent="0.2">
      <c r="A311" s="12">
        <f t="shared" si="14"/>
        <v>299</v>
      </c>
      <c r="E311" s="10" t="str">
        <f t="shared" si="12"/>
        <v/>
      </c>
      <c r="I311" s="53" t="str">
        <f t="shared" si="13"/>
        <v/>
      </c>
      <c r="N311" s="8">
        <v>0</v>
      </c>
      <c r="Q311" s="1"/>
      <c r="R311" s="1"/>
      <c r="S311" s="1"/>
      <c r="T311" s="8"/>
      <c r="U311" s="8"/>
      <c r="V311" s="1"/>
      <c r="W311" s="1"/>
      <c r="X311" s="1"/>
      <c r="Z311" s="8"/>
    </row>
    <row r="312" spans="1:26" x14ac:dyDescent="0.2">
      <c r="A312" s="12">
        <f t="shared" si="14"/>
        <v>300</v>
      </c>
      <c r="E312" s="10" t="str">
        <f t="shared" si="12"/>
        <v/>
      </c>
      <c r="I312" s="53" t="str">
        <f t="shared" si="13"/>
        <v/>
      </c>
      <c r="N312" s="8">
        <v>0</v>
      </c>
      <c r="Q312" s="1"/>
      <c r="R312" s="1"/>
      <c r="S312" s="1"/>
      <c r="T312" s="8"/>
      <c r="U312" s="8"/>
      <c r="V312" s="1"/>
      <c r="W312" s="1"/>
      <c r="X312" s="1"/>
      <c r="Z312" s="8"/>
    </row>
    <row r="313" spans="1:26" x14ac:dyDescent="0.2">
      <c r="A313" s="12">
        <f t="shared" si="14"/>
        <v>301</v>
      </c>
      <c r="E313" s="10" t="str">
        <f t="shared" si="12"/>
        <v/>
      </c>
      <c r="I313" s="53" t="str">
        <f t="shared" si="13"/>
        <v/>
      </c>
      <c r="N313" s="8">
        <v>0</v>
      </c>
      <c r="Q313" s="1"/>
      <c r="R313" s="1"/>
      <c r="S313" s="1"/>
      <c r="T313" s="8"/>
      <c r="U313" s="8"/>
      <c r="V313" s="1"/>
      <c r="W313" s="1"/>
      <c r="X313" s="1"/>
      <c r="Z313" s="8"/>
    </row>
    <row r="314" spans="1:26" x14ac:dyDescent="0.2">
      <c r="A314" s="12">
        <f t="shared" si="14"/>
        <v>302</v>
      </c>
      <c r="E314" s="10" t="str">
        <f t="shared" si="12"/>
        <v/>
      </c>
      <c r="I314" s="53" t="str">
        <f t="shared" si="13"/>
        <v/>
      </c>
      <c r="N314" s="8">
        <v>0</v>
      </c>
      <c r="Q314" s="1"/>
      <c r="R314" s="1"/>
      <c r="S314" s="1"/>
      <c r="T314" s="8"/>
      <c r="U314" s="8"/>
      <c r="V314" s="1"/>
      <c r="W314" s="1"/>
      <c r="X314" s="1"/>
      <c r="Z314" s="8"/>
    </row>
    <row r="315" spans="1:26" x14ac:dyDescent="0.2">
      <c r="A315" s="12">
        <f t="shared" si="14"/>
        <v>303</v>
      </c>
      <c r="E315" s="10" t="str">
        <f t="shared" si="12"/>
        <v/>
      </c>
      <c r="I315" s="53" t="str">
        <f t="shared" si="13"/>
        <v/>
      </c>
      <c r="N315" s="8">
        <v>0</v>
      </c>
      <c r="Q315" s="1"/>
      <c r="R315" s="1"/>
      <c r="S315" s="1"/>
      <c r="T315" s="8"/>
      <c r="U315" s="8"/>
      <c r="V315" s="1"/>
      <c r="W315" s="1"/>
      <c r="X315" s="1"/>
      <c r="Z315" s="8"/>
    </row>
    <row r="316" spans="1:26" x14ac:dyDescent="0.2">
      <c r="A316" s="12">
        <f t="shared" si="14"/>
        <v>304</v>
      </c>
      <c r="E316" s="10" t="str">
        <f t="shared" si="12"/>
        <v/>
      </c>
      <c r="I316" s="53" t="str">
        <f t="shared" si="13"/>
        <v/>
      </c>
      <c r="N316" s="8">
        <v>0</v>
      </c>
      <c r="Q316" s="1"/>
      <c r="R316" s="1"/>
      <c r="S316" s="1"/>
      <c r="T316" s="8"/>
      <c r="U316" s="8"/>
      <c r="V316" s="1"/>
      <c r="W316" s="1"/>
      <c r="X316" s="1"/>
      <c r="Z316" s="8"/>
    </row>
    <row r="317" spans="1:26" x14ac:dyDescent="0.2">
      <c r="A317" s="12">
        <f t="shared" si="14"/>
        <v>305</v>
      </c>
      <c r="E317" s="10" t="str">
        <f t="shared" si="12"/>
        <v/>
      </c>
      <c r="I317" s="53" t="str">
        <f t="shared" si="13"/>
        <v/>
      </c>
      <c r="N317" s="8">
        <v>0</v>
      </c>
      <c r="Q317" s="1"/>
      <c r="R317" s="1"/>
      <c r="S317" s="1"/>
      <c r="T317" s="8"/>
      <c r="U317" s="8"/>
      <c r="V317" s="1"/>
      <c r="W317" s="1"/>
      <c r="X317" s="1"/>
      <c r="Z317" s="8"/>
    </row>
    <row r="318" spans="1:26" x14ac:dyDescent="0.2">
      <c r="A318" s="12">
        <f t="shared" si="14"/>
        <v>306</v>
      </c>
      <c r="E318" s="10" t="str">
        <f t="shared" si="12"/>
        <v/>
      </c>
      <c r="I318" s="53" t="str">
        <f t="shared" si="13"/>
        <v/>
      </c>
      <c r="N318" s="8">
        <v>0</v>
      </c>
      <c r="Q318" s="1"/>
      <c r="R318" s="1"/>
      <c r="S318" s="1"/>
      <c r="T318" s="8"/>
      <c r="U318" s="8"/>
      <c r="V318" s="1"/>
      <c r="W318" s="1"/>
      <c r="X318" s="1"/>
      <c r="Z318" s="8"/>
    </row>
    <row r="319" spans="1:26" x14ac:dyDescent="0.2">
      <c r="A319" s="12">
        <f t="shared" si="14"/>
        <v>307</v>
      </c>
      <c r="E319" s="10" t="str">
        <f t="shared" si="12"/>
        <v/>
      </c>
      <c r="I319" s="53" t="str">
        <f t="shared" si="13"/>
        <v/>
      </c>
      <c r="N319" s="8">
        <v>0</v>
      </c>
      <c r="Q319" s="1"/>
      <c r="R319" s="1"/>
      <c r="S319" s="1"/>
      <c r="T319" s="8"/>
      <c r="U319" s="8"/>
      <c r="V319" s="1"/>
      <c r="W319" s="1"/>
      <c r="X319" s="1"/>
      <c r="Z319" s="8"/>
    </row>
    <row r="320" spans="1:26" x14ac:dyDescent="0.2">
      <c r="A320" s="12">
        <f t="shared" si="14"/>
        <v>308</v>
      </c>
      <c r="E320" s="10" t="str">
        <f t="shared" si="12"/>
        <v/>
      </c>
      <c r="I320" s="53" t="str">
        <f t="shared" si="13"/>
        <v/>
      </c>
      <c r="N320" s="8">
        <v>0</v>
      </c>
      <c r="Q320" s="1"/>
      <c r="R320" s="1"/>
      <c r="S320" s="1"/>
      <c r="T320" s="8"/>
      <c r="U320" s="8"/>
      <c r="V320" s="1"/>
      <c r="W320" s="1"/>
      <c r="X320" s="1"/>
      <c r="Z320" s="8"/>
    </row>
    <row r="321" spans="1:26" x14ac:dyDescent="0.2">
      <c r="A321" s="12">
        <f t="shared" si="14"/>
        <v>309</v>
      </c>
      <c r="E321" s="10" t="str">
        <f t="shared" si="12"/>
        <v/>
      </c>
      <c r="I321" s="53" t="str">
        <f t="shared" si="13"/>
        <v/>
      </c>
      <c r="N321" s="8">
        <v>0</v>
      </c>
      <c r="Q321" s="1"/>
      <c r="R321" s="1"/>
      <c r="S321" s="1"/>
      <c r="T321" s="8"/>
      <c r="U321" s="8"/>
      <c r="V321" s="1"/>
      <c r="W321" s="1"/>
      <c r="X321" s="1"/>
      <c r="Z321" s="8"/>
    </row>
    <row r="322" spans="1:26" x14ac:dyDescent="0.2">
      <c r="A322" s="12">
        <f t="shared" si="14"/>
        <v>310</v>
      </c>
      <c r="E322" s="10" t="str">
        <f t="shared" si="12"/>
        <v/>
      </c>
      <c r="I322" s="53" t="str">
        <f t="shared" si="13"/>
        <v/>
      </c>
      <c r="N322" s="8">
        <v>0</v>
      </c>
      <c r="Q322" s="1"/>
      <c r="R322" s="1"/>
      <c r="S322" s="1"/>
      <c r="T322" s="8"/>
      <c r="U322" s="8"/>
      <c r="V322" s="1"/>
      <c r="W322" s="1"/>
      <c r="X322" s="1"/>
      <c r="Z322" s="8"/>
    </row>
    <row r="323" spans="1:26" x14ac:dyDescent="0.2">
      <c r="A323" s="12">
        <f t="shared" si="14"/>
        <v>311</v>
      </c>
      <c r="E323" s="10" t="str">
        <f t="shared" si="12"/>
        <v/>
      </c>
      <c r="I323" s="53" t="str">
        <f t="shared" si="13"/>
        <v/>
      </c>
      <c r="N323" s="8">
        <v>0</v>
      </c>
      <c r="Q323" s="1"/>
      <c r="R323" s="1"/>
      <c r="S323" s="1"/>
      <c r="T323" s="8"/>
      <c r="U323" s="8"/>
      <c r="V323" s="1"/>
      <c r="W323" s="1"/>
      <c r="X323" s="1"/>
      <c r="Z323" s="8"/>
    </row>
    <row r="324" spans="1:26" x14ac:dyDescent="0.2">
      <c r="A324" s="12">
        <f t="shared" si="14"/>
        <v>312</v>
      </c>
      <c r="E324" s="10" t="str">
        <f t="shared" si="12"/>
        <v/>
      </c>
      <c r="I324" s="53" t="str">
        <f t="shared" si="13"/>
        <v/>
      </c>
      <c r="N324" s="8">
        <v>0</v>
      </c>
      <c r="Q324" s="1"/>
      <c r="R324" s="1"/>
      <c r="S324" s="1"/>
      <c r="T324" s="8"/>
      <c r="U324" s="8"/>
      <c r="V324" s="1"/>
      <c r="W324" s="1"/>
      <c r="X324" s="1"/>
      <c r="Z324" s="8"/>
    </row>
    <row r="325" spans="1:26" x14ac:dyDescent="0.2">
      <c r="A325" s="12">
        <f t="shared" si="14"/>
        <v>313</v>
      </c>
      <c r="E325" s="10" t="str">
        <f t="shared" si="12"/>
        <v/>
      </c>
      <c r="I325" s="53" t="str">
        <f t="shared" si="13"/>
        <v/>
      </c>
      <c r="N325" s="8">
        <v>0</v>
      </c>
      <c r="Q325" s="1"/>
      <c r="R325" s="1"/>
      <c r="S325" s="1"/>
      <c r="T325" s="8"/>
      <c r="U325" s="8"/>
      <c r="V325" s="1"/>
      <c r="W325" s="1"/>
      <c r="X325" s="1"/>
      <c r="Z325" s="8"/>
    </row>
    <row r="326" spans="1:26" x14ac:dyDescent="0.2">
      <c r="A326" s="12">
        <f t="shared" si="14"/>
        <v>314</v>
      </c>
      <c r="E326" s="10" t="str">
        <f t="shared" si="12"/>
        <v/>
      </c>
      <c r="I326" s="53" t="str">
        <f t="shared" si="13"/>
        <v/>
      </c>
      <c r="N326" s="8">
        <v>0</v>
      </c>
      <c r="Q326" s="1"/>
      <c r="R326" s="1"/>
      <c r="S326" s="1"/>
      <c r="T326" s="8"/>
      <c r="U326" s="8"/>
      <c r="V326" s="1"/>
      <c r="W326" s="1"/>
      <c r="X326" s="1"/>
      <c r="Z326" s="8"/>
    </row>
    <row r="327" spans="1:26" x14ac:dyDescent="0.2">
      <c r="A327" s="12">
        <f t="shared" si="14"/>
        <v>315</v>
      </c>
      <c r="E327" s="10" t="str">
        <f t="shared" si="12"/>
        <v/>
      </c>
      <c r="I327" s="53" t="str">
        <f t="shared" si="13"/>
        <v/>
      </c>
      <c r="N327" s="8">
        <v>0</v>
      </c>
      <c r="Q327" s="1"/>
      <c r="R327" s="1"/>
      <c r="S327" s="1"/>
      <c r="T327" s="8"/>
      <c r="U327" s="8"/>
      <c r="V327" s="1"/>
      <c r="W327" s="1"/>
      <c r="X327" s="1"/>
      <c r="Z327" s="8"/>
    </row>
    <row r="328" spans="1:26" x14ac:dyDescent="0.2">
      <c r="A328" s="12">
        <f t="shared" si="14"/>
        <v>316</v>
      </c>
      <c r="E328" s="10" t="str">
        <f t="shared" si="12"/>
        <v/>
      </c>
      <c r="I328" s="53" t="str">
        <f t="shared" si="13"/>
        <v/>
      </c>
      <c r="N328" s="8">
        <v>0</v>
      </c>
      <c r="Q328" s="1"/>
      <c r="R328" s="1"/>
      <c r="S328" s="1"/>
      <c r="T328" s="8"/>
      <c r="U328" s="8"/>
      <c r="V328" s="1"/>
      <c r="W328" s="1"/>
      <c r="X328" s="1"/>
      <c r="Z328" s="8"/>
    </row>
    <row r="329" spans="1:26" x14ac:dyDescent="0.2">
      <c r="A329" s="12">
        <f t="shared" si="14"/>
        <v>317</v>
      </c>
      <c r="E329" s="10" t="str">
        <f t="shared" si="12"/>
        <v/>
      </c>
      <c r="I329" s="53" t="str">
        <f t="shared" si="13"/>
        <v/>
      </c>
      <c r="N329" s="8">
        <v>0</v>
      </c>
      <c r="Q329" s="1"/>
      <c r="R329" s="1"/>
      <c r="S329" s="1"/>
      <c r="T329" s="8"/>
      <c r="U329" s="8"/>
      <c r="V329" s="1"/>
      <c r="W329" s="1"/>
      <c r="X329" s="1"/>
      <c r="Z329" s="8"/>
    </row>
    <row r="330" spans="1:26" x14ac:dyDescent="0.2">
      <c r="A330" s="12">
        <f t="shared" si="14"/>
        <v>318</v>
      </c>
      <c r="E330" s="10" t="str">
        <f t="shared" si="12"/>
        <v/>
      </c>
      <c r="I330" s="53" t="str">
        <f t="shared" si="13"/>
        <v/>
      </c>
      <c r="N330" s="8">
        <v>0</v>
      </c>
      <c r="Q330" s="1"/>
      <c r="R330" s="1"/>
      <c r="S330" s="1"/>
      <c r="T330" s="8"/>
      <c r="U330" s="8"/>
      <c r="V330" s="1"/>
      <c r="W330" s="1"/>
      <c r="X330" s="1"/>
      <c r="Z330" s="8"/>
    </row>
    <row r="331" spans="1:26" x14ac:dyDescent="0.2">
      <c r="A331" s="12">
        <f t="shared" si="14"/>
        <v>319</v>
      </c>
      <c r="E331" s="10" t="str">
        <f t="shared" si="12"/>
        <v/>
      </c>
      <c r="I331" s="53" t="str">
        <f t="shared" si="13"/>
        <v/>
      </c>
      <c r="N331" s="8">
        <v>0</v>
      </c>
      <c r="Q331" s="1"/>
      <c r="R331" s="1"/>
      <c r="S331" s="1"/>
      <c r="T331" s="8"/>
      <c r="U331" s="8"/>
      <c r="V331" s="1"/>
      <c r="W331" s="1"/>
      <c r="X331" s="1"/>
      <c r="Z331" s="8"/>
    </row>
    <row r="332" spans="1:26" x14ac:dyDescent="0.2">
      <c r="A332" s="12">
        <f t="shared" si="14"/>
        <v>320</v>
      </c>
      <c r="E332" s="10" t="str">
        <f t="shared" si="12"/>
        <v/>
      </c>
      <c r="I332" s="53" t="str">
        <f t="shared" si="13"/>
        <v/>
      </c>
      <c r="N332" s="8">
        <v>0</v>
      </c>
      <c r="Q332" s="1"/>
      <c r="R332" s="1"/>
      <c r="S332" s="1"/>
      <c r="T332" s="8"/>
      <c r="U332" s="8"/>
      <c r="V332" s="1"/>
      <c r="W332" s="1"/>
      <c r="X332" s="1"/>
      <c r="Z332" s="8"/>
    </row>
    <row r="333" spans="1:26" x14ac:dyDescent="0.2">
      <c r="A333" s="12">
        <f t="shared" si="14"/>
        <v>321</v>
      </c>
      <c r="E333" s="10" t="str">
        <f t="shared" ref="E333:E396" si="15">IF($C$8&gt;=A333,$E$1&amp;" "&amp;A333,"")</f>
        <v/>
      </c>
      <c r="I333" s="53" t="str">
        <f t="shared" si="13"/>
        <v/>
      </c>
      <c r="N333" s="8">
        <v>0</v>
      </c>
      <c r="Q333" s="1"/>
      <c r="R333" s="1"/>
      <c r="S333" s="1"/>
      <c r="T333" s="8"/>
      <c r="U333" s="8"/>
      <c r="V333" s="1"/>
      <c r="W333" s="1"/>
      <c r="X333" s="1"/>
      <c r="Z333" s="8"/>
    </row>
    <row r="334" spans="1:26" x14ac:dyDescent="0.2">
      <c r="A334" s="12">
        <f t="shared" si="14"/>
        <v>322</v>
      </c>
      <c r="E334" s="10" t="str">
        <f t="shared" si="15"/>
        <v/>
      </c>
      <c r="I334" s="53" t="str">
        <f t="shared" ref="I334:I397" si="16">IF(E334="","",F334-G334-H334)</f>
        <v/>
      </c>
      <c r="N334" s="8">
        <v>0</v>
      </c>
      <c r="Q334" s="1"/>
      <c r="R334" s="1"/>
      <c r="S334" s="1"/>
      <c r="T334" s="8"/>
      <c r="U334" s="8"/>
      <c r="V334" s="1"/>
      <c r="W334" s="1"/>
      <c r="X334" s="1"/>
      <c r="Z334" s="8"/>
    </row>
    <row r="335" spans="1:26" x14ac:dyDescent="0.2">
      <c r="A335" s="12">
        <f t="shared" ref="A335:A398" si="17">A334+1</f>
        <v>323</v>
      </c>
      <c r="E335" s="10" t="str">
        <f t="shared" si="15"/>
        <v/>
      </c>
      <c r="I335" s="53" t="str">
        <f t="shared" si="16"/>
        <v/>
      </c>
      <c r="N335" s="8">
        <v>0</v>
      </c>
      <c r="Q335" s="1"/>
      <c r="R335" s="1"/>
      <c r="S335" s="1"/>
      <c r="T335" s="8"/>
      <c r="U335" s="8"/>
      <c r="V335" s="1"/>
      <c r="W335" s="1"/>
      <c r="X335" s="1"/>
      <c r="Z335" s="8"/>
    </row>
    <row r="336" spans="1:26" x14ac:dyDescent="0.2">
      <c r="A336" s="12">
        <f t="shared" si="17"/>
        <v>324</v>
      </c>
      <c r="E336" s="10" t="str">
        <f t="shared" si="15"/>
        <v/>
      </c>
      <c r="I336" s="53" t="str">
        <f t="shared" si="16"/>
        <v/>
      </c>
      <c r="N336" s="8">
        <v>0</v>
      </c>
      <c r="Q336" s="1"/>
      <c r="R336" s="1"/>
      <c r="S336" s="1"/>
      <c r="T336" s="8"/>
      <c r="U336" s="8"/>
      <c r="V336" s="1"/>
      <c r="W336" s="1"/>
      <c r="X336" s="1"/>
      <c r="Z336" s="8"/>
    </row>
    <row r="337" spans="1:26" x14ac:dyDescent="0.2">
      <c r="A337" s="12">
        <f t="shared" si="17"/>
        <v>325</v>
      </c>
      <c r="E337" s="10" t="str">
        <f t="shared" si="15"/>
        <v/>
      </c>
      <c r="I337" s="53" t="str">
        <f t="shared" si="16"/>
        <v/>
      </c>
      <c r="N337" s="8">
        <v>0</v>
      </c>
      <c r="Q337" s="1"/>
      <c r="R337" s="1"/>
      <c r="S337" s="1"/>
      <c r="T337" s="8"/>
      <c r="U337" s="8"/>
      <c r="V337" s="1"/>
      <c r="W337" s="1"/>
      <c r="X337" s="1"/>
      <c r="Z337" s="8"/>
    </row>
    <row r="338" spans="1:26" x14ac:dyDescent="0.2">
      <c r="A338" s="12">
        <f t="shared" si="17"/>
        <v>326</v>
      </c>
      <c r="E338" s="10" t="str">
        <f t="shared" si="15"/>
        <v/>
      </c>
      <c r="I338" s="53" t="str">
        <f t="shared" si="16"/>
        <v/>
      </c>
      <c r="N338" s="8">
        <v>0</v>
      </c>
      <c r="Q338" s="1"/>
      <c r="R338" s="1"/>
      <c r="S338" s="1"/>
      <c r="T338" s="8"/>
      <c r="U338" s="8"/>
      <c r="V338" s="1"/>
      <c r="W338" s="1"/>
      <c r="X338" s="1"/>
      <c r="Z338" s="8"/>
    </row>
    <row r="339" spans="1:26" x14ac:dyDescent="0.2">
      <c r="A339" s="12">
        <f t="shared" si="17"/>
        <v>327</v>
      </c>
      <c r="E339" s="10" t="str">
        <f t="shared" si="15"/>
        <v/>
      </c>
      <c r="I339" s="53" t="str">
        <f t="shared" si="16"/>
        <v/>
      </c>
      <c r="N339" s="8">
        <v>0</v>
      </c>
      <c r="Q339" s="1"/>
      <c r="R339" s="1"/>
      <c r="S339" s="1"/>
      <c r="T339" s="8"/>
      <c r="U339" s="8"/>
      <c r="V339" s="1"/>
      <c r="W339" s="1"/>
      <c r="X339" s="1"/>
      <c r="Z339" s="8"/>
    </row>
    <row r="340" spans="1:26" x14ac:dyDescent="0.2">
      <c r="A340" s="12">
        <f t="shared" si="17"/>
        <v>328</v>
      </c>
      <c r="E340" s="10" t="str">
        <f t="shared" si="15"/>
        <v/>
      </c>
      <c r="I340" s="53" t="str">
        <f t="shared" si="16"/>
        <v/>
      </c>
      <c r="N340" s="8">
        <v>0</v>
      </c>
      <c r="Q340" s="1"/>
      <c r="R340" s="1"/>
      <c r="S340" s="1"/>
      <c r="T340" s="8"/>
      <c r="U340" s="8"/>
      <c r="V340" s="1"/>
      <c r="W340" s="1"/>
      <c r="X340" s="1"/>
      <c r="Z340" s="8"/>
    </row>
    <row r="341" spans="1:26" x14ac:dyDescent="0.2">
      <c r="A341" s="12">
        <f t="shared" si="17"/>
        <v>329</v>
      </c>
      <c r="E341" s="10" t="str">
        <f t="shared" si="15"/>
        <v/>
      </c>
      <c r="I341" s="53" t="str">
        <f t="shared" si="16"/>
        <v/>
      </c>
      <c r="N341" s="8">
        <v>0</v>
      </c>
      <c r="Q341" s="1"/>
      <c r="R341" s="1"/>
      <c r="S341" s="1"/>
      <c r="T341" s="8"/>
      <c r="U341" s="8"/>
      <c r="V341" s="1"/>
      <c r="W341" s="1"/>
      <c r="X341" s="1"/>
      <c r="Z341" s="8"/>
    </row>
    <row r="342" spans="1:26" x14ac:dyDescent="0.2">
      <c r="A342" s="12">
        <f t="shared" si="17"/>
        <v>330</v>
      </c>
      <c r="E342" s="10" t="str">
        <f t="shared" si="15"/>
        <v/>
      </c>
      <c r="I342" s="53" t="str">
        <f t="shared" si="16"/>
        <v/>
      </c>
      <c r="N342" s="8">
        <v>0</v>
      </c>
      <c r="Q342" s="1"/>
      <c r="R342" s="1"/>
      <c r="S342" s="1"/>
      <c r="T342" s="8"/>
      <c r="U342" s="8"/>
      <c r="V342" s="1"/>
      <c r="W342" s="1"/>
      <c r="X342" s="1"/>
      <c r="Z342" s="8"/>
    </row>
    <row r="343" spans="1:26" x14ac:dyDescent="0.2">
      <c r="A343" s="12">
        <f t="shared" si="17"/>
        <v>331</v>
      </c>
      <c r="E343" s="10" t="str">
        <f t="shared" si="15"/>
        <v/>
      </c>
      <c r="I343" s="53" t="str">
        <f t="shared" si="16"/>
        <v/>
      </c>
      <c r="N343" s="8">
        <v>0</v>
      </c>
      <c r="Q343" s="1"/>
      <c r="R343" s="1"/>
      <c r="S343" s="1"/>
      <c r="T343" s="8"/>
      <c r="U343" s="8"/>
      <c r="V343" s="1"/>
      <c r="W343" s="1"/>
      <c r="X343" s="1"/>
      <c r="Z343" s="8"/>
    </row>
    <row r="344" spans="1:26" x14ac:dyDescent="0.2">
      <c r="A344" s="12">
        <f t="shared" si="17"/>
        <v>332</v>
      </c>
      <c r="E344" s="10" t="str">
        <f t="shared" si="15"/>
        <v/>
      </c>
      <c r="I344" s="53" t="str">
        <f t="shared" si="16"/>
        <v/>
      </c>
      <c r="N344" s="8">
        <v>0</v>
      </c>
      <c r="Q344" s="1"/>
      <c r="R344" s="1"/>
      <c r="S344" s="1"/>
      <c r="T344" s="8"/>
      <c r="U344" s="8"/>
      <c r="V344" s="1"/>
      <c r="W344" s="1"/>
      <c r="X344" s="1"/>
      <c r="Z344" s="8"/>
    </row>
    <row r="345" spans="1:26" x14ac:dyDescent="0.2">
      <c r="A345" s="12">
        <f t="shared" si="17"/>
        <v>333</v>
      </c>
      <c r="E345" s="10" t="str">
        <f t="shared" si="15"/>
        <v/>
      </c>
      <c r="I345" s="53" t="str">
        <f t="shared" si="16"/>
        <v/>
      </c>
      <c r="N345" s="8">
        <v>0</v>
      </c>
      <c r="Q345" s="1"/>
      <c r="R345" s="1"/>
      <c r="S345" s="1"/>
      <c r="T345" s="8"/>
      <c r="U345" s="8"/>
      <c r="V345" s="1"/>
      <c r="W345" s="1"/>
      <c r="X345" s="1"/>
      <c r="Z345" s="8"/>
    </row>
    <row r="346" spans="1:26" x14ac:dyDescent="0.2">
      <c r="A346" s="12">
        <f t="shared" si="17"/>
        <v>334</v>
      </c>
      <c r="E346" s="10" t="str">
        <f t="shared" si="15"/>
        <v/>
      </c>
      <c r="I346" s="53" t="str">
        <f t="shared" si="16"/>
        <v/>
      </c>
      <c r="N346" s="8">
        <v>0</v>
      </c>
      <c r="Q346" s="1"/>
      <c r="R346" s="1"/>
      <c r="S346" s="1"/>
      <c r="T346" s="8"/>
      <c r="U346" s="8"/>
      <c r="V346" s="1"/>
      <c r="W346" s="1"/>
      <c r="X346" s="1"/>
      <c r="Z346" s="8"/>
    </row>
    <row r="347" spans="1:26" x14ac:dyDescent="0.2">
      <c r="A347" s="12">
        <f t="shared" si="17"/>
        <v>335</v>
      </c>
      <c r="E347" s="10" t="str">
        <f t="shared" si="15"/>
        <v/>
      </c>
      <c r="I347" s="53" t="str">
        <f t="shared" si="16"/>
        <v/>
      </c>
      <c r="N347" s="8">
        <v>0</v>
      </c>
      <c r="Q347" s="1"/>
      <c r="R347" s="1"/>
      <c r="S347" s="1"/>
      <c r="T347" s="8"/>
      <c r="U347" s="8"/>
      <c r="V347" s="1"/>
      <c r="W347" s="1"/>
      <c r="X347" s="1"/>
      <c r="Z347" s="8"/>
    </row>
    <row r="348" spans="1:26" x14ac:dyDescent="0.2">
      <c r="A348" s="12">
        <f t="shared" si="17"/>
        <v>336</v>
      </c>
      <c r="E348" s="10" t="str">
        <f t="shared" si="15"/>
        <v/>
      </c>
      <c r="I348" s="53" t="str">
        <f t="shared" si="16"/>
        <v/>
      </c>
      <c r="N348" s="8">
        <v>0</v>
      </c>
      <c r="Q348" s="1"/>
      <c r="R348" s="1"/>
      <c r="S348" s="1"/>
      <c r="T348" s="8"/>
      <c r="U348" s="8"/>
      <c r="V348" s="1"/>
      <c r="W348" s="1"/>
      <c r="X348" s="1"/>
      <c r="Z348" s="8"/>
    </row>
    <row r="349" spans="1:26" x14ac:dyDescent="0.2">
      <c r="A349" s="12">
        <f t="shared" si="17"/>
        <v>337</v>
      </c>
      <c r="E349" s="10" t="str">
        <f t="shared" si="15"/>
        <v/>
      </c>
      <c r="I349" s="53" t="str">
        <f t="shared" si="16"/>
        <v/>
      </c>
      <c r="N349" s="8">
        <v>0</v>
      </c>
      <c r="Q349" s="1"/>
      <c r="R349" s="1"/>
      <c r="S349" s="1"/>
      <c r="T349" s="8"/>
      <c r="U349" s="8"/>
      <c r="V349" s="1"/>
      <c r="W349" s="1"/>
      <c r="X349" s="1"/>
      <c r="Z349" s="8"/>
    </row>
    <row r="350" spans="1:26" x14ac:dyDescent="0.2">
      <c r="A350" s="12">
        <f t="shared" si="17"/>
        <v>338</v>
      </c>
      <c r="E350" s="10" t="str">
        <f t="shared" si="15"/>
        <v/>
      </c>
      <c r="I350" s="53" t="str">
        <f t="shared" si="16"/>
        <v/>
      </c>
      <c r="N350" s="8">
        <v>0</v>
      </c>
      <c r="Q350" s="1"/>
      <c r="R350" s="1"/>
      <c r="S350" s="1"/>
      <c r="T350" s="8"/>
      <c r="U350" s="8"/>
      <c r="V350" s="1"/>
      <c r="W350" s="1"/>
      <c r="X350" s="1"/>
      <c r="Z350" s="8"/>
    </row>
    <row r="351" spans="1:26" x14ac:dyDescent="0.2">
      <c r="A351" s="12">
        <f t="shared" si="17"/>
        <v>339</v>
      </c>
      <c r="E351" s="10" t="str">
        <f t="shared" si="15"/>
        <v/>
      </c>
      <c r="I351" s="53" t="str">
        <f t="shared" si="16"/>
        <v/>
      </c>
      <c r="N351" s="8">
        <v>0</v>
      </c>
      <c r="Q351" s="1"/>
      <c r="R351" s="1"/>
      <c r="S351" s="1"/>
      <c r="T351" s="8"/>
      <c r="U351" s="8"/>
      <c r="V351" s="1"/>
      <c r="W351" s="1"/>
      <c r="X351" s="1"/>
      <c r="Z351" s="8"/>
    </row>
    <row r="352" spans="1:26" x14ac:dyDescent="0.2">
      <c r="A352" s="12">
        <f t="shared" si="17"/>
        <v>340</v>
      </c>
      <c r="E352" s="10" t="str">
        <f t="shared" si="15"/>
        <v/>
      </c>
      <c r="I352" s="53" t="str">
        <f t="shared" si="16"/>
        <v/>
      </c>
      <c r="N352" s="8">
        <v>0</v>
      </c>
      <c r="Q352" s="1"/>
      <c r="R352" s="1"/>
      <c r="S352" s="1"/>
      <c r="T352" s="8"/>
      <c r="U352" s="8"/>
      <c r="V352" s="1"/>
      <c r="W352" s="1"/>
      <c r="X352" s="1"/>
      <c r="Z352" s="8"/>
    </row>
    <row r="353" spans="1:26" x14ac:dyDescent="0.2">
      <c r="A353" s="12">
        <f t="shared" si="17"/>
        <v>341</v>
      </c>
      <c r="E353" s="10" t="str">
        <f t="shared" si="15"/>
        <v/>
      </c>
      <c r="I353" s="53" t="str">
        <f t="shared" si="16"/>
        <v/>
      </c>
      <c r="N353" s="8">
        <v>0</v>
      </c>
      <c r="Q353" s="1"/>
      <c r="R353" s="1"/>
      <c r="S353" s="1"/>
      <c r="T353" s="8"/>
      <c r="U353" s="8"/>
      <c r="V353" s="1"/>
      <c r="W353" s="1"/>
      <c r="X353" s="1"/>
      <c r="Z353" s="8"/>
    </row>
    <row r="354" spans="1:26" x14ac:dyDescent="0.2">
      <c r="A354" s="12">
        <f t="shared" si="17"/>
        <v>342</v>
      </c>
      <c r="E354" s="10" t="str">
        <f t="shared" si="15"/>
        <v/>
      </c>
      <c r="I354" s="53" t="str">
        <f t="shared" si="16"/>
        <v/>
      </c>
      <c r="N354" s="8">
        <v>0</v>
      </c>
      <c r="Q354" s="1"/>
      <c r="R354" s="1"/>
      <c r="S354" s="1"/>
      <c r="T354" s="8"/>
      <c r="U354" s="8"/>
      <c r="V354" s="1"/>
      <c r="W354" s="1"/>
      <c r="X354" s="1"/>
      <c r="Z354" s="8"/>
    </row>
    <row r="355" spans="1:26" x14ac:dyDescent="0.2">
      <c r="A355" s="12">
        <f t="shared" si="17"/>
        <v>343</v>
      </c>
      <c r="E355" s="10" t="str">
        <f t="shared" si="15"/>
        <v/>
      </c>
      <c r="I355" s="53" t="str">
        <f t="shared" si="16"/>
        <v/>
      </c>
      <c r="N355" s="8">
        <v>0</v>
      </c>
      <c r="Q355" s="1"/>
      <c r="R355" s="1"/>
      <c r="S355" s="1"/>
      <c r="T355" s="8"/>
      <c r="U355" s="8"/>
      <c r="V355" s="1"/>
      <c r="W355" s="1"/>
      <c r="X355" s="1"/>
      <c r="Z355" s="8"/>
    </row>
    <row r="356" spans="1:26" x14ac:dyDescent="0.2">
      <c r="A356" s="12">
        <f t="shared" si="17"/>
        <v>344</v>
      </c>
      <c r="E356" s="10" t="str">
        <f t="shared" si="15"/>
        <v/>
      </c>
      <c r="I356" s="53" t="str">
        <f t="shared" si="16"/>
        <v/>
      </c>
      <c r="N356" s="8">
        <v>0</v>
      </c>
      <c r="Q356" s="1"/>
      <c r="R356" s="1"/>
      <c r="S356" s="1"/>
      <c r="T356" s="8"/>
      <c r="U356" s="8"/>
      <c r="V356" s="1"/>
      <c r="W356" s="1"/>
      <c r="X356" s="1"/>
      <c r="Z356" s="8"/>
    </row>
    <row r="357" spans="1:26" x14ac:dyDescent="0.2">
      <c r="A357" s="12">
        <f t="shared" si="17"/>
        <v>345</v>
      </c>
      <c r="E357" s="10" t="str">
        <f t="shared" si="15"/>
        <v/>
      </c>
      <c r="I357" s="53" t="str">
        <f t="shared" si="16"/>
        <v/>
      </c>
      <c r="N357" s="8">
        <v>0</v>
      </c>
      <c r="Q357" s="1"/>
      <c r="R357" s="1"/>
      <c r="S357" s="1"/>
      <c r="T357" s="8"/>
      <c r="U357" s="8"/>
      <c r="V357" s="1"/>
      <c r="W357" s="1"/>
      <c r="X357" s="1"/>
      <c r="Z357" s="8"/>
    </row>
    <row r="358" spans="1:26" x14ac:dyDescent="0.2">
      <c r="A358" s="12">
        <f t="shared" si="17"/>
        <v>346</v>
      </c>
      <c r="E358" s="10" t="str">
        <f t="shared" si="15"/>
        <v/>
      </c>
      <c r="I358" s="53" t="str">
        <f t="shared" si="16"/>
        <v/>
      </c>
      <c r="N358" s="8">
        <v>0</v>
      </c>
      <c r="Q358" s="1"/>
      <c r="R358" s="1"/>
      <c r="S358" s="1"/>
      <c r="T358" s="8"/>
      <c r="U358" s="8"/>
      <c r="V358" s="1"/>
      <c r="W358" s="1"/>
      <c r="X358" s="1"/>
      <c r="Z358" s="8"/>
    </row>
    <row r="359" spans="1:26" x14ac:dyDescent="0.2">
      <c r="A359" s="12">
        <f t="shared" si="17"/>
        <v>347</v>
      </c>
      <c r="E359" s="10" t="str">
        <f t="shared" si="15"/>
        <v/>
      </c>
      <c r="I359" s="53" t="str">
        <f t="shared" si="16"/>
        <v/>
      </c>
      <c r="N359" s="8">
        <v>0</v>
      </c>
      <c r="Q359" s="1"/>
      <c r="R359" s="1"/>
      <c r="S359" s="1"/>
      <c r="T359" s="8"/>
      <c r="U359" s="8"/>
      <c r="V359" s="1"/>
      <c r="W359" s="1"/>
      <c r="X359" s="1"/>
      <c r="Z359" s="8"/>
    </row>
    <row r="360" spans="1:26" x14ac:dyDescent="0.2">
      <c r="A360" s="12">
        <f t="shared" si="17"/>
        <v>348</v>
      </c>
      <c r="E360" s="10" t="str">
        <f t="shared" si="15"/>
        <v/>
      </c>
      <c r="I360" s="53" t="str">
        <f t="shared" si="16"/>
        <v/>
      </c>
      <c r="N360" s="8">
        <v>0</v>
      </c>
      <c r="Q360" s="1"/>
      <c r="R360" s="1"/>
      <c r="S360" s="1"/>
      <c r="T360" s="8"/>
      <c r="U360" s="8"/>
      <c r="V360" s="1"/>
      <c r="W360" s="1"/>
      <c r="X360" s="1"/>
      <c r="Z360" s="8"/>
    </row>
    <row r="361" spans="1:26" x14ac:dyDescent="0.2">
      <c r="A361" s="12">
        <f t="shared" si="17"/>
        <v>349</v>
      </c>
      <c r="E361" s="10" t="str">
        <f t="shared" si="15"/>
        <v/>
      </c>
      <c r="I361" s="53" t="str">
        <f t="shared" si="16"/>
        <v/>
      </c>
      <c r="N361" s="8">
        <v>0</v>
      </c>
      <c r="Q361" s="1"/>
      <c r="R361" s="1"/>
      <c r="S361" s="1"/>
      <c r="T361" s="8"/>
      <c r="U361" s="8"/>
      <c r="V361" s="1"/>
      <c r="W361" s="1"/>
      <c r="X361" s="1"/>
      <c r="Z361" s="8"/>
    </row>
    <row r="362" spans="1:26" x14ac:dyDescent="0.2">
      <c r="A362" s="12">
        <f t="shared" si="17"/>
        <v>350</v>
      </c>
      <c r="E362" s="10" t="str">
        <f t="shared" si="15"/>
        <v/>
      </c>
      <c r="I362" s="53" t="str">
        <f t="shared" si="16"/>
        <v/>
      </c>
      <c r="N362" s="8">
        <v>0</v>
      </c>
      <c r="Q362" s="1"/>
      <c r="R362" s="1"/>
      <c r="S362" s="1"/>
      <c r="T362" s="8"/>
      <c r="U362" s="8"/>
      <c r="V362" s="1"/>
      <c r="W362" s="1"/>
      <c r="X362" s="1"/>
      <c r="Z362" s="8"/>
    </row>
    <row r="363" spans="1:26" x14ac:dyDescent="0.2">
      <c r="A363" s="12">
        <f t="shared" si="17"/>
        <v>351</v>
      </c>
      <c r="E363" s="10" t="str">
        <f t="shared" si="15"/>
        <v/>
      </c>
      <c r="I363" s="53" t="str">
        <f t="shared" si="16"/>
        <v/>
      </c>
      <c r="N363" s="8">
        <v>0</v>
      </c>
      <c r="Q363" s="1"/>
      <c r="R363" s="1"/>
      <c r="S363" s="1"/>
      <c r="T363" s="8"/>
      <c r="U363" s="8"/>
      <c r="V363" s="1"/>
      <c r="W363" s="1"/>
      <c r="X363" s="1"/>
      <c r="Z363" s="8"/>
    </row>
    <row r="364" spans="1:26" x14ac:dyDescent="0.2">
      <c r="A364" s="12">
        <f t="shared" si="17"/>
        <v>352</v>
      </c>
      <c r="E364" s="10" t="str">
        <f t="shared" si="15"/>
        <v/>
      </c>
      <c r="I364" s="53" t="str">
        <f t="shared" si="16"/>
        <v/>
      </c>
      <c r="N364" s="8">
        <v>0</v>
      </c>
      <c r="Q364" s="1"/>
      <c r="R364" s="1"/>
      <c r="S364" s="1"/>
      <c r="T364" s="8"/>
      <c r="U364" s="8"/>
      <c r="V364" s="1"/>
      <c r="W364" s="1"/>
      <c r="X364" s="1"/>
      <c r="Z364" s="8"/>
    </row>
    <row r="365" spans="1:26" x14ac:dyDescent="0.2">
      <c r="A365" s="12">
        <f t="shared" si="17"/>
        <v>353</v>
      </c>
      <c r="E365" s="10" t="str">
        <f t="shared" si="15"/>
        <v/>
      </c>
      <c r="I365" s="53" t="str">
        <f t="shared" si="16"/>
        <v/>
      </c>
      <c r="N365" s="8">
        <v>0</v>
      </c>
      <c r="Q365" s="1"/>
      <c r="R365" s="1"/>
      <c r="S365" s="1"/>
      <c r="T365" s="8"/>
      <c r="U365" s="8"/>
      <c r="V365" s="1"/>
      <c r="W365" s="1"/>
      <c r="X365" s="1"/>
      <c r="Z365" s="8"/>
    </row>
    <row r="366" spans="1:26" x14ac:dyDescent="0.2">
      <c r="A366" s="12">
        <f t="shared" si="17"/>
        <v>354</v>
      </c>
      <c r="E366" s="10" t="str">
        <f t="shared" si="15"/>
        <v/>
      </c>
      <c r="I366" s="53" t="str">
        <f t="shared" si="16"/>
        <v/>
      </c>
      <c r="N366" s="8">
        <v>0</v>
      </c>
      <c r="Q366" s="1"/>
      <c r="R366" s="1"/>
      <c r="S366" s="1"/>
      <c r="T366" s="8"/>
      <c r="U366" s="8"/>
      <c r="V366" s="1"/>
      <c r="W366" s="1"/>
      <c r="X366" s="1"/>
      <c r="Z366" s="8"/>
    </row>
    <row r="367" spans="1:26" x14ac:dyDescent="0.2">
      <c r="A367" s="12">
        <f t="shared" si="17"/>
        <v>355</v>
      </c>
      <c r="E367" s="10" t="str">
        <f t="shared" si="15"/>
        <v/>
      </c>
      <c r="I367" s="53" t="str">
        <f t="shared" si="16"/>
        <v/>
      </c>
      <c r="N367" s="8">
        <v>0</v>
      </c>
      <c r="Q367" s="1"/>
      <c r="R367" s="1"/>
      <c r="S367" s="1"/>
      <c r="T367" s="8"/>
      <c r="U367" s="8"/>
      <c r="V367" s="1"/>
      <c r="W367" s="1"/>
      <c r="X367" s="1"/>
      <c r="Z367" s="8"/>
    </row>
    <row r="368" spans="1:26" x14ac:dyDescent="0.2">
      <c r="A368" s="12">
        <f t="shared" si="17"/>
        <v>356</v>
      </c>
      <c r="E368" s="10" t="str">
        <f t="shared" si="15"/>
        <v/>
      </c>
      <c r="I368" s="53" t="str">
        <f t="shared" si="16"/>
        <v/>
      </c>
      <c r="N368" s="8">
        <v>0</v>
      </c>
      <c r="Q368" s="1"/>
      <c r="R368" s="1"/>
      <c r="S368" s="1"/>
      <c r="T368" s="8"/>
      <c r="U368" s="8"/>
      <c r="V368" s="1"/>
      <c r="W368" s="1"/>
      <c r="X368" s="1"/>
      <c r="Z368" s="8"/>
    </row>
    <row r="369" spans="1:26" x14ac:dyDescent="0.2">
      <c r="A369" s="12">
        <f t="shared" si="17"/>
        <v>357</v>
      </c>
      <c r="E369" s="10" t="str">
        <f t="shared" si="15"/>
        <v/>
      </c>
      <c r="I369" s="53" t="str">
        <f t="shared" si="16"/>
        <v/>
      </c>
      <c r="N369" s="8">
        <v>0</v>
      </c>
      <c r="Q369" s="1"/>
      <c r="R369" s="1"/>
      <c r="S369" s="1"/>
      <c r="T369" s="8"/>
      <c r="U369" s="8"/>
      <c r="V369" s="1"/>
      <c r="W369" s="1"/>
      <c r="X369" s="1"/>
      <c r="Z369" s="8"/>
    </row>
    <row r="370" spans="1:26" x14ac:dyDescent="0.2">
      <c r="A370" s="12">
        <f t="shared" si="17"/>
        <v>358</v>
      </c>
      <c r="E370" s="10" t="str">
        <f t="shared" si="15"/>
        <v/>
      </c>
      <c r="I370" s="53" t="str">
        <f t="shared" si="16"/>
        <v/>
      </c>
      <c r="N370" s="8">
        <v>0</v>
      </c>
      <c r="Q370" s="1"/>
      <c r="R370" s="1"/>
      <c r="S370" s="1"/>
      <c r="T370" s="8"/>
      <c r="U370" s="8"/>
      <c r="V370" s="1"/>
      <c r="W370" s="1"/>
      <c r="X370" s="1"/>
      <c r="Z370" s="8"/>
    </row>
    <row r="371" spans="1:26" x14ac:dyDescent="0.2">
      <c r="A371" s="12">
        <f t="shared" si="17"/>
        <v>359</v>
      </c>
      <c r="E371" s="10" t="str">
        <f t="shared" si="15"/>
        <v/>
      </c>
      <c r="I371" s="53" t="str">
        <f t="shared" si="16"/>
        <v/>
      </c>
      <c r="N371" s="8">
        <v>0</v>
      </c>
      <c r="Q371" s="1"/>
      <c r="R371" s="1"/>
      <c r="S371" s="1"/>
      <c r="T371" s="8"/>
      <c r="U371" s="8"/>
      <c r="V371" s="1"/>
      <c r="W371" s="1"/>
      <c r="X371" s="1"/>
      <c r="Z371" s="8"/>
    </row>
    <row r="372" spans="1:26" x14ac:dyDescent="0.2">
      <c r="A372" s="12">
        <f t="shared" si="17"/>
        <v>360</v>
      </c>
      <c r="E372" s="10" t="str">
        <f t="shared" si="15"/>
        <v/>
      </c>
      <c r="I372" s="53" t="str">
        <f t="shared" si="16"/>
        <v/>
      </c>
      <c r="N372" s="8">
        <v>0</v>
      </c>
      <c r="Q372" s="1"/>
      <c r="R372" s="1"/>
      <c r="S372" s="1"/>
      <c r="T372" s="8"/>
      <c r="U372" s="8"/>
      <c r="V372" s="1"/>
      <c r="W372" s="1"/>
      <c r="X372" s="1"/>
      <c r="Z372" s="8"/>
    </row>
    <row r="373" spans="1:26" x14ac:dyDescent="0.2">
      <c r="A373" s="12">
        <f t="shared" si="17"/>
        <v>361</v>
      </c>
      <c r="E373" s="10" t="str">
        <f t="shared" si="15"/>
        <v/>
      </c>
      <c r="I373" s="53" t="str">
        <f t="shared" si="16"/>
        <v/>
      </c>
      <c r="N373" s="8">
        <v>0</v>
      </c>
      <c r="Q373" s="1"/>
      <c r="R373" s="1"/>
      <c r="S373" s="1"/>
      <c r="T373" s="8"/>
      <c r="U373" s="8"/>
      <c r="V373" s="1"/>
      <c r="W373" s="1"/>
      <c r="X373" s="1"/>
      <c r="Z373" s="8"/>
    </row>
    <row r="374" spans="1:26" x14ac:dyDescent="0.2">
      <c r="A374" s="12">
        <f t="shared" si="17"/>
        <v>362</v>
      </c>
      <c r="E374" s="10" t="str">
        <f t="shared" si="15"/>
        <v/>
      </c>
      <c r="I374" s="53" t="str">
        <f t="shared" si="16"/>
        <v/>
      </c>
      <c r="N374" s="8">
        <v>0</v>
      </c>
      <c r="Q374" s="1"/>
      <c r="R374" s="1"/>
      <c r="S374" s="1"/>
      <c r="T374" s="8"/>
      <c r="U374" s="8"/>
      <c r="V374" s="1"/>
      <c r="W374" s="1"/>
      <c r="X374" s="1"/>
      <c r="Z374" s="8"/>
    </row>
    <row r="375" spans="1:26" x14ac:dyDescent="0.2">
      <c r="A375" s="12">
        <f t="shared" si="17"/>
        <v>363</v>
      </c>
      <c r="E375" s="10" t="str">
        <f t="shared" si="15"/>
        <v/>
      </c>
      <c r="I375" s="53" t="str">
        <f t="shared" si="16"/>
        <v/>
      </c>
      <c r="N375" s="8">
        <v>0</v>
      </c>
      <c r="Q375" s="1"/>
      <c r="R375" s="1"/>
      <c r="S375" s="1"/>
      <c r="T375" s="8"/>
      <c r="U375" s="8"/>
      <c r="V375" s="1"/>
      <c r="W375" s="1"/>
      <c r="X375" s="1"/>
      <c r="Z375" s="8"/>
    </row>
    <row r="376" spans="1:26" x14ac:dyDescent="0.2">
      <c r="A376" s="12">
        <f t="shared" si="17"/>
        <v>364</v>
      </c>
      <c r="E376" s="10" t="str">
        <f t="shared" si="15"/>
        <v/>
      </c>
      <c r="I376" s="53" t="str">
        <f t="shared" si="16"/>
        <v/>
      </c>
      <c r="N376" s="8">
        <v>0</v>
      </c>
      <c r="Q376" s="1"/>
      <c r="R376" s="1"/>
      <c r="S376" s="1"/>
      <c r="T376" s="8"/>
      <c r="U376" s="8"/>
      <c r="V376" s="1"/>
      <c r="W376" s="1"/>
      <c r="X376" s="1"/>
      <c r="Z376" s="8"/>
    </row>
    <row r="377" spans="1:26" x14ac:dyDescent="0.2">
      <c r="A377" s="12">
        <f t="shared" si="17"/>
        <v>365</v>
      </c>
      <c r="E377" s="10" t="str">
        <f t="shared" si="15"/>
        <v/>
      </c>
      <c r="I377" s="53" t="str">
        <f t="shared" si="16"/>
        <v/>
      </c>
      <c r="N377" s="8">
        <v>0</v>
      </c>
      <c r="Q377" s="1"/>
      <c r="R377" s="1"/>
      <c r="S377" s="1"/>
      <c r="T377" s="8"/>
      <c r="U377" s="8"/>
      <c r="V377" s="1"/>
      <c r="W377" s="1"/>
      <c r="X377" s="1"/>
      <c r="Z377" s="8"/>
    </row>
    <row r="378" spans="1:26" x14ac:dyDescent="0.2">
      <c r="A378" s="12">
        <f t="shared" si="17"/>
        <v>366</v>
      </c>
      <c r="E378" s="10" t="str">
        <f t="shared" si="15"/>
        <v/>
      </c>
      <c r="I378" s="53" t="str">
        <f t="shared" si="16"/>
        <v/>
      </c>
      <c r="N378" s="8">
        <v>0</v>
      </c>
      <c r="Q378" s="1"/>
      <c r="R378" s="1"/>
      <c r="S378" s="1"/>
      <c r="T378" s="8"/>
      <c r="U378" s="8"/>
      <c r="V378" s="1"/>
      <c r="W378" s="1"/>
      <c r="X378" s="1"/>
      <c r="Z378" s="8"/>
    </row>
    <row r="379" spans="1:26" x14ac:dyDescent="0.2">
      <c r="A379" s="12">
        <f t="shared" si="17"/>
        <v>367</v>
      </c>
      <c r="E379" s="10" t="str">
        <f t="shared" si="15"/>
        <v/>
      </c>
      <c r="I379" s="53" t="str">
        <f t="shared" si="16"/>
        <v/>
      </c>
      <c r="N379" s="8">
        <v>0</v>
      </c>
      <c r="Q379" s="1"/>
      <c r="R379" s="1"/>
      <c r="S379" s="1"/>
      <c r="T379" s="8"/>
      <c r="U379" s="8"/>
      <c r="V379" s="1"/>
      <c r="W379" s="1"/>
      <c r="X379" s="1"/>
      <c r="Z379" s="8"/>
    </row>
    <row r="380" spans="1:26" x14ac:dyDescent="0.2">
      <c r="A380" s="12">
        <f t="shared" si="17"/>
        <v>368</v>
      </c>
      <c r="E380" s="10" t="str">
        <f t="shared" si="15"/>
        <v/>
      </c>
      <c r="I380" s="53" t="str">
        <f t="shared" si="16"/>
        <v/>
      </c>
      <c r="N380" s="8">
        <v>0</v>
      </c>
      <c r="Q380" s="1"/>
      <c r="R380" s="1"/>
      <c r="S380" s="1"/>
      <c r="T380" s="8"/>
      <c r="U380" s="8"/>
      <c r="V380" s="1"/>
      <c r="W380" s="1"/>
      <c r="X380" s="1"/>
      <c r="Z380" s="8"/>
    </row>
    <row r="381" spans="1:26" x14ac:dyDescent="0.2">
      <c r="A381" s="12">
        <f t="shared" si="17"/>
        <v>369</v>
      </c>
      <c r="E381" s="10" t="str">
        <f t="shared" si="15"/>
        <v/>
      </c>
      <c r="I381" s="53" t="str">
        <f t="shared" si="16"/>
        <v/>
      </c>
      <c r="N381" s="8">
        <v>0</v>
      </c>
      <c r="Q381" s="1"/>
      <c r="R381" s="1"/>
      <c r="S381" s="1"/>
      <c r="T381" s="8"/>
      <c r="U381" s="8"/>
      <c r="V381" s="1"/>
      <c r="W381" s="1"/>
      <c r="X381" s="1"/>
      <c r="Z381" s="8"/>
    </row>
    <row r="382" spans="1:26" x14ac:dyDescent="0.2">
      <c r="A382" s="12">
        <f t="shared" si="17"/>
        <v>370</v>
      </c>
      <c r="E382" s="10" t="str">
        <f t="shared" si="15"/>
        <v/>
      </c>
      <c r="I382" s="53" t="str">
        <f t="shared" si="16"/>
        <v/>
      </c>
      <c r="N382" s="8">
        <v>0</v>
      </c>
      <c r="Q382" s="1"/>
      <c r="R382" s="1"/>
      <c r="S382" s="1"/>
      <c r="T382" s="8"/>
      <c r="U382" s="8"/>
      <c r="V382" s="1"/>
      <c r="W382" s="1"/>
      <c r="X382" s="1"/>
      <c r="Z382" s="8"/>
    </row>
    <row r="383" spans="1:26" x14ac:dyDescent="0.2">
      <c r="A383" s="12">
        <f t="shared" si="17"/>
        <v>371</v>
      </c>
      <c r="E383" s="10" t="str">
        <f t="shared" si="15"/>
        <v/>
      </c>
      <c r="I383" s="53" t="str">
        <f t="shared" si="16"/>
        <v/>
      </c>
      <c r="N383" s="8">
        <v>0</v>
      </c>
      <c r="Q383" s="1"/>
      <c r="R383" s="1"/>
      <c r="S383" s="1"/>
      <c r="T383" s="8"/>
      <c r="U383" s="8"/>
      <c r="V383" s="1"/>
      <c r="W383" s="1"/>
      <c r="X383" s="1"/>
      <c r="Z383" s="8"/>
    </row>
    <row r="384" spans="1:26" x14ac:dyDescent="0.2">
      <c r="A384" s="12">
        <f t="shared" si="17"/>
        <v>372</v>
      </c>
      <c r="E384" s="10" t="str">
        <f t="shared" si="15"/>
        <v/>
      </c>
      <c r="I384" s="53" t="str">
        <f t="shared" si="16"/>
        <v/>
      </c>
      <c r="N384" s="8">
        <v>0</v>
      </c>
      <c r="Q384" s="1"/>
      <c r="R384" s="1"/>
      <c r="S384" s="1"/>
      <c r="T384" s="8"/>
      <c r="U384" s="8"/>
      <c r="V384" s="1"/>
      <c r="W384" s="1"/>
      <c r="X384" s="1"/>
      <c r="Z384" s="8"/>
    </row>
    <row r="385" spans="1:26" x14ac:dyDescent="0.2">
      <c r="A385" s="12">
        <f t="shared" si="17"/>
        <v>373</v>
      </c>
      <c r="E385" s="10" t="str">
        <f t="shared" si="15"/>
        <v/>
      </c>
      <c r="I385" s="53" t="str">
        <f t="shared" si="16"/>
        <v/>
      </c>
      <c r="N385" s="8">
        <v>0</v>
      </c>
      <c r="Q385" s="1"/>
      <c r="R385" s="1"/>
      <c r="S385" s="1"/>
      <c r="T385" s="8"/>
      <c r="U385" s="8"/>
      <c r="V385" s="1"/>
      <c r="W385" s="1"/>
      <c r="X385" s="1"/>
      <c r="Z385" s="8"/>
    </row>
    <row r="386" spans="1:26" x14ac:dyDescent="0.2">
      <c r="A386" s="12">
        <f t="shared" si="17"/>
        <v>374</v>
      </c>
      <c r="E386" s="10" t="str">
        <f t="shared" si="15"/>
        <v/>
      </c>
      <c r="I386" s="53" t="str">
        <f t="shared" si="16"/>
        <v/>
      </c>
      <c r="N386" s="8">
        <v>0</v>
      </c>
      <c r="Q386" s="1"/>
      <c r="R386" s="1"/>
      <c r="S386" s="1"/>
      <c r="T386" s="8"/>
      <c r="U386" s="8"/>
      <c r="V386" s="1"/>
      <c r="W386" s="1"/>
      <c r="X386" s="1"/>
      <c r="Z386" s="8"/>
    </row>
    <row r="387" spans="1:26" x14ac:dyDescent="0.2">
      <c r="A387" s="12">
        <f t="shared" si="17"/>
        <v>375</v>
      </c>
      <c r="E387" s="10" t="str">
        <f t="shared" si="15"/>
        <v/>
      </c>
      <c r="I387" s="53" t="str">
        <f t="shared" si="16"/>
        <v/>
      </c>
      <c r="N387" s="8">
        <v>0</v>
      </c>
      <c r="Q387" s="1"/>
      <c r="R387" s="1"/>
      <c r="S387" s="1"/>
      <c r="T387" s="8"/>
      <c r="U387" s="8"/>
      <c r="V387" s="1"/>
      <c r="W387" s="1"/>
      <c r="X387" s="1"/>
      <c r="Z387" s="8"/>
    </row>
    <row r="388" spans="1:26" x14ac:dyDescent="0.2">
      <c r="A388" s="12">
        <f t="shared" si="17"/>
        <v>376</v>
      </c>
      <c r="E388" s="10" t="str">
        <f t="shared" si="15"/>
        <v/>
      </c>
      <c r="I388" s="53" t="str">
        <f t="shared" si="16"/>
        <v/>
      </c>
      <c r="N388" s="8">
        <v>0</v>
      </c>
      <c r="Q388" s="1"/>
      <c r="R388" s="1"/>
      <c r="S388" s="1"/>
      <c r="T388" s="8"/>
      <c r="U388" s="8"/>
      <c r="V388" s="1"/>
      <c r="W388" s="1"/>
      <c r="X388" s="1"/>
      <c r="Z388" s="8"/>
    </row>
    <row r="389" spans="1:26" x14ac:dyDescent="0.2">
      <c r="A389" s="12">
        <f t="shared" si="17"/>
        <v>377</v>
      </c>
      <c r="E389" s="10" t="str">
        <f t="shared" si="15"/>
        <v/>
      </c>
      <c r="I389" s="53" t="str">
        <f t="shared" si="16"/>
        <v/>
      </c>
      <c r="N389" s="8">
        <v>0</v>
      </c>
      <c r="Q389" s="1"/>
      <c r="R389" s="1"/>
      <c r="S389" s="1"/>
      <c r="T389" s="8"/>
      <c r="U389" s="8"/>
      <c r="V389" s="1"/>
      <c r="W389" s="1"/>
      <c r="X389" s="1"/>
      <c r="Z389" s="8"/>
    </row>
    <row r="390" spans="1:26" x14ac:dyDescent="0.2">
      <c r="A390" s="12">
        <f t="shared" si="17"/>
        <v>378</v>
      </c>
      <c r="E390" s="10" t="str">
        <f t="shared" si="15"/>
        <v/>
      </c>
      <c r="I390" s="53" t="str">
        <f t="shared" si="16"/>
        <v/>
      </c>
      <c r="N390" s="8">
        <v>0</v>
      </c>
      <c r="Q390" s="1"/>
      <c r="R390" s="1"/>
      <c r="S390" s="1"/>
      <c r="T390" s="8"/>
      <c r="U390" s="8"/>
      <c r="V390" s="1"/>
      <c r="W390" s="1"/>
      <c r="X390" s="1"/>
      <c r="Z390" s="8"/>
    </row>
    <row r="391" spans="1:26" x14ac:dyDescent="0.2">
      <c r="A391" s="12">
        <f t="shared" si="17"/>
        <v>379</v>
      </c>
      <c r="E391" s="10" t="str">
        <f t="shared" si="15"/>
        <v/>
      </c>
      <c r="I391" s="53" t="str">
        <f t="shared" si="16"/>
        <v/>
      </c>
      <c r="N391" s="8">
        <v>0</v>
      </c>
      <c r="Q391" s="1"/>
      <c r="R391" s="1"/>
      <c r="S391" s="1"/>
      <c r="T391" s="8"/>
      <c r="U391" s="8"/>
      <c r="V391" s="1"/>
      <c r="W391" s="1"/>
      <c r="X391" s="1"/>
      <c r="Z391" s="8"/>
    </row>
    <row r="392" spans="1:26" x14ac:dyDescent="0.2">
      <c r="A392" s="12">
        <f t="shared" si="17"/>
        <v>380</v>
      </c>
      <c r="E392" s="10" t="str">
        <f t="shared" si="15"/>
        <v/>
      </c>
      <c r="I392" s="53" t="str">
        <f t="shared" si="16"/>
        <v/>
      </c>
      <c r="N392" s="8">
        <v>0</v>
      </c>
      <c r="Q392" s="1"/>
      <c r="R392" s="1"/>
      <c r="S392" s="1"/>
      <c r="T392" s="8"/>
      <c r="U392" s="8"/>
      <c r="V392" s="1"/>
      <c r="W392" s="1"/>
      <c r="X392" s="1"/>
      <c r="Z392" s="8"/>
    </row>
    <row r="393" spans="1:26" x14ac:dyDescent="0.2">
      <c r="A393" s="12">
        <f t="shared" si="17"/>
        <v>381</v>
      </c>
      <c r="E393" s="10" t="str">
        <f t="shared" si="15"/>
        <v/>
      </c>
      <c r="I393" s="53" t="str">
        <f t="shared" si="16"/>
        <v/>
      </c>
      <c r="N393" s="8">
        <v>0</v>
      </c>
      <c r="Q393" s="1"/>
      <c r="R393" s="1"/>
      <c r="S393" s="1"/>
      <c r="T393" s="8"/>
      <c r="U393" s="8"/>
      <c r="V393" s="1"/>
      <c r="W393" s="1"/>
      <c r="X393" s="1"/>
      <c r="Z393" s="8"/>
    </row>
    <row r="394" spans="1:26" x14ac:dyDescent="0.2">
      <c r="A394" s="12">
        <f t="shared" si="17"/>
        <v>382</v>
      </c>
      <c r="E394" s="10" t="str">
        <f t="shared" si="15"/>
        <v/>
      </c>
      <c r="I394" s="53" t="str">
        <f t="shared" si="16"/>
        <v/>
      </c>
      <c r="N394" s="8">
        <v>0</v>
      </c>
      <c r="Q394" s="1"/>
      <c r="R394" s="1"/>
      <c r="S394" s="1"/>
      <c r="T394" s="8"/>
      <c r="U394" s="8"/>
      <c r="V394" s="1"/>
      <c r="W394" s="1"/>
      <c r="X394" s="1"/>
      <c r="Z394" s="8"/>
    </row>
    <row r="395" spans="1:26" x14ac:dyDescent="0.2">
      <c r="A395" s="12">
        <f t="shared" si="17"/>
        <v>383</v>
      </c>
      <c r="E395" s="10" t="str">
        <f t="shared" si="15"/>
        <v/>
      </c>
      <c r="I395" s="53" t="str">
        <f t="shared" si="16"/>
        <v/>
      </c>
      <c r="N395" s="8">
        <v>0</v>
      </c>
      <c r="Q395" s="1"/>
      <c r="R395" s="1"/>
      <c r="S395" s="1"/>
      <c r="T395" s="8"/>
      <c r="U395" s="8"/>
      <c r="V395" s="1"/>
      <c r="W395" s="1"/>
      <c r="X395" s="1"/>
      <c r="Z395" s="8"/>
    </row>
    <row r="396" spans="1:26" x14ac:dyDescent="0.2">
      <c r="A396" s="12">
        <f t="shared" si="17"/>
        <v>384</v>
      </c>
      <c r="E396" s="10" t="str">
        <f t="shared" si="15"/>
        <v/>
      </c>
      <c r="I396" s="53" t="str">
        <f t="shared" si="16"/>
        <v/>
      </c>
      <c r="N396" s="8">
        <v>0</v>
      </c>
      <c r="Q396" s="1"/>
      <c r="R396" s="1"/>
      <c r="S396" s="1"/>
      <c r="T396" s="8"/>
      <c r="U396" s="8"/>
      <c r="V396" s="1"/>
      <c r="W396" s="1"/>
      <c r="X396" s="1"/>
      <c r="Z396" s="8"/>
    </row>
    <row r="397" spans="1:26" x14ac:dyDescent="0.2">
      <c r="A397" s="12">
        <f t="shared" si="17"/>
        <v>385</v>
      </c>
      <c r="E397" s="10" t="str">
        <f t="shared" ref="E397:E460" si="18">IF($C$8&gt;=A397,$E$1&amp;" "&amp;A397,"")</f>
        <v/>
      </c>
      <c r="I397" s="53" t="str">
        <f t="shared" si="16"/>
        <v/>
      </c>
      <c r="N397" s="8">
        <v>0</v>
      </c>
      <c r="Q397" s="1"/>
      <c r="R397" s="1"/>
      <c r="S397" s="1"/>
      <c r="T397" s="8"/>
      <c r="U397" s="8"/>
      <c r="V397" s="1"/>
      <c r="W397" s="1"/>
      <c r="X397" s="1"/>
      <c r="Z397" s="8"/>
    </row>
    <row r="398" spans="1:26" x14ac:dyDescent="0.2">
      <c r="A398" s="12">
        <f t="shared" si="17"/>
        <v>386</v>
      </c>
      <c r="E398" s="10" t="str">
        <f t="shared" si="18"/>
        <v/>
      </c>
      <c r="I398" s="53" t="str">
        <f t="shared" ref="I398:I461" si="19">IF(E398="","",F398-G398-H398)</f>
        <v/>
      </c>
      <c r="N398" s="8">
        <v>0</v>
      </c>
      <c r="Q398" s="1"/>
      <c r="R398" s="1"/>
      <c r="S398" s="1"/>
      <c r="T398" s="8"/>
      <c r="U398" s="8"/>
      <c r="V398" s="1"/>
      <c r="W398" s="1"/>
      <c r="X398" s="1"/>
      <c r="Z398" s="8"/>
    </row>
    <row r="399" spans="1:26" x14ac:dyDescent="0.2">
      <c r="A399" s="12">
        <f t="shared" ref="A399:A462" si="20">A398+1</f>
        <v>387</v>
      </c>
      <c r="E399" s="10" t="str">
        <f t="shared" si="18"/>
        <v/>
      </c>
      <c r="I399" s="53" t="str">
        <f t="shared" si="19"/>
        <v/>
      </c>
      <c r="N399" s="8">
        <v>0</v>
      </c>
      <c r="Q399" s="1"/>
      <c r="R399" s="1"/>
      <c r="S399" s="1"/>
      <c r="T399" s="8"/>
      <c r="U399" s="8"/>
      <c r="V399" s="1"/>
      <c r="W399" s="1"/>
      <c r="X399" s="1"/>
      <c r="Z399" s="8"/>
    </row>
    <row r="400" spans="1:26" x14ac:dyDescent="0.2">
      <c r="A400" s="12">
        <f t="shared" si="20"/>
        <v>388</v>
      </c>
      <c r="E400" s="10" t="str">
        <f t="shared" si="18"/>
        <v/>
      </c>
      <c r="I400" s="53" t="str">
        <f t="shared" si="19"/>
        <v/>
      </c>
      <c r="N400" s="8">
        <v>0</v>
      </c>
      <c r="Q400" s="1"/>
      <c r="R400" s="1"/>
      <c r="S400" s="1"/>
      <c r="T400" s="8"/>
      <c r="U400" s="8"/>
      <c r="V400" s="1"/>
      <c r="W400" s="1"/>
      <c r="X400" s="1"/>
      <c r="Z400" s="8"/>
    </row>
    <row r="401" spans="1:26" x14ac:dyDescent="0.2">
      <c r="A401" s="12">
        <f t="shared" si="20"/>
        <v>389</v>
      </c>
      <c r="E401" s="10" t="str">
        <f t="shared" si="18"/>
        <v/>
      </c>
      <c r="I401" s="53" t="str">
        <f t="shared" si="19"/>
        <v/>
      </c>
      <c r="N401" s="8">
        <v>0</v>
      </c>
      <c r="Q401" s="1"/>
      <c r="R401" s="1"/>
      <c r="S401" s="1"/>
      <c r="T401" s="8"/>
      <c r="U401" s="8"/>
      <c r="V401" s="1"/>
      <c r="W401" s="1"/>
      <c r="X401" s="1"/>
      <c r="Z401" s="8"/>
    </row>
    <row r="402" spans="1:26" x14ac:dyDescent="0.2">
      <c r="A402" s="12">
        <f t="shared" si="20"/>
        <v>390</v>
      </c>
      <c r="E402" s="10" t="str">
        <f t="shared" si="18"/>
        <v/>
      </c>
      <c r="I402" s="53" t="str">
        <f t="shared" si="19"/>
        <v/>
      </c>
      <c r="N402" s="8">
        <v>0</v>
      </c>
      <c r="Q402" s="1"/>
      <c r="R402" s="1"/>
      <c r="S402" s="1"/>
      <c r="T402" s="8"/>
      <c r="U402" s="8"/>
      <c r="V402" s="1"/>
      <c r="W402" s="1"/>
      <c r="X402" s="1"/>
      <c r="Z402" s="8"/>
    </row>
    <row r="403" spans="1:26" x14ac:dyDescent="0.2">
      <c r="A403" s="12">
        <f t="shared" si="20"/>
        <v>391</v>
      </c>
      <c r="E403" s="10" t="str">
        <f t="shared" si="18"/>
        <v/>
      </c>
      <c r="I403" s="53" t="str">
        <f t="shared" si="19"/>
        <v/>
      </c>
      <c r="N403" s="8">
        <v>0</v>
      </c>
      <c r="Q403" s="1"/>
      <c r="R403" s="1"/>
      <c r="S403" s="1"/>
      <c r="T403" s="8"/>
      <c r="U403" s="8"/>
      <c r="V403" s="1"/>
      <c r="W403" s="1"/>
      <c r="X403" s="1"/>
      <c r="Z403" s="8"/>
    </row>
    <row r="404" spans="1:26" x14ac:dyDescent="0.2">
      <c r="A404" s="12">
        <f t="shared" si="20"/>
        <v>392</v>
      </c>
      <c r="E404" s="10" t="str">
        <f t="shared" si="18"/>
        <v/>
      </c>
      <c r="I404" s="53" t="str">
        <f t="shared" si="19"/>
        <v/>
      </c>
      <c r="N404" s="8">
        <v>0</v>
      </c>
      <c r="Q404" s="1"/>
      <c r="R404" s="1"/>
      <c r="S404" s="1"/>
      <c r="T404" s="8"/>
      <c r="U404" s="8"/>
      <c r="V404" s="1"/>
      <c r="W404" s="1"/>
      <c r="X404" s="1"/>
      <c r="Z404" s="8"/>
    </row>
    <row r="405" spans="1:26" x14ac:dyDescent="0.2">
      <c r="A405" s="12">
        <f t="shared" si="20"/>
        <v>393</v>
      </c>
      <c r="E405" s="10" t="str">
        <f t="shared" si="18"/>
        <v/>
      </c>
      <c r="I405" s="53" t="str">
        <f t="shared" si="19"/>
        <v/>
      </c>
      <c r="N405" s="8">
        <v>0</v>
      </c>
      <c r="Q405" s="1"/>
      <c r="R405" s="1"/>
      <c r="S405" s="1"/>
      <c r="T405" s="8"/>
      <c r="U405" s="8"/>
      <c r="V405" s="1"/>
      <c r="W405" s="1"/>
      <c r="X405" s="1"/>
      <c r="Z405" s="8"/>
    </row>
    <row r="406" spans="1:26" x14ac:dyDescent="0.2">
      <c r="A406" s="12">
        <f t="shared" si="20"/>
        <v>394</v>
      </c>
      <c r="E406" s="10" t="str">
        <f t="shared" si="18"/>
        <v/>
      </c>
      <c r="I406" s="53" t="str">
        <f t="shared" si="19"/>
        <v/>
      </c>
      <c r="N406" s="8">
        <v>0</v>
      </c>
      <c r="Q406" s="1"/>
      <c r="R406" s="1"/>
      <c r="S406" s="1"/>
      <c r="T406" s="8"/>
      <c r="U406" s="8"/>
      <c r="V406" s="1"/>
      <c r="W406" s="1"/>
      <c r="X406" s="1"/>
      <c r="Z406" s="8"/>
    </row>
    <row r="407" spans="1:26" x14ac:dyDescent="0.2">
      <c r="A407" s="12">
        <f t="shared" si="20"/>
        <v>395</v>
      </c>
      <c r="E407" s="10" t="str">
        <f t="shared" si="18"/>
        <v/>
      </c>
      <c r="I407" s="53" t="str">
        <f t="shared" si="19"/>
        <v/>
      </c>
      <c r="N407" s="8">
        <v>0</v>
      </c>
      <c r="Q407" s="1"/>
      <c r="R407" s="1"/>
      <c r="S407" s="1"/>
      <c r="T407" s="8"/>
      <c r="U407" s="8"/>
      <c r="V407" s="1"/>
      <c r="W407" s="1"/>
      <c r="X407" s="1"/>
      <c r="Z407" s="8"/>
    </row>
    <row r="408" spans="1:26" x14ac:dyDescent="0.2">
      <c r="A408" s="12">
        <f t="shared" si="20"/>
        <v>396</v>
      </c>
      <c r="E408" s="10" t="str">
        <f t="shared" si="18"/>
        <v/>
      </c>
      <c r="I408" s="53" t="str">
        <f t="shared" si="19"/>
        <v/>
      </c>
      <c r="N408" s="8">
        <v>0</v>
      </c>
      <c r="Q408" s="1"/>
      <c r="R408" s="1"/>
      <c r="S408" s="1"/>
      <c r="T408" s="8"/>
      <c r="U408" s="8"/>
      <c r="V408" s="1"/>
      <c r="W408" s="1"/>
      <c r="X408" s="1"/>
      <c r="Z408" s="8"/>
    </row>
    <row r="409" spans="1:26" x14ac:dyDescent="0.2">
      <c r="A409" s="12">
        <f t="shared" si="20"/>
        <v>397</v>
      </c>
      <c r="E409" s="10" t="str">
        <f t="shared" si="18"/>
        <v/>
      </c>
      <c r="I409" s="53" t="str">
        <f t="shared" si="19"/>
        <v/>
      </c>
      <c r="N409" s="8">
        <v>0</v>
      </c>
      <c r="Q409" s="1"/>
      <c r="R409" s="1"/>
      <c r="S409" s="1"/>
      <c r="T409" s="8"/>
      <c r="U409" s="8"/>
      <c r="V409" s="1"/>
      <c r="W409" s="1"/>
      <c r="X409" s="1"/>
      <c r="Z409" s="8"/>
    </row>
    <row r="410" spans="1:26" x14ac:dyDescent="0.2">
      <c r="A410" s="12">
        <f t="shared" si="20"/>
        <v>398</v>
      </c>
      <c r="E410" s="10" t="str">
        <f t="shared" si="18"/>
        <v/>
      </c>
      <c r="I410" s="53" t="str">
        <f t="shared" si="19"/>
        <v/>
      </c>
      <c r="N410" s="8">
        <v>0</v>
      </c>
      <c r="Q410" s="1"/>
      <c r="R410" s="1"/>
      <c r="S410" s="1"/>
      <c r="T410" s="8"/>
      <c r="U410" s="8"/>
      <c r="V410" s="1"/>
      <c r="W410" s="1"/>
      <c r="X410" s="1"/>
      <c r="Z410" s="8"/>
    </row>
    <row r="411" spans="1:26" x14ac:dyDescent="0.2">
      <c r="A411" s="12">
        <f t="shared" si="20"/>
        <v>399</v>
      </c>
      <c r="E411" s="10" t="str">
        <f t="shared" si="18"/>
        <v/>
      </c>
      <c r="I411" s="53" t="str">
        <f t="shared" si="19"/>
        <v/>
      </c>
      <c r="N411" s="8">
        <v>0</v>
      </c>
      <c r="Q411" s="1"/>
      <c r="R411" s="1"/>
      <c r="S411" s="1"/>
      <c r="T411" s="8"/>
      <c r="U411" s="8"/>
      <c r="V411" s="1"/>
      <c r="W411" s="1"/>
      <c r="X411" s="1"/>
      <c r="Z411" s="8"/>
    </row>
    <row r="412" spans="1:26" x14ac:dyDescent="0.2">
      <c r="A412" s="12">
        <f t="shared" si="20"/>
        <v>400</v>
      </c>
      <c r="E412" s="10" t="str">
        <f t="shared" si="18"/>
        <v/>
      </c>
      <c r="I412" s="53" t="str">
        <f t="shared" si="19"/>
        <v/>
      </c>
      <c r="N412" s="8">
        <v>0</v>
      </c>
      <c r="Q412" s="1"/>
      <c r="R412" s="1"/>
      <c r="S412" s="1"/>
      <c r="T412" s="8"/>
      <c r="U412" s="8"/>
      <c r="V412" s="1"/>
      <c r="W412" s="1"/>
      <c r="X412" s="1"/>
      <c r="Z412" s="8"/>
    </row>
    <row r="413" spans="1:26" x14ac:dyDescent="0.2">
      <c r="A413" s="12">
        <f t="shared" si="20"/>
        <v>401</v>
      </c>
      <c r="E413" s="10" t="str">
        <f t="shared" si="18"/>
        <v/>
      </c>
      <c r="I413" s="53" t="str">
        <f t="shared" si="19"/>
        <v/>
      </c>
      <c r="N413" s="8">
        <v>0</v>
      </c>
      <c r="Q413" s="1"/>
      <c r="R413" s="1"/>
      <c r="S413" s="1"/>
      <c r="T413" s="8"/>
      <c r="U413" s="8"/>
      <c r="V413" s="1"/>
      <c r="W413" s="1"/>
      <c r="X413" s="1"/>
      <c r="Z413" s="8"/>
    </row>
    <row r="414" spans="1:26" x14ac:dyDescent="0.2">
      <c r="A414" s="12">
        <f t="shared" si="20"/>
        <v>402</v>
      </c>
      <c r="E414" s="10" t="str">
        <f t="shared" si="18"/>
        <v/>
      </c>
      <c r="I414" s="53" t="str">
        <f t="shared" si="19"/>
        <v/>
      </c>
      <c r="N414" s="8">
        <v>0</v>
      </c>
      <c r="Q414" s="1"/>
      <c r="R414" s="1"/>
      <c r="S414" s="1"/>
      <c r="T414" s="8"/>
      <c r="U414" s="8"/>
      <c r="V414" s="1"/>
      <c r="W414" s="1"/>
      <c r="X414" s="1"/>
      <c r="Z414" s="8"/>
    </row>
    <row r="415" spans="1:26" x14ac:dyDescent="0.2">
      <c r="A415" s="12">
        <f t="shared" si="20"/>
        <v>403</v>
      </c>
      <c r="E415" s="10" t="str">
        <f t="shared" si="18"/>
        <v/>
      </c>
      <c r="I415" s="53" t="str">
        <f t="shared" si="19"/>
        <v/>
      </c>
      <c r="N415" s="8">
        <v>0</v>
      </c>
      <c r="Q415" s="1"/>
      <c r="R415" s="1"/>
      <c r="S415" s="1"/>
      <c r="T415" s="8"/>
      <c r="U415" s="8"/>
      <c r="V415" s="1"/>
      <c r="W415" s="1"/>
      <c r="X415" s="1"/>
      <c r="Z415" s="8"/>
    </row>
    <row r="416" spans="1:26" x14ac:dyDescent="0.2">
      <c r="A416" s="12">
        <f t="shared" si="20"/>
        <v>404</v>
      </c>
      <c r="E416" s="10" t="str">
        <f t="shared" si="18"/>
        <v/>
      </c>
      <c r="I416" s="53" t="str">
        <f t="shared" si="19"/>
        <v/>
      </c>
      <c r="N416" s="8">
        <v>0</v>
      </c>
      <c r="Q416" s="1"/>
      <c r="R416" s="1"/>
      <c r="S416" s="1"/>
      <c r="T416" s="8"/>
      <c r="U416" s="8"/>
      <c r="V416" s="1"/>
      <c r="W416" s="1"/>
      <c r="X416" s="1"/>
      <c r="Z416" s="8"/>
    </row>
    <row r="417" spans="1:26" x14ac:dyDescent="0.2">
      <c r="A417" s="12">
        <f t="shared" si="20"/>
        <v>405</v>
      </c>
      <c r="E417" s="10" t="str">
        <f t="shared" si="18"/>
        <v/>
      </c>
      <c r="I417" s="53" t="str">
        <f t="shared" si="19"/>
        <v/>
      </c>
      <c r="N417" s="8">
        <v>0</v>
      </c>
      <c r="Q417" s="1"/>
      <c r="R417" s="1"/>
      <c r="S417" s="1"/>
      <c r="T417" s="8"/>
      <c r="U417" s="8"/>
      <c r="V417" s="1"/>
      <c r="W417" s="1"/>
      <c r="X417" s="1"/>
      <c r="Z417" s="8"/>
    </row>
    <row r="418" spans="1:26" x14ac:dyDescent="0.2">
      <c r="A418" s="12">
        <f t="shared" si="20"/>
        <v>406</v>
      </c>
      <c r="E418" s="10" t="str">
        <f t="shared" si="18"/>
        <v/>
      </c>
      <c r="I418" s="53" t="str">
        <f t="shared" si="19"/>
        <v/>
      </c>
      <c r="N418" s="8">
        <v>0</v>
      </c>
      <c r="Q418" s="1"/>
      <c r="R418" s="1"/>
      <c r="S418" s="1"/>
      <c r="T418" s="8"/>
      <c r="U418" s="8"/>
      <c r="V418" s="1"/>
      <c r="W418" s="1"/>
      <c r="X418" s="1"/>
      <c r="Z418" s="8"/>
    </row>
    <row r="419" spans="1:26" x14ac:dyDescent="0.2">
      <c r="A419" s="12">
        <f t="shared" si="20"/>
        <v>407</v>
      </c>
      <c r="E419" s="10" t="str">
        <f t="shared" si="18"/>
        <v/>
      </c>
      <c r="I419" s="53" t="str">
        <f t="shared" si="19"/>
        <v/>
      </c>
      <c r="N419" s="8">
        <v>0</v>
      </c>
      <c r="Q419" s="1"/>
      <c r="R419" s="1"/>
      <c r="S419" s="1"/>
      <c r="T419" s="8"/>
      <c r="U419" s="8"/>
      <c r="V419" s="1"/>
      <c r="W419" s="1"/>
      <c r="X419" s="1"/>
      <c r="Z419" s="8"/>
    </row>
    <row r="420" spans="1:26" x14ac:dyDescent="0.2">
      <c r="A420" s="12">
        <f t="shared" si="20"/>
        <v>408</v>
      </c>
      <c r="E420" s="10" t="str">
        <f t="shared" si="18"/>
        <v/>
      </c>
      <c r="I420" s="53" t="str">
        <f t="shared" si="19"/>
        <v/>
      </c>
      <c r="N420" s="8">
        <v>0</v>
      </c>
      <c r="Q420" s="1"/>
      <c r="R420" s="1"/>
      <c r="S420" s="1"/>
      <c r="T420" s="8"/>
      <c r="U420" s="8"/>
      <c r="V420" s="1"/>
      <c r="W420" s="1"/>
      <c r="X420" s="1"/>
      <c r="Z420" s="8"/>
    </row>
    <row r="421" spans="1:26" x14ac:dyDescent="0.2">
      <c r="A421" s="12">
        <f t="shared" si="20"/>
        <v>409</v>
      </c>
      <c r="E421" s="10" t="str">
        <f t="shared" si="18"/>
        <v/>
      </c>
      <c r="I421" s="53" t="str">
        <f t="shared" si="19"/>
        <v/>
      </c>
      <c r="N421" s="8">
        <v>0</v>
      </c>
      <c r="Q421" s="1"/>
      <c r="R421" s="1"/>
      <c r="S421" s="1"/>
      <c r="T421" s="8"/>
      <c r="U421" s="8"/>
      <c r="V421" s="1"/>
      <c r="W421" s="1"/>
      <c r="X421" s="1"/>
      <c r="Z421" s="8"/>
    </row>
    <row r="422" spans="1:26" x14ac:dyDescent="0.2">
      <c r="A422" s="12">
        <f t="shared" si="20"/>
        <v>410</v>
      </c>
      <c r="E422" s="10" t="str">
        <f t="shared" si="18"/>
        <v/>
      </c>
      <c r="I422" s="53" t="str">
        <f t="shared" si="19"/>
        <v/>
      </c>
      <c r="N422" s="8">
        <v>0</v>
      </c>
      <c r="Q422" s="1"/>
      <c r="R422" s="1"/>
      <c r="S422" s="1"/>
      <c r="T422" s="8"/>
      <c r="U422" s="8"/>
      <c r="V422" s="1"/>
      <c r="W422" s="1"/>
      <c r="X422" s="1"/>
      <c r="Z422" s="8"/>
    </row>
    <row r="423" spans="1:26" x14ac:dyDescent="0.2">
      <c r="A423" s="12">
        <f t="shared" si="20"/>
        <v>411</v>
      </c>
      <c r="E423" s="10" t="str">
        <f t="shared" si="18"/>
        <v/>
      </c>
      <c r="I423" s="53" t="str">
        <f t="shared" si="19"/>
        <v/>
      </c>
      <c r="N423" s="8">
        <v>0</v>
      </c>
      <c r="Q423" s="1"/>
      <c r="R423" s="1"/>
      <c r="S423" s="1"/>
      <c r="T423" s="8"/>
      <c r="U423" s="8"/>
      <c r="V423" s="1"/>
      <c r="W423" s="1"/>
      <c r="X423" s="1"/>
      <c r="Z423" s="8"/>
    </row>
    <row r="424" spans="1:26" x14ac:dyDescent="0.2">
      <c r="A424" s="12">
        <f t="shared" si="20"/>
        <v>412</v>
      </c>
      <c r="E424" s="10" t="str">
        <f t="shared" si="18"/>
        <v/>
      </c>
      <c r="I424" s="53" t="str">
        <f t="shared" si="19"/>
        <v/>
      </c>
      <c r="N424" s="8">
        <v>0</v>
      </c>
      <c r="Q424" s="1"/>
      <c r="R424" s="1"/>
      <c r="S424" s="1"/>
      <c r="T424" s="8"/>
      <c r="U424" s="8"/>
      <c r="V424" s="1"/>
      <c r="W424" s="1"/>
      <c r="X424" s="1"/>
      <c r="Z424" s="8"/>
    </row>
    <row r="425" spans="1:26" x14ac:dyDescent="0.2">
      <c r="A425" s="12">
        <f t="shared" si="20"/>
        <v>413</v>
      </c>
      <c r="E425" s="10" t="str">
        <f t="shared" si="18"/>
        <v/>
      </c>
      <c r="I425" s="53" t="str">
        <f t="shared" si="19"/>
        <v/>
      </c>
      <c r="N425" s="8">
        <v>0</v>
      </c>
      <c r="Q425" s="1"/>
      <c r="R425" s="1"/>
      <c r="S425" s="1"/>
      <c r="T425" s="8"/>
      <c r="U425" s="8"/>
      <c r="V425" s="1"/>
      <c r="W425" s="1"/>
      <c r="X425" s="1"/>
      <c r="Z425" s="8"/>
    </row>
    <row r="426" spans="1:26" x14ac:dyDescent="0.2">
      <c r="A426" s="12">
        <f t="shared" si="20"/>
        <v>414</v>
      </c>
      <c r="E426" s="10" t="str">
        <f t="shared" si="18"/>
        <v/>
      </c>
      <c r="I426" s="53" t="str">
        <f t="shared" si="19"/>
        <v/>
      </c>
      <c r="N426" s="8">
        <v>0</v>
      </c>
      <c r="Q426" s="1"/>
      <c r="R426" s="1"/>
      <c r="S426" s="1"/>
      <c r="T426" s="8"/>
      <c r="U426" s="8"/>
      <c r="V426" s="1"/>
      <c r="W426" s="1"/>
      <c r="X426" s="1"/>
      <c r="Z426" s="8"/>
    </row>
    <row r="427" spans="1:26" x14ac:dyDescent="0.2">
      <c r="A427" s="12">
        <f t="shared" si="20"/>
        <v>415</v>
      </c>
      <c r="E427" s="10" t="str">
        <f t="shared" si="18"/>
        <v/>
      </c>
      <c r="I427" s="53" t="str">
        <f t="shared" si="19"/>
        <v/>
      </c>
      <c r="N427" s="8">
        <v>0</v>
      </c>
      <c r="Q427" s="1"/>
      <c r="R427" s="1"/>
      <c r="S427" s="1"/>
      <c r="T427" s="8"/>
      <c r="U427" s="8"/>
      <c r="V427" s="1"/>
      <c r="W427" s="1"/>
      <c r="X427" s="1"/>
      <c r="Z427" s="8"/>
    </row>
    <row r="428" spans="1:26" x14ac:dyDescent="0.2">
      <c r="A428" s="12">
        <f t="shared" si="20"/>
        <v>416</v>
      </c>
      <c r="E428" s="10" t="str">
        <f t="shared" si="18"/>
        <v/>
      </c>
      <c r="I428" s="53" t="str">
        <f t="shared" si="19"/>
        <v/>
      </c>
      <c r="N428" s="8">
        <v>0</v>
      </c>
      <c r="Q428" s="1"/>
      <c r="R428" s="1"/>
      <c r="S428" s="1"/>
      <c r="T428" s="8"/>
      <c r="U428" s="8"/>
      <c r="V428" s="1"/>
      <c r="W428" s="1"/>
      <c r="X428" s="1"/>
      <c r="Z428" s="8"/>
    </row>
    <row r="429" spans="1:26" x14ac:dyDescent="0.2">
      <c r="A429" s="12">
        <f t="shared" si="20"/>
        <v>417</v>
      </c>
      <c r="E429" s="10" t="str">
        <f t="shared" si="18"/>
        <v/>
      </c>
      <c r="I429" s="53" t="str">
        <f t="shared" si="19"/>
        <v/>
      </c>
      <c r="N429" s="8">
        <v>0</v>
      </c>
      <c r="Q429" s="1"/>
      <c r="R429" s="1"/>
      <c r="S429" s="1"/>
      <c r="T429" s="8"/>
      <c r="U429" s="8"/>
      <c r="V429" s="1"/>
      <c r="W429" s="1"/>
      <c r="X429" s="1"/>
      <c r="Z429" s="8"/>
    </row>
    <row r="430" spans="1:26" x14ac:dyDescent="0.2">
      <c r="A430" s="12">
        <f t="shared" si="20"/>
        <v>418</v>
      </c>
      <c r="E430" s="10" t="str">
        <f t="shared" si="18"/>
        <v/>
      </c>
      <c r="I430" s="53" t="str">
        <f t="shared" si="19"/>
        <v/>
      </c>
      <c r="N430" s="8">
        <v>0</v>
      </c>
      <c r="Q430" s="1"/>
      <c r="R430" s="1"/>
      <c r="S430" s="1"/>
      <c r="T430" s="8"/>
      <c r="U430" s="8"/>
      <c r="V430" s="1"/>
      <c r="W430" s="1"/>
      <c r="X430" s="1"/>
      <c r="Z430" s="8"/>
    </row>
    <row r="431" spans="1:26" x14ac:dyDescent="0.2">
      <c r="A431" s="12">
        <f t="shared" si="20"/>
        <v>419</v>
      </c>
      <c r="E431" s="10" t="str">
        <f t="shared" si="18"/>
        <v/>
      </c>
      <c r="I431" s="53" t="str">
        <f t="shared" si="19"/>
        <v/>
      </c>
      <c r="N431" s="8">
        <v>0</v>
      </c>
      <c r="Q431" s="1"/>
      <c r="R431" s="1"/>
      <c r="S431" s="1"/>
      <c r="T431" s="8"/>
      <c r="U431" s="8"/>
      <c r="V431" s="1"/>
      <c r="W431" s="1"/>
      <c r="X431" s="1"/>
      <c r="Z431" s="8"/>
    </row>
    <row r="432" spans="1:26" x14ac:dyDescent="0.2">
      <c r="A432" s="12">
        <f t="shared" si="20"/>
        <v>420</v>
      </c>
      <c r="E432" s="10" t="str">
        <f t="shared" si="18"/>
        <v/>
      </c>
      <c r="I432" s="53" t="str">
        <f t="shared" si="19"/>
        <v/>
      </c>
      <c r="N432" s="8">
        <v>0</v>
      </c>
      <c r="Q432" s="1"/>
      <c r="R432" s="1"/>
      <c r="S432" s="1"/>
      <c r="T432" s="8"/>
      <c r="U432" s="8"/>
      <c r="V432" s="1"/>
      <c r="W432" s="1"/>
      <c r="X432" s="1"/>
      <c r="Z432" s="8"/>
    </row>
    <row r="433" spans="1:26" x14ac:dyDescent="0.2">
      <c r="A433" s="12">
        <f t="shared" si="20"/>
        <v>421</v>
      </c>
      <c r="E433" s="10" t="str">
        <f t="shared" si="18"/>
        <v/>
      </c>
      <c r="I433" s="53" t="str">
        <f t="shared" si="19"/>
        <v/>
      </c>
      <c r="N433" s="8">
        <v>0</v>
      </c>
      <c r="Q433" s="1"/>
      <c r="R433" s="1"/>
      <c r="S433" s="1"/>
      <c r="T433" s="8"/>
      <c r="U433" s="8"/>
      <c r="V433" s="1"/>
      <c r="W433" s="1"/>
      <c r="X433" s="1"/>
      <c r="Z433" s="8"/>
    </row>
    <row r="434" spans="1:26" x14ac:dyDescent="0.2">
      <c r="A434" s="12">
        <f t="shared" si="20"/>
        <v>422</v>
      </c>
      <c r="E434" s="10" t="str">
        <f t="shared" si="18"/>
        <v/>
      </c>
      <c r="I434" s="53" t="str">
        <f t="shared" si="19"/>
        <v/>
      </c>
      <c r="N434" s="8">
        <v>0</v>
      </c>
      <c r="Q434" s="1"/>
      <c r="R434" s="1"/>
      <c r="S434" s="1"/>
      <c r="T434" s="8"/>
      <c r="U434" s="8"/>
      <c r="V434" s="1"/>
      <c r="W434" s="1"/>
      <c r="X434" s="1"/>
      <c r="Z434" s="8"/>
    </row>
    <row r="435" spans="1:26" x14ac:dyDescent="0.2">
      <c r="A435" s="12">
        <f t="shared" si="20"/>
        <v>423</v>
      </c>
      <c r="E435" s="10" t="str">
        <f t="shared" si="18"/>
        <v/>
      </c>
      <c r="I435" s="53" t="str">
        <f t="shared" si="19"/>
        <v/>
      </c>
      <c r="N435" s="8">
        <v>0</v>
      </c>
      <c r="Q435" s="1"/>
      <c r="R435" s="1"/>
      <c r="S435" s="1"/>
      <c r="T435" s="8"/>
      <c r="U435" s="8"/>
      <c r="V435" s="1"/>
      <c r="W435" s="1"/>
      <c r="X435" s="1"/>
      <c r="Z435" s="8"/>
    </row>
    <row r="436" spans="1:26" x14ac:dyDescent="0.2">
      <c r="A436" s="12">
        <f t="shared" si="20"/>
        <v>424</v>
      </c>
      <c r="E436" s="10" t="str">
        <f t="shared" si="18"/>
        <v/>
      </c>
      <c r="I436" s="53" t="str">
        <f t="shared" si="19"/>
        <v/>
      </c>
      <c r="N436" s="8">
        <v>0</v>
      </c>
      <c r="Q436" s="1"/>
      <c r="R436" s="1"/>
      <c r="S436" s="1"/>
      <c r="T436" s="8"/>
      <c r="U436" s="8"/>
      <c r="V436" s="1"/>
      <c r="W436" s="1"/>
      <c r="X436" s="1"/>
      <c r="Z436" s="8"/>
    </row>
    <row r="437" spans="1:26" x14ac:dyDescent="0.2">
      <c r="A437" s="12">
        <f t="shared" si="20"/>
        <v>425</v>
      </c>
      <c r="E437" s="10" t="str">
        <f t="shared" si="18"/>
        <v/>
      </c>
      <c r="I437" s="53" t="str">
        <f t="shared" si="19"/>
        <v/>
      </c>
      <c r="N437" s="8">
        <v>0</v>
      </c>
      <c r="Q437" s="1"/>
      <c r="R437" s="1"/>
      <c r="S437" s="1"/>
      <c r="T437" s="8"/>
      <c r="U437" s="8"/>
      <c r="V437" s="1"/>
      <c r="W437" s="1"/>
      <c r="X437" s="1"/>
      <c r="Z437" s="8"/>
    </row>
    <row r="438" spans="1:26" x14ac:dyDescent="0.2">
      <c r="A438" s="12">
        <f t="shared" si="20"/>
        <v>426</v>
      </c>
      <c r="E438" s="10" t="str">
        <f t="shared" si="18"/>
        <v/>
      </c>
      <c r="I438" s="53" t="str">
        <f t="shared" si="19"/>
        <v/>
      </c>
      <c r="N438" s="8">
        <v>0</v>
      </c>
      <c r="Q438" s="1"/>
      <c r="R438" s="1"/>
      <c r="S438" s="1"/>
      <c r="T438" s="8"/>
      <c r="U438" s="8"/>
      <c r="V438" s="1"/>
      <c r="W438" s="1"/>
      <c r="X438" s="1"/>
      <c r="Z438" s="8"/>
    </row>
    <row r="439" spans="1:26" x14ac:dyDescent="0.2">
      <c r="A439" s="12">
        <f t="shared" si="20"/>
        <v>427</v>
      </c>
      <c r="E439" s="10" t="str">
        <f t="shared" si="18"/>
        <v/>
      </c>
      <c r="I439" s="53" t="str">
        <f t="shared" si="19"/>
        <v/>
      </c>
      <c r="N439" s="8">
        <v>0</v>
      </c>
      <c r="Q439" s="1"/>
      <c r="R439" s="1"/>
      <c r="S439" s="1"/>
      <c r="T439" s="8"/>
      <c r="U439" s="8"/>
      <c r="V439" s="1"/>
      <c r="W439" s="1"/>
      <c r="X439" s="1"/>
      <c r="Z439" s="8"/>
    </row>
    <row r="440" spans="1:26" x14ac:dyDescent="0.2">
      <c r="A440" s="12">
        <f t="shared" si="20"/>
        <v>428</v>
      </c>
      <c r="E440" s="10" t="str">
        <f t="shared" si="18"/>
        <v/>
      </c>
      <c r="I440" s="53" t="str">
        <f t="shared" si="19"/>
        <v/>
      </c>
      <c r="N440" s="8">
        <v>0</v>
      </c>
      <c r="Q440" s="1"/>
      <c r="R440" s="1"/>
      <c r="S440" s="1"/>
      <c r="T440" s="8"/>
      <c r="U440" s="8"/>
      <c r="V440" s="1"/>
      <c r="W440" s="1"/>
      <c r="X440" s="1"/>
      <c r="Z440" s="8"/>
    </row>
    <row r="441" spans="1:26" x14ac:dyDescent="0.2">
      <c r="A441" s="12">
        <f t="shared" si="20"/>
        <v>429</v>
      </c>
      <c r="E441" s="10" t="str">
        <f t="shared" si="18"/>
        <v/>
      </c>
      <c r="I441" s="53" t="str">
        <f t="shared" si="19"/>
        <v/>
      </c>
      <c r="N441" s="8">
        <v>0</v>
      </c>
      <c r="Q441" s="1"/>
      <c r="R441" s="1"/>
      <c r="S441" s="1"/>
      <c r="T441" s="8"/>
      <c r="U441" s="8"/>
      <c r="V441" s="1"/>
      <c r="W441" s="1"/>
      <c r="X441" s="1"/>
      <c r="Z441" s="8"/>
    </row>
    <row r="442" spans="1:26" x14ac:dyDescent="0.2">
      <c r="A442" s="12">
        <f t="shared" si="20"/>
        <v>430</v>
      </c>
      <c r="E442" s="10" t="str">
        <f t="shared" si="18"/>
        <v/>
      </c>
      <c r="I442" s="53" t="str">
        <f t="shared" si="19"/>
        <v/>
      </c>
      <c r="N442" s="8">
        <v>0</v>
      </c>
      <c r="Q442" s="1"/>
      <c r="R442" s="1"/>
      <c r="S442" s="1"/>
      <c r="T442" s="8"/>
      <c r="U442" s="8"/>
      <c r="V442" s="1"/>
      <c r="W442" s="1"/>
      <c r="X442" s="1"/>
      <c r="Z442" s="8"/>
    </row>
    <row r="443" spans="1:26" x14ac:dyDescent="0.2">
      <c r="A443" s="12">
        <f t="shared" si="20"/>
        <v>431</v>
      </c>
      <c r="E443" s="10" t="str">
        <f t="shared" si="18"/>
        <v/>
      </c>
      <c r="I443" s="53" t="str">
        <f t="shared" si="19"/>
        <v/>
      </c>
      <c r="N443" s="8">
        <v>0</v>
      </c>
      <c r="Q443" s="1"/>
      <c r="R443" s="1"/>
      <c r="S443" s="1"/>
      <c r="T443" s="8"/>
      <c r="U443" s="8"/>
      <c r="V443" s="1"/>
      <c r="W443" s="1"/>
      <c r="X443" s="1"/>
      <c r="Z443" s="8"/>
    </row>
    <row r="444" spans="1:26" x14ac:dyDescent="0.2">
      <c r="A444" s="12">
        <f t="shared" si="20"/>
        <v>432</v>
      </c>
      <c r="E444" s="10" t="str">
        <f t="shared" si="18"/>
        <v/>
      </c>
      <c r="I444" s="53" t="str">
        <f t="shared" si="19"/>
        <v/>
      </c>
      <c r="N444" s="8">
        <v>0</v>
      </c>
      <c r="Q444" s="1"/>
      <c r="R444" s="1"/>
      <c r="S444" s="1"/>
      <c r="T444" s="8"/>
      <c r="U444" s="8"/>
      <c r="V444" s="1"/>
      <c r="W444" s="1"/>
      <c r="X444" s="1"/>
      <c r="Z444" s="8"/>
    </row>
    <row r="445" spans="1:26" x14ac:dyDescent="0.2">
      <c r="A445" s="12">
        <f t="shared" si="20"/>
        <v>433</v>
      </c>
      <c r="E445" s="10" t="str">
        <f t="shared" si="18"/>
        <v/>
      </c>
      <c r="I445" s="53" t="str">
        <f t="shared" si="19"/>
        <v/>
      </c>
      <c r="N445" s="8">
        <v>0</v>
      </c>
      <c r="Q445" s="1"/>
      <c r="R445" s="1"/>
      <c r="S445" s="1"/>
      <c r="T445" s="8"/>
      <c r="U445" s="8"/>
      <c r="V445" s="1"/>
      <c r="W445" s="1"/>
      <c r="X445" s="1"/>
      <c r="Z445" s="8"/>
    </row>
    <row r="446" spans="1:26" x14ac:dyDescent="0.2">
      <c r="A446" s="12">
        <f t="shared" si="20"/>
        <v>434</v>
      </c>
      <c r="E446" s="10" t="str">
        <f t="shared" si="18"/>
        <v/>
      </c>
      <c r="I446" s="53" t="str">
        <f t="shared" si="19"/>
        <v/>
      </c>
      <c r="N446" s="8">
        <v>0</v>
      </c>
      <c r="Q446" s="1"/>
      <c r="R446" s="1"/>
      <c r="S446" s="1"/>
      <c r="T446" s="8"/>
      <c r="U446" s="8"/>
      <c r="V446" s="1"/>
      <c r="W446" s="1"/>
      <c r="X446" s="1"/>
      <c r="Z446" s="8"/>
    </row>
    <row r="447" spans="1:26" x14ac:dyDescent="0.2">
      <c r="A447" s="12">
        <f t="shared" si="20"/>
        <v>435</v>
      </c>
      <c r="E447" s="10" t="str">
        <f t="shared" si="18"/>
        <v/>
      </c>
      <c r="I447" s="53" t="str">
        <f t="shared" si="19"/>
        <v/>
      </c>
      <c r="N447" s="8">
        <v>0</v>
      </c>
      <c r="Q447" s="1"/>
      <c r="R447" s="1"/>
      <c r="S447" s="1"/>
      <c r="T447" s="8"/>
      <c r="U447" s="8"/>
      <c r="V447" s="1"/>
      <c r="W447" s="1"/>
      <c r="X447" s="1"/>
      <c r="Z447" s="8"/>
    </row>
    <row r="448" spans="1:26" x14ac:dyDescent="0.2">
      <c r="A448" s="12">
        <f t="shared" si="20"/>
        <v>436</v>
      </c>
      <c r="E448" s="10" t="str">
        <f t="shared" si="18"/>
        <v/>
      </c>
      <c r="I448" s="53" t="str">
        <f t="shared" si="19"/>
        <v/>
      </c>
      <c r="N448" s="8">
        <v>0</v>
      </c>
      <c r="Q448" s="1"/>
      <c r="R448" s="1"/>
      <c r="S448" s="1"/>
      <c r="T448" s="8"/>
      <c r="U448" s="8"/>
      <c r="V448" s="1"/>
      <c r="W448" s="1"/>
      <c r="X448" s="1"/>
      <c r="Z448" s="8"/>
    </row>
    <row r="449" spans="1:26" x14ac:dyDescent="0.2">
      <c r="A449" s="12">
        <f t="shared" si="20"/>
        <v>437</v>
      </c>
      <c r="E449" s="10" t="str">
        <f t="shared" si="18"/>
        <v/>
      </c>
      <c r="I449" s="53" t="str">
        <f t="shared" si="19"/>
        <v/>
      </c>
      <c r="N449" s="8">
        <v>0</v>
      </c>
      <c r="Q449" s="1"/>
      <c r="R449" s="1"/>
      <c r="S449" s="1"/>
      <c r="T449" s="8"/>
      <c r="U449" s="8"/>
      <c r="V449" s="1"/>
      <c r="W449" s="1"/>
      <c r="X449" s="1"/>
      <c r="Z449" s="8"/>
    </row>
    <row r="450" spans="1:26" x14ac:dyDescent="0.2">
      <c r="A450" s="12">
        <f t="shared" si="20"/>
        <v>438</v>
      </c>
      <c r="E450" s="10" t="str">
        <f t="shared" si="18"/>
        <v/>
      </c>
      <c r="I450" s="53" t="str">
        <f t="shared" si="19"/>
        <v/>
      </c>
      <c r="N450" s="8">
        <v>0</v>
      </c>
      <c r="Q450" s="1"/>
      <c r="R450" s="1"/>
      <c r="S450" s="1"/>
      <c r="T450" s="8"/>
      <c r="U450" s="8"/>
      <c r="V450" s="1"/>
      <c r="W450" s="1"/>
      <c r="X450" s="1"/>
      <c r="Z450" s="8"/>
    </row>
    <row r="451" spans="1:26" x14ac:dyDescent="0.2">
      <c r="A451" s="12">
        <f t="shared" si="20"/>
        <v>439</v>
      </c>
      <c r="E451" s="10" t="str">
        <f t="shared" si="18"/>
        <v/>
      </c>
      <c r="I451" s="53" t="str">
        <f t="shared" si="19"/>
        <v/>
      </c>
      <c r="N451" s="8">
        <v>0</v>
      </c>
      <c r="Q451" s="1"/>
      <c r="R451" s="1"/>
      <c r="S451" s="1"/>
      <c r="T451" s="8"/>
      <c r="U451" s="8"/>
      <c r="V451" s="1"/>
      <c r="W451" s="1"/>
      <c r="X451" s="1"/>
      <c r="Z451" s="8"/>
    </row>
    <row r="452" spans="1:26" x14ac:dyDescent="0.2">
      <c r="A452" s="12">
        <f t="shared" si="20"/>
        <v>440</v>
      </c>
      <c r="E452" s="10" t="str">
        <f t="shared" si="18"/>
        <v/>
      </c>
      <c r="I452" s="53" t="str">
        <f t="shared" si="19"/>
        <v/>
      </c>
      <c r="N452" s="8">
        <v>0</v>
      </c>
      <c r="Q452" s="1"/>
      <c r="R452" s="1"/>
      <c r="S452" s="1"/>
      <c r="T452" s="8"/>
      <c r="U452" s="8"/>
      <c r="V452" s="1"/>
      <c r="W452" s="1"/>
      <c r="X452" s="1"/>
      <c r="Z452" s="8"/>
    </row>
    <row r="453" spans="1:26" x14ac:dyDescent="0.2">
      <c r="A453" s="12">
        <f t="shared" si="20"/>
        <v>441</v>
      </c>
      <c r="E453" s="10" t="str">
        <f t="shared" si="18"/>
        <v/>
      </c>
      <c r="I453" s="53" t="str">
        <f t="shared" si="19"/>
        <v/>
      </c>
      <c r="N453" s="8">
        <v>0</v>
      </c>
      <c r="Q453" s="1"/>
      <c r="R453" s="1"/>
      <c r="S453" s="1"/>
      <c r="T453" s="8"/>
      <c r="U453" s="8"/>
      <c r="V453" s="1"/>
      <c r="W453" s="1"/>
      <c r="X453" s="1"/>
      <c r="Z453" s="8"/>
    </row>
    <row r="454" spans="1:26" x14ac:dyDescent="0.2">
      <c r="A454" s="12">
        <f t="shared" si="20"/>
        <v>442</v>
      </c>
      <c r="E454" s="10" t="str">
        <f t="shared" si="18"/>
        <v/>
      </c>
      <c r="I454" s="53" t="str">
        <f t="shared" si="19"/>
        <v/>
      </c>
      <c r="N454" s="8">
        <v>0</v>
      </c>
      <c r="Q454" s="1"/>
      <c r="R454" s="1"/>
      <c r="S454" s="1"/>
      <c r="T454" s="8"/>
      <c r="U454" s="8"/>
      <c r="V454" s="1"/>
      <c r="W454" s="1"/>
      <c r="X454" s="1"/>
      <c r="Z454" s="8"/>
    </row>
    <row r="455" spans="1:26" x14ac:dyDescent="0.2">
      <c r="A455" s="12">
        <f t="shared" si="20"/>
        <v>443</v>
      </c>
      <c r="E455" s="10" t="str">
        <f t="shared" si="18"/>
        <v/>
      </c>
      <c r="I455" s="53" t="str">
        <f t="shared" si="19"/>
        <v/>
      </c>
      <c r="N455" s="8">
        <v>0</v>
      </c>
      <c r="Q455" s="1"/>
      <c r="R455" s="1"/>
      <c r="S455" s="1"/>
      <c r="T455" s="8"/>
      <c r="U455" s="8"/>
      <c r="V455" s="1"/>
      <c r="W455" s="1"/>
      <c r="X455" s="1"/>
      <c r="Z455" s="8"/>
    </row>
    <row r="456" spans="1:26" x14ac:dyDescent="0.2">
      <c r="A456" s="12">
        <f t="shared" si="20"/>
        <v>444</v>
      </c>
      <c r="E456" s="10" t="str">
        <f t="shared" si="18"/>
        <v/>
      </c>
      <c r="I456" s="53" t="str">
        <f t="shared" si="19"/>
        <v/>
      </c>
      <c r="N456" s="8">
        <v>0</v>
      </c>
      <c r="Q456" s="1"/>
      <c r="R456" s="1"/>
      <c r="S456" s="1"/>
      <c r="T456" s="8"/>
      <c r="U456" s="8"/>
      <c r="V456" s="1"/>
      <c r="W456" s="1"/>
      <c r="X456" s="1"/>
      <c r="Z456" s="8"/>
    </row>
    <row r="457" spans="1:26" x14ac:dyDescent="0.2">
      <c r="A457" s="12">
        <f t="shared" si="20"/>
        <v>445</v>
      </c>
      <c r="E457" s="10" t="str">
        <f t="shared" si="18"/>
        <v/>
      </c>
      <c r="I457" s="53" t="str">
        <f t="shared" si="19"/>
        <v/>
      </c>
      <c r="N457" s="8">
        <v>0</v>
      </c>
      <c r="Q457" s="1"/>
      <c r="R457" s="1"/>
      <c r="S457" s="1"/>
      <c r="T457" s="8"/>
      <c r="U457" s="8"/>
      <c r="V457" s="1"/>
      <c r="W457" s="1"/>
      <c r="X457" s="1"/>
      <c r="Z457" s="8"/>
    </row>
    <row r="458" spans="1:26" x14ac:dyDescent="0.2">
      <c r="A458" s="12">
        <f t="shared" si="20"/>
        <v>446</v>
      </c>
      <c r="E458" s="10" t="str">
        <f t="shared" si="18"/>
        <v/>
      </c>
      <c r="I458" s="53" t="str">
        <f t="shared" si="19"/>
        <v/>
      </c>
      <c r="N458" s="8">
        <v>0</v>
      </c>
      <c r="Q458" s="1"/>
      <c r="R458" s="1"/>
      <c r="S458" s="1"/>
      <c r="T458" s="8"/>
      <c r="U458" s="8"/>
      <c r="V458" s="1"/>
      <c r="W458" s="1"/>
      <c r="X458" s="1"/>
      <c r="Z458" s="8"/>
    </row>
    <row r="459" spans="1:26" x14ac:dyDescent="0.2">
      <c r="A459" s="12">
        <f t="shared" si="20"/>
        <v>447</v>
      </c>
      <c r="E459" s="10" t="str">
        <f t="shared" si="18"/>
        <v/>
      </c>
      <c r="I459" s="53" t="str">
        <f t="shared" si="19"/>
        <v/>
      </c>
      <c r="N459" s="8">
        <v>0</v>
      </c>
      <c r="Q459" s="1"/>
      <c r="R459" s="1"/>
      <c r="S459" s="1"/>
      <c r="T459" s="8"/>
      <c r="U459" s="8"/>
      <c r="V459" s="1"/>
      <c r="W459" s="1"/>
      <c r="X459" s="1"/>
      <c r="Z459" s="8"/>
    </row>
    <row r="460" spans="1:26" x14ac:dyDescent="0.2">
      <c r="A460" s="12">
        <f t="shared" si="20"/>
        <v>448</v>
      </c>
      <c r="E460" s="10" t="str">
        <f t="shared" si="18"/>
        <v/>
      </c>
      <c r="I460" s="53" t="str">
        <f t="shared" si="19"/>
        <v/>
      </c>
      <c r="N460" s="8">
        <v>0</v>
      </c>
      <c r="Q460" s="1"/>
      <c r="R460" s="1"/>
      <c r="S460" s="1"/>
      <c r="T460" s="8"/>
      <c r="U460" s="8"/>
      <c r="V460" s="1"/>
      <c r="W460" s="1"/>
      <c r="X460" s="1"/>
      <c r="Z460" s="8"/>
    </row>
    <row r="461" spans="1:26" x14ac:dyDescent="0.2">
      <c r="A461" s="12">
        <f t="shared" si="20"/>
        <v>449</v>
      </c>
      <c r="E461" s="10" t="str">
        <f t="shared" ref="E461:E524" si="21">IF($C$8&gt;=A461,$E$1&amp;" "&amp;A461,"")</f>
        <v/>
      </c>
      <c r="I461" s="53" t="str">
        <f t="shared" si="19"/>
        <v/>
      </c>
      <c r="N461" s="8">
        <v>0</v>
      </c>
      <c r="Q461" s="1"/>
      <c r="R461" s="1"/>
      <c r="S461" s="1"/>
      <c r="T461" s="8"/>
      <c r="U461" s="8"/>
      <c r="V461" s="1"/>
      <c r="W461" s="1"/>
      <c r="X461" s="1"/>
      <c r="Z461" s="8"/>
    </row>
    <row r="462" spans="1:26" x14ac:dyDescent="0.2">
      <c r="A462" s="12">
        <f t="shared" si="20"/>
        <v>450</v>
      </c>
      <c r="E462" s="10" t="str">
        <f t="shared" si="21"/>
        <v/>
      </c>
      <c r="I462" s="53" t="str">
        <f t="shared" ref="I462:I525" si="22">IF(E462="","",F462-G462-H462)</f>
        <v/>
      </c>
      <c r="N462" s="8">
        <v>0</v>
      </c>
      <c r="Q462" s="1"/>
      <c r="R462" s="1"/>
      <c r="S462" s="1"/>
      <c r="T462" s="8"/>
      <c r="U462" s="8"/>
      <c r="V462" s="1"/>
      <c r="W462" s="1"/>
      <c r="X462" s="1"/>
      <c r="Z462" s="8"/>
    </row>
    <row r="463" spans="1:26" x14ac:dyDescent="0.2">
      <c r="A463" s="12">
        <f t="shared" ref="A463:A526" si="23">A462+1</f>
        <v>451</v>
      </c>
      <c r="E463" s="10" t="str">
        <f t="shared" si="21"/>
        <v/>
      </c>
      <c r="I463" s="53" t="str">
        <f t="shared" si="22"/>
        <v/>
      </c>
      <c r="N463" s="8">
        <v>0</v>
      </c>
      <c r="Q463" s="1"/>
      <c r="R463" s="1"/>
      <c r="S463" s="1"/>
      <c r="T463" s="8"/>
      <c r="U463" s="8"/>
      <c r="V463" s="1"/>
      <c r="W463" s="1"/>
      <c r="X463" s="1"/>
      <c r="Z463" s="8"/>
    </row>
    <row r="464" spans="1:26" x14ac:dyDescent="0.2">
      <c r="A464" s="12">
        <f t="shared" si="23"/>
        <v>452</v>
      </c>
      <c r="E464" s="10" t="str">
        <f t="shared" si="21"/>
        <v/>
      </c>
      <c r="I464" s="53" t="str">
        <f t="shared" si="22"/>
        <v/>
      </c>
      <c r="N464" s="8">
        <v>0</v>
      </c>
      <c r="Q464" s="1"/>
      <c r="R464" s="1"/>
      <c r="S464" s="1"/>
      <c r="T464" s="8"/>
      <c r="U464" s="8"/>
      <c r="V464" s="1"/>
      <c r="W464" s="1"/>
      <c r="X464" s="1"/>
      <c r="Z464" s="8"/>
    </row>
    <row r="465" spans="1:26" x14ac:dyDescent="0.2">
      <c r="A465" s="12">
        <f t="shared" si="23"/>
        <v>453</v>
      </c>
      <c r="E465" s="10" t="str">
        <f t="shared" si="21"/>
        <v/>
      </c>
      <c r="I465" s="53" t="str">
        <f t="shared" si="22"/>
        <v/>
      </c>
      <c r="N465" s="8">
        <v>0</v>
      </c>
      <c r="Q465" s="1"/>
      <c r="R465" s="1"/>
      <c r="S465" s="1"/>
      <c r="T465" s="8"/>
      <c r="U465" s="8"/>
      <c r="V465" s="1"/>
      <c r="W465" s="1"/>
      <c r="X465" s="1"/>
      <c r="Z465" s="8"/>
    </row>
    <row r="466" spans="1:26" x14ac:dyDescent="0.2">
      <c r="A466" s="12">
        <f t="shared" si="23"/>
        <v>454</v>
      </c>
      <c r="E466" s="10" t="str">
        <f t="shared" si="21"/>
        <v/>
      </c>
      <c r="I466" s="53" t="str">
        <f t="shared" si="22"/>
        <v/>
      </c>
      <c r="N466" s="8">
        <v>0</v>
      </c>
      <c r="Q466" s="1"/>
      <c r="R466" s="1"/>
      <c r="S466" s="1"/>
      <c r="T466" s="8"/>
      <c r="U466" s="8"/>
      <c r="V466" s="1"/>
      <c r="W466" s="1"/>
      <c r="X466" s="1"/>
      <c r="Z466" s="8"/>
    </row>
    <row r="467" spans="1:26" x14ac:dyDescent="0.2">
      <c r="A467" s="12">
        <f t="shared" si="23"/>
        <v>455</v>
      </c>
      <c r="E467" s="10" t="str">
        <f t="shared" si="21"/>
        <v/>
      </c>
      <c r="I467" s="53" t="str">
        <f t="shared" si="22"/>
        <v/>
      </c>
      <c r="N467" s="8">
        <v>0</v>
      </c>
      <c r="Q467" s="1"/>
      <c r="R467" s="1"/>
      <c r="S467" s="1"/>
      <c r="T467" s="8"/>
      <c r="U467" s="8"/>
      <c r="V467" s="1"/>
      <c r="W467" s="1"/>
      <c r="X467" s="1"/>
      <c r="Z467" s="8"/>
    </row>
    <row r="468" spans="1:26" x14ac:dyDescent="0.2">
      <c r="A468" s="12">
        <f t="shared" si="23"/>
        <v>456</v>
      </c>
      <c r="E468" s="10" t="str">
        <f t="shared" si="21"/>
        <v/>
      </c>
      <c r="I468" s="53" t="str">
        <f t="shared" si="22"/>
        <v/>
      </c>
      <c r="N468" s="8">
        <v>0</v>
      </c>
      <c r="Q468" s="1"/>
      <c r="R468" s="1"/>
      <c r="S468" s="1"/>
      <c r="T468" s="8"/>
      <c r="U468" s="8"/>
      <c r="V468" s="1"/>
      <c r="W468" s="1"/>
      <c r="X468" s="1"/>
      <c r="Z468" s="8"/>
    </row>
    <row r="469" spans="1:26" x14ac:dyDescent="0.2">
      <c r="A469" s="12">
        <f t="shared" si="23"/>
        <v>457</v>
      </c>
      <c r="E469" s="10" t="str">
        <f t="shared" si="21"/>
        <v/>
      </c>
      <c r="I469" s="53" t="str">
        <f t="shared" si="22"/>
        <v/>
      </c>
      <c r="N469" s="8">
        <v>0</v>
      </c>
      <c r="Q469" s="1"/>
      <c r="R469" s="1"/>
      <c r="S469" s="1"/>
      <c r="T469" s="8"/>
      <c r="U469" s="8"/>
      <c r="V469" s="1"/>
      <c r="W469" s="1"/>
      <c r="X469" s="1"/>
      <c r="Z469" s="8"/>
    </row>
    <row r="470" spans="1:26" x14ac:dyDescent="0.2">
      <c r="A470" s="12">
        <f t="shared" si="23"/>
        <v>458</v>
      </c>
      <c r="E470" s="10" t="str">
        <f t="shared" si="21"/>
        <v/>
      </c>
      <c r="I470" s="53" t="str">
        <f t="shared" si="22"/>
        <v/>
      </c>
      <c r="N470" s="8">
        <v>0</v>
      </c>
      <c r="Q470" s="1"/>
      <c r="R470" s="1"/>
      <c r="S470" s="1"/>
      <c r="T470" s="8"/>
      <c r="U470" s="8"/>
      <c r="V470" s="1"/>
      <c r="W470" s="1"/>
      <c r="X470" s="1"/>
      <c r="Z470" s="8"/>
    </row>
    <row r="471" spans="1:26" x14ac:dyDescent="0.2">
      <c r="A471" s="12">
        <f t="shared" si="23"/>
        <v>459</v>
      </c>
      <c r="E471" s="10" t="str">
        <f t="shared" si="21"/>
        <v/>
      </c>
      <c r="I471" s="53" t="str">
        <f t="shared" si="22"/>
        <v/>
      </c>
      <c r="N471" s="8">
        <v>0</v>
      </c>
      <c r="Q471" s="1"/>
      <c r="R471" s="1"/>
      <c r="S471" s="1"/>
      <c r="T471" s="8"/>
      <c r="U471" s="8"/>
      <c r="V471" s="1"/>
      <c r="W471" s="1"/>
      <c r="X471" s="1"/>
      <c r="Z471" s="8"/>
    </row>
    <row r="472" spans="1:26" x14ac:dyDescent="0.2">
      <c r="A472" s="12">
        <f t="shared" si="23"/>
        <v>460</v>
      </c>
      <c r="E472" s="10" t="str">
        <f t="shared" si="21"/>
        <v/>
      </c>
      <c r="I472" s="53" t="str">
        <f t="shared" si="22"/>
        <v/>
      </c>
      <c r="N472" s="8">
        <v>0</v>
      </c>
      <c r="Q472" s="1"/>
      <c r="R472" s="1"/>
      <c r="S472" s="1"/>
      <c r="T472" s="8"/>
      <c r="U472" s="8"/>
      <c r="V472" s="1"/>
      <c r="W472" s="1"/>
      <c r="X472" s="1"/>
      <c r="Z472" s="8"/>
    </row>
    <row r="473" spans="1:26" x14ac:dyDescent="0.2">
      <c r="A473" s="12">
        <f t="shared" si="23"/>
        <v>461</v>
      </c>
      <c r="E473" s="10" t="str">
        <f t="shared" si="21"/>
        <v/>
      </c>
      <c r="I473" s="53" t="str">
        <f t="shared" si="22"/>
        <v/>
      </c>
      <c r="N473" s="8">
        <v>0</v>
      </c>
      <c r="Q473" s="1"/>
      <c r="R473" s="1"/>
      <c r="S473" s="1"/>
      <c r="T473" s="8"/>
      <c r="U473" s="8"/>
      <c r="V473" s="1"/>
      <c r="W473" s="1"/>
      <c r="X473" s="1"/>
      <c r="Z473" s="8"/>
    </row>
    <row r="474" spans="1:26" x14ac:dyDescent="0.2">
      <c r="A474" s="12">
        <f t="shared" si="23"/>
        <v>462</v>
      </c>
      <c r="E474" s="10" t="str">
        <f t="shared" si="21"/>
        <v/>
      </c>
      <c r="I474" s="53" t="str">
        <f t="shared" si="22"/>
        <v/>
      </c>
      <c r="N474" s="8">
        <v>0</v>
      </c>
      <c r="Q474" s="1"/>
      <c r="R474" s="1"/>
      <c r="S474" s="1"/>
      <c r="T474" s="8"/>
      <c r="U474" s="8"/>
      <c r="V474" s="1"/>
      <c r="W474" s="1"/>
      <c r="X474" s="1"/>
      <c r="Z474" s="8"/>
    </row>
    <row r="475" spans="1:26" x14ac:dyDescent="0.2">
      <c r="A475" s="12">
        <f t="shared" si="23"/>
        <v>463</v>
      </c>
      <c r="E475" s="10" t="str">
        <f t="shared" si="21"/>
        <v/>
      </c>
      <c r="I475" s="53" t="str">
        <f t="shared" si="22"/>
        <v/>
      </c>
      <c r="N475" s="8">
        <v>0</v>
      </c>
      <c r="Q475" s="1"/>
      <c r="R475" s="1"/>
      <c r="S475" s="1"/>
      <c r="T475" s="8"/>
      <c r="U475" s="8"/>
      <c r="V475" s="1"/>
      <c r="W475" s="1"/>
      <c r="X475" s="1"/>
      <c r="Z475" s="8"/>
    </row>
    <row r="476" spans="1:26" x14ac:dyDescent="0.2">
      <c r="A476" s="12">
        <f t="shared" si="23"/>
        <v>464</v>
      </c>
      <c r="E476" s="10" t="str">
        <f t="shared" si="21"/>
        <v/>
      </c>
      <c r="I476" s="53" t="str">
        <f t="shared" si="22"/>
        <v/>
      </c>
      <c r="N476" s="8">
        <v>0</v>
      </c>
      <c r="Q476" s="1"/>
      <c r="R476" s="1"/>
      <c r="S476" s="1"/>
      <c r="T476" s="8"/>
      <c r="U476" s="8"/>
      <c r="V476" s="1"/>
      <c r="W476" s="1"/>
      <c r="X476" s="1"/>
      <c r="Z476" s="8"/>
    </row>
    <row r="477" spans="1:26" x14ac:dyDescent="0.2">
      <c r="A477" s="12">
        <f t="shared" si="23"/>
        <v>465</v>
      </c>
      <c r="E477" s="10" t="str">
        <f t="shared" si="21"/>
        <v/>
      </c>
      <c r="I477" s="53" t="str">
        <f t="shared" si="22"/>
        <v/>
      </c>
      <c r="N477" s="8">
        <v>0</v>
      </c>
      <c r="Q477" s="1"/>
      <c r="R477" s="1"/>
      <c r="S477" s="1"/>
      <c r="T477" s="8"/>
      <c r="U477" s="8"/>
      <c r="V477" s="1"/>
      <c r="W477" s="1"/>
      <c r="X477" s="1"/>
      <c r="Z477" s="8"/>
    </row>
    <row r="478" spans="1:26" x14ac:dyDescent="0.2">
      <c r="A478" s="12">
        <f t="shared" si="23"/>
        <v>466</v>
      </c>
      <c r="E478" s="10" t="str">
        <f t="shared" si="21"/>
        <v/>
      </c>
      <c r="I478" s="53" t="str">
        <f t="shared" si="22"/>
        <v/>
      </c>
      <c r="N478" s="8">
        <v>0</v>
      </c>
      <c r="Q478" s="1"/>
      <c r="R478" s="1"/>
      <c r="S478" s="1"/>
      <c r="T478" s="8"/>
      <c r="U478" s="8"/>
      <c r="V478" s="1"/>
      <c r="W478" s="1"/>
      <c r="X478" s="1"/>
      <c r="Z478" s="8"/>
    </row>
    <row r="479" spans="1:26" x14ac:dyDescent="0.2">
      <c r="A479" s="12">
        <f t="shared" si="23"/>
        <v>467</v>
      </c>
      <c r="E479" s="10" t="str">
        <f t="shared" si="21"/>
        <v/>
      </c>
      <c r="I479" s="53" t="str">
        <f t="shared" si="22"/>
        <v/>
      </c>
      <c r="N479" s="8">
        <v>0</v>
      </c>
      <c r="Q479" s="1"/>
      <c r="R479" s="1"/>
      <c r="S479" s="1"/>
      <c r="T479" s="8"/>
      <c r="U479" s="8"/>
      <c r="V479" s="1"/>
      <c r="W479" s="1"/>
      <c r="X479" s="1"/>
      <c r="Z479" s="8"/>
    </row>
    <row r="480" spans="1:26" x14ac:dyDescent="0.2">
      <c r="A480" s="12">
        <f t="shared" si="23"/>
        <v>468</v>
      </c>
      <c r="E480" s="10" t="str">
        <f t="shared" si="21"/>
        <v/>
      </c>
      <c r="I480" s="53" t="str">
        <f t="shared" si="22"/>
        <v/>
      </c>
      <c r="N480" s="8">
        <v>0</v>
      </c>
      <c r="Q480" s="1"/>
      <c r="R480" s="1"/>
      <c r="S480" s="1"/>
      <c r="T480" s="8"/>
      <c r="U480" s="8"/>
      <c r="V480" s="1"/>
      <c r="W480" s="1"/>
      <c r="X480" s="1"/>
      <c r="Z480" s="8"/>
    </row>
    <row r="481" spans="1:26" x14ac:dyDescent="0.2">
      <c r="A481" s="12">
        <f t="shared" si="23"/>
        <v>469</v>
      </c>
      <c r="E481" s="10" t="str">
        <f t="shared" si="21"/>
        <v/>
      </c>
      <c r="I481" s="53" t="str">
        <f t="shared" si="22"/>
        <v/>
      </c>
      <c r="N481" s="8">
        <v>0</v>
      </c>
      <c r="Q481" s="1"/>
      <c r="R481" s="1"/>
      <c r="S481" s="1"/>
      <c r="T481" s="8"/>
      <c r="U481" s="8"/>
      <c r="V481" s="1"/>
      <c r="W481" s="1"/>
      <c r="X481" s="1"/>
      <c r="Z481" s="8"/>
    </row>
    <row r="482" spans="1:26" x14ac:dyDescent="0.2">
      <c r="A482" s="12">
        <f t="shared" si="23"/>
        <v>470</v>
      </c>
      <c r="E482" s="10" t="str">
        <f t="shared" si="21"/>
        <v/>
      </c>
      <c r="I482" s="53" t="str">
        <f t="shared" si="22"/>
        <v/>
      </c>
      <c r="N482" s="8">
        <v>0</v>
      </c>
      <c r="Q482" s="1"/>
      <c r="R482" s="1"/>
      <c r="S482" s="1"/>
      <c r="T482" s="8"/>
      <c r="U482" s="8"/>
      <c r="V482" s="1"/>
      <c r="W482" s="1"/>
      <c r="X482" s="1"/>
      <c r="Z482" s="8"/>
    </row>
    <row r="483" spans="1:26" x14ac:dyDescent="0.2">
      <c r="A483" s="12">
        <f t="shared" si="23"/>
        <v>471</v>
      </c>
      <c r="E483" s="10" t="str">
        <f t="shared" si="21"/>
        <v/>
      </c>
      <c r="I483" s="53" t="str">
        <f t="shared" si="22"/>
        <v/>
      </c>
      <c r="N483" s="8">
        <v>0</v>
      </c>
      <c r="Q483" s="1"/>
      <c r="R483" s="1"/>
      <c r="S483" s="1"/>
      <c r="T483" s="8"/>
      <c r="U483" s="8"/>
      <c r="V483" s="1"/>
      <c r="W483" s="1"/>
      <c r="X483" s="1"/>
      <c r="Z483" s="8"/>
    </row>
    <row r="484" spans="1:26" x14ac:dyDescent="0.2">
      <c r="A484" s="12">
        <f t="shared" si="23"/>
        <v>472</v>
      </c>
      <c r="E484" s="10" t="str">
        <f t="shared" si="21"/>
        <v/>
      </c>
      <c r="I484" s="53" t="str">
        <f t="shared" si="22"/>
        <v/>
      </c>
      <c r="N484" s="8">
        <v>0</v>
      </c>
      <c r="Q484" s="1"/>
      <c r="R484" s="1"/>
      <c r="S484" s="1"/>
      <c r="T484" s="8"/>
      <c r="U484" s="8"/>
      <c r="V484" s="1"/>
      <c r="W484" s="1"/>
      <c r="X484" s="1"/>
      <c r="Z484" s="8"/>
    </row>
    <row r="485" spans="1:26" x14ac:dyDescent="0.2">
      <c r="A485" s="12">
        <f t="shared" si="23"/>
        <v>473</v>
      </c>
      <c r="E485" s="10" t="str">
        <f t="shared" si="21"/>
        <v/>
      </c>
      <c r="I485" s="53" t="str">
        <f t="shared" si="22"/>
        <v/>
      </c>
      <c r="N485" s="8">
        <v>0</v>
      </c>
      <c r="Q485" s="1"/>
      <c r="R485" s="1"/>
      <c r="S485" s="1"/>
      <c r="T485" s="8"/>
      <c r="U485" s="8"/>
      <c r="V485" s="1"/>
      <c r="W485" s="1"/>
      <c r="X485" s="1"/>
      <c r="Z485" s="8"/>
    </row>
    <row r="486" spans="1:26" x14ac:dyDescent="0.2">
      <c r="A486" s="12">
        <f t="shared" si="23"/>
        <v>474</v>
      </c>
      <c r="E486" s="10" t="str">
        <f t="shared" si="21"/>
        <v/>
      </c>
      <c r="I486" s="53" t="str">
        <f t="shared" si="22"/>
        <v/>
      </c>
      <c r="N486" s="8">
        <v>0</v>
      </c>
      <c r="Q486" s="1"/>
      <c r="R486" s="1"/>
      <c r="S486" s="1"/>
      <c r="T486" s="8"/>
      <c r="U486" s="8"/>
      <c r="V486" s="1"/>
      <c r="W486" s="1"/>
      <c r="X486" s="1"/>
      <c r="Z486" s="8"/>
    </row>
    <row r="487" spans="1:26" x14ac:dyDescent="0.2">
      <c r="A487" s="12">
        <f t="shared" si="23"/>
        <v>475</v>
      </c>
      <c r="E487" s="10" t="str">
        <f t="shared" si="21"/>
        <v/>
      </c>
      <c r="I487" s="53" t="str">
        <f t="shared" si="22"/>
        <v/>
      </c>
      <c r="N487" s="8">
        <v>0</v>
      </c>
      <c r="Q487" s="1"/>
      <c r="R487" s="1"/>
      <c r="S487" s="1"/>
      <c r="T487" s="8"/>
      <c r="U487" s="8"/>
      <c r="V487" s="1"/>
      <c r="W487" s="1"/>
      <c r="X487" s="1"/>
      <c r="Z487" s="8"/>
    </row>
    <row r="488" spans="1:26" x14ac:dyDescent="0.2">
      <c r="A488" s="12">
        <f t="shared" si="23"/>
        <v>476</v>
      </c>
      <c r="E488" s="10" t="str">
        <f t="shared" si="21"/>
        <v/>
      </c>
      <c r="I488" s="53" t="str">
        <f t="shared" si="22"/>
        <v/>
      </c>
      <c r="N488" s="8">
        <v>0</v>
      </c>
      <c r="Q488" s="1"/>
      <c r="R488" s="1"/>
      <c r="S488" s="1"/>
      <c r="T488" s="8"/>
      <c r="U488" s="8"/>
      <c r="V488" s="1"/>
      <c r="W488" s="1"/>
      <c r="X488" s="1"/>
      <c r="Z488" s="8"/>
    </row>
    <row r="489" spans="1:26" x14ac:dyDescent="0.2">
      <c r="A489" s="12">
        <f t="shared" si="23"/>
        <v>477</v>
      </c>
      <c r="E489" s="10" t="str">
        <f t="shared" si="21"/>
        <v/>
      </c>
      <c r="I489" s="53" t="str">
        <f t="shared" si="22"/>
        <v/>
      </c>
      <c r="N489" s="8">
        <v>0</v>
      </c>
      <c r="Q489" s="1"/>
      <c r="R489" s="1"/>
      <c r="S489" s="1"/>
      <c r="T489" s="8"/>
      <c r="U489" s="8"/>
      <c r="V489" s="1"/>
      <c r="W489" s="1"/>
      <c r="X489" s="1"/>
      <c r="Z489" s="8"/>
    </row>
    <row r="490" spans="1:26" x14ac:dyDescent="0.2">
      <c r="A490" s="12">
        <f t="shared" si="23"/>
        <v>478</v>
      </c>
      <c r="E490" s="10" t="str">
        <f t="shared" si="21"/>
        <v/>
      </c>
      <c r="I490" s="53" t="str">
        <f t="shared" si="22"/>
        <v/>
      </c>
      <c r="N490" s="8">
        <v>0</v>
      </c>
      <c r="Q490" s="1"/>
      <c r="R490" s="1"/>
      <c r="S490" s="1"/>
      <c r="T490" s="8"/>
      <c r="U490" s="8"/>
      <c r="V490" s="1"/>
      <c r="W490" s="1"/>
      <c r="X490" s="1"/>
      <c r="Z490" s="8"/>
    </row>
    <row r="491" spans="1:26" x14ac:dyDescent="0.2">
      <c r="A491" s="12">
        <f t="shared" si="23"/>
        <v>479</v>
      </c>
      <c r="E491" s="10" t="str">
        <f t="shared" si="21"/>
        <v/>
      </c>
      <c r="I491" s="53" t="str">
        <f t="shared" si="22"/>
        <v/>
      </c>
      <c r="N491" s="8">
        <v>0</v>
      </c>
      <c r="Q491" s="1"/>
      <c r="R491" s="1"/>
      <c r="S491" s="1"/>
      <c r="T491" s="8"/>
      <c r="U491" s="8"/>
      <c r="V491" s="1"/>
      <c r="W491" s="1"/>
      <c r="X491" s="1"/>
      <c r="Z491" s="8"/>
    </row>
    <row r="492" spans="1:26" x14ac:dyDescent="0.2">
      <c r="A492" s="12">
        <f t="shared" si="23"/>
        <v>480</v>
      </c>
      <c r="E492" s="10" t="str">
        <f t="shared" si="21"/>
        <v/>
      </c>
      <c r="I492" s="53" t="str">
        <f t="shared" si="22"/>
        <v/>
      </c>
      <c r="N492" s="8">
        <v>0</v>
      </c>
      <c r="Q492" s="1"/>
      <c r="R492" s="1"/>
      <c r="S492" s="1"/>
      <c r="T492" s="8"/>
      <c r="U492" s="8"/>
      <c r="V492" s="1"/>
      <c r="W492" s="1"/>
      <c r="X492" s="1"/>
      <c r="Z492" s="8"/>
    </row>
    <row r="493" spans="1:26" x14ac:dyDescent="0.2">
      <c r="A493" s="12">
        <f t="shared" si="23"/>
        <v>481</v>
      </c>
      <c r="E493" s="10" t="str">
        <f t="shared" si="21"/>
        <v/>
      </c>
      <c r="I493" s="53" t="str">
        <f t="shared" si="22"/>
        <v/>
      </c>
      <c r="N493" s="8">
        <v>0</v>
      </c>
      <c r="Q493" s="1"/>
      <c r="R493" s="1"/>
      <c r="S493" s="1"/>
      <c r="T493" s="8"/>
      <c r="U493" s="8"/>
      <c r="V493" s="1"/>
      <c r="W493" s="1"/>
      <c r="X493" s="1"/>
      <c r="Z493" s="8"/>
    </row>
    <row r="494" spans="1:26" x14ac:dyDescent="0.2">
      <c r="A494" s="12">
        <f t="shared" si="23"/>
        <v>482</v>
      </c>
      <c r="E494" s="10" t="str">
        <f t="shared" si="21"/>
        <v/>
      </c>
      <c r="I494" s="53" t="str">
        <f t="shared" si="22"/>
        <v/>
      </c>
      <c r="N494" s="8">
        <v>0</v>
      </c>
      <c r="Q494" s="1"/>
      <c r="R494" s="1"/>
      <c r="S494" s="1"/>
      <c r="T494" s="8"/>
      <c r="U494" s="8"/>
      <c r="V494" s="1"/>
      <c r="W494" s="1"/>
      <c r="X494" s="1"/>
      <c r="Z494" s="8"/>
    </row>
    <row r="495" spans="1:26" x14ac:dyDescent="0.2">
      <c r="A495" s="12">
        <f t="shared" si="23"/>
        <v>483</v>
      </c>
      <c r="E495" s="10" t="str">
        <f t="shared" si="21"/>
        <v/>
      </c>
      <c r="I495" s="53" t="str">
        <f t="shared" si="22"/>
        <v/>
      </c>
      <c r="N495" s="8">
        <v>0</v>
      </c>
      <c r="Q495" s="1"/>
      <c r="R495" s="1"/>
      <c r="S495" s="1"/>
      <c r="T495" s="8"/>
      <c r="U495" s="8"/>
      <c r="V495" s="1"/>
      <c r="W495" s="1"/>
      <c r="X495" s="1"/>
      <c r="Z495" s="8"/>
    </row>
    <row r="496" spans="1:26" x14ac:dyDescent="0.2">
      <c r="A496" s="12">
        <f t="shared" si="23"/>
        <v>484</v>
      </c>
      <c r="E496" s="10" t="str">
        <f t="shared" si="21"/>
        <v/>
      </c>
      <c r="I496" s="53" t="str">
        <f t="shared" si="22"/>
        <v/>
      </c>
      <c r="N496" s="8">
        <v>0</v>
      </c>
      <c r="Q496" s="1"/>
      <c r="R496" s="1"/>
      <c r="S496" s="1"/>
      <c r="T496" s="8"/>
      <c r="U496" s="8"/>
      <c r="V496" s="1"/>
      <c r="W496" s="1"/>
      <c r="X496" s="1"/>
      <c r="Z496" s="8"/>
    </row>
    <row r="497" spans="1:26" x14ac:dyDescent="0.2">
      <c r="A497" s="12">
        <f t="shared" si="23"/>
        <v>485</v>
      </c>
      <c r="E497" s="10" t="str">
        <f t="shared" si="21"/>
        <v/>
      </c>
      <c r="I497" s="53" t="str">
        <f t="shared" si="22"/>
        <v/>
      </c>
      <c r="N497" s="8">
        <v>0</v>
      </c>
      <c r="Q497" s="1"/>
      <c r="R497" s="1"/>
      <c r="S497" s="1"/>
      <c r="T497" s="8"/>
      <c r="U497" s="8"/>
      <c r="V497" s="1"/>
      <c r="W497" s="1"/>
      <c r="X497" s="1"/>
      <c r="Z497" s="8"/>
    </row>
    <row r="498" spans="1:26" x14ac:dyDescent="0.2">
      <c r="A498" s="12">
        <f t="shared" si="23"/>
        <v>486</v>
      </c>
      <c r="E498" s="10" t="str">
        <f t="shared" si="21"/>
        <v/>
      </c>
      <c r="I498" s="53" t="str">
        <f t="shared" si="22"/>
        <v/>
      </c>
      <c r="N498" s="8">
        <v>0</v>
      </c>
      <c r="Q498" s="1"/>
      <c r="R498" s="1"/>
      <c r="S498" s="1"/>
      <c r="T498" s="8"/>
      <c r="U498" s="8"/>
      <c r="V498" s="1"/>
      <c r="W498" s="1"/>
      <c r="X498" s="1"/>
      <c r="Z498" s="8"/>
    </row>
    <row r="499" spans="1:26" x14ac:dyDescent="0.2">
      <c r="A499" s="12">
        <f t="shared" si="23"/>
        <v>487</v>
      </c>
      <c r="E499" s="10" t="str">
        <f t="shared" si="21"/>
        <v/>
      </c>
      <c r="I499" s="53" t="str">
        <f t="shared" si="22"/>
        <v/>
      </c>
      <c r="N499" s="8">
        <v>0</v>
      </c>
      <c r="Q499" s="1"/>
      <c r="R499" s="1"/>
      <c r="S499" s="1"/>
      <c r="T499" s="8"/>
      <c r="U499" s="8"/>
      <c r="V499" s="1"/>
      <c r="W499" s="1"/>
      <c r="X499" s="1"/>
      <c r="Z499" s="8"/>
    </row>
    <row r="500" spans="1:26" x14ac:dyDescent="0.2">
      <c r="A500" s="12">
        <f t="shared" si="23"/>
        <v>488</v>
      </c>
      <c r="E500" s="10" t="str">
        <f t="shared" si="21"/>
        <v/>
      </c>
      <c r="I500" s="53" t="str">
        <f t="shared" si="22"/>
        <v/>
      </c>
      <c r="N500" s="8">
        <v>0</v>
      </c>
      <c r="Q500" s="1"/>
      <c r="R500" s="1"/>
      <c r="S500" s="1"/>
      <c r="T500" s="8"/>
      <c r="U500" s="8"/>
      <c r="V500" s="1"/>
      <c r="W500" s="1"/>
      <c r="X500" s="1"/>
      <c r="Z500" s="8"/>
    </row>
    <row r="501" spans="1:26" x14ac:dyDescent="0.2">
      <c r="A501" s="12">
        <f t="shared" si="23"/>
        <v>489</v>
      </c>
      <c r="E501" s="10" t="str">
        <f t="shared" si="21"/>
        <v/>
      </c>
      <c r="I501" s="53" t="str">
        <f t="shared" si="22"/>
        <v/>
      </c>
      <c r="N501" s="8">
        <v>0</v>
      </c>
      <c r="Q501" s="1"/>
      <c r="R501" s="1"/>
      <c r="S501" s="1"/>
      <c r="T501" s="8"/>
      <c r="U501" s="8"/>
      <c r="V501" s="1"/>
      <c r="W501" s="1"/>
      <c r="X501" s="1"/>
      <c r="Z501" s="8"/>
    </row>
    <row r="502" spans="1:26" x14ac:dyDescent="0.2">
      <c r="A502" s="12">
        <f t="shared" si="23"/>
        <v>490</v>
      </c>
      <c r="E502" s="10" t="str">
        <f t="shared" si="21"/>
        <v/>
      </c>
      <c r="I502" s="53" t="str">
        <f t="shared" si="22"/>
        <v/>
      </c>
      <c r="N502" s="8">
        <v>0</v>
      </c>
      <c r="Q502" s="1"/>
      <c r="R502" s="1"/>
      <c r="S502" s="1"/>
      <c r="T502" s="8"/>
      <c r="U502" s="8"/>
      <c r="V502" s="1"/>
      <c r="W502" s="1"/>
      <c r="X502" s="1"/>
      <c r="Z502" s="8"/>
    </row>
    <row r="503" spans="1:26" x14ac:dyDescent="0.2">
      <c r="A503" s="12">
        <f t="shared" si="23"/>
        <v>491</v>
      </c>
      <c r="E503" s="10" t="str">
        <f t="shared" si="21"/>
        <v/>
      </c>
      <c r="I503" s="53" t="str">
        <f t="shared" si="22"/>
        <v/>
      </c>
      <c r="N503" s="8">
        <v>0</v>
      </c>
      <c r="Q503" s="1"/>
      <c r="R503" s="1"/>
      <c r="S503" s="1"/>
      <c r="T503" s="8"/>
      <c r="U503" s="8"/>
      <c r="V503" s="1"/>
      <c r="W503" s="1"/>
      <c r="X503" s="1"/>
      <c r="Z503" s="8"/>
    </row>
    <row r="504" spans="1:26" x14ac:dyDescent="0.2">
      <c r="A504" s="12">
        <f t="shared" si="23"/>
        <v>492</v>
      </c>
      <c r="E504" s="10" t="str">
        <f t="shared" si="21"/>
        <v/>
      </c>
      <c r="I504" s="53" t="str">
        <f t="shared" si="22"/>
        <v/>
      </c>
      <c r="N504" s="8">
        <v>0</v>
      </c>
      <c r="Q504" s="1"/>
      <c r="R504" s="1"/>
      <c r="S504" s="1"/>
      <c r="T504" s="8"/>
      <c r="U504" s="8"/>
      <c r="V504" s="1"/>
      <c r="W504" s="1"/>
      <c r="X504" s="1"/>
      <c r="Z504" s="8"/>
    </row>
    <row r="505" spans="1:26" x14ac:dyDescent="0.2">
      <c r="A505" s="12">
        <f t="shared" si="23"/>
        <v>493</v>
      </c>
      <c r="E505" s="10" t="str">
        <f t="shared" si="21"/>
        <v/>
      </c>
      <c r="I505" s="53" t="str">
        <f t="shared" si="22"/>
        <v/>
      </c>
      <c r="N505" s="8">
        <v>0</v>
      </c>
      <c r="Q505" s="1"/>
      <c r="R505" s="1"/>
      <c r="S505" s="1"/>
      <c r="T505" s="8"/>
      <c r="U505" s="8"/>
      <c r="V505" s="1"/>
      <c r="W505" s="1"/>
      <c r="X505" s="1"/>
      <c r="Z505" s="8"/>
    </row>
    <row r="506" spans="1:26" x14ac:dyDescent="0.2">
      <c r="A506" s="12">
        <f t="shared" si="23"/>
        <v>494</v>
      </c>
      <c r="E506" s="10" t="str">
        <f t="shared" si="21"/>
        <v/>
      </c>
      <c r="I506" s="53" t="str">
        <f t="shared" si="22"/>
        <v/>
      </c>
      <c r="N506" s="8">
        <v>0</v>
      </c>
      <c r="Q506" s="1"/>
      <c r="R506" s="1"/>
      <c r="S506" s="1"/>
      <c r="T506" s="8"/>
      <c r="U506" s="8"/>
      <c r="V506" s="1"/>
      <c r="W506" s="1"/>
      <c r="X506" s="1"/>
      <c r="Z506" s="8"/>
    </row>
    <row r="507" spans="1:26" x14ac:dyDescent="0.2">
      <c r="A507" s="12">
        <f t="shared" si="23"/>
        <v>495</v>
      </c>
      <c r="E507" s="10" t="str">
        <f t="shared" si="21"/>
        <v/>
      </c>
      <c r="I507" s="53" t="str">
        <f t="shared" si="22"/>
        <v/>
      </c>
      <c r="N507" s="8">
        <v>0</v>
      </c>
      <c r="Q507" s="1"/>
      <c r="R507" s="1"/>
      <c r="S507" s="1"/>
      <c r="T507" s="8"/>
      <c r="U507" s="8"/>
      <c r="V507" s="1"/>
      <c r="W507" s="1"/>
      <c r="X507" s="1"/>
      <c r="Z507" s="8"/>
    </row>
    <row r="508" spans="1:26" x14ac:dyDescent="0.2">
      <c r="A508" s="12">
        <f t="shared" si="23"/>
        <v>496</v>
      </c>
      <c r="E508" s="10" t="str">
        <f t="shared" si="21"/>
        <v/>
      </c>
      <c r="I508" s="53" t="str">
        <f t="shared" si="22"/>
        <v/>
      </c>
      <c r="N508" s="8">
        <v>0</v>
      </c>
      <c r="Q508" s="1"/>
      <c r="R508" s="1"/>
      <c r="S508" s="1"/>
      <c r="T508" s="8"/>
      <c r="U508" s="8"/>
      <c r="V508" s="1"/>
      <c r="W508" s="1"/>
      <c r="X508" s="1"/>
      <c r="Z508" s="8"/>
    </row>
    <row r="509" spans="1:26" x14ac:dyDescent="0.2">
      <c r="A509" s="12">
        <f t="shared" si="23"/>
        <v>497</v>
      </c>
      <c r="E509" s="10" t="str">
        <f t="shared" si="21"/>
        <v/>
      </c>
      <c r="I509" s="53" t="str">
        <f t="shared" si="22"/>
        <v/>
      </c>
      <c r="N509" s="8">
        <v>0</v>
      </c>
      <c r="Q509" s="1"/>
      <c r="R509" s="1"/>
      <c r="S509" s="1"/>
      <c r="T509" s="8"/>
      <c r="U509" s="8"/>
      <c r="V509" s="1"/>
      <c r="W509" s="1"/>
      <c r="X509" s="1"/>
      <c r="Z509" s="8"/>
    </row>
    <row r="510" spans="1:26" x14ac:dyDescent="0.2">
      <c r="A510" s="12">
        <f t="shared" si="23"/>
        <v>498</v>
      </c>
      <c r="E510" s="10" t="str">
        <f t="shared" si="21"/>
        <v/>
      </c>
      <c r="I510" s="53" t="str">
        <f t="shared" si="22"/>
        <v/>
      </c>
      <c r="N510" s="8">
        <v>0</v>
      </c>
      <c r="Q510" s="1"/>
      <c r="R510" s="1"/>
      <c r="S510" s="1"/>
      <c r="T510" s="8"/>
      <c r="U510" s="8"/>
      <c r="V510" s="1"/>
      <c r="W510" s="1"/>
      <c r="X510" s="1"/>
      <c r="Z510" s="8"/>
    </row>
    <row r="511" spans="1:26" x14ac:dyDescent="0.2">
      <c r="A511" s="12">
        <f t="shared" si="23"/>
        <v>499</v>
      </c>
      <c r="E511" s="10" t="str">
        <f t="shared" si="21"/>
        <v/>
      </c>
      <c r="I511" s="53" t="str">
        <f t="shared" si="22"/>
        <v/>
      </c>
      <c r="N511" s="8">
        <v>0</v>
      </c>
      <c r="Q511" s="1"/>
      <c r="R511" s="1"/>
      <c r="S511" s="1"/>
      <c r="T511" s="8"/>
      <c r="U511" s="8"/>
      <c r="V511" s="1"/>
      <c r="W511" s="1"/>
      <c r="X511" s="1"/>
      <c r="Z511" s="8"/>
    </row>
    <row r="512" spans="1:26" x14ac:dyDescent="0.2">
      <c r="A512" s="12">
        <f t="shared" si="23"/>
        <v>500</v>
      </c>
      <c r="E512" s="10" t="str">
        <f t="shared" si="21"/>
        <v/>
      </c>
      <c r="I512" s="53" t="str">
        <f t="shared" si="22"/>
        <v/>
      </c>
      <c r="N512" s="8">
        <v>0</v>
      </c>
      <c r="Q512" s="1"/>
      <c r="R512" s="1"/>
      <c r="S512" s="1"/>
      <c r="T512" s="8"/>
      <c r="U512" s="8"/>
      <c r="V512" s="1"/>
      <c r="W512" s="1"/>
      <c r="X512" s="1"/>
      <c r="Z512" s="8"/>
    </row>
    <row r="513" spans="1:26" x14ac:dyDescent="0.2">
      <c r="A513" s="12">
        <f t="shared" si="23"/>
        <v>501</v>
      </c>
      <c r="E513" s="10" t="str">
        <f t="shared" si="21"/>
        <v/>
      </c>
      <c r="I513" s="53" t="str">
        <f t="shared" si="22"/>
        <v/>
      </c>
      <c r="N513" s="8">
        <v>0</v>
      </c>
      <c r="Q513" s="1"/>
      <c r="R513" s="1"/>
      <c r="S513" s="1"/>
      <c r="T513" s="8"/>
      <c r="U513" s="8"/>
      <c r="V513" s="1"/>
      <c r="W513" s="1"/>
      <c r="X513" s="1"/>
      <c r="Z513" s="8"/>
    </row>
    <row r="514" spans="1:26" x14ac:dyDescent="0.2">
      <c r="A514" s="12">
        <f t="shared" si="23"/>
        <v>502</v>
      </c>
      <c r="E514" s="10" t="str">
        <f t="shared" si="21"/>
        <v/>
      </c>
      <c r="I514" s="53" t="str">
        <f t="shared" si="22"/>
        <v/>
      </c>
      <c r="N514" s="8">
        <v>0</v>
      </c>
      <c r="Q514" s="1"/>
      <c r="R514" s="1"/>
      <c r="S514" s="1"/>
      <c r="T514" s="8"/>
      <c r="U514" s="8"/>
      <c r="V514" s="1"/>
      <c r="W514" s="1"/>
      <c r="X514" s="1"/>
      <c r="Z514" s="8"/>
    </row>
    <row r="515" spans="1:26" x14ac:dyDescent="0.2">
      <c r="A515" s="12">
        <f t="shared" si="23"/>
        <v>503</v>
      </c>
      <c r="E515" s="10" t="str">
        <f t="shared" si="21"/>
        <v/>
      </c>
      <c r="I515" s="53" t="str">
        <f t="shared" si="22"/>
        <v/>
      </c>
      <c r="N515" s="8">
        <v>0</v>
      </c>
      <c r="Q515" s="1"/>
      <c r="R515" s="1"/>
      <c r="S515" s="1"/>
      <c r="T515" s="8"/>
      <c r="U515" s="8"/>
      <c r="V515" s="1"/>
      <c r="W515" s="1"/>
      <c r="X515" s="1"/>
      <c r="Z515" s="8"/>
    </row>
    <row r="516" spans="1:26" x14ac:dyDescent="0.2">
      <c r="A516" s="12">
        <f t="shared" si="23"/>
        <v>504</v>
      </c>
      <c r="E516" s="10" t="str">
        <f t="shared" si="21"/>
        <v/>
      </c>
      <c r="I516" s="53" t="str">
        <f t="shared" si="22"/>
        <v/>
      </c>
      <c r="N516" s="8">
        <v>0</v>
      </c>
      <c r="Q516" s="1"/>
      <c r="R516" s="1"/>
      <c r="S516" s="1"/>
      <c r="T516" s="8"/>
      <c r="U516" s="8"/>
      <c r="V516" s="1"/>
      <c r="W516" s="1"/>
      <c r="X516" s="1"/>
      <c r="Z516" s="8"/>
    </row>
    <row r="517" spans="1:26" x14ac:dyDescent="0.2">
      <c r="A517" s="12">
        <f t="shared" si="23"/>
        <v>505</v>
      </c>
      <c r="E517" s="10" t="str">
        <f t="shared" si="21"/>
        <v/>
      </c>
      <c r="I517" s="53" t="str">
        <f t="shared" si="22"/>
        <v/>
      </c>
      <c r="N517" s="8">
        <v>0</v>
      </c>
      <c r="Q517" s="1"/>
      <c r="R517" s="1"/>
      <c r="S517" s="1"/>
      <c r="T517" s="8"/>
      <c r="U517" s="8"/>
      <c r="V517" s="1"/>
      <c r="W517" s="1"/>
      <c r="X517" s="1"/>
      <c r="Z517" s="8"/>
    </row>
    <row r="518" spans="1:26" x14ac:dyDescent="0.2">
      <c r="A518" s="12">
        <f t="shared" si="23"/>
        <v>506</v>
      </c>
      <c r="E518" s="10" t="str">
        <f t="shared" si="21"/>
        <v/>
      </c>
      <c r="I518" s="53" t="str">
        <f t="shared" si="22"/>
        <v/>
      </c>
      <c r="N518" s="8">
        <v>0</v>
      </c>
      <c r="Q518" s="1"/>
      <c r="R518" s="1"/>
      <c r="S518" s="1"/>
      <c r="T518" s="8"/>
      <c r="U518" s="8"/>
      <c r="V518" s="1"/>
      <c r="W518" s="1"/>
      <c r="X518" s="1"/>
      <c r="Z518" s="8"/>
    </row>
    <row r="519" spans="1:26" x14ac:dyDescent="0.2">
      <c r="A519" s="12">
        <f t="shared" si="23"/>
        <v>507</v>
      </c>
      <c r="E519" s="10" t="str">
        <f t="shared" si="21"/>
        <v/>
      </c>
      <c r="I519" s="53" t="str">
        <f t="shared" si="22"/>
        <v/>
      </c>
      <c r="N519" s="8">
        <v>0</v>
      </c>
      <c r="Q519" s="1"/>
      <c r="R519" s="1"/>
      <c r="S519" s="1"/>
      <c r="T519" s="8"/>
      <c r="U519" s="8"/>
      <c r="V519" s="1"/>
      <c r="W519" s="1"/>
      <c r="X519" s="1"/>
      <c r="Z519" s="8"/>
    </row>
    <row r="520" spans="1:26" x14ac:dyDescent="0.2">
      <c r="A520" s="12">
        <f t="shared" si="23"/>
        <v>508</v>
      </c>
      <c r="E520" s="10" t="str">
        <f t="shared" si="21"/>
        <v/>
      </c>
      <c r="I520" s="53" t="str">
        <f t="shared" si="22"/>
        <v/>
      </c>
      <c r="N520" s="8">
        <v>0</v>
      </c>
      <c r="Q520" s="1"/>
      <c r="R520" s="1"/>
      <c r="S520" s="1"/>
      <c r="T520" s="8"/>
      <c r="U520" s="8"/>
      <c r="V520" s="1"/>
      <c r="W520" s="1"/>
      <c r="X520" s="1"/>
      <c r="Z520" s="8"/>
    </row>
    <row r="521" spans="1:26" x14ac:dyDescent="0.2">
      <c r="A521" s="12">
        <f t="shared" si="23"/>
        <v>509</v>
      </c>
      <c r="E521" s="10" t="str">
        <f t="shared" si="21"/>
        <v/>
      </c>
      <c r="I521" s="53" t="str">
        <f t="shared" si="22"/>
        <v/>
      </c>
      <c r="N521" s="8">
        <v>0</v>
      </c>
      <c r="Q521" s="1"/>
      <c r="R521" s="1"/>
      <c r="S521" s="1"/>
      <c r="T521" s="8"/>
      <c r="U521" s="8"/>
      <c r="V521" s="1"/>
      <c r="W521" s="1"/>
      <c r="X521" s="1"/>
      <c r="Z521" s="8"/>
    </row>
    <row r="522" spans="1:26" x14ac:dyDescent="0.2">
      <c r="A522" s="12">
        <f t="shared" si="23"/>
        <v>510</v>
      </c>
      <c r="E522" s="10" t="str">
        <f t="shared" si="21"/>
        <v/>
      </c>
      <c r="I522" s="53" t="str">
        <f t="shared" si="22"/>
        <v/>
      </c>
      <c r="N522" s="8">
        <v>0</v>
      </c>
      <c r="Q522" s="1"/>
      <c r="R522" s="1"/>
      <c r="S522" s="1"/>
      <c r="T522" s="8"/>
      <c r="U522" s="8"/>
      <c r="V522" s="1"/>
      <c r="W522" s="1"/>
      <c r="X522" s="1"/>
      <c r="Z522" s="8"/>
    </row>
    <row r="523" spans="1:26" x14ac:dyDescent="0.2">
      <c r="A523" s="12">
        <f t="shared" si="23"/>
        <v>511</v>
      </c>
      <c r="E523" s="10" t="str">
        <f t="shared" si="21"/>
        <v/>
      </c>
      <c r="I523" s="53" t="str">
        <f t="shared" si="22"/>
        <v/>
      </c>
      <c r="N523" s="8">
        <v>0</v>
      </c>
      <c r="Q523" s="1"/>
      <c r="R523" s="1"/>
      <c r="S523" s="1"/>
      <c r="T523" s="8"/>
      <c r="U523" s="8"/>
      <c r="V523" s="1"/>
      <c r="W523" s="1"/>
      <c r="X523" s="1"/>
      <c r="Z523" s="8"/>
    </row>
    <row r="524" spans="1:26" x14ac:dyDescent="0.2">
      <c r="A524" s="12">
        <f t="shared" si="23"/>
        <v>512</v>
      </c>
      <c r="E524" s="10" t="str">
        <f t="shared" si="21"/>
        <v/>
      </c>
      <c r="I524" s="53" t="str">
        <f t="shared" si="22"/>
        <v/>
      </c>
      <c r="N524" s="8">
        <v>0</v>
      </c>
      <c r="Q524" s="1"/>
      <c r="R524" s="1"/>
      <c r="S524" s="1"/>
      <c r="T524" s="8"/>
      <c r="U524" s="8"/>
      <c r="V524" s="1"/>
      <c r="W524" s="1"/>
      <c r="X524" s="1"/>
      <c r="Z524" s="8"/>
    </row>
    <row r="525" spans="1:26" x14ac:dyDescent="0.2">
      <c r="A525" s="12">
        <f t="shared" si="23"/>
        <v>513</v>
      </c>
      <c r="E525" s="10" t="str">
        <f t="shared" ref="E525:E588" si="24">IF($C$8&gt;=A525,$E$1&amp;" "&amp;A525,"")</f>
        <v/>
      </c>
      <c r="I525" s="53" t="str">
        <f t="shared" si="22"/>
        <v/>
      </c>
      <c r="N525" s="8">
        <v>0</v>
      </c>
      <c r="Q525" s="1"/>
      <c r="R525" s="1"/>
      <c r="S525" s="1"/>
      <c r="T525" s="8"/>
      <c r="U525" s="8"/>
      <c r="V525" s="1"/>
      <c r="W525" s="1"/>
      <c r="X525" s="1"/>
      <c r="Z525" s="8"/>
    </row>
    <row r="526" spans="1:26" x14ac:dyDescent="0.2">
      <c r="A526" s="12">
        <f t="shared" si="23"/>
        <v>514</v>
      </c>
      <c r="E526" s="10" t="str">
        <f t="shared" si="24"/>
        <v/>
      </c>
      <c r="I526" s="53" t="str">
        <f t="shared" ref="I526:I589" si="25">IF(E526="","",F526-G526-H526)</f>
        <v/>
      </c>
      <c r="N526" s="8">
        <v>0</v>
      </c>
      <c r="Q526" s="1"/>
      <c r="R526" s="1"/>
      <c r="S526" s="1"/>
      <c r="T526" s="8"/>
      <c r="U526" s="8"/>
      <c r="V526" s="1"/>
      <c r="W526" s="1"/>
      <c r="X526" s="1"/>
      <c r="Z526" s="8"/>
    </row>
    <row r="527" spans="1:26" x14ac:dyDescent="0.2">
      <c r="A527" s="12">
        <f t="shared" ref="A527:A590" si="26">A526+1</f>
        <v>515</v>
      </c>
      <c r="E527" s="10" t="str">
        <f t="shared" si="24"/>
        <v/>
      </c>
      <c r="I527" s="53" t="str">
        <f t="shared" si="25"/>
        <v/>
      </c>
      <c r="N527" s="8">
        <v>0</v>
      </c>
      <c r="Q527" s="1"/>
      <c r="R527" s="1"/>
      <c r="S527" s="1"/>
      <c r="T527" s="8"/>
      <c r="U527" s="8"/>
      <c r="V527" s="1"/>
      <c r="W527" s="1"/>
      <c r="X527" s="1"/>
      <c r="Z527" s="8"/>
    </row>
    <row r="528" spans="1:26" x14ac:dyDescent="0.2">
      <c r="A528" s="12">
        <f t="shared" si="26"/>
        <v>516</v>
      </c>
      <c r="E528" s="10" t="str">
        <f t="shared" si="24"/>
        <v/>
      </c>
      <c r="I528" s="53" t="str">
        <f t="shared" si="25"/>
        <v/>
      </c>
      <c r="N528" s="8">
        <v>0</v>
      </c>
      <c r="Q528" s="1"/>
      <c r="R528" s="1"/>
      <c r="S528" s="1"/>
      <c r="T528" s="8"/>
      <c r="U528" s="8"/>
      <c r="V528" s="1"/>
      <c r="W528" s="1"/>
      <c r="X528" s="1"/>
      <c r="Z528" s="8"/>
    </row>
    <row r="529" spans="1:26" x14ac:dyDescent="0.2">
      <c r="A529" s="12">
        <f t="shared" si="26"/>
        <v>517</v>
      </c>
      <c r="E529" s="10" t="str">
        <f t="shared" si="24"/>
        <v/>
      </c>
      <c r="I529" s="53" t="str">
        <f t="shared" si="25"/>
        <v/>
      </c>
      <c r="N529" s="8">
        <v>0</v>
      </c>
      <c r="Q529" s="1"/>
      <c r="R529" s="1"/>
      <c r="S529" s="1"/>
      <c r="T529" s="8"/>
      <c r="U529" s="8"/>
      <c r="V529" s="1"/>
      <c r="W529" s="1"/>
      <c r="X529" s="1"/>
      <c r="Z529" s="8"/>
    </row>
    <row r="530" spans="1:26" x14ac:dyDescent="0.2">
      <c r="A530" s="12">
        <f t="shared" si="26"/>
        <v>518</v>
      </c>
      <c r="E530" s="10" t="str">
        <f t="shared" si="24"/>
        <v/>
      </c>
      <c r="I530" s="53" t="str">
        <f t="shared" si="25"/>
        <v/>
      </c>
      <c r="N530" s="8">
        <v>0</v>
      </c>
      <c r="Q530" s="1"/>
      <c r="R530" s="1"/>
      <c r="S530" s="1"/>
      <c r="T530" s="8"/>
      <c r="U530" s="8"/>
      <c r="V530" s="1"/>
      <c r="W530" s="1"/>
      <c r="X530" s="1"/>
      <c r="Z530" s="8"/>
    </row>
    <row r="531" spans="1:26" x14ac:dyDescent="0.2">
      <c r="A531" s="12">
        <f t="shared" si="26"/>
        <v>519</v>
      </c>
      <c r="E531" s="10" t="str">
        <f t="shared" si="24"/>
        <v/>
      </c>
      <c r="I531" s="53" t="str">
        <f t="shared" si="25"/>
        <v/>
      </c>
      <c r="N531" s="8">
        <v>0</v>
      </c>
      <c r="Q531" s="1"/>
      <c r="R531" s="1"/>
      <c r="S531" s="1"/>
      <c r="T531" s="8"/>
      <c r="U531" s="8"/>
      <c r="V531" s="1"/>
      <c r="W531" s="1"/>
      <c r="X531" s="1"/>
      <c r="Z531" s="8"/>
    </row>
    <row r="532" spans="1:26" x14ac:dyDescent="0.2">
      <c r="A532" s="12">
        <f t="shared" si="26"/>
        <v>520</v>
      </c>
      <c r="E532" s="10" t="str">
        <f t="shared" si="24"/>
        <v/>
      </c>
      <c r="I532" s="53" t="str">
        <f t="shared" si="25"/>
        <v/>
      </c>
      <c r="N532" s="8">
        <v>0</v>
      </c>
      <c r="Q532" s="1"/>
      <c r="R532" s="1"/>
      <c r="S532" s="1"/>
      <c r="T532" s="8"/>
      <c r="U532" s="8"/>
      <c r="V532" s="1"/>
      <c r="W532" s="1"/>
      <c r="X532" s="1"/>
      <c r="Z532" s="8"/>
    </row>
    <row r="533" spans="1:26" x14ac:dyDescent="0.2">
      <c r="A533" s="12">
        <f t="shared" si="26"/>
        <v>521</v>
      </c>
      <c r="E533" s="10" t="str">
        <f t="shared" si="24"/>
        <v/>
      </c>
      <c r="I533" s="53" t="str">
        <f t="shared" si="25"/>
        <v/>
      </c>
      <c r="N533" s="8">
        <v>0</v>
      </c>
      <c r="Q533" s="1"/>
      <c r="R533" s="1"/>
      <c r="S533" s="1"/>
      <c r="T533" s="8"/>
      <c r="U533" s="8"/>
      <c r="V533" s="1"/>
      <c r="W533" s="1"/>
      <c r="X533" s="1"/>
      <c r="Z533" s="8"/>
    </row>
    <row r="534" spans="1:26" x14ac:dyDescent="0.2">
      <c r="A534" s="12">
        <f t="shared" si="26"/>
        <v>522</v>
      </c>
      <c r="E534" s="10" t="str">
        <f t="shared" si="24"/>
        <v/>
      </c>
      <c r="I534" s="53" t="str">
        <f t="shared" si="25"/>
        <v/>
      </c>
      <c r="N534" s="8">
        <v>0</v>
      </c>
      <c r="Q534" s="1"/>
      <c r="R534" s="1"/>
      <c r="S534" s="1"/>
      <c r="T534" s="8"/>
      <c r="U534" s="8"/>
      <c r="V534" s="1"/>
      <c r="W534" s="1"/>
      <c r="X534" s="1"/>
      <c r="Z534" s="8"/>
    </row>
    <row r="535" spans="1:26" x14ac:dyDescent="0.2">
      <c r="A535" s="12">
        <f t="shared" si="26"/>
        <v>523</v>
      </c>
      <c r="E535" s="10" t="str">
        <f t="shared" si="24"/>
        <v/>
      </c>
      <c r="I535" s="53" t="str">
        <f t="shared" si="25"/>
        <v/>
      </c>
      <c r="N535" s="8">
        <v>0</v>
      </c>
      <c r="Q535" s="1"/>
      <c r="R535" s="1"/>
      <c r="S535" s="1"/>
      <c r="T535" s="8"/>
      <c r="U535" s="8"/>
      <c r="V535" s="1"/>
      <c r="W535" s="1"/>
      <c r="X535" s="1"/>
      <c r="Z535" s="8"/>
    </row>
    <row r="536" spans="1:26" x14ac:dyDescent="0.2">
      <c r="A536" s="12">
        <f t="shared" si="26"/>
        <v>524</v>
      </c>
      <c r="E536" s="10" t="str">
        <f t="shared" si="24"/>
        <v/>
      </c>
      <c r="I536" s="53" t="str">
        <f t="shared" si="25"/>
        <v/>
      </c>
      <c r="N536" s="8">
        <v>0</v>
      </c>
      <c r="Q536" s="1"/>
      <c r="R536" s="1"/>
      <c r="S536" s="1"/>
      <c r="T536" s="8"/>
      <c r="U536" s="8"/>
      <c r="V536" s="1"/>
      <c r="W536" s="1"/>
      <c r="X536" s="1"/>
      <c r="Z536" s="8"/>
    </row>
    <row r="537" spans="1:26" x14ac:dyDescent="0.2">
      <c r="A537" s="12">
        <f t="shared" si="26"/>
        <v>525</v>
      </c>
      <c r="E537" s="10" t="str">
        <f t="shared" si="24"/>
        <v/>
      </c>
      <c r="I537" s="53" t="str">
        <f t="shared" si="25"/>
        <v/>
      </c>
      <c r="N537" s="8">
        <v>0</v>
      </c>
      <c r="Q537" s="1"/>
      <c r="R537" s="1"/>
      <c r="S537" s="1"/>
      <c r="T537" s="8"/>
      <c r="U537" s="8"/>
      <c r="V537" s="1"/>
      <c r="W537" s="1"/>
      <c r="X537" s="1"/>
      <c r="Z537" s="8"/>
    </row>
    <row r="538" spans="1:26" x14ac:dyDescent="0.2">
      <c r="A538" s="12">
        <f t="shared" si="26"/>
        <v>526</v>
      </c>
      <c r="E538" s="10" t="str">
        <f t="shared" si="24"/>
        <v/>
      </c>
      <c r="I538" s="53" t="str">
        <f t="shared" si="25"/>
        <v/>
      </c>
      <c r="N538" s="8">
        <v>0</v>
      </c>
      <c r="Q538" s="1"/>
      <c r="R538" s="1"/>
      <c r="S538" s="1"/>
      <c r="T538" s="8"/>
      <c r="U538" s="8"/>
      <c r="V538" s="1"/>
      <c r="W538" s="1"/>
      <c r="X538" s="1"/>
      <c r="Z538" s="8"/>
    </row>
    <row r="539" spans="1:26" x14ac:dyDescent="0.2">
      <c r="A539" s="12">
        <f t="shared" si="26"/>
        <v>527</v>
      </c>
      <c r="E539" s="10" t="str">
        <f t="shared" si="24"/>
        <v/>
      </c>
      <c r="I539" s="53" t="str">
        <f t="shared" si="25"/>
        <v/>
      </c>
      <c r="N539" s="8">
        <v>0</v>
      </c>
      <c r="Q539" s="1"/>
      <c r="R539" s="1"/>
      <c r="S539" s="1"/>
      <c r="T539" s="8"/>
      <c r="U539" s="8"/>
      <c r="V539" s="1"/>
      <c r="W539" s="1"/>
      <c r="X539" s="1"/>
      <c r="Z539" s="8"/>
    </row>
    <row r="540" spans="1:26" x14ac:dyDescent="0.2">
      <c r="A540" s="12">
        <f t="shared" si="26"/>
        <v>528</v>
      </c>
      <c r="E540" s="10" t="str">
        <f t="shared" si="24"/>
        <v/>
      </c>
      <c r="I540" s="53" t="str">
        <f t="shared" si="25"/>
        <v/>
      </c>
      <c r="N540" s="8">
        <v>0</v>
      </c>
      <c r="Q540" s="1"/>
      <c r="R540" s="1"/>
      <c r="S540" s="1"/>
      <c r="T540" s="8"/>
      <c r="U540" s="8"/>
      <c r="V540" s="1"/>
      <c r="W540" s="1"/>
      <c r="X540" s="1"/>
      <c r="Z540" s="8"/>
    </row>
    <row r="541" spans="1:26" x14ac:dyDescent="0.2">
      <c r="A541" s="12">
        <f t="shared" si="26"/>
        <v>529</v>
      </c>
      <c r="E541" s="10" t="str">
        <f t="shared" si="24"/>
        <v/>
      </c>
      <c r="I541" s="53" t="str">
        <f t="shared" si="25"/>
        <v/>
      </c>
      <c r="N541" s="8">
        <v>0</v>
      </c>
      <c r="Q541" s="1"/>
      <c r="R541" s="1"/>
      <c r="S541" s="1"/>
      <c r="T541" s="8"/>
      <c r="U541" s="8"/>
      <c r="V541" s="1"/>
      <c r="W541" s="1"/>
      <c r="X541" s="1"/>
      <c r="Z541" s="8"/>
    </row>
    <row r="542" spans="1:26" x14ac:dyDescent="0.2">
      <c r="A542" s="12">
        <f t="shared" si="26"/>
        <v>530</v>
      </c>
      <c r="E542" s="10" t="str">
        <f t="shared" si="24"/>
        <v/>
      </c>
      <c r="I542" s="53" t="str">
        <f t="shared" si="25"/>
        <v/>
      </c>
      <c r="N542" s="8">
        <v>0</v>
      </c>
      <c r="Q542" s="1"/>
      <c r="R542" s="1"/>
      <c r="S542" s="1"/>
      <c r="T542" s="8"/>
      <c r="U542" s="8"/>
      <c r="V542" s="1"/>
      <c r="W542" s="1"/>
      <c r="X542" s="1"/>
      <c r="Z542" s="8"/>
    </row>
    <row r="543" spans="1:26" x14ac:dyDescent="0.2">
      <c r="A543" s="12">
        <f t="shared" si="26"/>
        <v>531</v>
      </c>
      <c r="E543" s="10" t="str">
        <f t="shared" si="24"/>
        <v/>
      </c>
      <c r="I543" s="53" t="str">
        <f t="shared" si="25"/>
        <v/>
      </c>
      <c r="N543" s="8">
        <v>0</v>
      </c>
      <c r="Q543" s="1"/>
      <c r="R543" s="1"/>
      <c r="S543" s="1"/>
      <c r="T543" s="8"/>
      <c r="U543" s="8"/>
      <c r="V543" s="1"/>
      <c r="W543" s="1"/>
      <c r="X543" s="1"/>
      <c r="Z543" s="8"/>
    </row>
    <row r="544" spans="1:26" x14ac:dyDescent="0.2">
      <c r="A544" s="12">
        <f t="shared" si="26"/>
        <v>532</v>
      </c>
      <c r="E544" s="10" t="str">
        <f t="shared" si="24"/>
        <v/>
      </c>
      <c r="I544" s="53" t="str">
        <f t="shared" si="25"/>
        <v/>
      </c>
      <c r="N544" s="8">
        <v>0</v>
      </c>
      <c r="Q544" s="1"/>
      <c r="R544" s="1"/>
      <c r="S544" s="1"/>
      <c r="T544" s="8"/>
      <c r="U544" s="8"/>
      <c r="V544" s="1"/>
      <c r="W544" s="1"/>
      <c r="X544" s="1"/>
      <c r="Z544" s="8"/>
    </row>
    <row r="545" spans="1:26" x14ac:dyDescent="0.2">
      <c r="A545" s="12">
        <f t="shared" si="26"/>
        <v>533</v>
      </c>
      <c r="E545" s="10" t="str">
        <f t="shared" si="24"/>
        <v/>
      </c>
      <c r="I545" s="53" t="str">
        <f t="shared" si="25"/>
        <v/>
      </c>
      <c r="N545" s="8">
        <v>0</v>
      </c>
      <c r="Q545" s="1"/>
      <c r="R545" s="1"/>
      <c r="S545" s="1"/>
      <c r="T545" s="8"/>
      <c r="U545" s="8"/>
      <c r="V545" s="1"/>
      <c r="W545" s="1"/>
      <c r="X545" s="1"/>
      <c r="Z545" s="8"/>
    </row>
    <row r="546" spans="1:26" x14ac:dyDescent="0.2">
      <c r="A546" s="12">
        <f t="shared" si="26"/>
        <v>534</v>
      </c>
      <c r="E546" s="10" t="str">
        <f t="shared" si="24"/>
        <v/>
      </c>
      <c r="I546" s="53" t="str">
        <f t="shared" si="25"/>
        <v/>
      </c>
      <c r="N546" s="8">
        <v>0</v>
      </c>
      <c r="Q546" s="1"/>
      <c r="R546" s="1"/>
      <c r="S546" s="1"/>
      <c r="T546" s="8"/>
      <c r="U546" s="8"/>
      <c r="V546" s="1"/>
      <c r="W546" s="1"/>
      <c r="X546" s="1"/>
      <c r="Z546" s="8"/>
    </row>
    <row r="547" spans="1:26" x14ac:dyDescent="0.2">
      <c r="A547" s="12">
        <f t="shared" si="26"/>
        <v>535</v>
      </c>
      <c r="E547" s="10" t="str">
        <f t="shared" si="24"/>
        <v/>
      </c>
      <c r="I547" s="53" t="str">
        <f t="shared" si="25"/>
        <v/>
      </c>
      <c r="N547" s="8">
        <v>0</v>
      </c>
      <c r="Q547" s="1"/>
      <c r="R547" s="1"/>
      <c r="S547" s="1"/>
      <c r="T547" s="8"/>
      <c r="U547" s="8"/>
      <c r="V547" s="1"/>
      <c r="W547" s="1"/>
      <c r="X547" s="1"/>
      <c r="Z547" s="8"/>
    </row>
    <row r="548" spans="1:26" x14ac:dyDescent="0.2">
      <c r="A548" s="12">
        <f t="shared" si="26"/>
        <v>536</v>
      </c>
      <c r="E548" s="10" t="str">
        <f t="shared" si="24"/>
        <v/>
      </c>
      <c r="I548" s="53" t="str">
        <f t="shared" si="25"/>
        <v/>
      </c>
      <c r="N548" s="8">
        <v>0</v>
      </c>
      <c r="Q548" s="1"/>
      <c r="R548" s="1"/>
      <c r="S548" s="1"/>
      <c r="T548" s="8"/>
      <c r="U548" s="8"/>
      <c r="V548" s="1"/>
      <c r="W548" s="1"/>
      <c r="X548" s="1"/>
      <c r="Z548" s="8"/>
    </row>
    <row r="549" spans="1:26" x14ac:dyDescent="0.2">
      <c r="A549" s="12">
        <f t="shared" si="26"/>
        <v>537</v>
      </c>
      <c r="E549" s="10" t="str">
        <f t="shared" si="24"/>
        <v/>
      </c>
      <c r="I549" s="53" t="str">
        <f t="shared" si="25"/>
        <v/>
      </c>
      <c r="N549" s="8">
        <v>0</v>
      </c>
      <c r="Q549" s="1"/>
      <c r="R549" s="1"/>
      <c r="S549" s="1"/>
      <c r="T549" s="8"/>
      <c r="U549" s="8"/>
      <c r="V549" s="1"/>
      <c r="W549" s="1"/>
      <c r="X549" s="1"/>
      <c r="Z549" s="8"/>
    </row>
    <row r="550" spans="1:26" x14ac:dyDescent="0.2">
      <c r="A550" s="12">
        <f t="shared" si="26"/>
        <v>538</v>
      </c>
      <c r="E550" s="10" t="str">
        <f t="shared" si="24"/>
        <v/>
      </c>
      <c r="I550" s="53" t="str">
        <f t="shared" si="25"/>
        <v/>
      </c>
      <c r="N550" s="8">
        <v>0</v>
      </c>
      <c r="Q550" s="1"/>
      <c r="R550" s="1"/>
      <c r="S550" s="1"/>
      <c r="T550" s="8"/>
      <c r="U550" s="8"/>
      <c r="V550" s="1"/>
      <c r="W550" s="1"/>
      <c r="X550" s="1"/>
      <c r="Z550" s="8"/>
    </row>
    <row r="551" spans="1:26" x14ac:dyDescent="0.2">
      <c r="A551" s="12">
        <f t="shared" si="26"/>
        <v>539</v>
      </c>
      <c r="E551" s="10" t="str">
        <f t="shared" si="24"/>
        <v/>
      </c>
      <c r="I551" s="53" t="str">
        <f t="shared" si="25"/>
        <v/>
      </c>
      <c r="N551" s="8">
        <v>0</v>
      </c>
      <c r="Q551" s="1"/>
      <c r="R551" s="1"/>
      <c r="S551" s="1"/>
      <c r="T551" s="8"/>
      <c r="U551" s="8"/>
      <c r="V551" s="1"/>
      <c r="W551" s="1"/>
      <c r="X551" s="1"/>
      <c r="Z551" s="8"/>
    </row>
    <row r="552" spans="1:26" x14ac:dyDescent="0.2">
      <c r="A552" s="12">
        <f t="shared" si="26"/>
        <v>540</v>
      </c>
      <c r="E552" s="10" t="str">
        <f t="shared" si="24"/>
        <v/>
      </c>
      <c r="I552" s="53" t="str">
        <f t="shared" si="25"/>
        <v/>
      </c>
      <c r="N552" s="8">
        <v>0</v>
      </c>
      <c r="Q552" s="1"/>
      <c r="R552" s="1"/>
      <c r="S552" s="1"/>
      <c r="T552" s="8"/>
      <c r="U552" s="8"/>
      <c r="V552" s="1"/>
      <c r="W552" s="1"/>
      <c r="X552" s="1"/>
      <c r="Z552" s="8"/>
    </row>
    <row r="553" spans="1:26" x14ac:dyDescent="0.2">
      <c r="A553" s="12">
        <f t="shared" si="26"/>
        <v>541</v>
      </c>
      <c r="E553" s="10" t="str">
        <f t="shared" si="24"/>
        <v/>
      </c>
      <c r="I553" s="53" t="str">
        <f t="shared" si="25"/>
        <v/>
      </c>
      <c r="N553" s="8">
        <v>0</v>
      </c>
      <c r="Q553" s="1"/>
      <c r="R553" s="1"/>
      <c r="S553" s="1"/>
      <c r="T553" s="8"/>
      <c r="U553" s="8"/>
      <c r="V553" s="1"/>
      <c r="W553" s="1"/>
      <c r="X553" s="1"/>
      <c r="Z553" s="8"/>
    </row>
    <row r="554" spans="1:26" x14ac:dyDescent="0.2">
      <c r="A554" s="12">
        <f t="shared" si="26"/>
        <v>542</v>
      </c>
      <c r="E554" s="10" t="str">
        <f t="shared" si="24"/>
        <v/>
      </c>
      <c r="I554" s="53" t="str">
        <f t="shared" si="25"/>
        <v/>
      </c>
      <c r="N554" s="8">
        <v>0</v>
      </c>
      <c r="Q554" s="1"/>
      <c r="R554" s="1"/>
      <c r="S554" s="1"/>
      <c r="T554" s="8"/>
      <c r="U554" s="8"/>
      <c r="V554" s="1"/>
      <c r="W554" s="1"/>
      <c r="X554" s="1"/>
      <c r="Z554" s="8"/>
    </row>
    <row r="555" spans="1:26" x14ac:dyDescent="0.2">
      <c r="A555" s="12">
        <f t="shared" si="26"/>
        <v>543</v>
      </c>
      <c r="E555" s="10" t="str">
        <f t="shared" si="24"/>
        <v/>
      </c>
      <c r="I555" s="53" t="str">
        <f t="shared" si="25"/>
        <v/>
      </c>
      <c r="N555" s="8">
        <v>0</v>
      </c>
      <c r="Q555" s="1"/>
      <c r="R555" s="1"/>
      <c r="S555" s="1"/>
      <c r="T555" s="8"/>
      <c r="U555" s="8"/>
      <c r="V555" s="1"/>
      <c r="W555" s="1"/>
      <c r="X555" s="1"/>
      <c r="Z555" s="8"/>
    </row>
    <row r="556" spans="1:26" x14ac:dyDescent="0.2">
      <c r="A556" s="12">
        <f t="shared" si="26"/>
        <v>544</v>
      </c>
      <c r="E556" s="10" t="str">
        <f t="shared" si="24"/>
        <v/>
      </c>
      <c r="I556" s="53" t="str">
        <f t="shared" si="25"/>
        <v/>
      </c>
      <c r="N556" s="8">
        <v>0</v>
      </c>
      <c r="Q556" s="1"/>
      <c r="R556" s="1"/>
      <c r="S556" s="1"/>
      <c r="T556" s="8"/>
      <c r="U556" s="8"/>
      <c r="V556" s="1"/>
      <c r="W556" s="1"/>
      <c r="X556" s="1"/>
      <c r="Z556" s="8"/>
    </row>
    <row r="557" spans="1:26" x14ac:dyDescent="0.2">
      <c r="A557" s="12">
        <f t="shared" si="26"/>
        <v>545</v>
      </c>
      <c r="E557" s="10" t="str">
        <f t="shared" si="24"/>
        <v/>
      </c>
      <c r="I557" s="53" t="str">
        <f t="shared" si="25"/>
        <v/>
      </c>
      <c r="N557" s="8">
        <v>0</v>
      </c>
      <c r="Q557" s="1"/>
      <c r="R557" s="1"/>
      <c r="S557" s="1"/>
      <c r="T557" s="8"/>
      <c r="U557" s="8"/>
      <c r="V557" s="1"/>
      <c r="W557" s="1"/>
      <c r="X557" s="1"/>
      <c r="Z557" s="8"/>
    </row>
    <row r="558" spans="1:26" x14ac:dyDescent="0.2">
      <c r="A558" s="12">
        <f t="shared" si="26"/>
        <v>546</v>
      </c>
      <c r="E558" s="10" t="str">
        <f t="shared" si="24"/>
        <v/>
      </c>
      <c r="I558" s="53" t="str">
        <f t="shared" si="25"/>
        <v/>
      </c>
      <c r="N558" s="8">
        <v>0</v>
      </c>
      <c r="Q558" s="1"/>
      <c r="R558" s="1"/>
      <c r="S558" s="1"/>
      <c r="T558" s="8"/>
      <c r="U558" s="8"/>
      <c r="V558" s="1"/>
      <c r="W558" s="1"/>
      <c r="X558" s="1"/>
      <c r="Z558" s="8"/>
    </row>
    <row r="559" spans="1:26" x14ac:dyDescent="0.2">
      <c r="A559" s="12">
        <f t="shared" si="26"/>
        <v>547</v>
      </c>
      <c r="E559" s="10" t="str">
        <f t="shared" si="24"/>
        <v/>
      </c>
      <c r="I559" s="53" t="str">
        <f t="shared" si="25"/>
        <v/>
      </c>
      <c r="N559" s="8">
        <v>0</v>
      </c>
      <c r="Q559" s="1"/>
      <c r="R559" s="1"/>
      <c r="S559" s="1"/>
      <c r="T559" s="8"/>
      <c r="U559" s="8"/>
      <c r="V559" s="1"/>
      <c r="W559" s="1"/>
      <c r="X559" s="1"/>
      <c r="Z559" s="8"/>
    </row>
    <row r="560" spans="1:26" x14ac:dyDescent="0.2">
      <c r="A560" s="12">
        <f t="shared" si="26"/>
        <v>548</v>
      </c>
      <c r="E560" s="10" t="str">
        <f t="shared" si="24"/>
        <v/>
      </c>
      <c r="I560" s="53" t="str">
        <f t="shared" si="25"/>
        <v/>
      </c>
      <c r="N560" s="8">
        <v>0</v>
      </c>
      <c r="Q560" s="1"/>
      <c r="R560" s="1"/>
      <c r="S560" s="1"/>
      <c r="T560" s="8"/>
      <c r="U560" s="8"/>
      <c r="V560" s="1"/>
      <c r="W560" s="1"/>
      <c r="X560" s="1"/>
      <c r="Z560" s="8"/>
    </row>
    <row r="561" spans="1:26" x14ac:dyDescent="0.2">
      <c r="A561" s="12">
        <f t="shared" si="26"/>
        <v>549</v>
      </c>
      <c r="E561" s="10" t="str">
        <f t="shared" si="24"/>
        <v/>
      </c>
      <c r="I561" s="53" t="str">
        <f t="shared" si="25"/>
        <v/>
      </c>
      <c r="N561" s="8">
        <v>0</v>
      </c>
      <c r="Q561" s="1"/>
      <c r="R561" s="1"/>
      <c r="S561" s="1"/>
      <c r="T561" s="8"/>
      <c r="U561" s="8"/>
      <c r="V561" s="1"/>
      <c r="W561" s="1"/>
      <c r="X561" s="1"/>
      <c r="Z561" s="8"/>
    </row>
    <row r="562" spans="1:26" x14ac:dyDescent="0.2">
      <c r="A562" s="12">
        <f t="shared" si="26"/>
        <v>550</v>
      </c>
      <c r="E562" s="10" t="str">
        <f t="shared" si="24"/>
        <v/>
      </c>
      <c r="I562" s="53" t="str">
        <f t="shared" si="25"/>
        <v/>
      </c>
      <c r="N562" s="8">
        <v>0</v>
      </c>
      <c r="Q562" s="1"/>
      <c r="R562" s="1"/>
      <c r="S562" s="1"/>
      <c r="T562" s="8"/>
      <c r="U562" s="8"/>
      <c r="V562" s="1"/>
      <c r="W562" s="1"/>
      <c r="X562" s="1"/>
      <c r="Z562" s="8"/>
    </row>
    <row r="563" spans="1:26" x14ac:dyDescent="0.2">
      <c r="A563" s="12">
        <f t="shared" si="26"/>
        <v>551</v>
      </c>
      <c r="E563" s="10" t="str">
        <f t="shared" si="24"/>
        <v/>
      </c>
      <c r="I563" s="53" t="str">
        <f t="shared" si="25"/>
        <v/>
      </c>
      <c r="N563" s="8">
        <v>0</v>
      </c>
      <c r="Q563" s="1"/>
      <c r="R563" s="1"/>
      <c r="S563" s="1"/>
      <c r="T563" s="8"/>
      <c r="U563" s="8"/>
      <c r="V563" s="1"/>
      <c r="W563" s="1"/>
      <c r="X563" s="1"/>
      <c r="Z563" s="8"/>
    </row>
    <row r="564" spans="1:26" x14ac:dyDescent="0.2">
      <c r="A564" s="12">
        <f t="shared" si="26"/>
        <v>552</v>
      </c>
      <c r="E564" s="10" t="str">
        <f t="shared" si="24"/>
        <v/>
      </c>
      <c r="I564" s="53" t="str">
        <f t="shared" si="25"/>
        <v/>
      </c>
      <c r="N564" s="8">
        <v>0</v>
      </c>
      <c r="Q564" s="1"/>
      <c r="R564" s="1"/>
      <c r="S564" s="1"/>
      <c r="T564" s="8"/>
      <c r="U564" s="8"/>
      <c r="V564" s="1"/>
      <c r="W564" s="1"/>
      <c r="X564" s="1"/>
      <c r="Z564" s="8"/>
    </row>
    <row r="565" spans="1:26" x14ac:dyDescent="0.2">
      <c r="A565" s="12">
        <f t="shared" si="26"/>
        <v>553</v>
      </c>
      <c r="E565" s="10" t="str">
        <f t="shared" si="24"/>
        <v/>
      </c>
      <c r="I565" s="53" t="str">
        <f t="shared" si="25"/>
        <v/>
      </c>
      <c r="N565" s="8">
        <v>0</v>
      </c>
      <c r="Q565" s="1"/>
      <c r="R565" s="1"/>
      <c r="S565" s="1"/>
      <c r="T565" s="8"/>
      <c r="U565" s="8"/>
      <c r="V565" s="1"/>
      <c r="W565" s="1"/>
      <c r="X565" s="1"/>
      <c r="Z565" s="8"/>
    </row>
    <row r="566" spans="1:26" x14ac:dyDescent="0.2">
      <c r="A566" s="12">
        <f t="shared" si="26"/>
        <v>554</v>
      </c>
      <c r="E566" s="10" t="str">
        <f t="shared" si="24"/>
        <v/>
      </c>
      <c r="I566" s="53" t="str">
        <f t="shared" si="25"/>
        <v/>
      </c>
      <c r="N566" s="8">
        <v>0</v>
      </c>
      <c r="Q566" s="1"/>
      <c r="R566" s="1"/>
      <c r="S566" s="1"/>
      <c r="T566" s="8"/>
      <c r="U566" s="8"/>
      <c r="V566" s="1"/>
      <c r="W566" s="1"/>
      <c r="X566" s="1"/>
      <c r="Z566" s="8"/>
    </row>
    <row r="567" spans="1:26" x14ac:dyDescent="0.2">
      <c r="A567" s="12">
        <f t="shared" si="26"/>
        <v>555</v>
      </c>
      <c r="E567" s="10" t="str">
        <f t="shared" si="24"/>
        <v/>
      </c>
      <c r="I567" s="53" t="str">
        <f t="shared" si="25"/>
        <v/>
      </c>
      <c r="N567" s="8">
        <v>0</v>
      </c>
      <c r="Q567" s="1"/>
      <c r="R567" s="1"/>
      <c r="S567" s="1"/>
      <c r="T567" s="8"/>
      <c r="U567" s="8"/>
      <c r="V567" s="1"/>
      <c r="W567" s="1"/>
      <c r="X567" s="1"/>
      <c r="Z567" s="8"/>
    </row>
    <row r="568" spans="1:26" x14ac:dyDescent="0.2">
      <c r="A568" s="12">
        <f t="shared" si="26"/>
        <v>556</v>
      </c>
      <c r="E568" s="10" t="str">
        <f t="shared" si="24"/>
        <v/>
      </c>
      <c r="I568" s="53" t="str">
        <f t="shared" si="25"/>
        <v/>
      </c>
      <c r="N568" s="8">
        <v>0</v>
      </c>
      <c r="Q568" s="1"/>
      <c r="R568" s="1"/>
      <c r="S568" s="1"/>
      <c r="T568" s="8"/>
      <c r="U568" s="8"/>
      <c r="V568" s="1"/>
      <c r="W568" s="1"/>
      <c r="X568" s="1"/>
      <c r="Z568" s="8"/>
    </row>
    <row r="569" spans="1:26" x14ac:dyDescent="0.2">
      <c r="A569" s="12">
        <f t="shared" si="26"/>
        <v>557</v>
      </c>
      <c r="E569" s="10" t="str">
        <f t="shared" si="24"/>
        <v/>
      </c>
      <c r="I569" s="53" t="str">
        <f t="shared" si="25"/>
        <v/>
      </c>
      <c r="N569" s="8">
        <v>0</v>
      </c>
      <c r="Q569" s="1"/>
      <c r="R569" s="1"/>
      <c r="S569" s="1"/>
      <c r="T569" s="8"/>
      <c r="U569" s="8"/>
      <c r="V569" s="1"/>
      <c r="W569" s="1"/>
      <c r="X569" s="1"/>
      <c r="Z569" s="8"/>
    </row>
    <row r="570" spans="1:26" x14ac:dyDescent="0.2">
      <c r="A570" s="12">
        <f t="shared" si="26"/>
        <v>558</v>
      </c>
      <c r="E570" s="10" t="str">
        <f t="shared" si="24"/>
        <v/>
      </c>
      <c r="I570" s="53" t="str">
        <f t="shared" si="25"/>
        <v/>
      </c>
      <c r="N570" s="8">
        <v>0</v>
      </c>
      <c r="Q570" s="1"/>
      <c r="R570" s="1"/>
      <c r="S570" s="1"/>
      <c r="T570" s="8"/>
      <c r="U570" s="8"/>
      <c r="V570" s="1"/>
      <c r="W570" s="1"/>
      <c r="X570" s="1"/>
      <c r="Z570" s="8"/>
    </row>
    <row r="571" spans="1:26" x14ac:dyDescent="0.2">
      <c r="A571" s="12">
        <f t="shared" si="26"/>
        <v>559</v>
      </c>
      <c r="E571" s="10" t="str">
        <f t="shared" si="24"/>
        <v/>
      </c>
      <c r="I571" s="53" t="str">
        <f t="shared" si="25"/>
        <v/>
      </c>
      <c r="N571" s="8">
        <v>0</v>
      </c>
      <c r="Q571" s="1"/>
      <c r="R571" s="1"/>
      <c r="S571" s="1"/>
      <c r="T571" s="8"/>
      <c r="U571" s="8"/>
      <c r="V571" s="1"/>
      <c r="W571" s="1"/>
      <c r="X571" s="1"/>
      <c r="Z571" s="8"/>
    </row>
    <row r="572" spans="1:26" x14ac:dyDescent="0.2">
      <c r="A572" s="12">
        <f t="shared" si="26"/>
        <v>560</v>
      </c>
      <c r="E572" s="10" t="str">
        <f t="shared" si="24"/>
        <v/>
      </c>
      <c r="I572" s="53" t="str">
        <f t="shared" si="25"/>
        <v/>
      </c>
      <c r="N572" s="8">
        <v>0</v>
      </c>
      <c r="Q572" s="1"/>
      <c r="R572" s="1"/>
      <c r="S572" s="1"/>
      <c r="T572" s="8"/>
      <c r="U572" s="8"/>
      <c r="V572" s="1"/>
      <c r="W572" s="1"/>
      <c r="X572" s="1"/>
      <c r="Z572" s="8"/>
    </row>
    <row r="573" spans="1:26" x14ac:dyDescent="0.2">
      <c r="A573" s="12">
        <f t="shared" si="26"/>
        <v>561</v>
      </c>
      <c r="E573" s="10" t="str">
        <f t="shared" si="24"/>
        <v/>
      </c>
      <c r="I573" s="53" t="str">
        <f t="shared" si="25"/>
        <v/>
      </c>
      <c r="N573" s="8">
        <v>0</v>
      </c>
      <c r="Q573" s="1"/>
      <c r="R573" s="1"/>
      <c r="S573" s="1"/>
      <c r="T573" s="8"/>
      <c r="U573" s="8"/>
      <c r="V573" s="1"/>
      <c r="W573" s="1"/>
      <c r="X573" s="1"/>
      <c r="Z573" s="8"/>
    </row>
    <row r="574" spans="1:26" x14ac:dyDescent="0.2">
      <c r="A574" s="12">
        <f t="shared" si="26"/>
        <v>562</v>
      </c>
      <c r="E574" s="10" t="str">
        <f t="shared" si="24"/>
        <v/>
      </c>
      <c r="I574" s="53" t="str">
        <f t="shared" si="25"/>
        <v/>
      </c>
      <c r="N574" s="8">
        <v>0</v>
      </c>
      <c r="Q574" s="1"/>
      <c r="R574" s="1"/>
      <c r="S574" s="1"/>
      <c r="T574" s="8"/>
      <c r="U574" s="8"/>
      <c r="V574" s="1"/>
      <c r="W574" s="1"/>
      <c r="X574" s="1"/>
      <c r="Z574" s="8"/>
    </row>
    <row r="575" spans="1:26" x14ac:dyDescent="0.2">
      <c r="A575" s="12">
        <f t="shared" si="26"/>
        <v>563</v>
      </c>
      <c r="E575" s="10" t="str">
        <f t="shared" si="24"/>
        <v/>
      </c>
      <c r="I575" s="53" t="str">
        <f t="shared" si="25"/>
        <v/>
      </c>
      <c r="N575" s="8">
        <v>0</v>
      </c>
      <c r="Q575" s="1"/>
      <c r="R575" s="1"/>
      <c r="S575" s="1"/>
      <c r="T575" s="8"/>
      <c r="U575" s="8"/>
      <c r="V575" s="1"/>
      <c r="W575" s="1"/>
      <c r="X575" s="1"/>
      <c r="Z575" s="8"/>
    </row>
    <row r="576" spans="1:26" x14ac:dyDescent="0.2">
      <c r="A576" s="12">
        <f t="shared" si="26"/>
        <v>564</v>
      </c>
      <c r="E576" s="10" t="str">
        <f t="shared" si="24"/>
        <v/>
      </c>
      <c r="I576" s="53" t="str">
        <f t="shared" si="25"/>
        <v/>
      </c>
      <c r="N576" s="8">
        <v>0</v>
      </c>
      <c r="Q576" s="1"/>
      <c r="R576" s="1"/>
      <c r="S576" s="1"/>
      <c r="T576" s="8"/>
      <c r="U576" s="8"/>
      <c r="V576" s="1"/>
      <c r="W576" s="1"/>
      <c r="X576" s="1"/>
      <c r="Z576" s="8"/>
    </row>
    <row r="577" spans="1:26" x14ac:dyDescent="0.2">
      <c r="A577" s="12">
        <f t="shared" si="26"/>
        <v>565</v>
      </c>
      <c r="E577" s="10" t="str">
        <f t="shared" si="24"/>
        <v/>
      </c>
      <c r="I577" s="53" t="str">
        <f t="shared" si="25"/>
        <v/>
      </c>
      <c r="N577" s="8">
        <v>0</v>
      </c>
      <c r="Q577" s="1"/>
      <c r="R577" s="1"/>
      <c r="S577" s="1"/>
      <c r="T577" s="8"/>
      <c r="U577" s="8"/>
      <c r="V577" s="1"/>
      <c r="W577" s="1"/>
      <c r="X577" s="1"/>
      <c r="Z577" s="8"/>
    </row>
    <row r="578" spans="1:26" x14ac:dyDescent="0.2">
      <c r="A578" s="12">
        <f t="shared" si="26"/>
        <v>566</v>
      </c>
      <c r="E578" s="10" t="str">
        <f t="shared" si="24"/>
        <v/>
      </c>
      <c r="I578" s="53" t="str">
        <f t="shared" si="25"/>
        <v/>
      </c>
      <c r="N578" s="8">
        <v>0</v>
      </c>
      <c r="Q578" s="1"/>
      <c r="R578" s="1"/>
      <c r="S578" s="1"/>
      <c r="T578" s="8"/>
      <c r="U578" s="8"/>
      <c r="V578" s="1"/>
      <c r="W578" s="1"/>
      <c r="X578" s="1"/>
      <c r="Z578" s="8"/>
    </row>
    <row r="579" spans="1:26" x14ac:dyDescent="0.2">
      <c r="A579" s="12">
        <f t="shared" si="26"/>
        <v>567</v>
      </c>
      <c r="E579" s="10" t="str">
        <f t="shared" si="24"/>
        <v/>
      </c>
      <c r="I579" s="53" t="str">
        <f t="shared" si="25"/>
        <v/>
      </c>
      <c r="N579" s="8">
        <v>0</v>
      </c>
      <c r="Q579" s="1"/>
      <c r="R579" s="1"/>
      <c r="S579" s="1"/>
      <c r="T579" s="8"/>
      <c r="U579" s="8"/>
      <c r="V579" s="1"/>
      <c r="W579" s="1"/>
      <c r="X579" s="1"/>
      <c r="Z579" s="8"/>
    </row>
    <row r="580" spans="1:26" x14ac:dyDescent="0.2">
      <c r="A580" s="12">
        <f t="shared" si="26"/>
        <v>568</v>
      </c>
      <c r="E580" s="10" t="str">
        <f t="shared" si="24"/>
        <v/>
      </c>
      <c r="I580" s="53" t="str">
        <f t="shared" si="25"/>
        <v/>
      </c>
      <c r="N580" s="8">
        <v>0</v>
      </c>
      <c r="Q580" s="1"/>
      <c r="R580" s="1"/>
      <c r="S580" s="1"/>
      <c r="T580" s="8"/>
      <c r="U580" s="8"/>
      <c r="V580" s="1"/>
      <c r="W580" s="1"/>
      <c r="X580" s="1"/>
      <c r="Z580" s="8"/>
    </row>
    <row r="581" spans="1:26" x14ac:dyDescent="0.2">
      <c r="A581" s="12">
        <f t="shared" si="26"/>
        <v>569</v>
      </c>
      <c r="E581" s="10" t="str">
        <f t="shared" si="24"/>
        <v/>
      </c>
      <c r="I581" s="53" t="str">
        <f t="shared" si="25"/>
        <v/>
      </c>
      <c r="N581" s="8">
        <v>0</v>
      </c>
      <c r="Q581" s="1"/>
      <c r="R581" s="1"/>
      <c r="S581" s="1"/>
      <c r="T581" s="8"/>
      <c r="U581" s="8"/>
      <c r="V581" s="1"/>
      <c r="W581" s="1"/>
      <c r="X581" s="1"/>
      <c r="Z581" s="8"/>
    </row>
    <row r="582" spans="1:26" x14ac:dyDescent="0.2">
      <c r="A582" s="12">
        <f t="shared" si="26"/>
        <v>570</v>
      </c>
      <c r="E582" s="10" t="str">
        <f t="shared" si="24"/>
        <v/>
      </c>
      <c r="I582" s="53" t="str">
        <f t="shared" si="25"/>
        <v/>
      </c>
      <c r="N582" s="8">
        <v>0</v>
      </c>
      <c r="Q582" s="1"/>
      <c r="R582" s="1"/>
      <c r="S582" s="1"/>
      <c r="T582" s="8"/>
      <c r="U582" s="8"/>
      <c r="V582" s="1"/>
      <c r="W582" s="1"/>
      <c r="X582" s="1"/>
      <c r="Z582" s="8"/>
    </row>
    <row r="583" spans="1:26" x14ac:dyDescent="0.2">
      <c r="A583" s="12">
        <f t="shared" si="26"/>
        <v>571</v>
      </c>
      <c r="E583" s="10" t="str">
        <f t="shared" si="24"/>
        <v/>
      </c>
      <c r="I583" s="53" t="str">
        <f t="shared" si="25"/>
        <v/>
      </c>
      <c r="N583" s="8">
        <v>0</v>
      </c>
      <c r="Q583" s="1"/>
      <c r="R583" s="1"/>
      <c r="S583" s="1"/>
      <c r="T583" s="8"/>
      <c r="U583" s="8"/>
      <c r="V583" s="1"/>
      <c r="W583" s="1"/>
      <c r="X583" s="1"/>
      <c r="Z583" s="8"/>
    </row>
    <row r="584" spans="1:26" x14ac:dyDescent="0.2">
      <c r="A584" s="12">
        <f t="shared" si="26"/>
        <v>572</v>
      </c>
      <c r="E584" s="10" t="str">
        <f t="shared" si="24"/>
        <v/>
      </c>
      <c r="I584" s="53" t="str">
        <f t="shared" si="25"/>
        <v/>
      </c>
      <c r="N584" s="8">
        <v>0</v>
      </c>
      <c r="Q584" s="1"/>
      <c r="R584" s="1"/>
      <c r="S584" s="1"/>
      <c r="T584" s="8"/>
      <c r="U584" s="8"/>
      <c r="V584" s="1"/>
      <c r="W584" s="1"/>
      <c r="X584" s="1"/>
      <c r="Z584" s="8"/>
    </row>
    <row r="585" spans="1:26" x14ac:dyDescent="0.2">
      <c r="A585" s="12">
        <f t="shared" si="26"/>
        <v>573</v>
      </c>
      <c r="E585" s="10" t="str">
        <f t="shared" si="24"/>
        <v/>
      </c>
      <c r="I585" s="53" t="str">
        <f t="shared" si="25"/>
        <v/>
      </c>
      <c r="N585" s="8">
        <v>0</v>
      </c>
      <c r="Q585" s="1"/>
      <c r="R585" s="1"/>
      <c r="S585" s="1"/>
      <c r="T585" s="8"/>
      <c r="U585" s="8"/>
      <c r="V585" s="1"/>
      <c r="W585" s="1"/>
      <c r="X585" s="1"/>
      <c r="Z585" s="8"/>
    </row>
    <row r="586" spans="1:26" x14ac:dyDescent="0.2">
      <c r="A586" s="12">
        <f t="shared" si="26"/>
        <v>574</v>
      </c>
      <c r="E586" s="10" t="str">
        <f t="shared" si="24"/>
        <v/>
      </c>
      <c r="I586" s="53" t="str">
        <f t="shared" si="25"/>
        <v/>
      </c>
      <c r="N586" s="8">
        <v>0</v>
      </c>
      <c r="Q586" s="1"/>
      <c r="R586" s="1"/>
      <c r="S586" s="1"/>
      <c r="T586" s="8"/>
      <c r="U586" s="8"/>
      <c r="V586" s="1"/>
      <c r="W586" s="1"/>
      <c r="X586" s="1"/>
      <c r="Z586" s="8"/>
    </row>
    <row r="587" spans="1:26" x14ac:dyDescent="0.2">
      <c r="A587" s="12">
        <f t="shared" si="26"/>
        <v>575</v>
      </c>
      <c r="E587" s="10" t="str">
        <f t="shared" si="24"/>
        <v/>
      </c>
      <c r="I587" s="53" t="str">
        <f t="shared" si="25"/>
        <v/>
      </c>
      <c r="N587" s="8">
        <v>0</v>
      </c>
      <c r="Q587" s="1"/>
      <c r="R587" s="1"/>
      <c r="S587" s="1"/>
      <c r="T587" s="8"/>
      <c r="U587" s="8"/>
      <c r="V587" s="1"/>
      <c r="W587" s="1"/>
      <c r="X587" s="1"/>
      <c r="Z587" s="8"/>
    </row>
    <row r="588" spans="1:26" x14ac:dyDescent="0.2">
      <c r="A588" s="12">
        <f t="shared" si="26"/>
        <v>576</v>
      </c>
      <c r="E588" s="10" t="str">
        <f t="shared" si="24"/>
        <v/>
      </c>
      <c r="I588" s="53" t="str">
        <f t="shared" si="25"/>
        <v/>
      </c>
      <c r="N588" s="8">
        <v>0</v>
      </c>
      <c r="Q588" s="1"/>
      <c r="R588" s="1"/>
      <c r="S588" s="1"/>
      <c r="T588" s="8"/>
      <c r="U588" s="8"/>
      <c r="V588" s="1"/>
      <c r="W588" s="1"/>
      <c r="X588" s="1"/>
      <c r="Z588" s="8"/>
    </row>
    <row r="589" spans="1:26" x14ac:dyDescent="0.2">
      <c r="A589" s="12">
        <f t="shared" si="26"/>
        <v>577</v>
      </c>
      <c r="E589" s="10" t="str">
        <f t="shared" ref="E589:E652" si="27">IF($C$8&gt;=A589,$E$1&amp;" "&amp;A589,"")</f>
        <v/>
      </c>
      <c r="I589" s="53" t="str">
        <f t="shared" si="25"/>
        <v/>
      </c>
      <c r="N589" s="8">
        <v>0</v>
      </c>
      <c r="Q589" s="1"/>
      <c r="R589" s="1"/>
      <c r="S589" s="1"/>
      <c r="T589" s="8"/>
      <c r="U589" s="8"/>
      <c r="V589" s="1"/>
      <c r="W589" s="1"/>
      <c r="X589" s="1"/>
      <c r="Z589" s="8"/>
    </row>
    <row r="590" spans="1:26" x14ac:dyDescent="0.2">
      <c r="A590" s="12">
        <f t="shared" si="26"/>
        <v>578</v>
      </c>
      <c r="E590" s="10" t="str">
        <f t="shared" si="27"/>
        <v/>
      </c>
      <c r="I590" s="53" t="str">
        <f t="shared" ref="I590:I653" si="28">IF(E590="","",F590-G590-H590)</f>
        <v/>
      </c>
      <c r="N590" s="8">
        <v>0</v>
      </c>
      <c r="Q590" s="1"/>
      <c r="R590" s="1"/>
      <c r="S590" s="1"/>
      <c r="T590" s="8"/>
      <c r="U590" s="8"/>
      <c r="V590" s="1"/>
      <c r="W590" s="1"/>
      <c r="X590" s="1"/>
      <c r="Z590" s="8"/>
    </row>
    <row r="591" spans="1:26" x14ac:dyDescent="0.2">
      <c r="A591" s="12">
        <f t="shared" ref="A591:A654" si="29">A590+1</f>
        <v>579</v>
      </c>
      <c r="E591" s="10" t="str">
        <f t="shared" si="27"/>
        <v/>
      </c>
      <c r="I591" s="53" t="str">
        <f t="shared" si="28"/>
        <v/>
      </c>
      <c r="N591" s="8">
        <v>0</v>
      </c>
      <c r="Q591" s="1"/>
      <c r="R591" s="1"/>
      <c r="S591" s="1"/>
      <c r="T591" s="8"/>
      <c r="U591" s="8"/>
      <c r="V591" s="1"/>
      <c r="W591" s="1"/>
      <c r="X591" s="1"/>
      <c r="Z591" s="8"/>
    </row>
    <row r="592" spans="1:26" x14ac:dyDescent="0.2">
      <c r="A592" s="12">
        <f t="shared" si="29"/>
        <v>580</v>
      </c>
      <c r="E592" s="10" t="str">
        <f t="shared" si="27"/>
        <v/>
      </c>
      <c r="I592" s="53" t="str">
        <f t="shared" si="28"/>
        <v/>
      </c>
      <c r="N592" s="8">
        <v>0</v>
      </c>
      <c r="Q592" s="1"/>
      <c r="R592" s="1"/>
      <c r="S592" s="1"/>
      <c r="T592" s="8"/>
      <c r="U592" s="8"/>
      <c r="V592" s="1"/>
      <c r="W592" s="1"/>
      <c r="X592" s="1"/>
      <c r="Z592" s="8"/>
    </row>
    <row r="593" spans="1:26" x14ac:dyDescent="0.2">
      <c r="A593" s="12">
        <f t="shared" si="29"/>
        <v>581</v>
      </c>
      <c r="E593" s="10" t="str">
        <f t="shared" si="27"/>
        <v/>
      </c>
      <c r="I593" s="53" t="str">
        <f t="shared" si="28"/>
        <v/>
      </c>
      <c r="N593" s="8">
        <v>0</v>
      </c>
      <c r="Q593" s="1"/>
      <c r="R593" s="1"/>
      <c r="S593" s="1"/>
      <c r="T593" s="8"/>
      <c r="U593" s="8"/>
      <c r="V593" s="1"/>
      <c r="W593" s="1"/>
      <c r="X593" s="1"/>
      <c r="Z593" s="8"/>
    </row>
    <row r="594" spans="1:26" x14ac:dyDescent="0.2">
      <c r="A594" s="12">
        <f t="shared" si="29"/>
        <v>582</v>
      </c>
      <c r="E594" s="10" t="str">
        <f t="shared" si="27"/>
        <v/>
      </c>
      <c r="I594" s="53" t="str">
        <f t="shared" si="28"/>
        <v/>
      </c>
      <c r="N594" s="8">
        <v>0</v>
      </c>
      <c r="Q594" s="1"/>
      <c r="R594" s="1"/>
      <c r="S594" s="1"/>
      <c r="T594" s="8"/>
      <c r="U594" s="8"/>
      <c r="V594" s="1"/>
      <c r="W594" s="1"/>
      <c r="X594" s="1"/>
      <c r="Z594" s="8"/>
    </row>
    <row r="595" spans="1:26" x14ac:dyDescent="0.2">
      <c r="A595" s="12">
        <f t="shared" si="29"/>
        <v>583</v>
      </c>
      <c r="E595" s="10" t="str">
        <f t="shared" si="27"/>
        <v/>
      </c>
      <c r="I595" s="53" t="str">
        <f t="shared" si="28"/>
        <v/>
      </c>
      <c r="N595" s="8">
        <v>0</v>
      </c>
      <c r="Q595" s="1"/>
      <c r="R595" s="1"/>
      <c r="S595" s="1"/>
      <c r="T595" s="8"/>
      <c r="U595" s="8"/>
      <c r="V595" s="1"/>
      <c r="W595" s="1"/>
      <c r="X595" s="1"/>
      <c r="Z595" s="8"/>
    </row>
    <row r="596" spans="1:26" x14ac:dyDescent="0.2">
      <c r="A596" s="12">
        <f t="shared" si="29"/>
        <v>584</v>
      </c>
      <c r="E596" s="10" t="str">
        <f t="shared" si="27"/>
        <v/>
      </c>
      <c r="I596" s="53" t="str">
        <f t="shared" si="28"/>
        <v/>
      </c>
      <c r="N596" s="8">
        <v>0</v>
      </c>
      <c r="Q596" s="1"/>
      <c r="R596" s="1"/>
      <c r="S596" s="1"/>
      <c r="T596" s="8"/>
      <c r="U596" s="8"/>
      <c r="V596" s="1"/>
      <c r="W596" s="1"/>
      <c r="X596" s="1"/>
      <c r="Z596" s="8"/>
    </row>
    <row r="597" spans="1:26" x14ac:dyDescent="0.2">
      <c r="A597" s="12">
        <f t="shared" si="29"/>
        <v>585</v>
      </c>
      <c r="E597" s="10" t="str">
        <f t="shared" si="27"/>
        <v/>
      </c>
      <c r="I597" s="53" t="str">
        <f t="shared" si="28"/>
        <v/>
      </c>
      <c r="N597" s="8">
        <v>0</v>
      </c>
      <c r="Q597" s="1"/>
      <c r="R597" s="1"/>
      <c r="S597" s="1"/>
      <c r="T597" s="8"/>
      <c r="U597" s="8"/>
      <c r="V597" s="1"/>
      <c r="W597" s="1"/>
      <c r="X597" s="1"/>
      <c r="Z597" s="8"/>
    </row>
    <row r="598" spans="1:26" x14ac:dyDescent="0.2">
      <c r="A598" s="12">
        <f t="shared" si="29"/>
        <v>586</v>
      </c>
      <c r="E598" s="10" t="str">
        <f t="shared" si="27"/>
        <v/>
      </c>
      <c r="I598" s="53" t="str">
        <f t="shared" si="28"/>
        <v/>
      </c>
      <c r="N598" s="8">
        <v>0</v>
      </c>
      <c r="Q598" s="1"/>
      <c r="R598" s="1"/>
      <c r="S598" s="1"/>
      <c r="T598" s="8"/>
      <c r="U598" s="8"/>
      <c r="V598" s="1"/>
      <c r="W598" s="1"/>
      <c r="X598" s="1"/>
      <c r="Z598" s="8"/>
    </row>
    <row r="599" spans="1:26" x14ac:dyDescent="0.2">
      <c r="A599" s="12">
        <f t="shared" si="29"/>
        <v>587</v>
      </c>
      <c r="E599" s="10" t="str">
        <f t="shared" si="27"/>
        <v/>
      </c>
      <c r="I599" s="53" t="str">
        <f t="shared" si="28"/>
        <v/>
      </c>
      <c r="N599" s="8">
        <v>0</v>
      </c>
      <c r="Q599" s="1"/>
      <c r="R599" s="1"/>
      <c r="S599" s="1"/>
      <c r="T599" s="8"/>
      <c r="U599" s="8"/>
      <c r="V599" s="1"/>
      <c r="W599" s="1"/>
      <c r="X599" s="1"/>
      <c r="Z599" s="8"/>
    </row>
    <row r="600" spans="1:26" x14ac:dyDescent="0.2">
      <c r="A600" s="12">
        <f t="shared" si="29"/>
        <v>588</v>
      </c>
      <c r="E600" s="10" t="str">
        <f t="shared" si="27"/>
        <v/>
      </c>
      <c r="I600" s="53" t="str">
        <f t="shared" si="28"/>
        <v/>
      </c>
      <c r="N600" s="8">
        <v>0</v>
      </c>
      <c r="Q600" s="1"/>
      <c r="R600" s="1"/>
      <c r="S600" s="1"/>
      <c r="T600" s="8"/>
      <c r="U600" s="8"/>
      <c r="V600" s="1"/>
      <c r="W600" s="1"/>
      <c r="X600" s="1"/>
      <c r="Z600" s="8"/>
    </row>
    <row r="601" spans="1:26" x14ac:dyDescent="0.2">
      <c r="A601" s="12">
        <f t="shared" si="29"/>
        <v>589</v>
      </c>
      <c r="E601" s="10" t="str">
        <f t="shared" si="27"/>
        <v/>
      </c>
      <c r="I601" s="53" t="str">
        <f t="shared" si="28"/>
        <v/>
      </c>
      <c r="N601" s="8">
        <v>0</v>
      </c>
      <c r="Q601" s="1"/>
      <c r="R601" s="1"/>
      <c r="S601" s="1"/>
      <c r="T601" s="8"/>
      <c r="U601" s="8"/>
      <c r="V601" s="1"/>
      <c r="W601" s="1"/>
      <c r="X601" s="1"/>
      <c r="Z601" s="8"/>
    </row>
    <row r="602" spans="1:26" x14ac:dyDescent="0.2">
      <c r="A602" s="12">
        <f t="shared" si="29"/>
        <v>590</v>
      </c>
      <c r="E602" s="10" t="str">
        <f t="shared" si="27"/>
        <v/>
      </c>
      <c r="I602" s="53" t="str">
        <f t="shared" si="28"/>
        <v/>
      </c>
      <c r="N602" s="8">
        <v>0</v>
      </c>
      <c r="Q602" s="1"/>
      <c r="R602" s="1"/>
      <c r="S602" s="1"/>
      <c r="T602" s="8"/>
      <c r="U602" s="8"/>
      <c r="V602" s="1"/>
      <c r="W602" s="1"/>
      <c r="X602" s="1"/>
      <c r="Z602" s="8"/>
    </row>
    <row r="603" spans="1:26" x14ac:dyDescent="0.2">
      <c r="A603" s="12">
        <f t="shared" si="29"/>
        <v>591</v>
      </c>
      <c r="E603" s="10" t="str">
        <f t="shared" si="27"/>
        <v/>
      </c>
      <c r="I603" s="53" t="str">
        <f t="shared" si="28"/>
        <v/>
      </c>
      <c r="N603" s="8">
        <v>0</v>
      </c>
      <c r="Q603" s="1"/>
      <c r="R603" s="1"/>
      <c r="S603" s="1"/>
      <c r="T603" s="8"/>
      <c r="U603" s="8"/>
      <c r="V603" s="1"/>
      <c r="W603" s="1"/>
      <c r="X603" s="1"/>
      <c r="Z603" s="8"/>
    </row>
    <row r="604" spans="1:26" x14ac:dyDescent="0.2">
      <c r="A604" s="12">
        <f t="shared" si="29"/>
        <v>592</v>
      </c>
      <c r="E604" s="10" t="str">
        <f t="shared" si="27"/>
        <v/>
      </c>
      <c r="I604" s="53" t="str">
        <f t="shared" si="28"/>
        <v/>
      </c>
      <c r="N604" s="8">
        <v>0</v>
      </c>
      <c r="Q604" s="1"/>
      <c r="R604" s="1"/>
      <c r="S604" s="1"/>
      <c r="T604" s="8"/>
      <c r="U604" s="8"/>
      <c r="V604" s="1"/>
      <c r="W604" s="1"/>
      <c r="X604" s="1"/>
      <c r="Z604" s="8"/>
    </row>
    <row r="605" spans="1:26" x14ac:dyDescent="0.2">
      <c r="A605" s="12">
        <f t="shared" si="29"/>
        <v>593</v>
      </c>
      <c r="E605" s="10" t="str">
        <f t="shared" si="27"/>
        <v/>
      </c>
      <c r="I605" s="53" t="str">
        <f t="shared" si="28"/>
        <v/>
      </c>
      <c r="N605" s="8">
        <v>0</v>
      </c>
      <c r="Q605" s="1"/>
      <c r="R605" s="1"/>
      <c r="S605" s="1"/>
      <c r="T605" s="8"/>
      <c r="U605" s="8"/>
      <c r="V605" s="1"/>
      <c r="W605" s="1"/>
      <c r="X605" s="1"/>
      <c r="Z605" s="8"/>
    </row>
    <row r="606" spans="1:26" x14ac:dyDescent="0.2">
      <c r="A606" s="12">
        <f t="shared" si="29"/>
        <v>594</v>
      </c>
      <c r="E606" s="10" t="str">
        <f t="shared" si="27"/>
        <v/>
      </c>
      <c r="I606" s="53" t="str">
        <f t="shared" si="28"/>
        <v/>
      </c>
      <c r="N606" s="8">
        <v>0</v>
      </c>
      <c r="Q606" s="1"/>
      <c r="R606" s="1"/>
      <c r="S606" s="1"/>
      <c r="T606" s="8"/>
      <c r="U606" s="8"/>
      <c r="V606" s="1"/>
      <c r="W606" s="1"/>
      <c r="X606" s="1"/>
      <c r="Z606" s="8"/>
    </row>
    <row r="607" spans="1:26" x14ac:dyDescent="0.2">
      <c r="A607" s="12">
        <f t="shared" si="29"/>
        <v>595</v>
      </c>
      <c r="E607" s="10" t="str">
        <f t="shared" si="27"/>
        <v/>
      </c>
      <c r="I607" s="53" t="str">
        <f t="shared" si="28"/>
        <v/>
      </c>
      <c r="N607" s="8">
        <v>0</v>
      </c>
      <c r="Q607" s="1"/>
      <c r="R607" s="1"/>
      <c r="S607" s="1"/>
      <c r="T607" s="8"/>
      <c r="U607" s="8"/>
      <c r="V607" s="1"/>
      <c r="W607" s="1"/>
      <c r="X607" s="1"/>
      <c r="Z607" s="8"/>
    </row>
    <row r="608" spans="1:26" x14ac:dyDescent="0.2">
      <c r="A608" s="12">
        <f t="shared" si="29"/>
        <v>596</v>
      </c>
      <c r="E608" s="10" t="str">
        <f t="shared" si="27"/>
        <v/>
      </c>
      <c r="I608" s="53" t="str">
        <f t="shared" si="28"/>
        <v/>
      </c>
      <c r="N608" s="8">
        <v>0</v>
      </c>
      <c r="Q608" s="1"/>
      <c r="R608" s="1"/>
      <c r="S608" s="1"/>
      <c r="T608" s="8"/>
      <c r="U608" s="8"/>
      <c r="V608" s="1"/>
      <c r="W608" s="1"/>
      <c r="X608" s="1"/>
      <c r="Z608" s="8"/>
    </row>
    <row r="609" spans="1:26" x14ac:dyDescent="0.2">
      <c r="A609" s="12">
        <f t="shared" si="29"/>
        <v>597</v>
      </c>
      <c r="E609" s="10" t="str">
        <f t="shared" si="27"/>
        <v/>
      </c>
      <c r="I609" s="53" t="str">
        <f t="shared" si="28"/>
        <v/>
      </c>
      <c r="N609" s="8">
        <v>0</v>
      </c>
      <c r="Q609" s="1"/>
      <c r="R609" s="1"/>
      <c r="S609" s="1"/>
      <c r="T609" s="8"/>
      <c r="U609" s="8"/>
      <c r="V609" s="1"/>
      <c r="W609" s="1"/>
      <c r="X609" s="1"/>
      <c r="Z609" s="8"/>
    </row>
    <row r="610" spans="1:26" x14ac:dyDescent="0.2">
      <c r="A610" s="12">
        <f t="shared" si="29"/>
        <v>598</v>
      </c>
      <c r="E610" s="10" t="str">
        <f t="shared" si="27"/>
        <v/>
      </c>
      <c r="I610" s="53" t="str">
        <f t="shared" si="28"/>
        <v/>
      </c>
      <c r="N610" s="8">
        <v>0</v>
      </c>
      <c r="Q610" s="1"/>
      <c r="R610" s="1"/>
      <c r="S610" s="1"/>
      <c r="T610" s="8"/>
      <c r="U610" s="8"/>
      <c r="V610" s="1"/>
      <c r="W610" s="1"/>
      <c r="X610" s="1"/>
      <c r="Z610" s="8"/>
    </row>
    <row r="611" spans="1:26" x14ac:dyDescent="0.2">
      <c r="A611" s="12">
        <f t="shared" si="29"/>
        <v>599</v>
      </c>
      <c r="E611" s="10" t="str">
        <f t="shared" si="27"/>
        <v/>
      </c>
      <c r="I611" s="53" t="str">
        <f t="shared" si="28"/>
        <v/>
      </c>
      <c r="N611" s="8">
        <v>0</v>
      </c>
      <c r="Q611" s="1"/>
      <c r="R611" s="1"/>
      <c r="S611" s="1"/>
      <c r="T611" s="8"/>
      <c r="U611" s="8"/>
      <c r="V611" s="1"/>
      <c r="W611" s="1"/>
      <c r="X611" s="1"/>
      <c r="Z611" s="8"/>
    </row>
    <row r="612" spans="1:26" x14ac:dyDescent="0.2">
      <c r="A612" s="12">
        <f t="shared" si="29"/>
        <v>600</v>
      </c>
      <c r="E612" s="10" t="str">
        <f t="shared" si="27"/>
        <v/>
      </c>
      <c r="I612" s="53" t="str">
        <f t="shared" si="28"/>
        <v/>
      </c>
      <c r="N612" s="8">
        <v>0</v>
      </c>
      <c r="Q612" s="1"/>
      <c r="R612" s="1"/>
      <c r="S612" s="1"/>
      <c r="T612" s="8"/>
      <c r="U612" s="8"/>
      <c r="V612" s="1"/>
      <c r="W612" s="1"/>
      <c r="X612" s="1"/>
      <c r="Z612" s="8"/>
    </row>
    <row r="613" spans="1:26" x14ac:dyDescent="0.2">
      <c r="A613" s="12">
        <f t="shared" si="29"/>
        <v>601</v>
      </c>
      <c r="E613" s="10" t="str">
        <f t="shared" si="27"/>
        <v/>
      </c>
      <c r="I613" s="53" t="str">
        <f t="shared" si="28"/>
        <v/>
      </c>
      <c r="N613" s="8">
        <v>0</v>
      </c>
      <c r="Q613" s="1"/>
      <c r="R613" s="1"/>
      <c r="S613" s="1"/>
      <c r="T613" s="8"/>
      <c r="U613" s="8"/>
      <c r="V613" s="1"/>
      <c r="W613" s="1"/>
      <c r="X613" s="1"/>
      <c r="Z613" s="8"/>
    </row>
    <row r="614" spans="1:26" x14ac:dyDescent="0.2">
      <c r="A614" s="12">
        <f t="shared" si="29"/>
        <v>602</v>
      </c>
      <c r="E614" s="10" t="str">
        <f t="shared" si="27"/>
        <v/>
      </c>
      <c r="I614" s="53" t="str">
        <f t="shared" si="28"/>
        <v/>
      </c>
      <c r="N614" s="8">
        <v>0</v>
      </c>
      <c r="Q614" s="1"/>
      <c r="R614" s="1"/>
      <c r="S614" s="1"/>
      <c r="T614" s="8"/>
      <c r="U614" s="8"/>
      <c r="V614" s="1"/>
      <c r="W614" s="1"/>
      <c r="X614" s="1"/>
      <c r="Z614" s="8"/>
    </row>
    <row r="615" spans="1:26" x14ac:dyDescent="0.2">
      <c r="A615" s="12">
        <f t="shared" si="29"/>
        <v>603</v>
      </c>
      <c r="E615" s="10" t="str">
        <f t="shared" si="27"/>
        <v/>
      </c>
      <c r="I615" s="53" t="str">
        <f t="shared" si="28"/>
        <v/>
      </c>
      <c r="N615" s="8">
        <v>0</v>
      </c>
      <c r="Q615" s="1"/>
      <c r="R615" s="1"/>
      <c r="S615" s="1"/>
      <c r="T615" s="8"/>
      <c r="U615" s="8"/>
      <c r="V615" s="1"/>
      <c r="W615" s="1"/>
      <c r="X615" s="1"/>
      <c r="Z615" s="8"/>
    </row>
    <row r="616" spans="1:26" x14ac:dyDescent="0.2">
      <c r="A616" s="12">
        <f t="shared" si="29"/>
        <v>604</v>
      </c>
      <c r="E616" s="10" t="str">
        <f t="shared" si="27"/>
        <v/>
      </c>
      <c r="I616" s="53" t="str">
        <f t="shared" si="28"/>
        <v/>
      </c>
      <c r="N616" s="8">
        <v>0</v>
      </c>
      <c r="Q616" s="1"/>
      <c r="R616" s="1"/>
      <c r="S616" s="1"/>
      <c r="T616" s="8"/>
      <c r="U616" s="8"/>
      <c r="V616" s="1"/>
      <c r="W616" s="1"/>
      <c r="X616" s="1"/>
      <c r="Z616" s="8"/>
    </row>
    <row r="617" spans="1:26" x14ac:dyDescent="0.2">
      <c r="A617" s="12">
        <f t="shared" si="29"/>
        <v>605</v>
      </c>
      <c r="E617" s="10" t="str">
        <f t="shared" si="27"/>
        <v/>
      </c>
      <c r="I617" s="53" t="str">
        <f t="shared" si="28"/>
        <v/>
      </c>
      <c r="N617" s="8">
        <v>0</v>
      </c>
      <c r="Q617" s="1"/>
      <c r="R617" s="1"/>
      <c r="S617" s="1"/>
      <c r="T617" s="8"/>
      <c r="U617" s="8"/>
      <c r="V617" s="1"/>
      <c r="W617" s="1"/>
      <c r="X617" s="1"/>
      <c r="Z617" s="8"/>
    </row>
    <row r="618" spans="1:26" x14ac:dyDescent="0.2">
      <c r="A618" s="12">
        <f t="shared" si="29"/>
        <v>606</v>
      </c>
      <c r="E618" s="10" t="str">
        <f t="shared" si="27"/>
        <v/>
      </c>
      <c r="I618" s="53" t="str">
        <f t="shared" si="28"/>
        <v/>
      </c>
      <c r="N618" s="8">
        <v>0</v>
      </c>
      <c r="Q618" s="1"/>
      <c r="R618" s="1"/>
      <c r="S618" s="1"/>
      <c r="T618" s="8"/>
      <c r="U618" s="8"/>
      <c r="V618" s="1"/>
      <c r="W618" s="1"/>
      <c r="X618" s="1"/>
      <c r="Z618" s="8"/>
    </row>
    <row r="619" spans="1:26" x14ac:dyDescent="0.2">
      <c r="A619" s="12">
        <f t="shared" si="29"/>
        <v>607</v>
      </c>
      <c r="E619" s="10" t="str">
        <f t="shared" si="27"/>
        <v/>
      </c>
      <c r="I619" s="53" t="str">
        <f t="shared" si="28"/>
        <v/>
      </c>
      <c r="N619" s="8">
        <v>0</v>
      </c>
      <c r="Q619" s="1"/>
      <c r="R619" s="1"/>
      <c r="S619" s="1"/>
      <c r="T619" s="8"/>
      <c r="U619" s="8"/>
      <c r="V619" s="1"/>
      <c r="W619" s="1"/>
      <c r="X619" s="1"/>
      <c r="Z619" s="8"/>
    </row>
    <row r="620" spans="1:26" x14ac:dyDescent="0.2">
      <c r="A620" s="12">
        <f t="shared" si="29"/>
        <v>608</v>
      </c>
      <c r="E620" s="10" t="str">
        <f t="shared" si="27"/>
        <v/>
      </c>
      <c r="I620" s="53" t="str">
        <f t="shared" si="28"/>
        <v/>
      </c>
      <c r="N620" s="8">
        <v>0</v>
      </c>
      <c r="Q620" s="1"/>
      <c r="R620" s="1"/>
      <c r="S620" s="1"/>
      <c r="T620" s="8"/>
      <c r="U620" s="8"/>
      <c r="V620" s="1"/>
      <c r="W620" s="1"/>
      <c r="X620" s="1"/>
      <c r="Z620" s="8"/>
    </row>
    <row r="621" spans="1:26" x14ac:dyDescent="0.2">
      <c r="A621" s="12">
        <f t="shared" si="29"/>
        <v>609</v>
      </c>
      <c r="E621" s="10" t="str">
        <f t="shared" si="27"/>
        <v/>
      </c>
      <c r="I621" s="53" t="str">
        <f t="shared" si="28"/>
        <v/>
      </c>
      <c r="N621" s="8">
        <v>0</v>
      </c>
      <c r="Q621" s="1"/>
      <c r="R621" s="1"/>
      <c r="S621" s="1"/>
      <c r="T621" s="8"/>
      <c r="U621" s="8"/>
      <c r="V621" s="1"/>
      <c r="W621" s="1"/>
      <c r="X621" s="1"/>
      <c r="Z621" s="8"/>
    </row>
    <row r="622" spans="1:26" x14ac:dyDescent="0.2">
      <c r="A622" s="12">
        <f t="shared" si="29"/>
        <v>610</v>
      </c>
      <c r="E622" s="10" t="str">
        <f t="shared" si="27"/>
        <v/>
      </c>
      <c r="I622" s="53" t="str">
        <f t="shared" si="28"/>
        <v/>
      </c>
      <c r="N622" s="8">
        <v>0</v>
      </c>
      <c r="Q622" s="1"/>
      <c r="R622" s="1"/>
      <c r="S622" s="1"/>
      <c r="T622" s="8"/>
      <c r="U622" s="8"/>
      <c r="V622" s="1"/>
      <c r="W622" s="1"/>
      <c r="X622" s="1"/>
      <c r="Z622" s="8"/>
    </row>
    <row r="623" spans="1:26" x14ac:dyDescent="0.2">
      <c r="A623" s="12">
        <f t="shared" si="29"/>
        <v>611</v>
      </c>
      <c r="E623" s="10" t="str">
        <f t="shared" si="27"/>
        <v/>
      </c>
      <c r="I623" s="53" t="str">
        <f t="shared" si="28"/>
        <v/>
      </c>
      <c r="N623" s="8">
        <v>0</v>
      </c>
      <c r="Q623" s="1"/>
      <c r="R623" s="1"/>
      <c r="S623" s="1"/>
      <c r="T623" s="8"/>
      <c r="U623" s="8"/>
      <c r="V623" s="1"/>
      <c r="W623" s="1"/>
      <c r="X623" s="1"/>
      <c r="Z623" s="8"/>
    </row>
    <row r="624" spans="1:26" x14ac:dyDescent="0.2">
      <c r="A624" s="12">
        <f t="shared" si="29"/>
        <v>612</v>
      </c>
      <c r="E624" s="10" t="str">
        <f t="shared" si="27"/>
        <v/>
      </c>
      <c r="I624" s="53" t="str">
        <f t="shared" si="28"/>
        <v/>
      </c>
      <c r="N624" s="8">
        <v>0</v>
      </c>
      <c r="Q624" s="1"/>
      <c r="R624" s="1"/>
      <c r="S624" s="1"/>
      <c r="T624" s="8"/>
      <c r="U624" s="8"/>
      <c r="V624" s="1"/>
      <c r="W624" s="1"/>
      <c r="X624" s="1"/>
      <c r="Z624" s="8"/>
    </row>
    <row r="625" spans="1:26" x14ac:dyDescent="0.2">
      <c r="A625" s="12">
        <f t="shared" si="29"/>
        <v>613</v>
      </c>
      <c r="E625" s="10" t="str">
        <f t="shared" si="27"/>
        <v/>
      </c>
      <c r="I625" s="53" t="str">
        <f t="shared" si="28"/>
        <v/>
      </c>
      <c r="N625" s="8">
        <v>0</v>
      </c>
      <c r="Q625" s="1"/>
      <c r="R625" s="1"/>
      <c r="S625" s="1"/>
      <c r="T625" s="8"/>
      <c r="U625" s="8"/>
      <c r="V625" s="1"/>
      <c r="W625" s="1"/>
      <c r="X625" s="1"/>
      <c r="Z625" s="8"/>
    </row>
    <row r="626" spans="1:26" x14ac:dyDescent="0.2">
      <c r="A626" s="12">
        <f t="shared" si="29"/>
        <v>614</v>
      </c>
      <c r="E626" s="10" t="str">
        <f t="shared" si="27"/>
        <v/>
      </c>
      <c r="I626" s="53" t="str">
        <f t="shared" si="28"/>
        <v/>
      </c>
      <c r="N626" s="8">
        <v>0</v>
      </c>
      <c r="Q626" s="1"/>
      <c r="R626" s="1"/>
      <c r="S626" s="1"/>
      <c r="T626" s="8"/>
      <c r="U626" s="8"/>
      <c r="V626" s="1"/>
      <c r="W626" s="1"/>
      <c r="X626" s="1"/>
      <c r="Z626" s="8"/>
    </row>
    <row r="627" spans="1:26" x14ac:dyDescent="0.2">
      <c r="A627" s="12">
        <f t="shared" si="29"/>
        <v>615</v>
      </c>
      <c r="E627" s="10" t="str">
        <f t="shared" si="27"/>
        <v/>
      </c>
      <c r="I627" s="53" t="str">
        <f t="shared" si="28"/>
        <v/>
      </c>
      <c r="N627" s="8">
        <v>0</v>
      </c>
      <c r="Q627" s="1"/>
      <c r="R627" s="1"/>
      <c r="S627" s="1"/>
      <c r="T627" s="8"/>
      <c r="U627" s="8"/>
      <c r="V627" s="1"/>
      <c r="W627" s="1"/>
      <c r="X627" s="1"/>
      <c r="Z627" s="8"/>
    </row>
    <row r="628" spans="1:26" x14ac:dyDescent="0.2">
      <c r="A628" s="12">
        <f t="shared" si="29"/>
        <v>616</v>
      </c>
      <c r="E628" s="10" t="str">
        <f t="shared" si="27"/>
        <v/>
      </c>
      <c r="I628" s="53" t="str">
        <f t="shared" si="28"/>
        <v/>
      </c>
      <c r="N628" s="8">
        <v>0</v>
      </c>
      <c r="Q628" s="1"/>
      <c r="R628" s="1"/>
      <c r="S628" s="1"/>
      <c r="T628" s="8"/>
      <c r="U628" s="8"/>
      <c r="V628" s="1"/>
      <c r="W628" s="1"/>
      <c r="X628" s="1"/>
      <c r="Z628" s="8"/>
    </row>
    <row r="629" spans="1:26" x14ac:dyDescent="0.2">
      <c r="A629" s="12">
        <f t="shared" si="29"/>
        <v>617</v>
      </c>
      <c r="E629" s="10" t="str">
        <f t="shared" si="27"/>
        <v/>
      </c>
      <c r="I629" s="53" t="str">
        <f t="shared" si="28"/>
        <v/>
      </c>
      <c r="N629" s="8">
        <v>0</v>
      </c>
      <c r="Q629" s="1"/>
      <c r="R629" s="1"/>
      <c r="S629" s="1"/>
      <c r="T629" s="8"/>
      <c r="U629" s="8"/>
      <c r="V629" s="1"/>
      <c r="W629" s="1"/>
      <c r="X629" s="1"/>
      <c r="Z629" s="8"/>
    </row>
    <row r="630" spans="1:26" x14ac:dyDescent="0.2">
      <c r="A630" s="12">
        <f t="shared" si="29"/>
        <v>618</v>
      </c>
      <c r="E630" s="10" t="str">
        <f t="shared" si="27"/>
        <v/>
      </c>
      <c r="I630" s="53" t="str">
        <f t="shared" si="28"/>
        <v/>
      </c>
      <c r="N630" s="8">
        <v>0</v>
      </c>
      <c r="Q630" s="1"/>
      <c r="R630" s="1"/>
      <c r="S630" s="1"/>
      <c r="T630" s="8"/>
      <c r="U630" s="8"/>
      <c r="V630" s="1"/>
      <c r="W630" s="1"/>
      <c r="X630" s="1"/>
      <c r="Z630" s="8"/>
    </row>
    <row r="631" spans="1:26" x14ac:dyDescent="0.2">
      <c r="A631" s="12">
        <f t="shared" si="29"/>
        <v>619</v>
      </c>
      <c r="E631" s="10" t="str">
        <f t="shared" si="27"/>
        <v/>
      </c>
      <c r="I631" s="53" t="str">
        <f t="shared" si="28"/>
        <v/>
      </c>
      <c r="N631" s="8">
        <v>0</v>
      </c>
      <c r="Q631" s="1"/>
      <c r="R631" s="1"/>
      <c r="S631" s="1"/>
      <c r="T631" s="8"/>
      <c r="U631" s="8"/>
      <c r="V631" s="1"/>
      <c r="W631" s="1"/>
      <c r="X631" s="1"/>
      <c r="Z631" s="8"/>
    </row>
    <row r="632" spans="1:26" x14ac:dyDescent="0.2">
      <c r="A632" s="12">
        <f t="shared" si="29"/>
        <v>620</v>
      </c>
      <c r="E632" s="10" t="str">
        <f t="shared" si="27"/>
        <v/>
      </c>
      <c r="I632" s="53" t="str">
        <f t="shared" si="28"/>
        <v/>
      </c>
      <c r="N632" s="8">
        <v>0</v>
      </c>
      <c r="Q632" s="1"/>
      <c r="R632" s="1"/>
      <c r="S632" s="1"/>
      <c r="T632" s="8"/>
      <c r="U632" s="8"/>
      <c r="V632" s="1"/>
      <c r="W632" s="1"/>
      <c r="X632" s="1"/>
      <c r="Z632" s="8"/>
    </row>
    <row r="633" spans="1:26" x14ac:dyDescent="0.2">
      <c r="A633" s="12">
        <f t="shared" si="29"/>
        <v>621</v>
      </c>
      <c r="E633" s="10" t="str">
        <f t="shared" si="27"/>
        <v/>
      </c>
      <c r="I633" s="53" t="str">
        <f t="shared" si="28"/>
        <v/>
      </c>
      <c r="N633" s="8">
        <v>0</v>
      </c>
      <c r="Q633" s="1"/>
      <c r="R633" s="1"/>
      <c r="S633" s="1"/>
      <c r="T633" s="8"/>
      <c r="U633" s="8"/>
      <c r="V633" s="1"/>
      <c r="W633" s="1"/>
      <c r="X633" s="1"/>
      <c r="Z633" s="8"/>
    </row>
    <row r="634" spans="1:26" x14ac:dyDescent="0.2">
      <c r="A634" s="12">
        <f t="shared" si="29"/>
        <v>622</v>
      </c>
      <c r="E634" s="10" t="str">
        <f t="shared" si="27"/>
        <v/>
      </c>
      <c r="I634" s="53" t="str">
        <f t="shared" si="28"/>
        <v/>
      </c>
      <c r="N634" s="8">
        <v>0</v>
      </c>
      <c r="Q634" s="1"/>
      <c r="R634" s="1"/>
      <c r="S634" s="1"/>
      <c r="T634" s="8"/>
      <c r="U634" s="8"/>
      <c r="V634" s="1"/>
      <c r="W634" s="1"/>
      <c r="X634" s="1"/>
      <c r="Z634" s="8"/>
    </row>
    <row r="635" spans="1:26" x14ac:dyDescent="0.2">
      <c r="A635" s="12">
        <f t="shared" si="29"/>
        <v>623</v>
      </c>
      <c r="E635" s="10" t="str">
        <f t="shared" si="27"/>
        <v/>
      </c>
      <c r="I635" s="53" t="str">
        <f t="shared" si="28"/>
        <v/>
      </c>
      <c r="N635" s="8">
        <v>0</v>
      </c>
      <c r="Q635" s="1"/>
      <c r="R635" s="1"/>
      <c r="S635" s="1"/>
      <c r="T635" s="8"/>
      <c r="U635" s="8"/>
      <c r="V635" s="1"/>
      <c r="W635" s="1"/>
      <c r="X635" s="1"/>
      <c r="Z635" s="8"/>
    </row>
    <row r="636" spans="1:26" x14ac:dyDescent="0.2">
      <c r="A636" s="12">
        <f t="shared" si="29"/>
        <v>624</v>
      </c>
      <c r="E636" s="10" t="str">
        <f t="shared" si="27"/>
        <v/>
      </c>
      <c r="I636" s="53" t="str">
        <f t="shared" si="28"/>
        <v/>
      </c>
      <c r="N636" s="8">
        <v>0</v>
      </c>
      <c r="Q636" s="1"/>
      <c r="R636" s="1"/>
      <c r="S636" s="1"/>
      <c r="T636" s="8"/>
      <c r="U636" s="8"/>
      <c r="V636" s="1"/>
      <c r="W636" s="1"/>
      <c r="X636" s="1"/>
      <c r="Z636" s="8"/>
    </row>
    <row r="637" spans="1:26" x14ac:dyDescent="0.2">
      <c r="A637" s="12">
        <f t="shared" si="29"/>
        <v>625</v>
      </c>
      <c r="E637" s="10" t="str">
        <f t="shared" si="27"/>
        <v/>
      </c>
      <c r="I637" s="53" t="str">
        <f t="shared" si="28"/>
        <v/>
      </c>
      <c r="N637" s="8">
        <v>0</v>
      </c>
      <c r="Q637" s="1"/>
      <c r="R637" s="1"/>
      <c r="S637" s="1"/>
      <c r="T637" s="8"/>
      <c r="U637" s="8"/>
      <c r="V637" s="1"/>
      <c r="W637" s="1"/>
      <c r="X637" s="1"/>
      <c r="Z637" s="8"/>
    </row>
    <row r="638" spans="1:26" x14ac:dyDescent="0.2">
      <c r="A638" s="12">
        <f t="shared" si="29"/>
        <v>626</v>
      </c>
      <c r="E638" s="10" t="str">
        <f t="shared" si="27"/>
        <v/>
      </c>
      <c r="I638" s="53" t="str">
        <f t="shared" si="28"/>
        <v/>
      </c>
      <c r="N638" s="8">
        <v>0</v>
      </c>
      <c r="Q638" s="1"/>
      <c r="R638" s="1"/>
      <c r="S638" s="1"/>
      <c r="T638" s="8"/>
      <c r="U638" s="8"/>
      <c r="V638" s="1"/>
      <c r="W638" s="1"/>
      <c r="X638" s="1"/>
      <c r="Z638" s="8"/>
    </row>
    <row r="639" spans="1:26" x14ac:dyDescent="0.2">
      <c r="A639" s="12">
        <f t="shared" si="29"/>
        <v>627</v>
      </c>
      <c r="E639" s="10" t="str">
        <f t="shared" si="27"/>
        <v/>
      </c>
      <c r="I639" s="53" t="str">
        <f t="shared" si="28"/>
        <v/>
      </c>
      <c r="N639" s="8">
        <v>0</v>
      </c>
      <c r="Q639" s="1"/>
      <c r="R639" s="1"/>
      <c r="S639" s="1"/>
      <c r="T639" s="8"/>
      <c r="U639" s="8"/>
      <c r="V639" s="1"/>
      <c r="W639" s="1"/>
      <c r="X639" s="1"/>
      <c r="Z639" s="8"/>
    </row>
    <row r="640" spans="1:26" x14ac:dyDescent="0.2">
      <c r="A640" s="12">
        <f t="shared" si="29"/>
        <v>628</v>
      </c>
      <c r="E640" s="10" t="str">
        <f t="shared" si="27"/>
        <v/>
      </c>
      <c r="I640" s="53" t="str">
        <f t="shared" si="28"/>
        <v/>
      </c>
      <c r="N640" s="8">
        <v>0</v>
      </c>
      <c r="Q640" s="1"/>
      <c r="R640" s="1"/>
      <c r="S640" s="1"/>
      <c r="T640" s="8"/>
      <c r="U640" s="8"/>
      <c r="V640" s="1"/>
      <c r="W640" s="1"/>
      <c r="X640" s="1"/>
      <c r="Z640" s="8"/>
    </row>
    <row r="641" spans="1:26" x14ac:dyDescent="0.2">
      <c r="A641" s="12">
        <f t="shared" si="29"/>
        <v>629</v>
      </c>
      <c r="E641" s="10" t="str">
        <f t="shared" si="27"/>
        <v/>
      </c>
      <c r="I641" s="53" t="str">
        <f t="shared" si="28"/>
        <v/>
      </c>
      <c r="N641" s="8">
        <v>0</v>
      </c>
      <c r="Q641" s="1"/>
      <c r="R641" s="1"/>
      <c r="S641" s="1"/>
      <c r="T641" s="8"/>
      <c r="U641" s="8"/>
      <c r="V641" s="1"/>
      <c r="W641" s="1"/>
      <c r="X641" s="1"/>
      <c r="Z641" s="8"/>
    </row>
    <row r="642" spans="1:26" x14ac:dyDescent="0.2">
      <c r="A642" s="12">
        <f t="shared" si="29"/>
        <v>630</v>
      </c>
      <c r="E642" s="10" t="str">
        <f t="shared" si="27"/>
        <v/>
      </c>
      <c r="I642" s="53" t="str">
        <f t="shared" si="28"/>
        <v/>
      </c>
      <c r="N642" s="8">
        <v>0</v>
      </c>
      <c r="Q642" s="1"/>
      <c r="R642" s="1"/>
      <c r="S642" s="1"/>
      <c r="T642" s="8"/>
      <c r="U642" s="8"/>
      <c r="V642" s="1"/>
      <c r="W642" s="1"/>
      <c r="X642" s="1"/>
      <c r="Z642" s="8"/>
    </row>
    <row r="643" spans="1:26" x14ac:dyDescent="0.2">
      <c r="A643" s="12">
        <f t="shared" si="29"/>
        <v>631</v>
      </c>
      <c r="E643" s="10" t="str">
        <f t="shared" si="27"/>
        <v/>
      </c>
      <c r="I643" s="53" t="str">
        <f t="shared" si="28"/>
        <v/>
      </c>
      <c r="N643" s="8">
        <v>0</v>
      </c>
      <c r="Q643" s="1"/>
      <c r="R643" s="1"/>
      <c r="S643" s="1"/>
      <c r="T643" s="8"/>
      <c r="U643" s="8"/>
      <c r="V643" s="1"/>
      <c r="W643" s="1"/>
      <c r="X643" s="1"/>
      <c r="Z643" s="8"/>
    </row>
    <row r="644" spans="1:26" x14ac:dyDescent="0.2">
      <c r="A644" s="12">
        <f t="shared" si="29"/>
        <v>632</v>
      </c>
      <c r="E644" s="10" t="str">
        <f t="shared" si="27"/>
        <v/>
      </c>
      <c r="I644" s="53" t="str">
        <f t="shared" si="28"/>
        <v/>
      </c>
      <c r="N644" s="8">
        <v>0</v>
      </c>
      <c r="Q644" s="1"/>
      <c r="R644" s="1"/>
      <c r="S644" s="1"/>
      <c r="T644" s="8"/>
      <c r="U644" s="8"/>
      <c r="V644" s="1"/>
      <c r="W644" s="1"/>
      <c r="X644" s="1"/>
      <c r="Z644" s="8"/>
    </row>
    <row r="645" spans="1:26" x14ac:dyDescent="0.2">
      <c r="A645" s="12">
        <f t="shared" si="29"/>
        <v>633</v>
      </c>
      <c r="E645" s="10" t="str">
        <f t="shared" si="27"/>
        <v/>
      </c>
      <c r="I645" s="53" t="str">
        <f t="shared" si="28"/>
        <v/>
      </c>
      <c r="N645" s="8">
        <v>0</v>
      </c>
      <c r="Q645" s="1"/>
      <c r="R645" s="1"/>
      <c r="S645" s="1"/>
      <c r="T645" s="8"/>
      <c r="U645" s="8"/>
      <c r="V645" s="1"/>
      <c r="W645" s="1"/>
      <c r="X645" s="1"/>
      <c r="Z645" s="8"/>
    </row>
    <row r="646" spans="1:26" x14ac:dyDescent="0.2">
      <c r="A646" s="12">
        <f t="shared" si="29"/>
        <v>634</v>
      </c>
      <c r="E646" s="10" t="str">
        <f t="shared" si="27"/>
        <v/>
      </c>
      <c r="I646" s="53" t="str">
        <f t="shared" si="28"/>
        <v/>
      </c>
      <c r="N646" s="8">
        <v>0</v>
      </c>
      <c r="Q646" s="1"/>
      <c r="R646" s="1"/>
      <c r="S646" s="1"/>
      <c r="T646" s="8"/>
      <c r="U646" s="8"/>
      <c r="V646" s="1"/>
      <c r="W646" s="1"/>
      <c r="X646" s="1"/>
      <c r="Z646" s="8"/>
    </row>
    <row r="647" spans="1:26" x14ac:dyDescent="0.2">
      <c r="A647" s="12">
        <f t="shared" si="29"/>
        <v>635</v>
      </c>
      <c r="E647" s="10" t="str">
        <f t="shared" si="27"/>
        <v/>
      </c>
      <c r="I647" s="53" t="str">
        <f t="shared" si="28"/>
        <v/>
      </c>
      <c r="N647" s="8">
        <v>0</v>
      </c>
      <c r="Q647" s="1"/>
      <c r="R647" s="1"/>
      <c r="S647" s="1"/>
      <c r="T647" s="8"/>
      <c r="U647" s="8"/>
      <c r="V647" s="1"/>
      <c r="W647" s="1"/>
      <c r="X647" s="1"/>
      <c r="Z647" s="8"/>
    </row>
    <row r="648" spans="1:26" x14ac:dyDescent="0.2">
      <c r="A648" s="12">
        <f t="shared" si="29"/>
        <v>636</v>
      </c>
      <c r="E648" s="10" t="str">
        <f t="shared" si="27"/>
        <v/>
      </c>
      <c r="I648" s="53" t="str">
        <f t="shared" si="28"/>
        <v/>
      </c>
      <c r="N648" s="8">
        <v>0</v>
      </c>
      <c r="Q648" s="1"/>
      <c r="R648" s="1"/>
      <c r="S648" s="1"/>
      <c r="T648" s="8"/>
      <c r="U648" s="8"/>
      <c r="V648" s="1"/>
      <c r="W648" s="1"/>
      <c r="X648" s="1"/>
      <c r="Z648" s="8"/>
    </row>
    <row r="649" spans="1:26" x14ac:dyDescent="0.2">
      <c r="A649" s="12">
        <f t="shared" si="29"/>
        <v>637</v>
      </c>
      <c r="E649" s="10" t="str">
        <f t="shared" si="27"/>
        <v/>
      </c>
      <c r="I649" s="53" t="str">
        <f t="shared" si="28"/>
        <v/>
      </c>
      <c r="N649" s="8">
        <v>0</v>
      </c>
      <c r="Q649" s="1"/>
      <c r="R649" s="1"/>
      <c r="S649" s="1"/>
      <c r="T649" s="8"/>
      <c r="U649" s="8"/>
      <c r="V649" s="1"/>
      <c r="W649" s="1"/>
      <c r="X649" s="1"/>
      <c r="Z649" s="8"/>
    </row>
    <row r="650" spans="1:26" x14ac:dyDescent="0.2">
      <c r="A650" s="12">
        <f t="shared" si="29"/>
        <v>638</v>
      </c>
      <c r="E650" s="10" t="str">
        <f t="shared" si="27"/>
        <v/>
      </c>
      <c r="I650" s="53" t="str">
        <f t="shared" si="28"/>
        <v/>
      </c>
      <c r="N650" s="8">
        <v>0</v>
      </c>
      <c r="Q650" s="1"/>
      <c r="R650" s="1"/>
      <c r="S650" s="1"/>
      <c r="T650" s="8"/>
      <c r="U650" s="8"/>
      <c r="V650" s="1"/>
      <c r="W650" s="1"/>
      <c r="X650" s="1"/>
      <c r="Z650" s="8"/>
    </row>
    <row r="651" spans="1:26" x14ac:dyDescent="0.2">
      <c r="A651" s="12">
        <f t="shared" si="29"/>
        <v>639</v>
      </c>
      <c r="E651" s="10" t="str">
        <f t="shared" si="27"/>
        <v/>
      </c>
      <c r="I651" s="53" t="str">
        <f t="shared" si="28"/>
        <v/>
      </c>
      <c r="N651" s="8">
        <v>0</v>
      </c>
      <c r="Q651" s="1"/>
      <c r="R651" s="1"/>
      <c r="S651" s="1"/>
      <c r="T651" s="8"/>
      <c r="U651" s="8"/>
      <c r="V651" s="1"/>
      <c r="W651" s="1"/>
      <c r="X651" s="1"/>
      <c r="Z651" s="8"/>
    </row>
    <row r="652" spans="1:26" x14ac:dyDescent="0.2">
      <c r="A652" s="12">
        <f t="shared" si="29"/>
        <v>640</v>
      </c>
      <c r="E652" s="10" t="str">
        <f t="shared" si="27"/>
        <v/>
      </c>
      <c r="I652" s="53" t="str">
        <f t="shared" si="28"/>
        <v/>
      </c>
      <c r="N652" s="8">
        <v>0</v>
      </c>
      <c r="Q652" s="1"/>
      <c r="R652" s="1"/>
      <c r="S652" s="1"/>
      <c r="T652" s="8"/>
      <c r="U652" s="8"/>
      <c r="V652" s="1"/>
      <c r="W652" s="1"/>
      <c r="X652" s="1"/>
      <c r="Z652" s="8"/>
    </row>
    <row r="653" spans="1:26" x14ac:dyDescent="0.2">
      <c r="A653" s="12">
        <f t="shared" si="29"/>
        <v>641</v>
      </c>
      <c r="E653" s="10" t="str">
        <f t="shared" ref="E653:E716" si="30">IF($C$8&gt;=A653,$E$1&amp;" "&amp;A653,"")</f>
        <v/>
      </c>
      <c r="I653" s="53" t="str">
        <f t="shared" si="28"/>
        <v/>
      </c>
      <c r="N653" s="8">
        <v>0</v>
      </c>
      <c r="Q653" s="1"/>
      <c r="R653" s="1"/>
      <c r="S653" s="1"/>
      <c r="T653" s="8"/>
      <c r="U653" s="8"/>
      <c r="V653" s="1"/>
      <c r="W653" s="1"/>
      <c r="X653" s="1"/>
      <c r="Z653" s="8"/>
    </row>
    <row r="654" spans="1:26" x14ac:dyDescent="0.2">
      <c r="A654" s="12">
        <f t="shared" si="29"/>
        <v>642</v>
      </c>
      <c r="E654" s="10" t="str">
        <f t="shared" si="30"/>
        <v/>
      </c>
      <c r="I654" s="53" t="str">
        <f t="shared" ref="I654:I717" si="31">IF(E654="","",F654-G654-H654)</f>
        <v/>
      </c>
      <c r="N654" s="8">
        <v>0</v>
      </c>
      <c r="Q654" s="1"/>
      <c r="R654" s="1"/>
      <c r="S654" s="1"/>
      <c r="T654" s="8"/>
      <c r="U654" s="8"/>
      <c r="V654" s="1"/>
      <c r="W654" s="1"/>
      <c r="X654" s="1"/>
      <c r="Z654" s="8"/>
    </row>
    <row r="655" spans="1:26" x14ac:dyDescent="0.2">
      <c r="A655" s="12">
        <f t="shared" ref="A655:A718" si="32">A654+1</f>
        <v>643</v>
      </c>
      <c r="E655" s="10" t="str">
        <f t="shared" si="30"/>
        <v/>
      </c>
      <c r="I655" s="53" t="str">
        <f t="shared" si="31"/>
        <v/>
      </c>
      <c r="N655" s="8">
        <v>0</v>
      </c>
      <c r="Q655" s="1"/>
      <c r="R655" s="1"/>
      <c r="S655" s="1"/>
      <c r="T655" s="8"/>
      <c r="U655" s="8"/>
      <c r="V655" s="1"/>
      <c r="W655" s="1"/>
      <c r="X655" s="1"/>
      <c r="Z655" s="8"/>
    </row>
    <row r="656" spans="1:26" x14ac:dyDescent="0.2">
      <c r="A656" s="12">
        <f t="shared" si="32"/>
        <v>644</v>
      </c>
      <c r="E656" s="10" t="str">
        <f t="shared" si="30"/>
        <v/>
      </c>
      <c r="I656" s="53" t="str">
        <f t="shared" si="31"/>
        <v/>
      </c>
      <c r="N656" s="8">
        <v>0</v>
      </c>
      <c r="Q656" s="1"/>
      <c r="R656" s="1"/>
      <c r="S656" s="1"/>
      <c r="T656" s="8"/>
      <c r="U656" s="8"/>
      <c r="V656" s="1"/>
      <c r="W656" s="1"/>
      <c r="X656" s="1"/>
      <c r="Z656" s="8"/>
    </row>
    <row r="657" spans="1:26" x14ac:dyDescent="0.2">
      <c r="A657" s="12">
        <f t="shared" si="32"/>
        <v>645</v>
      </c>
      <c r="E657" s="10" t="str">
        <f t="shared" si="30"/>
        <v/>
      </c>
      <c r="I657" s="53" t="str">
        <f t="shared" si="31"/>
        <v/>
      </c>
      <c r="N657" s="8">
        <v>0</v>
      </c>
      <c r="Q657" s="1"/>
      <c r="R657" s="1"/>
      <c r="S657" s="1"/>
      <c r="T657" s="8"/>
      <c r="U657" s="8"/>
      <c r="V657" s="1"/>
      <c r="W657" s="1"/>
      <c r="X657" s="1"/>
      <c r="Z657" s="8"/>
    </row>
    <row r="658" spans="1:26" x14ac:dyDescent="0.2">
      <c r="A658" s="12">
        <f t="shared" si="32"/>
        <v>646</v>
      </c>
      <c r="E658" s="10" t="str">
        <f t="shared" si="30"/>
        <v/>
      </c>
      <c r="I658" s="53" t="str">
        <f t="shared" si="31"/>
        <v/>
      </c>
      <c r="N658" s="8">
        <v>0</v>
      </c>
      <c r="Q658" s="1"/>
      <c r="R658" s="1"/>
      <c r="S658" s="1"/>
      <c r="T658" s="8"/>
      <c r="U658" s="8"/>
      <c r="V658" s="1"/>
      <c r="W658" s="1"/>
      <c r="X658" s="1"/>
      <c r="Z658" s="8"/>
    </row>
    <row r="659" spans="1:26" x14ac:dyDescent="0.2">
      <c r="A659" s="12">
        <f t="shared" si="32"/>
        <v>647</v>
      </c>
      <c r="E659" s="10" t="str">
        <f t="shared" si="30"/>
        <v/>
      </c>
      <c r="I659" s="53" t="str">
        <f t="shared" si="31"/>
        <v/>
      </c>
      <c r="N659" s="8">
        <v>0</v>
      </c>
      <c r="Q659" s="1"/>
      <c r="R659" s="1"/>
      <c r="S659" s="1"/>
      <c r="T659" s="8"/>
      <c r="U659" s="8"/>
      <c r="V659" s="1"/>
      <c r="W659" s="1"/>
      <c r="X659" s="1"/>
      <c r="Z659" s="8"/>
    </row>
    <row r="660" spans="1:26" x14ac:dyDescent="0.2">
      <c r="A660" s="12">
        <f t="shared" si="32"/>
        <v>648</v>
      </c>
      <c r="E660" s="10" t="str">
        <f t="shared" si="30"/>
        <v/>
      </c>
      <c r="I660" s="53" t="str">
        <f t="shared" si="31"/>
        <v/>
      </c>
      <c r="N660" s="8">
        <v>0</v>
      </c>
      <c r="Q660" s="1"/>
      <c r="R660" s="1"/>
      <c r="S660" s="1"/>
      <c r="T660" s="8"/>
      <c r="U660" s="8"/>
      <c r="V660" s="1"/>
      <c r="W660" s="1"/>
      <c r="X660" s="1"/>
      <c r="Z660" s="8"/>
    </row>
    <row r="661" spans="1:26" x14ac:dyDescent="0.2">
      <c r="A661" s="12">
        <f t="shared" si="32"/>
        <v>649</v>
      </c>
      <c r="E661" s="10" t="str">
        <f t="shared" si="30"/>
        <v/>
      </c>
      <c r="I661" s="53" t="str">
        <f t="shared" si="31"/>
        <v/>
      </c>
      <c r="N661" s="8">
        <v>0</v>
      </c>
      <c r="Q661" s="1"/>
      <c r="R661" s="1"/>
      <c r="S661" s="1"/>
      <c r="T661" s="8"/>
      <c r="U661" s="8"/>
      <c r="V661" s="1"/>
      <c r="W661" s="1"/>
      <c r="X661" s="1"/>
      <c r="Z661" s="8"/>
    </row>
    <row r="662" spans="1:26" x14ac:dyDescent="0.2">
      <c r="A662" s="12">
        <f t="shared" si="32"/>
        <v>650</v>
      </c>
      <c r="E662" s="10" t="str">
        <f t="shared" si="30"/>
        <v/>
      </c>
      <c r="I662" s="53" t="str">
        <f t="shared" si="31"/>
        <v/>
      </c>
      <c r="N662" s="8">
        <v>0</v>
      </c>
      <c r="Q662" s="1"/>
      <c r="R662" s="1"/>
      <c r="S662" s="1"/>
      <c r="T662" s="8"/>
      <c r="U662" s="8"/>
      <c r="V662" s="1"/>
      <c r="W662" s="1"/>
      <c r="X662" s="1"/>
      <c r="Z662" s="8"/>
    </row>
    <row r="663" spans="1:26" x14ac:dyDescent="0.2">
      <c r="A663" s="12">
        <f t="shared" si="32"/>
        <v>651</v>
      </c>
      <c r="E663" s="10" t="str">
        <f t="shared" si="30"/>
        <v/>
      </c>
      <c r="I663" s="53" t="str">
        <f t="shared" si="31"/>
        <v/>
      </c>
      <c r="N663" s="8">
        <v>0</v>
      </c>
      <c r="Q663" s="1"/>
      <c r="R663" s="1"/>
      <c r="S663" s="1"/>
      <c r="T663" s="8"/>
      <c r="U663" s="8"/>
      <c r="V663" s="1"/>
      <c r="W663" s="1"/>
      <c r="X663" s="1"/>
      <c r="Z663" s="8"/>
    </row>
    <row r="664" spans="1:26" x14ac:dyDescent="0.2">
      <c r="A664" s="12">
        <f t="shared" si="32"/>
        <v>652</v>
      </c>
      <c r="E664" s="10" t="str">
        <f t="shared" si="30"/>
        <v/>
      </c>
      <c r="I664" s="53" t="str">
        <f t="shared" si="31"/>
        <v/>
      </c>
      <c r="N664" s="8">
        <v>0</v>
      </c>
      <c r="Q664" s="1"/>
      <c r="R664" s="1"/>
      <c r="S664" s="1"/>
      <c r="T664" s="8"/>
      <c r="U664" s="8"/>
      <c r="V664" s="1"/>
      <c r="W664" s="1"/>
      <c r="X664" s="1"/>
      <c r="Z664" s="8"/>
    </row>
    <row r="665" spans="1:26" x14ac:dyDescent="0.2">
      <c r="A665" s="12">
        <f t="shared" si="32"/>
        <v>653</v>
      </c>
      <c r="E665" s="10" t="str">
        <f t="shared" si="30"/>
        <v/>
      </c>
      <c r="I665" s="53" t="str">
        <f t="shared" si="31"/>
        <v/>
      </c>
      <c r="N665" s="8">
        <v>0</v>
      </c>
      <c r="Q665" s="1"/>
      <c r="R665" s="1"/>
      <c r="S665" s="1"/>
      <c r="T665" s="8"/>
      <c r="U665" s="8"/>
      <c r="V665" s="1"/>
      <c r="W665" s="1"/>
      <c r="X665" s="1"/>
      <c r="Z665" s="8"/>
    </row>
    <row r="666" spans="1:26" x14ac:dyDescent="0.2">
      <c r="A666" s="12">
        <f t="shared" si="32"/>
        <v>654</v>
      </c>
      <c r="E666" s="10" t="str">
        <f t="shared" si="30"/>
        <v/>
      </c>
      <c r="I666" s="53" t="str">
        <f t="shared" si="31"/>
        <v/>
      </c>
      <c r="N666" s="8">
        <v>0</v>
      </c>
      <c r="Q666" s="1"/>
      <c r="R666" s="1"/>
      <c r="S666" s="1"/>
      <c r="T666" s="8"/>
      <c r="U666" s="8"/>
      <c r="V666" s="1"/>
      <c r="W666" s="1"/>
      <c r="X666" s="1"/>
      <c r="Z666" s="8"/>
    </row>
    <row r="667" spans="1:26" x14ac:dyDescent="0.2">
      <c r="A667" s="12">
        <f t="shared" si="32"/>
        <v>655</v>
      </c>
      <c r="E667" s="10" t="str">
        <f t="shared" si="30"/>
        <v/>
      </c>
      <c r="I667" s="53" t="str">
        <f t="shared" si="31"/>
        <v/>
      </c>
      <c r="N667" s="8">
        <v>0</v>
      </c>
      <c r="Q667" s="1"/>
      <c r="R667" s="1"/>
      <c r="S667" s="1"/>
      <c r="T667" s="8"/>
      <c r="U667" s="8"/>
      <c r="V667" s="1"/>
      <c r="W667" s="1"/>
      <c r="X667" s="1"/>
      <c r="Z667" s="8"/>
    </row>
    <row r="668" spans="1:26" x14ac:dyDescent="0.2">
      <c r="A668" s="12">
        <f t="shared" si="32"/>
        <v>656</v>
      </c>
      <c r="E668" s="10" t="str">
        <f t="shared" si="30"/>
        <v/>
      </c>
      <c r="I668" s="53" t="str">
        <f t="shared" si="31"/>
        <v/>
      </c>
      <c r="N668" s="8">
        <v>0</v>
      </c>
      <c r="Q668" s="1"/>
      <c r="R668" s="1"/>
      <c r="S668" s="1"/>
      <c r="T668" s="8"/>
      <c r="U668" s="8"/>
      <c r="V668" s="1"/>
      <c r="W668" s="1"/>
      <c r="X668" s="1"/>
      <c r="Z668" s="8"/>
    </row>
    <row r="669" spans="1:26" x14ac:dyDescent="0.2">
      <c r="A669" s="12">
        <f t="shared" si="32"/>
        <v>657</v>
      </c>
      <c r="E669" s="10" t="str">
        <f t="shared" si="30"/>
        <v/>
      </c>
      <c r="I669" s="53" t="str">
        <f t="shared" si="31"/>
        <v/>
      </c>
      <c r="N669" s="8">
        <v>0</v>
      </c>
      <c r="Q669" s="1"/>
      <c r="R669" s="1"/>
      <c r="S669" s="1"/>
      <c r="T669" s="8"/>
      <c r="U669" s="8"/>
      <c r="V669" s="1"/>
      <c r="W669" s="1"/>
      <c r="X669" s="1"/>
      <c r="Z669" s="8"/>
    </row>
    <row r="670" spans="1:26" x14ac:dyDescent="0.2">
      <c r="A670" s="12">
        <f t="shared" si="32"/>
        <v>658</v>
      </c>
      <c r="E670" s="10" t="str">
        <f t="shared" si="30"/>
        <v/>
      </c>
      <c r="I670" s="53" t="str">
        <f t="shared" si="31"/>
        <v/>
      </c>
      <c r="N670" s="8">
        <v>0</v>
      </c>
      <c r="Q670" s="1"/>
      <c r="R670" s="1"/>
      <c r="S670" s="1"/>
      <c r="T670" s="8"/>
      <c r="U670" s="8"/>
      <c r="V670" s="1"/>
      <c r="W670" s="1"/>
      <c r="X670" s="1"/>
      <c r="Z670" s="8"/>
    </row>
    <row r="671" spans="1:26" x14ac:dyDescent="0.2">
      <c r="A671" s="12">
        <f t="shared" si="32"/>
        <v>659</v>
      </c>
      <c r="E671" s="10" t="str">
        <f t="shared" si="30"/>
        <v/>
      </c>
      <c r="I671" s="53" t="str">
        <f t="shared" si="31"/>
        <v/>
      </c>
      <c r="N671" s="8">
        <v>0</v>
      </c>
      <c r="Q671" s="1"/>
      <c r="R671" s="1"/>
      <c r="S671" s="1"/>
      <c r="T671" s="8"/>
      <c r="U671" s="8"/>
      <c r="V671" s="1"/>
      <c r="W671" s="1"/>
      <c r="X671" s="1"/>
      <c r="Z671" s="8"/>
    </row>
    <row r="672" spans="1:26" x14ac:dyDescent="0.2">
      <c r="A672" s="12">
        <f t="shared" si="32"/>
        <v>660</v>
      </c>
      <c r="E672" s="10" t="str">
        <f t="shared" si="30"/>
        <v/>
      </c>
      <c r="I672" s="53" t="str">
        <f t="shared" si="31"/>
        <v/>
      </c>
      <c r="N672" s="8">
        <v>0</v>
      </c>
      <c r="Q672" s="1"/>
      <c r="R672" s="1"/>
      <c r="S672" s="1"/>
      <c r="T672" s="8"/>
      <c r="U672" s="8"/>
      <c r="V672" s="1"/>
      <c r="W672" s="1"/>
      <c r="X672" s="1"/>
      <c r="Z672" s="8"/>
    </row>
    <row r="673" spans="1:26" x14ac:dyDescent="0.2">
      <c r="A673" s="12">
        <f t="shared" si="32"/>
        <v>661</v>
      </c>
      <c r="E673" s="10" t="str">
        <f t="shared" si="30"/>
        <v/>
      </c>
      <c r="I673" s="53" t="str">
        <f t="shared" si="31"/>
        <v/>
      </c>
      <c r="N673" s="8">
        <v>0</v>
      </c>
      <c r="Q673" s="1"/>
      <c r="R673" s="1"/>
      <c r="S673" s="1"/>
      <c r="T673" s="8"/>
      <c r="U673" s="8"/>
      <c r="V673" s="1"/>
      <c r="W673" s="1"/>
      <c r="X673" s="1"/>
      <c r="Z673" s="8"/>
    </row>
    <row r="674" spans="1:26" x14ac:dyDescent="0.2">
      <c r="A674" s="12">
        <f t="shared" si="32"/>
        <v>662</v>
      </c>
      <c r="E674" s="10" t="str">
        <f t="shared" si="30"/>
        <v/>
      </c>
      <c r="I674" s="53" t="str">
        <f t="shared" si="31"/>
        <v/>
      </c>
      <c r="N674" s="8">
        <v>0</v>
      </c>
      <c r="Q674" s="1"/>
      <c r="R674" s="1"/>
      <c r="S674" s="1"/>
      <c r="T674" s="8"/>
      <c r="U674" s="8"/>
      <c r="V674" s="1"/>
      <c r="W674" s="1"/>
      <c r="X674" s="1"/>
      <c r="Z674" s="8"/>
    </row>
    <row r="675" spans="1:26" x14ac:dyDescent="0.2">
      <c r="A675" s="12">
        <f t="shared" si="32"/>
        <v>663</v>
      </c>
      <c r="E675" s="10" t="str">
        <f t="shared" si="30"/>
        <v/>
      </c>
      <c r="I675" s="53" t="str">
        <f t="shared" si="31"/>
        <v/>
      </c>
      <c r="N675" s="8">
        <v>0</v>
      </c>
      <c r="Q675" s="1"/>
      <c r="R675" s="1"/>
      <c r="S675" s="1"/>
      <c r="T675" s="8"/>
      <c r="U675" s="8"/>
      <c r="V675" s="1"/>
      <c r="W675" s="1"/>
      <c r="X675" s="1"/>
      <c r="Z675" s="8"/>
    </row>
    <row r="676" spans="1:26" x14ac:dyDescent="0.2">
      <c r="A676" s="12">
        <f t="shared" si="32"/>
        <v>664</v>
      </c>
      <c r="E676" s="10" t="str">
        <f t="shared" si="30"/>
        <v/>
      </c>
      <c r="I676" s="53" t="str">
        <f t="shared" si="31"/>
        <v/>
      </c>
      <c r="N676" s="8">
        <v>0</v>
      </c>
      <c r="Q676" s="1"/>
      <c r="R676" s="1"/>
      <c r="S676" s="1"/>
      <c r="T676" s="8"/>
      <c r="U676" s="8"/>
      <c r="V676" s="1"/>
      <c r="W676" s="1"/>
      <c r="X676" s="1"/>
      <c r="Z676" s="8"/>
    </row>
    <row r="677" spans="1:26" x14ac:dyDescent="0.2">
      <c r="A677" s="12">
        <f t="shared" si="32"/>
        <v>665</v>
      </c>
      <c r="E677" s="10" t="str">
        <f t="shared" si="30"/>
        <v/>
      </c>
      <c r="I677" s="53" t="str">
        <f t="shared" si="31"/>
        <v/>
      </c>
      <c r="N677" s="8">
        <v>0</v>
      </c>
      <c r="Q677" s="1"/>
      <c r="R677" s="1"/>
      <c r="S677" s="1"/>
      <c r="T677" s="8"/>
      <c r="U677" s="8"/>
      <c r="V677" s="1"/>
      <c r="W677" s="1"/>
      <c r="X677" s="1"/>
      <c r="Z677" s="8"/>
    </row>
    <row r="678" spans="1:26" x14ac:dyDescent="0.2">
      <c r="A678" s="12">
        <f t="shared" si="32"/>
        <v>666</v>
      </c>
      <c r="E678" s="10" t="str">
        <f t="shared" si="30"/>
        <v/>
      </c>
      <c r="I678" s="53" t="str">
        <f t="shared" si="31"/>
        <v/>
      </c>
      <c r="N678" s="8">
        <v>0</v>
      </c>
      <c r="Q678" s="1"/>
      <c r="R678" s="1"/>
      <c r="S678" s="1"/>
      <c r="T678" s="8"/>
      <c r="U678" s="8"/>
      <c r="V678" s="1"/>
      <c r="W678" s="1"/>
      <c r="X678" s="1"/>
      <c r="Z678" s="8"/>
    </row>
    <row r="679" spans="1:26" x14ac:dyDescent="0.2">
      <c r="A679" s="12">
        <f t="shared" si="32"/>
        <v>667</v>
      </c>
      <c r="E679" s="10" t="str">
        <f t="shared" si="30"/>
        <v/>
      </c>
      <c r="I679" s="53" t="str">
        <f t="shared" si="31"/>
        <v/>
      </c>
      <c r="N679" s="8">
        <v>0</v>
      </c>
      <c r="Q679" s="1"/>
      <c r="R679" s="1"/>
      <c r="S679" s="1"/>
      <c r="T679" s="8"/>
      <c r="U679" s="8"/>
      <c r="V679" s="1"/>
      <c r="W679" s="1"/>
      <c r="X679" s="1"/>
      <c r="Z679" s="8"/>
    </row>
    <row r="680" spans="1:26" x14ac:dyDescent="0.2">
      <c r="A680" s="12">
        <f t="shared" si="32"/>
        <v>668</v>
      </c>
      <c r="E680" s="10" t="str">
        <f t="shared" si="30"/>
        <v/>
      </c>
      <c r="I680" s="53" t="str">
        <f t="shared" si="31"/>
        <v/>
      </c>
      <c r="N680" s="8">
        <v>0</v>
      </c>
      <c r="Q680" s="1"/>
      <c r="R680" s="1"/>
      <c r="S680" s="1"/>
      <c r="T680" s="8"/>
      <c r="U680" s="8"/>
      <c r="V680" s="1"/>
      <c r="W680" s="1"/>
      <c r="X680" s="1"/>
      <c r="Z680" s="8"/>
    </row>
    <row r="681" spans="1:26" x14ac:dyDescent="0.2">
      <c r="A681" s="12">
        <f t="shared" si="32"/>
        <v>669</v>
      </c>
      <c r="E681" s="10" t="str">
        <f t="shared" si="30"/>
        <v/>
      </c>
      <c r="I681" s="53" t="str">
        <f t="shared" si="31"/>
        <v/>
      </c>
      <c r="N681" s="8">
        <v>0</v>
      </c>
      <c r="Q681" s="1"/>
      <c r="R681" s="1"/>
      <c r="S681" s="1"/>
      <c r="T681" s="8"/>
      <c r="U681" s="8"/>
      <c r="V681" s="1"/>
      <c r="W681" s="1"/>
      <c r="X681" s="1"/>
      <c r="Z681" s="8"/>
    </row>
    <row r="682" spans="1:26" x14ac:dyDescent="0.2">
      <c r="A682" s="12">
        <f t="shared" si="32"/>
        <v>670</v>
      </c>
      <c r="E682" s="10" t="str">
        <f t="shared" si="30"/>
        <v/>
      </c>
      <c r="I682" s="53" t="str">
        <f t="shared" si="31"/>
        <v/>
      </c>
      <c r="N682" s="8">
        <v>0</v>
      </c>
      <c r="Q682" s="1"/>
      <c r="R682" s="1"/>
      <c r="S682" s="1"/>
      <c r="T682" s="8"/>
      <c r="U682" s="8"/>
      <c r="V682" s="1"/>
      <c r="W682" s="1"/>
      <c r="X682" s="1"/>
      <c r="Z682" s="8"/>
    </row>
    <row r="683" spans="1:26" x14ac:dyDescent="0.2">
      <c r="A683" s="12">
        <f t="shared" si="32"/>
        <v>671</v>
      </c>
      <c r="E683" s="10" t="str">
        <f t="shared" si="30"/>
        <v/>
      </c>
      <c r="I683" s="53" t="str">
        <f t="shared" si="31"/>
        <v/>
      </c>
      <c r="N683" s="8">
        <v>0</v>
      </c>
      <c r="Q683" s="1"/>
      <c r="R683" s="1"/>
      <c r="S683" s="1"/>
      <c r="T683" s="8"/>
      <c r="U683" s="8"/>
      <c r="V683" s="1"/>
      <c r="W683" s="1"/>
      <c r="X683" s="1"/>
      <c r="Z683" s="8"/>
    </row>
    <row r="684" spans="1:26" x14ac:dyDescent="0.2">
      <c r="A684" s="12">
        <f t="shared" si="32"/>
        <v>672</v>
      </c>
      <c r="E684" s="10" t="str">
        <f t="shared" si="30"/>
        <v/>
      </c>
      <c r="I684" s="53" t="str">
        <f t="shared" si="31"/>
        <v/>
      </c>
      <c r="N684" s="8">
        <v>0</v>
      </c>
      <c r="Q684" s="1"/>
      <c r="R684" s="1"/>
      <c r="S684" s="1"/>
      <c r="T684" s="8"/>
      <c r="U684" s="8"/>
      <c r="V684" s="1"/>
      <c r="W684" s="1"/>
      <c r="X684" s="1"/>
      <c r="Z684" s="8"/>
    </row>
    <row r="685" spans="1:26" x14ac:dyDescent="0.2">
      <c r="A685" s="12">
        <f t="shared" si="32"/>
        <v>673</v>
      </c>
      <c r="E685" s="10" t="str">
        <f t="shared" si="30"/>
        <v/>
      </c>
      <c r="I685" s="53" t="str">
        <f t="shared" si="31"/>
        <v/>
      </c>
      <c r="N685" s="8">
        <v>0</v>
      </c>
      <c r="Q685" s="1"/>
      <c r="R685" s="1"/>
      <c r="S685" s="1"/>
      <c r="T685" s="8"/>
      <c r="U685" s="8"/>
      <c r="V685" s="1"/>
      <c r="W685" s="1"/>
      <c r="X685" s="1"/>
      <c r="Z685" s="8"/>
    </row>
    <row r="686" spans="1:26" x14ac:dyDescent="0.2">
      <c r="A686" s="12">
        <f t="shared" si="32"/>
        <v>674</v>
      </c>
      <c r="E686" s="10" t="str">
        <f t="shared" si="30"/>
        <v/>
      </c>
      <c r="I686" s="53" t="str">
        <f t="shared" si="31"/>
        <v/>
      </c>
      <c r="N686" s="8">
        <v>0</v>
      </c>
      <c r="Q686" s="1"/>
      <c r="R686" s="1"/>
      <c r="S686" s="1"/>
      <c r="T686" s="8"/>
      <c r="U686" s="8"/>
      <c r="V686" s="1"/>
      <c r="W686" s="1"/>
      <c r="X686" s="1"/>
      <c r="Z686" s="8"/>
    </row>
    <row r="687" spans="1:26" x14ac:dyDescent="0.2">
      <c r="A687" s="12">
        <f t="shared" si="32"/>
        <v>675</v>
      </c>
      <c r="E687" s="10" t="str">
        <f t="shared" si="30"/>
        <v/>
      </c>
      <c r="I687" s="53" t="str">
        <f t="shared" si="31"/>
        <v/>
      </c>
      <c r="N687" s="8">
        <v>0</v>
      </c>
      <c r="Q687" s="1"/>
      <c r="R687" s="1"/>
      <c r="S687" s="1"/>
      <c r="T687" s="8"/>
      <c r="U687" s="8"/>
      <c r="V687" s="1"/>
      <c r="W687" s="1"/>
      <c r="X687" s="1"/>
      <c r="Z687" s="8"/>
    </row>
    <row r="688" spans="1:26" x14ac:dyDescent="0.2">
      <c r="A688" s="12">
        <f t="shared" si="32"/>
        <v>676</v>
      </c>
      <c r="E688" s="10" t="str">
        <f t="shared" si="30"/>
        <v/>
      </c>
      <c r="I688" s="53" t="str">
        <f t="shared" si="31"/>
        <v/>
      </c>
      <c r="N688" s="8">
        <v>0</v>
      </c>
      <c r="Q688" s="1"/>
      <c r="R688" s="1"/>
      <c r="S688" s="1"/>
      <c r="T688" s="8"/>
      <c r="U688" s="8"/>
      <c r="V688" s="1"/>
      <c r="W688" s="1"/>
      <c r="X688" s="1"/>
      <c r="Z688" s="8"/>
    </row>
    <row r="689" spans="1:26" x14ac:dyDescent="0.2">
      <c r="A689" s="12">
        <f t="shared" si="32"/>
        <v>677</v>
      </c>
      <c r="E689" s="10" t="str">
        <f t="shared" si="30"/>
        <v/>
      </c>
      <c r="I689" s="53" t="str">
        <f t="shared" si="31"/>
        <v/>
      </c>
      <c r="N689" s="8">
        <v>0</v>
      </c>
      <c r="Q689" s="1"/>
      <c r="R689" s="1"/>
      <c r="S689" s="1"/>
      <c r="T689" s="8"/>
      <c r="U689" s="8"/>
      <c r="V689" s="1"/>
      <c r="W689" s="1"/>
      <c r="X689" s="1"/>
      <c r="Z689" s="8"/>
    </row>
    <row r="690" spans="1:26" x14ac:dyDescent="0.2">
      <c r="A690" s="12">
        <f t="shared" si="32"/>
        <v>678</v>
      </c>
      <c r="E690" s="10" t="str">
        <f t="shared" si="30"/>
        <v/>
      </c>
      <c r="I690" s="53" t="str">
        <f t="shared" si="31"/>
        <v/>
      </c>
      <c r="N690" s="8">
        <v>0</v>
      </c>
      <c r="Q690" s="1"/>
      <c r="R690" s="1"/>
      <c r="S690" s="1"/>
      <c r="T690" s="8"/>
      <c r="U690" s="8"/>
      <c r="V690" s="1"/>
      <c r="W690" s="1"/>
      <c r="X690" s="1"/>
      <c r="Z690" s="8"/>
    </row>
    <row r="691" spans="1:26" x14ac:dyDescent="0.2">
      <c r="A691" s="12">
        <f t="shared" si="32"/>
        <v>679</v>
      </c>
      <c r="E691" s="10" t="str">
        <f t="shared" si="30"/>
        <v/>
      </c>
      <c r="I691" s="53" t="str">
        <f t="shared" si="31"/>
        <v/>
      </c>
      <c r="N691" s="8">
        <v>0</v>
      </c>
      <c r="Q691" s="1"/>
      <c r="R691" s="1"/>
      <c r="S691" s="1"/>
      <c r="T691" s="8"/>
      <c r="U691" s="8"/>
      <c r="V691" s="1"/>
      <c r="W691" s="1"/>
      <c r="X691" s="1"/>
      <c r="Z691" s="8"/>
    </row>
    <row r="692" spans="1:26" x14ac:dyDescent="0.2">
      <c r="A692" s="12">
        <f t="shared" si="32"/>
        <v>680</v>
      </c>
      <c r="E692" s="10" t="str">
        <f t="shared" si="30"/>
        <v/>
      </c>
      <c r="I692" s="53" t="str">
        <f t="shared" si="31"/>
        <v/>
      </c>
      <c r="N692" s="8">
        <v>0</v>
      </c>
      <c r="Q692" s="1"/>
      <c r="R692" s="1"/>
      <c r="S692" s="1"/>
      <c r="T692" s="8"/>
      <c r="U692" s="8"/>
      <c r="V692" s="1"/>
      <c r="W692" s="1"/>
      <c r="X692" s="1"/>
      <c r="Z692" s="8"/>
    </row>
    <row r="693" spans="1:26" x14ac:dyDescent="0.2">
      <c r="A693" s="12">
        <f t="shared" si="32"/>
        <v>681</v>
      </c>
      <c r="E693" s="10" t="str">
        <f t="shared" si="30"/>
        <v/>
      </c>
      <c r="I693" s="53" t="str">
        <f t="shared" si="31"/>
        <v/>
      </c>
      <c r="N693" s="8">
        <v>0</v>
      </c>
      <c r="Q693" s="1"/>
      <c r="R693" s="1"/>
      <c r="S693" s="1"/>
      <c r="T693" s="8"/>
      <c r="U693" s="8"/>
      <c r="V693" s="1"/>
      <c r="W693" s="1"/>
      <c r="X693" s="1"/>
      <c r="Z693" s="8"/>
    </row>
    <row r="694" spans="1:26" x14ac:dyDescent="0.2">
      <c r="A694" s="12">
        <f t="shared" si="32"/>
        <v>682</v>
      </c>
      <c r="E694" s="10" t="str">
        <f t="shared" si="30"/>
        <v/>
      </c>
      <c r="I694" s="53" t="str">
        <f t="shared" si="31"/>
        <v/>
      </c>
      <c r="N694" s="8">
        <v>0</v>
      </c>
      <c r="Q694" s="1"/>
      <c r="R694" s="1"/>
      <c r="S694" s="1"/>
      <c r="T694" s="8"/>
      <c r="U694" s="8"/>
      <c r="V694" s="1"/>
      <c r="W694" s="1"/>
      <c r="X694" s="1"/>
      <c r="Z694" s="8"/>
    </row>
    <row r="695" spans="1:26" x14ac:dyDescent="0.2">
      <c r="A695" s="12">
        <f t="shared" si="32"/>
        <v>683</v>
      </c>
      <c r="E695" s="10" t="str">
        <f t="shared" si="30"/>
        <v/>
      </c>
      <c r="I695" s="53" t="str">
        <f t="shared" si="31"/>
        <v/>
      </c>
      <c r="N695" s="8">
        <v>0</v>
      </c>
      <c r="Q695" s="1"/>
      <c r="R695" s="1"/>
      <c r="S695" s="1"/>
      <c r="T695" s="8"/>
      <c r="U695" s="8"/>
      <c r="V695" s="1"/>
      <c r="W695" s="1"/>
      <c r="X695" s="1"/>
      <c r="Z695" s="8"/>
    </row>
    <row r="696" spans="1:26" x14ac:dyDescent="0.2">
      <c r="A696" s="12">
        <f t="shared" si="32"/>
        <v>684</v>
      </c>
      <c r="E696" s="10" t="str">
        <f t="shared" si="30"/>
        <v/>
      </c>
      <c r="I696" s="53" t="str">
        <f t="shared" si="31"/>
        <v/>
      </c>
      <c r="N696" s="8">
        <v>0</v>
      </c>
      <c r="Q696" s="1"/>
      <c r="R696" s="1"/>
      <c r="S696" s="1"/>
      <c r="T696" s="8"/>
      <c r="U696" s="8"/>
      <c r="V696" s="1"/>
      <c r="W696" s="1"/>
      <c r="X696" s="1"/>
      <c r="Z696" s="8"/>
    </row>
    <row r="697" spans="1:26" x14ac:dyDescent="0.2">
      <c r="A697" s="12">
        <f t="shared" si="32"/>
        <v>685</v>
      </c>
      <c r="E697" s="10" t="str">
        <f t="shared" si="30"/>
        <v/>
      </c>
      <c r="I697" s="53" t="str">
        <f t="shared" si="31"/>
        <v/>
      </c>
      <c r="N697" s="8">
        <v>0</v>
      </c>
      <c r="Q697" s="1"/>
      <c r="R697" s="1"/>
      <c r="S697" s="1"/>
      <c r="T697" s="8"/>
      <c r="U697" s="8"/>
      <c r="V697" s="1"/>
      <c r="W697" s="1"/>
      <c r="X697" s="1"/>
      <c r="Z697" s="8"/>
    </row>
    <row r="698" spans="1:26" x14ac:dyDescent="0.2">
      <c r="A698" s="12">
        <f t="shared" si="32"/>
        <v>686</v>
      </c>
      <c r="E698" s="10" t="str">
        <f t="shared" si="30"/>
        <v/>
      </c>
      <c r="I698" s="53" t="str">
        <f t="shared" si="31"/>
        <v/>
      </c>
      <c r="N698" s="8">
        <v>0</v>
      </c>
      <c r="Q698" s="1"/>
      <c r="R698" s="1"/>
      <c r="S698" s="1"/>
      <c r="T698" s="8"/>
      <c r="U698" s="8"/>
      <c r="V698" s="1"/>
      <c r="W698" s="1"/>
      <c r="X698" s="1"/>
      <c r="Z698" s="8"/>
    </row>
    <row r="699" spans="1:26" x14ac:dyDescent="0.2">
      <c r="A699" s="12">
        <f t="shared" si="32"/>
        <v>687</v>
      </c>
      <c r="E699" s="10" t="str">
        <f t="shared" si="30"/>
        <v/>
      </c>
      <c r="I699" s="53" t="str">
        <f t="shared" si="31"/>
        <v/>
      </c>
      <c r="N699" s="8">
        <v>0</v>
      </c>
      <c r="Q699" s="1"/>
      <c r="R699" s="1"/>
      <c r="S699" s="1"/>
      <c r="T699" s="8"/>
      <c r="U699" s="8"/>
      <c r="V699" s="1"/>
      <c r="W699" s="1"/>
      <c r="X699" s="1"/>
      <c r="Z699" s="8"/>
    </row>
    <row r="700" spans="1:26" x14ac:dyDescent="0.2">
      <c r="A700" s="12">
        <f t="shared" si="32"/>
        <v>688</v>
      </c>
      <c r="E700" s="10" t="str">
        <f t="shared" si="30"/>
        <v/>
      </c>
      <c r="I700" s="53" t="str">
        <f t="shared" si="31"/>
        <v/>
      </c>
      <c r="N700" s="8">
        <v>0</v>
      </c>
      <c r="Q700" s="1"/>
      <c r="R700" s="1"/>
      <c r="S700" s="1"/>
      <c r="T700" s="8"/>
      <c r="U700" s="8"/>
      <c r="V700" s="1"/>
      <c r="W700" s="1"/>
      <c r="X700" s="1"/>
      <c r="Z700" s="8"/>
    </row>
    <row r="701" spans="1:26" x14ac:dyDescent="0.2">
      <c r="A701" s="12">
        <f t="shared" si="32"/>
        <v>689</v>
      </c>
      <c r="E701" s="10" t="str">
        <f t="shared" si="30"/>
        <v/>
      </c>
      <c r="I701" s="53" t="str">
        <f t="shared" si="31"/>
        <v/>
      </c>
      <c r="N701" s="8">
        <v>0</v>
      </c>
      <c r="Q701" s="1"/>
      <c r="R701" s="1"/>
      <c r="S701" s="1"/>
      <c r="T701" s="8"/>
      <c r="U701" s="8"/>
      <c r="V701" s="1"/>
      <c r="W701" s="1"/>
      <c r="X701" s="1"/>
      <c r="Z701" s="8"/>
    </row>
    <row r="702" spans="1:26" x14ac:dyDescent="0.2">
      <c r="A702" s="12">
        <f t="shared" si="32"/>
        <v>690</v>
      </c>
      <c r="E702" s="10" t="str">
        <f t="shared" si="30"/>
        <v/>
      </c>
      <c r="I702" s="53" t="str">
        <f t="shared" si="31"/>
        <v/>
      </c>
      <c r="N702" s="8">
        <v>0</v>
      </c>
      <c r="Q702" s="1"/>
      <c r="R702" s="1"/>
      <c r="S702" s="1"/>
      <c r="T702" s="8"/>
      <c r="U702" s="8"/>
      <c r="V702" s="1"/>
      <c r="W702" s="1"/>
      <c r="X702" s="1"/>
      <c r="Z702" s="8"/>
    </row>
    <row r="703" spans="1:26" x14ac:dyDescent="0.2">
      <c r="A703" s="12">
        <f t="shared" si="32"/>
        <v>691</v>
      </c>
      <c r="E703" s="10" t="str">
        <f t="shared" si="30"/>
        <v/>
      </c>
      <c r="I703" s="53" t="str">
        <f t="shared" si="31"/>
        <v/>
      </c>
      <c r="N703" s="8">
        <v>0</v>
      </c>
      <c r="Q703" s="1"/>
      <c r="R703" s="1"/>
      <c r="S703" s="1"/>
      <c r="T703" s="8"/>
      <c r="U703" s="8"/>
      <c r="V703" s="1"/>
      <c r="W703" s="1"/>
      <c r="X703" s="1"/>
      <c r="Z703" s="8"/>
    </row>
    <row r="704" spans="1:26" x14ac:dyDescent="0.2">
      <c r="A704" s="12">
        <f t="shared" si="32"/>
        <v>692</v>
      </c>
      <c r="E704" s="10" t="str">
        <f t="shared" si="30"/>
        <v/>
      </c>
      <c r="I704" s="53" t="str">
        <f t="shared" si="31"/>
        <v/>
      </c>
      <c r="N704" s="8">
        <v>0</v>
      </c>
      <c r="Q704" s="1"/>
      <c r="R704" s="1"/>
      <c r="S704" s="1"/>
      <c r="T704" s="8"/>
      <c r="U704" s="8"/>
      <c r="V704" s="1"/>
      <c r="W704" s="1"/>
      <c r="X704" s="1"/>
      <c r="Z704" s="8"/>
    </row>
    <row r="705" spans="1:26" x14ac:dyDescent="0.2">
      <c r="A705" s="12">
        <f t="shared" si="32"/>
        <v>693</v>
      </c>
      <c r="E705" s="10" t="str">
        <f t="shared" si="30"/>
        <v/>
      </c>
      <c r="I705" s="53" t="str">
        <f t="shared" si="31"/>
        <v/>
      </c>
      <c r="N705" s="8">
        <v>0</v>
      </c>
      <c r="Q705" s="1"/>
      <c r="R705" s="1"/>
      <c r="S705" s="1"/>
      <c r="T705" s="8"/>
      <c r="U705" s="8"/>
      <c r="V705" s="1"/>
      <c r="W705" s="1"/>
      <c r="X705" s="1"/>
      <c r="Z705" s="8"/>
    </row>
    <row r="706" spans="1:26" x14ac:dyDescent="0.2">
      <c r="A706" s="12">
        <f t="shared" si="32"/>
        <v>694</v>
      </c>
      <c r="E706" s="10" t="str">
        <f t="shared" si="30"/>
        <v/>
      </c>
      <c r="I706" s="53" t="str">
        <f t="shared" si="31"/>
        <v/>
      </c>
      <c r="N706" s="8">
        <v>0</v>
      </c>
      <c r="Q706" s="1"/>
      <c r="R706" s="1"/>
      <c r="S706" s="1"/>
      <c r="T706" s="8"/>
      <c r="U706" s="8"/>
      <c r="V706" s="1"/>
      <c r="W706" s="1"/>
      <c r="X706" s="1"/>
      <c r="Z706" s="8"/>
    </row>
    <row r="707" spans="1:26" x14ac:dyDescent="0.2">
      <c r="A707" s="12">
        <f t="shared" si="32"/>
        <v>695</v>
      </c>
      <c r="E707" s="10" t="str">
        <f t="shared" si="30"/>
        <v/>
      </c>
      <c r="I707" s="53" t="str">
        <f t="shared" si="31"/>
        <v/>
      </c>
      <c r="N707" s="8">
        <v>0</v>
      </c>
      <c r="Q707" s="1"/>
      <c r="R707" s="1"/>
      <c r="S707" s="1"/>
      <c r="T707" s="8"/>
      <c r="U707" s="8"/>
      <c r="V707" s="1"/>
      <c r="W707" s="1"/>
      <c r="X707" s="1"/>
      <c r="Z707" s="8"/>
    </row>
    <row r="708" spans="1:26" x14ac:dyDescent="0.2">
      <c r="A708" s="12">
        <f t="shared" si="32"/>
        <v>696</v>
      </c>
      <c r="E708" s="10" t="str">
        <f t="shared" si="30"/>
        <v/>
      </c>
      <c r="I708" s="53" t="str">
        <f t="shared" si="31"/>
        <v/>
      </c>
      <c r="N708" s="8">
        <v>0</v>
      </c>
      <c r="Q708" s="1"/>
      <c r="R708" s="1"/>
      <c r="S708" s="1"/>
      <c r="T708" s="8"/>
      <c r="U708" s="8"/>
      <c r="V708" s="1"/>
      <c r="W708" s="1"/>
      <c r="X708" s="1"/>
      <c r="Z708" s="8"/>
    </row>
    <row r="709" spans="1:26" x14ac:dyDescent="0.2">
      <c r="A709" s="12">
        <f t="shared" si="32"/>
        <v>697</v>
      </c>
      <c r="E709" s="10" t="str">
        <f t="shared" si="30"/>
        <v/>
      </c>
      <c r="I709" s="53" t="str">
        <f t="shared" si="31"/>
        <v/>
      </c>
      <c r="N709" s="8">
        <v>0</v>
      </c>
      <c r="Q709" s="1"/>
      <c r="R709" s="1"/>
      <c r="S709" s="1"/>
      <c r="T709" s="8"/>
      <c r="U709" s="8"/>
      <c r="V709" s="1"/>
      <c r="W709" s="1"/>
      <c r="X709" s="1"/>
      <c r="Z709" s="8"/>
    </row>
    <row r="710" spans="1:26" x14ac:dyDescent="0.2">
      <c r="A710" s="12">
        <f t="shared" si="32"/>
        <v>698</v>
      </c>
      <c r="E710" s="10" t="str">
        <f t="shared" si="30"/>
        <v/>
      </c>
      <c r="I710" s="53" t="str">
        <f t="shared" si="31"/>
        <v/>
      </c>
      <c r="N710" s="8">
        <v>0</v>
      </c>
      <c r="Q710" s="1"/>
      <c r="R710" s="1"/>
      <c r="S710" s="1"/>
      <c r="T710" s="8"/>
      <c r="U710" s="8"/>
      <c r="V710" s="1"/>
      <c r="W710" s="1"/>
      <c r="X710" s="1"/>
      <c r="Z710" s="8"/>
    </row>
    <row r="711" spans="1:26" x14ac:dyDescent="0.2">
      <c r="A711" s="12">
        <f t="shared" si="32"/>
        <v>699</v>
      </c>
      <c r="E711" s="10" t="str">
        <f t="shared" si="30"/>
        <v/>
      </c>
      <c r="I711" s="53" t="str">
        <f t="shared" si="31"/>
        <v/>
      </c>
      <c r="N711" s="8">
        <v>0</v>
      </c>
      <c r="Q711" s="1"/>
      <c r="R711" s="1"/>
      <c r="S711" s="1"/>
      <c r="T711" s="8"/>
      <c r="U711" s="8"/>
      <c r="V711" s="1"/>
      <c r="W711" s="1"/>
      <c r="X711" s="1"/>
      <c r="Z711" s="8"/>
    </row>
    <row r="712" spans="1:26" x14ac:dyDescent="0.2">
      <c r="A712" s="12">
        <f t="shared" si="32"/>
        <v>700</v>
      </c>
      <c r="E712" s="10" t="str">
        <f t="shared" si="30"/>
        <v/>
      </c>
      <c r="I712" s="53" t="str">
        <f t="shared" si="31"/>
        <v/>
      </c>
      <c r="N712" s="8">
        <v>0</v>
      </c>
      <c r="Q712" s="1"/>
      <c r="R712" s="1"/>
      <c r="S712" s="1"/>
      <c r="T712" s="8"/>
      <c r="U712" s="8"/>
      <c r="V712" s="1"/>
      <c r="W712" s="1"/>
      <c r="X712" s="1"/>
      <c r="Z712" s="8"/>
    </row>
    <row r="713" spans="1:26" x14ac:dyDescent="0.2">
      <c r="A713" s="12">
        <f t="shared" si="32"/>
        <v>701</v>
      </c>
      <c r="E713" s="10" t="str">
        <f t="shared" si="30"/>
        <v/>
      </c>
      <c r="I713" s="53" t="str">
        <f t="shared" si="31"/>
        <v/>
      </c>
      <c r="N713" s="8">
        <v>0</v>
      </c>
      <c r="Q713" s="1"/>
      <c r="R713" s="1"/>
      <c r="S713" s="1"/>
      <c r="T713" s="8"/>
      <c r="U713" s="8"/>
      <c r="V713" s="1"/>
      <c r="W713" s="1"/>
      <c r="X713" s="1"/>
      <c r="Z713" s="8"/>
    </row>
    <row r="714" spans="1:26" x14ac:dyDescent="0.2">
      <c r="A714" s="12">
        <f t="shared" si="32"/>
        <v>702</v>
      </c>
      <c r="E714" s="10" t="str">
        <f t="shared" si="30"/>
        <v/>
      </c>
      <c r="I714" s="53" t="str">
        <f t="shared" si="31"/>
        <v/>
      </c>
      <c r="N714" s="8">
        <v>0</v>
      </c>
      <c r="Q714" s="1"/>
      <c r="R714" s="1"/>
      <c r="S714" s="1"/>
      <c r="T714" s="8"/>
      <c r="U714" s="8"/>
      <c r="V714" s="1"/>
      <c r="W714" s="1"/>
      <c r="X714" s="1"/>
      <c r="Z714" s="8"/>
    </row>
    <row r="715" spans="1:26" x14ac:dyDescent="0.2">
      <c r="A715" s="12">
        <f t="shared" si="32"/>
        <v>703</v>
      </c>
      <c r="E715" s="10" t="str">
        <f t="shared" si="30"/>
        <v/>
      </c>
      <c r="I715" s="53" t="str">
        <f t="shared" si="31"/>
        <v/>
      </c>
      <c r="N715" s="8">
        <v>0</v>
      </c>
      <c r="Q715" s="1"/>
      <c r="R715" s="1"/>
      <c r="S715" s="1"/>
      <c r="T715" s="8"/>
      <c r="U715" s="8"/>
      <c r="V715" s="1"/>
      <c r="W715" s="1"/>
      <c r="X715" s="1"/>
      <c r="Z715" s="8"/>
    </row>
    <row r="716" spans="1:26" x14ac:dyDescent="0.2">
      <c r="A716" s="12">
        <f t="shared" si="32"/>
        <v>704</v>
      </c>
      <c r="E716" s="10" t="str">
        <f t="shared" si="30"/>
        <v/>
      </c>
      <c r="I716" s="53" t="str">
        <f t="shared" si="31"/>
        <v/>
      </c>
      <c r="N716" s="8">
        <v>0</v>
      </c>
      <c r="Q716" s="1"/>
      <c r="R716" s="1"/>
      <c r="S716" s="1"/>
      <c r="T716" s="8"/>
      <c r="U716" s="8"/>
      <c r="V716" s="1"/>
      <c r="W716" s="1"/>
      <c r="X716" s="1"/>
      <c r="Z716" s="8"/>
    </row>
    <row r="717" spans="1:26" x14ac:dyDescent="0.2">
      <c r="A717" s="12">
        <f t="shared" si="32"/>
        <v>705</v>
      </c>
      <c r="E717" s="10" t="str">
        <f t="shared" ref="E717:E780" si="33">IF($C$8&gt;=A717,$E$1&amp;" "&amp;A717,"")</f>
        <v/>
      </c>
      <c r="I717" s="53" t="str">
        <f t="shared" si="31"/>
        <v/>
      </c>
      <c r="N717" s="8">
        <v>0</v>
      </c>
      <c r="Q717" s="1"/>
      <c r="R717" s="1"/>
      <c r="S717" s="1"/>
      <c r="T717" s="8"/>
      <c r="U717" s="8"/>
      <c r="V717" s="1"/>
      <c r="W717" s="1"/>
      <c r="X717" s="1"/>
      <c r="Z717" s="8"/>
    </row>
    <row r="718" spans="1:26" x14ac:dyDescent="0.2">
      <c r="A718" s="12">
        <f t="shared" si="32"/>
        <v>706</v>
      </c>
      <c r="E718" s="10" t="str">
        <f t="shared" si="33"/>
        <v/>
      </c>
      <c r="I718" s="53" t="str">
        <f t="shared" ref="I718:I781" si="34">IF(E718="","",F718-G718-H718)</f>
        <v/>
      </c>
      <c r="N718" s="8">
        <v>0</v>
      </c>
      <c r="Q718" s="1"/>
      <c r="R718" s="1"/>
      <c r="S718" s="1"/>
      <c r="T718" s="8"/>
      <c r="U718" s="8"/>
      <c r="V718" s="1"/>
      <c r="W718" s="1"/>
      <c r="X718" s="1"/>
      <c r="Z718" s="8"/>
    </row>
    <row r="719" spans="1:26" x14ac:dyDescent="0.2">
      <c r="A719" s="12">
        <f t="shared" ref="A719:A782" si="35">A718+1</f>
        <v>707</v>
      </c>
      <c r="E719" s="10" t="str">
        <f t="shared" si="33"/>
        <v/>
      </c>
      <c r="I719" s="53" t="str">
        <f t="shared" si="34"/>
        <v/>
      </c>
      <c r="N719" s="8">
        <v>0</v>
      </c>
      <c r="Q719" s="1"/>
      <c r="R719" s="1"/>
      <c r="S719" s="1"/>
      <c r="T719" s="8"/>
      <c r="U719" s="8"/>
      <c r="V719" s="1"/>
      <c r="W719" s="1"/>
      <c r="X719" s="1"/>
      <c r="Z719" s="8"/>
    </row>
    <row r="720" spans="1:26" x14ac:dyDescent="0.2">
      <c r="A720" s="12">
        <f t="shared" si="35"/>
        <v>708</v>
      </c>
      <c r="E720" s="10" t="str">
        <f t="shared" si="33"/>
        <v/>
      </c>
      <c r="I720" s="53" t="str">
        <f t="shared" si="34"/>
        <v/>
      </c>
      <c r="N720" s="8">
        <v>0</v>
      </c>
      <c r="Q720" s="1"/>
      <c r="R720" s="1"/>
      <c r="S720" s="1"/>
      <c r="T720" s="8"/>
      <c r="U720" s="8"/>
      <c r="V720" s="1"/>
      <c r="W720" s="1"/>
      <c r="X720" s="1"/>
      <c r="Z720" s="8"/>
    </row>
    <row r="721" spans="1:26" x14ac:dyDescent="0.2">
      <c r="A721" s="12">
        <f t="shared" si="35"/>
        <v>709</v>
      </c>
      <c r="E721" s="10" t="str">
        <f t="shared" si="33"/>
        <v/>
      </c>
      <c r="I721" s="53" t="str">
        <f t="shared" si="34"/>
        <v/>
      </c>
      <c r="N721" s="8">
        <v>0</v>
      </c>
      <c r="Q721" s="1"/>
      <c r="R721" s="1"/>
      <c r="S721" s="1"/>
      <c r="T721" s="8"/>
      <c r="U721" s="8"/>
      <c r="V721" s="1"/>
      <c r="W721" s="1"/>
      <c r="X721" s="1"/>
      <c r="Z721" s="8"/>
    </row>
    <row r="722" spans="1:26" x14ac:dyDescent="0.2">
      <c r="A722" s="12">
        <f t="shared" si="35"/>
        <v>710</v>
      </c>
      <c r="E722" s="10" t="str">
        <f t="shared" si="33"/>
        <v/>
      </c>
      <c r="I722" s="53" t="str">
        <f t="shared" si="34"/>
        <v/>
      </c>
      <c r="N722" s="8">
        <v>0</v>
      </c>
      <c r="Q722" s="1"/>
      <c r="R722" s="1"/>
      <c r="S722" s="1"/>
      <c r="T722" s="8"/>
      <c r="U722" s="8"/>
      <c r="V722" s="1"/>
      <c r="W722" s="1"/>
      <c r="X722" s="1"/>
      <c r="Z722" s="8"/>
    </row>
    <row r="723" spans="1:26" x14ac:dyDescent="0.2">
      <c r="A723" s="12">
        <f t="shared" si="35"/>
        <v>711</v>
      </c>
      <c r="E723" s="10" t="str">
        <f t="shared" si="33"/>
        <v/>
      </c>
      <c r="I723" s="53" t="str">
        <f t="shared" si="34"/>
        <v/>
      </c>
      <c r="N723" s="8">
        <v>0</v>
      </c>
      <c r="Q723" s="1"/>
      <c r="R723" s="1"/>
      <c r="S723" s="1"/>
      <c r="T723" s="8"/>
      <c r="U723" s="8"/>
      <c r="V723" s="1"/>
      <c r="W723" s="1"/>
      <c r="X723" s="1"/>
      <c r="Z723" s="8"/>
    </row>
    <row r="724" spans="1:26" x14ac:dyDescent="0.2">
      <c r="A724" s="12">
        <f t="shared" si="35"/>
        <v>712</v>
      </c>
      <c r="E724" s="10" t="str">
        <f t="shared" si="33"/>
        <v/>
      </c>
      <c r="I724" s="53" t="str">
        <f t="shared" si="34"/>
        <v/>
      </c>
      <c r="N724" s="8">
        <v>0</v>
      </c>
      <c r="Q724" s="1"/>
      <c r="R724" s="1"/>
      <c r="S724" s="1"/>
      <c r="T724" s="8"/>
      <c r="U724" s="8"/>
      <c r="V724" s="1"/>
      <c r="W724" s="1"/>
      <c r="X724" s="1"/>
      <c r="Z724" s="8"/>
    </row>
    <row r="725" spans="1:26" x14ac:dyDescent="0.2">
      <c r="A725" s="12">
        <f t="shared" si="35"/>
        <v>713</v>
      </c>
      <c r="E725" s="10" t="str">
        <f t="shared" si="33"/>
        <v/>
      </c>
      <c r="I725" s="53" t="str">
        <f t="shared" si="34"/>
        <v/>
      </c>
      <c r="N725" s="8">
        <v>0</v>
      </c>
      <c r="Q725" s="1"/>
      <c r="R725" s="1"/>
      <c r="S725" s="1"/>
      <c r="T725" s="8"/>
      <c r="U725" s="8"/>
      <c r="V725" s="1"/>
      <c r="W725" s="1"/>
      <c r="X725" s="1"/>
      <c r="Z725" s="8"/>
    </row>
    <row r="726" spans="1:26" x14ac:dyDescent="0.2">
      <c r="A726" s="12">
        <f t="shared" si="35"/>
        <v>714</v>
      </c>
      <c r="E726" s="10" t="str">
        <f t="shared" si="33"/>
        <v/>
      </c>
      <c r="I726" s="53" t="str">
        <f t="shared" si="34"/>
        <v/>
      </c>
      <c r="N726" s="8">
        <v>0</v>
      </c>
      <c r="Q726" s="1"/>
      <c r="R726" s="1"/>
      <c r="S726" s="1"/>
      <c r="T726" s="8"/>
      <c r="U726" s="8"/>
      <c r="V726" s="1"/>
      <c r="W726" s="1"/>
      <c r="X726" s="1"/>
      <c r="Z726" s="8"/>
    </row>
    <row r="727" spans="1:26" x14ac:dyDescent="0.2">
      <c r="A727" s="12">
        <f t="shared" si="35"/>
        <v>715</v>
      </c>
      <c r="E727" s="10" t="str">
        <f t="shared" si="33"/>
        <v/>
      </c>
      <c r="I727" s="53" t="str">
        <f t="shared" si="34"/>
        <v/>
      </c>
      <c r="N727" s="8">
        <v>0</v>
      </c>
      <c r="Q727" s="1"/>
      <c r="R727" s="1"/>
      <c r="S727" s="1"/>
      <c r="T727" s="8"/>
      <c r="U727" s="8"/>
      <c r="V727" s="1"/>
      <c r="W727" s="1"/>
      <c r="X727" s="1"/>
      <c r="Z727" s="8"/>
    </row>
    <row r="728" spans="1:26" x14ac:dyDescent="0.2">
      <c r="A728" s="12">
        <f t="shared" si="35"/>
        <v>716</v>
      </c>
      <c r="E728" s="10" t="str">
        <f t="shared" si="33"/>
        <v/>
      </c>
      <c r="I728" s="53" t="str">
        <f t="shared" si="34"/>
        <v/>
      </c>
      <c r="N728" s="8">
        <v>0</v>
      </c>
      <c r="Q728" s="1"/>
      <c r="R728" s="1"/>
      <c r="S728" s="1"/>
      <c r="T728" s="8"/>
      <c r="U728" s="8"/>
      <c r="V728" s="1"/>
      <c r="W728" s="1"/>
      <c r="X728" s="1"/>
      <c r="Z728" s="8"/>
    </row>
    <row r="729" spans="1:26" x14ac:dyDescent="0.2">
      <c r="A729" s="12">
        <f t="shared" si="35"/>
        <v>717</v>
      </c>
      <c r="E729" s="10" t="str">
        <f t="shared" si="33"/>
        <v/>
      </c>
      <c r="I729" s="53" t="str">
        <f t="shared" si="34"/>
        <v/>
      </c>
      <c r="N729" s="8">
        <v>0</v>
      </c>
      <c r="Q729" s="1"/>
      <c r="R729" s="1"/>
      <c r="S729" s="1"/>
      <c r="T729" s="8"/>
      <c r="U729" s="8"/>
      <c r="V729" s="1"/>
      <c r="W729" s="1"/>
      <c r="X729" s="1"/>
      <c r="Z729" s="8"/>
    </row>
    <row r="730" spans="1:26" x14ac:dyDescent="0.2">
      <c r="A730" s="12">
        <f t="shared" si="35"/>
        <v>718</v>
      </c>
      <c r="E730" s="10" t="str">
        <f t="shared" si="33"/>
        <v/>
      </c>
      <c r="I730" s="53" t="str">
        <f t="shared" si="34"/>
        <v/>
      </c>
      <c r="N730" s="8">
        <v>0</v>
      </c>
      <c r="Q730" s="1"/>
      <c r="R730" s="1"/>
      <c r="S730" s="1"/>
      <c r="T730" s="8"/>
      <c r="U730" s="8"/>
      <c r="V730" s="1"/>
      <c r="W730" s="1"/>
      <c r="X730" s="1"/>
      <c r="Z730" s="8"/>
    </row>
    <row r="731" spans="1:26" x14ac:dyDescent="0.2">
      <c r="A731" s="12">
        <f t="shared" si="35"/>
        <v>719</v>
      </c>
      <c r="E731" s="10" t="str">
        <f t="shared" si="33"/>
        <v/>
      </c>
      <c r="I731" s="53" t="str">
        <f t="shared" si="34"/>
        <v/>
      </c>
      <c r="N731" s="8">
        <v>0</v>
      </c>
      <c r="Q731" s="1"/>
      <c r="R731" s="1"/>
      <c r="S731" s="1"/>
      <c r="T731" s="8"/>
      <c r="U731" s="8"/>
      <c r="V731" s="1"/>
      <c r="W731" s="1"/>
      <c r="X731" s="1"/>
      <c r="Z731" s="8"/>
    </row>
    <row r="732" spans="1:26" x14ac:dyDescent="0.2">
      <c r="A732" s="12">
        <f t="shared" si="35"/>
        <v>720</v>
      </c>
      <c r="E732" s="10" t="str">
        <f t="shared" si="33"/>
        <v/>
      </c>
      <c r="I732" s="53" t="str">
        <f t="shared" si="34"/>
        <v/>
      </c>
      <c r="N732" s="8">
        <v>0</v>
      </c>
      <c r="Q732" s="1"/>
      <c r="R732" s="1"/>
      <c r="S732" s="1"/>
      <c r="T732" s="8"/>
      <c r="U732" s="8"/>
      <c r="V732" s="1"/>
      <c r="W732" s="1"/>
      <c r="X732" s="1"/>
      <c r="Z732" s="8"/>
    </row>
    <row r="733" spans="1:26" x14ac:dyDescent="0.2">
      <c r="A733" s="12">
        <f t="shared" si="35"/>
        <v>721</v>
      </c>
      <c r="E733" s="10" t="str">
        <f t="shared" si="33"/>
        <v/>
      </c>
      <c r="I733" s="53" t="str">
        <f t="shared" si="34"/>
        <v/>
      </c>
      <c r="N733" s="8">
        <v>0</v>
      </c>
      <c r="Q733" s="1"/>
      <c r="R733" s="1"/>
      <c r="S733" s="1"/>
      <c r="T733" s="8"/>
      <c r="U733" s="8"/>
      <c r="V733" s="1"/>
      <c r="W733" s="1"/>
      <c r="X733" s="1"/>
      <c r="Z733" s="8"/>
    </row>
    <row r="734" spans="1:26" x14ac:dyDescent="0.2">
      <c r="A734" s="12">
        <f t="shared" si="35"/>
        <v>722</v>
      </c>
      <c r="E734" s="10" t="str">
        <f t="shared" si="33"/>
        <v/>
      </c>
      <c r="I734" s="53" t="str">
        <f t="shared" si="34"/>
        <v/>
      </c>
      <c r="N734" s="8">
        <v>0</v>
      </c>
      <c r="Q734" s="1"/>
      <c r="R734" s="1"/>
      <c r="S734" s="1"/>
      <c r="T734" s="8"/>
      <c r="U734" s="8"/>
      <c r="V734" s="1"/>
      <c r="W734" s="1"/>
      <c r="X734" s="1"/>
      <c r="Z734" s="8"/>
    </row>
    <row r="735" spans="1:26" x14ac:dyDescent="0.2">
      <c r="A735" s="12">
        <f t="shared" si="35"/>
        <v>723</v>
      </c>
      <c r="E735" s="10" t="str">
        <f t="shared" si="33"/>
        <v/>
      </c>
      <c r="I735" s="53" t="str">
        <f t="shared" si="34"/>
        <v/>
      </c>
      <c r="N735" s="8">
        <v>0</v>
      </c>
      <c r="Q735" s="1"/>
      <c r="R735" s="1"/>
      <c r="S735" s="1"/>
      <c r="T735" s="8"/>
      <c r="U735" s="8"/>
      <c r="V735" s="1"/>
      <c r="W735" s="1"/>
      <c r="X735" s="1"/>
      <c r="Z735" s="8"/>
    </row>
    <row r="736" spans="1:26" x14ac:dyDescent="0.2">
      <c r="A736" s="12">
        <f t="shared" si="35"/>
        <v>724</v>
      </c>
      <c r="E736" s="10" t="str">
        <f t="shared" si="33"/>
        <v/>
      </c>
      <c r="I736" s="53" t="str">
        <f t="shared" si="34"/>
        <v/>
      </c>
      <c r="N736" s="8">
        <v>0</v>
      </c>
      <c r="Q736" s="1"/>
      <c r="R736" s="1"/>
      <c r="S736" s="1"/>
      <c r="T736" s="8"/>
      <c r="U736" s="8"/>
      <c r="V736" s="1"/>
      <c r="W736" s="1"/>
      <c r="X736" s="1"/>
      <c r="Z736" s="8"/>
    </row>
    <row r="737" spans="1:26" x14ac:dyDescent="0.2">
      <c r="A737" s="12">
        <f t="shared" si="35"/>
        <v>725</v>
      </c>
      <c r="E737" s="10" t="str">
        <f t="shared" si="33"/>
        <v/>
      </c>
      <c r="I737" s="53" t="str">
        <f t="shared" si="34"/>
        <v/>
      </c>
      <c r="N737" s="8">
        <v>0</v>
      </c>
      <c r="Q737" s="1"/>
      <c r="R737" s="1"/>
      <c r="S737" s="1"/>
      <c r="T737" s="8"/>
      <c r="U737" s="8"/>
      <c r="V737" s="1"/>
      <c r="W737" s="1"/>
      <c r="X737" s="1"/>
      <c r="Z737" s="8"/>
    </row>
    <row r="738" spans="1:26" x14ac:dyDescent="0.2">
      <c r="A738" s="12">
        <f t="shared" si="35"/>
        <v>726</v>
      </c>
      <c r="E738" s="10" t="str">
        <f t="shared" si="33"/>
        <v/>
      </c>
      <c r="I738" s="53" t="str">
        <f t="shared" si="34"/>
        <v/>
      </c>
      <c r="N738" s="8">
        <v>0</v>
      </c>
      <c r="Q738" s="1"/>
      <c r="R738" s="1"/>
      <c r="S738" s="1"/>
      <c r="T738" s="8"/>
      <c r="U738" s="8"/>
      <c r="V738" s="1"/>
      <c r="W738" s="1"/>
      <c r="X738" s="1"/>
      <c r="Z738" s="8"/>
    </row>
    <row r="739" spans="1:26" x14ac:dyDescent="0.2">
      <c r="A739" s="12">
        <f t="shared" si="35"/>
        <v>727</v>
      </c>
      <c r="E739" s="10" t="str">
        <f t="shared" si="33"/>
        <v/>
      </c>
      <c r="I739" s="53" t="str">
        <f t="shared" si="34"/>
        <v/>
      </c>
      <c r="N739" s="8">
        <v>0</v>
      </c>
      <c r="Q739" s="1"/>
      <c r="R739" s="1"/>
      <c r="S739" s="1"/>
      <c r="T739" s="8"/>
      <c r="U739" s="8"/>
      <c r="V739" s="1"/>
      <c r="W739" s="1"/>
      <c r="X739" s="1"/>
      <c r="Z739" s="8"/>
    </row>
    <row r="740" spans="1:26" x14ac:dyDescent="0.2">
      <c r="A740" s="12">
        <f t="shared" si="35"/>
        <v>728</v>
      </c>
      <c r="E740" s="10" t="str">
        <f t="shared" si="33"/>
        <v/>
      </c>
      <c r="I740" s="53" t="str">
        <f t="shared" si="34"/>
        <v/>
      </c>
      <c r="N740" s="8">
        <v>0</v>
      </c>
      <c r="Q740" s="1"/>
      <c r="R740" s="1"/>
      <c r="S740" s="1"/>
      <c r="T740" s="8"/>
      <c r="U740" s="8"/>
      <c r="V740" s="1"/>
      <c r="W740" s="1"/>
      <c r="X740" s="1"/>
      <c r="Z740" s="8"/>
    </row>
    <row r="741" spans="1:26" x14ac:dyDescent="0.2">
      <c r="A741" s="12">
        <f t="shared" si="35"/>
        <v>729</v>
      </c>
      <c r="E741" s="10" t="str">
        <f t="shared" si="33"/>
        <v/>
      </c>
      <c r="I741" s="53" t="str">
        <f t="shared" si="34"/>
        <v/>
      </c>
      <c r="N741" s="8">
        <v>0</v>
      </c>
      <c r="Q741" s="1"/>
      <c r="R741" s="1"/>
      <c r="S741" s="1"/>
      <c r="T741" s="8"/>
      <c r="U741" s="8"/>
      <c r="V741" s="1"/>
      <c r="W741" s="1"/>
      <c r="X741" s="1"/>
      <c r="Z741" s="8"/>
    </row>
    <row r="742" spans="1:26" x14ac:dyDescent="0.2">
      <c r="A742" s="12">
        <f t="shared" si="35"/>
        <v>730</v>
      </c>
      <c r="E742" s="10" t="str">
        <f t="shared" si="33"/>
        <v/>
      </c>
      <c r="I742" s="53" t="str">
        <f t="shared" si="34"/>
        <v/>
      </c>
      <c r="N742" s="8">
        <v>0</v>
      </c>
      <c r="Q742" s="1"/>
      <c r="R742" s="1"/>
      <c r="S742" s="1"/>
      <c r="T742" s="8"/>
      <c r="U742" s="8"/>
      <c r="V742" s="1"/>
      <c r="W742" s="1"/>
      <c r="X742" s="1"/>
      <c r="Z742" s="8"/>
    </row>
    <row r="743" spans="1:26" x14ac:dyDescent="0.2">
      <c r="A743" s="12">
        <f t="shared" si="35"/>
        <v>731</v>
      </c>
      <c r="E743" s="10" t="str">
        <f t="shared" si="33"/>
        <v/>
      </c>
      <c r="I743" s="53" t="str">
        <f t="shared" si="34"/>
        <v/>
      </c>
      <c r="N743" s="8">
        <v>0</v>
      </c>
      <c r="Q743" s="1"/>
      <c r="R743" s="1"/>
      <c r="S743" s="1"/>
      <c r="T743" s="8"/>
      <c r="U743" s="8"/>
      <c r="V743" s="1"/>
      <c r="W743" s="1"/>
      <c r="X743" s="1"/>
      <c r="Z743" s="8"/>
    </row>
    <row r="744" spans="1:26" x14ac:dyDescent="0.2">
      <c r="A744" s="12">
        <f t="shared" si="35"/>
        <v>732</v>
      </c>
      <c r="E744" s="10" t="str">
        <f t="shared" si="33"/>
        <v/>
      </c>
      <c r="I744" s="53" t="str">
        <f t="shared" si="34"/>
        <v/>
      </c>
      <c r="N744" s="8">
        <v>0</v>
      </c>
      <c r="Q744" s="1"/>
      <c r="R744" s="1"/>
      <c r="S744" s="1"/>
      <c r="T744" s="8"/>
      <c r="U744" s="8"/>
      <c r="V744" s="1"/>
      <c r="W744" s="1"/>
      <c r="X744" s="1"/>
      <c r="Z744" s="8"/>
    </row>
    <row r="745" spans="1:26" x14ac:dyDescent="0.2">
      <c r="A745" s="12">
        <f t="shared" si="35"/>
        <v>733</v>
      </c>
      <c r="E745" s="10" t="str">
        <f t="shared" si="33"/>
        <v/>
      </c>
      <c r="I745" s="53" t="str">
        <f t="shared" si="34"/>
        <v/>
      </c>
      <c r="N745" s="8">
        <v>0</v>
      </c>
      <c r="Q745" s="1"/>
      <c r="R745" s="1"/>
      <c r="S745" s="1"/>
      <c r="T745" s="8"/>
      <c r="U745" s="8"/>
      <c r="V745" s="1"/>
      <c r="W745" s="1"/>
      <c r="X745" s="1"/>
      <c r="Z745" s="8"/>
    </row>
    <row r="746" spans="1:26" x14ac:dyDescent="0.2">
      <c r="A746" s="12">
        <f t="shared" si="35"/>
        <v>734</v>
      </c>
      <c r="E746" s="10" t="str">
        <f t="shared" si="33"/>
        <v/>
      </c>
      <c r="I746" s="53" t="str">
        <f t="shared" si="34"/>
        <v/>
      </c>
      <c r="N746" s="8">
        <v>0</v>
      </c>
      <c r="Q746" s="1"/>
      <c r="R746" s="1"/>
      <c r="S746" s="1"/>
      <c r="T746" s="8"/>
      <c r="U746" s="8"/>
      <c r="V746" s="1"/>
      <c r="W746" s="1"/>
      <c r="X746" s="1"/>
      <c r="Z746" s="8"/>
    </row>
    <row r="747" spans="1:26" x14ac:dyDescent="0.2">
      <c r="A747" s="12">
        <f t="shared" si="35"/>
        <v>735</v>
      </c>
      <c r="E747" s="10" t="str">
        <f t="shared" si="33"/>
        <v/>
      </c>
      <c r="I747" s="53" t="str">
        <f t="shared" si="34"/>
        <v/>
      </c>
      <c r="N747" s="8">
        <v>0</v>
      </c>
      <c r="Q747" s="1"/>
      <c r="R747" s="1"/>
      <c r="S747" s="1"/>
      <c r="T747" s="8"/>
      <c r="U747" s="8"/>
      <c r="V747" s="1"/>
      <c r="W747" s="1"/>
      <c r="X747" s="1"/>
      <c r="Z747" s="8"/>
    </row>
    <row r="748" spans="1:26" x14ac:dyDescent="0.2">
      <c r="A748" s="12">
        <f t="shared" si="35"/>
        <v>736</v>
      </c>
      <c r="E748" s="10" t="str">
        <f t="shared" si="33"/>
        <v/>
      </c>
      <c r="I748" s="53" t="str">
        <f t="shared" si="34"/>
        <v/>
      </c>
      <c r="N748" s="8">
        <v>0</v>
      </c>
      <c r="Q748" s="1"/>
      <c r="R748" s="1"/>
      <c r="S748" s="1"/>
      <c r="T748" s="8"/>
      <c r="U748" s="8"/>
      <c r="V748" s="1"/>
      <c r="W748" s="1"/>
      <c r="X748" s="1"/>
      <c r="Z748" s="8"/>
    </row>
    <row r="749" spans="1:26" x14ac:dyDescent="0.2">
      <c r="A749" s="12">
        <f t="shared" si="35"/>
        <v>737</v>
      </c>
      <c r="E749" s="10" t="str">
        <f t="shared" si="33"/>
        <v/>
      </c>
      <c r="I749" s="53" t="str">
        <f t="shared" si="34"/>
        <v/>
      </c>
      <c r="N749" s="8">
        <v>0</v>
      </c>
      <c r="Q749" s="1"/>
      <c r="R749" s="1"/>
      <c r="S749" s="1"/>
      <c r="T749" s="8"/>
      <c r="U749" s="8"/>
      <c r="V749" s="1"/>
      <c r="W749" s="1"/>
      <c r="X749" s="1"/>
      <c r="Z749" s="8"/>
    </row>
    <row r="750" spans="1:26" x14ac:dyDescent="0.2">
      <c r="A750" s="12">
        <f t="shared" si="35"/>
        <v>738</v>
      </c>
      <c r="E750" s="10" t="str">
        <f t="shared" si="33"/>
        <v/>
      </c>
      <c r="I750" s="53" t="str">
        <f t="shared" si="34"/>
        <v/>
      </c>
      <c r="N750" s="8">
        <v>0</v>
      </c>
      <c r="Q750" s="1"/>
      <c r="R750" s="1"/>
      <c r="S750" s="1"/>
      <c r="T750" s="8"/>
      <c r="U750" s="8"/>
      <c r="V750" s="1"/>
      <c r="W750" s="1"/>
      <c r="X750" s="1"/>
      <c r="Z750" s="8"/>
    </row>
    <row r="751" spans="1:26" x14ac:dyDescent="0.2">
      <c r="A751" s="12">
        <f t="shared" si="35"/>
        <v>739</v>
      </c>
      <c r="E751" s="10" t="str">
        <f t="shared" si="33"/>
        <v/>
      </c>
      <c r="I751" s="53" t="str">
        <f t="shared" si="34"/>
        <v/>
      </c>
      <c r="N751" s="8">
        <v>0</v>
      </c>
      <c r="Q751" s="1"/>
      <c r="R751" s="1"/>
      <c r="S751" s="1"/>
      <c r="T751" s="8"/>
      <c r="U751" s="8"/>
      <c r="V751" s="1"/>
      <c r="W751" s="1"/>
      <c r="X751" s="1"/>
      <c r="Z751" s="8"/>
    </row>
    <row r="752" spans="1:26" x14ac:dyDescent="0.2">
      <c r="A752" s="12">
        <f t="shared" si="35"/>
        <v>740</v>
      </c>
      <c r="E752" s="10" t="str">
        <f t="shared" si="33"/>
        <v/>
      </c>
      <c r="I752" s="53" t="str">
        <f t="shared" si="34"/>
        <v/>
      </c>
      <c r="N752" s="8">
        <v>0</v>
      </c>
      <c r="Q752" s="1"/>
      <c r="R752" s="1"/>
      <c r="S752" s="1"/>
      <c r="T752" s="8"/>
      <c r="U752" s="8"/>
      <c r="V752" s="1"/>
      <c r="W752" s="1"/>
      <c r="X752" s="1"/>
      <c r="Z752" s="8"/>
    </row>
    <row r="753" spans="1:26" x14ac:dyDescent="0.2">
      <c r="A753" s="12">
        <f t="shared" si="35"/>
        <v>741</v>
      </c>
      <c r="E753" s="10" t="str">
        <f t="shared" si="33"/>
        <v/>
      </c>
      <c r="I753" s="53" t="str">
        <f t="shared" si="34"/>
        <v/>
      </c>
      <c r="N753" s="8">
        <v>0</v>
      </c>
      <c r="Q753" s="1"/>
      <c r="R753" s="1"/>
      <c r="S753" s="1"/>
      <c r="T753" s="8"/>
      <c r="U753" s="8"/>
      <c r="V753" s="1"/>
      <c r="W753" s="1"/>
      <c r="X753" s="1"/>
      <c r="Z753" s="8"/>
    </row>
    <row r="754" spans="1:26" x14ac:dyDescent="0.2">
      <c r="A754" s="12">
        <f t="shared" si="35"/>
        <v>742</v>
      </c>
      <c r="E754" s="10" t="str">
        <f t="shared" si="33"/>
        <v/>
      </c>
      <c r="I754" s="53" t="str">
        <f t="shared" si="34"/>
        <v/>
      </c>
      <c r="N754" s="8">
        <v>0</v>
      </c>
      <c r="Q754" s="1"/>
      <c r="R754" s="1"/>
      <c r="S754" s="1"/>
      <c r="T754" s="8"/>
      <c r="U754" s="8"/>
      <c r="V754" s="1"/>
      <c r="W754" s="1"/>
      <c r="X754" s="1"/>
      <c r="Z754" s="8"/>
    </row>
    <row r="755" spans="1:26" x14ac:dyDescent="0.2">
      <c r="A755" s="12">
        <f t="shared" si="35"/>
        <v>743</v>
      </c>
      <c r="E755" s="10" t="str">
        <f t="shared" si="33"/>
        <v/>
      </c>
      <c r="I755" s="53" t="str">
        <f t="shared" si="34"/>
        <v/>
      </c>
      <c r="N755" s="8">
        <v>0</v>
      </c>
      <c r="Q755" s="1"/>
      <c r="R755" s="1"/>
      <c r="S755" s="1"/>
      <c r="T755" s="8"/>
      <c r="U755" s="8"/>
      <c r="V755" s="1"/>
      <c r="W755" s="1"/>
      <c r="X755" s="1"/>
      <c r="Z755" s="8"/>
    </row>
    <row r="756" spans="1:26" x14ac:dyDescent="0.2">
      <c r="A756" s="12">
        <f t="shared" si="35"/>
        <v>744</v>
      </c>
      <c r="E756" s="10" t="str">
        <f t="shared" si="33"/>
        <v/>
      </c>
      <c r="I756" s="53" t="str">
        <f t="shared" si="34"/>
        <v/>
      </c>
      <c r="N756" s="8">
        <v>0</v>
      </c>
      <c r="Q756" s="1"/>
      <c r="R756" s="1"/>
      <c r="S756" s="1"/>
      <c r="T756" s="8"/>
      <c r="U756" s="8"/>
      <c r="V756" s="1"/>
      <c r="W756" s="1"/>
      <c r="X756" s="1"/>
      <c r="Z756" s="8"/>
    </row>
    <row r="757" spans="1:26" x14ac:dyDescent="0.2">
      <c r="A757" s="12">
        <f t="shared" si="35"/>
        <v>745</v>
      </c>
      <c r="E757" s="10" t="str">
        <f t="shared" si="33"/>
        <v/>
      </c>
      <c r="I757" s="53" t="str">
        <f t="shared" si="34"/>
        <v/>
      </c>
      <c r="N757" s="8">
        <v>0</v>
      </c>
      <c r="Q757" s="1"/>
      <c r="R757" s="1"/>
      <c r="S757" s="1"/>
      <c r="T757" s="8"/>
      <c r="U757" s="8"/>
      <c r="V757" s="1"/>
      <c r="W757" s="1"/>
      <c r="X757" s="1"/>
      <c r="Z757" s="8"/>
    </row>
    <row r="758" spans="1:26" x14ac:dyDescent="0.2">
      <c r="A758" s="12">
        <f t="shared" si="35"/>
        <v>746</v>
      </c>
      <c r="E758" s="10" t="str">
        <f t="shared" si="33"/>
        <v/>
      </c>
      <c r="I758" s="53" t="str">
        <f t="shared" si="34"/>
        <v/>
      </c>
      <c r="N758" s="8">
        <v>0</v>
      </c>
      <c r="Q758" s="1"/>
      <c r="R758" s="1"/>
      <c r="S758" s="1"/>
      <c r="T758" s="8"/>
      <c r="U758" s="8"/>
      <c r="V758" s="1"/>
      <c r="W758" s="1"/>
      <c r="X758" s="1"/>
      <c r="Z758" s="8"/>
    </row>
    <row r="759" spans="1:26" x14ac:dyDescent="0.2">
      <c r="A759" s="12">
        <f t="shared" si="35"/>
        <v>747</v>
      </c>
      <c r="E759" s="10" t="str">
        <f t="shared" si="33"/>
        <v/>
      </c>
      <c r="I759" s="53" t="str">
        <f t="shared" si="34"/>
        <v/>
      </c>
      <c r="N759" s="8">
        <v>0</v>
      </c>
      <c r="Q759" s="1"/>
      <c r="R759" s="1"/>
      <c r="S759" s="1"/>
      <c r="T759" s="8"/>
      <c r="U759" s="8"/>
      <c r="V759" s="1"/>
      <c r="W759" s="1"/>
      <c r="X759" s="1"/>
      <c r="Z759" s="8"/>
    </row>
    <row r="760" spans="1:26" x14ac:dyDescent="0.2">
      <c r="A760" s="12">
        <f t="shared" si="35"/>
        <v>748</v>
      </c>
      <c r="E760" s="10" t="str">
        <f t="shared" si="33"/>
        <v/>
      </c>
      <c r="I760" s="53" t="str">
        <f t="shared" si="34"/>
        <v/>
      </c>
      <c r="N760" s="8">
        <v>0</v>
      </c>
      <c r="Q760" s="1"/>
      <c r="R760" s="1"/>
      <c r="S760" s="1"/>
      <c r="T760" s="8"/>
      <c r="U760" s="8"/>
      <c r="V760" s="1"/>
      <c r="W760" s="1"/>
      <c r="X760" s="1"/>
      <c r="Z760" s="8"/>
    </row>
    <row r="761" spans="1:26" x14ac:dyDescent="0.2">
      <c r="A761" s="12">
        <f t="shared" si="35"/>
        <v>749</v>
      </c>
      <c r="E761" s="10" t="str">
        <f t="shared" si="33"/>
        <v/>
      </c>
      <c r="I761" s="53" t="str">
        <f t="shared" si="34"/>
        <v/>
      </c>
      <c r="N761" s="8">
        <v>0</v>
      </c>
      <c r="Q761" s="1"/>
      <c r="R761" s="1"/>
      <c r="S761" s="1"/>
      <c r="T761" s="8"/>
      <c r="U761" s="8"/>
      <c r="V761" s="1"/>
      <c r="W761" s="1"/>
      <c r="X761" s="1"/>
      <c r="Z761" s="8"/>
    </row>
    <row r="762" spans="1:26" x14ac:dyDescent="0.2">
      <c r="A762" s="12">
        <f t="shared" si="35"/>
        <v>750</v>
      </c>
      <c r="E762" s="10" t="str">
        <f t="shared" si="33"/>
        <v/>
      </c>
      <c r="I762" s="53" t="str">
        <f t="shared" si="34"/>
        <v/>
      </c>
      <c r="N762" s="8">
        <v>0</v>
      </c>
      <c r="Q762" s="1"/>
      <c r="R762" s="1"/>
      <c r="S762" s="1"/>
      <c r="T762" s="8"/>
      <c r="U762" s="8"/>
      <c r="V762" s="1"/>
      <c r="W762" s="1"/>
      <c r="X762" s="1"/>
      <c r="Z762" s="8"/>
    </row>
    <row r="763" spans="1:26" x14ac:dyDescent="0.2">
      <c r="A763" s="12">
        <f t="shared" si="35"/>
        <v>751</v>
      </c>
      <c r="E763" s="10" t="str">
        <f t="shared" si="33"/>
        <v/>
      </c>
      <c r="I763" s="53" t="str">
        <f t="shared" si="34"/>
        <v/>
      </c>
      <c r="N763" s="8">
        <v>0</v>
      </c>
      <c r="Q763" s="1"/>
      <c r="R763" s="1"/>
      <c r="S763" s="1"/>
      <c r="T763" s="8"/>
      <c r="U763" s="8"/>
      <c r="V763" s="1"/>
      <c r="W763" s="1"/>
      <c r="X763" s="1"/>
      <c r="Z763" s="8"/>
    </row>
    <row r="764" spans="1:26" x14ac:dyDescent="0.2">
      <c r="A764" s="12">
        <f t="shared" si="35"/>
        <v>752</v>
      </c>
      <c r="E764" s="10" t="str">
        <f t="shared" si="33"/>
        <v/>
      </c>
      <c r="I764" s="53" t="str">
        <f t="shared" si="34"/>
        <v/>
      </c>
      <c r="N764" s="8">
        <v>0</v>
      </c>
      <c r="Q764" s="1"/>
      <c r="R764" s="1"/>
      <c r="S764" s="1"/>
      <c r="T764" s="8"/>
      <c r="U764" s="8"/>
      <c r="V764" s="1"/>
      <c r="W764" s="1"/>
      <c r="X764" s="1"/>
      <c r="Z764" s="8"/>
    </row>
    <row r="765" spans="1:26" x14ac:dyDescent="0.2">
      <c r="A765" s="12">
        <f t="shared" si="35"/>
        <v>753</v>
      </c>
      <c r="E765" s="10" t="str">
        <f t="shared" si="33"/>
        <v/>
      </c>
      <c r="I765" s="53" t="str">
        <f t="shared" si="34"/>
        <v/>
      </c>
      <c r="N765" s="8">
        <v>0</v>
      </c>
      <c r="Q765" s="1"/>
      <c r="R765" s="1"/>
      <c r="S765" s="1"/>
      <c r="T765" s="8"/>
      <c r="U765" s="8"/>
      <c r="V765" s="1"/>
      <c r="W765" s="1"/>
      <c r="X765" s="1"/>
      <c r="Z765" s="8"/>
    </row>
    <row r="766" spans="1:26" x14ac:dyDescent="0.2">
      <c r="A766" s="12">
        <f t="shared" si="35"/>
        <v>754</v>
      </c>
      <c r="E766" s="10" t="str">
        <f t="shared" si="33"/>
        <v/>
      </c>
      <c r="I766" s="53" t="str">
        <f t="shared" si="34"/>
        <v/>
      </c>
      <c r="N766" s="8">
        <v>0</v>
      </c>
      <c r="Q766" s="1"/>
      <c r="R766" s="1"/>
      <c r="S766" s="1"/>
      <c r="T766" s="8"/>
      <c r="U766" s="8"/>
      <c r="V766" s="1"/>
      <c r="W766" s="1"/>
      <c r="X766" s="1"/>
      <c r="Z766" s="8"/>
    </row>
    <row r="767" spans="1:26" x14ac:dyDescent="0.2">
      <c r="A767" s="12">
        <f t="shared" si="35"/>
        <v>755</v>
      </c>
      <c r="E767" s="10" t="str">
        <f t="shared" si="33"/>
        <v/>
      </c>
      <c r="I767" s="53" t="str">
        <f t="shared" si="34"/>
        <v/>
      </c>
      <c r="N767" s="8">
        <v>0</v>
      </c>
      <c r="Q767" s="1"/>
      <c r="R767" s="1"/>
      <c r="S767" s="1"/>
      <c r="T767" s="8"/>
      <c r="U767" s="8"/>
      <c r="V767" s="1"/>
      <c r="W767" s="1"/>
      <c r="X767" s="1"/>
      <c r="Z767" s="8"/>
    </row>
    <row r="768" spans="1:26" x14ac:dyDescent="0.2">
      <c r="A768" s="12">
        <f t="shared" si="35"/>
        <v>756</v>
      </c>
      <c r="E768" s="10" t="str">
        <f t="shared" si="33"/>
        <v/>
      </c>
      <c r="I768" s="53" t="str">
        <f t="shared" si="34"/>
        <v/>
      </c>
      <c r="N768" s="8">
        <v>0</v>
      </c>
      <c r="Q768" s="1"/>
      <c r="R768" s="1"/>
      <c r="S768" s="1"/>
      <c r="T768" s="8"/>
      <c r="U768" s="8"/>
      <c r="V768" s="1"/>
      <c r="W768" s="1"/>
      <c r="X768" s="1"/>
      <c r="Z768" s="8"/>
    </row>
    <row r="769" spans="1:26" x14ac:dyDescent="0.2">
      <c r="A769" s="12">
        <f t="shared" si="35"/>
        <v>757</v>
      </c>
      <c r="E769" s="10" t="str">
        <f t="shared" si="33"/>
        <v/>
      </c>
      <c r="I769" s="53" t="str">
        <f t="shared" si="34"/>
        <v/>
      </c>
      <c r="N769" s="8">
        <v>0</v>
      </c>
      <c r="Q769" s="1"/>
      <c r="R769" s="1"/>
      <c r="S769" s="1"/>
      <c r="T769" s="8"/>
      <c r="U769" s="8"/>
      <c r="V769" s="1"/>
      <c r="W769" s="1"/>
      <c r="X769" s="1"/>
      <c r="Z769" s="8"/>
    </row>
    <row r="770" spans="1:26" x14ac:dyDescent="0.2">
      <c r="A770" s="12">
        <f t="shared" si="35"/>
        <v>758</v>
      </c>
      <c r="E770" s="10" t="str">
        <f t="shared" si="33"/>
        <v/>
      </c>
      <c r="I770" s="53" t="str">
        <f t="shared" si="34"/>
        <v/>
      </c>
      <c r="N770" s="8">
        <v>0</v>
      </c>
      <c r="Q770" s="1"/>
      <c r="R770" s="1"/>
      <c r="S770" s="1"/>
      <c r="T770" s="8"/>
      <c r="U770" s="8"/>
      <c r="V770" s="1"/>
      <c r="W770" s="1"/>
      <c r="X770" s="1"/>
      <c r="Z770" s="8"/>
    </row>
    <row r="771" spans="1:26" x14ac:dyDescent="0.2">
      <c r="A771" s="12">
        <f t="shared" si="35"/>
        <v>759</v>
      </c>
      <c r="E771" s="10" t="str">
        <f t="shared" si="33"/>
        <v/>
      </c>
      <c r="I771" s="53" t="str">
        <f t="shared" si="34"/>
        <v/>
      </c>
      <c r="N771" s="8">
        <v>0</v>
      </c>
      <c r="Q771" s="1"/>
      <c r="R771" s="1"/>
      <c r="S771" s="1"/>
      <c r="T771" s="8"/>
      <c r="U771" s="8"/>
      <c r="V771" s="1"/>
      <c r="W771" s="1"/>
      <c r="X771" s="1"/>
      <c r="Z771" s="8"/>
    </row>
    <row r="772" spans="1:26" x14ac:dyDescent="0.2">
      <c r="A772" s="12">
        <f t="shared" si="35"/>
        <v>760</v>
      </c>
      <c r="E772" s="10" t="str">
        <f t="shared" si="33"/>
        <v/>
      </c>
      <c r="I772" s="53" t="str">
        <f t="shared" si="34"/>
        <v/>
      </c>
      <c r="N772" s="8">
        <v>0</v>
      </c>
      <c r="Q772" s="1"/>
      <c r="R772" s="1"/>
      <c r="S772" s="1"/>
      <c r="T772" s="8"/>
      <c r="U772" s="8"/>
      <c r="V772" s="1"/>
      <c r="W772" s="1"/>
      <c r="X772" s="1"/>
      <c r="Z772" s="8"/>
    </row>
    <row r="773" spans="1:26" x14ac:dyDescent="0.2">
      <c r="A773" s="12">
        <f t="shared" si="35"/>
        <v>761</v>
      </c>
      <c r="E773" s="10" t="str">
        <f t="shared" si="33"/>
        <v/>
      </c>
      <c r="I773" s="53" t="str">
        <f t="shared" si="34"/>
        <v/>
      </c>
      <c r="N773" s="8">
        <v>0</v>
      </c>
      <c r="Q773" s="1"/>
      <c r="R773" s="1"/>
      <c r="S773" s="1"/>
      <c r="T773" s="8"/>
      <c r="U773" s="8"/>
      <c r="V773" s="1"/>
      <c r="W773" s="1"/>
      <c r="X773" s="1"/>
      <c r="Z773" s="8"/>
    </row>
    <row r="774" spans="1:26" x14ac:dyDescent="0.2">
      <c r="A774" s="12">
        <f t="shared" si="35"/>
        <v>762</v>
      </c>
      <c r="E774" s="10" t="str">
        <f t="shared" si="33"/>
        <v/>
      </c>
      <c r="I774" s="53" t="str">
        <f t="shared" si="34"/>
        <v/>
      </c>
      <c r="N774" s="8">
        <v>0</v>
      </c>
      <c r="Q774" s="1"/>
      <c r="R774" s="1"/>
      <c r="S774" s="1"/>
      <c r="T774" s="8"/>
      <c r="U774" s="8"/>
      <c r="V774" s="1"/>
      <c r="W774" s="1"/>
      <c r="X774" s="1"/>
      <c r="Z774" s="8"/>
    </row>
    <row r="775" spans="1:26" x14ac:dyDescent="0.2">
      <c r="A775" s="12">
        <f t="shared" si="35"/>
        <v>763</v>
      </c>
      <c r="E775" s="10" t="str">
        <f t="shared" si="33"/>
        <v/>
      </c>
      <c r="I775" s="53" t="str">
        <f t="shared" si="34"/>
        <v/>
      </c>
      <c r="N775" s="8">
        <v>0</v>
      </c>
      <c r="Q775" s="1"/>
      <c r="R775" s="1"/>
      <c r="S775" s="1"/>
      <c r="T775" s="8"/>
      <c r="U775" s="8"/>
      <c r="V775" s="1"/>
      <c r="W775" s="1"/>
      <c r="X775" s="1"/>
      <c r="Z775" s="8"/>
    </row>
    <row r="776" spans="1:26" x14ac:dyDescent="0.2">
      <c r="A776" s="12">
        <f t="shared" si="35"/>
        <v>764</v>
      </c>
      <c r="E776" s="10" t="str">
        <f t="shared" si="33"/>
        <v/>
      </c>
      <c r="I776" s="53" t="str">
        <f t="shared" si="34"/>
        <v/>
      </c>
      <c r="N776" s="8">
        <v>0</v>
      </c>
      <c r="Q776" s="1"/>
      <c r="R776" s="1"/>
      <c r="S776" s="1"/>
      <c r="T776" s="8"/>
      <c r="U776" s="8"/>
      <c r="V776" s="1"/>
      <c r="W776" s="1"/>
      <c r="X776" s="1"/>
      <c r="Z776" s="8"/>
    </row>
    <row r="777" spans="1:26" x14ac:dyDescent="0.2">
      <c r="A777" s="12">
        <f t="shared" si="35"/>
        <v>765</v>
      </c>
      <c r="E777" s="10" t="str">
        <f t="shared" si="33"/>
        <v/>
      </c>
      <c r="I777" s="53" t="str">
        <f t="shared" si="34"/>
        <v/>
      </c>
      <c r="N777" s="8">
        <v>0</v>
      </c>
      <c r="Q777" s="1"/>
      <c r="R777" s="1"/>
      <c r="S777" s="1"/>
      <c r="T777" s="8"/>
      <c r="U777" s="8"/>
      <c r="V777" s="1"/>
      <c r="W777" s="1"/>
      <c r="X777" s="1"/>
      <c r="Z777" s="8"/>
    </row>
    <row r="778" spans="1:26" x14ac:dyDescent="0.2">
      <c r="A778" s="12">
        <f t="shared" si="35"/>
        <v>766</v>
      </c>
      <c r="E778" s="10" t="str">
        <f t="shared" si="33"/>
        <v/>
      </c>
      <c r="I778" s="53" t="str">
        <f t="shared" si="34"/>
        <v/>
      </c>
      <c r="N778" s="8">
        <v>0</v>
      </c>
      <c r="Q778" s="1"/>
      <c r="R778" s="1"/>
      <c r="S778" s="1"/>
      <c r="T778" s="8"/>
      <c r="U778" s="8"/>
      <c r="V778" s="1"/>
      <c r="W778" s="1"/>
      <c r="X778" s="1"/>
      <c r="Z778" s="8"/>
    </row>
    <row r="779" spans="1:26" x14ac:dyDescent="0.2">
      <c r="A779" s="12">
        <f t="shared" si="35"/>
        <v>767</v>
      </c>
      <c r="E779" s="10" t="str">
        <f t="shared" si="33"/>
        <v/>
      </c>
      <c r="I779" s="53" t="str">
        <f t="shared" si="34"/>
        <v/>
      </c>
      <c r="N779" s="8">
        <v>0</v>
      </c>
      <c r="Q779" s="1"/>
      <c r="R779" s="1"/>
      <c r="S779" s="1"/>
      <c r="T779" s="8"/>
      <c r="U779" s="8"/>
      <c r="V779" s="1"/>
      <c r="W779" s="1"/>
      <c r="X779" s="1"/>
      <c r="Z779" s="8"/>
    </row>
    <row r="780" spans="1:26" x14ac:dyDescent="0.2">
      <c r="A780" s="12">
        <f t="shared" si="35"/>
        <v>768</v>
      </c>
      <c r="E780" s="10" t="str">
        <f t="shared" si="33"/>
        <v/>
      </c>
      <c r="I780" s="53" t="str">
        <f t="shared" si="34"/>
        <v/>
      </c>
      <c r="N780" s="8">
        <v>0</v>
      </c>
      <c r="Q780" s="1"/>
      <c r="R780" s="1"/>
      <c r="S780" s="1"/>
      <c r="T780" s="8"/>
      <c r="U780" s="8"/>
      <c r="V780" s="1"/>
      <c r="W780" s="1"/>
      <c r="X780" s="1"/>
      <c r="Z780" s="8"/>
    </row>
    <row r="781" spans="1:26" x14ac:dyDescent="0.2">
      <c r="A781" s="12">
        <f t="shared" si="35"/>
        <v>769</v>
      </c>
      <c r="E781" s="10" t="str">
        <f t="shared" ref="E781:E844" si="36">IF($C$8&gt;=A781,$E$1&amp;" "&amp;A781,"")</f>
        <v/>
      </c>
      <c r="I781" s="53" t="str">
        <f t="shared" si="34"/>
        <v/>
      </c>
      <c r="N781" s="8">
        <v>0</v>
      </c>
      <c r="Q781" s="1"/>
      <c r="R781" s="1"/>
      <c r="S781" s="1"/>
      <c r="T781" s="8"/>
      <c r="U781" s="8"/>
      <c r="V781" s="1"/>
      <c r="W781" s="1"/>
      <c r="X781" s="1"/>
      <c r="Z781" s="8"/>
    </row>
    <row r="782" spans="1:26" x14ac:dyDescent="0.2">
      <c r="A782" s="12">
        <f t="shared" si="35"/>
        <v>770</v>
      </c>
      <c r="E782" s="10" t="str">
        <f t="shared" si="36"/>
        <v/>
      </c>
      <c r="I782" s="53" t="str">
        <f t="shared" ref="I782:I845" si="37">IF(E782="","",F782-G782-H782)</f>
        <v/>
      </c>
      <c r="N782" s="8">
        <v>0</v>
      </c>
      <c r="Q782" s="1"/>
      <c r="R782" s="1"/>
      <c r="S782" s="1"/>
      <c r="T782" s="8"/>
      <c r="U782" s="8"/>
      <c r="V782" s="1"/>
      <c r="W782" s="1"/>
      <c r="X782" s="1"/>
      <c r="Z782" s="8"/>
    </row>
    <row r="783" spans="1:26" x14ac:dyDescent="0.2">
      <c r="A783" s="12">
        <f t="shared" ref="A783:A846" si="38">A782+1</f>
        <v>771</v>
      </c>
      <c r="E783" s="10" t="str">
        <f t="shared" si="36"/>
        <v/>
      </c>
      <c r="I783" s="53" t="str">
        <f t="shared" si="37"/>
        <v/>
      </c>
      <c r="N783" s="8">
        <v>0</v>
      </c>
      <c r="Q783" s="1"/>
      <c r="R783" s="1"/>
      <c r="S783" s="1"/>
      <c r="T783" s="8"/>
      <c r="U783" s="8"/>
      <c r="V783" s="1"/>
      <c r="W783" s="1"/>
      <c r="X783" s="1"/>
      <c r="Z783" s="8"/>
    </row>
    <row r="784" spans="1:26" x14ac:dyDescent="0.2">
      <c r="A784" s="12">
        <f t="shared" si="38"/>
        <v>772</v>
      </c>
      <c r="E784" s="10" t="str">
        <f t="shared" si="36"/>
        <v/>
      </c>
      <c r="I784" s="53" t="str">
        <f t="shared" si="37"/>
        <v/>
      </c>
      <c r="N784" s="8">
        <v>0</v>
      </c>
      <c r="Q784" s="1"/>
      <c r="R784" s="1"/>
      <c r="S784" s="1"/>
      <c r="T784" s="8"/>
      <c r="U784" s="8"/>
      <c r="V784" s="1"/>
      <c r="W784" s="1"/>
      <c r="X784" s="1"/>
      <c r="Z784" s="8"/>
    </row>
    <row r="785" spans="1:26" x14ac:dyDescent="0.2">
      <c r="A785" s="12">
        <f t="shared" si="38"/>
        <v>773</v>
      </c>
      <c r="E785" s="10" t="str">
        <f t="shared" si="36"/>
        <v/>
      </c>
      <c r="I785" s="53" t="str">
        <f t="shared" si="37"/>
        <v/>
      </c>
      <c r="N785" s="8">
        <v>0</v>
      </c>
      <c r="Q785" s="1"/>
      <c r="R785" s="1"/>
      <c r="S785" s="1"/>
      <c r="T785" s="8"/>
      <c r="U785" s="8"/>
      <c r="V785" s="1"/>
      <c r="W785" s="1"/>
      <c r="X785" s="1"/>
      <c r="Z785" s="8"/>
    </row>
    <row r="786" spans="1:26" x14ac:dyDescent="0.2">
      <c r="A786" s="12">
        <f t="shared" si="38"/>
        <v>774</v>
      </c>
      <c r="E786" s="10" t="str">
        <f t="shared" si="36"/>
        <v/>
      </c>
      <c r="I786" s="53" t="str">
        <f t="shared" si="37"/>
        <v/>
      </c>
      <c r="N786" s="8">
        <v>0</v>
      </c>
      <c r="Q786" s="1"/>
      <c r="R786" s="1"/>
      <c r="S786" s="1"/>
      <c r="T786" s="8"/>
      <c r="U786" s="8"/>
      <c r="V786" s="1"/>
      <c r="W786" s="1"/>
      <c r="X786" s="1"/>
      <c r="Z786" s="8"/>
    </row>
    <row r="787" spans="1:26" x14ac:dyDescent="0.2">
      <c r="A787" s="12">
        <f t="shared" si="38"/>
        <v>775</v>
      </c>
      <c r="E787" s="10" t="str">
        <f t="shared" si="36"/>
        <v/>
      </c>
      <c r="I787" s="53" t="str">
        <f t="shared" si="37"/>
        <v/>
      </c>
      <c r="N787" s="8">
        <v>0</v>
      </c>
      <c r="Q787" s="1"/>
      <c r="R787" s="1"/>
      <c r="S787" s="1"/>
      <c r="T787" s="8"/>
      <c r="U787" s="8"/>
      <c r="V787" s="1"/>
      <c r="W787" s="1"/>
      <c r="X787" s="1"/>
      <c r="Z787" s="8"/>
    </row>
    <row r="788" spans="1:26" x14ac:dyDescent="0.2">
      <c r="A788" s="12">
        <f t="shared" si="38"/>
        <v>776</v>
      </c>
      <c r="E788" s="10" t="str">
        <f t="shared" si="36"/>
        <v/>
      </c>
      <c r="I788" s="53" t="str">
        <f t="shared" si="37"/>
        <v/>
      </c>
      <c r="N788" s="8">
        <v>0</v>
      </c>
      <c r="Q788" s="1"/>
      <c r="R788" s="1"/>
      <c r="S788" s="1"/>
      <c r="T788" s="8"/>
      <c r="U788" s="8"/>
      <c r="V788" s="1"/>
      <c r="W788" s="1"/>
      <c r="X788" s="1"/>
      <c r="Z788" s="8"/>
    </row>
    <row r="789" spans="1:26" x14ac:dyDescent="0.2">
      <c r="A789" s="12">
        <f t="shared" si="38"/>
        <v>777</v>
      </c>
      <c r="E789" s="10" t="str">
        <f t="shared" si="36"/>
        <v/>
      </c>
      <c r="I789" s="53" t="str">
        <f t="shared" si="37"/>
        <v/>
      </c>
      <c r="N789" s="8">
        <v>0</v>
      </c>
      <c r="Q789" s="1"/>
      <c r="R789" s="1"/>
      <c r="S789" s="1"/>
      <c r="T789" s="8"/>
      <c r="U789" s="8"/>
      <c r="V789" s="1"/>
      <c r="W789" s="1"/>
      <c r="X789" s="1"/>
      <c r="Z789" s="8"/>
    </row>
    <row r="790" spans="1:26" x14ac:dyDescent="0.2">
      <c r="A790" s="12">
        <f t="shared" si="38"/>
        <v>778</v>
      </c>
      <c r="E790" s="10" t="str">
        <f t="shared" si="36"/>
        <v/>
      </c>
      <c r="I790" s="53" t="str">
        <f t="shared" si="37"/>
        <v/>
      </c>
      <c r="N790" s="8">
        <v>0</v>
      </c>
      <c r="Q790" s="1"/>
      <c r="R790" s="1"/>
      <c r="S790" s="1"/>
      <c r="T790" s="8"/>
      <c r="U790" s="8"/>
      <c r="V790" s="1"/>
      <c r="W790" s="1"/>
      <c r="X790" s="1"/>
      <c r="Z790" s="8"/>
    </row>
    <row r="791" spans="1:26" x14ac:dyDescent="0.2">
      <c r="A791" s="12">
        <f t="shared" si="38"/>
        <v>779</v>
      </c>
      <c r="E791" s="10" t="str">
        <f t="shared" si="36"/>
        <v/>
      </c>
      <c r="I791" s="53" t="str">
        <f t="shared" si="37"/>
        <v/>
      </c>
      <c r="N791" s="8">
        <v>0</v>
      </c>
      <c r="Q791" s="1"/>
      <c r="R791" s="1"/>
      <c r="S791" s="1"/>
      <c r="T791" s="8"/>
      <c r="U791" s="8"/>
      <c r="V791" s="1"/>
      <c r="W791" s="1"/>
      <c r="X791" s="1"/>
      <c r="Z791" s="8"/>
    </row>
    <row r="792" spans="1:26" x14ac:dyDescent="0.2">
      <c r="A792" s="12">
        <f t="shared" si="38"/>
        <v>780</v>
      </c>
      <c r="E792" s="10" t="str">
        <f t="shared" si="36"/>
        <v/>
      </c>
      <c r="I792" s="53" t="str">
        <f t="shared" si="37"/>
        <v/>
      </c>
      <c r="N792" s="8">
        <v>0</v>
      </c>
      <c r="Q792" s="1"/>
      <c r="R792" s="1"/>
      <c r="S792" s="1"/>
      <c r="T792" s="8"/>
      <c r="U792" s="8"/>
      <c r="V792" s="1"/>
      <c r="W792" s="1"/>
      <c r="X792" s="1"/>
      <c r="Z792" s="8"/>
    </row>
    <row r="793" spans="1:26" x14ac:dyDescent="0.2">
      <c r="A793" s="12">
        <f t="shared" si="38"/>
        <v>781</v>
      </c>
      <c r="E793" s="10" t="str">
        <f t="shared" si="36"/>
        <v/>
      </c>
      <c r="I793" s="53" t="str">
        <f t="shared" si="37"/>
        <v/>
      </c>
      <c r="N793" s="8">
        <v>0</v>
      </c>
      <c r="Q793" s="1"/>
      <c r="R793" s="1"/>
      <c r="S793" s="1"/>
      <c r="T793" s="8"/>
      <c r="U793" s="8"/>
      <c r="V793" s="1"/>
      <c r="W793" s="1"/>
      <c r="X793" s="1"/>
      <c r="Z793" s="8"/>
    </row>
    <row r="794" spans="1:26" x14ac:dyDescent="0.2">
      <c r="A794" s="12">
        <f t="shared" si="38"/>
        <v>782</v>
      </c>
      <c r="E794" s="10" t="str">
        <f t="shared" si="36"/>
        <v/>
      </c>
      <c r="I794" s="53" t="str">
        <f t="shared" si="37"/>
        <v/>
      </c>
      <c r="N794" s="8">
        <v>0</v>
      </c>
      <c r="Q794" s="1"/>
      <c r="R794" s="1"/>
      <c r="S794" s="1"/>
      <c r="T794" s="8"/>
      <c r="U794" s="8"/>
      <c r="V794" s="1"/>
      <c r="W794" s="1"/>
      <c r="X794" s="1"/>
      <c r="Z794" s="8"/>
    </row>
    <row r="795" spans="1:26" x14ac:dyDescent="0.2">
      <c r="A795" s="12">
        <f t="shared" si="38"/>
        <v>783</v>
      </c>
      <c r="E795" s="10" t="str">
        <f t="shared" si="36"/>
        <v/>
      </c>
      <c r="I795" s="53" t="str">
        <f t="shared" si="37"/>
        <v/>
      </c>
      <c r="N795" s="8">
        <v>0</v>
      </c>
      <c r="Q795" s="1"/>
      <c r="R795" s="1"/>
      <c r="S795" s="1"/>
      <c r="T795" s="8"/>
      <c r="U795" s="8"/>
      <c r="V795" s="1"/>
      <c r="W795" s="1"/>
      <c r="X795" s="1"/>
      <c r="Z795" s="8"/>
    </row>
    <row r="796" spans="1:26" x14ac:dyDescent="0.2">
      <c r="A796" s="12">
        <f t="shared" si="38"/>
        <v>784</v>
      </c>
      <c r="E796" s="10" t="str">
        <f t="shared" si="36"/>
        <v/>
      </c>
      <c r="I796" s="53" t="str">
        <f t="shared" si="37"/>
        <v/>
      </c>
      <c r="N796" s="8">
        <v>0</v>
      </c>
      <c r="Q796" s="1"/>
      <c r="R796" s="1"/>
      <c r="S796" s="1"/>
      <c r="T796" s="8"/>
      <c r="U796" s="8"/>
      <c r="V796" s="1"/>
      <c r="W796" s="1"/>
      <c r="X796" s="1"/>
      <c r="Z796" s="8"/>
    </row>
    <row r="797" spans="1:26" x14ac:dyDescent="0.2">
      <c r="A797" s="12">
        <f t="shared" si="38"/>
        <v>785</v>
      </c>
      <c r="E797" s="10" t="str">
        <f t="shared" si="36"/>
        <v/>
      </c>
      <c r="I797" s="53" t="str">
        <f t="shared" si="37"/>
        <v/>
      </c>
      <c r="N797" s="8">
        <v>0</v>
      </c>
      <c r="Q797" s="1"/>
      <c r="R797" s="1"/>
      <c r="S797" s="1"/>
      <c r="T797" s="8"/>
      <c r="U797" s="8"/>
      <c r="V797" s="1"/>
      <c r="W797" s="1"/>
      <c r="X797" s="1"/>
      <c r="Z797" s="8"/>
    </row>
    <row r="798" spans="1:26" x14ac:dyDescent="0.2">
      <c r="A798" s="12">
        <f t="shared" si="38"/>
        <v>786</v>
      </c>
      <c r="E798" s="10" t="str">
        <f t="shared" si="36"/>
        <v/>
      </c>
      <c r="I798" s="53" t="str">
        <f t="shared" si="37"/>
        <v/>
      </c>
      <c r="N798" s="8">
        <v>0</v>
      </c>
      <c r="Q798" s="1"/>
      <c r="R798" s="1"/>
      <c r="S798" s="1"/>
      <c r="T798" s="8"/>
      <c r="U798" s="8"/>
      <c r="V798" s="1"/>
      <c r="W798" s="1"/>
      <c r="X798" s="1"/>
      <c r="Z798" s="8"/>
    </row>
    <row r="799" spans="1:26" x14ac:dyDescent="0.2">
      <c r="A799" s="12">
        <f t="shared" si="38"/>
        <v>787</v>
      </c>
      <c r="E799" s="10" t="str">
        <f t="shared" si="36"/>
        <v/>
      </c>
      <c r="I799" s="53" t="str">
        <f t="shared" si="37"/>
        <v/>
      </c>
      <c r="N799" s="8">
        <v>0</v>
      </c>
      <c r="Q799" s="1"/>
      <c r="R799" s="1"/>
      <c r="S799" s="1"/>
      <c r="T799" s="8"/>
      <c r="U799" s="8"/>
      <c r="V799" s="1"/>
      <c r="W799" s="1"/>
      <c r="X799" s="1"/>
      <c r="Z799" s="8"/>
    </row>
    <row r="800" spans="1:26" x14ac:dyDescent="0.2">
      <c r="A800" s="12">
        <f t="shared" si="38"/>
        <v>788</v>
      </c>
      <c r="E800" s="10" t="str">
        <f t="shared" si="36"/>
        <v/>
      </c>
      <c r="I800" s="53" t="str">
        <f t="shared" si="37"/>
        <v/>
      </c>
      <c r="N800" s="8">
        <v>0</v>
      </c>
      <c r="Q800" s="1"/>
      <c r="R800" s="1"/>
      <c r="S800" s="1"/>
      <c r="T800" s="8"/>
      <c r="U800" s="8"/>
      <c r="V800" s="1"/>
      <c r="W800" s="1"/>
      <c r="X800" s="1"/>
      <c r="Z800" s="8"/>
    </row>
    <row r="801" spans="1:26" x14ac:dyDescent="0.2">
      <c r="A801" s="12">
        <f t="shared" si="38"/>
        <v>789</v>
      </c>
      <c r="E801" s="10" t="str">
        <f t="shared" si="36"/>
        <v/>
      </c>
      <c r="I801" s="53" t="str">
        <f t="shared" si="37"/>
        <v/>
      </c>
      <c r="N801" s="8">
        <v>0</v>
      </c>
      <c r="Q801" s="1"/>
      <c r="R801" s="1"/>
      <c r="S801" s="1"/>
      <c r="T801" s="8"/>
      <c r="U801" s="8"/>
      <c r="V801" s="1"/>
      <c r="W801" s="1"/>
      <c r="X801" s="1"/>
      <c r="Z801" s="8"/>
    </row>
    <row r="802" spans="1:26" x14ac:dyDescent="0.2">
      <c r="A802" s="12">
        <f t="shared" si="38"/>
        <v>790</v>
      </c>
      <c r="E802" s="10" t="str">
        <f t="shared" si="36"/>
        <v/>
      </c>
      <c r="I802" s="53" t="str">
        <f t="shared" si="37"/>
        <v/>
      </c>
      <c r="N802" s="8">
        <v>0</v>
      </c>
      <c r="Q802" s="1"/>
      <c r="R802" s="1"/>
      <c r="S802" s="1"/>
      <c r="T802" s="8"/>
      <c r="U802" s="8"/>
      <c r="V802" s="1"/>
      <c r="W802" s="1"/>
      <c r="X802" s="1"/>
      <c r="Z802" s="8"/>
    </row>
    <row r="803" spans="1:26" x14ac:dyDescent="0.2">
      <c r="A803" s="12">
        <f t="shared" si="38"/>
        <v>791</v>
      </c>
      <c r="E803" s="10" t="str">
        <f t="shared" si="36"/>
        <v/>
      </c>
      <c r="I803" s="53" t="str">
        <f t="shared" si="37"/>
        <v/>
      </c>
      <c r="N803" s="8">
        <v>0</v>
      </c>
      <c r="Q803" s="1"/>
      <c r="R803" s="1"/>
      <c r="S803" s="1"/>
      <c r="T803" s="8"/>
      <c r="U803" s="8"/>
      <c r="V803" s="1"/>
      <c r="W803" s="1"/>
      <c r="X803" s="1"/>
      <c r="Z803" s="8"/>
    </row>
    <row r="804" spans="1:26" x14ac:dyDescent="0.2">
      <c r="A804" s="12">
        <f t="shared" si="38"/>
        <v>792</v>
      </c>
      <c r="E804" s="10" t="str">
        <f t="shared" si="36"/>
        <v/>
      </c>
      <c r="I804" s="53" t="str">
        <f t="shared" si="37"/>
        <v/>
      </c>
      <c r="N804" s="8">
        <v>0</v>
      </c>
      <c r="Q804" s="1"/>
      <c r="R804" s="1"/>
      <c r="S804" s="1"/>
      <c r="T804" s="8"/>
      <c r="U804" s="8"/>
      <c r="V804" s="1"/>
      <c r="W804" s="1"/>
      <c r="X804" s="1"/>
      <c r="Z804" s="8"/>
    </row>
    <row r="805" spans="1:26" x14ac:dyDescent="0.2">
      <c r="A805" s="12">
        <f t="shared" si="38"/>
        <v>793</v>
      </c>
      <c r="E805" s="10" t="str">
        <f t="shared" si="36"/>
        <v/>
      </c>
      <c r="I805" s="53" t="str">
        <f t="shared" si="37"/>
        <v/>
      </c>
      <c r="N805" s="8">
        <v>0</v>
      </c>
      <c r="Q805" s="1"/>
      <c r="R805" s="1"/>
      <c r="S805" s="1"/>
      <c r="T805" s="8"/>
      <c r="U805" s="8"/>
      <c r="V805" s="1"/>
      <c r="W805" s="1"/>
      <c r="X805" s="1"/>
      <c r="Z805" s="8"/>
    </row>
    <row r="806" spans="1:26" x14ac:dyDescent="0.2">
      <c r="A806" s="12">
        <f t="shared" si="38"/>
        <v>794</v>
      </c>
      <c r="E806" s="10" t="str">
        <f t="shared" si="36"/>
        <v/>
      </c>
      <c r="I806" s="53" t="str">
        <f t="shared" si="37"/>
        <v/>
      </c>
      <c r="N806" s="8">
        <v>0</v>
      </c>
      <c r="Q806" s="1"/>
      <c r="R806" s="1"/>
      <c r="S806" s="1"/>
      <c r="T806" s="8"/>
      <c r="U806" s="8"/>
      <c r="V806" s="1"/>
      <c r="W806" s="1"/>
      <c r="X806" s="1"/>
      <c r="Z806" s="8"/>
    </row>
    <row r="807" spans="1:26" x14ac:dyDescent="0.2">
      <c r="A807" s="12">
        <f t="shared" si="38"/>
        <v>795</v>
      </c>
      <c r="E807" s="10" t="str">
        <f t="shared" si="36"/>
        <v/>
      </c>
      <c r="I807" s="53" t="str">
        <f t="shared" si="37"/>
        <v/>
      </c>
      <c r="N807" s="8">
        <v>0</v>
      </c>
      <c r="Q807" s="1"/>
      <c r="R807" s="1"/>
      <c r="S807" s="1"/>
      <c r="T807" s="8"/>
      <c r="U807" s="8"/>
      <c r="V807" s="1"/>
      <c r="W807" s="1"/>
      <c r="X807" s="1"/>
      <c r="Z807" s="8"/>
    </row>
    <row r="808" spans="1:26" x14ac:dyDescent="0.2">
      <c r="A808" s="12">
        <f t="shared" si="38"/>
        <v>796</v>
      </c>
      <c r="E808" s="10" t="str">
        <f t="shared" si="36"/>
        <v/>
      </c>
      <c r="I808" s="53" t="str">
        <f t="shared" si="37"/>
        <v/>
      </c>
      <c r="N808" s="8">
        <v>0</v>
      </c>
      <c r="Q808" s="1"/>
      <c r="R808" s="1"/>
      <c r="S808" s="1"/>
      <c r="T808" s="8"/>
      <c r="U808" s="8"/>
      <c r="V808" s="1"/>
      <c r="W808" s="1"/>
      <c r="X808" s="1"/>
      <c r="Z808" s="8"/>
    </row>
    <row r="809" spans="1:26" x14ac:dyDescent="0.2">
      <c r="A809" s="12">
        <f t="shared" si="38"/>
        <v>797</v>
      </c>
      <c r="E809" s="10" t="str">
        <f t="shared" si="36"/>
        <v/>
      </c>
      <c r="I809" s="53" t="str">
        <f t="shared" si="37"/>
        <v/>
      </c>
      <c r="N809" s="8">
        <v>0</v>
      </c>
      <c r="Q809" s="1"/>
      <c r="R809" s="1"/>
      <c r="S809" s="1"/>
      <c r="T809" s="8"/>
      <c r="U809" s="8"/>
      <c r="V809" s="1"/>
      <c r="W809" s="1"/>
      <c r="X809" s="1"/>
      <c r="Z809" s="8"/>
    </row>
    <row r="810" spans="1:26" x14ac:dyDescent="0.2">
      <c r="A810" s="12">
        <f t="shared" si="38"/>
        <v>798</v>
      </c>
      <c r="E810" s="10" t="str">
        <f t="shared" si="36"/>
        <v/>
      </c>
      <c r="I810" s="53" t="str">
        <f t="shared" si="37"/>
        <v/>
      </c>
      <c r="N810" s="8">
        <v>0</v>
      </c>
      <c r="Q810" s="1"/>
      <c r="R810" s="1"/>
      <c r="S810" s="1"/>
      <c r="T810" s="8"/>
      <c r="U810" s="8"/>
      <c r="V810" s="1"/>
      <c r="W810" s="1"/>
      <c r="X810" s="1"/>
      <c r="Z810" s="8"/>
    </row>
    <row r="811" spans="1:26" x14ac:dyDescent="0.2">
      <c r="A811" s="12">
        <f t="shared" si="38"/>
        <v>799</v>
      </c>
      <c r="E811" s="10" t="str">
        <f t="shared" si="36"/>
        <v/>
      </c>
      <c r="I811" s="53" t="str">
        <f t="shared" si="37"/>
        <v/>
      </c>
      <c r="N811" s="8">
        <v>0</v>
      </c>
      <c r="Q811" s="1"/>
      <c r="R811" s="1"/>
      <c r="S811" s="1"/>
      <c r="T811" s="8"/>
      <c r="U811" s="8"/>
      <c r="V811" s="1"/>
      <c r="W811" s="1"/>
      <c r="X811" s="1"/>
      <c r="Z811" s="8"/>
    </row>
    <row r="812" spans="1:26" x14ac:dyDescent="0.2">
      <c r="A812" s="12">
        <f t="shared" si="38"/>
        <v>800</v>
      </c>
      <c r="E812" s="10" t="str">
        <f t="shared" si="36"/>
        <v/>
      </c>
      <c r="I812" s="53" t="str">
        <f t="shared" si="37"/>
        <v/>
      </c>
      <c r="N812" s="8">
        <v>0</v>
      </c>
      <c r="Q812" s="1"/>
      <c r="R812" s="1"/>
      <c r="S812" s="1"/>
      <c r="T812" s="8"/>
      <c r="U812" s="8"/>
      <c r="V812" s="1"/>
      <c r="W812" s="1"/>
      <c r="X812" s="1"/>
      <c r="Z812" s="8"/>
    </row>
    <row r="813" spans="1:26" x14ac:dyDescent="0.2">
      <c r="A813" s="12">
        <f t="shared" si="38"/>
        <v>801</v>
      </c>
      <c r="E813" s="10" t="str">
        <f t="shared" si="36"/>
        <v/>
      </c>
      <c r="I813" s="53" t="str">
        <f t="shared" si="37"/>
        <v/>
      </c>
      <c r="N813" s="8">
        <v>0</v>
      </c>
      <c r="Q813" s="1"/>
      <c r="R813" s="1"/>
      <c r="S813" s="1"/>
      <c r="T813" s="8"/>
      <c r="U813" s="8"/>
      <c r="V813" s="1"/>
      <c r="W813" s="1"/>
      <c r="X813" s="1"/>
      <c r="Z813" s="8"/>
    </row>
    <row r="814" spans="1:26" x14ac:dyDescent="0.2">
      <c r="A814" s="12">
        <f t="shared" si="38"/>
        <v>802</v>
      </c>
      <c r="E814" s="10" t="str">
        <f t="shared" si="36"/>
        <v/>
      </c>
      <c r="I814" s="53" t="str">
        <f t="shared" si="37"/>
        <v/>
      </c>
      <c r="N814" s="8">
        <v>0</v>
      </c>
      <c r="Q814" s="1"/>
      <c r="R814" s="1"/>
      <c r="S814" s="1"/>
      <c r="T814" s="8"/>
      <c r="U814" s="8"/>
      <c r="V814" s="1"/>
      <c r="W814" s="1"/>
      <c r="X814" s="1"/>
      <c r="Z814" s="8"/>
    </row>
    <row r="815" spans="1:26" x14ac:dyDescent="0.2">
      <c r="A815" s="12">
        <f t="shared" si="38"/>
        <v>803</v>
      </c>
      <c r="E815" s="10" t="str">
        <f t="shared" si="36"/>
        <v/>
      </c>
      <c r="I815" s="53" t="str">
        <f t="shared" si="37"/>
        <v/>
      </c>
      <c r="N815" s="8">
        <v>0</v>
      </c>
      <c r="Q815" s="1"/>
      <c r="R815" s="1"/>
      <c r="S815" s="1"/>
      <c r="T815" s="8"/>
      <c r="U815" s="8"/>
      <c r="V815" s="1"/>
      <c r="W815" s="1"/>
      <c r="X815" s="1"/>
      <c r="Z815" s="8"/>
    </row>
    <row r="816" spans="1:26" x14ac:dyDescent="0.2">
      <c r="A816" s="12">
        <f t="shared" si="38"/>
        <v>804</v>
      </c>
      <c r="E816" s="10" t="str">
        <f t="shared" si="36"/>
        <v/>
      </c>
      <c r="I816" s="53" t="str">
        <f t="shared" si="37"/>
        <v/>
      </c>
      <c r="N816" s="8">
        <v>0</v>
      </c>
      <c r="Q816" s="1"/>
      <c r="R816" s="1"/>
      <c r="S816" s="1"/>
      <c r="T816" s="8"/>
      <c r="U816" s="8"/>
      <c r="V816" s="1"/>
      <c r="W816" s="1"/>
      <c r="X816" s="1"/>
      <c r="Z816" s="8"/>
    </row>
    <row r="817" spans="1:26" x14ac:dyDescent="0.2">
      <c r="A817" s="12">
        <f t="shared" si="38"/>
        <v>805</v>
      </c>
      <c r="E817" s="10" t="str">
        <f t="shared" si="36"/>
        <v/>
      </c>
      <c r="I817" s="53" t="str">
        <f t="shared" si="37"/>
        <v/>
      </c>
      <c r="N817" s="8">
        <v>0</v>
      </c>
      <c r="Q817" s="1"/>
      <c r="R817" s="1"/>
      <c r="S817" s="1"/>
      <c r="T817" s="8"/>
      <c r="U817" s="8"/>
      <c r="V817" s="1"/>
      <c r="W817" s="1"/>
      <c r="X817" s="1"/>
      <c r="Z817" s="8"/>
    </row>
    <row r="818" spans="1:26" x14ac:dyDescent="0.2">
      <c r="A818" s="12">
        <f t="shared" si="38"/>
        <v>806</v>
      </c>
      <c r="E818" s="10" t="str">
        <f t="shared" si="36"/>
        <v/>
      </c>
      <c r="I818" s="53" t="str">
        <f t="shared" si="37"/>
        <v/>
      </c>
      <c r="N818" s="8">
        <v>0</v>
      </c>
      <c r="Q818" s="1"/>
      <c r="R818" s="1"/>
      <c r="S818" s="1"/>
      <c r="T818" s="8"/>
      <c r="U818" s="8"/>
      <c r="V818" s="1"/>
      <c r="W818" s="1"/>
      <c r="X818" s="1"/>
      <c r="Z818" s="8"/>
    </row>
    <row r="819" spans="1:26" x14ac:dyDescent="0.2">
      <c r="A819" s="12">
        <f t="shared" si="38"/>
        <v>807</v>
      </c>
      <c r="E819" s="10" t="str">
        <f t="shared" si="36"/>
        <v/>
      </c>
      <c r="I819" s="53" t="str">
        <f t="shared" si="37"/>
        <v/>
      </c>
      <c r="N819" s="8">
        <v>0</v>
      </c>
      <c r="Q819" s="1"/>
      <c r="R819" s="1"/>
      <c r="S819" s="1"/>
      <c r="T819" s="8"/>
      <c r="U819" s="8"/>
      <c r="V819" s="1"/>
      <c r="W819" s="1"/>
      <c r="X819" s="1"/>
      <c r="Z819" s="8"/>
    </row>
    <row r="820" spans="1:26" x14ac:dyDescent="0.2">
      <c r="A820" s="12">
        <f t="shared" si="38"/>
        <v>808</v>
      </c>
      <c r="E820" s="10" t="str">
        <f t="shared" si="36"/>
        <v/>
      </c>
      <c r="I820" s="53" t="str">
        <f t="shared" si="37"/>
        <v/>
      </c>
      <c r="N820" s="8">
        <v>0</v>
      </c>
      <c r="Q820" s="1"/>
      <c r="R820" s="1"/>
      <c r="S820" s="1"/>
      <c r="T820" s="8"/>
      <c r="U820" s="8"/>
      <c r="V820" s="1"/>
      <c r="W820" s="1"/>
      <c r="X820" s="1"/>
      <c r="Z820" s="8"/>
    </row>
    <row r="821" spans="1:26" x14ac:dyDescent="0.2">
      <c r="A821" s="12">
        <f t="shared" si="38"/>
        <v>809</v>
      </c>
      <c r="E821" s="10" t="str">
        <f t="shared" si="36"/>
        <v/>
      </c>
      <c r="I821" s="53" t="str">
        <f t="shared" si="37"/>
        <v/>
      </c>
      <c r="N821" s="8">
        <v>0</v>
      </c>
      <c r="Q821" s="1"/>
      <c r="R821" s="1"/>
      <c r="S821" s="1"/>
      <c r="T821" s="8"/>
      <c r="U821" s="8"/>
      <c r="V821" s="1"/>
      <c r="W821" s="1"/>
      <c r="X821" s="1"/>
      <c r="Z821" s="8"/>
    </row>
    <row r="822" spans="1:26" x14ac:dyDescent="0.2">
      <c r="A822" s="12">
        <f t="shared" si="38"/>
        <v>810</v>
      </c>
      <c r="E822" s="10" t="str">
        <f t="shared" si="36"/>
        <v/>
      </c>
      <c r="I822" s="53" t="str">
        <f t="shared" si="37"/>
        <v/>
      </c>
      <c r="N822" s="8">
        <v>0</v>
      </c>
      <c r="Q822" s="1"/>
      <c r="R822" s="1"/>
      <c r="S822" s="1"/>
      <c r="T822" s="8"/>
      <c r="U822" s="8"/>
      <c r="V822" s="1"/>
      <c r="W822" s="1"/>
      <c r="X822" s="1"/>
      <c r="Z822" s="8"/>
    </row>
    <row r="823" spans="1:26" x14ac:dyDescent="0.2">
      <c r="A823" s="12">
        <f t="shared" si="38"/>
        <v>811</v>
      </c>
      <c r="E823" s="10" t="str">
        <f t="shared" si="36"/>
        <v/>
      </c>
      <c r="I823" s="53" t="str">
        <f t="shared" si="37"/>
        <v/>
      </c>
      <c r="N823" s="8">
        <v>0</v>
      </c>
      <c r="Q823" s="1"/>
      <c r="R823" s="1"/>
      <c r="S823" s="1"/>
      <c r="T823" s="8"/>
      <c r="U823" s="8"/>
      <c r="V823" s="1"/>
      <c r="W823" s="1"/>
      <c r="X823" s="1"/>
      <c r="Z823" s="8"/>
    </row>
    <row r="824" spans="1:26" x14ac:dyDescent="0.2">
      <c r="A824" s="12">
        <f t="shared" si="38"/>
        <v>812</v>
      </c>
      <c r="E824" s="10" t="str">
        <f t="shared" si="36"/>
        <v/>
      </c>
      <c r="I824" s="53" t="str">
        <f t="shared" si="37"/>
        <v/>
      </c>
      <c r="N824" s="8">
        <v>0</v>
      </c>
      <c r="Q824" s="1"/>
      <c r="R824" s="1"/>
      <c r="S824" s="1"/>
      <c r="T824" s="8"/>
      <c r="U824" s="8"/>
      <c r="V824" s="1"/>
      <c r="W824" s="1"/>
      <c r="X824" s="1"/>
      <c r="Z824" s="8"/>
    </row>
    <row r="825" spans="1:26" x14ac:dyDescent="0.2">
      <c r="A825" s="12">
        <f t="shared" si="38"/>
        <v>813</v>
      </c>
      <c r="E825" s="10" t="str">
        <f t="shared" si="36"/>
        <v/>
      </c>
      <c r="I825" s="53" t="str">
        <f t="shared" si="37"/>
        <v/>
      </c>
      <c r="N825" s="8">
        <v>0</v>
      </c>
      <c r="Q825" s="1"/>
      <c r="R825" s="1"/>
      <c r="S825" s="1"/>
      <c r="T825" s="8"/>
      <c r="U825" s="8"/>
      <c r="V825" s="1"/>
      <c r="W825" s="1"/>
      <c r="X825" s="1"/>
      <c r="Z825" s="8"/>
    </row>
    <row r="826" spans="1:26" x14ac:dyDescent="0.2">
      <c r="A826" s="12">
        <f t="shared" si="38"/>
        <v>814</v>
      </c>
      <c r="E826" s="10" t="str">
        <f t="shared" si="36"/>
        <v/>
      </c>
      <c r="I826" s="53" t="str">
        <f t="shared" si="37"/>
        <v/>
      </c>
      <c r="N826" s="8">
        <v>0</v>
      </c>
      <c r="Q826" s="1"/>
      <c r="R826" s="1"/>
      <c r="S826" s="1"/>
      <c r="T826" s="8"/>
      <c r="U826" s="8"/>
      <c r="V826" s="1"/>
      <c r="W826" s="1"/>
      <c r="X826" s="1"/>
      <c r="Z826" s="8"/>
    </row>
    <row r="827" spans="1:26" x14ac:dyDescent="0.2">
      <c r="A827" s="12">
        <f t="shared" si="38"/>
        <v>815</v>
      </c>
      <c r="E827" s="10" t="str">
        <f t="shared" si="36"/>
        <v/>
      </c>
      <c r="I827" s="53" t="str">
        <f t="shared" si="37"/>
        <v/>
      </c>
      <c r="N827" s="8">
        <v>0</v>
      </c>
      <c r="Q827" s="1"/>
      <c r="R827" s="1"/>
      <c r="S827" s="1"/>
      <c r="T827" s="8"/>
      <c r="U827" s="8"/>
      <c r="V827" s="1"/>
      <c r="W827" s="1"/>
      <c r="X827" s="1"/>
      <c r="Z827" s="8"/>
    </row>
    <row r="828" spans="1:26" x14ac:dyDescent="0.2">
      <c r="A828" s="12">
        <f t="shared" si="38"/>
        <v>816</v>
      </c>
      <c r="E828" s="10" t="str">
        <f t="shared" si="36"/>
        <v/>
      </c>
      <c r="I828" s="53" t="str">
        <f t="shared" si="37"/>
        <v/>
      </c>
      <c r="N828" s="8">
        <v>0</v>
      </c>
      <c r="Q828" s="1"/>
      <c r="R828" s="1"/>
      <c r="S828" s="1"/>
      <c r="T828" s="8"/>
      <c r="U828" s="8"/>
      <c r="V828" s="1"/>
      <c r="W828" s="1"/>
      <c r="X828" s="1"/>
      <c r="Z828" s="8"/>
    </row>
    <row r="829" spans="1:26" x14ac:dyDescent="0.2">
      <c r="A829" s="12">
        <f t="shared" si="38"/>
        <v>817</v>
      </c>
      <c r="E829" s="10" t="str">
        <f t="shared" si="36"/>
        <v/>
      </c>
      <c r="I829" s="53" t="str">
        <f t="shared" si="37"/>
        <v/>
      </c>
      <c r="N829" s="8">
        <v>0</v>
      </c>
      <c r="Q829" s="1"/>
      <c r="R829" s="1"/>
      <c r="S829" s="1"/>
      <c r="T829" s="8"/>
      <c r="U829" s="8"/>
      <c r="V829" s="1"/>
      <c r="W829" s="1"/>
      <c r="X829" s="1"/>
      <c r="Z829" s="8"/>
    </row>
    <row r="830" spans="1:26" x14ac:dyDescent="0.2">
      <c r="A830" s="12">
        <f t="shared" si="38"/>
        <v>818</v>
      </c>
      <c r="E830" s="10" t="str">
        <f t="shared" si="36"/>
        <v/>
      </c>
      <c r="I830" s="53" t="str">
        <f t="shared" si="37"/>
        <v/>
      </c>
      <c r="N830" s="8">
        <v>0</v>
      </c>
      <c r="Q830" s="1"/>
      <c r="R830" s="1"/>
      <c r="S830" s="1"/>
      <c r="T830" s="8"/>
      <c r="U830" s="8"/>
      <c r="V830" s="1"/>
      <c r="W830" s="1"/>
      <c r="X830" s="1"/>
      <c r="Z830" s="8"/>
    </row>
    <row r="831" spans="1:26" x14ac:dyDescent="0.2">
      <c r="A831" s="12">
        <f t="shared" si="38"/>
        <v>819</v>
      </c>
      <c r="E831" s="10" t="str">
        <f t="shared" si="36"/>
        <v/>
      </c>
      <c r="I831" s="53" t="str">
        <f t="shared" si="37"/>
        <v/>
      </c>
      <c r="N831" s="8">
        <v>0</v>
      </c>
      <c r="Q831" s="1"/>
      <c r="R831" s="1"/>
      <c r="S831" s="1"/>
      <c r="T831" s="8"/>
      <c r="U831" s="8"/>
      <c r="V831" s="1"/>
      <c r="W831" s="1"/>
      <c r="X831" s="1"/>
      <c r="Z831" s="8"/>
    </row>
    <row r="832" spans="1:26" x14ac:dyDescent="0.2">
      <c r="A832" s="12">
        <f t="shared" si="38"/>
        <v>820</v>
      </c>
      <c r="E832" s="10" t="str">
        <f t="shared" si="36"/>
        <v/>
      </c>
      <c r="I832" s="53" t="str">
        <f t="shared" si="37"/>
        <v/>
      </c>
      <c r="N832" s="8">
        <v>0</v>
      </c>
      <c r="Q832" s="1"/>
      <c r="R832" s="1"/>
      <c r="S832" s="1"/>
      <c r="T832" s="8"/>
      <c r="U832" s="8"/>
      <c r="V832" s="1"/>
      <c r="W832" s="1"/>
      <c r="X832" s="1"/>
      <c r="Z832" s="8"/>
    </row>
    <row r="833" spans="1:26" x14ac:dyDescent="0.2">
      <c r="A833" s="12">
        <f t="shared" si="38"/>
        <v>821</v>
      </c>
      <c r="E833" s="10" t="str">
        <f t="shared" si="36"/>
        <v/>
      </c>
      <c r="I833" s="53" t="str">
        <f t="shared" si="37"/>
        <v/>
      </c>
      <c r="N833" s="8">
        <v>0</v>
      </c>
      <c r="Q833" s="1"/>
      <c r="R833" s="1"/>
      <c r="S833" s="1"/>
      <c r="T833" s="8"/>
      <c r="U833" s="8"/>
      <c r="V833" s="1"/>
      <c r="W833" s="1"/>
      <c r="X833" s="1"/>
      <c r="Z833" s="8"/>
    </row>
    <row r="834" spans="1:26" x14ac:dyDescent="0.2">
      <c r="A834" s="12">
        <f t="shared" si="38"/>
        <v>822</v>
      </c>
      <c r="E834" s="10" t="str">
        <f t="shared" si="36"/>
        <v/>
      </c>
      <c r="I834" s="53" t="str">
        <f t="shared" si="37"/>
        <v/>
      </c>
      <c r="N834" s="8">
        <v>0</v>
      </c>
      <c r="Q834" s="1"/>
      <c r="R834" s="1"/>
      <c r="S834" s="1"/>
      <c r="T834" s="8"/>
      <c r="U834" s="8"/>
      <c r="V834" s="1"/>
      <c r="W834" s="1"/>
      <c r="X834" s="1"/>
      <c r="Z834" s="8"/>
    </row>
    <row r="835" spans="1:26" x14ac:dyDescent="0.2">
      <c r="A835" s="12">
        <f t="shared" si="38"/>
        <v>823</v>
      </c>
      <c r="E835" s="10" t="str">
        <f t="shared" si="36"/>
        <v/>
      </c>
      <c r="I835" s="53" t="str">
        <f t="shared" si="37"/>
        <v/>
      </c>
      <c r="N835" s="8">
        <v>0</v>
      </c>
      <c r="Q835" s="1"/>
      <c r="R835" s="1"/>
      <c r="S835" s="1"/>
      <c r="T835" s="8"/>
      <c r="U835" s="8"/>
      <c r="V835" s="1"/>
      <c r="W835" s="1"/>
      <c r="X835" s="1"/>
      <c r="Z835" s="8"/>
    </row>
    <row r="836" spans="1:26" x14ac:dyDescent="0.2">
      <c r="A836" s="12">
        <f t="shared" si="38"/>
        <v>824</v>
      </c>
      <c r="E836" s="10" t="str">
        <f t="shared" si="36"/>
        <v/>
      </c>
      <c r="I836" s="53" t="str">
        <f t="shared" si="37"/>
        <v/>
      </c>
      <c r="N836" s="8">
        <v>0</v>
      </c>
      <c r="Q836" s="1"/>
      <c r="R836" s="1"/>
      <c r="S836" s="1"/>
      <c r="T836" s="8"/>
      <c r="U836" s="8"/>
      <c r="V836" s="1"/>
      <c r="W836" s="1"/>
      <c r="X836" s="1"/>
      <c r="Z836" s="8"/>
    </row>
    <row r="837" spans="1:26" x14ac:dyDescent="0.2">
      <c r="A837" s="12">
        <f t="shared" si="38"/>
        <v>825</v>
      </c>
      <c r="E837" s="10" t="str">
        <f t="shared" si="36"/>
        <v/>
      </c>
      <c r="I837" s="53" t="str">
        <f t="shared" si="37"/>
        <v/>
      </c>
      <c r="N837" s="8">
        <v>0</v>
      </c>
      <c r="Q837" s="1"/>
      <c r="R837" s="1"/>
      <c r="S837" s="1"/>
      <c r="T837" s="8"/>
      <c r="U837" s="8"/>
      <c r="V837" s="1"/>
      <c r="W837" s="1"/>
      <c r="X837" s="1"/>
      <c r="Z837" s="8"/>
    </row>
    <row r="838" spans="1:26" x14ac:dyDescent="0.2">
      <c r="A838" s="12">
        <f t="shared" si="38"/>
        <v>826</v>
      </c>
      <c r="E838" s="10" t="str">
        <f t="shared" si="36"/>
        <v/>
      </c>
      <c r="I838" s="53" t="str">
        <f t="shared" si="37"/>
        <v/>
      </c>
      <c r="N838" s="8">
        <v>0</v>
      </c>
      <c r="Q838" s="1"/>
      <c r="R838" s="1"/>
      <c r="S838" s="1"/>
      <c r="T838" s="8"/>
      <c r="U838" s="8"/>
      <c r="V838" s="1"/>
      <c r="W838" s="1"/>
      <c r="X838" s="1"/>
      <c r="Z838" s="8"/>
    </row>
    <row r="839" spans="1:26" x14ac:dyDescent="0.2">
      <c r="A839" s="12">
        <f t="shared" si="38"/>
        <v>827</v>
      </c>
      <c r="E839" s="10" t="str">
        <f t="shared" si="36"/>
        <v/>
      </c>
      <c r="I839" s="53" t="str">
        <f t="shared" si="37"/>
        <v/>
      </c>
      <c r="N839" s="8">
        <v>0</v>
      </c>
      <c r="Q839" s="1"/>
      <c r="R839" s="1"/>
      <c r="S839" s="1"/>
      <c r="T839" s="8"/>
      <c r="U839" s="8"/>
      <c r="V839" s="1"/>
      <c r="W839" s="1"/>
      <c r="X839" s="1"/>
      <c r="Z839" s="8"/>
    </row>
    <row r="840" spans="1:26" x14ac:dyDescent="0.2">
      <c r="A840" s="12">
        <f t="shared" si="38"/>
        <v>828</v>
      </c>
      <c r="E840" s="10" t="str">
        <f t="shared" si="36"/>
        <v/>
      </c>
      <c r="I840" s="53" t="str">
        <f t="shared" si="37"/>
        <v/>
      </c>
      <c r="N840" s="8">
        <v>0</v>
      </c>
      <c r="Q840" s="1"/>
      <c r="R840" s="1"/>
      <c r="S840" s="1"/>
      <c r="T840" s="8"/>
      <c r="U840" s="8"/>
      <c r="V840" s="1"/>
      <c r="W840" s="1"/>
      <c r="X840" s="1"/>
      <c r="Z840" s="8"/>
    </row>
    <row r="841" spans="1:26" x14ac:dyDescent="0.2">
      <c r="A841" s="12">
        <f t="shared" si="38"/>
        <v>829</v>
      </c>
      <c r="E841" s="10" t="str">
        <f t="shared" si="36"/>
        <v/>
      </c>
      <c r="I841" s="53" t="str">
        <f t="shared" si="37"/>
        <v/>
      </c>
      <c r="N841" s="8">
        <v>0</v>
      </c>
      <c r="Q841" s="1"/>
      <c r="R841" s="1"/>
      <c r="S841" s="1"/>
      <c r="T841" s="8"/>
      <c r="U841" s="8"/>
      <c r="V841" s="1"/>
      <c r="W841" s="1"/>
      <c r="X841" s="1"/>
      <c r="Z841" s="8"/>
    </row>
    <row r="842" spans="1:26" x14ac:dyDescent="0.2">
      <c r="A842" s="12">
        <f t="shared" si="38"/>
        <v>830</v>
      </c>
      <c r="E842" s="10" t="str">
        <f t="shared" si="36"/>
        <v/>
      </c>
      <c r="I842" s="53" t="str">
        <f t="shared" si="37"/>
        <v/>
      </c>
      <c r="N842" s="8">
        <v>0</v>
      </c>
      <c r="Q842" s="1"/>
      <c r="R842" s="1"/>
      <c r="S842" s="1"/>
      <c r="T842" s="8"/>
      <c r="U842" s="8"/>
      <c r="V842" s="1"/>
      <c r="W842" s="1"/>
      <c r="X842" s="1"/>
      <c r="Z842" s="8"/>
    </row>
    <row r="843" spans="1:26" x14ac:dyDescent="0.2">
      <c r="A843" s="12">
        <f t="shared" si="38"/>
        <v>831</v>
      </c>
      <c r="E843" s="10" t="str">
        <f t="shared" si="36"/>
        <v/>
      </c>
      <c r="I843" s="53" t="str">
        <f t="shared" si="37"/>
        <v/>
      </c>
      <c r="N843" s="8">
        <v>0</v>
      </c>
      <c r="Q843" s="1"/>
      <c r="R843" s="1"/>
      <c r="S843" s="1"/>
      <c r="T843" s="8"/>
      <c r="U843" s="8"/>
      <c r="V843" s="1"/>
      <c r="W843" s="1"/>
      <c r="X843" s="1"/>
      <c r="Z843" s="8"/>
    </row>
    <row r="844" spans="1:26" x14ac:dyDescent="0.2">
      <c r="A844" s="12">
        <f t="shared" si="38"/>
        <v>832</v>
      </c>
      <c r="E844" s="10" t="str">
        <f t="shared" si="36"/>
        <v/>
      </c>
      <c r="I844" s="53" t="str">
        <f t="shared" si="37"/>
        <v/>
      </c>
      <c r="N844" s="8">
        <v>0</v>
      </c>
      <c r="Q844" s="1"/>
      <c r="R844" s="1"/>
      <c r="S844" s="1"/>
      <c r="T844" s="8"/>
      <c r="U844" s="8"/>
      <c r="V844" s="1"/>
      <c r="W844" s="1"/>
      <c r="X844" s="1"/>
      <c r="Z844" s="8"/>
    </row>
    <row r="845" spans="1:26" x14ac:dyDescent="0.2">
      <c r="A845" s="12">
        <f t="shared" si="38"/>
        <v>833</v>
      </c>
      <c r="E845" s="10" t="str">
        <f t="shared" ref="E845:E908" si="39">IF($C$8&gt;=A845,$E$1&amp;" "&amp;A845,"")</f>
        <v/>
      </c>
      <c r="I845" s="53" t="str">
        <f t="shared" si="37"/>
        <v/>
      </c>
      <c r="N845" s="8">
        <v>0</v>
      </c>
      <c r="Q845" s="1"/>
      <c r="R845" s="1"/>
      <c r="S845" s="1"/>
      <c r="T845" s="8"/>
      <c r="U845" s="8"/>
      <c r="V845" s="1"/>
      <c r="W845" s="1"/>
      <c r="X845" s="1"/>
      <c r="Z845" s="8"/>
    </row>
    <row r="846" spans="1:26" x14ac:dyDescent="0.2">
      <c r="A846" s="12">
        <f t="shared" si="38"/>
        <v>834</v>
      </c>
      <c r="E846" s="10" t="str">
        <f t="shared" si="39"/>
        <v/>
      </c>
      <c r="I846" s="53" t="str">
        <f t="shared" ref="I846:I909" si="40">IF(E846="","",F846-G846-H846)</f>
        <v/>
      </c>
      <c r="N846" s="8">
        <v>0</v>
      </c>
      <c r="Q846" s="1"/>
      <c r="R846" s="1"/>
      <c r="S846" s="1"/>
      <c r="T846" s="8"/>
      <c r="U846" s="8"/>
      <c r="V846" s="1"/>
      <c r="W846" s="1"/>
      <c r="X846" s="1"/>
      <c r="Z846" s="8"/>
    </row>
    <row r="847" spans="1:26" x14ac:dyDescent="0.2">
      <c r="A847" s="12">
        <f t="shared" ref="A847:A910" si="41">A846+1</f>
        <v>835</v>
      </c>
      <c r="E847" s="10" t="str">
        <f t="shared" si="39"/>
        <v/>
      </c>
      <c r="I847" s="53" t="str">
        <f t="shared" si="40"/>
        <v/>
      </c>
      <c r="N847" s="8">
        <v>0</v>
      </c>
      <c r="Q847" s="1"/>
      <c r="R847" s="1"/>
      <c r="S847" s="1"/>
      <c r="T847" s="8"/>
      <c r="U847" s="8"/>
      <c r="V847" s="1"/>
      <c r="W847" s="1"/>
      <c r="X847" s="1"/>
      <c r="Z847" s="8"/>
    </row>
    <row r="848" spans="1:26" x14ac:dyDescent="0.2">
      <c r="A848" s="12">
        <f t="shared" si="41"/>
        <v>836</v>
      </c>
      <c r="E848" s="10" t="str">
        <f t="shared" si="39"/>
        <v/>
      </c>
      <c r="I848" s="53" t="str">
        <f t="shared" si="40"/>
        <v/>
      </c>
      <c r="N848" s="8">
        <v>0</v>
      </c>
      <c r="Q848" s="1"/>
      <c r="R848" s="1"/>
      <c r="S848" s="1"/>
      <c r="T848" s="8"/>
      <c r="U848" s="8"/>
      <c r="V848" s="1"/>
      <c r="W848" s="1"/>
      <c r="X848" s="1"/>
      <c r="Z848" s="8"/>
    </row>
    <row r="849" spans="1:26" x14ac:dyDescent="0.2">
      <c r="A849" s="12">
        <f t="shared" si="41"/>
        <v>837</v>
      </c>
      <c r="E849" s="10" t="str">
        <f t="shared" si="39"/>
        <v/>
      </c>
      <c r="I849" s="53" t="str">
        <f t="shared" si="40"/>
        <v/>
      </c>
      <c r="N849" s="8">
        <v>0</v>
      </c>
      <c r="Q849" s="1"/>
      <c r="R849" s="1"/>
      <c r="S849" s="1"/>
      <c r="T849" s="8"/>
      <c r="U849" s="8"/>
      <c r="V849" s="1"/>
      <c r="W849" s="1"/>
      <c r="X849" s="1"/>
      <c r="Z849" s="8"/>
    </row>
    <row r="850" spans="1:26" x14ac:dyDescent="0.2">
      <c r="A850" s="12">
        <f t="shared" si="41"/>
        <v>838</v>
      </c>
      <c r="E850" s="10" t="str">
        <f t="shared" si="39"/>
        <v/>
      </c>
      <c r="I850" s="53" t="str">
        <f t="shared" si="40"/>
        <v/>
      </c>
      <c r="N850" s="8">
        <v>0</v>
      </c>
      <c r="Q850" s="1"/>
      <c r="R850" s="1"/>
      <c r="S850" s="1"/>
      <c r="T850" s="8"/>
      <c r="U850" s="8"/>
      <c r="V850" s="1"/>
      <c r="W850" s="1"/>
      <c r="X850" s="1"/>
      <c r="Z850" s="8"/>
    </row>
    <row r="851" spans="1:26" x14ac:dyDescent="0.2">
      <c r="A851" s="12">
        <f t="shared" si="41"/>
        <v>839</v>
      </c>
      <c r="E851" s="10" t="str">
        <f t="shared" si="39"/>
        <v/>
      </c>
      <c r="I851" s="53" t="str">
        <f t="shared" si="40"/>
        <v/>
      </c>
      <c r="N851" s="8">
        <v>0</v>
      </c>
      <c r="Q851" s="1"/>
      <c r="R851" s="1"/>
      <c r="S851" s="1"/>
      <c r="T851" s="8"/>
      <c r="U851" s="8"/>
      <c r="V851" s="1"/>
      <c r="W851" s="1"/>
      <c r="X851" s="1"/>
      <c r="Z851" s="8"/>
    </row>
    <row r="852" spans="1:26" x14ac:dyDescent="0.2">
      <c r="A852" s="12">
        <f t="shared" si="41"/>
        <v>840</v>
      </c>
      <c r="E852" s="10" t="str">
        <f t="shared" si="39"/>
        <v/>
      </c>
      <c r="I852" s="53" t="str">
        <f t="shared" si="40"/>
        <v/>
      </c>
      <c r="N852" s="8">
        <v>0</v>
      </c>
      <c r="Q852" s="1"/>
      <c r="R852" s="1"/>
      <c r="S852" s="1"/>
      <c r="T852" s="8"/>
      <c r="U852" s="8"/>
      <c r="V852" s="1"/>
      <c r="W852" s="1"/>
      <c r="X852" s="1"/>
      <c r="Z852" s="8"/>
    </row>
    <row r="853" spans="1:26" x14ac:dyDescent="0.2">
      <c r="A853" s="12">
        <f t="shared" si="41"/>
        <v>841</v>
      </c>
      <c r="E853" s="10" t="str">
        <f t="shared" si="39"/>
        <v/>
      </c>
      <c r="I853" s="53" t="str">
        <f t="shared" si="40"/>
        <v/>
      </c>
      <c r="N853" s="8">
        <v>0</v>
      </c>
      <c r="Q853" s="1"/>
      <c r="R853" s="1"/>
      <c r="S853" s="1"/>
      <c r="T853" s="8"/>
      <c r="U853" s="8"/>
      <c r="V853" s="1"/>
      <c r="W853" s="1"/>
      <c r="X853" s="1"/>
      <c r="Z853" s="8"/>
    </row>
    <row r="854" spans="1:26" x14ac:dyDescent="0.2">
      <c r="A854" s="12">
        <f t="shared" si="41"/>
        <v>842</v>
      </c>
      <c r="E854" s="10" t="str">
        <f t="shared" si="39"/>
        <v/>
      </c>
      <c r="I854" s="53" t="str">
        <f t="shared" si="40"/>
        <v/>
      </c>
      <c r="N854" s="8">
        <v>0</v>
      </c>
      <c r="Q854" s="1"/>
      <c r="R854" s="1"/>
      <c r="S854" s="1"/>
      <c r="T854" s="8"/>
      <c r="U854" s="8"/>
      <c r="V854" s="1"/>
      <c r="W854" s="1"/>
      <c r="X854" s="1"/>
      <c r="Z854" s="8"/>
    </row>
    <row r="855" spans="1:26" x14ac:dyDescent="0.2">
      <c r="A855" s="12">
        <f t="shared" si="41"/>
        <v>843</v>
      </c>
      <c r="E855" s="10" t="str">
        <f t="shared" si="39"/>
        <v/>
      </c>
      <c r="I855" s="53" t="str">
        <f t="shared" si="40"/>
        <v/>
      </c>
      <c r="N855" s="8">
        <v>0</v>
      </c>
      <c r="Q855" s="1"/>
      <c r="R855" s="1"/>
      <c r="S855" s="1"/>
      <c r="T855" s="8"/>
      <c r="U855" s="8"/>
      <c r="V855" s="1"/>
      <c r="W855" s="1"/>
      <c r="X855" s="1"/>
      <c r="Z855" s="8"/>
    </row>
    <row r="856" spans="1:26" x14ac:dyDescent="0.2">
      <c r="A856" s="12">
        <f t="shared" si="41"/>
        <v>844</v>
      </c>
      <c r="E856" s="10" t="str">
        <f t="shared" si="39"/>
        <v/>
      </c>
      <c r="I856" s="53" t="str">
        <f t="shared" si="40"/>
        <v/>
      </c>
      <c r="N856" s="8">
        <v>0</v>
      </c>
      <c r="Q856" s="1"/>
      <c r="R856" s="1"/>
      <c r="S856" s="1"/>
      <c r="T856" s="8"/>
      <c r="U856" s="8"/>
      <c r="V856" s="1"/>
      <c r="W856" s="1"/>
      <c r="X856" s="1"/>
      <c r="Z856" s="8"/>
    </row>
    <row r="857" spans="1:26" x14ac:dyDescent="0.2">
      <c r="A857" s="12">
        <f t="shared" si="41"/>
        <v>845</v>
      </c>
      <c r="E857" s="10" t="str">
        <f t="shared" si="39"/>
        <v/>
      </c>
      <c r="I857" s="53" t="str">
        <f t="shared" si="40"/>
        <v/>
      </c>
      <c r="N857" s="8">
        <v>0</v>
      </c>
      <c r="Q857" s="1"/>
      <c r="R857" s="1"/>
      <c r="S857" s="1"/>
      <c r="T857" s="8"/>
      <c r="U857" s="8"/>
      <c r="V857" s="1"/>
      <c r="W857" s="1"/>
      <c r="X857" s="1"/>
      <c r="Z857" s="8"/>
    </row>
    <row r="858" spans="1:26" x14ac:dyDescent="0.2">
      <c r="A858" s="12">
        <f t="shared" si="41"/>
        <v>846</v>
      </c>
      <c r="E858" s="10" t="str">
        <f t="shared" si="39"/>
        <v/>
      </c>
      <c r="I858" s="53" t="str">
        <f t="shared" si="40"/>
        <v/>
      </c>
      <c r="N858" s="8">
        <v>0</v>
      </c>
      <c r="Q858" s="1"/>
      <c r="R858" s="1"/>
      <c r="S858" s="1"/>
      <c r="T858" s="8"/>
      <c r="U858" s="8"/>
      <c r="V858" s="1"/>
      <c r="W858" s="1"/>
      <c r="X858" s="1"/>
      <c r="Z858" s="8"/>
    </row>
    <row r="859" spans="1:26" x14ac:dyDescent="0.2">
      <c r="A859" s="12">
        <f t="shared" si="41"/>
        <v>847</v>
      </c>
      <c r="E859" s="10" t="str">
        <f t="shared" si="39"/>
        <v/>
      </c>
      <c r="I859" s="53" t="str">
        <f t="shared" si="40"/>
        <v/>
      </c>
      <c r="N859" s="8">
        <v>0</v>
      </c>
      <c r="Q859" s="1"/>
      <c r="R859" s="1"/>
      <c r="S859" s="1"/>
      <c r="T859" s="8"/>
      <c r="U859" s="8"/>
      <c r="V859" s="1"/>
      <c r="W859" s="1"/>
      <c r="X859" s="1"/>
      <c r="Z859" s="8"/>
    </row>
    <row r="860" spans="1:26" x14ac:dyDescent="0.2">
      <c r="A860" s="12">
        <f t="shared" si="41"/>
        <v>848</v>
      </c>
      <c r="E860" s="10" t="str">
        <f t="shared" si="39"/>
        <v/>
      </c>
      <c r="I860" s="53" t="str">
        <f t="shared" si="40"/>
        <v/>
      </c>
      <c r="N860" s="8">
        <v>0</v>
      </c>
      <c r="Q860" s="1"/>
      <c r="R860" s="1"/>
      <c r="S860" s="1"/>
      <c r="T860" s="8"/>
      <c r="U860" s="8"/>
      <c r="V860" s="1"/>
      <c r="W860" s="1"/>
      <c r="X860" s="1"/>
      <c r="Z860" s="8"/>
    </row>
    <row r="861" spans="1:26" x14ac:dyDescent="0.2">
      <c r="A861" s="12">
        <f t="shared" si="41"/>
        <v>849</v>
      </c>
      <c r="E861" s="10" t="str">
        <f t="shared" si="39"/>
        <v/>
      </c>
      <c r="I861" s="53" t="str">
        <f t="shared" si="40"/>
        <v/>
      </c>
      <c r="N861" s="8">
        <v>0</v>
      </c>
      <c r="Q861" s="1"/>
      <c r="R861" s="1"/>
      <c r="S861" s="1"/>
      <c r="T861" s="8"/>
      <c r="U861" s="8"/>
      <c r="V861" s="1"/>
      <c r="W861" s="1"/>
      <c r="X861" s="1"/>
      <c r="Z861" s="8"/>
    </row>
    <row r="862" spans="1:26" x14ac:dyDescent="0.2">
      <c r="A862" s="12">
        <f t="shared" si="41"/>
        <v>850</v>
      </c>
      <c r="E862" s="10" t="str">
        <f t="shared" si="39"/>
        <v/>
      </c>
      <c r="I862" s="53" t="str">
        <f t="shared" si="40"/>
        <v/>
      </c>
      <c r="N862" s="8">
        <v>0</v>
      </c>
      <c r="Q862" s="1"/>
      <c r="R862" s="1"/>
      <c r="S862" s="1"/>
      <c r="T862" s="8"/>
      <c r="U862" s="8"/>
      <c r="V862" s="1"/>
      <c r="W862" s="1"/>
      <c r="X862" s="1"/>
      <c r="Z862" s="8"/>
    </row>
    <row r="863" spans="1:26" x14ac:dyDescent="0.2">
      <c r="A863" s="12">
        <f t="shared" si="41"/>
        <v>851</v>
      </c>
      <c r="E863" s="10" t="str">
        <f t="shared" si="39"/>
        <v/>
      </c>
      <c r="I863" s="53" t="str">
        <f t="shared" si="40"/>
        <v/>
      </c>
      <c r="N863" s="8">
        <v>0</v>
      </c>
      <c r="Q863" s="1"/>
      <c r="R863" s="1"/>
      <c r="S863" s="1"/>
      <c r="T863" s="8"/>
      <c r="U863" s="8"/>
      <c r="V863" s="1"/>
      <c r="W863" s="1"/>
      <c r="X863" s="1"/>
      <c r="Z863" s="8"/>
    </row>
    <row r="864" spans="1:26" x14ac:dyDescent="0.2">
      <c r="A864" s="12">
        <f t="shared" si="41"/>
        <v>852</v>
      </c>
      <c r="E864" s="10" t="str">
        <f t="shared" si="39"/>
        <v/>
      </c>
      <c r="I864" s="53" t="str">
        <f t="shared" si="40"/>
        <v/>
      </c>
      <c r="N864" s="8">
        <v>0</v>
      </c>
      <c r="Q864" s="1"/>
      <c r="R864" s="1"/>
      <c r="S864" s="1"/>
      <c r="T864" s="8"/>
      <c r="U864" s="8"/>
      <c r="V864" s="1"/>
      <c r="W864" s="1"/>
      <c r="X864" s="1"/>
      <c r="Z864" s="8"/>
    </row>
    <row r="865" spans="1:26" x14ac:dyDescent="0.2">
      <c r="A865" s="12">
        <f t="shared" si="41"/>
        <v>853</v>
      </c>
      <c r="E865" s="10" t="str">
        <f t="shared" si="39"/>
        <v/>
      </c>
      <c r="I865" s="53" t="str">
        <f t="shared" si="40"/>
        <v/>
      </c>
      <c r="N865" s="8">
        <v>0</v>
      </c>
      <c r="Q865" s="1"/>
      <c r="R865" s="1"/>
      <c r="S865" s="1"/>
      <c r="T865" s="8"/>
      <c r="U865" s="8"/>
      <c r="V865" s="1"/>
      <c r="W865" s="1"/>
      <c r="X865" s="1"/>
      <c r="Z865" s="8"/>
    </row>
    <row r="866" spans="1:26" x14ac:dyDescent="0.2">
      <c r="A866" s="12">
        <f t="shared" si="41"/>
        <v>854</v>
      </c>
      <c r="E866" s="10" t="str">
        <f t="shared" si="39"/>
        <v/>
      </c>
      <c r="I866" s="53" t="str">
        <f t="shared" si="40"/>
        <v/>
      </c>
      <c r="N866" s="8">
        <v>0</v>
      </c>
      <c r="Q866" s="1"/>
      <c r="R866" s="1"/>
      <c r="S866" s="1"/>
      <c r="T866" s="8"/>
      <c r="U866" s="8"/>
      <c r="V866" s="1"/>
      <c r="W866" s="1"/>
      <c r="X866" s="1"/>
      <c r="Z866" s="8"/>
    </row>
    <row r="867" spans="1:26" x14ac:dyDescent="0.2">
      <c r="A867" s="12">
        <f t="shared" si="41"/>
        <v>855</v>
      </c>
      <c r="E867" s="10" t="str">
        <f t="shared" si="39"/>
        <v/>
      </c>
      <c r="I867" s="53" t="str">
        <f t="shared" si="40"/>
        <v/>
      </c>
      <c r="N867" s="8">
        <v>0</v>
      </c>
      <c r="Q867" s="1"/>
      <c r="R867" s="1"/>
      <c r="S867" s="1"/>
      <c r="T867" s="8"/>
      <c r="U867" s="8"/>
      <c r="V867" s="1"/>
      <c r="W867" s="1"/>
      <c r="X867" s="1"/>
      <c r="Z867" s="8"/>
    </row>
    <row r="868" spans="1:26" x14ac:dyDescent="0.2">
      <c r="A868" s="12">
        <f t="shared" si="41"/>
        <v>856</v>
      </c>
      <c r="E868" s="10" t="str">
        <f t="shared" si="39"/>
        <v/>
      </c>
      <c r="I868" s="53" t="str">
        <f t="shared" si="40"/>
        <v/>
      </c>
      <c r="N868" s="8">
        <v>0</v>
      </c>
      <c r="Q868" s="1"/>
      <c r="R868" s="1"/>
      <c r="S868" s="1"/>
      <c r="T868" s="8"/>
      <c r="U868" s="8"/>
      <c r="V868" s="1"/>
      <c r="W868" s="1"/>
      <c r="X868" s="1"/>
      <c r="Z868" s="8"/>
    </row>
    <row r="869" spans="1:26" x14ac:dyDescent="0.2">
      <c r="A869" s="12">
        <f t="shared" si="41"/>
        <v>857</v>
      </c>
      <c r="E869" s="10" t="str">
        <f t="shared" si="39"/>
        <v/>
      </c>
      <c r="I869" s="53" t="str">
        <f t="shared" si="40"/>
        <v/>
      </c>
      <c r="N869" s="8">
        <v>0</v>
      </c>
      <c r="Q869" s="1"/>
      <c r="R869" s="1"/>
      <c r="S869" s="1"/>
      <c r="T869" s="8"/>
      <c r="U869" s="8"/>
      <c r="V869" s="1"/>
      <c r="W869" s="1"/>
      <c r="X869" s="1"/>
      <c r="Z869" s="8"/>
    </row>
    <row r="870" spans="1:26" x14ac:dyDescent="0.2">
      <c r="A870" s="12">
        <f t="shared" si="41"/>
        <v>858</v>
      </c>
      <c r="E870" s="10" t="str">
        <f t="shared" si="39"/>
        <v/>
      </c>
      <c r="I870" s="53" t="str">
        <f t="shared" si="40"/>
        <v/>
      </c>
      <c r="N870" s="8">
        <v>0</v>
      </c>
      <c r="Q870" s="1"/>
      <c r="R870" s="1"/>
      <c r="S870" s="1"/>
      <c r="T870" s="8"/>
      <c r="U870" s="8"/>
      <c r="V870" s="1"/>
      <c r="W870" s="1"/>
      <c r="X870" s="1"/>
      <c r="Z870" s="8"/>
    </row>
    <row r="871" spans="1:26" x14ac:dyDescent="0.2">
      <c r="A871" s="12">
        <f t="shared" si="41"/>
        <v>859</v>
      </c>
      <c r="E871" s="10" t="str">
        <f t="shared" si="39"/>
        <v/>
      </c>
      <c r="I871" s="53" t="str">
        <f t="shared" si="40"/>
        <v/>
      </c>
      <c r="N871" s="8">
        <v>0</v>
      </c>
      <c r="Q871" s="1"/>
      <c r="R871" s="1"/>
      <c r="S871" s="1"/>
      <c r="T871" s="8"/>
      <c r="U871" s="8"/>
      <c r="V871" s="1"/>
      <c r="W871" s="1"/>
      <c r="X871" s="1"/>
      <c r="Z871" s="8"/>
    </row>
    <row r="872" spans="1:26" x14ac:dyDescent="0.2">
      <c r="A872" s="12">
        <f t="shared" si="41"/>
        <v>860</v>
      </c>
      <c r="E872" s="10" t="str">
        <f t="shared" si="39"/>
        <v/>
      </c>
      <c r="I872" s="53" t="str">
        <f t="shared" si="40"/>
        <v/>
      </c>
      <c r="N872" s="8">
        <v>0</v>
      </c>
      <c r="Q872" s="1"/>
      <c r="R872" s="1"/>
      <c r="S872" s="1"/>
      <c r="T872" s="8"/>
      <c r="U872" s="8"/>
      <c r="V872" s="1"/>
      <c r="W872" s="1"/>
      <c r="X872" s="1"/>
      <c r="Z872" s="8"/>
    </row>
    <row r="873" spans="1:26" x14ac:dyDescent="0.2">
      <c r="A873" s="12">
        <f t="shared" si="41"/>
        <v>861</v>
      </c>
      <c r="E873" s="10" t="str">
        <f t="shared" si="39"/>
        <v/>
      </c>
      <c r="I873" s="53" t="str">
        <f t="shared" si="40"/>
        <v/>
      </c>
      <c r="N873" s="8">
        <v>0</v>
      </c>
      <c r="Q873" s="1"/>
      <c r="R873" s="1"/>
      <c r="S873" s="1"/>
      <c r="T873" s="8"/>
      <c r="U873" s="8"/>
      <c r="V873" s="1"/>
      <c r="W873" s="1"/>
      <c r="X873" s="1"/>
      <c r="Z873" s="8"/>
    </row>
    <row r="874" spans="1:26" x14ac:dyDescent="0.2">
      <c r="A874" s="12">
        <f t="shared" si="41"/>
        <v>862</v>
      </c>
      <c r="E874" s="10" t="str">
        <f t="shared" si="39"/>
        <v/>
      </c>
      <c r="I874" s="53" t="str">
        <f t="shared" si="40"/>
        <v/>
      </c>
      <c r="N874" s="8">
        <v>0</v>
      </c>
      <c r="Q874" s="1"/>
      <c r="R874" s="1"/>
      <c r="S874" s="1"/>
      <c r="T874" s="8"/>
      <c r="U874" s="8"/>
      <c r="V874" s="1"/>
      <c r="W874" s="1"/>
      <c r="X874" s="1"/>
      <c r="Z874" s="8"/>
    </row>
    <row r="875" spans="1:26" x14ac:dyDescent="0.2">
      <c r="A875" s="12">
        <f t="shared" si="41"/>
        <v>863</v>
      </c>
      <c r="E875" s="10" t="str">
        <f t="shared" si="39"/>
        <v/>
      </c>
      <c r="I875" s="53" t="str">
        <f t="shared" si="40"/>
        <v/>
      </c>
      <c r="N875" s="8">
        <v>0</v>
      </c>
      <c r="Q875" s="1"/>
      <c r="R875" s="1"/>
      <c r="S875" s="1"/>
      <c r="T875" s="8"/>
      <c r="U875" s="8"/>
      <c r="V875" s="1"/>
      <c r="W875" s="1"/>
      <c r="X875" s="1"/>
      <c r="Z875" s="8"/>
    </row>
    <row r="876" spans="1:26" x14ac:dyDescent="0.2">
      <c r="A876" s="12">
        <f t="shared" si="41"/>
        <v>864</v>
      </c>
      <c r="E876" s="10" t="str">
        <f t="shared" si="39"/>
        <v/>
      </c>
      <c r="I876" s="53" t="str">
        <f t="shared" si="40"/>
        <v/>
      </c>
      <c r="N876" s="8">
        <v>0</v>
      </c>
      <c r="Q876" s="1"/>
      <c r="R876" s="1"/>
      <c r="S876" s="1"/>
      <c r="T876" s="8"/>
      <c r="U876" s="8"/>
      <c r="V876" s="1"/>
      <c r="W876" s="1"/>
      <c r="X876" s="1"/>
      <c r="Z876" s="8"/>
    </row>
    <row r="877" spans="1:26" x14ac:dyDescent="0.2">
      <c r="A877" s="12">
        <f t="shared" si="41"/>
        <v>865</v>
      </c>
      <c r="E877" s="10" t="str">
        <f t="shared" si="39"/>
        <v/>
      </c>
      <c r="I877" s="53" t="str">
        <f t="shared" si="40"/>
        <v/>
      </c>
      <c r="N877" s="8">
        <v>0</v>
      </c>
      <c r="Q877" s="1"/>
      <c r="R877" s="1"/>
      <c r="S877" s="1"/>
      <c r="T877" s="8"/>
      <c r="U877" s="8"/>
      <c r="V877" s="1"/>
      <c r="W877" s="1"/>
      <c r="X877" s="1"/>
      <c r="Z877" s="8"/>
    </row>
    <row r="878" spans="1:26" x14ac:dyDescent="0.2">
      <c r="A878" s="12">
        <f t="shared" si="41"/>
        <v>866</v>
      </c>
      <c r="E878" s="10" t="str">
        <f t="shared" si="39"/>
        <v/>
      </c>
      <c r="I878" s="53" t="str">
        <f t="shared" si="40"/>
        <v/>
      </c>
      <c r="N878" s="8">
        <v>0</v>
      </c>
      <c r="Q878" s="1"/>
      <c r="R878" s="1"/>
      <c r="S878" s="1"/>
      <c r="T878" s="8"/>
      <c r="U878" s="8"/>
      <c r="V878" s="1"/>
      <c r="W878" s="1"/>
      <c r="X878" s="1"/>
      <c r="Z878" s="8"/>
    </row>
    <row r="879" spans="1:26" x14ac:dyDescent="0.2">
      <c r="A879" s="12">
        <f t="shared" si="41"/>
        <v>867</v>
      </c>
      <c r="E879" s="10" t="str">
        <f t="shared" si="39"/>
        <v/>
      </c>
      <c r="I879" s="53" t="str">
        <f t="shared" si="40"/>
        <v/>
      </c>
      <c r="N879" s="8">
        <v>0</v>
      </c>
      <c r="Q879" s="1"/>
      <c r="R879" s="1"/>
      <c r="S879" s="1"/>
      <c r="T879" s="8"/>
      <c r="U879" s="8"/>
      <c r="V879" s="1"/>
      <c r="W879" s="1"/>
      <c r="X879" s="1"/>
      <c r="Z879" s="8"/>
    </row>
    <row r="880" spans="1:26" x14ac:dyDescent="0.2">
      <c r="A880" s="12">
        <f t="shared" si="41"/>
        <v>868</v>
      </c>
      <c r="E880" s="10" t="str">
        <f t="shared" si="39"/>
        <v/>
      </c>
      <c r="I880" s="53" t="str">
        <f t="shared" si="40"/>
        <v/>
      </c>
      <c r="N880" s="8">
        <v>0</v>
      </c>
      <c r="Q880" s="1"/>
      <c r="R880" s="1"/>
      <c r="S880" s="1"/>
      <c r="T880" s="8"/>
      <c r="U880" s="8"/>
      <c r="V880" s="1"/>
      <c r="W880" s="1"/>
      <c r="X880" s="1"/>
      <c r="Z880" s="8"/>
    </row>
    <row r="881" spans="1:26" x14ac:dyDescent="0.2">
      <c r="A881" s="12">
        <f t="shared" si="41"/>
        <v>869</v>
      </c>
      <c r="E881" s="10" t="str">
        <f t="shared" si="39"/>
        <v/>
      </c>
      <c r="I881" s="53" t="str">
        <f t="shared" si="40"/>
        <v/>
      </c>
      <c r="N881" s="8">
        <v>0</v>
      </c>
      <c r="Q881" s="1"/>
      <c r="R881" s="1"/>
      <c r="S881" s="1"/>
      <c r="T881" s="8"/>
      <c r="U881" s="8"/>
      <c r="V881" s="1"/>
      <c r="W881" s="1"/>
      <c r="X881" s="1"/>
      <c r="Z881" s="8"/>
    </row>
    <row r="882" spans="1:26" x14ac:dyDescent="0.2">
      <c r="A882" s="12">
        <f t="shared" si="41"/>
        <v>870</v>
      </c>
      <c r="E882" s="10" t="str">
        <f t="shared" si="39"/>
        <v/>
      </c>
      <c r="I882" s="53" t="str">
        <f t="shared" si="40"/>
        <v/>
      </c>
      <c r="N882" s="8">
        <v>0</v>
      </c>
      <c r="Q882" s="1"/>
      <c r="R882" s="1"/>
      <c r="S882" s="1"/>
      <c r="T882" s="8"/>
      <c r="U882" s="8"/>
      <c r="V882" s="1"/>
      <c r="W882" s="1"/>
      <c r="X882" s="1"/>
      <c r="Z882" s="8"/>
    </row>
    <row r="883" spans="1:26" x14ac:dyDescent="0.2">
      <c r="A883" s="12">
        <f t="shared" si="41"/>
        <v>871</v>
      </c>
      <c r="E883" s="10" t="str">
        <f t="shared" si="39"/>
        <v/>
      </c>
      <c r="I883" s="53" t="str">
        <f t="shared" si="40"/>
        <v/>
      </c>
      <c r="N883" s="8">
        <v>0</v>
      </c>
      <c r="Q883" s="1"/>
      <c r="R883" s="1"/>
      <c r="S883" s="1"/>
      <c r="T883" s="8"/>
      <c r="U883" s="8"/>
      <c r="V883" s="1"/>
      <c r="W883" s="1"/>
      <c r="X883" s="1"/>
      <c r="Z883" s="8"/>
    </row>
    <row r="884" spans="1:26" x14ac:dyDescent="0.2">
      <c r="A884" s="12">
        <f t="shared" si="41"/>
        <v>872</v>
      </c>
      <c r="E884" s="10" t="str">
        <f t="shared" si="39"/>
        <v/>
      </c>
      <c r="I884" s="53" t="str">
        <f t="shared" si="40"/>
        <v/>
      </c>
      <c r="N884" s="8">
        <v>0</v>
      </c>
      <c r="Q884" s="1"/>
      <c r="R884" s="1"/>
      <c r="S884" s="1"/>
      <c r="T884" s="8"/>
      <c r="U884" s="8"/>
      <c r="V884" s="1"/>
      <c r="W884" s="1"/>
      <c r="X884" s="1"/>
      <c r="Z884" s="8"/>
    </row>
    <row r="885" spans="1:26" x14ac:dyDescent="0.2">
      <c r="A885" s="12">
        <f t="shared" si="41"/>
        <v>873</v>
      </c>
      <c r="E885" s="10" t="str">
        <f t="shared" si="39"/>
        <v/>
      </c>
      <c r="I885" s="53" t="str">
        <f t="shared" si="40"/>
        <v/>
      </c>
      <c r="N885" s="8">
        <v>0</v>
      </c>
      <c r="Q885" s="1"/>
      <c r="R885" s="1"/>
      <c r="S885" s="1"/>
      <c r="T885" s="8"/>
      <c r="U885" s="8"/>
      <c r="V885" s="1"/>
      <c r="W885" s="1"/>
      <c r="X885" s="1"/>
      <c r="Z885" s="8"/>
    </row>
    <row r="886" spans="1:26" x14ac:dyDescent="0.2">
      <c r="A886" s="12">
        <f t="shared" si="41"/>
        <v>874</v>
      </c>
      <c r="E886" s="10" t="str">
        <f t="shared" si="39"/>
        <v/>
      </c>
      <c r="I886" s="53" t="str">
        <f t="shared" si="40"/>
        <v/>
      </c>
      <c r="N886" s="8">
        <v>0</v>
      </c>
      <c r="Q886" s="1"/>
      <c r="R886" s="1"/>
      <c r="S886" s="1"/>
      <c r="T886" s="8"/>
      <c r="U886" s="8"/>
      <c r="V886" s="1"/>
      <c r="W886" s="1"/>
      <c r="X886" s="1"/>
      <c r="Z886" s="8"/>
    </row>
    <row r="887" spans="1:26" x14ac:dyDescent="0.2">
      <c r="A887" s="12">
        <f t="shared" si="41"/>
        <v>875</v>
      </c>
      <c r="E887" s="10" t="str">
        <f t="shared" si="39"/>
        <v/>
      </c>
      <c r="I887" s="53" t="str">
        <f t="shared" si="40"/>
        <v/>
      </c>
      <c r="N887" s="8">
        <v>0</v>
      </c>
      <c r="Q887" s="1"/>
      <c r="R887" s="1"/>
      <c r="S887" s="1"/>
      <c r="T887" s="8"/>
      <c r="U887" s="8"/>
      <c r="V887" s="1"/>
      <c r="W887" s="1"/>
      <c r="X887" s="1"/>
      <c r="Z887" s="8"/>
    </row>
    <row r="888" spans="1:26" x14ac:dyDescent="0.2">
      <c r="A888" s="12">
        <f t="shared" si="41"/>
        <v>876</v>
      </c>
      <c r="E888" s="10" t="str">
        <f t="shared" si="39"/>
        <v/>
      </c>
      <c r="I888" s="53" t="str">
        <f t="shared" si="40"/>
        <v/>
      </c>
      <c r="N888" s="8">
        <v>0</v>
      </c>
      <c r="Q888" s="1"/>
      <c r="R888" s="1"/>
      <c r="S888" s="1"/>
      <c r="T888" s="8"/>
      <c r="U888" s="8"/>
      <c r="V888" s="1"/>
      <c r="W888" s="1"/>
      <c r="X888" s="1"/>
      <c r="Z888" s="8"/>
    </row>
    <row r="889" spans="1:26" x14ac:dyDescent="0.2">
      <c r="A889" s="12">
        <f t="shared" si="41"/>
        <v>877</v>
      </c>
      <c r="E889" s="10" t="str">
        <f t="shared" si="39"/>
        <v/>
      </c>
      <c r="I889" s="53" t="str">
        <f t="shared" si="40"/>
        <v/>
      </c>
      <c r="N889" s="8">
        <v>0</v>
      </c>
      <c r="Q889" s="1"/>
      <c r="R889" s="1"/>
      <c r="S889" s="1"/>
      <c r="T889" s="8"/>
      <c r="U889" s="8"/>
      <c r="V889" s="1"/>
      <c r="W889" s="1"/>
      <c r="X889" s="1"/>
      <c r="Z889" s="8"/>
    </row>
    <row r="890" spans="1:26" x14ac:dyDescent="0.2">
      <c r="A890" s="12">
        <f t="shared" si="41"/>
        <v>878</v>
      </c>
      <c r="E890" s="10" t="str">
        <f t="shared" si="39"/>
        <v/>
      </c>
      <c r="I890" s="53" t="str">
        <f t="shared" si="40"/>
        <v/>
      </c>
      <c r="N890" s="8">
        <v>0</v>
      </c>
      <c r="Q890" s="1"/>
      <c r="R890" s="1"/>
      <c r="S890" s="1"/>
      <c r="T890" s="8"/>
      <c r="U890" s="8"/>
      <c r="V890" s="1"/>
      <c r="W890" s="1"/>
      <c r="X890" s="1"/>
      <c r="Z890" s="8"/>
    </row>
    <row r="891" spans="1:26" x14ac:dyDescent="0.2">
      <c r="A891" s="12">
        <f t="shared" si="41"/>
        <v>879</v>
      </c>
      <c r="E891" s="10" t="str">
        <f t="shared" si="39"/>
        <v/>
      </c>
      <c r="I891" s="53" t="str">
        <f t="shared" si="40"/>
        <v/>
      </c>
      <c r="N891" s="8">
        <v>0</v>
      </c>
      <c r="Q891" s="1"/>
      <c r="R891" s="1"/>
      <c r="S891" s="1"/>
      <c r="T891" s="8"/>
      <c r="U891" s="8"/>
      <c r="V891" s="1"/>
      <c r="W891" s="1"/>
      <c r="X891" s="1"/>
      <c r="Z891" s="8"/>
    </row>
    <row r="892" spans="1:26" x14ac:dyDescent="0.2">
      <c r="A892" s="12">
        <f t="shared" si="41"/>
        <v>880</v>
      </c>
      <c r="E892" s="10" t="str">
        <f t="shared" si="39"/>
        <v/>
      </c>
      <c r="I892" s="53" t="str">
        <f t="shared" si="40"/>
        <v/>
      </c>
      <c r="N892" s="8">
        <v>0</v>
      </c>
      <c r="Q892" s="1"/>
      <c r="R892" s="1"/>
      <c r="S892" s="1"/>
      <c r="T892" s="8"/>
      <c r="U892" s="8"/>
      <c r="V892" s="1"/>
      <c r="W892" s="1"/>
      <c r="X892" s="1"/>
      <c r="Z892" s="8"/>
    </row>
    <row r="893" spans="1:26" x14ac:dyDescent="0.2">
      <c r="A893" s="12">
        <f t="shared" si="41"/>
        <v>881</v>
      </c>
      <c r="E893" s="10" t="str">
        <f t="shared" si="39"/>
        <v/>
      </c>
      <c r="I893" s="53" t="str">
        <f t="shared" si="40"/>
        <v/>
      </c>
      <c r="N893" s="8">
        <v>0</v>
      </c>
      <c r="Q893" s="1"/>
      <c r="R893" s="1"/>
      <c r="S893" s="1"/>
      <c r="T893" s="8"/>
      <c r="U893" s="8"/>
      <c r="V893" s="1"/>
      <c r="W893" s="1"/>
      <c r="X893" s="1"/>
      <c r="Z893" s="8"/>
    </row>
    <row r="894" spans="1:26" x14ac:dyDescent="0.2">
      <c r="A894" s="12">
        <f t="shared" si="41"/>
        <v>882</v>
      </c>
      <c r="E894" s="10" t="str">
        <f t="shared" si="39"/>
        <v/>
      </c>
      <c r="I894" s="53" t="str">
        <f t="shared" si="40"/>
        <v/>
      </c>
      <c r="N894" s="8">
        <v>0</v>
      </c>
      <c r="Q894" s="1"/>
      <c r="R894" s="1"/>
      <c r="S894" s="1"/>
      <c r="T894" s="8"/>
      <c r="U894" s="8"/>
      <c r="V894" s="1"/>
      <c r="W894" s="1"/>
      <c r="X894" s="1"/>
      <c r="Z894" s="8"/>
    </row>
    <row r="895" spans="1:26" x14ac:dyDescent="0.2">
      <c r="A895" s="12">
        <f t="shared" si="41"/>
        <v>883</v>
      </c>
      <c r="E895" s="10" t="str">
        <f t="shared" si="39"/>
        <v/>
      </c>
      <c r="I895" s="53" t="str">
        <f t="shared" si="40"/>
        <v/>
      </c>
      <c r="N895" s="8">
        <v>0</v>
      </c>
      <c r="Q895" s="1"/>
      <c r="R895" s="1"/>
      <c r="S895" s="1"/>
      <c r="T895" s="8"/>
      <c r="U895" s="8"/>
      <c r="V895" s="1"/>
      <c r="W895" s="1"/>
      <c r="X895" s="1"/>
      <c r="Z895" s="8"/>
    </row>
    <row r="896" spans="1:26" x14ac:dyDescent="0.2">
      <c r="A896" s="12">
        <f t="shared" si="41"/>
        <v>884</v>
      </c>
      <c r="E896" s="10" t="str">
        <f t="shared" si="39"/>
        <v/>
      </c>
      <c r="I896" s="53" t="str">
        <f t="shared" si="40"/>
        <v/>
      </c>
      <c r="N896" s="8">
        <v>0</v>
      </c>
      <c r="Q896" s="1"/>
      <c r="R896" s="1"/>
      <c r="S896" s="1"/>
      <c r="T896" s="8"/>
      <c r="U896" s="8"/>
      <c r="V896" s="1"/>
      <c r="W896" s="1"/>
      <c r="X896" s="1"/>
      <c r="Z896" s="8"/>
    </row>
    <row r="897" spans="1:26" x14ac:dyDescent="0.2">
      <c r="A897" s="12">
        <f t="shared" si="41"/>
        <v>885</v>
      </c>
      <c r="E897" s="10" t="str">
        <f t="shared" si="39"/>
        <v/>
      </c>
      <c r="I897" s="53" t="str">
        <f t="shared" si="40"/>
        <v/>
      </c>
      <c r="N897" s="8">
        <v>0</v>
      </c>
      <c r="Q897" s="1"/>
      <c r="R897" s="1"/>
      <c r="S897" s="1"/>
      <c r="T897" s="8"/>
      <c r="U897" s="8"/>
      <c r="V897" s="1"/>
      <c r="W897" s="1"/>
      <c r="X897" s="1"/>
      <c r="Z897" s="8"/>
    </row>
    <row r="898" spans="1:26" x14ac:dyDescent="0.2">
      <c r="A898" s="12">
        <f t="shared" si="41"/>
        <v>886</v>
      </c>
      <c r="E898" s="10" t="str">
        <f t="shared" si="39"/>
        <v/>
      </c>
      <c r="I898" s="53" t="str">
        <f t="shared" si="40"/>
        <v/>
      </c>
      <c r="N898" s="8">
        <v>0</v>
      </c>
      <c r="Q898" s="1"/>
      <c r="R898" s="1"/>
      <c r="S898" s="1"/>
      <c r="T898" s="8"/>
      <c r="U898" s="8"/>
      <c r="V898" s="1"/>
      <c r="W898" s="1"/>
      <c r="X898" s="1"/>
      <c r="Z898" s="8"/>
    </row>
    <row r="899" spans="1:26" x14ac:dyDescent="0.2">
      <c r="A899" s="12">
        <f t="shared" si="41"/>
        <v>887</v>
      </c>
      <c r="E899" s="10" t="str">
        <f t="shared" si="39"/>
        <v/>
      </c>
      <c r="I899" s="53" t="str">
        <f t="shared" si="40"/>
        <v/>
      </c>
      <c r="N899" s="8">
        <v>0</v>
      </c>
      <c r="Q899" s="1"/>
      <c r="R899" s="1"/>
      <c r="S899" s="1"/>
      <c r="T899" s="8"/>
      <c r="U899" s="8"/>
      <c r="V899" s="1"/>
      <c r="W899" s="1"/>
      <c r="X899" s="1"/>
      <c r="Z899" s="8"/>
    </row>
    <row r="900" spans="1:26" x14ac:dyDescent="0.2">
      <c r="A900" s="12">
        <f t="shared" si="41"/>
        <v>888</v>
      </c>
      <c r="E900" s="10" t="str">
        <f t="shared" si="39"/>
        <v/>
      </c>
      <c r="I900" s="53" t="str">
        <f t="shared" si="40"/>
        <v/>
      </c>
      <c r="N900" s="8">
        <v>0</v>
      </c>
      <c r="Q900" s="1"/>
      <c r="R900" s="1"/>
      <c r="S900" s="1"/>
      <c r="T900" s="8"/>
      <c r="U900" s="8"/>
      <c r="V900" s="1"/>
      <c r="W900" s="1"/>
      <c r="X900" s="1"/>
      <c r="Z900" s="8"/>
    </row>
    <row r="901" spans="1:26" x14ac:dyDescent="0.2">
      <c r="A901" s="12">
        <f t="shared" si="41"/>
        <v>889</v>
      </c>
      <c r="E901" s="10" t="str">
        <f t="shared" si="39"/>
        <v/>
      </c>
      <c r="I901" s="53" t="str">
        <f t="shared" si="40"/>
        <v/>
      </c>
      <c r="N901" s="8">
        <v>0</v>
      </c>
      <c r="Q901" s="1"/>
      <c r="R901" s="1"/>
      <c r="S901" s="1"/>
      <c r="T901" s="8"/>
      <c r="U901" s="8"/>
      <c r="V901" s="1"/>
      <c r="W901" s="1"/>
      <c r="X901" s="1"/>
      <c r="Z901" s="8"/>
    </row>
    <row r="902" spans="1:26" x14ac:dyDescent="0.2">
      <c r="A902" s="12">
        <f t="shared" si="41"/>
        <v>890</v>
      </c>
      <c r="E902" s="10" t="str">
        <f t="shared" si="39"/>
        <v/>
      </c>
      <c r="I902" s="53" t="str">
        <f t="shared" si="40"/>
        <v/>
      </c>
      <c r="N902" s="8">
        <v>0</v>
      </c>
      <c r="Q902" s="1"/>
      <c r="R902" s="1"/>
      <c r="S902" s="1"/>
      <c r="T902" s="8"/>
      <c r="U902" s="8"/>
      <c r="V902" s="1"/>
      <c r="W902" s="1"/>
      <c r="X902" s="1"/>
      <c r="Z902" s="8"/>
    </row>
    <row r="903" spans="1:26" x14ac:dyDescent="0.2">
      <c r="A903" s="12">
        <f t="shared" si="41"/>
        <v>891</v>
      </c>
      <c r="E903" s="10" t="str">
        <f t="shared" si="39"/>
        <v/>
      </c>
      <c r="I903" s="53" t="str">
        <f t="shared" si="40"/>
        <v/>
      </c>
      <c r="N903" s="8">
        <v>0</v>
      </c>
      <c r="Q903" s="1"/>
      <c r="R903" s="1"/>
      <c r="S903" s="1"/>
      <c r="T903" s="8"/>
      <c r="U903" s="8"/>
      <c r="V903" s="1"/>
      <c r="W903" s="1"/>
      <c r="X903" s="1"/>
      <c r="Z903" s="8"/>
    </row>
    <row r="904" spans="1:26" x14ac:dyDescent="0.2">
      <c r="A904" s="12">
        <f t="shared" si="41"/>
        <v>892</v>
      </c>
      <c r="E904" s="10" t="str">
        <f t="shared" si="39"/>
        <v/>
      </c>
      <c r="I904" s="53" t="str">
        <f t="shared" si="40"/>
        <v/>
      </c>
      <c r="N904" s="8">
        <v>0</v>
      </c>
      <c r="Q904" s="1"/>
      <c r="R904" s="1"/>
      <c r="S904" s="1"/>
      <c r="T904" s="8"/>
      <c r="U904" s="8"/>
      <c r="V904" s="1"/>
      <c r="W904" s="1"/>
      <c r="X904" s="1"/>
      <c r="Z904" s="8"/>
    </row>
    <row r="905" spans="1:26" x14ac:dyDescent="0.2">
      <c r="A905" s="12">
        <f t="shared" si="41"/>
        <v>893</v>
      </c>
      <c r="E905" s="10" t="str">
        <f t="shared" si="39"/>
        <v/>
      </c>
      <c r="I905" s="53" t="str">
        <f t="shared" si="40"/>
        <v/>
      </c>
      <c r="N905" s="8">
        <v>0</v>
      </c>
      <c r="Q905" s="1"/>
      <c r="R905" s="1"/>
      <c r="S905" s="1"/>
      <c r="T905" s="8"/>
      <c r="U905" s="8"/>
      <c r="V905" s="1"/>
      <c r="W905" s="1"/>
      <c r="X905" s="1"/>
      <c r="Z905" s="8"/>
    </row>
    <row r="906" spans="1:26" x14ac:dyDescent="0.2">
      <c r="A906" s="12">
        <f t="shared" si="41"/>
        <v>894</v>
      </c>
      <c r="E906" s="10" t="str">
        <f t="shared" si="39"/>
        <v/>
      </c>
      <c r="I906" s="53" t="str">
        <f t="shared" si="40"/>
        <v/>
      </c>
      <c r="N906" s="8">
        <v>0</v>
      </c>
      <c r="Q906" s="1"/>
      <c r="R906" s="1"/>
      <c r="S906" s="1"/>
      <c r="T906" s="8"/>
      <c r="U906" s="8"/>
      <c r="V906" s="1"/>
      <c r="W906" s="1"/>
      <c r="X906" s="1"/>
      <c r="Z906" s="8"/>
    </row>
    <row r="907" spans="1:26" x14ac:dyDescent="0.2">
      <c r="A907" s="12">
        <f t="shared" si="41"/>
        <v>895</v>
      </c>
      <c r="E907" s="10" t="str">
        <f t="shared" si="39"/>
        <v/>
      </c>
      <c r="I907" s="53" t="str">
        <f t="shared" si="40"/>
        <v/>
      </c>
      <c r="N907" s="8">
        <v>0</v>
      </c>
      <c r="Q907" s="1"/>
      <c r="R907" s="1"/>
      <c r="S907" s="1"/>
      <c r="T907" s="8"/>
      <c r="U907" s="8"/>
      <c r="V907" s="1"/>
      <c r="W907" s="1"/>
      <c r="X907" s="1"/>
      <c r="Z907" s="8"/>
    </row>
    <row r="908" spans="1:26" x14ac:dyDescent="0.2">
      <c r="A908" s="12">
        <f t="shared" si="41"/>
        <v>896</v>
      </c>
      <c r="E908" s="10" t="str">
        <f t="shared" si="39"/>
        <v/>
      </c>
      <c r="I908" s="53" t="str">
        <f t="shared" si="40"/>
        <v/>
      </c>
      <c r="N908" s="8">
        <v>0</v>
      </c>
      <c r="Q908" s="1"/>
      <c r="R908" s="1"/>
      <c r="S908" s="1"/>
      <c r="T908" s="8"/>
      <c r="U908" s="8"/>
      <c r="V908" s="1"/>
      <c r="W908" s="1"/>
      <c r="X908" s="1"/>
      <c r="Z908" s="8"/>
    </row>
    <row r="909" spans="1:26" x14ac:dyDescent="0.2">
      <c r="A909" s="12">
        <f t="shared" si="41"/>
        <v>897</v>
      </c>
      <c r="E909" s="10" t="str">
        <f t="shared" ref="E909:E972" si="42">IF($C$8&gt;=A909,$E$1&amp;" "&amp;A909,"")</f>
        <v/>
      </c>
      <c r="I909" s="53" t="str">
        <f t="shared" si="40"/>
        <v/>
      </c>
      <c r="N909" s="8">
        <v>0</v>
      </c>
      <c r="Q909" s="1"/>
      <c r="R909" s="1"/>
      <c r="S909" s="1"/>
      <c r="T909" s="8"/>
      <c r="U909" s="8"/>
      <c r="V909" s="1"/>
      <c r="W909" s="1"/>
      <c r="X909" s="1"/>
      <c r="Z909" s="8"/>
    </row>
    <row r="910" spans="1:26" x14ac:dyDescent="0.2">
      <c r="A910" s="12">
        <f t="shared" si="41"/>
        <v>898</v>
      </c>
      <c r="E910" s="10" t="str">
        <f t="shared" si="42"/>
        <v/>
      </c>
      <c r="I910" s="53" t="str">
        <f t="shared" ref="I910:I973" si="43">IF(E910="","",F910-G910-H910)</f>
        <v/>
      </c>
      <c r="N910" s="8">
        <v>0</v>
      </c>
      <c r="Q910" s="1"/>
      <c r="R910" s="1"/>
      <c r="S910" s="1"/>
      <c r="T910" s="8"/>
      <c r="U910" s="8"/>
      <c r="V910" s="1"/>
      <c r="W910" s="1"/>
      <c r="X910" s="1"/>
      <c r="Z910" s="8"/>
    </row>
    <row r="911" spans="1:26" x14ac:dyDescent="0.2">
      <c r="A911" s="12">
        <f t="shared" ref="A911:A974" si="44">A910+1</f>
        <v>899</v>
      </c>
      <c r="E911" s="10" t="str">
        <f t="shared" si="42"/>
        <v/>
      </c>
      <c r="I911" s="53" t="str">
        <f t="shared" si="43"/>
        <v/>
      </c>
      <c r="N911" s="8">
        <v>0</v>
      </c>
      <c r="Q911" s="1"/>
      <c r="R911" s="1"/>
      <c r="S911" s="1"/>
      <c r="T911" s="8"/>
      <c r="U911" s="8"/>
      <c r="V911" s="1"/>
      <c r="W911" s="1"/>
      <c r="X911" s="1"/>
      <c r="Z911" s="8"/>
    </row>
    <row r="912" spans="1:26" x14ac:dyDescent="0.2">
      <c r="A912" s="12">
        <f t="shared" si="44"/>
        <v>900</v>
      </c>
      <c r="E912" s="10" t="str">
        <f t="shared" si="42"/>
        <v/>
      </c>
      <c r="I912" s="53" t="str">
        <f t="shared" si="43"/>
        <v/>
      </c>
      <c r="N912" s="8">
        <v>0</v>
      </c>
      <c r="Q912" s="1"/>
      <c r="R912" s="1"/>
      <c r="S912" s="1"/>
      <c r="T912" s="8"/>
      <c r="U912" s="8"/>
      <c r="V912" s="1"/>
      <c r="W912" s="1"/>
      <c r="X912" s="1"/>
      <c r="Z912" s="8"/>
    </row>
    <row r="913" spans="1:26" x14ac:dyDescent="0.2">
      <c r="A913" s="12">
        <f t="shared" si="44"/>
        <v>901</v>
      </c>
      <c r="E913" s="10" t="str">
        <f t="shared" si="42"/>
        <v/>
      </c>
      <c r="I913" s="53" t="str">
        <f t="shared" si="43"/>
        <v/>
      </c>
      <c r="N913" s="8">
        <v>0</v>
      </c>
      <c r="Q913" s="1"/>
      <c r="R913" s="1"/>
      <c r="S913" s="1"/>
      <c r="T913" s="8"/>
      <c r="U913" s="8"/>
      <c r="V913" s="1"/>
      <c r="W913" s="1"/>
      <c r="X913" s="1"/>
      <c r="Z913" s="8"/>
    </row>
    <row r="914" spans="1:26" x14ac:dyDescent="0.2">
      <c r="A914" s="12">
        <f t="shared" si="44"/>
        <v>902</v>
      </c>
      <c r="E914" s="10" t="str">
        <f t="shared" si="42"/>
        <v/>
      </c>
      <c r="I914" s="53" t="str">
        <f t="shared" si="43"/>
        <v/>
      </c>
      <c r="N914" s="8">
        <v>0</v>
      </c>
      <c r="Q914" s="1"/>
      <c r="R914" s="1"/>
      <c r="S914" s="1"/>
      <c r="T914" s="8"/>
      <c r="U914" s="8"/>
      <c r="V914" s="1"/>
      <c r="W914" s="1"/>
      <c r="X914" s="1"/>
      <c r="Z914" s="8"/>
    </row>
    <row r="915" spans="1:26" x14ac:dyDescent="0.2">
      <c r="A915" s="12">
        <f t="shared" si="44"/>
        <v>903</v>
      </c>
      <c r="E915" s="10" t="str">
        <f t="shared" si="42"/>
        <v/>
      </c>
      <c r="I915" s="53" t="str">
        <f t="shared" si="43"/>
        <v/>
      </c>
      <c r="N915" s="8">
        <v>0</v>
      </c>
      <c r="Q915" s="1"/>
      <c r="R915" s="1"/>
      <c r="S915" s="1"/>
      <c r="T915" s="8"/>
      <c r="U915" s="8"/>
      <c r="V915" s="1"/>
      <c r="W915" s="1"/>
      <c r="X915" s="1"/>
      <c r="Z915" s="8"/>
    </row>
    <row r="916" spans="1:26" x14ac:dyDescent="0.2">
      <c r="A916" s="12">
        <f t="shared" si="44"/>
        <v>904</v>
      </c>
      <c r="E916" s="10" t="str">
        <f t="shared" si="42"/>
        <v/>
      </c>
      <c r="I916" s="53" t="str">
        <f t="shared" si="43"/>
        <v/>
      </c>
      <c r="N916" s="8">
        <v>0</v>
      </c>
      <c r="Q916" s="1"/>
      <c r="R916" s="1"/>
      <c r="S916" s="1"/>
      <c r="T916" s="8"/>
      <c r="U916" s="8"/>
      <c r="V916" s="1"/>
      <c r="W916" s="1"/>
      <c r="X916" s="1"/>
      <c r="Z916" s="8"/>
    </row>
    <row r="917" spans="1:26" x14ac:dyDescent="0.2">
      <c r="A917" s="12">
        <f t="shared" si="44"/>
        <v>905</v>
      </c>
      <c r="E917" s="10" t="str">
        <f t="shared" si="42"/>
        <v/>
      </c>
      <c r="I917" s="53" t="str">
        <f t="shared" si="43"/>
        <v/>
      </c>
      <c r="N917" s="8">
        <v>0</v>
      </c>
      <c r="Q917" s="1"/>
      <c r="R917" s="1"/>
      <c r="S917" s="1"/>
      <c r="T917" s="8"/>
      <c r="U917" s="8"/>
      <c r="V917" s="1"/>
      <c r="W917" s="1"/>
      <c r="X917" s="1"/>
      <c r="Z917" s="8"/>
    </row>
    <row r="918" spans="1:26" x14ac:dyDescent="0.2">
      <c r="A918" s="12">
        <f t="shared" si="44"/>
        <v>906</v>
      </c>
      <c r="E918" s="10" t="str">
        <f t="shared" si="42"/>
        <v/>
      </c>
      <c r="I918" s="53" t="str">
        <f t="shared" si="43"/>
        <v/>
      </c>
      <c r="N918" s="8">
        <v>0</v>
      </c>
      <c r="Q918" s="1"/>
      <c r="R918" s="1"/>
      <c r="S918" s="1"/>
      <c r="T918" s="8"/>
      <c r="U918" s="8"/>
      <c r="V918" s="1"/>
      <c r="W918" s="1"/>
      <c r="X918" s="1"/>
      <c r="Z918" s="8"/>
    </row>
    <row r="919" spans="1:26" x14ac:dyDescent="0.2">
      <c r="A919" s="12">
        <f t="shared" si="44"/>
        <v>907</v>
      </c>
      <c r="E919" s="10" t="str">
        <f t="shared" si="42"/>
        <v/>
      </c>
      <c r="I919" s="53" t="str">
        <f t="shared" si="43"/>
        <v/>
      </c>
      <c r="N919" s="8">
        <v>0</v>
      </c>
      <c r="Q919" s="1"/>
      <c r="R919" s="1"/>
      <c r="S919" s="1"/>
      <c r="T919" s="8"/>
      <c r="U919" s="8"/>
      <c r="V919" s="1"/>
      <c r="W919" s="1"/>
      <c r="X919" s="1"/>
      <c r="Z919" s="8"/>
    </row>
    <row r="920" spans="1:26" x14ac:dyDescent="0.2">
      <c r="A920" s="12">
        <f t="shared" si="44"/>
        <v>908</v>
      </c>
      <c r="E920" s="10" t="str">
        <f t="shared" si="42"/>
        <v/>
      </c>
      <c r="I920" s="53" t="str">
        <f t="shared" si="43"/>
        <v/>
      </c>
      <c r="N920" s="8">
        <v>0</v>
      </c>
      <c r="Q920" s="1"/>
      <c r="R920" s="1"/>
      <c r="S920" s="1"/>
      <c r="T920" s="8"/>
      <c r="U920" s="8"/>
      <c r="V920" s="1"/>
      <c r="W920" s="1"/>
      <c r="X920" s="1"/>
      <c r="Z920" s="8"/>
    </row>
    <row r="921" spans="1:26" x14ac:dyDescent="0.2">
      <c r="A921" s="12">
        <f t="shared" si="44"/>
        <v>909</v>
      </c>
      <c r="E921" s="10" t="str">
        <f t="shared" si="42"/>
        <v/>
      </c>
      <c r="I921" s="53" t="str">
        <f t="shared" si="43"/>
        <v/>
      </c>
      <c r="N921" s="8">
        <v>0</v>
      </c>
      <c r="Q921" s="1"/>
      <c r="R921" s="1"/>
      <c r="S921" s="1"/>
      <c r="T921" s="8"/>
      <c r="U921" s="8"/>
      <c r="V921" s="1"/>
      <c r="W921" s="1"/>
      <c r="X921" s="1"/>
      <c r="Z921" s="8"/>
    </row>
    <row r="922" spans="1:26" x14ac:dyDescent="0.2">
      <c r="A922" s="12">
        <f t="shared" si="44"/>
        <v>910</v>
      </c>
      <c r="E922" s="10" t="str">
        <f t="shared" si="42"/>
        <v/>
      </c>
      <c r="I922" s="53" t="str">
        <f t="shared" si="43"/>
        <v/>
      </c>
      <c r="N922" s="8">
        <v>0</v>
      </c>
      <c r="Q922" s="1"/>
      <c r="R922" s="1"/>
      <c r="S922" s="1"/>
      <c r="T922" s="8"/>
      <c r="U922" s="8"/>
      <c r="V922" s="1"/>
      <c r="W922" s="1"/>
      <c r="X922" s="1"/>
      <c r="Z922" s="8"/>
    </row>
    <row r="923" spans="1:26" x14ac:dyDescent="0.2">
      <c r="A923" s="12">
        <f t="shared" si="44"/>
        <v>911</v>
      </c>
      <c r="E923" s="10" t="str">
        <f t="shared" si="42"/>
        <v/>
      </c>
      <c r="I923" s="53" t="str">
        <f t="shared" si="43"/>
        <v/>
      </c>
      <c r="N923" s="8">
        <v>0</v>
      </c>
      <c r="Q923" s="1"/>
      <c r="R923" s="1"/>
      <c r="S923" s="1"/>
      <c r="T923" s="8"/>
      <c r="U923" s="8"/>
      <c r="V923" s="1"/>
      <c r="W923" s="1"/>
      <c r="X923" s="1"/>
      <c r="Z923" s="8"/>
    </row>
    <row r="924" spans="1:26" x14ac:dyDescent="0.2">
      <c r="A924" s="12">
        <f t="shared" si="44"/>
        <v>912</v>
      </c>
      <c r="E924" s="10" t="str">
        <f t="shared" si="42"/>
        <v/>
      </c>
      <c r="I924" s="53" t="str">
        <f t="shared" si="43"/>
        <v/>
      </c>
      <c r="N924" s="8">
        <v>0</v>
      </c>
      <c r="Q924" s="1"/>
      <c r="R924" s="1"/>
      <c r="S924" s="1"/>
      <c r="T924" s="8"/>
      <c r="U924" s="8"/>
      <c r="V924" s="1"/>
      <c r="W924" s="1"/>
      <c r="X924" s="1"/>
      <c r="Z924" s="8"/>
    </row>
    <row r="925" spans="1:26" x14ac:dyDescent="0.2">
      <c r="A925" s="12">
        <f t="shared" si="44"/>
        <v>913</v>
      </c>
      <c r="E925" s="10" t="str">
        <f t="shared" si="42"/>
        <v/>
      </c>
      <c r="I925" s="53" t="str">
        <f t="shared" si="43"/>
        <v/>
      </c>
      <c r="N925" s="8">
        <v>0</v>
      </c>
      <c r="Q925" s="1"/>
      <c r="R925" s="1"/>
      <c r="S925" s="1"/>
      <c r="T925" s="8"/>
      <c r="U925" s="8"/>
      <c r="V925" s="1"/>
      <c r="W925" s="1"/>
      <c r="X925" s="1"/>
      <c r="Z925" s="8"/>
    </row>
    <row r="926" spans="1:26" x14ac:dyDescent="0.2">
      <c r="A926" s="12">
        <f t="shared" si="44"/>
        <v>914</v>
      </c>
      <c r="E926" s="10" t="str">
        <f t="shared" si="42"/>
        <v/>
      </c>
      <c r="I926" s="53" t="str">
        <f t="shared" si="43"/>
        <v/>
      </c>
      <c r="N926" s="8">
        <v>0</v>
      </c>
      <c r="Q926" s="1"/>
      <c r="R926" s="1"/>
      <c r="S926" s="1"/>
      <c r="T926" s="8"/>
      <c r="U926" s="8"/>
      <c r="V926" s="1"/>
      <c r="W926" s="1"/>
      <c r="X926" s="1"/>
      <c r="Z926" s="8"/>
    </row>
    <row r="927" spans="1:26" x14ac:dyDescent="0.2">
      <c r="A927" s="12">
        <f t="shared" si="44"/>
        <v>915</v>
      </c>
      <c r="E927" s="10" t="str">
        <f t="shared" si="42"/>
        <v/>
      </c>
      <c r="I927" s="53" t="str">
        <f t="shared" si="43"/>
        <v/>
      </c>
      <c r="N927" s="8">
        <v>0</v>
      </c>
      <c r="Q927" s="1"/>
      <c r="R927" s="1"/>
      <c r="S927" s="1"/>
      <c r="T927" s="8"/>
      <c r="U927" s="8"/>
      <c r="V927" s="1"/>
      <c r="W927" s="1"/>
      <c r="X927" s="1"/>
      <c r="Z927" s="8"/>
    </row>
    <row r="928" spans="1:26" x14ac:dyDescent="0.2">
      <c r="A928" s="12">
        <f t="shared" si="44"/>
        <v>916</v>
      </c>
      <c r="E928" s="10" t="str">
        <f t="shared" si="42"/>
        <v/>
      </c>
      <c r="I928" s="53" t="str">
        <f t="shared" si="43"/>
        <v/>
      </c>
      <c r="N928" s="8">
        <v>0</v>
      </c>
      <c r="Q928" s="1"/>
      <c r="R928" s="1"/>
      <c r="S928" s="1"/>
      <c r="T928" s="8"/>
      <c r="U928" s="8"/>
      <c r="V928" s="1"/>
      <c r="W928" s="1"/>
      <c r="X928" s="1"/>
      <c r="Z928" s="8"/>
    </row>
    <row r="929" spans="1:26" x14ac:dyDescent="0.2">
      <c r="A929" s="12">
        <f t="shared" si="44"/>
        <v>917</v>
      </c>
      <c r="E929" s="10" t="str">
        <f t="shared" si="42"/>
        <v/>
      </c>
      <c r="I929" s="53" t="str">
        <f t="shared" si="43"/>
        <v/>
      </c>
      <c r="N929" s="8">
        <v>0</v>
      </c>
      <c r="Q929" s="1"/>
      <c r="R929" s="1"/>
      <c r="S929" s="1"/>
      <c r="T929" s="8"/>
      <c r="U929" s="8"/>
      <c r="V929" s="1"/>
      <c r="W929" s="1"/>
      <c r="X929" s="1"/>
      <c r="Z929" s="8"/>
    </row>
    <row r="930" spans="1:26" x14ac:dyDescent="0.2">
      <c r="A930" s="12">
        <f t="shared" si="44"/>
        <v>918</v>
      </c>
      <c r="E930" s="10" t="str">
        <f t="shared" si="42"/>
        <v/>
      </c>
      <c r="I930" s="53" t="str">
        <f t="shared" si="43"/>
        <v/>
      </c>
      <c r="N930" s="8">
        <v>0</v>
      </c>
      <c r="Q930" s="1"/>
      <c r="R930" s="1"/>
      <c r="S930" s="1"/>
      <c r="T930" s="8"/>
      <c r="U930" s="8"/>
      <c r="V930" s="1"/>
      <c r="W930" s="1"/>
      <c r="X930" s="1"/>
      <c r="Z930" s="8"/>
    </row>
    <row r="931" spans="1:26" x14ac:dyDescent="0.2">
      <c r="A931" s="12">
        <f t="shared" si="44"/>
        <v>919</v>
      </c>
      <c r="E931" s="10" t="str">
        <f t="shared" si="42"/>
        <v/>
      </c>
      <c r="I931" s="53" t="str">
        <f t="shared" si="43"/>
        <v/>
      </c>
      <c r="N931" s="8">
        <v>0</v>
      </c>
      <c r="Q931" s="1"/>
      <c r="R931" s="1"/>
      <c r="S931" s="1"/>
      <c r="T931" s="8"/>
      <c r="U931" s="8"/>
      <c r="V931" s="1"/>
      <c r="W931" s="1"/>
      <c r="X931" s="1"/>
      <c r="Z931" s="8"/>
    </row>
    <row r="932" spans="1:26" x14ac:dyDescent="0.2">
      <c r="A932" s="12">
        <f t="shared" si="44"/>
        <v>920</v>
      </c>
      <c r="E932" s="10" t="str">
        <f t="shared" si="42"/>
        <v/>
      </c>
      <c r="I932" s="53" t="str">
        <f t="shared" si="43"/>
        <v/>
      </c>
      <c r="N932" s="8">
        <v>0</v>
      </c>
      <c r="Q932" s="1"/>
      <c r="R932" s="1"/>
      <c r="S932" s="1"/>
      <c r="T932" s="8"/>
      <c r="U932" s="8"/>
      <c r="V932" s="1"/>
      <c r="W932" s="1"/>
      <c r="X932" s="1"/>
      <c r="Z932" s="8"/>
    </row>
    <row r="933" spans="1:26" x14ac:dyDescent="0.2">
      <c r="A933" s="12">
        <f t="shared" si="44"/>
        <v>921</v>
      </c>
      <c r="E933" s="10" t="str">
        <f t="shared" si="42"/>
        <v/>
      </c>
      <c r="I933" s="53" t="str">
        <f t="shared" si="43"/>
        <v/>
      </c>
      <c r="N933" s="8">
        <v>0</v>
      </c>
      <c r="Q933" s="1"/>
      <c r="R933" s="1"/>
      <c r="S933" s="1"/>
      <c r="T933" s="8"/>
      <c r="U933" s="8"/>
      <c r="V933" s="1"/>
      <c r="W933" s="1"/>
      <c r="X933" s="1"/>
      <c r="Z933" s="8"/>
    </row>
    <row r="934" spans="1:26" x14ac:dyDescent="0.2">
      <c r="A934" s="12">
        <f t="shared" si="44"/>
        <v>922</v>
      </c>
      <c r="E934" s="10" t="str">
        <f t="shared" si="42"/>
        <v/>
      </c>
      <c r="I934" s="53" t="str">
        <f t="shared" si="43"/>
        <v/>
      </c>
      <c r="N934" s="8">
        <v>0</v>
      </c>
      <c r="Q934" s="1"/>
      <c r="R934" s="1"/>
      <c r="S934" s="1"/>
      <c r="T934" s="8"/>
      <c r="U934" s="8"/>
      <c r="V934" s="1"/>
      <c r="W934" s="1"/>
      <c r="X934" s="1"/>
      <c r="Z934" s="8"/>
    </row>
    <row r="935" spans="1:26" x14ac:dyDescent="0.2">
      <c r="A935" s="12">
        <f t="shared" si="44"/>
        <v>923</v>
      </c>
      <c r="E935" s="10" t="str">
        <f t="shared" si="42"/>
        <v/>
      </c>
      <c r="I935" s="53" t="str">
        <f t="shared" si="43"/>
        <v/>
      </c>
      <c r="N935" s="8">
        <v>0</v>
      </c>
      <c r="Q935" s="1"/>
      <c r="R935" s="1"/>
      <c r="S935" s="1"/>
      <c r="T935" s="8"/>
      <c r="U935" s="8"/>
      <c r="V935" s="1"/>
      <c r="W935" s="1"/>
      <c r="X935" s="1"/>
      <c r="Z935" s="8"/>
    </row>
    <row r="936" spans="1:26" x14ac:dyDescent="0.2">
      <c r="A936" s="12">
        <f t="shared" si="44"/>
        <v>924</v>
      </c>
      <c r="E936" s="10" t="str">
        <f t="shared" si="42"/>
        <v/>
      </c>
      <c r="I936" s="53" t="str">
        <f t="shared" si="43"/>
        <v/>
      </c>
      <c r="N936" s="8">
        <v>0</v>
      </c>
      <c r="Q936" s="1"/>
      <c r="R936" s="1"/>
      <c r="S936" s="1"/>
      <c r="T936" s="8"/>
      <c r="U936" s="8"/>
      <c r="V936" s="1"/>
      <c r="W936" s="1"/>
      <c r="X936" s="1"/>
      <c r="Z936" s="8"/>
    </row>
    <row r="937" spans="1:26" x14ac:dyDescent="0.2">
      <c r="A937" s="12">
        <f t="shared" si="44"/>
        <v>925</v>
      </c>
      <c r="E937" s="10" t="str">
        <f t="shared" si="42"/>
        <v/>
      </c>
      <c r="I937" s="53" t="str">
        <f t="shared" si="43"/>
        <v/>
      </c>
      <c r="N937" s="8">
        <v>0</v>
      </c>
      <c r="Q937" s="1"/>
      <c r="R937" s="1"/>
      <c r="S937" s="1"/>
      <c r="T937" s="8"/>
      <c r="U937" s="8"/>
      <c r="V937" s="1"/>
      <c r="W937" s="1"/>
      <c r="X937" s="1"/>
      <c r="Z937" s="8"/>
    </row>
    <row r="938" spans="1:26" x14ac:dyDescent="0.2">
      <c r="A938" s="12">
        <f t="shared" si="44"/>
        <v>926</v>
      </c>
      <c r="E938" s="10" t="str">
        <f t="shared" si="42"/>
        <v/>
      </c>
      <c r="I938" s="53" t="str">
        <f t="shared" si="43"/>
        <v/>
      </c>
      <c r="N938" s="8">
        <v>0</v>
      </c>
      <c r="Q938" s="1"/>
      <c r="R938" s="1"/>
      <c r="S938" s="1"/>
      <c r="T938" s="8"/>
      <c r="U938" s="8"/>
      <c r="V938" s="1"/>
      <c r="W938" s="1"/>
      <c r="X938" s="1"/>
      <c r="Z938" s="8"/>
    </row>
    <row r="939" spans="1:26" x14ac:dyDescent="0.2">
      <c r="A939" s="12">
        <f t="shared" si="44"/>
        <v>927</v>
      </c>
      <c r="E939" s="10" t="str">
        <f t="shared" si="42"/>
        <v/>
      </c>
      <c r="I939" s="53" t="str">
        <f t="shared" si="43"/>
        <v/>
      </c>
      <c r="N939" s="8">
        <v>0</v>
      </c>
      <c r="Q939" s="1"/>
      <c r="R939" s="1"/>
      <c r="S939" s="1"/>
      <c r="T939" s="8"/>
      <c r="U939" s="8"/>
      <c r="V939" s="1"/>
      <c r="W939" s="1"/>
      <c r="X939" s="1"/>
      <c r="Z939" s="8"/>
    </row>
    <row r="940" spans="1:26" x14ac:dyDescent="0.2">
      <c r="A940" s="12">
        <f t="shared" si="44"/>
        <v>928</v>
      </c>
      <c r="E940" s="10" t="str">
        <f t="shared" si="42"/>
        <v/>
      </c>
      <c r="I940" s="53" t="str">
        <f t="shared" si="43"/>
        <v/>
      </c>
      <c r="N940" s="8">
        <v>0</v>
      </c>
      <c r="Q940" s="1"/>
      <c r="R940" s="1"/>
      <c r="S940" s="1"/>
      <c r="T940" s="8"/>
      <c r="U940" s="8"/>
      <c r="V940" s="1"/>
      <c r="W940" s="1"/>
      <c r="X940" s="1"/>
      <c r="Z940" s="8"/>
    </row>
    <row r="941" spans="1:26" x14ac:dyDescent="0.2">
      <c r="A941" s="12">
        <f t="shared" si="44"/>
        <v>929</v>
      </c>
      <c r="E941" s="10" t="str">
        <f t="shared" si="42"/>
        <v/>
      </c>
      <c r="I941" s="53" t="str">
        <f t="shared" si="43"/>
        <v/>
      </c>
      <c r="N941" s="8">
        <v>0</v>
      </c>
      <c r="Q941" s="1"/>
      <c r="R941" s="1"/>
      <c r="S941" s="1"/>
      <c r="T941" s="8"/>
      <c r="U941" s="8"/>
      <c r="V941" s="1"/>
      <c r="W941" s="1"/>
      <c r="X941" s="1"/>
      <c r="Z941" s="8"/>
    </row>
    <row r="942" spans="1:26" x14ac:dyDescent="0.2">
      <c r="A942" s="12">
        <f t="shared" si="44"/>
        <v>930</v>
      </c>
      <c r="E942" s="10" t="str">
        <f t="shared" si="42"/>
        <v/>
      </c>
      <c r="I942" s="53" t="str">
        <f t="shared" si="43"/>
        <v/>
      </c>
      <c r="N942" s="8">
        <v>0</v>
      </c>
      <c r="Q942" s="1"/>
      <c r="R942" s="1"/>
      <c r="S942" s="1"/>
      <c r="T942" s="8"/>
      <c r="U942" s="8"/>
      <c r="V942" s="1"/>
      <c r="W942" s="1"/>
      <c r="X942" s="1"/>
      <c r="Z942" s="8"/>
    </row>
    <row r="943" spans="1:26" x14ac:dyDescent="0.2">
      <c r="A943" s="12">
        <f t="shared" si="44"/>
        <v>931</v>
      </c>
      <c r="E943" s="10" t="str">
        <f t="shared" si="42"/>
        <v/>
      </c>
      <c r="I943" s="53" t="str">
        <f t="shared" si="43"/>
        <v/>
      </c>
      <c r="N943" s="8">
        <v>0</v>
      </c>
      <c r="Q943" s="1"/>
      <c r="R943" s="1"/>
      <c r="S943" s="1"/>
      <c r="T943" s="8"/>
      <c r="U943" s="8"/>
      <c r="V943" s="1"/>
      <c r="W943" s="1"/>
      <c r="X943" s="1"/>
      <c r="Z943" s="8"/>
    </row>
    <row r="944" spans="1:26" x14ac:dyDescent="0.2">
      <c r="A944" s="12">
        <f t="shared" si="44"/>
        <v>932</v>
      </c>
      <c r="E944" s="10" t="str">
        <f t="shared" si="42"/>
        <v/>
      </c>
      <c r="I944" s="53" t="str">
        <f t="shared" si="43"/>
        <v/>
      </c>
      <c r="N944" s="8">
        <v>0</v>
      </c>
      <c r="Q944" s="1"/>
      <c r="R944" s="1"/>
      <c r="S944" s="1"/>
      <c r="T944" s="8"/>
      <c r="U944" s="8"/>
      <c r="V944" s="1"/>
      <c r="W944" s="1"/>
      <c r="X944" s="1"/>
      <c r="Z944" s="8"/>
    </row>
    <row r="945" spans="1:26" x14ac:dyDescent="0.2">
      <c r="A945" s="12">
        <f t="shared" si="44"/>
        <v>933</v>
      </c>
      <c r="E945" s="10" t="str">
        <f t="shared" si="42"/>
        <v/>
      </c>
      <c r="I945" s="53" t="str">
        <f t="shared" si="43"/>
        <v/>
      </c>
      <c r="N945" s="8">
        <v>0</v>
      </c>
      <c r="Q945" s="1"/>
      <c r="R945" s="1"/>
      <c r="S945" s="1"/>
      <c r="T945" s="8"/>
      <c r="U945" s="8"/>
      <c r="V945" s="1"/>
      <c r="W945" s="1"/>
      <c r="X945" s="1"/>
      <c r="Z945" s="8"/>
    </row>
    <row r="946" spans="1:26" x14ac:dyDescent="0.2">
      <c r="A946" s="12">
        <f t="shared" si="44"/>
        <v>934</v>
      </c>
      <c r="E946" s="10" t="str">
        <f t="shared" si="42"/>
        <v/>
      </c>
      <c r="I946" s="53" t="str">
        <f t="shared" si="43"/>
        <v/>
      </c>
      <c r="N946" s="8">
        <v>0</v>
      </c>
      <c r="Q946" s="1"/>
      <c r="R946" s="1"/>
      <c r="S946" s="1"/>
      <c r="T946" s="8"/>
      <c r="U946" s="8"/>
      <c r="V946" s="1"/>
      <c r="W946" s="1"/>
      <c r="X946" s="1"/>
      <c r="Z946" s="8"/>
    </row>
    <row r="947" spans="1:26" x14ac:dyDescent="0.2">
      <c r="A947" s="12">
        <f t="shared" si="44"/>
        <v>935</v>
      </c>
      <c r="E947" s="10" t="str">
        <f t="shared" si="42"/>
        <v/>
      </c>
      <c r="I947" s="53" t="str">
        <f t="shared" si="43"/>
        <v/>
      </c>
      <c r="N947" s="8">
        <v>0</v>
      </c>
      <c r="Q947" s="1"/>
      <c r="R947" s="1"/>
      <c r="S947" s="1"/>
      <c r="T947" s="8"/>
      <c r="U947" s="8"/>
      <c r="V947" s="1"/>
      <c r="W947" s="1"/>
      <c r="X947" s="1"/>
      <c r="Z947" s="8"/>
    </row>
    <row r="948" spans="1:26" x14ac:dyDescent="0.2">
      <c r="A948" s="12">
        <f t="shared" si="44"/>
        <v>936</v>
      </c>
      <c r="E948" s="10" t="str">
        <f t="shared" si="42"/>
        <v/>
      </c>
      <c r="I948" s="53" t="str">
        <f t="shared" si="43"/>
        <v/>
      </c>
      <c r="N948" s="8">
        <v>0</v>
      </c>
      <c r="Q948" s="1"/>
      <c r="R948" s="1"/>
      <c r="S948" s="1"/>
      <c r="T948" s="8"/>
      <c r="U948" s="8"/>
      <c r="V948" s="1"/>
      <c r="W948" s="1"/>
      <c r="X948" s="1"/>
      <c r="Z948" s="8"/>
    </row>
    <row r="949" spans="1:26" x14ac:dyDescent="0.2">
      <c r="A949" s="12">
        <f t="shared" si="44"/>
        <v>937</v>
      </c>
      <c r="E949" s="10" t="str">
        <f t="shared" si="42"/>
        <v/>
      </c>
      <c r="I949" s="53" t="str">
        <f t="shared" si="43"/>
        <v/>
      </c>
      <c r="N949" s="8">
        <v>0</v>
      </c>
      <c r="Q949" s="1"/>
      <c r="R949" s="1"/>
      <c r="S949" s="1"/>
      <c r="T949" s="8"/>
      <c r="U949" s="8"/>
      <c r="V949" s="1"/>
      <c r="W949" s="1"/>
      <c r="X949" s="1"/>
      <c r="Z949" s="8"/>
    </row>
    <row r="950" spans="1:26" x14ac:dyDescent="0.2">
      <c r="A950" s="12">
        <f t="shared" si="44"/>
        <v>938</v>
      </c>
      <c r="E950" s="10" t="str">
        <f t="shared" si="42"/>
        <v/>
      </c>
      <c r="I950" s="53" t="str">
        <f t="shared" si="43"/>
        <v/>
      </c>
      <c r="N950" s="8">
        <v>0</v>
      </c>
      <c r="Q950" s="1"/>
      <c r="R950" s="1"/>
      <c r="S950" s="1"/>
      <c r="T950" s="8"/>
      <c r="U950" s="8"/>
      <c r="V950" s="1"/>
      <c r="W950" s="1"/>
      <c r="X950" s="1"/>
      <c r="Z950" s="8"/>
    </row>
    <row r="951" spans="1:26" x14ac:dyDescent="0.2">
      <c r="A951" s="12">
        <f t="shared" si="44"/>
        <v>939</v>
      </c>
      <c r="E951" s="10" t="str">
        <f t="shared" si="42"/>
        <v/>
      </c>
      <c r="I951" s="53" t="str">
        <f t="shared" si="43"/>
        <v/>
      </c>
      <c r="N951" s="8">
        <v>0</v>
      </c>
      <c r="Q951" s="1"/>
      <c r="R951" s="1"/>
      <c r="S951" s="1"/>
      <c r="T951" s="8"/>
      <c r="U951" s="8"/>
      <c r="V951" s="1"/>
      <c r="W951" s="1"/>
      <c r="X951" s="1"/>
      <c r="Z951" s="8"/>
    </row>
    <row r="952" spans="1:26" x14ac:dyDescent="0.2">
      <c r="A952" s="12">
        <f t="shared" si="44"/>
        <v>940</v>
      </c>
      <c r="E952" s="10" t="str">
        <f t="shared" si="42"/>
        <v/>
      </c>
      <c r="I952" s="53" t="str">
        <f t="shared" si="43"/>
        <v/>
      </c>
      <c r="N952" s="8">
        <v>0</v>
      </c>
      <c r="Q952" s="1"/>
      <c r="R952" s="1"/>
      <c r="S952" s="1"/>
      <c r="T952" s="8"/>
      <c r="U952" s="8"/>
      <c r="V952" s="1"/>
      <c r="W952" s="1"/>
      <c r="X952" s="1"/>
      <c r="Z952" s="8"/>
    </row>
    <row r="953" spans="1:26" x14ac:dyDescent="0.2">
      <c r="A953" s="12">
        <f t="shared" si="44"/>
        <v>941</v>
      </c>
      <c r="E953" s="10" t="str">
        <f t="shared" si="42"/>
        <v/>
      </c>
      <c r="I953" s="53" t="str">
        <f t="shared" si="43"/>
        <v/>
      </c>
      <c r="N953" s="8">
        <v>0</v>
      </c>
      <c r="Q953" s="1"/>
      <c r="R953" s="1"/>
      <c r="S953" s="1"/>
      <c r="T953" s="8"/>
      <c r="U953" s="8"/>
      <c r="V953" s="1"/>
      <c r="W953" s="1"/>
      <c r="X953" s="1"/>
      <c r="Z953" s="8"/>
    </row>
    <row r="954" spans="1:26" x14ac:dyDescent="0.2">
      <c r="A954" s="12">
        <f t="shared" si="44"/>
        <v>942</v>
      </c>
      <c r="E954" s="10" t="str">
        <f t="shared" si="42"/>
        <v/>
      </c>
      <c r="I954" s="53" t="str">
        <f t="shared" si="43"/>
        <v/>
      </c>
      <c r="N954" s="8">
        <v>0</v>
      </c>
      <c r="Q954" s="1"/>
      <c r="R954" s="1"/>
      <c r="S954" s="1"/>
      <c r="T954" s="8"/>
      <c r="U954" s="8"/>
      <c r="V954" s="1"/>
      <c r="W954" s="1"/>
      <c r="X954" s="1"/>
      <c r="Z954" s="8"/>
    </row>
    <row r="955" spans="1:26" x14ac:dyDescent="0.2">
      <c r="A955" s="12">
        <f t="shared" si="44"/>
        <v>943</v>
      </c>
      <c r="E955" s="10" t="str">
        <f t="shared" si="42"/>
        <v/>
      </c>
      <c r="I955" s="53" t="str">
        <f t="shared" si="43"/>
        <v/>
      </c>
      <c r="N955" s="8">
        <v>0</v>
      </c>
      <c r="Q955" s="1"/>
      <c r="R955" s="1"/>
      <c r="S955" s="1"/>
      <c r="T955" s="8"/>
      <c r="U955" s="8"/>
      <c r="V955" s="1"/>
      <c r="W955" s="1"/>
      <c r="X955" s="1"/>
      <c r="Z955" s="8"/>
    </row>
    <row r="956" spans="1:26" x14ac:dyDescent="0.2">
      <c r="A956" s="12">
        <f t="shared" si="44"/>
        <v>944</v>
      </c>
      <c r="E956" s="10" t="str">
        <f t="shared" si="42"/>
        <v/>
      </c>
      <c r="I956" s="53" t="str">
        <f t="shared" si="43"/>
        <v/>
      </c>
      <c r="N956" s="8">
        <v>0</v>
      </c>
      <c r="Q956" s="1"/>
      <c r="R956" s="1"/>
      <c r="S956" s="1"/>
      <c r="T956" s="8"/>
      <c r="U956" s="8"/>
      <c r="V956" s="1"/>
      <c r="W956" s="1"/>
      <c r="X956" s="1"/>
      <c r="Z956" s="8"/>
    </row>
    <row r="957" spans="1:26" x14ac:dyDescent="0.2">
      <c r="A957" s="12">
        <f t="shared" si="44"/>
        <v>945</v>
      </c>
      <c r="E957" s="10" t="str">
        <f t="shared" si="42"/>
        <v/>
      </c>
      <c r="I957" s="53" t="str">
        <f t="shared" si="43"/>
        <v/>
      </c>
      <c r="N957" s="8">
        <v>0</v>
      </c>
      <c r="Q957" s="1"/>
      <c r="R957" s="1"/>
      <c r="S957" s="1"/>
      <c r="T957" s="8"/>
      <c r="U957" s="8"/>
      <c r="V957" s="1"/>
      <c r="W957" s="1"/>
      <c r="X957" s="1"/>
      <c r="Z957" s="8"/>
    </row>
    <row r="958" spans="1:26" x14ac:dyDescent="0.2">
      <c r="A958" s="12">
        <f t="shared" si="44"/>
        <v>946</v>
      </c>
      <c r="E958" s="10" t="str">
        <f t="shared" si="42"/>
        <v/>
      </c>
      <c r="I958" s="53" t="str">
        <f t="shared" si="43"/>
        <v/>
      </c>
      <c r="N958" s="8">
        <v>0</v>
      </c>
      <c r="Q958" s="1"/>
      <c r="R958" s="1"/>
      <c r="S958" s="1"/>
      <c r="T958" s="8"/>
      <c r="U958" s="8"/>
      <c r="V958" s="1"/>
      <c r="W958" s="1"/>
      <c r="X958" s="1"/>
      <c r="Z958" s="8"/>
    </row>
    <row r="959" spans="1:26" x14ac:dyDescent="0.2">
      <c r="A959" s="12">
        <f t="shared" si="44"/>
        <v>947</v>
      </c>
      <c r="E959" s="10" t="str">
        <f t="shared" si="42"/>
        <v/>
      </c>
      <c r="I959" s="53" t="str">
        <f t="shared" si="43"/>
        <v/>
      </c>
      <c r="N959" s="8">
        <v>0</v>
      </c>
      <c r="Q959" s="1"/>
      <c r="R959" s="1"/>
      <c r="S959" s="1"/>
      <c r="T959" s="8"/>
      <c r="U959" s="8"/>
      <c r="V959" s="1"/>
      <c r="W959" s="1"/>
      <c r="X959" s="1"/>
      <c r="Z959" s="8"/>
    </row>
    <row r="960" spans="1:26" x14ac:dyDescent="0.2">
      <c r="A960" s="12">
        <f t="shared" si="44"/>
        <v>948</v>
      </c>
      <c r="E960" s="10" t="str">
        <f t="shared" si="42"/>
        <v/>
      </c>
      <c r="I960" s="53" t="str">
        <f t="shared" si="43"/>
        <v/>
      </c>
      <c r="N960" s="8">
        <v>0</v>
      </c>
      <c r="Q960" s="1"/>
      <c r="R960" s="1"/>
      <c r="S960" s="1"/>
      <c r="T960" s="8"/>
      <c r="U960" s="8"/>
      <c r="V960" s="1"/>
      <c r="W960" s="1"/>
      <c r="X960" s="1"/>
      <c r="Z960" s="8"/>
    </row>
    <row r="961" spans="1:26" x14ac:dyDescent="0.2">
      <c r="A961" s="12">
        <f t="shared" si="44"/>
        <v>949</v>
      </c>
      <c r="E961" s="10" t="str">
        <f t="shared" si="42"/>
        <v/>
      </c>
      <c r="I961" s="53" t="str">
        <f t="shared" si="43"/>
        <v/>
      </c>
      <c r="N961" s="8">
        <v>0</v>
      </c>
      <c r="Q961" s="1"/>
      <c r="R961" s="1"/>
      <c r="S961" s="1"/>
      <c r="T961" s="8"/>
      <c r="U961" s="8"/>
      <c r="V961" s="1"/>
      <c r="W961" s="1"/>
      <c r="X961" s="1"/>
      <c r="Z961" s="8"/>
    </row>
    <row r="962" spans="1:26" x14ac:dyDescent="0.2">
      <c r="A962" s="12">
        <f t="shared" si="44"/>
        <v>950</v>
      </c>
      <c r="E962" s="10" t="str">
        <f t="shared" si="42"/>
        <v/>
      </c>
      <c r="I962" s="53" t="str">
        <f t="shared" si="43"/>
        <v/>
      </c>
      <c r="N962" s="8">
        <v>0</v>
      </c>
      <c r="Q962" s="1"/>
      <c r="R962" s="1"/>
      <c r="S962" s="1"/>
      <c r="T962" s="8"/>
      <c r="U962" s="8"/>
      <c r="V962" s="1"/>
      <c r="W962" s="1"/>
      <c r="X962" s="1"/>
      <c r="Z962" s="8"/>
    </row>
    <row r="963" spans="1:26" x14ac:dyDescent="0.2">
      <c r="A963" s="12">
        <f t="shared" si="44"/>
        <v>951</v>
      </c>
      <c r="E963" s="10" t="str">
        <f t="shared" si="42"/>
        <v/>
      </c>
      <c r="I963" s="53" t="str">
        <f t="shared" si="43"/>
        <v/>
      </c>
      <c r="N963" s="8">
        <v>0</v>
      </c>
      <c r="Q963" s="1"/>
      <c r="R963" s="1"/>
      <c r="S963" s="1"/>
      <c r="T963" s="8"/>
      <c r="U963" s="8"/>
      <c r="V963" s="1"/>
      <c r="W963" s="1"/>
      <c r="X963" s="1"/>
      <c r="Z963" s="8"/>
    </row>
    <row r="964" spans="1:26" x14ac:dyDescent="0.2">
      <c r="A964" s="12">
        <f t="shared" si="44"/>
        <v>952</v>
      </c>
      <c r="E964" s="10" t="str">
        <f t="shared" si="42"/>
        <v/>
      </c>
      <c r="I964" s="53" t="str">
        <f t="shared" si="43"/>
        <v/>
      </c>
      <c r="N964" s="8">
        <v>0</v>
      </c>
      <c r="Q964" s="1"/>
      <c r="R964" s="1"/>
      <c r="S964" s="1"/>
      <c r="T964" s="8"/>
      <c r="U964" s="8"/>
      <c r="V964" s="1"/>
      <c r="W964" s="1"/>
      <c r="X964" s="1"/>
      <c r="Z964" s="8"/>
    </row>
    <row r="965" spans="1:26" x14ac:dyDescent="0.2">
      <c r="A965" s="12">
        <f t="shared" si="44"/>
        <v>953</v>
      </c>
      <c r="E965" s="10" t="str">
        <f t="shared" si="42"/>
        <v/>
      </c>
      <c r="I965" s="53" t="str">
        <f t="shared" si="43"/>
        <v/>
      </c>
      <c r="N965" s="8">
        <v>0</v>
      </c>
      <c r="Q965" s="1"/>
      <c r="R965" s="1"/>
      <c r="S965" s="1"/>
      <c r="T965" s="8"/>
      <c r="U965" s="8"/>
      <c r="V965" s="1"/>
      <c r="W965" s="1"/>
      <c r="X965" s="1"/>
      <c r="Z965" s="8"/>
    </row>
    <row r="966" spans="1:26" x14ac:dyDescent="0.2">
      <c r="A966" s="12">
        <f t="shared" si="44"/>
        <v>954</v>
      </c>
      <c r="E966" s="10" t="str">
        <f t="shared" si="42"/>
        <v/>
      </c>
      <c r="I966" s="53" t="str">
        <f t="shared" si="43"/>
        <v/>
      </c>
      <c r="N966" s="8">
        <v>0</v>
      </c>
      <c r="Q966" s="1"/>
      <c r="R966" s="1"/>
      <c r="S966" s="1"/>
      <c r="T966" s="8"/>
      <c r="U966" s="8"/>
      <c r="V966" s="1"/>
      <c r="W966" s="1"/>
      <c r="X966" s="1"/>
      <c r="Z966" s="8"/>
    </row>
    <row r="967" spans="1:26" x14ac:dyDescent="0.2">
      <c r="A967" s="12">
        <f t="shared" si="44"/>
        <v>955</v>
      </c>
      <c r="E967" s="10" t="str">
        <f t="shared" si="42"/>
        <v/>
      </c>
      <c r="I967" s="53" t="str">
        <f t="shared" si="43"/>
        <v/>
      </c>
      <c r="N967" s="8">
        <v>0</v>
      </c>
      <c r="Q967" s="1"/>
      <c r="R967" s="1"/>
      <c r="S967" s="1"/>
      <c r="T967" s="8"/>
      <c r="U967" s="8"/>
      <c r="V967" s="1"/>
      <c r="W967" s="1"/>
      <c r="X967" s="1"/>
      <c r="Z967" s="8"/>
    </row>
    <row r="968" spans="1:26" x14ac:dyDescent="0.2">
      <c r="A968" s="12">
        <f t="shared" si="44"/>
        <v>956</v>
      </c>
      <c r="E968" s="10" t="str">
        <f t="shared" si="42"/>
        <v/>
      </c>
      <c r="I968" s="53" t="str">
        <f t="shared" si="43"/>
        <v/>
      </c>
      <c r="N968" s="8">
        <v>0</v>
      </c>
      <c r="Q968" s="1"/>
      <c r="R968" s="1"/>
      <c r="S968" s="1"/>
      <c r="T968" s="8"/>
      <c r="U968" s="8"/>
      <c r="V968" s="1"/>
      <c r="W968" s="1"/>
      <c r="X968" s="1"/>
      <c r="Z968" s="8"/>
    </row>
    <row r="969" spans="1:26" x14ac:dyDescent="0.2">
      <c r="A969" s="12">
        <f t="shared" si="44"/>
        <v>957</v>
      </c>
      <c r="E969" s="10" t="str">
        <f t="shared" si="42"/>
        <v/>
      </c>
      <c r="I969" s="53" t="str">
        <f t="shared" si="43"/>
        <v/>
      </c>
      <c r="N969" s="8">
        <v>0</v>
      </c>
      <c r="Q969" s="1"/>
      <c r="R969" s="1"/>
      <c r="S969" s="1"/>
      <c r="T969" s="8"/>
      <c r="U969" s="8"/>
      <c r="V969" s="1"/>
      <c r="W969" s="1"/>
      <c r="X969" s="1"/>
      <c r="Z969" s="8"/>
    </row>
    <row r="970" spans="1:26" x14ac:dyDescent="0.2">
      <c r="A970" s="12">
        <f t="shared" si="44"/>
        <v>958</v>
      </c>
      <c r="E970" s="10" t="str">
        <f t="shared" si="42"/>
        <v/>
      </c>
      <c r="I970" s="53" t="str">
        <f t="shared" si="43"/>
        <v/>
      </c>
      <c r="N970" s="8">
        <v>0</v>
      </c>
      <c r="Q970" s="1"/>
      <c r="R970" s="1"/>
      <c r="S970" s="1"/>
      <c r="T970" s="8"/>
      <c r="U970" s="8"/>
      <c r="V970" s="1"/>
      <c r="W970" s="1"/>
      <c r="X970" s="1"/>
      <c r="Z970" s="8"/>
    </row>
    <row r="971" spans="1:26" x14ac:dyDescent="0.2">
      <c r="A971" s="12">
        <f t="shared" si="44"/>
        <v>959</v>
      </c>
      <c r="E971" s="10" t="str">
        <f t="shared" si="42"/>
        <v/>
      </c>
      <c r="I971" s="53" t="str">
        <f t="shared" si="43"/>
        <v/>
      </c>
      <c r="N971" s="8">
        <v>0</v>
      </c>
      <c r="Q971" s="1"/>
      <c r="R971" s="1"/>
      <c r="S971" s="1"/>
      <c r="T971" s="8"/>
      <c r="U971" s="8"/>
      <c r="V971" s="1"/>
      <c r="W971" s="1"/>
      <c r="X971" s="1"/>
      <c r="Z971" s="8"/>
    </row>
    <row r="972" spans="1:26" x14ac:dyDescent="0.2">
      <c r="A972" s="12">
        <f t="shared" si="44"/>
        <v>960</v>
      </c>
      <c r="E972" s="10" t="str">
        <f t="shared" si="42"/>
        <v/>
      </c>
      <c r="I972" s="53" t="str">
        <f t="shared" si="43"/>
        <v/>
      </c>
      <c r="N972" s="8">
        <v>0</v>
      </c>
      <c r="Q972" s="1"/>
      <c r="R972" s="1"/>
      <c r="S972" s="1"/>
      <c r="T972" s="8"/>
      <c r="U972" s="8"/>
      <c r="V972" s="1"/>
      <c r="W972" s="1"/>
      <c r="X972" s="1"/>
      <c r="Z972" s="8"/>
    </row>
    <row r="973" spans="1:26" x14ac:dyDescent="0.2">
      <c r="A973" s="12">
        <f t="shared" si="44"/>
        <v>961</v>
      </c>
      <c r="E973" s="10" t="str">
        <f t="shared" ref="E973:E1036" si="45">IF($C$8&gt;=A973,$E$1&amp;" "&amp;A973,"")</f>
        <v/>
      </c>
      <c r="I973" s="53" t="str">
        <f t="shared" si="43"/>
        <v/>
      </c>
      <c r="N973" s="8">
        <v>0</v>
      </c>
      <c r="Q973" s="1"/>
      <c r="R973" s="1"/>
      <c r="S973" s="1"/>
      <c r="T973" s="8"/>
      <c r="U973" s="8"/>
      <c r="V973" s="1"/>
      <c r="W973" s="1"/>
      <c r="X973" s="1"/>
      <c r="Z973" s="8"/>
    </row>
    <row r="974" spans="1:26" x14ac:dyDescent="0.2">
      <c r="A974" s="12">
        <f t="shared" si="44"/>
        <v>962</v>
      </c>
      <c r="E974" s="10" t="str">
        <f t="shared" si="45"/>
        <v/>
      </c>
      <c r="I974" s="53" t="str">
        <f t="shared" ref="I974:I1037" si="46">IF(E974="","",F974-G974-H974)</f>
        <v/>
      </c>
      <c r="N974" s="8">
        <v>0</v>
      </c>
      <c r="Q974" s="1"/>
      <c r="R974" s="1"/>
      <c r="S974" s="1"/>
      <c r="T974" s="8"/>
      <c r="U974" s="8"/>
      <c r="V974" s="1"/>
      <c r="W974" s="1"/>
      <c r="X974" s="1"/>
      <c r="Z974" s="8"/>
    </row>
    <row r="975" spans="1:26" x14ac:dyDescent="0.2">
      <c r="A975" s="12">
        <f t="shared" ref="A975:A1038" si="47">A974+1</f>
        <v>963</v>
      </c>
      <c r="E975" s="10" t="str">
        <f t="shared" si="45"/>
        <v/>
      </c>
      <c r="I975" s="53" t="str">
        <f t="shared" si="46"/>
        <v/>
      </c>
      <c r="N975" s="8">
        <v>0</v>
      </c>
      <c r="Q975" s="1"/>
      <c r="R975" s="1"/>
      <c r="S975" s="1"/>
      <c r="T975" s="8"/>
      <c r="U975" s="8"/>
      <c r="V975" s="1"/>
      <c r="W975" s="1"/>
      <c r="X975" s="1"/>
      <c r="Z975" s="8"/>
    </row>
    <row r="976" spans="1:26" x14ac:dyDescent="0.2">
      <c r="A976" s="12">
        <f t="shared" si="47"/>
        <v>964</v>
      </c>
      <c r="E976" s="10" t="str">
        <f t="shared" si="45"/>
        <v/>
      </c>
      <c r="I976" s="53" t="str">
        <f t="shared" si="46"/>
        <v/>
      </c>
      <c r="N976" s="8">
        <v>0</v>
      </c>
      <c r="Q976" s="1"/>
      <c r="R976" s="1"/>
      <c r="S976" s="1"/>
      <c r="T976" s="8"/>
      <c r="U976" s="8"/>
      <c r="V976" s="1"/>
      <c r="W976" s="1"/>
      <c r="X976" s="1"/>
      <c r="Z976" s="8"/>
    </row>
    <row r="977" spans="1:26" x14ac:dyDescent="0.2">
      <c r="A977" s="12">
        <f t="shared" si="47"/>
        <v>965</v>
      </c>
      <c r="E977" s="10" t="str">
        <f t="shared" si="45"/>
        <v/>
      </c>
      <c r="I977" s="53" t="str">
        <f t="shared" si="46"/>
        <v/>
      </c>
      <c r="N977" s="8">
        <v>0</v>
      </c>
      <c r="Q977" s="1"/>
      <c r="R977" s="1"/>
      <c r="S977" s="1"/>
      <c r="T977" s="8"/>
      <c r="U977" s="8"/>
      <c r="V977" s="1"/>
      <c r="W977" s="1"/>
      <c r="X977" s="1"/>
      <c r="Z977" s="8"/>
    </row>
    <row r="978" spans="1:26" x14ac:dyDescent="0.2">
      <c r="A978" s="12">
        <f t="shared" si="47"/>
        <v>966</v>
      </c>
      <c r="E978" s="10" t="str">
        <f t="shared" si="45"/>
        <v/>
      </c>
      <c r="I978" s="53" t="str">
        <f t="shared" si="46"/>
        <v/>
      </c>
      <c r="N978" s="8">
        <v>0</v>
      </c>
      <c r="Q978" s="1"/>
      <c r="R978" s="1"/>
      <c r="S978" s="1"/>
      <c r="T978" s="8"/>
      <c r="U978" s="8"/>
      <c r="V978" s="1"/>
      <c r="W978" s="1"/>
      <c r="X978" s="1"/>
      <c r="Z978" s="8"/>
    </row>
    <row r="979" spans="1:26" x14ac:dyDescent="0.2">
      <c r="A979" s="12">
        <f t="shared" si="47"/>
        <v>967</v>
      </c>
      <c r="E979" s="10" t="str">
        <f t="shared" si="45"/>
        <v/>
      </c>
      <c r="I979" s="53" t="str">
        <f t="shared" si="46"/>
        <v/>
      </c>
      <c r="N979" s="8">
        <v>0</v>
      </c>
      <c r="Q979" s="1"/>
      <c r="R979" s="1"/>
      <c r="S979" s="1"/>
      <c r="T979" s="8"/>
      <c r="U979" s="8"/>
      <c r="V979" s="1"/>
      <c r="W979" s="1"/>
      <c r="X979" s="1"/>
      <c r="Z979" s="8"/>
    </row>
    <row r="980" spans="1:26" x14ac:dyDescent="0.2">
      <c r="A980" s="12">
        <f t="shared" si="47"/>
        <v>968</v>
      </c>
      <c r="E980" s="10" t="str">
        <f t="shared" si="45"/>
        <v/>
      </c>
      <c r="I980" s="53" t="str">
        <f t="shared" si="46"/>
        <v/>
      </c>
      <c r="N980" s="8">
        <v>0</v>
      </c>
      <c r="Q980" s="1"/>
      <c r="R980" s="1"/>
      <c r="S980" s="1"/>
      <c r="T980" s="8"/>
      <c r="U980" s="8"/>
      <c r="V980" s="1"/>
      <c r="W980" s="1"/>
      <c r="X980" s="1"/>
      <c r="Z980" s="8"/>
    </row>
    <row r="981" spans="1:26" x14ac:dyDescent="0.2">
      <c r="A981" s="12">
        <f t="shared" si="47"/>
        <v>969</v>
      </c>
      <c r="E981" s="10" t="str">
        <f t="shared" si="45"/>
        <v/>
      </c>
      <c r="I981" s="53" t="str">
        <f t="shared" si="46"/>
        <v/>
      </c>
      <c r="N981" s="8">
        <v>0</v>
      </c>
      <c r="Q981" s="1"/>
      <c r="R981" s="1"/>
      <c r="S981" s="1"/>
      <c r="T981" s="8"/>
      <c r="U981" s="8"/>
      <c r="V981" s="1"/>
      <c r="W981" s="1"/>
      <c r="X981" s="1"/>
      <c r="Z981" s="8"/>
    </row>
    <row r="982" spans="1:26" x14ac:dyDescent="0.2">
      <c r="A982" s="12">
        <f t="shared" si="47"/>
        <v>970</v>
      </c>
      <c r="E982" s="10" t="str">
        <f t="shared" si="45"/>
        <v/>
      </c>
      <c r="I982" s="53" t="str">
        <f t="shared" si="46"/>
        <v/>
      </c>
      <c r="N982" s="8">
        <v>0</v>
      </c>
      <c r="Q982" s="1"/>
      <c r="R982" s="1"/>
      <c r="S982" s="1"/>
      <c r="T982" s="8"/>
      <c r="U982" s="8"/>
      <c r="V982" s="1"/>
      <c r="W982" s="1"/>
      <c r="X982" s="1"/>
      <c r="Z982" s="8"/>
    </row>
    <row r="983" spans="1:26" x14ac:dyDescent="0.2">
      <c r="A983" s="12">
        <f t="shared" si="47"/>
        <v>971</v>
      </c>
      <c r="E983" s="10" t="str">
        <f t="shared" si="45"/>
        <v/>
      </c>
      <c r="I983" s="53" t="str">
        <f t="shared" si="46"/>
        <v/>
      </c>
      <c r="N983" s="8">
        <v>0</v>
      </c>
      <c r="Q983" s="1"/>
      <c r="R983" s="1"/>
      <c r="S983" s="1"/>
      <c r="T983" s="8"/>
      <c r="U983" s="8"/>
      <c r="V983" s="1"/>
      <c r="W983" s="1"/>
      <c r="X983" s="1"/>
      <c r="Z983" s="8"/>
    </row>
    <row r="984" spans="1:26" x14ac:dyDescent="0.2">
      <c r="A984" s="12">
        <f t="shared" si="47"/>
        <v>972</v>
      </c>
      <c r="E984" s="10" t="str">
        <f t="shared" si="45"/>
        <v/>
      </c>
      <c r="I984" s="53" t="str">
        <f t="shared" si="46"/>
        <v/>
      </c>
      <c r="N984" s="8">
        <v>0</v>
      </c>
      <c r="Q984" s="1"/>
      <c r="R984" s="1"/>
      <c r="S984" s="1"/>
      <c r="T984" s="8"/>
      <c r="U984" s="8"/>
      <c r="V984" s="1"/>
      <c r="W984" s="1"/>
      <c r="X984" s="1"/>
      <c r="Z984" s="8"/>
    </row>
    <row r="985" spans="1:26" x14ac:dyDescent="0.2">
      <c r="A985" s="12">
        <f t="shared" si="47"/>
        <v>973</v>
      </c>
      <c r="E985" s="10" t="str">
        <f t="shared" si="45"/>
        <v/>
      </c>
      <c r="I985" s="53" t="str">
        <f t="shared" si="46"/>
        <v/>
      </c>
      <c r="N985" s="8">
        <v>0</v>
      </c>
      <c r="Q985" s="1"/>
      <c r="R985" s="1"/>
      <c r="S985" s="1"/>
      <c r="T985" s="8"/>
      <c r="U985" s="8"/>
      <c r="V985" s="1"/>
      <c r="W985" s="1"/>
      <c r="X985" s="1"/>
      <c r="Z985" s="8"/>
    </row>
    <row r="986" spans="1:26" x14ac:dyDescent="0.2">
      <c r="A986" s="12">
        <f t="shared" si="47"/>
        <v>974</v>
      </c>
      <c r="E986" s="10" t="str">
        <f t="shared" si="45"/>
        <v/>
      </c>
      <c r="I986" s="53" t="str">
        <f t="shared" si="46"/>
        <v/>
      </c>
      <c r="N986" s="8">
        <v>0</v>
      </c>
      <c r="Q986" s="1"/>
      <c r="R986" s="1"/>
      <c r="S986" s="1"/>
      <c r="T986" s="8"/>
      <c r="U986" s="8"/>
      <c r="V986" s="1"/>
      <c r="W986" s="1"/>
      <c r="X986" s="1"/>
      <c r="Z986" s="8"/>
    </row>
    <row r="987" spans="1:26" x14ac:dyDescent="0.2">
      <c r="A987" s="12">
        <f t="shared" si="47"/>
        <v>975</v>
      </c>
      <c r="E987" s="10" t="str">
        <f t="shared" si="45"/>
        <v/>
      </c>
      <c r="I987" s="53" t="str">
        <f t="shared" si="46"/>
        <v/>
      </c>
      <c r="N987" s="8">
        <v>0</v>
      </c>
      <c r="Q987" s="1"/>
      <c r="R987" s="1"/>
      <c r="S987" s="1"/>
      <c r="T987" s="8"/>
      <c r="U987" s="8"/>
      <c r="V987" s="1"/>
      <c r="W987" s="1"/>
      <c r="X987" s="1"/>
      <c r="Z987" s="8"/>
    </row>
    <row r="988" spans="1:26" x14ac:dyDescent="0.2">
      <c r="A988" s="12">
        <f t="shared" si="47"/>
        <v>976</v>
      </c>
      <c r="E988" s="10" t="str">
        <f t="shared" si="45"/>
        <v/>
      </c>
      <c r="I988" s="53" t="str">
        <f t="shared" si="46"/>
        <v/>
      </c>
      <c r="N988" s="8">
        <v>0</v>
      </c>
      <c r="Q988" s="1"/>
      <c r="R988" s="1"/>
      <c r="S988" s="1"/>
      <c r="T988" s="8"/>
      <c r="U988" s="8"/>
      <c r="V988" s="1"/>
      <c r="W988" s="1"/>
      <c r="X988" s="1"/>
      <c r="Z988" s="8"/>
    </row>
    <row r="989" spans="1:26" x14ac:dyDescent="0.2">
      <c r="A989" s="12">
        <f t="shared" si="47"/>
        <v>977</v>
      </c>
      <c r="E989" s="10" t="str">
        <f t="shared" si="45"/>
        <v/>
      </c>
      <c r="I989" s="53" t="str">
        <f t="shared" si="46"/>
        <v/>
      </c>
      <c r="N989" s="8">
        <v>0</v>
      </c>
      <c r="Q989" s="1"/>
      <c r="R989" s="1"/>
      <c r="S989" s="1"/>
      <c r="T989" s="8"/>
      <c r="U989" s="8"/>
      <c r="V989" s="1"/>
      <c r="W989" s="1"/>
      <c r="X989" s="1"/>
      <c r="Z989" s="8"/>
    </row>
    <row r="990" spans="1:26" x14ac:dyDescent="0.2">
      <c r="A990" s="12">
        <f t="shared" si="47"/>
        <v>978</v>
      </c>
      <c r="E990" s="10" t="str">
        <f t="shared" si="45"/>
        <v/>
      </c>
      <c r="I990" s="53" t="str">
        <f t="shared" si="46"/>
        <v/>
      </c>
      <c r="N990" s="8">
        <v>0</v>
      </c>
      <c r="Q990" s="1"/>
      <c r="R990" s="1"/>
      <c r="S990" s="1"/>
      <c r="T990" s="8"/>
      <c r="U990" s="8"/>
      <c r="V990" s="1"/>
      <c r="W990" s="1"/>
      <c r="X990" s="1"/>
      <c r="Z990" s="8"/>
    </row>
    <row r="991" spans="1:26" x14ac:dyDescent="0.2">
      <c r="A991" s="12">
        <f t="shared" si="47"/>
        <v>979</v>
      </c>
      <c r="E991" s="10" t="str">
        <f t="shared" si="45"/>
        <v/>
      </c>
      <c r="I991" s="53" t="str">
        <f t="shared" si="46"/>
        <v/>
      </c>
      <c r="N991" s="8">
        <v>0</v>
      </c>
      <c r="Q991" s="1"/>
      <c r="R991" s="1"/>
      <c r="S991" s="1"/>
      <c r="T991" s="8"/>
      <c r="U991" s="8"/>
      <c r="V991" s="1"/>
      <c r="W991" s="1"/>
      <c r="X991" s="1"/>
      <c r="Z991" s="8"/>
    </row>
    <row r="992" spans="1:26" x14ac:dyDescent="0.2">
      <c r="A992" s="12">
        <f t="shared" si="47"/>
        <v>980</v>
      </c>
      <c r="E992" s="10" t="str">
        <f t="shared" si="45"/>
        <v/>
      </c>
      <c r="I992" s="53" t="str">
        <f t="shared" si="46"/>
        <v/>
      </c>
      <c r="N992" s="8">
        <v>0</v>
      </c>
      <c r="Q992" s="1"/>
      <c r="R992" s="1"/>
      <c r="S992" s="1"/>
      <c r="T992" s="8"/>
      <c r="U992" s="8"/>
      <c r="V992" s="1"/>
      <c r="W992" s="1"/>
      <c r="X992" s="1"/>
      <c r="Z992" s="8"/>
    </row>
    <row r="993" spans="1:26" x14ac:dyDescent="0.2">
      <c r="A993" s="12">
        <f t="shared" si="47"/>
        <v>981</v>
      </c>
      <c r="E993" s="10" t="str">
        <f t="shared" si="45"/>
        <v/>
      </c>
      <c r="I993" s="53" t="str">
        <f t="shared" si="46"/>
        <v/>
      </c>
      <c r="N993" s="8">
        <v>0</v>
      </c>
      <c r="Q993" s="1"/>
      <c r="R993" s="1"/>
      <c r="S993" s="1"/>
      <c r="T993" s="8"/>
      <c r="U993" s="8"/>
      <c r="V993" s="1"/>
      <c r="W993" s="1"/>
      <c r="X993" s="1"/>
      <c r="Z993" s="8"/>
    </row>
    <row r="994" spans="1:26" x14ac:dyDescent="0.2">
      <c r="A994" s="12">
        <f t="shared" si="47"/>
        <v>982</v>
      </c>
      <c r="E994" s="10" t="str">
        <f t="shared" si="45"/>
        <v/>
      </c>
      <c r="I994" s="53" t="str">
        <f t="shared" si="46"/>
        <v/>
      </c>
      <c r="N994" s="8">
        <v>0</v>
      </c>
      <c r="Q994" s="1"/>
      <c r="R994" s="1"/>
      <c r="S994" s="1"/>
      <c r="T994" s="8"/>
      <c r="U994" s="8"/>
      <c r="V994" s="1"/>
      <c r="W994" s="1"/>
      <c r="X994" s="1"/>
      <c r="Z994" s="8"/>
    </row>
    <row r="995" spans="1:26" x14ac:dyDescent="0.2">
      <c r="A995" s="12">
        <f t="shared" si="47"/>
        <v>983</v>
      </c>
      <c r="E995" s="10" t="str">
        <f t="shared" si="45"/>
        <v/>
      </c>
      <c r="I995" s="53" t="str">
        <f t="shared" si="46"/>
        <v/>
      </c>
      <c r="N995" s="8">
        <v>0</v>
      </c>
      <c r="Q995" s="1"/>
      <c r="R995" s="1"/>
      <c r="S995" s="1"/>
      <c r="T995" s="8"/>
      <c r="U995" s="8"/>
      <c r="V995" s="1"/>
      <c r="W995" s="1"/>
      <c r="X995" s="1"/>
      <c r="Z995" s="8"/>
    </row>
    <row r="996" spans="1:26" x14ac:dyDescent="0.2">
      <c r="A996" s="12">
        <f t="shared" si="47"/>
        <v>984</v>
      </c>
      <c r="E996" s="10" t="str">
        <f t="shared" si="45"/>
        <v/>
      </c>
      <c r="I996" s="53" t="str">
        <f t="shared" si="46"/>
        <v/>
      </c>
      <c r="N996" s="8">
        <v>0</v>
      </c>
      <c r="Q996" s="1"/>
      <c r="R996" s="1"/>
      <c r="S996" s="1"/>
      <c r="T996" s="8"/>
      <c r="U996" s="8"/>
      <c r="V996" s="1"/>
      <c r="W996" s="1"/>
      <c r="X996" s="1"/>
      <c r="Z996" s="8"/>
    </row>
    <row r="997" spans="1:26" x14ac:dyDescent="0.2">
      <c r="A997" s="12">
        <f t="shared" si="47"/>
        <v>985</v>
      </c>
      <c r="E997" s="10" t="str">
        <f t="shared" si="45"/>
        <v/>
      </c>
      <c r="I997" s="53" t="str">
        <f t="shared" si="46"/>
        <v/>
      </c>
      <c r="N997" s="8">
        <v>0</v>
      </c>
      <c r="Q997" s="1"/>
      <c r="R997" s="1"/>
      <c r="S997" s="1"/>
      <c r="T997" s="8"/>
      <c r="U997" s="8"/>
      <c r="V997" s="1"/>
      <c r="W997" s="1"/>
      <c r="X997" s="1"/>
      <c r="Z997" s="8"/>
    </row>
    <row r="998" spans="1:26" x14ac:dyDescent="0.2">
      <c r="A998" s="12">
        <f t="shared" si="47"/>
        <v>986</v>
      </c>
      <c r="E998" s="10" t="str">
        <f t="shared" si="45"/>
        <v/>
      </c>
      <c r="I998" s="53" t="str">
        <f t="shared" si="46"/>
        <v/>
      </c>
      <c r="N998" s="8">
        <v>0</v>
      </c>
      <c r="Q998" s="1"/>
      <c r="R998" s="1"/>
      <c r="S998" s="1"/>
      <c r="T998" s="8"/>
      <c r="U998" s="8"/>
      <c r="V998" s="1"/>
      <c r="W998" s="1"/>
      <c r="X998" s="1"/>
      <c r="Z998" s="8"/>
    </row>
    <row r="999" spans="1:26" x14ac:dyDescent="0.2">
      <c r="A999" s="12">
        <f t="shared" si="47"/>
        <v>987</v>
      </c>
      <c r="E999" s="10" t="str">
        <f t="shared" si="45"/>
        <v/>
      </c>
      <c r="I999" s="53" t="str">
        <f t="shared" si="46"/>
        <v/>
      </c>
      <c r="N999" s="8">
        <v>0</v>
      </c>
      <c r="Q999" s="1"/>
      <c r="R999" s="1"/>
      <c r="S999" s="1"/>
      <c r="T999" s="8"/>
      <c r="U999" s="8"/>
      <c r="V999" s="1"/>
      <c r="W999" s="1"/>
      <c r="X999" s="1"/>
      <c r="Z999" s="8"/>
    </row>
    <row r="1000" spans="1:26" x14ac:dyDescent="0.2">
      <c r="A1000" s="12">
        <f t="shared" si="47"/>
        <v>988</v>
      </c>
      <c r="E1000" s="10" t="str">
        <f t="shared" si="45"/>
        <v/>
      </c>
      <c r="I1000" s="53" t="str">
        <f t="shared" si="46"/>
        <v/>
      </c>
      <c r="N1000" s="8">
        <v>0</v>
      </c>
      <c r="Q1000" s="1"/>
      <c r="R1000" s="1"/>
      <c r="S1000" s="1"/>
      <c r="T1000" s="8"/>
      <c r="U1000" s="8"/>
      <c r="V1000" s="1"/>
      <c r="W1000" s="1"/>
      <c r="X1000" s="1"/>
      <c r="Z1000" s="8"/>
    </row>
    <row r="1001" spans="1:26" x14ac:dyDescent="0.2">
      <c r="A1001" s="12">
        <f t="shared" si="47"/>
        <v>989</v>
      </c>
      <c r="E1001" s="10" t="str">
        <f t="shared" si="45"/>
        <v/>
      </c>
      <c r="I1001" s="53" t="str">
        <f t="shared" si="46"/>
        <v/>
      </c>
      <c r="N1001" s="8">
        <v>0</v>
      </c>
      <c r="Q1001" s="1"/>
      <c r="R1001" s="1"/>
      <c r="S1001" s="1"/>
      <c r="T1001" s="8"/>
      <c r="U1001" s="8"/>
      <c r="V1001" s="1"/>
      <c r="W1001" s="1"/>
      <c r="X1001" s="1"/>
      <c r="Z1001" s="8"/>
    </row>
    <row r="1002" spans="1:26" x14ac:dyDescent="0.2">
      <c r="A1002" s="12">
        <f t="shared" si="47"/>
        <v>990</v>
      </c>
      <c r="E1002" s="10" t="str">
        <f t="shared" si="45"/>
        <v/>
      </c>
      <c r="I1002" s="53" t="str">
        <f t="shared" si="46"/>
        <v/>
      </c>
      <c r="N1002" s="8">
        <v>0</v>
      </c>
      <c r="Q1002" s="1"/>
      <c r="R1002" s="1"/>
      <c r="S1002" s="1"/>
      <c r="T1002" s="8"/>
      <c r="U1002" s="8"/>
      <c r="V1002" s="1"/>
      <c r="W1002" s="1"/>
      <c r="X1002" s="1"/>
      <c r="Z1002" s="8"/>
    </row>
    <row r="1003" spans="1:26" x14ac:dyDescent="0.2">
      <c r="A1003" s="12">
        <f t="shared" si="47"/>
        <v>991</v>
      </c>
      <c r="E1003" s="10" t="str">
        <f t="shared" si="45"/>
        <v/>
      </c>
      <c r="I1003" s="53" t="str">
        <f t="shared" si="46"/>
        <v/>
      </c>
      <c r="N1003" s="8">
        <v>0</v>
      </c>
      <c r="Q1003" s="1"/>
      <c r="R1003" s="1"/>
      <c r="S1003" s="1"/>
      <c r="T1003" s="8"/>
      <c r="U1003" s="8"/>
      <c r="V1003" s="1"/>
      <c r="W1003" s="1"/>
      <c r="X1003" s="1"/>
      <c r="Z1003" s="8"/>
    </row>
    <row r="1004" spans="1:26" x14ac:dyDescent="0.2">
      <c r="A1004" s="12">
        <f t="shared" si="47"/>
        <v>992</v>
      </c>
      <c r="E1004" s="10" t="str">
        <f t="shared" si="45"/>
        <v/>
      </c>
      <c r="I1004" s="53" t="str">
        <f t="shared" si="46"/>
        <v/>
      </c>
      <c r="N1004" s="8">
        <v>0</v>
      </c>
      <c r="Q1004" s="1"/>
      <c r="R1004" s="1"/>
      <c r="S1004" s="1"/>
      <c r="T1004" s="8"/>
      <c r="U1004" s="8"/>
      <c r="V1004" s="1"/>
      <c r="W1004" s="1"/>
      <c r="X1004" s="1"/>
      <c r="Z1004" s="8"/>
    </row>
    <row r="1005" spans="1:26" x14ac:dyDescent="0.2">
      <c r="A1005" s="12">
        <f t="shared" si="47"/>
        <v>993</v>
      </c>
      <c r="E1005" s="10" t="str">
        <f t="shared" si="45"/>
        <v/>
      </c>
      <c r="I1005" s="53" t="str">
        <f t="shared" si="46"/>
        <v/>
      </c>
      <c r="N1005" s="8">
        <v>0</v>
      </c>
      <c r="Q1005" s="1"/>
      <c r="R1005" s="1"/>
      <c r="S1005" s="1"/>
      <c r="T1005" s="8"/>
      <c r="U1005" s="8"/>
      <c r="V1005" s="1"/>
      <c r="W1005" s="1"/>
      <c r="X1005" s="1"/>
      <c r="Z1005" s="8"/>
    </row>
    <row r="1006" spans="1:26" x14ac:dyDescent="0.2">
      <c r="A1006" s="12">
        <f t="shared" si="47"/>
        <v>994</v>
      </c>
      <c r="E1006" s="10" t="str">
        <f t="shared" si="45"/>
        <v/>
      </c>
      <c r="I1006" s="53" t="str">
        <f t="shared" si="46"/>
        <v/>
      </c>
      <c r="N1006" s="8">
        <v>0</v>
      </c>
      <c r="Q1006" s="1"/>
      <c r="R1006" s="1"/>
      <c r="S1006" s="1"/>
      <c r="T1006" s="8"/>
      <c r="U1006" s="8"/>
      <c r="V1006" s="1"/>
      <c r="W1006" s="1"/>
      <c r="X1006" s="1"/>
      <c r="Z1006" s="8"/>
    </row>
    <row r="1007" spans="1:26" x14ac:dyDescent="0.2">
      <c r="A1007" s="12">
        <f t="shared" si="47"/>
        <v>995</v>
      </c>
      <c r="E1007" s="10" t="str">
        <f t="shared" si="45"/>
        <v/>
      </c>
      <c r="I1007" s="53" t="str">
        <f t="shared" si="46"/>
        <v/>
      </c>
      <c r="N1007" s="8">
        <v>0</v>
      </c>
      <c r="Q1007" s="1"/>
      <c r="R1007" s="1"/>
      <c r="S1007" s="1"/>
      <c r="T1007" s="8"/>
      <c r="U1007" s="8"/>
      <c r="V1007" s="1"/>
      <c r="W1007" s="1"/>
      <c r="X1007" s="1"/>
      <c r="Z1007" s="8"/>
    </row>
    <row r="1008" spans="1:26" x14ac:dyDescent="0.2">
      <c r="A1008" s="12">
        <f t="shared" si="47"/>
        <v>996</v>
      </c>
      <c r="E1008" s="10" t="str">
        <f t="shared" si="45"/>
        <v/>
      </c>
      <c r="I1008" s="53" t="str">
        <f t="shared" si="46"/>
        <v/>
      </c>
      <c r="N1008" s="8">
        <v>0</v>
      </c>
      <c r="Q1008" s="1"/>
      <c r="R1008" s="1"/>
      <c r="S1008" s="1"/>
      <c r="T1008" s="8"/>
      <c r="U1008" s="8"/>
      <c r="V1008" s="1"/>
      <c r="W1008" s="1"/>
      <c r="X1008" s="1"/>
      <c r="Z1008" s="8"/>
    </row>
    <row r="1009" spans="1:26" x14ac:dyDescent="0.2">
      <c r="A1009" s="12">
        <f t="shared" si="47"/>
        <v>997</v>
      </c>
      <c r="E1009" s="10" t="str">
        <f t="shared" si="45"/>
        <v/>
      </c>
      <c r="I1009" s="53" t="str">
        <f t="shared" si="46"/>
        <v/>
      </c>
      <c r="N1009" s="8">
        <v>0</v>
      </c>
      <c r="Q1009" s="1"/>
      <c r="R1009" s="1"/>
      <c r="S1009" s="1"/>
      <c r="T1009" s="8"/>
      <c r="U1009" s="8"/>
      <c r="V1009" s="1"/>
      <c r="W1009" s="1"/>
      <c r="X1009" s="1"/>
      <c r="Z1009" s="8"/>
    </row>
    <row r="1010" spans="1:26" x14ac:dyDescent="0.2">
      <c r="A1010" s="12">
        <f t="shared" si="47"/>
        <v>998</v>
      </c>
      <c r="E1010" s="10" t="str">
        <f t="shared" si="45"/>
        <v/>
      </c>
      <c r="I1010" s="53" t="str">
        <f t="shared" si="46"/>
        <v/>
      </c>
      <c r="N1010" s="8">
        <v>0</v>
      </c>
      <c r="Q1010" s="1"/>
      <c r="R1010" s="1"/>
      <c r="S1010" s="1"/>
      <c r="T1010" s="8"/>
      <c r="U1010" s="8"/>
      <c r="V1010" s="1"/>
      <c r="W1010" s="1"/>
      <c r="X1010" s="1"/>
      <c r="Z1010" s="8"/>
    </row>
    <row r="1011" spans="1:26" x14ac:dyDescent="0.2">
      <c r="A1011" s="12">
        <f t="shared" si="47"/>
        <v>999</v>
      </c>
      <c r="E1011" s="10" t="str">
        <f t="shared" si="45"/>
        <v/>
      </c>
      <c r="I1011" s="53" t="str">
        <f t="shared" si="46"/>
        <v/>
      </c>
      <c r="N1011" s="8">
        <v>0</v>
      </c>
      <c r="Q1011" s="1"/>
      <c r="R1011" s="1"/>
      <c r="S1011" s="1"/>
      <c r="T1011" s="8"/>
      <c r="U1011" s="8"/>
      <c r="V1011" s="1"/>
      <c r="W1011" s="1"/>
      <c r="X1011" s="1"/>
      <c r="Z1011" s="8"/>
    </row>
    <row r="1012" spans="1:26" x14ac:dyDescent="0.2">
      <c r="A1012" s="12">
        <f t="shared" si="47"/>
        <v>1000</v>
      </c>
      <c r="E1012" s="10" t="str">
        <f t="shared" si="45"/>
        <v/>
      </c>
      <c r="I1012" s="53" t="str">
        <f t="shared" si="46"/>
        <v/>
      </c>
      <c r="N1012" s="8">
        <v>0</v>
      </c>
      <c r="Q1012" s="1"/>
      <c r="R1012" s="1"/>
      <c r="S1012" s="1"/>
      <c r="T1012" s="8"/>
      <c r="U1012" s="8"/>
      <c r="V1012" s="1"/>
      <c r="W1012" s="1"/>
      <c r="X1012" s="1"/>
      <c r="Z1012" s="8"/>
    </row>
    <row r="1013" spans="1:26" x14ac:dyDescent="0.2">
      <c r="A1013" s="12">
        <f t="shared" si="47"/>
        <v>1001</v>
      </c>
      <c r="E1013" s="10" t="str">
        <f t="shared" si="45"/>
        <v/>
      </c>
      <c r="I1013" s="53" t="str">
        <f t="shared" si="46"/>
        <v/>
      </c>
      <c r="N1013" s="8">
        <v>0</v>
      </c>
      <c r="Q1013" s="1"/>
      <c r="R1013" s="1"/>
      <c r="S1013" s="1"/>
      <c r="T1013" s="8"/>
      <c r="U1013" s="8"/>
      <c r="V1013" s="1"/>
      <c r="W1013" s="1"/>
      <c r="X1013" s="1"/>
      <c r="Z1013" s="8"/>
    </row>
    <row r="1014" spans="1:26" x14ac:dyDescent="0.2">
      <c r="A1014" s="12">
        <f t="shared" si="47"/>
        <v>1002</v>
      </c>
      <c r="E1014" s="10" t="str">
        <f t="shared" si="45"/>
        <v/>
      </c>
      <c r="I1014" s="53" t="str">
        <f t="shared" si="46"/>
        <v/>
      </c>
      <c r="N1014" s="8">
        <v>0</v>
      </c>
      <c r="Q1014" s="1"/>
      <c r="R1014" s="1"/>
      <c r="S1014" s="1"/>
      <c r="T1014" s="8"/>
      <c r="U1014" s="8"/>
      <c r="V1014" s="1"/>
      <c r="W1014" s="1"/>
      <c r="X1014" s="1"/>
      <c r="Z1014" s="8"/>
    </row>
    <row r="1015" spans="1:26" x14ac:dyDescent="0.2">
      <c r="A1015" s="12">
        <f t="shared" si="47"/>
        <v>1003</v>
      </c>
      <c r="E1015" s="10" t="str">
        <f t="shared" si="45"/>
        <v/>
      </c>
      <c r="I1015" s="53" t="str">
        <f t="shared" si="46"/>
        <v/>
      </c>
      <c r="N1015" s="8">
        <v>0</v>
      </c>
      <c r="Q1015" s="1"/>
      <c r="R1015" s="1"/>
      <c r="S1015" s="1"/>
      <c r="T1015" s="8"/>
      <c r="U1015" s="8"/>
      <c r="V1015" s="1"/>
      <c r="W1015" s="1"/>
      <c r="X1015" s="1"/>
      <c r="Z1015" s="8"/>
    </row>
    <row r="1016" spans="1:26" x14ac:dyDescent="0.2">
      <c r="A1016" s="12">
        <f t="shared" si="47"/>
        <v>1004</v>
      </c>
      <c r="E1016" s="10" t="str">
        <f t="shared" si="45"/>
        <v/>
      </c>
      <c r="I1016" s="53" t="str">
        <f t="shared" si="46"/>
        <v/>
      </c>
      <c r="N1016" s="8">
        <v>0</v>
      </c>
      <c r="Q1016" s="1"/>
      <c r="R1016" s="1"/>
      <c r="S1016" s="1"/>
      <c r="T1016" s="8"/>
      <c r="U1016" s="8"/>
      <c r="V1016" s="1"/>
      <c r="W1016" s="1"/>
      <c r="X1016" s="1"/>
      <c r="Z1016" s="8"/>
    </row>
    <row r="1017" spans="1:26" x14ac:dyDescent="0.2">
      <c r="A1017" s="12">
        <f t="shared" si="47"/>
        <v>1005</v>
      </c>
      <c r="E1017" s="10" t="str">
        <f t="shared" si="45"/>
        <v/>
      </c>
      <c r="I1017" s="53" t="str">
        <f t="shared" si="46"/>
        <v/>
      </c>
      <c r="N1017" s="8">
        <v>0</v>
      </c>
      <c r="Q1017" s="1"/>
      <c r="R1017" s="1"/>
      <c r="S1017" s="1"/>
      <c r="T1017" s="8"/>
      <c r="U1017" s="8"/>
      <c r="V1017" s="1"/>
      <c r="W1017" s="1"/>
      <c r="X1017" s="1"/>
      <c r="Z1017" s="8"/>
    </row>
    <row r="1018" spans="1:26" x14ac:dyDescent="0.2">
      <c r="A1018" s="12">
        <f t="shared" si="47"/>
        <v>1006</v>
      </c>
      <c r="E1018" s="10" t="str">
        <f t="shared" si="45"/>
        <v/>
      </c>
      <c r="I1018" s="53" t="str">
        <f t="shared" si="46"/>
        <v/>
      </c>
      <c r="N1018" s="8">
        <v>0</v>
      </c>
      <c r="Q1018" s="1"/>
      <c r="R1018" s="1"/>
      <c r="S1018" s="1"/>
      <c r="T1018" s="8"/>
      <c r="U1018" s="8"/>
      <c r="V1018" s="1"/>
      <c r="W1018" s="1"/>
      <c r="X1018" s="1"/>
      <c r="Z1018" s="8"/>
    </row>
    <row r="1019" spans="1:26" x14ac:dyDescent="0.2">
      <c r="A1019" s="12">
        <f t="shared" si="47"/>
        <v>1007</v>
      </c>
      <c r="E1019" s="10" t="str">
        <f t="shared" si="45"/>
        <v/>
      </c>
      <c r="I1019" s="53" t="str">
        <f t="shared" si="46"/>
        <v/>
      </c>
      <c r="N1019" s="8">
        <v>0</v>
      </c>
      <c r="Q1019" s="1"/>
      <c r="R1019" s="1"/>
      <c r="S1019" s="1"/>
      <c r="T1019" s="8"/>
      <c r="U1019" s="8"/>
      <c r="V1019" s="1"/>
      <c r="W1019" s="1"/>
      <c r="X1019" s="1"/>
      <c r="Z1019" s="8"/>
    </row>
    <row r="1020" spans="1:26" x14ac:dyDescent="0.2">
      <c r="A1020" s="12">
        <f t="shared" si="47"/>
        <v>1008</v>
      </c>
      <c r="E1020" s="10" t="str">
        <f t="shared" si="45"/>
        <v/>
      </c>
      <c r="I1020" s="53" t="str">
        <f t="shared" si="46"/>
        <v/>
      </c>
      <c r="N1020" s="8">
        <v>0</v>
      </c>
      <c r="Q1020" s="1"/>
      <c r="R1020" s="1"/>
      <c r="S1020" s="1"/>
      <c r="T1020" s="8"/>
      <c r="U1020" s="8"/>
      <c r="V1020" s="1"/>
      <c r="W1020" s="1"/>
      <c r="X1020" s="1"/>
      <c r="Z1020" s="8"/>
    </row>
    <row r="1021" spans="1:26" x14ac:dyDescent="0.2">
      <c r="A1021" s="12">
        <f t="shared" si="47"/>
        <v>1009</v>
      </c>
      <c r="E1021" s="10" t="str">
        <f t="shared" si="45"/>
        <v/>
      </c>
      <c r="I1021" s="53" t="str">
        <f t="shared" si="46"/>
        <v/>
      </c>
      <c r="N1021" s="8">
        <v>0</v>
      </c>
      <c r="Q1021" s="1"/>
      <c r="R1021" s="1"/>
      <c r="S1021" s="1"/>
      <c r="T1021" s="8"/>
      <c r="U1021" s="8"/>
      <c r="V1021" s="1"/>
      <c r="W1021" s="1"/>
      <c r="X1021" s="1"/>
      <c r="Z1021" s="8"/>
    </row>
    <row r="1022" spans="1:26" x14ac:dyDescent="0.2">
      <c r="A1022" s="12">
        <f t="shared" si="47"/>
        <v>1010</v>
      </c>
      <c r="E1022" s="10" t="str">
        <f t="shared" si="45"/>
        <v/>
      </c>
      <c r="I1022" s="53" t="str">
        <f t="shared" si="46"/>
        <v/>
      </c>
      <c r="N1022" s="8">
        <v>0</v>
      </c>
      <c r="Q1022" s="1"/>
      <c r="R1022" s="1"/>
      <c r="S1022" s="1"/>
      <c r="T1022" s="8"/>
      <c r="U1022" s="8"/>
      <c r="V1022" s="1"/>
      <c r="W1022" s="1"/>
      <c r="X1022" s="1"/>
      <c r="Z1022" s="8"/>
    </row>
    <row r="1023" spans="1:26" x14ac:dyDescent="0.2">
      <c r="A1023" s="12">
        <f t="shared" si="47"/>
        <v>1011</v>
      </c>
      <c r="E1023" s="10" t="str">
        <f t="shared" si="45"/>
        <v/>
      </c>
      <c r="I1023" s="53" t="str">
        <f t="shared" si="46"/>
        <v/>
      </c>
      <c r="N1023" s="8">
        <v>0</v>
      </c>
      <c r="Q1023" s="1"/>
      <c r="R1023" s="1"/>
      <c r="S1023" s="1"/>
      <c r="T1023" s="8"/>
      <c r="U1023" s="8"/>
      <c r="V1023" s="1"/>
      <c r="W1023" s="1"/>
      <c r="X1023" s="1"/>
      <c r="Z1023" s="8"/>
    </row>
    <row r="1024" spans="1:26" x14ac:dyDescent="0.2">
      <c r="A1024" s="12">
        <f t="shared" si="47"/>
        <v>1012</v>
      </c>
      <c r="E1024" s="10" t="str">
        <f t="shared" si="45"/>
        <v/>
      </c>
      <c r="I1024" s="53" t="str">
        <f t="shared" si="46"/>
        <v/>
      </c>
      <c r="N1024" s="8">
        <v>0</v>
      </c>
      <c r="Q1024" s="1"/>
      <c r="R1024" s="1"/>
      <c r="S1024" s="1"/>
      <c r="T1024" s="8"/>
      <c r="U1024" s="8"/>
      <c r="V1024" s="1"/>
      <c r="W1024" s="1"/>
      <c r="X1024" s="1"/>
      <c r="Z1024" s="8"/>
    </row>
    <row r="1025" spans="1:26" x14ac:dyDescent="0.2">
      <c r="A1025" s="12">
        <f t="shared" si="47"/>
        <v>1013</v>
      </c>
      <c r="E1025" s="10" t="str">
        <f t="shared" si="45"/>
        <v/>
      </c>
      <c r="I1025" s="53" t="str">
        <f t="shared" si="46"/>
        <v/>
      </c>
      <c r="N1025" s="8">
        <v>0</v>
      </c>
      <c r="Q1025" s="1"/>
      <c r="R1025" s="1"/>
      <c r="S1025" s="1"/>
      <c r="T1025" s="8"/>
      <c r="U1025" s="8"/>
      <c r="V1025" s="1"/>
      <c r="W1025" s="1"/>
      <c r="X1025" s="1"/>
      <c r="Z1025" s="8"/>
    </row>
    <row r="1026" spans="1:26" x14ac:dyDescent="0.2">
      <c r="A1026" s="12">
        <f t="shared" si="47"/>
        <v>1014</v>
      </c>
      <c r="E1026" s="10" t="str">
        <f t="shared" si="45"/>
        <v/>
      </c>
      <c r="I1026" s="53" t="str">
        <f t="shared" si="46"/>
        <v/>
      </c>
      <c r="N1026" s="8">
        <v>0</v>
      </c>
      <c r="Q1026" s="1"/>
      <c r="R1026" s="1"/>
      <c r="S1026" s="1"/>
      <c r="T1026" s="8"/>
      <c r="U1026" s="8"/>
      <c r="V1026" s="1"/>
      <c r="W1026" s="1"/>
      <c r="X1026" s="1"/>
      <c r="Z1026" s="8"/>
    </row>
    <row r="1027" spans="1:26" x14ac:dyDescent="0.2">
      <c r="A1027" s="12">
        <f t="shared" si="47"/>
        <v>1015</v>
      </c>
      <c r="E1027" s="10" t="str">
        <f t="shared" si="45"/>
        <v/>
      </c>
      <c r="I1027" s="53" t="str">
        <f t="shared" si="46"/>
        <v/>
      </c>
      <c r="N1027" s="8">
        <v>0</v>
      </c>
      <c r="Q1027" s="1"/>
      <c r="R1027" s="1"/>
      <c r="S1027" s="1"/>
      <c r="T1027" s="8"/>
      <c r="U1027" s="8"/>
      <c r="V1027" s="1"/>
      <c r="W1027" s="1"/>
      <c r="X1027" s="1"/>
      <c r="Z1027" s="8"/>
    </row>
    <row r="1028" spans="1:26" x14ac:dyDescent="0.2">
      <c r="A1028" s="12">
        <f t="shared" si="47"/>
        <v>1016</v>
      </c>
      <c r="E1028" s="10" t="str">
        <f t="shared" si="45"/>
        <v/>
      </c>
      <c r="I1028" s="53" t="str">
        <f t="shared" si="46"/>
        <v/>
      </c>
      <c r="N1028" s="8">
        <v>0</v>
      </c>
      <c r="Q1028" s="1"/>
      <c r="R1028" s="1"/>
      <c r="S1028" s="1"/>
      <c r="T1028" s="8"/>
      <c r="U1028" s="8"/>
      <c r="V1028" s="1"/>
      <c r="W1028" s="1"/>
      <c r="X1028" s="1"/>
      <c r="Z1028" s="8"/>
    </row>
    <row r="1029" spans="1:26" x14ac:dyDescent="0.2">
      <c r="A1029" s="12">
        <f t="shared" si="47"/>
        <v>1017</v>
      </c>
      <c r="E1029" s="10" t="str">
        <f t="shared" si="45"/>
        <v/>
      </c>
      <c r="I1029" s="53" t="str">
        <f t="shared" si="46"/>
        <v/>
      </c>
      <c r="N1029" s="8">
        <v>0</v>
      </c>
      <c r="Q1029" s="1"/>
      <c r="R1029" s="1"/>
      <c r="S1029" s="1"/>
      <c r="T1029" s="8"/>
      <c r="U1029" s="8"/>
      <c r="V1029" s="1"/>
      <c r="W1029" s="1"/>
      <c r="X1029" s="1"/>
      <c r="Z1029" s="8"/>
    </row>
    <row r="1030" spans="1:26" x14ac:dyDescent="0.2">
      <c r="A1030" s="12">
        <f t="shared" si="47"/>
        <v>1018</v>
      </c>
      <c r="E1030" s="10" t="str">
        <f t="shared" si="45"/>
        <v/>
      </c>
      <c r="I1030" s="53" t="str">
        <f t="shared" si="46"/>
        <v/>
      </c>
      <c r="N1030" s="8">
        <v>0</v>
      </c>
      <c r="Q1030" s="1"/>
      <c r="R1030" s="1"/>
      <c r="S1030" s="1"/>
      <c r="T1030" s="8"/>
      <c r="U1030" s="8"/>
      <c r="V1030" s="1"/>
      <c r="W1030" s="1"/>
      <c r="X1030" s="1"/>
      <c r="Z1030" s="8"/>
    </row>
    <row r="1031" spans="1:26" x14ac:dyDescent="0.2">
      <c r="A1031" s="12">
        <f t="shared" si="47"/>
        <v>1019</v>
      </c>
      <c r="E1031" s="10" t="str">
        <f t="shared" si="45"/>
        <v/>
      </c>
      <c r="I1031" s="53" t="str">
        <f t="shared" si="46"/>
        <v/>
      </c>
      <c r="N1031" s="8">
        <v>0</v>
      </c>
      <c r="Q1031" s="1"/>
      <c r="R1031" s="1"/>
      <c r="S1031" s="1"/>
      <c r="T1031" s="8"/>
      <c r="U1031" s="8"/>
      <c r="V1031" s="1"/>
      <c r="W1031" s="1"/>
      <c r="X1031" s="1"/>
      <c r="Z1031" s="8"/>
    </row>
    <row r="1032" spans="1:26" x14ac:dyDescent="0.2">
      <c r="A1032" s="12">
        <f t="shared" si="47"/>
        <v>1020</v>
      </c>
      <c r="E1032" s="10" t="str">
        <f t="shared" si="45"/>
        <v/>
      </c>
      <c r="I1032" s="53" t="str">
        <f t="shared" si="46"/>
        <v/>
      </c>
      <c r="N1032" s="8">
        <v>0</v>
      </c>
      <c r="Q1032" s="1"/>
      <c r="R1032" s="1"/>
      <c r="S1032" s="1"/>
      <c r="T1032" s="8"/>
      <c r="U1032" s="8"/>
      <c r="V1032" s="1"/>
      <c r="W1032" s="1"/>
      <c r="X1032" s="1"/>
      <c r="Z1032" s="8"/>
    </row>
    <row r="1033" spans="1:26" x14ac:dyDescent="0.2">
      <c r="A1033" s="12">
        <f t="shared" si="47"/>
        <v>1021</v>
      </c>
      <c r="E1033" s="10" t="str">
        <f t="shared" si="45"/>
        <v/>
      </c>
      <c r="I1033" s="53" t="str">
        <f t="shared" si="46"/>
        <v/>
      </c>
      <c r="N1033" s="8">
        <v>0</v>
      </c>
      <c r="Q1033" s="1"/>
      <c r="R1033" s="1"/>
      <c r="S1033" s="1"/>
      <c r="T1033" s="8"/>
      <c r="U1033" s="8"/>
      <c r="V1033" s="1"/>
      <c r="W1033" s="1"/>
      <c r="X1033" s="1"/>
      <c r="Z1033" s="8"/>
    </row>
    <row r="1034" spans="1:26" x14ac:dyDescent="0.2">
      <c r="A1034" s="12">
        <f t="shared" si="47"/>
        <v>1022</v>
      </c>
      <c r="E1034" s="10" t="str">
        <f t="shared" si="45"/>
        <v/>
      </c>
      <c r="I1034" s="53" t="str">
        <f t="shared" si="46"/>
        <v/>
      </c>
      <c r="N1034" s="8">
        <v>0</v>
      </c>
      <c r="Q1034" s="1"/>
      <c r="R1034" s="1"/>
      <c r="S1034" s="1"/>
      <c r="T1034" s="8"/>
      <c r="U1034" s="8"/>
      <c r="V1034" s="1"/>
      <c r="W1034" s="1"/>
      <c r="X1034" s="1"/>
      <c r="Z1034" s="8"/>
    </row>
    <row r="1035" spans="1:26" x14ac:dyDescent="0.2">
      <c r="A1035" s="12">
        <f t="shared" si="47"/>
        <v>1023</v>
      </c>
      <c r="E1035" s="10" t="str">
        <f t="shared" si="45"/>
        <v/>
      </c>
      <c r="I1035" s="53" t="str">
        <f t="shared" si="46"/>
        <v/>
      </c>
      <c r="N1035" s="8">
        <v>0</v>
      </c>
      <c r="Q1035" s="1"/>
      <c r="R1035" s="1"/>
      <c r="S1035" s="1"/>
      <c r="T1035" s="8"/>
      <c r="U1035" s="8"/>
      <c r="V1035" s="1"/>
      <c r="W1035" s="1"/>
      <c r="X1035" s="1"/>
      <c r="Z1035" s="8"/>
    </row>
    <row r="1036" spans="1:26" x14ac:dyDescent="0.2">
      <c r="A1036" s="12">
        <f t="shared" si="47"/>
        <v>1024</v>
      </c>
      <c r="E1036" s="10" t="str">
        <f t="shared" si="45"/>
        <v/>
      </c>
      <c r="I1036" s="53" t="str">
        <f t="shared" si="46"/>
        <v/>
      </c>
      <c r="N1036" s="8">
        <v>0</v>
      </c>
      <c r="Q1036" s="1"/>
      <c r="R1036" s="1"/>
      <c r="S1036" s="1"/>
      <c r="T1036" s="8"/>
      <c r="U1036" s="8"/>
      <c r="V1036" s="1"/>
      <c r="W1036" s="1"/>
      <c r="X1036" s="1"/>
      <c r="Z1036" s="8"/>
    </row>
    <row r="1037" spans="1:26" x14ac:dyDescent="0.2">
      <c r="A1037" s="12">
        <f t="shared" si="47"/>
        <v>1025</v>
      </c>
      <c r="E1037" s="10" t="str">
        <f t="shared" ref="E1037:E1100" si="48">IF($C$8&gt;=A1037,$E$1&amp;" "&amp;A1037,"")</f>
        <v/>
      </c>
      <c r="I1037" s="53" t="str">
        <f t="shared" si="46"/>
        <v/>
      </c>
      <c r="N1037" s="8">
        <v>0</v>
      </c>
      <c r="Q1037" s="1"/>
      <c r="R1037" s="1"/>
      <c r="S1037" s="1"/>
      <c r="T1037" s="8"/>
      <c r="U1037" s="8"/>
      <c r="V1037" s="1"/>
      <c r="W1037" s="1"/>
      <c r="X1037" s="1"/>
      <c r="Z1037" s="8"/>
    </row>
    <row r="1038" spans="1:26" x14ac:dyDescent="0.2">
      <c r="A1038" s="12">
        <f t="shared" si="47"/>
        <v>1026</v>
      </c>
      <c r="E1038" s="10" t="str">
        <f t="shared" si="48"/>
        <v/>
      </c>
      <c r="I1038" s="53" t="str">
        <f t="shared" ref="I1038:I1101" si="49">IF(E1038="","",F1038-G1038-H1038)</f>
        <v/>
      </c>
      <c r="N1038" s="8">
        <v>0</v>
      </c>
      <c r="Q1038" s="1"/>
      <c r="R1038" s="1"/>
      <c r="S1038" s="1"/>
      <c r="T1038" s="8"/>
      <c r="U1038" s="8"/>
      <c r="V1038" s="1"/>
      <c r="W1038" s="1"/>
      <c r="X1038" s="1"/>
      <c r="Z1038" s="8"/>
    </row>
    <row r="1039" spans="1:26" x14ac:dyDescent="0.2">
      <c r="A1039" s="12">
        <f t="shared" ref="A1039:A1102" si="50">A1038+1</f>
        <v>1027</v>
      </c>
      <c r="E1039" s="10" t="str">
        <f t="shared" si="48"/>
        <v/>
      </c>
      <c r="I1039" s="53" t="str">
        <f t="shared" si="49"/>
        <v/>
      </c>
      <c r="N1039" s="8">
        <v>0</v>
      </c>
      <c r="Q1039" s="1"/>
      <c r="R1039" s="1"/>
      <c r="S1039" s="1"/>
      <c r="T1039" s="8"/>
      <c r="U1039" s="8"/>
      <c r="V1039" s="1"/>
      <c r="W1039" s="1"/>
      <c r="X1039" s="1"/>
      <c r="Z1039" s="8"/>
    </row>
    <row r="1040" spans="1:26" x14ac:dyDescent="0.2">
      <c r="A1040" s="12">
        <f t="shared" si="50"/>
        <v>1028</v>
      </c>
      <c r="E1040" s="10" t="str">
        <f t="shared" si="48"/>
        <v/>
      </c>
      <c r="I1040" s="53" t="str">
        <f t="shared" si="49"/>
        <v/>
      </c>
      <c r="N1040" s="8">
        <v>0</v>
      </c>
      <c r="Q1040" s="1"/>
      <c r="R1040" s="1"/>
      <c r="S1040" s="1"/>
      <c r="T1040" s="8"/>
      <c r="U1040" s="8"/>
      <c r="V1040" s="1"/>
      <c r="W1040" s="1"/>
      <c r="X1040" s="1"/>
      <c r="Z1040" s="8"/>
    </row>
    <row r="1041" spans="1:26" x14ac:dyDescent="0.2">
      <c r="A1041" s="12">
        <f t="shared" si="50"/>
        <v>1029</v>
      </c>
      <c r="E1041" s="10" t="str">
        <f t="shared" si="48"/>
        <v/>
      </c>
      <c r="I1041" s="53" t="str">
        <f t="shared" si="49"/>
        <v/>
      </c>
      <c r="N1041" s="8">
        <v>0</v>
      </c>
      <c r="Q1041" s="1"/>
      <c r="R1041" s="1"/>
      <c r="S1041" s="1"/>
      <c r="T1041" s="8"/>
      <c r="U1041" s="8"/>
      <c r="V1041" s="1"/>
      <c r="W1041" s="1"/>
      <c r="X1041" s="1"/>
      <c r="Z1041" s="8"/>
    </row>
    <row r="1042" spans="1:26" x14ac:dyDescent="0.2">
      <c r="A1042" s="12">
        <f t="shared" si="50"/>
        <v>1030</v>
      </c>
      <c r="E1042" s="10" t="str">
        <f t="shared" si="48"/>
        <v/>
      </c>
      <c r="I1042" s="53" t="str">
        <f t="shared" si="49"/>
        <v/>
      </c>
      <c r="N1042" s="8">
        <v>0</v>
      </c>
      <c r="Q1042" s="1"/>
      <c r="R1042" s="1"/>
      <c r="S1042" s="1"/>
      <c r="T1042" s="8"/>
      <c r="U1042" s="8"/>
      <c r="V1042" s="1"/>
      <c r="W1042" s="1"/>
      <c r="X1042" s="1"/>
      <c r="Z1042" s="8"/>
    </row>
    <row r="1043" spans="1:26" x14ac:dyDescent="0.2">
      <c r="A1043" s="12">
        <f t="shared" si="50"/>
        <v>1031</v>
      </c>
      <c r="E1043" s="10" t="str">
        <f t="shared" si="48"/>
        <v/>
      </c>
      <c r="I1043" s="53" t="str">
        <f t="shared" si="49"/>
        <v/>
      </c>
      <c r="N1043" s="8">
        <v>0</v>
      </c>
      <c r="Q1043" s="1"/>
      <c r="R1043" s="1"/>
      <c r="S1043" s="1"/>
      <c r="T1043" s="8"/>
      <c r="U1043" s="8"/>
      <c r="V1043" s="1"/>
      <c r="W1043" s="1"/>
      <c r="X1043" s="1"/>
      <c r="Z1043" s="8"/>
    </row>
    <row r="1044" spans="1:26" x14ac:dyDescent="0.2">
      <c r="A1044" s="12">
        <f t="shared" si="50"/>
        <v>1032</v>
      </c>
      <c r="E1044" s="10" t="str">
        <f t="shared" si="48"/>
        <v/>
      </c>
      <c r="I1044" s="53" t="str">
        <f t="shared" si="49"/>
        <v/>
      </c>
      <c r="N1044" s="8">
        <v>0</v>
      </c>
      <c r="Q1044" s="1"/>
      <c r="R1044" s="1"/>
      <c r="S1044" s="1"/>
      <c r="T1044" s="8"/>
      <c r="U1044" s="8"/>
      <c r="V1044" s="1"/>
      <c r="W1044" s="1"/>
      <c r="X1044" s="1"/>
      <c r="Z1044" s="8"/>
    </row>
    <row r="1045" spans="1:26" x14ac:dyDescent="0.2">
      <c r="A1045" s="12">
        <f t="shared" si="50"/>
        <v>1033</v>
      </c>
      <c r="E1045" s="10" t="str">
        <f t="shared" si="48"/>
        <v/>
      </c>
      <c r="I1045" s="53" t="str">
        <f t="shared" si="49"/>
        <v/>
      </c>
      <c r="N1045" s="8">
        <v>0</v>
      </c>
      <c r="Q1045" s="1"/>
      <c r="R1045" s="1"/>
      <c r="S1045" s="1"/>
      <c r="T1045" s="8"/>
      <c r="U1045" s="8"/>
      <c r="V1045" s="1"/>
      <c r="W1045" s="1"/>
      <c r="X1045" s="1"/>
      <c r="Z1045" s="8"/>
    </row>
    <row r="1046" spans="1:26" x14ac:dyDescent="0.2">
      <c r="A1046" s="12">
        <f t="shared" si="50"/>
        <v>1034</v>
      </c>
      <c r="E1046" s="10" t="str">
        <f t="shared" si="48"/>
        <v/>
      </c>
      <c r="I1046" s="53" t="str">
        <f t="shared" si="49"/>
        <v/>
      </c>
      <c r="N1046" s="8">
        <v>0</v>
      </c>
      <c r="Q1046" s="1"/>
      <c r="R1046" s="1"/>
      <c r="S1046" s="1"/>
      <c r="T1046" s="8"/>
      <c r="U1046" s="8"/>
      <c r="V1046" s="1"/>
      <c r="W1046" s="1"/>
      <c r="X1046" s="1"/>
      <c r="Z1046" s="8"/>
    </row>
    <row r="1047" spans="1:26" x14ac:dyDescent="0.2">
      <c r="A1047" s="12">
        <f t="shared" si="50"/>
        <v>1035</v>
      </c>
      <c r="E1047" s="10" t="str">
        <f t="shared" si="48"/>
        <v/>
      </c>
      <c r="I1047" s="53" t="str">
        <f t="shared" si="49"/>
        <v/>
      </c>
      <c r="N1047" s="8">
        <v>0</v>
      </c>
      <c r="Q1047" s="1"/>
      <c r="R1047" s="1"/>
      <c r="S1047" s="1"/>
      <c r="T1047" s="8"/>
      <c r="U1047" s="8"/>
      <c r="V1047" s="1"/>
      <c r="W1047" s="1"/>
      <c r="X1047" s="1"/>
      <c r="Z1047" s="8"/>
    </row>
    <row r="1048" spans="1:26" x14ac:dyDescent="0.2">
      <c r="A1048" s="12">
        <f t="shared" si="50"/>
        <v>1036</v>
      </c>
      <c r="E1048" s="10" t="str">
        <f t="shared" si="48"/>
        <v/>
      </c>
      <c r="I1048" s="53" t="str">
        <f t="shared" si="49"/>
        <v/>
      </c>
      <c r="N1048" s="8">
        <v>0</v>
      </c>
      <c r="Q1048" s="1"/>
      <c r="R1048" s="1"/>
      <c r="S1048" s="1"/>
      <c r="T1048" s="8"/>
      <c r="U1048" s="8"/>
      <c r="V1048" s="1"/>
      <c r="W1048" s="1"/>
      <c r="X1048" s="1"/>
      <c r="Z1048" s="8"/>
    </row>
    <row r="1049" spans="1:26" x14ac:dyDescent="0.2">
      <c r="A1049" s="12">
        <f t="shared" si="50"/>
        <v>1037</v>
      </c>
      <c r="E1049" s="10" t="str">
        <f t="shared" si="48"/>
        <v/>
      </c>
      <c r="I1049" s="53" t="str">
        <f t="shared" si="49"/>
        <v/>
      </c>
      <c r="N1049" s="8">
        <v>0</v>
      </c>
      <c r="Q1049" s="1"/>
      <c r="R1049" s="1"/>
      <c r="S1049" s="1"/>
      <c r="T1049" s="8"/>
      <c r="U1049" s="8"/>
      <c r="V1049" s="1"/>
      <c r="W1049" s="1"/>
      <c r="X1049" s="1"/>
      <c r="Z1049" s="8"/>
    </row>
    <row r="1050" spans="1:26" x14ac:dyDescent="0.2">
      <c r="A1050" s="12">
        <f t="shared" si="50"/>
        <v>1038</v>
      </c>
      <c r="E1050" s="10" t="str">
        <f t="shared" si="48"/>
        <v/>
      </c>
      <c r="I1050" s="53" t="str">
        <f t="shared" si="49"/>
        <v/>
      </c>
      <c r="N1050" s="8">
        <v>0</v>
      </c>
      <c r="Q1050" s="1"/>
      <c r="R1050" s="1"/>
      <c r="S1050" s="1"/>
      <c r="T1050" s="8"/>
      <c r="U1050" s="8"/>
      <c r="V1050" s="1"/>
      <c r="W1050" s="1"/>
      <c r="X1050" s="1"/>
      <c r="Z1050" s="8"/>
    </row>
    <row r="1051" spans="1:26" x14ac:dyDescent="0.2">
      <c r="A1051" s="12">
        <f t="shared" si="50"/>
        <v>1039</v>
      </c>
      <c r="E1051" s="10" t="str">
        <f t="shared" si="48"/>
        <v/>
      </c>
      <c r="I1051" s="53" t="str">
        <f t="shared" si="49"/>
        <v/>
      </c>
      <c r="N1051" s="8">
        <v>0</v>
      </c>
      <c r="Q1051" s="1"/>
      <c r="R1051" s="1"/>
      <c r="S1051" s="1"/>
      <c r="T1051" s="8"/>
      <c r="U1051" s="8"/>
      <c r="V1051" s="1"/>
      <c r="W1051" s="1"/>
      <c r="X1051" s="1"/>
      <c r="Z1051" s="8"/>
    </row>
    <row r="1052" spans="1:26" x14ac:dyDescent="0.2">
      <c r="A1052" s="12">
        <f t="shared" si="50"/>
        <v>1040</v>
      </c>
      <c r="E1052" s="10" t="str">
        <f t="shared" si="48"/>
        <v/>
      </c>
      <c r="I1052" s="53" t="str">
        <f t="shared" si="49"/>
        <v/>
      </c>
      <c r="N1052" s="8">
        <v>0</v>
      </c>
      <c r="Q1052" s="1"/>
      <c r="R1052" s="1"/>
      <c r="S1052" s="1"/>
      <c r="T1052" s="8"/>
      <c r="U1052" s="8"/>
      <c r="V1052" s="1"/>
      <c r="W1052" s="1"/>
      <c r="X1052" s="1"/>
      <c r="Z1052" s="8"/>
    </row>
    <row r="1053" spans="1:26" x14ac:dyDescent="0.2">
      <c r="A1053" s="12">
        <f t="shared" si="50"/>
        <v>1041</v>
      </c>
      <c r="E1053" s="10" t="str">
        <f t="shared" si="48"/>
        <v/>
      </c>
      <c r="I1053" s="53" t="str">
        <f t="shared" si="49"/>
        <v/>
      </c>
      <c r="N1053" s="8">
        <v>0</v>
      </c>
      <c r="Q1053" s="1"/>
      <c r="R1053" s="1"/>
      <c r="S1053" s="1"/>
      <c r="T1053" s="8"/>
      <c r="U1053" s="8"/>
      <c r="V1053" s="1"/>
      <c r="W1053" s="1"/>
      <c r="X1053" s="1"/>
      <c r="Z1053" s="8"/>
    </row>
    <row r="1054" spans="1:26" x14ac:dyDescent="0.2">
      <c r="A1054" s="12">
        <f t="shared" si="50"/>
        <v>1042</v>
      </c>
      <c r="E1054" s="10" t="str">
        <f t="shared" si="48"/>
        <v/>
      </c>
      <c r="I1054" s="53" t="str">
        <f t="shared" si="49"/>
        <v/>
      </c>
      <c r="N1054" s="8">
        <v>0</v>
      </c>
      <c r="Q1054" s="1"/>
      <c r="R1054" s="1"/>
      <c r="S1054" s="1"/>
      <c r="T1054" s="8"/>
      <c r="U1054" s="8"/>
      <c r="V1054" s="1"/>
      <c r="W1054" s="1"/>
      <c r="X1054" s="1"/>
      <c r="Z1054" s="8"/>
    </row>
    <row r="1055" spans="1:26" x14ac:dyDescent="0.2">
      <c r="A1055" s="12">
        <f t="shared" si="50"/>
        <v>1043</v>
      </c>
      <c r="E1055" s="10" t="str">
        <f t="shared" si="48"/>
        <v/>
      </c>
      <c r="I1055" s="53" t="str">
        <f t="shared" si="49"/>
        <v/>
      </c>
      <c r="N1055" s="8">
        <v>0</v>
      </c>
      <c r="Q1055" s="1"/>
      <c r="R1055" s="1"/>
      <c r="S1055" s="1"/>
      <c r="T1055" s="8"/>
      <c r="U1055" s="8"/>
      <c r="V1055" s="1"/>
      <c r="W1055" s="1"/>
      <c r="X1055" s="1"/>
      <c r="Z1055" s="8"/>
    </row>
    <row r="1056" spans="1:26" x14ac:dyDescent="0.2">
      <c r="A1056" s="12">
        <f t="shared" si="50"/>
        <v>1044</v>
      </c>
      <c r="E1056" s="10" t="str">
        <f t="shared" si="48"/>
        <v/>
      </c>
      <c r="I1056" s="53" t="str">
        <f t="shared" si="49"/>
        <v/>
      </c>
      <c r="N1056" s="8">
        <v>0</v>
      </c>
      <c r="Q1056" s="1"/>
      <c r="R1056" s="1"/>
      <c r="S1056" s="1"/>
      <c r="T1056" s="8"/>
      <c r="U1056" s="8"/>
      <c r="V1056" s="1"/>
      <c r="W1056" s="1"/>
      <c r="X1056" s="1"/>
      <c r="Z1056" s="8"/>
    </row>
    <row r="1057" spans="1:26" x14ac:dyDescent="0.2">
      <c r="A1057" s="12">
        <f t="shared" si="50"/>
        <v>1045</v>
      </c>
      <c r="E1057" s="10" t="str">
        <f t="shared" si="48"/>
        <v/>
      </c>
      <c r="I1057" s="53" t="str">
        <f t="shared" si="49"/>
        <v/>
      </c>
      <c r="N1057" s="8">
        <v>0</v>
      </c>
      <c r="Q1057" s="1"/>
      <c r="R1057" s="1"/>
      <c r="S1057" s="1"/>
      <c r="T1057" s="8"/>
      <c r="U1057" s="8"/>
      <c r="V1057" s="1"/>
      <c r="W1057" s="1"/>
      <c r="X1057" s="1"/>
      <c r="Z1057" s="8"/>
    </row>
    <row r="1058" spans="1:26" x14ac:dyDescent="0.2">
      <c r="A1058" s="12">
        <f t="shared" si="50"/>
        <v>1046</v>
      </c>
      <c r="E1058" s="10" t="str">
        <f t="shared" si="48"/>
        <v/>
      </c>
      <c r="I1058" s="53" t="str">
        <f t="shared" si="49"/>
        <v/>
      </c>
      <c r="N1058" s="8">
        <v>0</v>
      </c>
      <c r="Q1058" s="1"/>
      <c r="R1058" s="1"/>
      <c r="S1058" s="1"/>
      <c r="T1058" s="8"/>
      <c r="U1058" s="8"/>
      <c r="V1058" s="1"/>
      <c r="W1058" s="1"/>
      <c r="X1058" s="1"/>
      <c r="Z1058" s="8"/>
    </row>
    <row r="1059" spans="1:26" x14ac:dyDescent="0.2">
      <c r="A1059" s="12">
        <f t="shared" si="50"/>
        <v>1047</v>
      </c>
      <c r="E1059" s="10" t="str">
        <f t="shared" si="48"/>
        <v/>
      </c>
      <c r="I1059" s="53" t="str">
        <f t="shared" si="49"/>
        <v/>
      </c>
      <c r="N1059" s="8">
        <v>0</v>
      </c>
      <c r="Q1059" s="1"/>
      <c r="R1059" s="1"/>
      <c r="S1059" s="1"/>
      <c r="T1059" s="8"/>
      <c r="U1059" s="8"/>
      <c r="V1059" s="1"/>
      <c r="W1059" s="1"/>
      <c r="X1059" s="1"/>
      <c r="Z1059" s="8"/>
    </row>
    <row r="1060" spans="1:26" x14ac:dyDescent="0.2">
      <c r="A1060" s="12">
        <f t="shared" si="50"/>
        <v>1048</v>
      </c>
      <c r="E1060" s="10" t="str">
        <f t="shared" si="48"/>
        <v/>
      </c>
      <c r="I1060" s="53" t="str">
        <f t="shared" si="49"/>
        <v/>
      </c>
      <c r="N1060" s="8">
        <v>0</v>
      </c>
      <c r="Q1060" s="1"/>
      <c r="R1060" s="1"/>
      <c r="S1060" s="1"/>
      <c r="T1060" s="8"/>
      <c r="U1060" s="8"/>
      <c r="V1060" s="1"/>
      <c r="W1060" s="1"/>
      <c r="X1060" s="1"/>
      <c r="Z1060" s="8"/>
    </row>
    <row r="1061" spans="1:26" x14ac:dyDescent="0.2">
      <c r="A1061" s="12">
        <f t="shared" si="50"/>
        <v>1049</v>
      </c>
      <c r="E1061" s="10" t="str">
        <f t="shared" si="48"/>
        <v/>
      </c>
      <c r="I1061" s="53" t="str">
        <f t="shared" si="49"/>
        <v/>
      </c>
      <c r="N1061" s="8">
        <v>0</v>
      </c>
      <c r="Q1061" s="1"/>
      <c r="R1061" s="1"/>
      <c r="S1061" s="1"/>
      <c r="T1061" s="8"/>
      <c r="U1061" s="8"/>
      <c r="V1061" s="1"/>
      <c r="W1061" s="1"/>
      <c r="X1061" s="1"/>
      <c r="Z1061" s="8"/>
    </row>
    <row r="1062" spans="1:26" x14ac:dyDescent="0.2">
      <c r="A1062" s="12">
        <f t="shared" si="50"/>
        <v>1050</v>
      </c>
      <c r="E1062" s="10" t="str">
        <f t="shared" si="48"/>
        <v/>
      </c>
      <c r="I1062" s="53" t="str">
        <f t="shared" si="49"/>
        <v/>
      </c>
      <c r="N1062" s="8">
        <v>0</v>
      </c>
      <c r="Q1062" s="1"/>
      <c r="R1062" s="1"/>
      <c r="S1062" s="1"/>
      <c r="T1062" s="8"/>
      <c r="U1062" s="8"/>
      <c r="V1062" s="1"/>
      <c r="W1062" s="1"/>
      <c r="X1062" s="1"/>
      <c r="Z1062" s="8"/>
    </row>
    <row r="1063" spans="1:26" x14ac:dyDescent="0.2">
      <c r="A1063" s="12">
        <f t="shared" si="50"/>
        <v>1051</v>
      </c>
      <c r="E1063" s="10" t="str">
        <f t="shared" si="48"/>
        <v/>
      </c>
      <c r="I1063" s="53" t="str">
        <f t="shared" si="49"/>
        <v/>
      </c>
      <c r="N1063" s="8">
        <v>0</v>
      </c>
      <c r="Q1063" s="1"/>
      <c r="R1063" s="1"/>
      <c r="S1063" s="1"/>
      <c r="T1063" s="8"/>
      <c r="U1063" s="8"/>
      <c r="V1063" s="1"/>
      <c r="W1063" s="1"/>
      <c r="X1063" s="1"/>
      <c r="Z1063" s="8"/>
    </row>
    <row r="1064" spans="1:26" x14ac:dyDescent="0.2">
      <c r="A1064" s="12">
        <f t="shared" si="50"/>
        <v>1052</v>
      </c>
      <c r="E1064" s="10" t="str">
        <f t="shared" si="48"/>
        <v/>
      </c>
      <c r="I1064" s="53" t="str">
        <f t="shared" si="49"/>
        <v/>
      </c>
      <c r="N1064" s="8">
        <v>0</v>
      </c>
      <c r="Q1064" s="1"/>
      <c r="R1064" s="1"/>
      <c r="S1064" s="1"/>
      <c r="T1064" s="8"/>
      <c r="U1064" s="8"/>
      <c r="V1064" s="1"/>
      <c r="W1064" s="1"/>
      <c r="X1064" s="1"/>
      <c r="Z1064" s="8"/>
    </row>
    <row r="1065" spans="1:26" x14ac:dyDescent="0.2">
      <c r="A1065" s="12">
        <f t="shared" si="50"/>
        <v>1053</v>
      </c>
      <c r="E1065" s="10" t="str">
        <f t="shared" si="48"/>
        <v/>
      </c>
      <c r="I1065" s="53" t="str">
        <f t="shared" si="49"/>
        <v/>
      </c>
      <c r="N1065" s="8">
        <v>0</v>
      </c>
      <c r="Q1065" s="1"/>
      <c r="R1065" s="1"/>
      <c r="S1065" s="1"/>
      <c r="T1065" s="8"/>
      <c r="U1065" s="8"/>
      <c r="V1065" s="1"/>
      <c r="W1065" s="1"/>
      <c r="X1065" s="1"/>
      <c r="Z1065" s="8"/>
    </row>
    <row r="1066" spans="1:26" x14ac:dyDescent="0.2">
      <c r="A1066" s="12">
        <f t="shared" si="50"/>
        <v>1054</v>
      </c>
      <c r="E1066" s="10" t="str">
        <f t="shared" si="48"/>
        <v/>
      </c>
      <c r="I1066" s="53" t="str">
        <f t="shared" si="49"/>
        <v/>
      </c>
      <c r="N1066" s="8">
        <v>0</v>
      </c>
      <c r="Q1066" s="1"/>
      <c r="R1066" s="1"/>
      <c r="S1066" s="1"/>
      <c r="T1066" s="8"/>
      <c r="U1066" s="8"/>
      <c r="V1066" s="1"/>
      <c r="W1066" s="1"/>
      <c r="X1066" s="1"/>
      <c r="Z1066" s="8"/>
    </row>
    <row r="1067" spans="1:26" x14ac:dyDescent="0.2">
      <c r="A1067" s="12">
        <f t="shared" si="50"/>
        <v>1055</v>
      </c>
      <c r="E1067" s="10" t="str">
        <f t="shared" si="48"/>
        <v/>
      </c>
      <c r="I1067" s="53" t="str">
        <f t="shared" si="49"/>
        <v/>
      </c>
      <c r="N1067" s="8">
        <v>0</v>
      </c>
      <c r="Q1067" s="1"/>
      <c r="R1067" s="1"/>
      <c r="S1067" s="1"/>
      <c r="T1067" s="8"/>
      <c r="U1067" s="8"/>
      <c r="V1067" s="1"/>
      <c r="W1067" s="1"/>
      <c r="X1067" s="1"/>
      <c r="Z1067" s="8"/>
    </row>
    <row r="1068" spans="1:26" x14ac:dyDescent="0.2">
      <c r="A1068" s="12">
        <f t="shared" si="50"/>
        <v>1056</v>
      </c>
      <c r="E1068" s="10" t="str">
        <f t="shared" si="48"/>
        <v/>
      </c>
      <c r="I1068" s="53" t="str">
        <f t="shared" si="49"/>
        <v/>
      </c>
      <c r="N1068" s="8">
        <v>0</v>
      </c>
      <c r="Q1068" s="1"/>
      <c r="R1068" s="1"/>
      <c r="S1068" s="1"/>
      <c r="T1068" s="8"/>
      <c r="U1068" s="8"/>
      <c r="V1068" s="1"/>
      <c r="W1068" s="1"/>
      <c r="X1068" s="1"/>
      <c r="Z1068" s="8"/>
    </row>
    <row r="1069" spans="1:26" x14ac:dyDescent="0.2">
      <c r="A1069" s="12">
        <f t="shared" si="50"/>
        <v>1057</v>
      </c>
      <c r="E1069" s="10" t="str">
        <f t="shared" si="48"/>
        <v/>
      </c>
      <c r="I1069" s="53" t="str">
        <f t="shared" si="49"/>
        <v/>
      </c>
      <c r="N1069" s="8">
        <v>0</v>
      </c>
      <c r="Q1069" s="1"/>
      <c r="R1069" s="1"/>
      <c r="S1069" s="1"/>
      <c r="T1069" s="8"/>
      <c r="U1069" s="8"/>
      <c r="V1069" s="1"/>
      <c r="W1069" s="1"/>
      <c r="X1069" s="1"/>
      <c r="Z1069" s="8"/>
    </row>
    <row r="1070" spans="1:26" x14ac:dyDescent="0.2">
      <c r="A1070" s="12">
        <f t="shared" si="50"/>
        <v>1058</v>
      </c>
      <c r="E1070" s="10" t="str">
        <f t="shared" si="48"/>
        <v/>
      </c>
      <c r="I1070" s="53" t="str">
        <f t="shared" si="49"/>
        <v/>
      </c>
      <c r="N1070" s="8">
        <v>0</v>
      </c>
      <c r="Q1070" s="1"/>
      <c r="R1070" s="1"/>
      <c r="S1070" s="1"/>
      <c r="T1070" s="8"/>
      <c r="U1070" s="8"/>
      <c r="V1070" s="1"/>
      <c r="W1070" s="1"/>
      <c r="X1070" s="1"/>
      <c r="Z1070" s="8"/>
    </row>
    <row r="1071" spans="1:26" x14ac:dyDescent="0.2">
      <c r="A1071" s="12">
        <f t="shared" si="50"/>
        <v>1059</v>
      </c>
      <c r="E1071" s="10" t="str">
        <f t="shared" si="48"/>
        <v/>
      </c>
      <c r="I1071" s="53" t="str">
        <f t="shared" si="49"/>
        <v/>
      </c>
      <c r="N1071" s="8">
        <v>0</v>
      </c>
      <c r="Q1071" s="1"/>
      <c r="R1071" s="1"/>
      <c r="S1071" s="1"/>
      <c r="T1071" s="8"/>
      <c r="U1071" s="8"/>
      <c r="V1071" s="1"/>
      <c r="W1071" s="1"/>
      <c r="X1071" s="1"/>
      <c r="Z1071" s="8"/>
    </row>
    <row r="1072" spans="1:26" x14ac:dyDescent="0.2">
      <c r="A1072" s="12">
        <f t="shared" si="50"/>
        <v>1060</v>
      </c>
      <c r="E1072" s="10" t="str">
        <f t="shared" si="48"/>
        <v/>
      </c>
      <c r="I1072" s="53" t="str">
        <f t="shared" si="49"/>
        <v/>
      </c>
      <c r="N1072" s="8">
        <v>0</v>
      </c>
      <c r="Q1072" s="1"/>
      <c r="R1072" s="1"/>
      <c r="S1072" s="1"/>
      <c r="T1072" s="8"/>
      <c r="U1072" s="8"/>
      <c r="V1072" s="1"/>
      <c r="W1072" s="1"/>
      <c r="X1072" s="1"/>
      <c r="Z1072" s="8"/>
    </row>
    <row r="1073" spans="1:26" x14ac:dyDescent="0.2">
      <c r="A1073" s="12">
        <f t="shared" si="50"/>
        <v>1061</v>
      </c>
      <c r="E1073" s="10" t="str">
        <f t="shared" si="48"/>
        <v/>
      </c>
      <c r="I1073" s="53" t="str">
        <f t="shared" si="49"/>
        <v/>
      </c>
      <c r="N1073" s="8">
        <v>0</v>
      </c>
      <c r="Q1073" s="1"/>
      <c r="R1073" s="1"/>
      <c r="S1073" s="1"/>
      <c r="T1073" s="8"/>
      <c r="U1073" s="8"/>
      <c r="V1073" s="1"/>
      <c r="W1073" s="1"/>
      <c r="X1073" s="1"/>
      <c r="Z1073" s="8"/>
    </row>
    <row r="1074" spans="1:26" x14ac:dyDescent="0.2">
      <c r="A1074" s="12">
        <f t="shared" si="50"/>
        <v>1062</v>
      </c>
      <c r="E1074" s="10" t="str">
        <f t="shared" si="48"/>
        <v/>
      </c>
      <c r="I1074" s="53" t="str">
        <f t="shared" si="49"/>
        <v/>
      </c>
      <c r="N1074" s="8">
        <v>0</v>
      </c>
      <c r="Q1074" s="1"/>
      <c r="R1074" s="1"/>
      <c r="S1074" s="1"/>
      <c r="T1074" s="8"/>
      <c r="U1074" s="8"/>
      <c r="V1074" s="1"/>
      <c r="W1074" s="1"/>
      <c r="X1074" s="1"/>
      <c r="Z1074" s="8"/>
    </row>
    <row r="1075" spans="1:26" x14ac:dyDescent="0.2">
      <c r="A1075" s="12">
        <f t="shared" si="50"/>
        <v>1063</v>
      </c>
      <c r="E1075" s="10" t="str">
        <f t="shared" si="48"/>
        <v/>
      </c>
      <c r="I1075" s="53" t="str">
        <f t="shared" si="49"/>
        <v/>
      </c>
      <c r="N1075" s="8">
        <v>0</v>
      </c>
      <c r="Q1075" s="1"/>
      <c r="R1075" s="1"/>
      <c r="S1075" s="1"/>
      <c r="T1075" s="8"/>
      <c r="U1075" s="8"/>
      <c r="V1075" s="1"/>
      <c r="W1075" s="1"/>
      <c r="X1075" s="1"/>
      <c r="Z1075" s="8"/>
    </row>
    <row r="1076" spans="1:26" x14ac:dyDescent="0.2">
      <c r="A1076" s="12">
        <f t="shared" si="50"/>
        <v>1064</v>
      </c>
      <c r="E1076" s="10" t="str">
        <f t="shared" si="48"/>
        <v/>
      </c>
      <c r="I1076" s="53" t="str">
        <f t="shared" si="49"/>
        <v/>
      </c>
      <c r="N1076" s="8">
        <v>0</v>
      </c>
      <c r="Q1076" s="1"/>
      <c r="R1076" s="1"/>
      <c r="S1076" s="1"/>
      <c r="T1076" s="8"/>
      <c r="U1076" s="8"/>
      <c r="V1076" s="1"/>
      <c r="W1076" s="1"/>
      <c r="X1076" s="1"/>
      <c r="Z1076" s="8"/>
    </row>
    <row r="1077" spans="1:26" x14ac:dyDescent="0.2">
      <c r="A1077" s="12">
        <f t="shared" si="50"/>
        <v>1065</v>
      </c>
      <c r="E1077" s="10" t="str">
        <f t="shared" si="48"/>
        <v/>
      </c>
      <c r="I1077" s="53" t="str">
        <f t="shared" si="49"/>
        <v/>
      </c>
      <c r="N1077" s="8">
        <v>0</v>
      </c>
      <c r="Q1077" s="1"/>
      <c r="R1077" s="1"/>
      <c r="S1077" s="1"/>
      <c r="T1077" s="8"/>
      <c r="U1077" s="8"/>
      <c r="V1077" s="1"/>
      <c r="W1077" s="1"/>
      <c r="X1077" s="1"/>
      <c r="Z1077" s="8"/>
    </row>
    <row r="1078" spans="1:26" x14ac:dyDescent="0.2">
      <c r="A1078" s="12">
        <f t="shared" si="50"/>
        <v>1066</v>
      </c>
      <c r="E1078" s="10" t="str">
        <f t="shared" si="48"/>
        <v/>
      </c>
      <c r="I1078" s="53" t="str">
        <f t="shared" si="49"/>
        <v/>
      </c>
      <c r="N1078" s="8">
        <v>0</v>
      </c>
      <c r="Q1078" s="1"/>
      <c r="R1078" s="1"/>
      <c r="S1078" s="1"/>
      <c r="T1078" s="8"/>
      <c r="U1078" s="8"/>
      <c r="V1078" s="1"/>
      <c r="W1078" s="1"/>
      <c r="X1078" s="1"/>
      <c r="Z1078" s="8"/>
    </row>
    <row r="1079" spans="1:26" x14ac:dyDescent="0.2">
      <c r="A1079" s="12">
        <f t="shared" si="50"/>
        <v>1067</v>
      </c>
      <c r="E1079" s="10" t="str">
        <f t="shared" si="48"/>
        <v/>
      </c>
      <c r="I1079" s="53" t="str">
        <f t="shared" si="49"/>
        <v/>
      </c>
      <c r="N1079" s="8">
        <v>0</v>
      </c>
      <c r="Q1079" s="1"/>
      <c r="R1079" s="1"/>
      <c r="S1079" s="1"/>
      <c r="T1079" s="8"/>
      <c r="U1079" s="8"/>
      <c r="V1079" s="1"/>
      <c r="W1079" s="1"/>
      <c r="X1079" s="1"/>
      <c r="Z1079" s="8"/>
    </row>
    <row r="1080" spans="1:26" x14ac:dyDescent="0.2">
      <c r="A1080" s="12">
        <f t="shared" si="50"/>
        <v>1068</v>
      </c>
      <c r="E1080" s="10" t="str">
        <f t="shared" si="48"/>
        <v/>
      </c>
      <c r="I1080" s="53" t="str">
        <f t="shared" si="49"/>
        <v/>
      </c>
      <c r="N1080" s="8">
        <v>0</v>
      </c>
      <c r="Q1080" s="1"/>
      <c r="R1080" s="1"/>
      <c r="S1080" s="1"/>
      <c r="T1080" s="8"/>
      <c r="U1080" s="8"/>
      <c r="V1080" s="1"/>
      <c r="W1080" s="1"/>
      <c r="X1080" s="1"/>
      <c r="Z1080" s="8"/>
    </row>
    <row r="1081" spans="1:26" x14ac:dyDescent="0.2">
      <c r="A1081" s="12">
        <f t="shared" si="50"/>
        <v>1069</v>
      </c>
      <c r="E1081" s="10" t="str">
        <f t="shared" si="48"/>
        <v/>
      </c>
      <c r="I1081" s="53" t="str">
        <f t="shared" si="49"/>
        <v/>
      </c>
      <c r="N1081" s="8">
        <v>0</v>
      </c>
      <c r="Q1081" s="1"/>
      <c r="R1081" s="1"/>
      <c r="S1081" s="1"/>
      <c r="T1081" s="8"/>
      <c r="U1081" s="8"/>
      <c r="V1081" s="1"/>
      <c r="W1081" s="1"/>
      <c r="X1081" s="1"/>
      <c r="Z1081" s="8"/>
    </row>
    <row r="1082" spans="1:26" x14ac:dyDescent="0.2">
      <c r="A1082" s="12">
        <f t="shared" si="50"/>
        <v>1070</v>
      </c>
      <c r="E1082" s="10" t="str">
        <f t="shared" si="48"/>
        <v/>
      </c>
      <c r="I1082" s="53" t="str">
        <f t="shared" si="49"/>
        <v/>
      </c>
      <c r="N1082" s="8">
        <v>0</v>
      </c>
      <c r="Q1082" s="1"/>
      <c r="R1082" s="1"/>
      <c r="S1082" s="1"/>
      <c r="T1082" s="8"/>
      <c r="U1082" s="8"/>
      <c r="V1082" s="1"/>
      <c r="W1082" s="1"/>
      <c r="X1082" s="1"/>
      <c r="Z1082" s="8"/>
    </row>
    <row r="1083" spans="1:26" x14ac:dyDescent="0.2">
      <c r="A1083" s="12">
        <f t="shared" si="50"/>
        <v>1071</v>
      </c>
      <c r="E1083" s="10" t="str">
        <f t="shared" si="48"/>
        <v/>
      </c>
      <c r="I1083" s="53" t="str">
        <f t="shared" si="49"/>
        <v/>
      </c>
      <c r="N1083" s="8">
        <v>0</v>
      </c>
      <c r="Q1083" s="1"/>
      <c r="R1083" s="1"/>
      <c r="S1083" s="1"/>
      <c r="T1083" s="8"/>
      <c r="U1083" s="8"/>
      <c r="V1083" s="1"/>
      <c r="W1083" s="1"/>
      <c r="X1083" s="1"/>
      <c r="Z1083" s="8"/>
    </row>
    <row r="1084" spans="1:26" x14ac:dyDescent="0.2">
      <c r="A1084" s="12">
        <f t="shared" si="50"/>
        <v>1072</v>
      </c>
      <c r="E1084" s="10" t="str">
        <f t="shared" si="48"/>
        <v/>
      </c>
      <c r="I1084" s="53" t="str">
        <f t="shared" si="49"/>
        <v/>
      </c>
      <c r="N1084" s="8">
        <v>0</v>
      </c>
      <c r="Q1084" s="1"/>
      <c r="R1084" s="1"/>
      <c r="S1084" s="1"/>
      <c r="T1084" s="8"/>
      <c r="U1084" s="8"/>
      <c r="V1084" s="1"/>
      <c r="W1084" s="1"/>
      <c r="X1084" s="1"/>
      <c r="Z1084" s="8"/>
    </row>
    <row r="1085" spans="1:26" x14ac:dyDescent="0.2">
      <c r="A1085" s="12">
        <f t="shared" si="50"/>
        <v>1073</v>
      </c>
      <c r="E1085" s="10" t="str">
        <f t="shared" si="48"/>
        <v/>
      </c>
      <c r="I1085" s="53" t="str">
        <f t="shared" si="49"/>
        <v/>
      </c>
      <c r="N1085" s="8">
        <v>0</v>
      </c>
      <c r="Q1085" s="1"/>
      <c r="R1085" s="1"/>
      <c r="S1085" s="1"/>
      <c r="T1085" s="8"/>
      <c r="U1085" s="8"/>
      <c r="V1085" s="1"/>
      <c r="W1085" s="1"/>
      <c r="X1085" s="1"/>
      <c r="Z1085" s="8"/>
    </row>
    <row r="1086" spans="1:26" x14ac:dyDescent="0.2">
      <c r="A1086" s="12">
        <f t="shared" si="50"/>
        <v>1074</v>
      </c>
      <c r="E1086" s="10" t="str">
        <f t="shared" si="48"/>
        <v/>
      </c>
      <c r="I1086" s="53" t="str">
        <f t="shared" si="49"/>
        <v/>
      </c>
      <c r="N1086" s="8">
        <v>0</v>
      </c>
      <c r="Q1086" s="1"/>
      <c r="R1086" s="1"/>
      <c r="S1086" s="1"/>
      <c r="T1086" s="8"/>
      <c r="U1086" s="8"/>
      <c r="V1086" s="1"/>
      <c r="W1086" s="1"/>
      <c r="X1086" s="1"/>
      <c r="Z1086" s="8"/>
    </row>
    <row r="1087" spans="1:26" x14ac:dyDescent="0.2">
      <c r="A1087" s="12">
        <f t="shared" si="50"/>
        <v>1075</v>
      </c>
      <c r="E1087" s="10" t="str">
        <f t="shared" si="48"/>
        <v/>
      </c>
      <c r="I1087" s="53" t="str">
        <f t="shared" si="49"/>
        <v/>
      </c>
      <c r="N1087" s="8">
        <v>0</v>
      </c>
      <c r="Q1087" s="1"/>
      <c r="R1087" s="1"/>
      <c r="S1087" s="1"/>
      <c r="T1087" s="8"/>
      <c r="U1087" s="8"/>
      <c r="V1087" s="1"/>
      <c r="W1087" s="1"/>
      <c r="X1087" s="1"/>
      <c r="Z1087" s="8"/>
    </row>
    <row r="1088" spans="1:26" x14ac:dyDescent="0.2">
      <c r="A1088" s="12">
        <f t="shared" si="50"/>
        <v>1076</v>
      </c>
      <c r="E1088" s="10" t="str">
        <f t="shared" si="48"/>
        <v/>
      </c>
      <c r="I1088" s="53" t="str">
        <f t="shared" si="49"/>
        <v/>
      </c>
      <c r="N1088" s="8">
        <v>0</v>
      </c>
      <c r="Q1088" s="1"/>
      <c r="R1088" s="1"/>
      <c r="S1088" s="1"/>
      <c r="T1088" s="8"/>
      <c r="U1088" s="8"/>
      <c r="V1088" s="1"/>
      <c r="W1088" s="1"/>
      <c r="X1088" s="1"/>
      <c r="Z1088" s="8"/>
    </row>
    <row r="1089" spans="1:26" x14ac:dyDescent="0.2">
      <c r="A1089" s="12">
        <f t="shared" si="50"/>
        <v>1077</v>
      </c>
      <c r="E1089" s="10" t="str">
        <f t="shared" si="48"/>
        <v/>
      </c>
      <c r="I1089" s="53" t="str">
        <f t="shared" si="49"/>
        <v/>
      </c>
      <c r="N1089" s="8">
        <v>0</v>
      </c>
      <c r="Q1089" s="1"/>
      <c r="R1089" s="1"/>
      <c r="S1089" s="1"/>
      <c r="T1089" s="8"/>
      <c r="U1089" s="8"/>
      <c r="V1089" s="1"/>
      <c r="W1089" s="1"/>
      <c r="X1089" s="1"/>
      <c r="Z1089" s="8"/>
    </row>
    <row r="1090" spans="1:26" x14ac:dyDescent="0.2">
      <c r="A1090" s="12">
        <f t="shared" si="50"/>
        <v>1078</v>
      </c>
      <c r="E1090" s="10" t="str">
        <f t="shared" si="48"/>
        <v/>
      </c>
      <c r="I1090" s="53" t="str">
        <f t="shared" si="49"/>
        <v/>
      </c>
      <c r="N1090" s="8">
        <v>0</v>
      </c>
      <c r="Q1090" s="1"/>
      <c r="R1090" s="1"/>
      <c r="S1090" s="1"/>
      <c r="T1090" s="8"/>
      <c r="U1090" s="8"/>
      <c r="V1090" s="1"/>
      <c r="W1090" s="1"/>
      <c r="X1090" s="1"/>
      <c r="Z1090" s="8"/>
    </row>
    <row r="1091" spans="1:26" x14ac:dyDescent="0.2">
      <c r="A1091" s="12">
        <f t="shared" si="50"/>
        <v>1079</v>
      </c>
      <c r="E1091" s="10" t="str">
        <f t="shared" si="48"/>
        <v/>
      </c>
      <c r="I1091" s="53" t="str">
        <f t="shared" si="49"/>
        <v/>
      </c>
      <c r="N1091" s="8">
        <v>0</v>
      </c>
      <c r="Q1091" s="1"/>
      <c r="R1091" s="1"/>
      <c r="S1091" s="1"/>
      <c r="T1091" s="8"/>
      <c r="U1091" s="8"/>
      <c r="V1091" s="1"/>
      <c r="W1091" s="1"/>
      <c r="X1091" s="1"/>
      <c r="Z1091" s="8"/>
    </row>
    <row r="1092" spans="1:26" x14ac:dyDescent="0.2">
      <c r="A1092" s="12">
        <f t="shared" si="50"/>
        <v>1080</v>
      </c>
      <c r="E1092" s="10" t="str">
        <f t="shared" si="48"/>
        <v/>
      </c>
      <c r="I1092" s="53" t="str">
        <f t="shared" si="49"/>
        <v/>
      </c>
      <c r="N1092" s="8">
        <v>0</v>
      </c>
      <c r="Q1092" s="1"/>
      <c r="R1092" s="1"/>
      <c r="S1092" s="1"/>
      <c r="T1092" s="8"/>
      <c r="U1092" s="8"/>
      <c r="V1092" s="1"/>
      <c r="W1092" s="1"/>
      <c r="X1092" s="1"/>
      <c r="Z1092" s="8"/>
    </row>
    <row r="1093" spans="1:26" x14ac:dyDescent="0.2">
      <c r="A1093" s="12">
        <f t="shared" si="50"/>
        <v>1081</v>
      </c>
      <c r="E1093" s="10" t="str">
        <f t="shared" si="48"/>
        <v/>
      </c>
      <c r="I1093" s="53" t="str">
        <f t="shared" si="49"/>
        <v/>
      </c>
      <c r="N1093" s="8">
        <v>0</v>
      </c>
      <c r="Q1093" s="1"/>
      <c r="R1093" s="1"/>
      <c r="S1093" s="1"/>
      <c r="T1093" s="8"/>
      <c r="U1093" s="8"/>
      <c r="V1093" s="1"/>
      <c r="W1093" s="1"/>
      <c r="X1093" s="1"/>
      <c r="Z1093" s="8"/>
    </row>
    <row r="1094" spans="1:26" x14ac:dyDescent="0.2">
      <c r="A1094" s="12">
        <f t="shared" si="50"/>
        <v>1082</v>
      </c>
      <c r="E1094" s="10" t="str">
        <f t="shared" si="48"/>
        <v/>
      </c>
      <c r="I1094" s="53" t="str">
        <f t="shared" si="49"/>
        <v/>
      </c>
      <c r="N1094" s="8">
        <v>0</v>
      </c>
      <c r="Q1094" s="1"/>
      <c r="R1094" s="1"/>
      <c r="S1094" s="1"/>
      <c r="T1094" s="8"/>
      <c r="U1094" s="8"/>
      <c r="V1094" s="1"/>
      <c r="W1094" s="1"/>
      <c r="X1094" s="1"/>
      <c r="Z1094" s="8"/>
    </row>
    <row r="1095" spans="1:26" x14ac:dyDescent="0.2">
      <c r="A1095" s="12">
        <f t="shared" si="50"/>
        <v>1083</v>
      </c>
      <c r="E1095" s="10" t="str">
        <f t="shared" si="48"/>
        <v/>
      </c>
      <c r="I1095" s="53" t="str">
        <f t="shared" si="49"/>
        <v/>
      </c>
      <c r="N1095" s="8">
        <v>0</v>
      </c>
      <c r="Q1095" s="1"/>
      <c r="R1095" s="1"/>
      <c r="S1095" s="1"/>
      <c r="T1095" s="8"/>
      <c r="U1095" s="8"/>
      <c r="V1095" s="1"/>
      <c r="W1095" s="1"/>
      <c r="X1095" s="1"/>
      <c r="Z1095" s="8"/>
    </row>
    <row r="1096" spans="1:26" x14ac:dyDescent="0.2">
      <c r="A1096" s="12">
        <f t="shared" si="50"/>
        <v>1084</v>
      </c>
      <c r="E1096" s="10" t="str">
        <f t="shared" si="48"/>
        <v/>
      </c>
      <c r="I1096" s="53" t="str">
        <f t="shared" si="49"/>
        <v/>
      </c>
      <c r="N1096" s="8">
        <v>0</v>
      </c>
      <c r="Q1096" s="1"/>
      <c r="R1096" s="1"/>
      <c r="S1096" s="1"/>
      <c r="T1096" s="8"/>
      <c r="U1096" s="8"/>
      <c r="V1096" s="1"/>
      <c r="W1096" s="1"/>
      <c r="X1096" s="1"/>
      <c r="Z1096" s="8"/>
    </row>
    <row r="1097" spans="1:26" x14ac:dyDescent="0.2">
      <c r="A1097" s="12">
        <f t="shared" si="50"/>
        <v>1085</v>
      </c>
      <c r="E1097" s="10" t="str">
        <f t="shared" si="48"/>
        <v/>
      </c>
      <c r="I1097" s="53" t="str">
        <f t="shared" si="49"/>
        <v/>
      </c>
      <c r="N1097" s="8">
        <v>0</v>
      </c>
      <c r="Q1097" s="1"/>
      <c r="R1097" s="1"/>
      <c r="S1097" s="1"/>
      <c r="T1097" s="8"/>
      <c r="U1097" s="8"/>
      <c r="V1097" s="1"/>
      <c r="W1097" s="1"/>
      <c r="X1097" s="1"/>
      <c r="Z1097" s="8"/>
    </row>
    <row r="1098" spans="1:26" x14ac:dyDescent="0.2">
      <c r="A1098" s="12">
        <f t="shared" si="50"/>
        <v>1086</v>
      </c>
      <c r="E1098" s="10" t="str">
        <f t="shared" si="48"/>
        <v/>
      </c>
      <c r="I1098" s="53" t="str">
        <f t="shared" si="49"/>
        <v/>
      </c>
      <c r="N1098" s="8">
        <v>0</v>
      </c>
      <c r="Q1098" s="1"/>
      <c r="R1098" s="1"/>
      <c r="S1098" s="1"/>
      <c r="T1098" s="8"/>
      <c r="U1098" s="8"/>
      <c r="V1098" s="1"/>
      <c r="W1098" s="1"/>
      <c r="X1098" s="1"/>
      <c r="Z1098" s="8"/>
    </row>
    <row r="1099" spans="1:26" x14ac:dyDescent="0.2">
      <c r="A1099" s="12">
        <f t="shared" si="50"/>
        <v>1087</v>
      </c>
      <c r="E1099" s="10" t="str">
        <f t="shared" si="48"/>
        <v/>
      </c>
      <c r="I1099" s="53" t="str">
        <f t="shared" si="49"/>
        <v/>
      </c>
      <c r="N1099" s="8">
        <v>0</v>
      </c>
      <c r="Q1099" s="1"/>
      <c r="R1099" s="1"/>
      <c r="S1099" s="1"/>
      <c r="T1099" s="8"/>
      <c r="U1099" s="8"/>
      <c r="V1099" s="1"/>
      <c r="W1099" s="1"/>
      <c r="X1099" s="1"/>
      <c r="Z1099" s="8"/>
    </row>
    <row r="1100" spans="1:26" x14ac:dyDescent="0.2">
      <c r="A1100" s="12">
        <f t="shared" si="50"/>
        <v>1088</v>
      </c>
      <c r="E1100" s="10" t="str">
        <f t="shared" si="48"/>
        <v/>
      </c>
      <c r="I1100" s="53" t="str">
        <f t="shared" si="49"/>
        <v/>
      </c>
      <c r="N1100" s="8">
        <v>0</v>
      </c>
      <c r="Q1100" s="1"/>
      <c r="R1100" s="1"/>
      <c r="S1100" s="1"/>
      <c r="T1100" s="8"/>
      <c r="U1100" s="8"/>
      <c r="V1100" s="1"/>
      <c r="W1100" s="1"/>
      <c r="X1100" s="1"/>
      <c r="Z1100" s="8"/>
    </row>
    <row r="1101" spans="1:26" x14ac:dyDescent="0.2">
      <c r="A1101" s="12">
        <f t="shared" si="50"/>
        <v>1089</v>
      </c>
      <c r="E1101" s="10" t="str">
        <f t="shared" ref="E1101:E1164" si="51">IF($C$8&gt;=A1101,$E$1&amp;" "&amp;A1101,"")</f>
        <v/>
      </c>
      <c r="I1101" s="53" t="str">
        <f t="shared" si="49"/>
        <v/>
      </c>
      <c r="N1101" s="8">
        <v>0</v>
      </c>
      <c r="Q1101" s="1"/>
      <c r="R1101" s="1"/>
      <c r="S1101" s="1"/>
      <c r="T1101" s="8"/>
      <c r="U1101" s="8"/>
      <c r="V1101" s="1"/>
      <c r="W1101" s="1"/>
      <c r="X1101" s="1"/>
      <c r="Z1101" s="8"/>
    </row>
    <row r="1102" spans="1:26" x14ac:dyDescent="0.2">
      <c r="A1102" s="12">
        <f t="shared" si="50"/>
        <v>1090</v>
      </c>
      <c r="E1102" s="10" t="str">
        <f t="shared" si="51"/>
        <v/>
      </c>
      <c r="I1102" s="53" t="str">
        <f t="shared" ref="I1102:I1165" si="52">IF(E1102="","",F1102-G1102-H1102)</f>
        <v/>
      </c>
      <c r="N1102" s="8">
        <v>0</v>
      </c>
      <c r="Q1102" s="1"/>
      <c r="R1102" s="1"/>
      <c r="S1102" s="1"/>
      <c r="T1102" s="8"/>
      <c r="U1102" s="8"/>
      <c r="V1102" s="1"/>
      <c r="W1102" s="1"/>
      <c r="X1102" s="1"/>
      <c r="Z1102" s="8"/>
    </row>
    <row r="1103" spans="1:26" x14ac:dyDescent="0.2">
      <c r="A1103" s="12">
        <f t="shared" ref="A1103:A1166" si="53">A1102+1</f>
        <v>1091</v>
      </c>
      <c r="E1103" s="10" t="str">
        <f t="shared" si="51"/>
        <v/>
      </c>
      <c r="I1103" s="53" t="str">
        <f t="shared" si="52"/>
        <v/>
      </c>
      <c r="N1103" s="8">
        <v>0</v>
      </c>
      <c r="Q1103" s="1"/>
      <c r="R1103" s="1"/>
      <c r="S1103" s="1"/>
      <c r="T1103" s="8"/>
      <c r="U1103" s="8"/>
      <c r="V1103" s="1"/>
      <c r="W1103" s="1"/>
      <c r="X1103" s="1"/>
      <c r="Z1103" s="8"/>
    </row>
    <row r="1104" spans="1:26" x14ac:dyDescent="0.2">
      <c r="A1104" s="12">
        <f t="shared" si="53"/>
        <v>1092</v>
      </c>
      <c r="E1104" s="10" t="str">
        <f t="shared" si="51"/>
        <v/>
      </c>
      <c r="I1104" s="53" t="str">
        <f t="shared" si="52"/>
        <v/>
      </c>
      <c r="N1104" s="8">
        <v>0</v>
      </c>
      <c r="Q1104" s="1"/>
      <c r="R1104" s="1"/>
      <c r="S1104" s="1"/>
      <c r="T1104" s="8"/>
      <c r="U1104" s="8"/>
      <c r="V1104" s="1"/>
      <c r="W1104" s="1"/>
      <c r="X1104" s="1"/>
      <c r="Z1104" s="8"/>
    </row>
    <row r="1105" spans="1:26" x14ac:dyDescent="0.2">
      <c r="A1105" s="12">
        <f t="shared" si="53"/>
        <v>1093</v>
      </c>
      <c r="E1105" s="10" t="str">
        <f t="shared" si="51"/>
        <v/>
      </c>
      <c r="I1105" s="53" t="str">
        <f t="shared" si="52"/>
        <v/>
      </c>
      <c r="N1105" s="8">
        <v>0</v>
      </c>
      <c r="Q1105" s="1"/>
      <c r="R1105" s="1"/>
      <c r="S1105" s="1"/>
      <c r="T1105" s="8"/>
      <c r="U1105" s="8"/>
      <c r="V1105" s="1"/>
      <c r="W1105" s="1"/>
      <c r="X1105" s="1"/>
      <c r="Z1105" s="8"/>
    </row>
    <row r="1106" spans="1:26" x14ac:dyDescent="0.2">
      <c r="A1106" s="12">
        <f t="shared" si="53"/>
        <v>1094</v>
      </c>
      <c r="E1106" s="10" t="str">
        <f t="shared" si="51"/>
        <v/>
      </c>
      <c r="I1106" s="53" t="str">
        <f t="shared" si="52"/>
        <v/>
      </c>
      <c r="N1106" s="8">
        <v>0</v>
      </c>
      <c r="Q1106" s="1"/>
      <c r="R1106" s="1"/>
      <c r="S1106" s="1"/>
      <c r="T1106" s="8"/>
      <c r="U1106" s="8"/>
      <c r="V1106" s="1"/>
      <c r="W1106" s="1"/>
      <c r="X1106" s="1"/>
      <c r="Z1106" s="8"/>
    </row>
    <row r="1107" spans="1:26" x14ac:dyDescent="0.2">
      <c r="A1107" s="12">
        <f t="shared" si="53"/>
        <v>1095</v>
      </c>
      <c r="E1107" s="10" t="str">
        <f t="shared" si="51"/>
        <v/>
      </c>
      <c r="I1107" s="53" t="str">
        <f t="shared" si="52"/>
        <v/>
      </c>
      <c r="N1107" s="8">
        <v>0</v>
      </c>
      <c r="Q1107" s="1"/>
      <c r="R1107" s="1"/>
      <c r="S1107" s="1"/>
      <c r="T1107" s="8"/>
      <c r="U1107" s="8"/>
      <c r="V1107" s="1"/>
      <c r="W1107" s="1"/>
      <c r="X1107" s="1"/>
      <c r="Z1107" s="8"/>
    </row>
    <row r="1108" spans="1:26" x14ac:dyDescent="0.2">
      <c r="A1108" s="12">
        <f t="shared" si="53"/>
        <v>1096</v>
      </c>
      <c r="E1108" s="10" t="str">
        <f t="shared" si="51"/>
        <v/>
      </c>
      <c r="I1108" s="53" t="str">
        <f t="shared" si="52"/>
        <v/>
      </c>
      <c r="N1108" s="8">
        <v>0</v>
      </c>
      <c r="Q1108" s="1"/>
      <c r="R1108" s="1"/>
      <c r="S1108" s="1"/>
      <c r="T1108" s="8"/>
      <c r="U1108" s="8"/>
      <c r="V1108" s="1"/>
      <c r="W1108" s="1"/>
      <c r="X1108" s="1"/>
      <c r="Z1108" s="8"/>
    </row>
    <row r="1109" spans="1:26" x14ac:dyDescent="0.2">
      <c r="A1109" s="12">
        <f t="shared" si="53"/>
        <v>1097</v>
      </c>
      <c r="E1109" s="10" t="str">
        <f t="shared" si="51"/>
        <v/>
      </c>
      <c r="I1109" s="53" t="str">
        <f t="shared" si="52"/>
        <v/>
      </c>
      <c r="N1109" s="8">
        <v>0</v>
      </c>
      <c r="Q1109" s="1"/>
      <c r="R1109" s="1"/>
      <c r="S1109" s="1"/>
      <c r="T1109" s="8"/>
      <c r="U1109" s="8"/>
      <c r="V1109" s="1"/>
      <c r="W1109" s="1"/>
      <c r="X1109" s="1"/>
      <c r="Z1109" s="8"/>
    </row>
    <row r="1110" spans="1:26" x14ac:dyDescent="0.2">
      <c r="A1110" s="12">
        <f t="shared" si="53"/>
        <v>1098</v>
      </c>
      <c r="E1110" s="10" t="str">
        <f t="shared" si="51"/>
        <v/>
      </c>
      <c r="I1110" s="53" t="str">
        <f t="shared" si="52"/>
        <v/>
      </c>
      <c r="N1110" s="8">
        <v>0</v>
      </c>
      <c r="Q1110" s="1"/>
      <c r="R1110" s="1"/>
      <c r="S1110" s="1"/>
      <c r="T1110" s="8"/>
      <c r="U1110" s="8"/>
      <c r="V1110" s="1"/>
      <c r="W1110" s="1"/>
      <c r="X1110" s="1"/>
      <c r="Z1110" s="8"/>
    </row>
    <row r="1111" spans="1:26" x14ac:dyDescent="0.2">
      <c r="A1111" s="12">
        <f t="shared" si="53"/>
        <v>1099</v>
      </c>
      <c r="E1111" s="10" t="str">
        <f t="shared" si="51"/>
        <v/>
      </c>
      <c r="I1111" s="53" t="str">
        <f t="shared" si="52"/>
        <v/>
      </c>
      <c r="N1111" s="8">
        <v>0</v>
      </c>
      <c r="Q1111" s="1"/>
      <c r="R1111" s="1"/>
      <c r="S1111" s="1"/>
      <c r="T1111" s="8"/>
      <c r="U1111" s="8"/>
      <c r="V1111" s="1"/>
      <c r="W1111" s="1"/>
      <c r="X1111" s="1"/>
      <c r="Z1111" s="8"/>
    </row>
    <row r="1112" spans="1:26" x14ac:dyDescent="0.2">
      <c r="A1112" s="12">
        <f t="shared" si="53"/>
        <v>1100</v>
      </c>
      <c r="E1112" s="10" t="str">
        <f t="shared" si="51"/>
        <v/>
      </c>
      <c r="I1112" s="53" t="str">
        <f t="shared" si="52"/>
        <v/>
      </c>
      <c r="N1112" s="8">
        <v>0</v>
      </c>
      <c r="Q1112" s="1"/>
      <c r="R1112" s="1"/>
      <c r="S1112" s="1"/>
      <c r="T1112" s="8"/>
      <c r="U1112" s="8"/>
      <c r="V1112" s="1"/>
      <c r="W1112" s="1"/>
      <c r="X1112" s="1"/>
      <c r="Z1112" s="8"/>
    </row>
    <row r="1113" spans="1:26" x14ac:dyDescent="0.2">
      <c r="A1113" s="12">
        <f t="shared" si="53"/>
        <v>1101</v>
      </c>
      <c r="E1113" s="10" t="str">
        <f t="shared" si="51"/>
        <v/>
      </c>
      <c r="I1113" s="53" t="str">
        <f t="shared" si="52"/>
        <v/>
      </c>
      <c r="N1113" s="8">
        <v>0</v>
      </c>
      <c r="Q1113" s="1"/>
      <c r="R1113" s="1"/>
      <c r="S1113" s="1"/>
      <c r="T1113" s="8"/>
      <c r="U1113" s="8"/>
      <c r="V1113" s="1"/>
      <c r="W1113" s="1"/>
      <c r="X1113" s="1"/>
      <c r="Z1113" s="8"/>
    </row>
    <row r="1114" spans="1:26" x14ac:dyDescent="0.2">
      <c r="A1114" s="12">
        <f t="shared" si="53"/>
        <v>1102</v>
      </c>
      <c r="E1114" s="10" t="str">
        <f t="shared" si="51"/>
        <v/>
      </c>
      <c r="I1114" s="53" t="str">
        <f t="shared" si="52"/>
        <v/>
      </c>
      <c r="N1114" s="8">
        <v>0</v>
      </c>
      <c r="Q1114" s="1"/>
      <c r="R1114" s="1"/>
      <c r="S1114" s="1"/>
      <c r="T1114" s="8"/>
      <c r="U1114" s="8"/>
      <c r="V1114" s="1"/>
      <c r="W1114" s="1"/>
      <c r="X1114" s="1"/>
      <c r="Z1114" s="8"/>
    </row>
    <row r="1115" spans="1:26" x14ac:dyDescent="0.2">
      <c r="A1115" s="12">
        <f t="shared" si="53"/>
        <v>1103</v>
      </c>
      <c r="E1115" s="10" t="str">
        <f t="shared" si="51"/>
        <v/>
      </c>
      <c r="I1115" s="53" t="str">
        <f t="shared" si="52"/>
        <v/>
      </c>
      <c r="N1115" s="8">
        <v>0</v>
      </c>
      <c r="Q1115" s="1"/>
      <c r="R1115" s="1"/>
      <c r="S1115" s="1"/>
      <c r="T1115" s="8"/>
      <c r="U1115" s="8"/>
      <c r="V1115" s="1"/>
      <c r="W1115" s="1"/>
      <c r="X1115" s="1"/>
      <c r="Z1115" s="8"/>
    </row>
    <row r="1116" spans="1:26" x14ac:dyDescent="0.2">
      <c r="A1116" s="12">
        <f t="shared" si="53"/>
        <v>1104</v>
      </c>
      <c r="E1116" s="10" t="str">
        <f t="shared" si="51"/>
        <v/>
      </c>
      <c r="I1116" s="53" t="str">
        <f t="shared" si="52"/>
        <v/>
      </c>
      <c r="N1116" s="8">
        <v>0</v>
      </c>
      <c r="Q1116" s="1"/>
      <c r="R1116" s="1"/>
      <c r="S1116" s="1"/>
      <c r="T1116" s="8"/>
      <c r="U1116" s="8"/>
      <c r="V1116" s="1"/>
      <c r="W1116" s="1"/>
      <c r="X1116" s="1"/>
      <c r="Z1116" s="8"/>
    </row>
    <row r="1117" spans="1:26" x14ac:dyDescent="0.2">
      <c r="A1117" s="12">
        <f t="shared" si="53"/>
        <v>1105</v>
      </c>
      <c r="E1117" s="10" t="str">
        <f t="shared" si="51"/>
        <v/>
      </c>
      <c r="I1117" s="53" t="str">
        <f t="shared" si="52"/>
        <v/>
      </c>
      <c r="N1117" s="8">
        <v>0</v>
      </c>
      <c r="Q1117" s="1"/>
      <c r="R1117" s="1"/>
      <c r="S1117" s="1"/>
      <c r="T1117" s="8"/>
      <c r="U1117" s="8"/>
      <c r="V1117" s="1"/>
      <c r="W1117" s="1"/>
      <c r="X1117" s="1"/>
      <c r="Z1117" s="8"/>
    </row>
    <row r="1118" spans="1:26" x14ac:dyDescent="0.2">
      <c r="A1118" s="12">
        <f t="shared" si="53"/>
        <v>1106</v>
      </c>
      <c r="E1118" s="10" t="str">
        <f t="shared" si="51"/>
        <v/>
      </c>
      <c r="I1118" s="53" t="str">
        <f t="shared" si="52"/>
        <v/>
      </c>
      <c r="N1118" s="8">
        <v>0</v>
      </c>
      <c r="Q1118" s="1"/>
      <c r="R1118" s="1"/>
      <c r="S1118" s="1"/>
      <c r="T1118" s="8"/>
      <c r="U1118" s="8"/>
      <c r="V1118" s="1"/>
      <c r="W1118" s="1"/>
      <c r="X1118" s="1"/>
      <c r="Z1118" s="8"/>
    </row>
    <row r="1119" spans="1:26" x14ac:dyDescent="0.2">
      <c r="A1119" s="12">
        <f t="shared" si="53"/>
        <v>1107</v>
      </c>
      <c r="E1119" s="10" t="str">
        <f t="shared" si="51"/>
        <v/>
      </c>
      <c r="I1119" s="53" t="str">
        <f t="shared" si="52"/>
        <v/>
      </c>
      <c r="N1119" s="8">
        <v>0</v>
      </c>
      <c r="Q1119" s="1"/>
      <c r="R1119" s="1"/>
      <c r="S1119" s="1"/>
      <c r="T1119" s="8"/>
      <c r="U1119" s="8"/>
      <c r="V1119" s="1"/>
      <c r="W1119" s="1"/>
      <c r="X1119" s="1"/>
      <c r="Z1119" s="8"/>
    </row>
    <row r="1120" spans="1:26" x14ac:dyDescent="0.2">
      <c r="A1120" s="12">
        <f t="shared" si="53"/>
        <v>1108</v>
      </c>
      <c r="E1120" s="10" t="str">
        <f t="shared" si="51"/>
        <v/>
      </c>
      <c r="I1120" s="53" t="str">
        <f t="shared" si="52"/>
        <v/>
      </c>
      <c r="N1120" s="8">
        <v>0</v>
      </c>
      <c r="Q1120" s="1"/>
      <c r="R1120" s="1"/>
      <c r="S1120" s="1"/>
      <c r="T1120" s="8"/>
      <c r="U1120" s="8"/>
      <c r="V1120" s="1"/>
      <c r="W1120" s="1"/>
      <c r="X1120" s="1"/>
      <c r="Z1120" s="8"/>
    </row>
    <row r="1121" spans="1:26" x14ac:dyDescent="0.2">
      <c r="A1121" s="12">
        <f t="shared" si="53"/>
        <v>1109</v>
      </c>
      <c r="E1121" s="10" t="str">
        <f t="shared" si="51"/>
        <v/>
      </c>
      <c r="I1121" s="53" t="str">
        <f t="shared" si="52"/>
        <v/>
      </c>
      <c r="N1121" s="8">
        <v>0</v>
      </c>
      <c r="Q1121" s="1"/>
      <c r="R1121" s="1"/>
      <c r="S1121" s="1"/>
      <c r="T1121" s="8"/>
      <c r="U1121" s="8"/>
      <c r="V1121" s="1"/>
      <c r="W1121" s="1"/>
      <c r="X1121" s="1"/>
      <c r="Z1121" s="8"/>
    </row>
    <row r="1122" spans="1:26" x14ac:dyDescent="0.2">
      <c r="A1122" s="12">
        <f t="shared" si="53"/>
        <v>1110</v>
      </c>
      <c r="E1122" s="10" t="str">
        <f t="shared" si="51"/>
        <v/>
      </c>
      <c r="I1122" s="53" t="str">
        <f t="shared" si="52"/>
        <v/>
      </c>
      <c r="N1122" s="8">
        <v>0</v>
      </c>
      <c r="Q1122" s="1"/>
      <c r="R1122" s="1"/>
      <c r="S1122" s="1"/>
      <c r="T1122" s="8"/>
      <c r="U1122" s="8"/>
      <c r="V1122" s="1"/>
      <c r="W1122" s="1"/>
      <c r="X1122" s="1"/>
      <c r="Z1122" s="8"/>
    </row>
    <row r="1123" spans="1:26" x14ac:dyDescent="0.2">
      <c r="A1123" s="12">
        <f t="shared" si="53"/>
        <v>1111</v>
      </c>
      <c r="E1123" s="10" t="str">
        <f t="shared" si="51"/>
        <v/>
      </c>
      <c r="I1123" s="53" t="str">
        <f t="shared" si="52"/>
        <v/>
      </c>
      <c r="N1123" s="8">
        <v>0</v>
      </c>
      <c r="Q1123" s="1"/>
      <c r="R1123" s="1"/>
      <c r="S1123" s="1"/>
      <c r="T1123" s="8"/>
      <c r="U1123" s="8"/>
      <c r="V1123" s="1"/>
      <c r="W1123" s="1"/>
      <c r="X1123" s="1"/>
      <c r="Z1123" s="8"/>
    </row>
    <row r="1124" spans="1:26" x14ac:dyDescent="0.2">
      <c r="A1124" s="12">
        <f t="shared" si="53"/>
        <v>1112</v>
      </c>
      <c r="E1124" s="10" t="str">
        <f t="shared" si="51"/>
        <v/>
      </c>
      <c r="I1124" s="53" t="str">
        <f t="shared" si="52"/>
        <v/>
      </c>
      <c r="N1124" s="8">
        <v>0</v>
      </c>
      <c r="Q1124" s="1"/>
      <c r="R1124" s="1"/>
      <c r="S1124" s="1"/>
      <c r="T1124" s="8"/>
      <c r="U1124" s="8"/>
      <c r="V1124" s="1"/>
      <c r="W1124" s="1"/>
      <c r="X1124" s="1"/>
      <c r="Z1124" s="8"/>
    </row>
    <row r="1125" spans="1:26" x14ac:dyDescent="0.2">
      <c r="A1125" s="12">
        <f t="shared" si="53"/>
        <v>1113</v>
      </c>
      <c r="E1125" s="10" t="str">
        <f t="shared" si="51"/>
        <v/>
      </c>
      <c r="I1125" s="53" t="str">
        <f t="shared" si="52"/>
        <v/>
      </c>
      <c r="N1125" s="8">
        <v>0</v>
      </c>
      <c r="Q1125" s="1"/>
      <c r="R1125" s="1"/>
      <c r="S1125" s="1"/>
      <c r="T1125" s="8"/>
      <c r="U1125" s="8"/>
      <c r="V1125" s="1"/>
      <c r="W1125" s="1"/>
      <c r="X1125" s="1"/>
      <c r="Z1125" s="8"/>
    </row>
    <row r="1126" spans="1:26" x14ac:dyDescent="0.2">
      <c r="A1126" s="12">
        <f t="shared" si="53"/>
        <v>1114</v>
      </c>
      <c r="E1126" s="10" t="str">
        <f t="shared" si="51"/>
        <v/>
      </c>
      <c r="I1126" s="53" t="str">
        <f t="shared" si="52"/>
        <v/>
      </c>
      <c r="N1126" s="8">
        <v>0</v>
      </c>
      <c r="Q1126" s="1"/>
      <c r="R1126" s="1"/>
      <c r="S1126" s="1"/>
      <c r="T1126" s="8"/>
      <c r="U1126" s="8"/>
      <c r="V1126" s="1"/>
      <c r="W1126" s="1"/>
      <c r="X1126" s="1"/>
      <c r="Z1126" s="8"/>
    </row>
    <row r="1127" spans="1:26" x14ac:dyDescent="0.2">
      <c r="A1127" s="12">
        <f t="shared" si="53"/>
        <v>1115</v>
      </c>
      <c r="E1127" s="10" t="str">
        <f t="shared" si="51"/>
        <v/>
      </c>
      <c r="I1127" s="53" t="str">
        <f t="shared" si="52"/>
        <v/>
      </c>
      <c r="N1127" s="8">
        <v>0</v>
      </c>
      <c r="Q1127" s="1"/>
      <c r="R1127" s="1"/>
      <c r="S1127" s="1"/>
      <c r="T1127" s="8"/>
      <c r="U1127" s="8"/>
      <c r="V1127" s="1"/>
      <c r="W1127" s="1"/>
      <c r="X1127" s="1"/>
      <c r="Z1127" s="8"/>
    </row>
    <row r="1128" spans="1:26" x14ac:dyDescent="0.2">
      <c r="A1128" s="12">
        <f t="shared" si="53"/>
        <v>1116</v>
      </c>
      <c r="E1128" s="10" t="str">
        <f t="shared" si="51"/>
        <v/>
      </c>
      <c r="I1128" s="53" t="str">
        <f t="shared" si="52"/>
        <v/>
      </c>
      <c r="N1128" s="8">
        <v>0</v>
      </c>
      <c r="Q1128" s="1"/>
      <c r="R1128" s="1"/>
      <c r="S1128" s="1"/>
      <c r="T1128" s="8"/>
      <c r="U1128" s="8"/>
      <c r="V1128" s="1"/>
      <c r="W1128" s="1"/>
      <c r="X1128" s="1"/>
      <c r="Z1128" s="8"/>
    </row>
    <row r="1129" spans="1:26" x14ac:dyDescent="0.2">
      <c r="A1129" s="12">
        <f t="shared" si="53"/>
        <v>1117</v>
      </c>
      <c r="E1129" s="10" t="str">
        <f t="shared" si="51"/>
        <v/>
      </c>
      <c r="I1129" s="53" t="str">
        <f t="shared" si="52"/>
        <v/>
      </c>
      <c r="N1129" s="8">
        <v>0</v>
      </c>
      <c r="Q1129" s="1"/>
      <c r="R1129" s="1"/>
      <c r="S1129" s="1"/>
      <c r="T1129" s="8"/>
      <c r="U1129" s="8"/>
      <c r="V1129" s="1"/>
      <c r="W1129" s="1"/>
      <c r="X1129" s="1"/>
      <c r="Z1129" s="8"/>
    </row>
    <row r="1130" spans="1:26" x14ac:dyDescent="0.2">
      <c r="A1130" s="12">
        <f t="shared" si="53"/>
        <v>1118</v>
      </c>
      <c r="E1130" s="10" t="str">
        <f t="shared" si="51"/>
        <v/>
      </c>
      <c r="I1130" s="53" t="str">
        <f t="shared" si="52"/>
        <v/>
      </c>
      <c r="N1130" s="8">
        <v>0</v>
      </c>
      <c r="Q1130" s="1"/>
      <c r="R1130" s="1"/>
      <c r="S1130" s="1"/>
      <c r="T1130" s="8"/>
      <c r="U1130" s="8"/>
      <c r="V1130" s="1"/>
      <c r="W1130" s="1"/>
      <c r="X1130" s="1"/>
      <c r="Z1130" s="8"/>
    </row>
    <row r="1131" spans="1:26" x14ac:dyDescent="0.2">
      <c r="A1131" s="12">
        <f t="shared" si="53"/>
        <v>1119</v>
      </c>
      <c r="E1131" s="10" t="str">
        <f t="shared" si="51"/>
        <v/>
      </c>
      <c r="I1131" s="53" t="str">
        <f t="shared" si="52"/>
        <v/>
      </c>
      <c r="N1131" s="8">
        <v>0</v>
      </c>
      <c r="Q1131" s="1"/>
      <c r="R1131" s="1"/>
      <c r="S1131" s="1"/>
      <c r="T1131" s="8"/>
      <c r="U1131" s="8"/>
      <c r="V1131" s="1"/>
      <c r="W1131" s="1"/>
      <c r="X1131" s="1"/>
      <c r="Z1131" s="8"/>
    </row>
    <row r="1132" spans="1:26" x14ac:dyDescent="0.2">
      <c r="A1132" s="12">
        <f t="shared" si="53"/>
        <v>1120</v>
      </c>
      <c r="E1132" s="10" t="str">
        <f t="shared" si="51"/>
        <v/>
      </c>
      <c r="I1132" s="53" t="str">
        <f t="shared" si="52"/>
        <v/>
      </c>
      <c r="N1132" s="8">
        <v>0</v>
      </c>
      <c r="Q1132" s="1"/>
      <c r="R1132" s="1"/>
      <c r="S1132" s="1"/>
      <c r="T1132" s="8"/>
      <c r="U1132" s="8"/>
      <c r="V1132" s="1"/>
      <c r="W1132" s="1"/>
      <c r="X1132" s="1"/>
      <c r="Z1132" s="8"/>
    </row>
    <row r="1133" spans="1:26" x14ac:dyDescent="0.2">
      <c r="A1133" s="12">
        <f t="shared" si="53"/>
        <v>1121</v>
      </c>
      <c r="E1133" s="10" t="str">
        <f t="shared" si="51"/>
        <v/>
      </c>
      <c r="I1133" s="53" t="str">
        <f t="shared" si="52"/>
        <v/>
      </c>
      <c r="N1133" s="8">
        <v>0</v>
      </c>
      <c r="Q1133" s="1"/>
      <c r="R1133" s="1"/>
      <c r="S1133" s="1"/>
      <c r="T1133" s="8"/>
      <c r="U1133" s="8"/>
      <c r="V1133" s="1"/>
      <c r="W1133" s="1"/>
      <c r="X1133" s="1"/>
      <c r="Z1133" s="8"/>
    </row>
    <row r="1134" spans="1:26" x14ac:dyDescent="0.2">
      <c r="A1134" s="12">
        <f t="shared" si="53"/>
        <v>1122</v>
      </c>
      <c r="E1134" s="10" t="str">
        <f t="shared" si="51"/>
        <v/>
      </c>
      <c r="I1134" s="53" t="str">
        <f t="shared" si="52"/>
        <v/>
      </c>
      <c r="N1134" s="8">
        <v>0</v>
      </c>
      <c r="Q1134" s="1"/>
      <c r="R1134" s="1"/>
      <c r="S1134" s="1"/>
      <c r="T1134" s="8"/>
      <c r="U1134" s="8"/>
      <c r="V1134" s="1"/>
      <c r="W1134" s="1"/>
      <c r="X1134" s="1"/>
      <c r="Z1134" s="8"/>
    </row>
    <row r="1135" spans="1:26" x14ac:dyDescent="0.2">
      <c r="A1135" s="12">
        <f t="shared" si="53"/>
        <v>1123</v>
      </c>
      <c r="E1135" s="10" t="str">
        <f t="shared" si="51"/>
        <v/>
      </c>
      <c r="I1135" s="53" t="str">
        <f t="shared" si="52"/>
        <v/>
      </c>
      <c r="N1135" s="8">
        <v>0</v>
      </c>
      <c r="Q1135" s="1"/>
      <c r="R1135" s="1"/>
      <c r="S1135" s="1"/>
      <c r="T1135" s="8"/>
      <c r="U1135" s="8"/>
      <c r="V1135" s="1"/>
      <c r="W1135" s="1"/>
      <c r="X1135" s="1"/>
      <c r="Z1135" s="8"/>
    </row>
    <row r="1136" spans="1:26" x14ac:dyDescent="0.2">
      <c r="A1136" s="12">
        <f t="shared" si="53"/>
        <v>1124</v>
      </c>
      <c r="E1136" s="10" t="str">
        <f t="shared" si="51"/>
        <v/>
      </c>
      <c r="I1136" s="53" t="str">
        <f t="shared" si="52"/>
        <v/>
      </c>
      <c r="N1136" s="8">
        <v>0</v>
      </c>
      <c r="Q1136" s="1"/>
      <c r="R1136" s="1"/>
      <c r="S1136" s="1"/>
      <c r="T1136" s="8"/>
      <c r="U1136" s="8"/>
      <c r="V1136" s="1"/>
      <c r="W1136" s="1"/>
      <c r="X1136" s="1"/>
      <c r="Z1136" s="8"/>
    </row>
    <row r="1137" spans="1:26" x14ac:dyDescent="0.2">
      <c r="A1137" s="12">
        <f t="shared" si="53"/>
        <v>1125</v>
      </c>
      <c r="E1137" s="10" t="str">
        <f t="shared" si="51"/>
        <v/>
      </c>
      <c r="I1137" s="53" t="str">
        <f t="shared" si="52"/>
        <v/>
      </c>
      <c r="N1137" s="8">
        <v>0</v>
      </c>
      <c r="Q1137" s="1"/>
      <c r="R1137" s="1"/>
      <c r="S1137" s="1"/>
      <c r="T1137" s="8"/>
      <c r="U1137" s="8"/>
      <c r="V1137" s="1"/>
      <c r="W1137" s="1"/>
      <c r="X1137" s="1"/>
      <c r="Z1137" s="8"/>
    </row>
    <row r="1138" spans="1:26" x14ac:dyDescent="0.2">
      <c r="A1138" s="12">
        <f t="shared" si="53"/>
        <v>1126</v>
      </c>
      <c r="E1138" s="10" t="str">
        <f t="shared" si="51"/>
        <v/>
      </c>
      <c r="I1138" s="53" t="str">
        <f t="shared" si="52"/>
        <v/>
      </c>
      <c r="N1138" s="8">
        <v>0</v>
      </c>
      <c r="Q1138" s="1"/>
      <c r="R1138" s="1"/>
      <c r="S1138" s="1"/>
      <c r="T1138" s="8"/>
      <c r="U1138" s="8"/>
      <c r="V1138" s="1"/>
      <c r="W1138" s="1"/>
      <c r="X1138" s="1"/>
      <c r="Z1138" s="8"/>
    </row>
    <row r="1139" spans="1:26" x14ac:dyDescent="0.2">
      <c r="A1139" s="12">
        <f t="shared" si="53"/>
        <v>1127</v>
      </c>
      <c r="E1139" s="10" t="str">
        <f t="shared" si="51"/>
        <v/>
      </c>
      <c r="I1139" s="53" t="str">
        <f t="shared" si="52"/>
        <v/>
      </c>
      <c r="N1139" s="8">
        <v>0</v>
      </c>
      <c r="Q1139" s="1"/>
      <c r="R1139" s="1"/>
      <c r="S1139" s="1"/>
      <c r="T1139" s="8"/>
      <c r="U1139" s="8"/>
      <c r="V1139" s="1"/>
      <c r="W1139" s="1"/>
      <c r="X1139" s="1"/>
      <c r="Z1139" s="8"/>
    </row>
    <row r="1140" spans="1:26" x14ac:dyDescent="0.2">
      <c r="A1140" s="12">
        <f t="shared" si="53"/>
        <v>1128</v>
      </c>
      <c r="E1140" s="10" t="str">
        <f t="shared" si="51"/>
        <v/>
      </c>
      <c r="I1140" s="53" t="str">
        <f t="shared" si="52"/>
        <v/>
      </c>
      <c r="N1140" s="8">
        <v>0</v>
      </c>
      <c r="Q1140" s="1"/>
      <c r="R1140" s="1"/>
      <c r="S1140" s="1"/>
      <c r="T1140" s="8"/>
      <c r="U1140" s="8"/>
      <c r="V1140" s="1"/>
      <c r="W1140" s="1"/>
      <c r="X1140" s="1"/>
      <c r="Z1140" s="8"/>
    </row>
    <row r="1141" spans="1:26" x14ac:dyDescent="0.2">
      <c r="A1141" s="12">
        <f t="shared" si="53"/>
        <v>1129</v>
      </c>
      <c r="E1141" s="10" t="str">
        <f t="shared" si="51"/>
        <v/>
      </c>
      <c r="I1141" s="53" t="str">
        <f t="shared" si="52"/>
        <v/>
      </c>
      <c r="N1141" s="8">
        <v>0</v>
      </c>
      <c r="Q1141" s="1"/>
      <c r="R1141" s="1"/>
      <c r="S1141" s="1"/>
      <c r="T1141" s="8"/>
      <c r="U1141" s="8"/>
      <c r="V1141" s="1"/>
      <c r="W1141" s="1"/>
      <c r="X1141" s="1"/>
      <c r="Z1141" s="8"/>
    </row>
    <row r="1142" spans="1:26" x14ac:dyDescent="0.2">
      <c r="A1142" s="12">
        <f t="shared" si="53"/>
        <v>1130</v>
      </c>
      <c r="E1142" s="10" t="str">
        <f t="shared" si="51"/>
        <v/>
      </c>
      <c r="I1142" s="53" t="str">
        <f t="shared" si="52"/>
        <v/>
      </c>
      <c r="N1142" s="8">
        <v>0</v>
      </c>
      <c r="Q1142" s="1"/>
      <c r="R1142" s="1"/>
      <c r="S1142" s="1"/>
      <c r="T1142" s="8"/>
      <c r="U1142" s="8"/>
      <c r="V1142" s="1"/>
      <c r="W1142" s="1"/>
      <c r="X1142" s="1"/>
      <c r="Z1142" s="8"/>
    </row>
    <row r="1143" spans="1:26" x14ac:dyDescent="0.2">
      <c r="A1143" s="12">
        <f t="shared" si="53"/>
        <v>1131</v>
      </c>
      <c r="E1143" s="10" t="str">
        <f t="shared" si="51"/>
        <v/>
      </c>
      <c r="I1143" s="53" t="str">
        <f t="shared" si="52"/>
        <v/>
      </c>
      <c r="N1143" s="8">
        <v>0</v>
      </c>
      <c r="Q1143" s="1"/>
      <c r="R1143" s="1"/>
      <c r="S1143" s="1"/>
      <c r="T1143" s="8"/>
      <c r="U1143" s="8"/>
      <c r="V1143" s="1"/>
      <c r="W1143" s="1"/>
      <c r="X1143" s="1"/>
      <c r="Z1143" s="8"/>
    </row>
    <row r="1144" spans="1:26" x14ac:dyDescent="0.2">
      <c r="A1144" s="12">
        <f t="shared" si="53"/>
        <v>1132</v>
      </c>
      <c r="E1144" s="10" t="str">
        <f t="shared" si="51"/>
        <v/>
      </c>
      <c r="I1144" s="53" t="str">
        <f t="shared" si="52"/>
        <v/>
      </c>
      <c r="N1144" s="8">
        <v>0</v>
      </c>
      <c r="Q1144" s="1"/>
      <c r="R1144" s="1"/>
      <c r="S1144" s="1"/>
      <c r="T1144" s="8"/>
      <c r="U1144" s="8"/>
      <c r="V1144" s="1"/>
      <c r="W1144" s="1"/>
      <c r="X1144" s="1"/>
      <c r="Z1144" s="8"/>
    </row>
    <row r="1145" spans="1:26" x14ac:dyDescent="0.2">
      <c r="A1145" s="12">
        <f t="shared" si="53"/>
        <v>1133</v>
      </c>
      <c r="E1145" s="10" t="str">
        <f t="shared" si="51"/>
        <v/>
      </c>
      <c r="I1145" s="53" t="str">
        <f t="shared" si="52"/>
        <v/>
      </c>
      <c r="N1145" s="8">
        <v>0</v>
      </c>
      <c r="Q1145" s="1"/>
      <c r="R1145" s="1"/>
      <c r="S1145" s="1"/>
      <c r="T1145" s="8"/>
      <c r="U1145" s="8"/>
      <c r="V1145" s="1"/>
      <c r="W1145" s="1"/>
      <c r="X1145" s="1"/>
      <c r="Z1145" s="8"/>
    </row>
    <row r="1146" spans="1:26" x14ac:dyDescent="0.2">
      <c r="A1146" s="12">
        <f t="shared" si="53"/>
        <v>1134</v>
      </c>
      <c r="E1146" s="10" t="str">
        <f t="shared" si="51"/>
        <v/>
      </c>
      <c r="I1146" s="53" t="str">
        <f t="shared" si="52"/>
        <v/>
      </c>
      <c r="N1146" s="8">
        <v>0</v>
      </c>
      <c r="Q1146" s="1"/>
      <c r="R1146" s="1"/>
      <c r="S1146" s="1"/>
      <c r="T1146" s="8"/>
      <c r="U1146" s="8"/>
      <c r="V1146" s="1"/>
      <c r="W1146" s="1"/>
      <c r="X1146" s="1"/>
      <c r="Z1146" s="8"/>
    </row>
    <row r="1147" spans="1:26" x14ac:dyDescent="0.2">
      <c r="A1147" s="12">
        <f t="shared" si="53"/>
        <v>1135</v>
      </c>
      <c r="E1147" s="10" t="str">
        <f t="shared" si="51"/>
        <v/>
      </c>
      <c r="I1147" s="53" t="str">
        <f t="shared" si="52"/>
        <v/>
      </c>
      <c r="N1147" s="8">
        <v>0</v>
      </c>
      <c r="Q1147" s="1"/>
      <c r="R1147" s="1"/>
      <c r="S1147" s="1"/>
      <c r="T1147" s="8"/>
      <c r="U1147" s="8"/>
      <c r="V1147" s="1"/>
      <c r="W1147" s="1"/>
      <c r="X1147" s="1"/>
      <c r="Z1147" s="8"/>
    </row>
    <row r="1148" spans="1:26" x14ac:dyDescent="0.2">
      <c r="A1148" s="12">
        <f t="shared" si="53"/>
        <v>1136</v>
      </c>
      <c r="E1148" s="10" t="str">
        <f t="shared" si="51"/>
        <v/>
      </c>
      <c r="I1148" s="53" t="str">
        <f t="shared" si="52"/>
        <v/>
      </c>
      <c r="N1148" s="8">
        <v>0</v>
      </c>
      <c r="Q1148" s="1"/>
      <c r="R1148" s="1"/>
      <c r="S1148" s="1"/>
      <c r="T1148" s="8"/>
      <c r="U1148" s="8"/>
      <c r="V1148" s="1"/>
      <c r="W1148" s="1"/>
      <c r="X1148" s="1"/>
      <c r="Z1148" s="8"/>
    </row>
    <row r="1149" spans="1:26" x14ac:dyDescent="0.2">
      <c r="A1149" s="12">
        <f t="shared" si="53"/>
        <v>1137</v>
      </c>
      <c r="E1149" s="10" t="str">
        <f t="shared" si="51"/>
        <v/>
      </c>
      <c r="I1149" s="53" t="str">
        <f t="shared" si="52"/>
        <v/>
      </c>
      <c r="N1149" s="8">
        <v>0</v>
      </c>
      <c r="Q1149" s="1"/>
      <c r="R1149" s="1"/>
      <c r="S1149" s="1"/>
      <c r="T1149" s="8"/>
      <c r="U1149" s="8"/>
      <c r="V1149" s="1"/>
      <c r="W1149" s="1"/>
      <c r="X1149" s="1"/>
      <c r="Z1149" s="8"/>
    </row>
    <row r="1150" spans="1:26" x14ac:dyDescent="0.2">
      <c r="A1150" s="12">
        <f t="shared" si="53"/>
        <v>1138</v>
      </c>
      <c r="E1150" s="10" t="str">
        <f t="shared" si="51"/>
        <v/>
      </c>
      <c r="I1150" s="53" t="str">
        <f t="shared" si="52"/>
        <v/>
      </c>
      <c r="N1150" s="8">
        <v>0</v>
      </c>
      <c r="Q1150" s="1"/>
      <c r="R1150" s="1"/>
      <c r="S1150" s="1"/>
      <c r="T1150" s="8"/>
      <c r="U1150" s="8"/>
      <c r="V1150" s="1"/>
      <c r="W1150" s="1"/>
      <c r="X1150" s="1"/>
      <c r="Z1150" s="8"/>
    </row>
    <row r="1151" spans="1:26" x14ac:dyDescent="0.2">
      <c r="A1151" s="12">
        <f t="shared" si="53"/>
        <v>1139</v>
      </c>
      <c r="E1151" s="10" t="str">
        <f t="shared" si="51"/>
        <v/>
      </c>
      <c r="I1151" s="53" t="str">
        <f t="shared" si="52"/>
        <v/>
      </c>
      <c r="N1151" s="8">
        <v>0</v>
      </c>
      <c r="Q1151" s="1"/>
      <c r="R1151" s="1"/>
      <c r="S1151" s="1"/>
      <c r="T1151" s="8"/>
      <c r="U1151" s="8"/>
      <c r="V1151" s="1"/>
      <c r="W1151" s="1"/>
      <c r="X1151" s="1"/>
      <c r="Z1151" s="8"/>
    </row>
    <row r="1152" spans="1:26" x14ac:dyDescent="0.2">
      <c r="A1152" s="12">
        <f t="shared" si="53"/>
        <v>1140</v>
      </c>
      <c r="E1152" s="10" t="str">
        <f t="shared" si="51"/>
        <v/>
      </c>
      <c r="I1152" s="53" t="str">
        <f t="shared" si="52"/>
        <v/>
      </c>
      <c r="N1152" s="8">
        <v>0</v>
      </c>
      <c r="Q1152" s="1"/>
      <c r="R1152" s="1"/>
      <c r="S1152" s="1"/>
      <c r="T1152" s="8"/>
      <c r="U1152" s="8"/>
      <c r="V1152" s="1"/>
      <c r="W1152" s="1"/>
      <c r="X1152" s="1"/>
      <c r="Z1152" s="8"/>
    </row>
    <row r="1153" spans="1:26" x14ac:dyDescent="0.2">
      <c r="A1153" s="12">
        <f t="shared" si="53"/>
        <v>1141</v>
      </c>
      <c r="E1153" s="10" t="str">
        <f t="shared" si="51"/>
        <v/>
      </c>
      <c r="I1153" s="53" t="str">
        <f t="shared" si="52"/>
        <v/>
      </c>
      <c r="N1153" s="8">
        <v>0</v>
      </c>
      <c r="Q1153" s="1"/>
      <c r="R1153" s="1"/>
      <c r="S1153" s="1"/>
      <c r="T1153" s="8"/>
      <c r="U1153" s="8"/>
      <c r="V1153" s="1"/>
      <c r="W1153" s="1"/>
      <c r="X1153" s="1"/>
      <c r="Z1153" s="8"/>
    </row>
    <row r="1154" spans="1:26" x14ac:dyDescent="0.2">
      <c r="A1154" s="12">
        <f t="shared" si="53"/>
        <v>1142</v>
      </c>
      <c r="E1154" s="10" t="str">
        <f t="shared" si="51"/>
        <v/>
      </c>
      <c r="I1154" s="53" t="str">
        <f t="shared" si="52"/>
        <v/>
      </c>
      <c r="N1154" s="8">
        <v>0</v>
      </c>
      <c r="Q1154" s="1"/>
      <c r="R1154" s="1"/>
      <c r="S1154" s="1"/>
      <c r="T1154" s="8"/>
      <c r="U1154" s="8"/>
      <c r="V1154" s="1"/>
      <c r="W1154" s="1"/>
      <c r="X1154" s="1"/>
      <c r="Z1154" s="8"/>
    </row>
    <row r="1155" spans="1:26" x14ac:dyDescent="0.2">
      <c r="A1155" s="12">
        <f t="shared" si="53"/>
        <v>1143</v>
      </c>
      <c r="E1155" s="10" t="str">
        <f t="shared" si="51"/>
        <v/>
      </c>
      <c r="I1155" s="53" t="str">
        <f t="shared" si="52"/>
        <v/>
      </c>
      <c r="N1155" s="8">
        <v>0</v>
      </c>
      <c r="Q1155" s="1"/>
      <c r="R1155" s="1"/>
      <c r="S1155" s="1"/>
      <c r="T1155" s="8"/>
      <c r="U1155" s="8"/>
      <c r="V1155" s="1"/>
      <c r="W1155" s="1"/>
      <c r="X1155" s="1"/>
      <c r="Z1155" s="8"/>
    </row>
    <row r="1156" spans="1:26" x14ac:dyDescent="0.2">
      <c r="A1156" s="12">
        <f t="shared" si="53"/>
        <v>1144</v>
      </c>
      <c r="E1156" s="10" t="str">
        <f t="shared" si="51"/>
        <v/>
      </c>
      <c r="I1156" s="53" t="str">
        <f t="shared" si="52"/>
        <v/>
      </c>
      <c r="N1156" s="8">
        <v>0</v>
      </c>
      <c r="Q1156" s="1"/>
      <c r="R1156" s="1"/>
      <c r="S1156" s="1"/>
      <c r="T1156" s="8"/>
      <c r="U1156" s="8"/>
      <c r="V1156" s="1"/>
      <c r="W1156" s="1"/>
      <c r="X1156" s="1"/>
      <c r="Z1156" s="8"/>
    </row>
    <row r="1157" spans="1:26" x14ac:dyDescent="0.2">
      <c r="A1157" s="12">
        <f t="shared" si="53"/>
        <v>1145</v>
      </c>
      <c r="E1157" s="10" t="str">
        <f t="shared" si="51"/>
        <v/>
      </c>
      <c r="I1157" s="53" t="str">
        <f t="shared" si="52"/>
        <v/>
      </c>
      <c r="N1157" s="8">
        <v>0</v>
      </c>
      <c r="Q1157" s="1"/>
      <c r="R1157" s="1"/>
      <c r="S1157" s="1"/>
      <c r="T1157" s="8"/>
      <c r="U1157" s="8"/>
      <c r="V1157" s="1"/>
      <c r="W1157" s="1"/>
      <c r="X1157" s="1"/>
      <c r="Z1157" s="8"/>
    </row>
    <row r="1158" spans="1:26" x14ac:dyDescent="0.2">
      <c r="A1158" s="12">
        <f t="shared" si="53"/>
        <v>1146</v>
      </c>
      <c r="E1158" s="10" t="str">
        <f t="shared" si="51"/>
        <v/>
      </c>
      <c r="I1158" s="53" t="str">
        <f t="shared" si="52"/>
        <v/>
      </c>
      <c r="N1158" s="8">
        <v>0</v>
      </c>
      <c r="Q1158" s="1"/>
      <c r="R1158" s="1"/>
      <c r="S1158" s="1"/>
      <c r="T1158" s="8"/>
      <c r="U1158" s="8"/>
      <c r="V1158" s="1"/>
      <c r="W1158" s="1"/>
      <c r="X1158" s="1"/>
      <c r="Z1158" s="8"/>
    </row>
    <row r="1159" spans="1:26" x14ac:dyDescent="0.2">
      <c r="A1159" s="12">
        <f t="shared" si="53"/>
        <v>1147</v>
      </c>
      <c r="E1159" s="10" t="str">
        <f t="shared" si="51"/>
        <v/>
      </c>
      <c r="I1159" s="53" t="str">
        <f t="shared" si="52"/>
        <v/>
      </c>
      <c r="N1159" s="8">
        <v>0</v>
      </c>
      <c r="Q1159" s="1"/>
      <c r="R1159" s="1"/>
      <c r="S1159" s="1"/>
      <c r="T1159" s="8"/>
      <c r="U1159" s="8"/>
      <c r="V1159" s="1"/>
      <c r="W1159" s="1"/>
      <c r="X1159" s="1"/>
      <c r="Z1159" s="8"/>
    </row>
    <row r="1160" spans="1:26" x14ac:dyDescent="0.2">
      <c r="A1160" s="12">
        <f t="shared" si="53"/>
        <v>1148</v>
      </c>
      <c r="E1160" s="10" t="str">
        <f t="shared" si="51"/>
        <v/>
      </c>
      <c r="I1160" s="53" t="str">
        <f t="shared" si="52"/>
        <v/>
      </c>
      <c r="N1160" s="8">
        <v>0</v>
      </c>
      <c r="Q1160" s="1"/>
      <c r="R1160" s="1"/>
      <c r="S1160" s="1"/>
      <c r="T1160" s="8"/>
      <c r="U1160" s="8"/>
      <c r="V1160" s="1"/>
      <c r="W1160" s="1"/>
      <c r="X1160" s="1"/>
      <c r="Z1160" s="8"/>
    </row>
    <row r="1161" spans="1:26" x14ac:dyDescent="0.2">
      <c r="A1161" s="12">
        <f t="shared" si="53"/>
        <v>1149</v>
      </c>
      <c r="E1161" s="10" t="str">
        <f t="shared" si="51"/>
        <v/>
      </c>
      <c r="I1161" s="53" t="str">
        <f t="shared" si="52"/>
        <v/>
      </c>
      <c r="N1161" s="8">
        <v>0</v>
      </c>
      <c r="Q1161" s="1"/>
      <c r="R1161" s="1"/>
      <c r="S1161" s="1"/>
      <c r="T1161" s="8"/>
      <c r="U1161" s="8"/>
      <c r="V1161" s="1"/>
      <c r="W1161" s="1"/>
      <c r="X1161" s="1"/>
      <c r="Z1161" s="8"/>
    </row>
    <row r="1162" spans="1:26" x14ac:dyDescent="0.2">
      <c r="A1162" s="12">
        <f t="shared" si="53"/>
        <v>1150</v>
      </c>
      <c r="E1162" s="10" t="str">
        <f t="shared" si="51"/>
        <v/>
      </c>
      <c r="I1162" s="53" t="str">
        <f t="shared" si="52"/>
        <v/>
      </c>
      <c r="N1162" s="8">
        <v>0</v>
      </c>
      <c r="Q1162" s="1"/>
      <c r="R1162" s="1"/>
      <c r="S1162" s="1"/>
      <c r="T1162" s="8"/>
      <c r="U1162" s="8"/>
      <c r="V1162" s="1"/>
      <c r="W1162" s="1"/>
      <c r="X1162" s="1"/>
      <c r="Z1162" s="8"/>
    </row>
    <row r="1163" spans="1:26" x14ac:dyDescent="0.2">
      <c r="A1163" s="12">
        <f t="shared" si="53"/>
        <v>1151</v>
      </c>
      <c r="E1163" s="10" t="str">
        <f t="shared" si="51"/>
        <v/>
      </c>
      <c r="I1163" s="53" t="str">
        <f t="shared" si="52"/>
        <v/>
      </c>
      <c r="N1163" s="8">
        <v>0</v>
      </c>
      <c r="Q1163" s="1"/>
      <c r="R1163" s="1"/>
      <c r="S1163" s="1"/>
      <c r="T1163" s="8"/>
      <c r="U1163" s="8"/>
      <c r="V1163" s="1"/>
      <c r="W1163" s="1"/>
      <c r="X1163" s="1"/>
      <c r="Z1163" s="8"/>
    </row>
    <row r="1164" spans="1:26" x14ac:dyDescent="0.2">
      <c r="A1164" s="12">
        <f t="shared" si="53"/>
        <v>1152</v>
      </c>
      <c r="E1164" s="10" t="str">
        <f t="shared" si="51"/>
        <v/>
      </c>
      <c r="I1164" s="53" t="str">
        <f t="shared" si="52"/>
        <v/>
      </c>
      <c r="N1164" s="8">
        <v>0</v>
      </c>
      <c r="Q1164" s="1"/>
      <c r="R1164" s="1"/>
      <c r="S1164" s="1"/>
      <c r="T1164" s="8"/>
      <c r="U1164" s="8"/>
      <c r="V1164" s="1"/>
      <c r="W1164" s="1"/>
      <c r="X1164" s="1"/>
      <c r="Z1164" s="8"/>
    </row>
    <row r="1165" spans="1:26" x14ac:dyDescent="0.2">
      <c r="A1165" s="12">
        <f t="shared" si="53"/>
        <v>1153</v>
      </c>
      <c r="E1165" s="10" t="str">
        <f t="shared" ref="E1165:E1228" si="54">IF($C$8&gt;=A1165,$E$1&amp;" "&amp;A1165,"")</f>
        <v/>
      </c>
      <c r="I1165" s="53" t="str">
        <f t="shared" si="52"/>
        <v/>
      </c>
      <c r="N1165" s="8">
        <v>0</v>
      </c>
      <c r="Q1165" s="1"/>
      <c r="R1165" s="1"/>
      <c r="S1165" s="1"/>
      <c r="T1165" s="8"/>
      <c r="U1165" s="8"/>
      <c r="V1165" s="1"/>
      <c r="W1165" s="1"/>
      <c r="X1165" s="1"/>
      <c r="Z1165" s="8"/>
    </row>
    <row r="1166" spans="1:26" x14ac:dyDescent="0.2">
      <c r="A1166" s="12">
        <f t="shared" si="53"/>
        <v>1154</v>
      </c>
      <c r="E1166" s="10" t="str">
        <f t="shared" si="54"/>
        <v/>
      </c>
      <c r="I1166" s="53" t="str">
        <f t="shared" ref="I1166:I1229" si="55">IF(E1166="","",F1166-G1166-H1166)</f>
        <v/>
      </c>
      <c r="N1166" s="8">
        <v>0</v>
      </c>
      <c r="Q1166" s="1"/>
      <c r="R1166" s="1"/>
      <c r="S1166" s="1"/>
      <c r="T1166" s="8"/>
      <c r="U1166" s="8"/>
      <c r="V1166" s="1"/>
      <c r="W1166" s="1"/>
      <c r="X1166" s="1"/>
      <c r="Z1166" s="8"/>
    </row>
    <row r="1167" spans="1:26" x14ac:dyDescent="0.2">
      <c r="A1167" s="12">
        <f t="shared" ref="A1167:A1230" si="56">A1166+1</f>
        <v>1155</v>
      </c>
      <c r="E1167" s="10" t="str">
        <f t="shared" si="54"/>
        <v/>
      </c>
      <c r="I1167" s="53" t="str">
        <f t="shared" si="55"/>
        <v/>
      </c>
      <c r="N1167" s="8">
        <v>0</v>
      </c>
      <c r="Q1167" s="1"/>
      <c r="R1167" s="1"/>
      <c r="S1167" s="1"/>
      <c r="T1167" s="8"/>
      <c r="U1167" s="8"/>
      <c r="V1167" s="1"/>
      <c r="W1167" s="1"/>
      <c r="X1167" s="1"/>
      <c r="Z1167" s="8"/>
    </row>
    <row r="1168" spans="1:26" x14ac:dyDescent="0.2">
      <c r="A1168" s="12">
        <f t="shared" si="56"/>
        <v>1156</v>
      </c>
      <c r="E1168" s="10" t="str">
        <f t="shared" si="54"/>
        <v/>
      </c>
      <c r="I1168" s="53" t="str">
        <f t="shared" si="55"/>
        <v/>
      </c>
      <c r="N1168" s="8">
        <v>0</v>
      </c>
      <c r="Q1168" s="1"/>
      <c r="R1168" s="1"/>
      <c r="S1168" s="1"/>
      <c r="T1168" s="8"/>
      <c r="U1168" s="8"/>
      <c r="V1168" s="1"/>
      <c r="W1168" s="1"/>
      <c r="X1168" s="1"/>
      <c r="Z1168" s="8"/>
    </row>
    <row r="1169" spans="1:26" x14ac:dyDescent="0.2">
      <c r="A1169" s="12">
        <f t="shared" si="56"/>
        <v>1157</v>
      </c>
      <c r="E1169" s="10" t="str">
        <f t="shared" si="54"/>
        <v/>
      </c>
      <c r="I1169" s="53" t="str">
        <f t="shared" si="55"/>
        <v/>
      </c>
      <c r="N1169" s="8">
        <v>0</v>
      </c>
      <c r="Q1169" s="1"/>
      <c r="R1169" s="1"/>
      <c r="S1169" s="1"/>
      <c r="T1169" s="8"/>
      <c r="U1169" s="8"/>
      <c r="V1169" s="1"/>
      <c r="W1169" s="1"/>
      <c r="X1169" s="1"/>
      <c r="Z1169" s="8"/>
    </row>
    <row r="1170" spans="1:26" x14ac:dyDescent="0.2">
      <c r="A1170" s="12">
        <f t="shared" si="56"/>
        <v>1158</v>
      </c>
      <c r="E1170" s="10" t="str">
        <f t="shared" si="54"/>
        <v/>
      </c>
      <c r="I1170" s="53" t="str">
        <f t="shared" si="55"/>
        <v/>
      </c>
      <c r="N1170" s="8">
        <v>0</v>
      </c>
      <c r="Q1170" s="1"/>
      <c r="R1170" s="1"/>
      <c r="S1170" s="1"/>
      <c r="T1170" s="8"/>
      <c r="U1170" s="8"/>
      <c r="V1170" s="1"/>
      <c r="W1170" s="1"/>
      <c r="X1170" s="1"/>
      <c r="Z1170" s="8"/>
    </row>
    <row r="1171" spans="1:26" x14ac:dyDescent="0.2">
      <c r="A1171" s="12">
        <f t="shared" si="56"/>
        <v>1159</v>
      </c>
      <c r="E1171" s="10" t="str">
        <f t="shared" si="54"/>
        <v/>
      </c>
      <c r="I1171" s="53" t="str">
        <f t="shared" si="55"/>
        <v/>
      </c>
      <c r="N1171" s="8">
        <v>0</v>
      </c>
      <c r="Q1171" s="1"/>
      <c r="R1171" s="1"/>
      <c r="S1171" s="1"/>
      <c r="T1171" s="8"/>
      <c r="U1171" s="8"/>
      <c r="V1171" s="1"/>
      <c r="W1171" s="1"/>
      <c r="X1171" s="1"/>
      <c r="Z1171" s="8"/>
    </row>
    <row r="1172" spans="1:26" x14ac:dyDescent="0.2">
      <c r="A1172" s="12">
        <f t="shared" si="56"/>
        <v>1160</v>
      </c>
      <c r="E1172" s="10" t="str">
        <f t="shared" si="54"/>
        <v/>
      </c>
      <c r="I1172" s="53" t="str">
        <f t="shared" si="55"/>
        <v/>
      </c>
      <c r="N1172" s="8">
        <v>0</v>
      </c>
      <c r="Q1172" s="1"/>
      <c r="R1172" s="1"/>
      <c r="S1172" s="1"/>
      <c r="T1172" s="8"/>
      <c r="U1172" s="8"/>
      <c r="V1172" s="1"/>
      <c r="W1172" s="1"/>
      <c r="X1172" s="1"/>
      <c r="Z1172" s="8"/>
    </row>
    <row r="1173" spans="1:26" x14ac:dyDescent="0.2">
      <c r="A1173" s="12">
        <f t="shared" si="56"/>
        <v>1161</v>
      </c>
      <c r="E1173" s="10" t="str">
        <f t="shared" si="54"/>
        <v/>
      </c>
      <c r="I1173" s="53" t="str">
        <f t="shared" si="55"/>
        <v/>
      </c>
      <c r="N1173" s="8">
        <v>0</v>
      </c>
      <c r="Q1173" s="1"/>
      <c r="R1173" s="1"/>
      <c r="S1173" s="1"/>
      <c r="T1173" s="8"/>
      <c r="U1173" s="8"/>
      <c r="V1173" s="1"/>
      <c r="W1173" s="1"/>
      <c r="X1173" s="1"/>
      <c r="Z1173" s="8"/>
    </row>
    <row r="1174" spans="1:26" x14ac:dyDescent="0.2">
      <c r="A1174" s="12">
        <f t="shared" si="56"/>
        <v>1162</v>
      </c>
      <c r="E1174" s="10" t="str">
        <f t="shared" si="54"/>
        <v/>
      </c>
      <c r="I1174" s="53" t="str">
        <f t="shared" si="55"/>
        <v/>
      </c>
      <c r="N1174" s="8">
        <v>0</v>
      </c>
      <c r="Q1174" s="1"/>
      <c r="R1174" s="1"/>
      <c r="S1174" s="1"/>
      <c r="T1174" s="8"/>
      <c r="U1174" s="8"/>
      <c r="V1174" s="1"/>
      <c r="W1174" s="1"/>
      <c r="X1174" s="1"/>
      <c r="Z1174" s="8"/>
    </row>
    <row r="1175" spans="1:26" x14ac:dyDescent="0.2">
      <c r="A1175" s="12">
        <f t="shared" si="56"/>
        <v>1163</v>
      </c>
      <c r="E1175" s="10" t="str">
        <f t="shared" si="54"/>
        <v/>
      </c>
      <c r="I1175" s="53" t="str">
        <f t="shared" si="55"/>
        <v/>
      </c>
      <c r="N1175" s="8">
        <v>0</v>
      </c>
      <c r="Q1175" s="1"/>
      <c r="R1175" s="1"/>
      <c r="S1175" s="1"/>
      <c r="T1175" s="8"/>
      <c r="U1175" s="8"/>
      <c r="V1175" s="1"/>
      <c r="W1175" s="1"/>
      <c r="X1175" s="1"/>
      <c r="Z1175" s="8"/>
    </row>
    <row r="1176" spans="1:26" x14ac:dyDescent="0.2">
      <c r="A1176" s="12">
        <f t="shared" si="56"/>
        <v>1164</v>
      </c>
      <c r="E1176" s="10" t="str">
        <f t="shared" si="54"/>
        <v/>
      </c>
      <c r="I1176" s="53" t="str">
        <f t="shared" si="55"/>
        <v/>
      </c>
      <c r="N1176" s="8">
        <v>0</v>
      </c>
      <c r="Q1176" s="1"/>
      <c r="R1176" s="1"/>
      <c r="S1176" s="1"/>
      <c r="T1176" s="8"/>
      <c r="U1176" s="8"/>
      <c r="V1176" s="1"/>
      <c r="W1176" s="1"/>
      <c r="X1176" s="1"/>
      <c r="Z1176" s="8"/>
    </row>
    <row r="1177" spans="1:26" x14ac:dyDescent="0.2">
      <c r="A1177" s="12">
        <f t="shared" si="56"/>
        <v>1165</v>
      </c>
      <c r="E1177" s="10" t="str">
        <f t="shared" si="54"/>
        <v/>
      </c>
      <c r="I1177" s="53" t="str">
        <f t="shared" si="55"/>
        <v/>
      </c>
      <c r="N1177" s="8">
        <v>0</v>
      </c>
      <c r="Q1177" s="1"/>
      <c r="R1177" s="1"/>
      <c r="S1177" s="1"/>
      <c r="T1177" s="8"/>
      <c r="U1177" s="8"/>
      <c r="V1177" s="1"/>
      <c r="W1177" s="1"/>
      <c r="X1177" s="1"/>
      <c r="Z1177" s="8"/>
    </row>
    <row r="1178" spans="1:26" x14ac:dyDescent="0.2">
      <c r="A1178" s="12">
        <f t="shared" si="56"/>
        <v>1166</v>
      </c>
      <c r="E1178" s="10" t="str">
        <f t="shared" si="54"/>
        <v/>
      </c>
      <c r="I1178" s="53" t="str">
        <f t="shared" si="55"/>
        <v/>
      </c>
      <c r="N1178" s="8">
        <v>0</v>
      </c>
      <c r="Q1178" s="1"/>
      <c r="R1178" s="1"/>
      <c r="S1178" s="1"/>
      <c r="T1178" s="8"/>
      <c r="U1178" s="8"/>
      <c r="V1178" s="1"/>
      <c r="W1178" s="1"/>
      <c r="X1178" s="1"/>
      <c r="Z1178" s="8"/>
    </row>
    <row r="1179" spans="1:26" x14ac:dyDescent="0.2">
      <c r="A1179" s="12">
        <f t="shared" si="56"/>
        <v>1167</v>
      </c>
      <c r="E1179" s="10" t="str">
        <f t="shared" si="54"/>
        <v/>
      </c>
      <c r="I1179" s="53" t="str">
        <f t="shared" si="55"/>
        <v/>
      </c>
      <c r="N1179" s="8">
        <v>0</v>
      </c>
      <c r="Q1179" s="1"/>
      <c r="R1179" s="1"/>
      <c r="S1179" s="1"/>
      <c r="T1179" s="8"/>
      <c r="U1179" s="8"/>
      <c r="V1179" s="1"/>
      <c r="W1179" s="1"/>
      <c r="X1179" s="1"/>
      <c r="Z1179" s="8"/>
    </row>
    <row r="1180" spans="1:26" x14ac:dyDescent="0.2">
      <c r="A1180" s="12">
        <f t="shared" si="56"/>
        <v>1168</v>
      </c>
      <c r="E1180" s="10" t="str">
        <f t="shared" si="54"/>
        <v/>
      </c>
      <c r="I1180" s="53" t="str">
        <f t="shared" si="55"/>
        <v/>
      </c>
      <c r="N1180" s="8">
        <v>0</v>
      </c>
      <c r="Q1180" s="1"/>
      <c r="R1180" s="1"/>
      <c r="S1180" s="1"/>
      <c r="T1180" s="8"/>
      <c r="U1180" s="8"/>
      <c r="V1180" s="1"/>
      <c r="W1180" s="1"/>
      <c r="X1180" s="1"/>
      <c r="Z1180" s="8"/>
    </row>
    <row r="1181" spans="1:26" x14ac:dyDescent="0.2">
      <c r="A1181" s="12">
        <f t="shared" si="56"/>
        <v>1169</v>
      </c>
      <c r="E1181" s="10" t="str">
        <f t="shared" si="54"/>
        <v/>
      </c>
      <c r="I1181" s="53" t="str">
        <f t="shared" si="55"/>
        <v/>
      </c>
      <c r="N1181" s="8">
        <v>0</v>
      </c>
      <c r="Q1181" s="1"/>
      <c r="R1181" s="1"/>
      <c r="S1181" s="1"/>
      <c r="T1181" s="8"/>
      <c r="U1181" s="8"/>
      <c r="V1181" s="1"/>
      <c r="W1181" s="1"/>
      <c r="X1181" s="1"/>
      <c r="Z1181" s="8"/>
    </row>
    <row r="1182" spans="1:26" x14ac:dyDescent="0.2">
      <c r="A1182" s="12">
        <f t="shared" si="56"/>
        <v>1170</v>
      </c>
      <c r="E1182" s="10" t="str">
        <f t="shared" si="54"/>
        <v/>
      </c>
      <c r="I1182" s="53" t="str">
        <f t="shared" si="55"/>
        <v/>
      </c>
      <c r="N1182" s="8">
        <v>0</v>
      </c>
      <c r="Q1182" s="1"/>
      <c r="R1182" s="1"/>
      <c r="S1182" s="1"/>
      <c r="T1182" s="8"/>
      <c r="U1182" s="8"/>
      <c r="V1182" s="1"/>
      <c r="W1182" s="1"/>
      <c r="X1182" s="1"/>
      <c r="Z1182" s="8"/>
    </row>
    <row r="1183" spans="1:26" x14ac:dyDescent="0.2">
      <c r="A1183" s="12">
        <f t="shared" si="56"/>
        <v>1171</v>
      </c>
      <c r="E1183" s="10" t="str">
        <f t="shared" si="54"/>
        <v/>
      </c>
      <c r="I1183" s="53" t="str">
        <f t="shared" si="55"/>
        <v/>
      </c>
      <c r="N1183" s="8">
        <v>0</v>
      </c>
      <c r="Q1183" s="1"/>
      <c r="R1183" s="1"/>
      <c r="S1183" s="1"/>
      <c r="T1183" s="8"/>
      <c r="U1183" s="8"/>
      <c r="V1183" s="1"/>
      <c r="W1183" s="1"/>
      <c r="X1183" s="1"/>
      <c r="Z1183" s="8"/>
    </row>
    <row r="1184" spans="1:26" x14ac:dyDescent="0.2">
      <c r="A1184" s="12">
        <f t="shared" si="56"/>
        <v>1172</v>
      </c>
      <c r="E1184" s="10" t="str">
        <f t="shared" si="54"/>
        <v/>
      </c>
      <c r="I1184" s="53" t="str">
        <f t="shared" si="55"/>
        <v/>
      </c>
      <c r="N1184" s="8">
        <v>0</v>
      </c>
      <c r="Q1184" s="1"/>
      <c r="R1184" s="1"/>
      <c r="S1184" s="1"/>
      <c r="T1184" s="8"/>
      <c r="U1184" s="8"/>
      <c r="V1184" s="1"/>
      <c r="W1184" s="1"/>
      <c r="X1184" s="1"/>
      <c r="Z1184" s="8"/>
    </row>
    <row r="1185" spans="1:26" x14ac:dyDescent="0.2">
      <c r="A1185" s="12">
        <f t="shared" si="56"/>
        <v>1173</v>
      </c>
      <c r="E1185" s="10" t="str">
        <f t="shared" si="54"/>
        <v/>
      </c>
      <c r="I1185" s="53" t="str">
        <f t="shared" si="55"/>
        <v/>
      </c>
      <c r="N1185" s="8">
        <v>0</v>
      </c>
      <c r="Q1185" s="1"/>
      <c r="R1185" s="1"/>
      <c r="S1185" s="1"/>
      <c r="T1185" s="8"/>
      <c r="U1185" s="8"/>
      <c r="V1185" s="1"/>
      <c r="W1185" s="1"/>
      <c r="X1185" s="1"/>
      <c r="Z1185" s="8"/>
    </row>
    <row r="1186" spans="1:26" x14ac:dyDescent="0.2">
      <c r="A1186" s="12">
        <f t="shared" si="56"/>
        <v>1174</v>
      </c>
      <c r="E1186" s="10" t="str">
        <f t="shared" si="54"/>
        <v/>
      </c>
      <c r="I1186" s="53" t="str">
        <f t="shared" si="55"/>
        <v/>
      </c>
      <c r="N1186" s="8">
        <v>0</v>
      </c>
      <c r="Q1186" s="1"/>
      <c r="R1186" s="1"/>
      <c r="S1186" s="1"/>
      <c r="T1186" s="8"/>
      <c r="U1186" s="8"/>
      <c r="V1186" s="1"/>
      <c r="W1186" s="1"/>
      <c r="X1186" s="1"/>
      <c r="Z1186" s="8"/>
    </row>
    <row r="1187" spans="1:26" x14ac:dyDescent="0.2">
      <c r="A1187" s="12">
        <f t="shared" si="56"/>
        <v>1175</v>
      </c>
      <c r="E1187" s="10" t="str">
        <f t="shared" si="54"/>
        <v/>
      </c>
      <c r="I1187" s="53" t="str">
        <f t="shared" si="55"/>
        <v/>
      </c>
      <c r="N1187" s="8">
        <v>0</v>
      </c>
      <c r="Q1187" s="1"/>
      <c r="R1187" s="1"/>
      <c r="S1187" s="1"/>
      <c r="T1187" s="8"/>
      <c r="U1187" s="8"/>
      <c r="V1187" s="1"/>
      <c r="W1187" s="1"/>
      <c r="X1187" s="1"/>
      <c r="Z1187" s="8"/>
    </row>
    <row r="1188" spans="1:26" x14ac:dyDescent="0.2">
      <c r="A1188" s="12">
        <f t="shared" si="56"/>
        <v>1176</v>
      </c>
      <c r="E1188" s="10" t="str">
        <f t="shared" si="54"/>
        <v/>
      </c>
      <c r="I1188" s="53" t="str">
        <f t="shared" si="55"/>
        <v/>
      </c>
      <c r="N1188" s="8">
        <v>0</v>
      </c>
      <c r="Q1188" s="1"/>
      <c r="R1188" s="1"/>
      <c r="S1188" s="1"/>
      <c r="T1188" s="8"/>
      <c r="U1188" s="8"/>
      <c r="V1188" s="1"/>
      <c r="W1188" s="1"/>
      <c r="X1188" s="1"/>
      <c r="Z1188" s="8"/>
    </row>
    <row r="1189" spans="1:26" x14ac:dyDescent="0.2">
      <c r="A1189" s="12">
        <f t="shared" si="56"/>
        <v>1177</v>
      </c>
      <c r="E1189" s="10" t="str">
        <f t="shared" si="54"/>
        <v/>
      </c>
      <c r="I1189" s="53" t="str">
        <f t="shared" si="55"/>
        <v/>
      </c>
      <c r="N1189" s="8">
        <v>0</v>
      </c>
      <c r="Q1189" s="1"/>
      <c r="R1189" s="1"/>
      <c r="S1189" s="1"/>
      <c r="T1189" s="8"/>
      <c r="U1189" s="8"/>
      <c r="V1189" s="1"/>
      <c r="W1189" s="1"/>
      <c r="X1189" s="1"/>
      <c r="Z1189" s="8"/>
    </row>
    <row r="1190" spans="1:26" x14ac:dyDescent="0.2">
      <c r="A1190" s="12">
        <f t="shared" si="56"/>
        <v>1178</v>
      </c>
      <c r="E1190" s="10" t="str">
        <f t="shared" si="54"/>
        <v/>
      </c>
      <c r="I1190" s="53" t="str">
        <f t="shared" si="55"/>
        <v/>
      </c>
      <c r="N1190" s="8">
        <v>0</v>
      </c>
      <c r="Q1190" s="1"/>
      <c r="R1190" s="1"/>
      <c r="S1190" s="1"/>
      <c r="T1190" s="8"/>
      <c r="U1190" s="8"/>
      <c r="V1190" s="1"/>
      <c r="W1190" s="1"/>
      <c r="X1190" s="1"/>
      <c r="Z1190" s="8"/>
    </row>
    <row r="1191" spans="1:26" x14ac:dyDescent="0.2">
      <c r="A1191" s="12">
        <f t="shared" si="56"/>
        <v>1179</v>
      </c>
      <c r="E1191" s="10" t="str">
        <f t="shared" si="54"/>
        <v/>
      </c>
      <c r="I1191" s="53" t="str">
        <f t="shared" si="55"/>
        <v/>
      </c>
      <c r="N1191" s="8">
        <v>0</v>
      </c>
      <c r="Q1191" s="1"/>
      <c r="R1191" s="1"/>
      <c r="S1191" s="1"/>
      <c r="T1191" s="8"/>
      <c r="U1191" s="8"/>
      <c r="V1191" s="1"/>
      <c r="W1191" s="1"/>
      <c r="X1191" s="1"/>
      <c r="Z1191" s="8"/>
    </row>
    <row r="1192" spans="1:26" x14ac:dyDescent="0.2">
      <c r="A1192" s="12">
        <f t="shared" si="56"/>
        <v>1180</v>
      </c>
      <c r="E1192" s="10" t="str">
        <f t="shared" si="54"/>
        <v/>
      </c>
      <c r="I1192" s="53" t="str">
        <f t="shared" si="55"/>
        <v/>
      </c>
      <c r="N1192" s="8">
        <v>0</v>
      </c>
      <c r="Q1192" s="1"/>
      <c r="R1192" s="1"/>
      <c r="S1192" s="1"/>
      <c r="T1192" s="8"/>
      <c r="U1192" s="8"/>
      <c r="V1192" s="1"/>
      <c r="W1192" s="1"/>
      <c r="X1192" s="1"/>
      <c r="Z1192" s="8"/>
    </row>
    <row r="1193" spans="1:26" x14ac:dyDescent="0.2">
      <c r="A1193" s="12">
        <f t="shared" si="56"/>
        <v>1181</v>
      </c>
      <c r="E1193" s="10" t="str">
        <f t="shared" si="54"/>
        <v/>
      </c>
      <c r="I1193" s="53" t="str">
        <f t="shared" si="55"/>
        <v/>
      </c>
      <c r="N1193" s="8">
        <v>0</v>
      </c>
      <c r="Q1193" s="1"/>
      <c r="R1193" s="1"/>
      <c r="S1193" s="1"/>
      <c r="T1193" s="8"/>
      <c r="U1193" s="8"/>
      <c r="V1193" s="1"/>
      <c r="W1193" s="1"/>
      <c r="X1193" s="1"/>
      <c r="Z1193" s="8"/>
    </row>
    <row r="1194" spans="1:26" x14ac:dyDescent="0.2">
      <c r="A1194" s="12">
        <f t="shared" si="56"/>
        <v>1182</v>
      </c>
      <c r="E1194" s="10" t="str">
        <f t="shared" si="54"/>
        <v/>
      </c>
      <c r="I1194" s="53" t="str">
        <f t="shared" si="55"/>
        <v/>
      </c>
      <c r="N1194" s="8">
        <v>0</v>
      </c>
      <c r="Q1194" s="1"/>
      <c r="R1194" s="1"/>
      <c r="S1194" s="1"/>
      <c r="T1194" s="8"/>
      <c r="U1194" s="8"/>
      <c r="V1194" s="1"/>
      <c r="W1194" s="1"/>
      <c r="X1194" s="1"/>
      <c r="Z1194" s="8"/>
    </row>
    <row r="1195" spans="1:26" x14ac:dyDescent="0.2">
      <c r="A1195" s="12">
        <f t="shared" si="56"/>
        <v>1183</v>
      </c>
      <c r="E1195" s="10" t="str">
        <f t="shared" si="54"/>
        <v/>
      </c>
      <c r="I1195" s="53" t="str">
        <f t="shared" si="55"/>
        <v/>
      </c>
      <c r="N1195" s="8">
        <v>0</v>
      </c>
      <c r="Q1195" s="1"/>
      <c r="R1195" s="1"/>
      <c r="S1195" s="1"/>
      <c r="T1195" s="8"/>
      <c r="U1195" s="8"/>
      <c r="V1195" s="1"/>
      <c r="W1195" s="1"/>
      <c r="X1195" s="1"/>
      <c r="Z1195" s="8"/>
    </row>
    <row r="1196" spans="1:26" x14ac:dyDescent="0.2">
      <c r="A1196" s="12">
        <f t="shared" si="56"/>
        <v>1184</v>
      </c>
      <c r="E1196" s="10" t="str">
        <f t="shared" si="54"/>
        <v/>
      </c>
      <c r="I1196" s="53" t="str">
        <f t="shared" si="55"/>
        <v/>
      </c>
      <c r="N1196" s="8">
        <v>0</v>
      </c>
      <c r="Q1196" s="1"/>
      <c r="R1196" s="1"/>
      <c r="S1196" s="1"/>
      <c r="T1196" s="8"/>
      <c r="U1196" s="8"/>
      <c r="V1196" s="1"/>
      <c r="W1196" s="1"/>
      <c r="X1196" s="1"/>
      <c r="Z1196" s="8"/>
    </row>
    <row r="1197" spans="1:26" x14ac:dyDescent="0.2">
      <c r="A1197" s="12">
        <f t="shared" si="56"/>
        <v>1185</v>
      </c>
      <c r="E1197" s="10" t="str">
        <f t="shared" si="54"/>
        <v/>
      </c>
      <c r="I1197" s="53" t="str">
        <f t="shared" si="55"/>
        <v/>
      </c>
      <c r="N1197" s="8">
        <v>0</v>
      </c>
      <c r="Q1197" s="1"/>
      <c r="R1197" s="1"/>
      <c r="S1197" s="1"/>
      <c r="T1197" s="8"/>
      <c r="U1197" s="8"/>
      <c r="V1197" s="1"/>
      <c r="W1197" s="1"/>
      <c r="X1197" s="1"/>
      <c r="Z1197" s="8"/>
    </row>
    <row r="1198" spans="1:26" x14ac:dyDescent="0.2">
      <c r="A1198" s="12">
        <f t="shared" si="56"/>
        <v>1186</v>
      </c>
      <c r="E1198" s="10" t="str">
        <f t="shared" si="54"/>
        <v/>
      </c>
      <c r="I1198" s="53" t="str">
        <f t="shared" si="55"/>
        <v/>
      </c>
      <c r="N1198" s="8">
        <v>0</v>
      </c>
      <c r="Q1198" s="1"/>
      <c r="R1198" s="1"/>
      <c r="S1198" s="1"/>
      <c r="T1198" s="8"/>
      <c r="U1198" s="8"/>
      <c r="V1198" s="1"/>
      <c r="W1198" s="1"/>
      <c r="X1198" s="1"/>
      <c r="Z1198" s="8"/>
    </row>
    <row r="1199" spans="1:26" x14ac:dyDescent="0.2">
      <c r="A1199" s="12">
        <f t="shared" si="56"/>
        <v>1187</v>
      </c>
      <c r="E1199" s="10" t="str">
        <f t="shared" si="54"/>
        <v/>
      </c>
      <c r="I1199" s="53" t="str">
        <f t="shared" si="55"/>
        <v/>
      </c>
      <c r="N1199" s="8">
        <v>0</v>
      </c>
      <c r="Q1199" s="1"/>
      <c r="R1199" s="1"/>
      <c r="S1199" s="1"/>
      <c r="T1199" s="8"/>
      <c r="U1199" s="8"/>
      <c r="V1199" s="1"/>
      <c r="W1199" s="1"/>
      <c r="X1199" s="1"/>
      <c r="Z1199" s="8"/>
    </row>
    <row r="1200" spans="1:26" x14ac:dyDescent="0.2">
      <c r="A1200" s="12">
        <f t="shared" si="56"/>
        <v>1188</v>
      </c>
      <c r="E1200" s="10" t="str">
        <f t="shared" si="54"/>
        <v/>
      </c>
      <c r="I1200" s="53" t="str">
        <f t="shared" si="55"/>
        <v/>
      </c>
      <c r="N1200" s="8">
        <v>0</v>
      </c>
      <c r="Q1200" s="1"/>
      <c r="R1200" s="1"/>
      <c r="S1200" s="1"/>
      <c r="T1200" s="8"/>
      <c r="U1200" s="8"/>
      <c r="V1200" s="1"/>
      <c r="W1200" s="1"/>
      <c r="X1200" s="1"/>
      <c r="Z1200" s="8"/>
    </row>
    <row r="1201" spans="1:26" x14ac:dyDescent="0.2">
      <c r="A1201" s="12">
        <f t="shared" si="56"/>
        <v>1189</v>
      </c>
      <c r="E1201" s="10" t="str">
        <f t="shared" si="54"/>
        <v/>
      </c>
      <c r="I1201" s="53" t="str">
        <f t="shared" si="55"/>
        <v/>
      </c>
      <c r="N1201" s="8">
        <v>0</v>
      </c>
      <c r="Q1201" s="1"/>
      <c r="R1201" s="1"/>
      <c r="S1201" s="1"/>
      <c r="T1201" s="8"/>
      <c r="U1201" s="8"/>
      <c r="V1201" s="1"/>
      <c r="W1201" s="1"/>
      <c r="X1201" s="1"/>
      <c r="Z1201" s="8"/>
    </row>
    <row r="1202" spans="1:26" x14ac:dyDescent="0.2">
      <c r="A1202" s="12">
        <f t="shared" si="56"/>
        <v>1190</v>
      </c>
      <c r="E1202" s="10" t="str">
        <f t="shared" si="54"/>
        <v/>
      </c>
      <c r="I1202" s="53" t="str">
        <f t="shared" si="55"/>
        <v/>
      </c>
      <c r="N1202" s="8">
        <v>0</v>
      </c>
      <c r="Q1202" s="1"/>
      <c r="R1202" s="1"/>
      <c r="S1202" s="1"/>
      <c r="T1202" s="8"/>
      <c r="U1202" s="8"/>
      <c r="V1202" s="1"/>
      <c r="W1202" s="1"/>
      <c r="X1202" s="1"/>
      <c r="Z1202" s="8"/>
    </row>
    <row r="1203" spans="1:26" x14ac:dyDescent="0.2">
      <c r="A1203" s="12">
        <f t="shared" si="56"/>
        <v>1191</v>
      </c>
      <c r="E1203" s="10" t="str">
        <f t="shared" si="54"/>
        <v/>
      </c>
      <c r="I1203" s="53" t="str">
        <f t="shared" si="55"/>
        <v/>
      </c>
      <c r="N1203" s="8">
        <v>0</v>
      </c>
      <c r="Q1203" s="1"/>
      <c r="R1203" s="1"/>
      <c r="S1203" s="1"/>
      <c r="T1203" s="8"/>
      <c r="U1203" s="8"/>
      <c r="V1203" s="1"/>
      <c r="W1203" s="1"/>
      <c r="X1203" s="1"/>
      <c r="Z1203" s="8"/>
    </row>
    <row r="1204" spans="1:26" x14ac:dyDescent="0.2">
      <c r="A1204" s="12">
        <f t="shared" si="56"/>
        <v>1192</v>
      </c>
      <c r="E1204" s="10" t="str">
        <f t="shared" si="54"/>
        <v/>
      </c>
      <c r="I1204" s="53" t="str">
        <f t="shared" si="55"/>
        <v/>
      </c>
      <c r="N1204" s="8">
        <v>0</v>
      </c>
      <c r="Q1204" s="1"/>
      <c r="R1204" s="1"/>
      <c r="S1204" s="1"/>
      <c r="T1204" s="8"/>
      <c r="U1204" s="8"/>
      <c r="V1204" s="1"/>
      <c r="W1204" s="1"/>
      <c r="X1204" s="1"/>
      <c r="Z1204" s="8"/>
    </row>
    <row r="1205" spans="1:26" x14ac:dyDescent="0.2">
      <c r="A1205" s="12">
        <f t="shared" si="56"/>
        <v>1193</v>
      </c>
      <c r="E1205" s="10" t="str">
        <f t="shared" si="54"/>
        <v/>
      </c>
      <c r="I1205" s="53" t="str">
        <f t="shared" si="55"/>
        <v/>
      </c>
      <c r="N1205" s="8">
        <v>0</v>
      </c>
      <c r="Q1205" s="1"/>
      <c r="R1205" s="1"/>
      <c r="S1205" s="1"/>
      <c r="T1205" s="8"/>
      <c r="U1205" s="8"/>
      <c r="V1205" s="1"/>
      <c r="W1205" s="1"/>
      <c r="X1205" s="1"/>
      <c r="Z1205" s="8"/>
    </row>
    <row r="1206" spans="1:26" x14ac:dyDescent="0.2">
      <c r="A1206" s="12">
        <f t="shared" si="56"/>
        <v>1194</v>
      </c>
      <c r="E1206" s="10" t="str">
        <f t="shared" si="54"/>
        <v/>
      </c>
      <c r="I1206" s="53" t="str">
        <f t="shared" si="55"/>
        <v/>
      </c>
      <c r="N1206" s="8">
        <v>0</v>
      </c>
      <c r="Q1206" s="1"/>
      <c r="R1206" s="1"/>
      <c r="S1206" s="1"/>
      <c r="T1206" s="8"/>
      <c r="U1206" s="8"/>
      <c r="V1206" s="1"/>
      <c r="W1206" s="1"/>
      <c r="X1206" s="1"/>
      <c r="Z1206" s="8"/>
    </row>
    <row r="1207" spans="1:26" x14ac:dyDescent="0.2">
      <c r="A1207" s="12">
        <f t="shared" si="56"/>
        <v>1195</v>
      </c>
      <c r="E1207" s="10" t="str">
        <f t="shared" si="54"/>
        <v/>
      </c>
      <c r="I1207" s="53" t="str">
        <f t="shared" si="55"/>
        <v/>
      </c>
      <c r="N1207" s="8">
        <v>0</v>
      </c>
      <c r="Q1207" s="1"/>
      <c r="R1207" s="1"/>
      <c r="S1207" s="1"/>
      <c r="T1207" s="8"/>
      <c r="U1207" s="8"/>
      <c r="V1207" s="1"/>
      <c r="W1207" s="1"/>
      <c r="X1207" s="1"/>
      <c r="Z1207" s="8"/>
    </row>
    <row r="1208" spans="1:26" x14ac:dyDescent="0.2">
      <c r="A1208" s="12">
        <f t="shared" si="56"/>
        <v>1196</v>
      </c>
      <c r="E1208" s="10" t="str">
        <f t="shared" si="54"/>
        <v/>
      </c>
      <c r="I1208" s="53" t="str">
        <f t="shared" si="55"/>
        <v/>
      </c>
      <c r="N1208" s="8">
        <v>0</v>
      </c>
      <c r="Q1208" s="1"/>
      <c r="R1208" s="1"/>
      <c r="S1208" s="1"/>
      <c r="T1208" s="8"/>
      <c r="U1208" s="8"/>
      <c r="V1208" s="1"/>
      <c r="W1208" s="1"/>
      <c r="X1208" s="1"/>
      <c r="Z1208" s="8"/>
    </row>
    <row r="1209" spans="1:26" x14ac:dyDescent="0.2">
      <c r="A1209" s="12">
        <f t="shared" si="56"/>
        <v>1197</v>
      </c>
      <c r="E1209" s="10" t="str">
        <f t="shared" si="54"/>
        <v/>
      </c>
      <c r="I1209" s="53" t="str">
        <f t="shared" si="55"/>
        <v/>
      </c>
      <c r="N1209" s="8">
        <v>0</v>
      </c>
      <c r="Q1209" s="1"/>
      <c r="R1209" s="1"/>
      <c r="S1209" s="1"/>
      <c r="T1209" s="8"/>
      <c r="U1209" s="8"/>
      <c r="V1209" s="1"/>
      <c r="W1209" s="1"/>
      <c r="X1209" s="1"/>
      <c r="Z1209" s="8"/>
    </row>
    <row r="1210" spans="1:26" x14ac:dyDescent="0.2">
      <c r="A1210" s="12">
        <f t="shared" si="56"/>
        <v>1198</v>
      </c>
      <c r="E1210" s="10" t="str">
        <f t="shared" si="54"/>
        <v/>
      </c>
      <c r="I1210" s="53" t="str">
        <f t="shared" si="55"/>
        <v/>
      </c>
      <c r="N1210" s="8">
        <v>0</v>
      </c>
      <c r="Q1210" s="1"/>
      <c r="R1210" s="1"/>
      <c r="S1210" s="1"/>
      <c r="T1210" s="8"/>
      <c r="U1210" s="8"/>
      <c r="V1210" s="1"/>
      <c r="W1210" s="1"/>
      <c r="X1210" s="1"/>
      <c r="Z1210" s="8"/>
    </row>
    <row r="1211" spans="1:26" x14ac:dyDescent="0.2">
      <c r="A1211" s="12">
        <f t="shared" si="56"/>
        <v>1199</v>
      </c>
      <c r="E1211" s="10" t="str">
        <f t="shared" si="54"/>
        <v/>
      </c>
      <c r="I1211" s="53" t="str">
        <f t="shared" si="55"/>
        <v/>
      </c>
      <c r="N1211" s="8">
        <v>0</v>
      </c>
      <c r="Q1211" s="1"/>
      <c r="R1211" s="1"/>
      <c r="S1211" s="1"/>
      <c r="T1211" s="8"/>
      <c r="U1211" s="8"/>
      <c r="V1211" s="1"/>
      <c r="W1211" s="1"/>
      <c r="X1211" s="1"/>
      <c r="Z1211" s="8"/>
    </row>
    <row r="1212" spans="1:26" x14ac:dyDescent="0.2">
      <c r="A1212" s="12">
        <f t="shared" si="56"/>
        <v>1200</v>
      </c>
      <c r="E1212" s="10" t="str">
        <f t="shared" si="54"/>
        <v/>
      </c>
      <c r="I1212" s="53" t="str">
        <f t="shared" si="55"/>
        <v/>
      </c>
      <c r="N1212" s="8">
        <v>0</v>
      </c>
      <c r="Q1212" s="1"/>
      <c r="R1212" s="1"/>
      <c r="S1212" s="1"/>
      <c r="T1212" s="8"/>
      <c r="U1212" s="8"/>
      <c r="V1212" s="1"/>
      <c r="W1212" s="1"/>
      <c r="X1212" s="1"/>
      <c r="Z1212" s="8"/>
    </row>
    <row r="1213" spans="1:26" x14ac:dyDescent="0.2">
      <c r="A1213" s="12">
        <f t="shared" si="56"/>
        <v>1201</v>
      </c>
      <c r="E1213" s="10" t="str">
        <f t="shared" si="54"/>
        <v/>
      </c>
      <c r="I1213" s="53" t="str">
        <f t="shared" si="55"/>
        <v/>
      </c>
      <c r="N1213" s="8">
        <v>0</v>
      </c>
      <c r="Q1213" s="1"/>
      <c r="R1213" s="1"/>
      <c r="S1213" s="1"/>
      <c r="T1213" s="8"/>
      <c r="U1213" s="8"/>
      <c r="V1213" s="1"/>
      <c r="W1213" s="1"/>
      <c r="X1213" s="1"/>
      <c r="Z1213" s="8"/>
    </row>
    <row r="1214" spans="1:26" x14ac:dyDescent="0.2">
      <c r="A1214" s="12">
        <f t="shared" si="56"/>
        <v>1202</v>
      </c>
      <c r="E1214" s="10" t="str">
        <f t="shared" si="54"/>
        <v/>
      </c>
      <c r="I1214" s="53" t="str">
        <f t="shared" si="55"/>
        <v/>
      </c>
      <c r="N1214" s="8">
        <v>0</v>
      </c>
      <c r="Q1214" s="1"/>
      <c r="R1214" s="1"/>
      <c r="S1214" s="1"/>
      <c r="T1214" s="8"/>
      <c r="U1214" s="8"/>
      <c r="V1214" s="1"/>
      <c r="W1214" s="1"/>
      <c r="X1214" s="1"/>
      <c r="Z1214" s="8"/>
    </row>
    <row r="1215" spans="1:26" x14ac:dyDescent="0.2">
      <c r="A1215" s="12">
        <f t="shared" si="56"/>
        <v>1203</v>
      </c>
      <c r="E1215" s="10" t="str">
        <f t="shared" si="54"/>
        <v/>
      </c>
      <c r="I1215" s="53" t="str">
        <f t="shared" si="55"/>
        <v/>
      </c>
      <c r="N1215" s="8">
        <v>0</v>
      </c>
      <c r="Q1215" s="1"/>
      <c r="R1215" s="1"/>
      <c r="S1215" s="1"/>
      <c r="T1215" s="8"/>
      <c r="U1215" s="8"/>
      <c r="V1215" s="1"/>
      <c r="W1215" s="1"/>
      <c r="X1215" s="1"/>
      <c r="Z1215" s="8"/>
    </row>
    <row r="1216" spans="1:26" x14ac:dyDescent="0.2">
      <c r="A1216" s="12">
        <f t="shared" si="56"/>
        <v>1204</v>
      </c>
      <c r="E1216" s="10" t="str">
        <f t="shared" si="54"/>
        <v/>
      </c>
      <c r="I1216" s="53" t="str">
        <f t="shared" si="55"/>
        <v/>
      </c>
      <c r="N1216" s="8">
        <v>0</v>
      </c>
      <c r="Q1216" s="1"/>
      <c r="R1216" s="1"/>
      <c r="S1216" s="1"/>
      <c r="T1216" s="8"/>
      <c r="U1216" s="8"/>
      <c r="V1216" s="1"/>
      <c r="W1216" s="1"/>
      <c r="X1216" s="1"/>
      <c r="Z1216" s="8"/>
    </row>
    <row r="1217" spans="1:26" x14ac:dyDescent="0.2">
      <c r="A1217" s="12">
        <f t="shared" si="56"/>
        <v>1205</v>
      </c>
      <c r="E1217" s="10" t="str">
        <f t="shared" si="54"/>
        <v/>
      </c>
      <c r="I1217" s="53" t="str">
        <f t="shared" si="55"/>
        <v/>
      </c>
      <c r="N1217" s="8">
        <v>0</v>
      </c>
      <c r="Q1217" s="1"/>
      <c r="R1217" s="1"/>
      <c r="S1217" s="1"/>
      <c r="T1217" s="8"/>
      <c r="U1217" s="8"/>
      <c r="V1217" s="1"/>
      <c r="W1217" s="1"/>
      <c r="X1217" s="1"/>
      <c r="Z1217" s="8"/>
    </row>
    <row r="1218" spans="1:26" x14ac:dyDescent="0.2">
      <c r="A1218" s="12">
        <f t="shared" si="56"/>
        <v>1206</v>
      </c>
      <c r="E1218" s="10" t="str">
        <f t="shared" si="54"/>
        <v/>
      </c>
      <c r="I1218" s="53" t="str">
        <f t="shared" si="55"/>
        <v/>
      </c>
      <c r="N1218" s="8">
        <v>0</v>
      </c>
      <c r="Q1218" s="1"/>
      <c r="R1218" s="1"/>
      <c r="S1218" s="1"/>
      <c r="T1218" s="8"/>
      <c r="U1218" s="8"/>
      <c r="V1218" s="1"/>
      <c r="W1218" s="1"/>
      <c r="X1218" s="1"/>
      <c r="Z1218" s="8"/>
    </row>
    <row r="1219" spans="1:26" x14ac:dyDescent="0.2">
      <c r="A1219" s="12">
        <f t="shared" si="56"/>
        <v>1207</v>
      </c>
      <c r="E1219" s="10" t="str">
        <f t="shared" si="54"/>
        <v/>
      </c>
      <c r="I1219" s="53" t="str">
        <f t="shared" si="55"/>
        <v/>
      </c>
      <c r="N1219" s="8">
        <v>0</v>
      </c>
      <c r="Q1219" s="1"/>
      <c r="R1219" s="1"/>
      <c r="S1219" s="1"/>
      <c r="T1219" s="8"/>
      <c r="U1219" s="8"/>
      <c r="V1219" s="1"/>
      <c r="W1219" s="1"/>
      <c r="X1219" s="1"/>
      <c r="Z1219" s="8"/>
    </row>
    <row r="1220" spans="1:26" x14ac:dyDescent="0.2">
      <c r="A1220" s="12">
        <f t="shared" si="56"/>
        <v>1208</v>
      </c>
      <c r="E1220" s="10" t="str">
        <f t="shared" si="54"/>
        <v/>
      </c>
      <c r="I1220" s="53" t="str">
        <f t="shared" si="55"/>
        <v/>
      </c>
      <c r="N1220" s="8">
        <v>0</v>
      </c>
      <c r="Q1220" s="1"/>
      <c r="R1220" s="1"/>
      <c r="S1220" s="1"/>
      <c r="T1220" s="8"/>
      <c r="U1220" s="8"/>
      <c r="V1220" s="1"/>
      <c r="W1220" s="1"/>
      <c r="X1220" s="1"/>
      <c r="Z1220" s="8"/>
    </row>
    <row r="1221" spans="1:26" x14ac:dyDescent="0.2">
      <c r="A1221" s="12">
        <f t="shared" si="56"/>
        <v>1209</v>
      </c>
      <c r="E1221" s="10" t="str">
        <f t="shared" si="54"/>
        <v/>
      </c>
      <c r="I1221" s="53" t="str">
        <f t="shared" si="55"/>
        <v/>
      </c>
      <c r="N1221" s="8">
        <v>0</v>
      </c>
      <c r="Q1221" s="1"/>
      <c r="R1221" s="1"/>
      <c r="S1221" s="1"/>
      <c r="T1221" s="8"/>
      <c r="U1221" s="8"/>
      <c r="V1221" s="1"/>
      <c r="W1221" s="1"/>
      <c r="X1221" s="1"/>
      <c r="Z1221" s="8"/>
    </row>
    <row r="1222" spans="1:26" x14ac:dyDescent="0.2">
      <c r="A1222" s="12">
        <f t="shared" si="56"/>
        <v>1210</v>
      </c>
      <c r="E1222" s="10" t="str">
        <f t="shared" si="54"/>
        <v/>
      </c>
      <c r="I1222" s="53" t="str">
        <f t="shared" si="55"/>
        <v/>
      </c>
      <c r="N1222" s="8">
        <v>0</v>
      </c>
      <c r="Q1222" s="1"/>
      <c r="R1222" s="1"/>
      <c r="S1222" s="1"/>
      <c r="T1222" s="8"/>
      <c r="U1222" s="8"/>
      <c r="V1222" s="1"/>
      <c r="W1222" s="1"/>
      <c r="X1222" s="1"/>
      <c r="Z1222" s="8"/>
    </row>
    <row r="1223" spans="1:26" x14ac:dyDescent="0.2">
      <c r="A1223" s="12">
        <f t="shared" si="56"/>
        <v>1211</v>
      </c>
      <c r="E1223" s="10" t="str">
        <f t="shared" si="54"/>
        <v/>
      </c>
      <c r="I1223" s="53" t="str">
        <f t="shared" si="55"/>
        <v/>
      </c>
      <c r="N1223" s="8">
        <v>0</v>
      </c>
      <c r="Q1223" s="1"/>
      <c r="R1223" s="1"/>
      <c r="S1223" s="1"/>
      <c r="T1223" s="8"/>
      <c r="U1223" s="8"/>
      <c r="V1223" s="1"/>
      <c r="W1223" s="1"/>
      <c r="X1223" s="1"/>
      <c r="Z1223" s="8"/>
    </row>
    <row r="1224" spans="1:26" x14ac:dyDescent="0.2">
      <c r="A1224" s="12">
        <f t="shared" si="56"/>
        <v>1212</v>
      </c>
      <c r="E1224" s="10" t="str">
        <f t="shared" si="54"/>
        <v/>
      </c>
      <c r="I1224" s="53" t="str">
        <f t="shared" si="55"/>
        <v/>
      </c>
      <c r="N1224" s="8">
        <v>0</v>
      </c>
      <c r="Q1224" s="1"/>
      <c r="R1224" s="1"/>
      <c r="S1224" s="1"/>
      <c r="T1224" s="8"/>
      <c r="U1224" s="8"/>
      <c r="V1224" s="1"/>
      <c r="W1224" s="1"/>
      <c r="X1224" s="1"/>
      <c r="Z1224" s="8"/>
    </row>
    <row r="1225" spans="1:26" x14ac:dyDescent="0.2">
      <c r="A1225" s="12">
        <f t="shared" si="56"/>
        <v>1213</v>
      </c>
      <c r="E1225" s="10" t="str">
        <f t="shared" si="54"/>
        <v/>
      </c>
      <c r="I1225" s="53" t="str">
        <f t="shared" si="55"/>
        <v/>
      </c>
      <c r="N1225" s="8">
        <v>0</v>
      </c>
      <c r="Q1225" s="1"/>
      <c r="R1225" s="1"/>
      <c r="S1225" s="1"/>
      <c r="T1225" s="8"/>
      <c r="U1225" s="8"/>
      <c r="V1225" s="1"/>
      <c r="W1225" s="1"/>
      <c r="X1225" s="1"/>
      <c r="Z1225" s="8"/>
    </row>
    <row r="1226" spans="1:26" x14ac:dyDescent="0.2">
      <c r="A1226" s="12">
        <f t="shared" si="56"/>
        <v>1214</v>
      </c>
      <c r="E1226" s="10" t="str">
        <f t="shared" si="54"/>
        <v/>
      </c>
      <c r="I1226" s="53" t="str">
        <f t="shared" si="55"/>
        <v/>
      </c>
      <c r="N1226" s="8">
        <v>0</v>
      </c>
      <c r="Q1226" s="1"/>
      <c r="R1226" s="1"/>
      <c r="S1226" s="1"/>
      <c r="T1226" s="8"/>
      <c r="U1226" s="8"/>
      <c r="V1226" s="1"/>
      <c r="W1226" s="1"/>
      <c r="X1226" s="1"/>
      <c r="Z1226" s="8"/>
    </row>
    <row r="1227" spans="1:26" x14ac:dyDescent="0.2">
      <c r="A1227" s="12">
        <f t="shared" si="56"/>
        <v>1215</v>
      </c>
      <c r="E1227" s="10" t="str">
        <f t="shared" si="54"/>
        <v/>
      </c>
      <c r="I1227" s="53" t="str">
        <f t="shared" si="55"/>
        <v/>
      </c>
      <c r="N1227" s="8">
        <v>0</v>
      </c>
      <c r="Q1227" s="1"/>
      <c r="R1227" s="1"/>
      <c r="S1227" s="1"/>
      <c r="T1227" s="8"/>
      <c r="U1227" s="8"/>
      <c r="V1227" s="1"/>
      <c r="W1227" s="1"/>
      <c r="X1227" s="1"/>
      <c r="Z1227" s="8"/>
    </row>
    <row r="1228" spans="1:26" x14ac:dyDescent="0.2">
      <c r="A1228" s="12">
        <f t="shared" si="56"/>
        <v>1216</v>
      </c>
      <c r="E1228" s="10" t="str">
        <f t="shared" si="54"/>
        <v/>
      </c>
      <c r="I1228" s="53" t="str">
        <f t="shared" si="55"/>
        <v/>
      </c>
      <c r="N1228" s="8">
        <v>0</v>
      </c>
      <c r="Q1228" s="1"/>
      <c r="R1228" s="1"/>
      <c r="S1228" s="1"/>
      <c r="T1228" s="8"/>
      <c r="U1228" s="8"/>
      <c r="V1228" s="1"/>
      <c r="W1228" s="1"/>
      <c r="X1228" s="1"/>
      <c r="Z1228" s="8"/>
    </row>
    <row r="1229" spans="1:26" x14ac:dyDescent="0.2">
      <c r="A1229" s="12">
        <f t="shared" si="56"/>
        <v>1217</v>
      </c>
      <c r="E1229" s="10" t="str">
        <f t="shared" ref="E1229:E1292" si="57">IF($C$8&gt;=A1229,$E$1&amp;" "&amp;A1229,"")</f>
        <v/>
      </c>
      <c r="I1229" s="53" t="str">
        <f t="shared" si="55"/>
        <v/>
      </c>
      <c r="N1229" s="8">
        <v>0</v>
      </c>
      <c r="Q1229" s="1"/>
      <c r="R1229" s="1"/>
      <c r="S1229" s="1"/>
      <c r="T1229" s="8"/>
      <c r="U1229" s="8"/>
      <c r="V1229" s="1"/>
      <c r="W1229" s="1"/>
      <c r="X1229" s="1"/>
      <c r="Z1229" s="8"/>
    </row>
    <row r="1230" spans="1:26" x14ac:dyDescent="0.2">
      <c r="A1230" s="12">
        <f t="shared" si="56"/>
        <v>1218</v>
      </c>
      <c r="E1230" s="10" t="str">
        <f t="shared" si="57"/>
        <v/>
      </c>
      <c r="I1230" s="53" t="str">
        <f t="shared" ref="I1230:I1293" si="58">IF(E1230="","",F1230-G1230-H1230)</f>
        <v/>
      </c>
      <c r="N1230" s="8">
        <v>0</v>
      </c>
      <c r="Q1230" s="1"/>
      <c r="R1230" s="1"/>
      <c r="S1230" s="1"/>
      <c r="T1230" s="8"/>
      <c r="U1230" s="8"/>
      <c r="V1230" s="1"/>
      <c r="W1230" s="1"/>
      <c r="X1230" s="1"/>
      <c r="Z1230" s="8"/>
    </row>
    <row r="1231" spans="1:26" x14ac:dyDescent="0.2">
      <c r="A1231" s="12">
        <f t="shared" ref="A1231:A1294" si="59">A1230+1</f>
        <v>1219</v>
      </c>
      <c r="E1231" s="10" t="str">
        <f t="shared" si="57"/>
        <v/>
      </c>
      <c r="I1231" s="53" t="str">
        <f t="shared" si="58"/>
        <v/>
      </c>
      <c r="N1231" s="8">
        <v>0</v>
      </c>
      <c r="Q1231" s="1"/>
      <c r="R1231" s="1"/>
      <c r="S1231" s="1"/>
      <c r="T1231" s="8"/>
      <c r="U1231" s="8"/>
      <c r="V1231" s="1"/>
      <c r="W1231" s="1"/>
      <c r="X1231" s="1"/>
      <c r="Z1231" s="8"/>
    </row>
    <row r="1232" spans="1:26" x14ac:dyDescent="0.2">
      <c r="A1232" s="12">
        <f t="shared" si="59"/>
        <v>1220</v>
      </c>
      <c r="E1232" s="10" t="str">
        <f t="shared" si="57"/>
        <v/>
      </c>
      <c r="I1232" s="53" t="str">
        <f t="shared" si="58"/>
        <v/>
      </c>
      <c r="N1232" s="8">
        <v>0</v>
      </c>
      <c r="Q1232" s="1"/>
      <c r="R1232" s="1"/>
      <c r="S1232" s="1"/>
      <c r="T1232" s="8"/>
      <c r="U1232" s="8"/>
      <c r="V1232" s="1"/>
      <c r="W1232" s="1"/>
      <c r="X1232" s="1"/>
      <c r="Z1232" s="8"/>
    </row>
    <row r="1233" spans="1:26" x14ac:dyDescent="0.2">
      <c r="A1233" s="12">
        <f t="shared" si="59"/>
        <v>1221</v>
      </c>
      <c r="E1233" s="10" t="str">
        <f t="shared" si="57"/>
        <v/>
      </c>
      <c r="I1233" s="53" t="str">
        <f t="shared" si="58"/>
        <v/>
      </c>
      <c r="N1233" s="8">
        <v>0</v>
      </c>
      <c r="Q1233" s="1"/>
      <c r="R1233" s="1"/>
      <c r="S1233" s="1"/>
      <c r="T1233" s="8"/>
      <c r="U1233" s="8"/>
      <c r="V1233" s="1"/>
      <c r="W1233" s="1"/>
      <c r="X1233" s="1"/>
      <c r="Z1233" s="8"/>
    </row>
    <row r="1234" spans="1:26" x14ac:dyDescent="0.2">
      <c r="A1234" s="12">
        <f t="shared" si="59"/>
        <v>1222</v>
      </c>
      <c r="E1234" s="10" t="str">
        <f t="shared" si="57"/>
        <v/>
      </c>
      <c r="I1234" s="53" t="str">
        <f t="shared" si="58"/>
        <v/>
      </c>
      <c r="N1234" s="8">
        <v>0</v>
      </c>
      <c r="Q1234" s="1"/>
      <c r="R1234" s="1"/>
      <c r="S1234" s="1"/>
      <c r="T1234" s="8"/>
      <c r="U1234" s="8"/>
      <c r="V1234" s="1"/>
      <c r="W1234" s="1"/>
      <c r="X1234" s="1"/>
      <c r="Z1234" s="8"/>
    </row>
    <row r="1235" spans="1:26" x14ac:dyDescent="0.2">
      <c r="A1235" s="12">
        <f t="shared" si="59"/>
        <v>1223</v>
      </c>
      <c r="E1235" s="10" t="str">
        <f t="shared" si="57"/>
        <v/>
      </c>
      <c r="I1235" s="53" t="str">
        <f t="shared" si="58"/>
        <v/>
      </c>
      <c r="N1235" s="8">
        <v>0</v>
      </c>
      <c r="Q1235" s="1"/>
      <c r="R1235" s="1"/>
      <c r="S1235" s="1"/>
      <c r="T1235" s="8"/>
      <c r="U1235" s="8"/>
      <c r="V1235" s="1"/>
      <c r="W1235" s="1"/>
      <c r="X1235" s="1"/>
      <c r="Z1235" s="8"/>
    </row>
    <row r="1236" spans="1:26" x14ac:dyDescent="0.2">
      <c r="A1236" s="12">
        <f t="shared" si="59"/>
        <v>1224</v>
      </c>
      <c r="E1236" s="10" t="str">
        <f t="shared" si="57"/>
        <v/>
      </c>
      <c r="I1236" s="53" t="str">
        <f t="shared" si="58"/>
        <v/>
      </c>
      <c r="N1236" s="8">
        <v>0</v>
      </c>
      <c r="Q1236" s="1"/>
      <c r="R1236" s="1"/>
      <c r="S1236" s="1"/>
      <c r="T1236" s="8"/>
      <c r="U1236" s="8"/>
      <c r="V1236" s="1"/>
      <c r="W1236" s="1"/>
      <c r="X1236" s="1"/>
      <c r="Z1236" s="8"/>
    </row>
    <row r="1237" spans="1:26" x14ac:dyDescent="0.2">
      <c r="A1237" s="12">
        <f t="shared" si="59"/>
        <v>1225</v>
      </c>
      <c r="E1237" s="10" t="str">
        <f t="shared" si="57"/>
        <v/>
      </c>
      <c r="I1237" s="53" t="str">
        <f t="shared" si="58"/>
        <v/>
      </c>
      <c r="N1237" s="8">
        <v>0</v>
      </c>
      <c r="Q1237" s="1"/>
      <c r="R1237" s="1"/>
      <c r="S1237" s="1"/>
      <c r="T1237" s="8"/>
      <c r="U1237" s="8"/>
      <c r="V1237" s="1"/>
      <c r="W1237" s="1"/>
      <c r="X1237" s="1"/>
      <c r="Z1237" s="8"/>
    </row>
    <row r="1238" spans="1:26" x14ac:dyDescent="0.2">
      <c r="A1238" s="12">
        <f t="shared" si="59"/>
        <v>1226</v>
      </c>
      <c r="E1238" s="10" t="str">
        <f t="shared" si="57"/>
        <v/>
      </c>
      <c r="I1238" s="53" t="str">
        <f t="shared" si="58"/>
        <v/>
      </c>
      <c r="N1238" s="8">
        <v>0</v>
      </c>
      <c r="Q1238" s="1"/>
      <c r="R1238" s="1"/>
      <c r="S1238" s="1"/>
      <c r="T1238" s="8"/>
      <c r="U1238" s="8"/>
      <c r="V1238" s="1"/>
      <c r="W1238" s="1"/>
      <c r="X1238" s="1"/>
      <c r="Z1238" s="8"/>
    </row>
    <row r="1239" spans="1:26" x14ac:dyDescent="0.2">
      <c r="A1239" s="12">
        <f t="shared" si="59"/>
        <v>1227</v>
      </c>
      <c r="E1239" s="10" t="str">
        <f t="shared" si="57"/>
        <v/>
      </c>
      <c r="I1239" s="53" t="str">
        <f t="shared" si="58"/>
        <v/>
      </c>
      <c r="N1239" s="8">
        <v>0</v>
      </c>
      <c r="Q1239" s="1"/>
      <c r="R1239" s="1"/>
      <c r="S1239" s="1"/>
      <c r="T1239" s="8"/>
      <c r="U1239" s="8"/>
      <c r="V1239" s="1"/>
      <c r="W1239" s="1"/>
      <c r="X1239" s="1"/>
      <c r="Z1239" s="8"/>
    </row>
    <row r="1240" spans="1:26" x14ac:dyDescent="0.2">
      <c r="A1240" s="12">
        <f t="shared" si="59"/>
        <v>1228</v>
      </c>
      <c r="E1240" s="10" t="str">
        <f t="shared" si="57"/>
        <v/>
      </c>
      <c r="I1240" s="53" t="str">
        <f t="shared" si="58"/>
        <v/>
      </c>
      <c r="N1240" s="8">
        <v>0</v>
      </c>
      <c r="Q1240" s="1"/>
      <c r="R1240" s="1"/>
      <c r="S1240" s="1"/>
      <c r="T1240" s="8"/>
      <c r="U1240" s="8"/>
      <c r="V1240" s="1"/>
      <c r="W1240" s="1"/>
      <c r="X1240" s="1"/>
      <c r="Z1240" s="8"/>
    </row>
    <row r="1241" spans="1:26" x14ac:dyDescent="0.2">
      <c r="A1241" s="12">
        <f t="shared" si="59"/>
        <v>1229</v>
      </c>
      <c r="E1241" s="10" t="str">
        <f t="shared" si="57"/>
        <v/>
      </c>
      <c r="I1241" s="53" t="str">
        <f t="shared" si="58"/>
        <v/>
      </c>
      <c r="N1241" s="8">
        <v>0</v>
      </c>
      <c r="Q1241" s="1"/>
      <c r="R1241" s="1"/>
      <c r="S1241" s="1"/>
      <c r="T1241" s="8"/>
      <c r="U1241" s="8"/>
      <c r="V1241" s="1"/>
      <c r="W1241" s="1"/>
      <c r="X1241" s="1"/>
      <c r="Z1241" s="8"/>
    </row>
    <row r="1242" spans="1:26" x14ac:dyDescent="0.2">
      <c r="A1242" s="12">
        <f t="shared" si="59"/>
        <v>1230</v>
      </c>
      <c r="E1242" s="10" t="str">
        <f t="shared" si="57"/>
        <v/>
      </c>
      <c r="I1242" s="53" t="str">
        <f t="shared" si="58"/>
        <v/>
      </c>
      <c r="N1242" s="8">
        <v>0</v>
      </c>
      <c r="Q1242" s="1"/>
      <c r="R1242" s="1"/>
      <c r="S1242" s="1"/>
      <c r="T1242" s="8"/>
      <c r="U1242" s="8"/>
      <c r="V1242" s="1"/>
      <c r="W1242" s="1"/>
      <c r="X1242" s="1"/>
      <c r="Z1242" s="8"/>
    </row>
    <row r="1243" spans="1:26" x14ac:dyDescent="0.2">
      <c r="A1243" s="12">
        <f t="shared" si="59"/>
        <v>1231</v>
      </c>
      <c r="E1243" s="10" t="str">
        <f t="shared" si="57"/>
        <v/>
      </c>
      <c r="I1243" s="53" t="str">
        <f t="shared" si="58"/>
        <v/>
      </c>
      <c r="N1243" s="8">
        <v>0</v>
      </c>
      <c r="Q1243" s="1"/>
      <c r="R1243" s="1"/>
      <c r="S1243" s="1"/>
      <c r="T1243" s="8"/>
      <c r="U1243" s="8"/>
      <c r="V1243" s="1"/>
      <c r="W1243" s="1"/>
      <c r="X1243" s="1"/>
      <c r="Z1243" s="8"/>
    </row>
    <row r="1244" spans="1:26" x14ac:dyDescent="0.2">
      <c r="A1244" s="12">
        <f t="shared" si="59"/>
        <v>1232</v>
      </c>
      <c r="E1244" s="10" t="str">
        <f t="shared" si="57"/>
        <v/>
      </c>
      <c r="I1244" s="53" t="str">
        <f t="shared" si="58"/>
        <v/>
      </c>
      <c r="N1244" s="8">
        <v>0</v>
      </c>
      <c r="Q1244" s="1"/>
      <c r="R1244" s="1"/>
      <c r="S1244" s="1"/>
      <c r="T1244" s="8"/>
      <c r="U1244" s="8"/>
      <c r="V1244" s="1"/>
      <c r="W1244" s="1"/>
      <c r="X1244" s="1"/>
      <c r="Z1244" s="8"/>
    </row>
    <row r="1245" spans="1:26" x14ac:dyDescent="0.2">
      <c r="A1245" s="12">
        <f t="shared" si="59"/>
        <v>1233</v>
      </c>
      <c r="E1245" s="10" t="str">
        <f t="shared" si="57"/>
        <v/>
      </c>
      <c r="I1245" s="53" t="str">
        <f t="shared" si="58"/>
        <v/>
      </c>
      <c r="N1245" s="8">
        <v>0</v>
      </c>
      <c r="Q1245" s="1"/>
      <c r="R1245" s="1"/>
      <c r="S1245" s="1"/>
      <c r="T1245" s="8"/>
      <c r="U1245" s="8"/>
      <c r="V1245" s="1"/>
      <c r="W1245" s="1"/>
      <c r="X1245" s="1"/>
      <c r="Z1245" s="8"/>
    </row>
    <row r="1246" spans="1:26" x14ac:dyDescent="0.2">
      <c r="A1246" s="12">
        <f t="shared" si="59"/>
        <v>1234</v>
      </c>
      <c r="E1246" s="10" t="str">
        <f t="shared" si="57"/>
        <v/>
      </c>
      <c r="I1246" s="53" t="str">
        <f t="shared" si="58"/>
        <v/>
      </c>
      <c r="N1246" s="8">
        <v>0</v>
      </c>
      <c r="Q1246" s="1"/>
      <c r="R1246" s="1"/>
      <c r="S1246" s="1"/>
      <c r="T1246" s="8"/>
      <c r="U1246" s="8"/>
      <c r="V1246" s="1"/>
      <c r="W1246" s="1"/>
      <c r="X1246" s="1"/>
      <c r="Z1246" s="8"/>
    </row>
    <row r="1247" spans="1:26" x14ac:dyDescent="0.2">
      <c r="A1247" s="12">
        <f t="shared" si="59"/>
        <v>1235</v>
      </c>
      <c r="E1247" s="10" t="str">
        <f t="shared" si="57"/>
        <v/>
      </c>
      <c r="I1247" s="53" t="str">
        <f t="shared" si="58"/>
        <v/>
      </c>
      <c r="N1247" s="8">
        <v>0</v>
      </c>
      <c r="Q1247" s="1"/>
      <c r="R1247" s="1"/>
      <c r="S1247" s="1"/>
      <c r="T1247" s="8"/>
      <c r="U1247" s="8"/>
      <c r="V1247" s="1"/>
      <c r="W1247" s="1"/>
      <c r="X1247" s="1"/>
      <c r="Z1247" s="8"/>
    </row>
    <row r="1248" spans="1:26" x14ac:dyDescent="0.2">
      <c r="A1248" s="12">
        <f t="shared" si="59"/>
        <v>1236</v>
      </c>
      <c r="E1248" s="10" t="str">
        <f t="shared" si="57"/>
        <v/>
      </c>
      <c r="I1248" s="53" t="str">
        <f t="shared" si="58"/>
        <v/>
      </c>
      <c r="N1248" s="8">
        <v>0</v>
      </c>
      <c r="Q1248" s="1"/>
      <c r="R1248" s="1"/>
      <c r="S1248" s="1"/>
      <c r="T1248" s="8"/>
      <c r="U1248" s="8"/>
      <c r="V1248" s="1"/>
      <c r="W1248" s="1"/>
      <c r="X1248" s="1"/>
      <c r="Z1248" s="8"/>
    </row>
    <row r="1249" spans="1:26" x14ac:dyDescent="0.2">
      <c r="A1249" s="12">
        <f t="shared" si="59"/>
        <v>1237</v>
      </c>
      <c r="E1249" s="10" t="str">
        <f t="shared" si="57"/>
        <v/>
      </c>
      <c r="I1249" s="53" t="str">
        <f t="shared" si="58"/>
        <v/>
      </c>
      <c r="N1249" s="8">
        <v>0</v>
      </c>
      <c r="Q1249" s="1"/>
      <c r="R1249" s="1"/>
      <c r="S1249" s="1"/>
      <c r="T1249" s="8"/>
      <c r="U1249" s="8"/>
      <c r="V1249" s="1"/>
      <c r="W1249" s="1"/>
      <c r="X1249" s="1"/>
      <c r="Z1249" s="8"/>
    </row>
    <row r="1250" spans="1:26" x14ac:dyDescent="0.2">
      <c r="A1250" s="12">
        <f t="shared" si="59"/>
        <v>1238</v>
      </c>
      <c r="E1250" s="10" t="str">
        <f t="shared" si="57"/>
        <v/>
      </c>
      <c r="I1250" s="53" t="str">
        <f t="shared" si="58"/>
        <v/>
      </c>
      <c r="N1250" s="8">
        <v>0</v>
      </c>
      <c r="Q1250" s="1"/>
      <c r="R1250" s="1"/>
      <c r="S1250" s="1"/>
      <c r="T1250" s="8"/>
      <c r="U1250" s="8"/>
      <c r="V1250" s="1"/>
      <c r="W1250" s="1"/>
      <c r="X1250" s="1"/>
      <c r="Z1250" s="8"/>
    </row>
    <row r="1251" spans="1:26" x14ac:dyDescent="0.2">
      <c r="A1251" s="12">
        <f t="shared" si="59"/>
        <v>1239</v>
      </c>
      <c r="E1251" s="10" t="str">
        <f t="shared" si="57"/>
        <v/>
      </c>
      <c r="I1251" s="53" t="str">
        <f t="shared" si="58"/>
        <v/>
      </c>
      <c r="N1251" s="8">
        <v>0</v>
      </c>
      <c r="Q1251" s="1"/>
      <c r="R1251" s="1"/>
      <c r="S1251" s="1"/>
      <c r="T1251" s="8"/>
      <c r="U1251" s="8"/>
      <c r="V1251" s="1"/>
      <c r="W1251" s="1"/>
      <c r="X1251" s="1"/>
      <c r="Z1251" s="8"/>
    </row>
    <row r="1252" spans="1:26" x14ac:dyDescent="0.2">
      <c r="A1252" s="12">
        <f t="shared" si="59"/>
        <v>1240</v>
      </c>
      <c r="E1252" s="10" t="str">
        <f t="shared" si="57"/>
        <v/>
      </c>
      <c r="I1252" s="53" t="str">
        <f t="shared" si="58"/>
        <v/>
      </c>
      <c r="N1252" s="8">
        <v>0</v>
      </c>
      <c r="Q1252" s="1"/>
      <c r="R1252" s="1"/>
      <c r="S1252" s="1"/>
      <c r="T1252" s="8"/>
      <c r="U1252" s="8"/>
      <c r="V1252" s="1"/>
      <c r="W1252" s="1"/>
      <c r="X1252" s="1"/>
      <c r="Z1252" s="8"/>
    </row>
    <row r="1253" spans="1:26" x14ac:dyDescent="0.2">
      <c r="A1253" s="12">
        <f t="shared" si="59"/>
        <v>1241</v>
      </c>
      <c r="E1253" s="10" t="str">
        <f t="shared" si="57"/>
        <v/>
      </c>
      <c r="I1253" s="53" t="str">
        <f t="shared" si="58"/>
        <v/>
      </c>
      <c r="N1253" s="8">
        <v>0</v>
      </c>
      <c r="Q1253" s="1"/>
      <c r="R1253" s="1"/>
      <c r="S1253" s="1"/>
      <c r="T1253" s="8"/>
      <c r="U1253" s="8"/>
      <c r="V1253" s="1"/>
      <c r="W1253" s="1"/>
      <c r="X1253" s="1"/>
      <c r="Z1253" s="8"/>
    </row>
    <row r="1254" spans="1:26" x14ac:dyDescent="0.2">
      <c r="A1254" s="12">
        <f t="shared" si="59"/>
        <v>1242</v>
      </c>
      <c r="E1254" s="10" t="str">
        <f t="shared" si="57"/>
        <v/>
      </c>
      <c r="I1254" s="53" t="str">
        <f t="shared" si="58"/>
        <v/>
      </c>
      <c r="N1254" s="8">
        <v>0</v>
      </c>
      <c r="Q1254" s="1"/>
      <c r="R1254" s="1"/>
      <c r="S1254" s="1"/>
      <c r="T1254" s="8"/>
      <c r="U1254" s="8"/>
      <c r="V1254" s="1"/>
      <c r="W1254" s="1"/>
      <c r="X1254" s="1"/>
      <c r="Z1254" s="8"/>
    </row>
    <row r="1255" spans="1:26" x14ac:dyDescent="0.2">
      <c r="A1255" s="12">
        <f t="shared" si="59"/>
        <v>1243</v>
      </c>
      <c r="E1255" s="10" t="str">
        <f t="shared" si="57"/>
        <v/>
      </c>
      <c r="I1255" s="53" t="str">
        <f t="shared" si="58"/>
        <v/>
      </c>
      <c r="N1255" s="8">
        <v>0</v>
      </c>
      <c r="Q1255" s="1"/>
      <c r="R1255" s="1"/>
      <c r="S1255" s="1"/>
      <c r="T1255" s="8"/>
      <c r="U1255" s="8"/>
      <c r="V1255" s="1"/>
      <c r="W1255" s="1"/>
      <c r="X1255" s="1"/>
      <c r="Z1255" s="8"/>
    </row>
    <row r="1256" spans="1:26" x14ac:dyDescent="0.2">
      <c r="A1256" s="12">
        <f t="shared" si="59"/>
        <v>1244</v>
      </c>
      <c r="E1256" s="10" t="str">
        <f t="shared" si="57"/>
        <v/>
      </c>
      <c r="I1256" s="53" t="str">
        <f t="shared" si="58"/>
        <v/>
      </c>
      <c r="N1256" s="8">
        <v>0</v>
      </c>
      <c r="Q1256" s="1"/>
      <c r="R1256" s="1"/>
      <c r="S1256" s="1"/>
      <c r="T1256" s="8"/>
      <c r="U1256" s="8"/>
      <c r="V1256" s="1"/>
      <c r="W1256" s="1"/>
      <c r="X1256" s="1"/>
      <c r="Z1256" s="8"/>
    </row>
    <row r="1257" spans="1:26" x14ac:dyDescent="0.2">
      <c r="A1257" s="12">
        <f t="shared" si="59"/>
        <v>1245</v>
      </c>
      <c r="E1257" s="10" t="str">
        <f t="shared" si="57"/>
        <v/>
      </c>
      <c r="I1257" s="53" t="str">
        <f t="shared" si="58"/>
        <v/>
      </c>
      <c r="N1257" s="8">
        <v>0</v>
      </c>
      <c r="Q1257" s="1"/>
      <c r="R1257" s="1"/>
      <c r="S1257" s="1"/>
      <c r="T1257" s="8"/>
      <c r="U1257" s="8"/>
      <c r="V1257" s="1"/>
      <c r="W1257" s="1"/>
      <c r="X1257" s="1"/>
      <c r="Z1257" s="8"/>
    </row>
    <row r="1258" spans="1:26" x14ac:dyDescent="0.2">
      <c r="A1258" s="12">
        <f t="shared" si="59"/>
        <v>1246</v>
      </c>
      <c r="E1258" s="10" t="str">
        <f t="shared" si="57"/>
        <v/>
      </c>
      <c r="I1258" s="53" t="str">
        <f t="shared" si="58"/>
        <v/>
      </c>
      <c r="N1258" s="8">
        <v>0</v>
      </c>
      <c r="Q1258" s="1"/>
      <c r="R1258" s="1"/>
      <c r="S1258" s="1"/>
      <c r="T1258" s="8"/>
      <c r="U1258" s="8"/>
      <c r="V1258" s="1"/>
      <c r="W1258" s="1"/>
      <c r="X1258" s="1"/>
      <c r="Z1258" s="8"/>
    </row>
    <row r="1259" spans="1:26" x14ac:dyDescent="0.2">
      <c r="A1259" s="12">
        <f t="shared" si="59"/>
        <v>1247</v>
      </c>
      <c r="E1259" s="10" t="str">
        <f t="shared" si="57"/>
        <v/>
      </c>
      <c r="I1259" s="53" t="str">
        <f t="shared" si="58"/>
        <v/>
      </c>
      <c r="N1259" s="8">
        <v>0</v>
      </c>
      <c r="Q1259" s="1"/>
      <c r="R1259" s="1"/>
      <c r="S1259" s="1"/>
      <c r="T1259" s="8"/>
      <c r="U1259" s="8"/>
      <c r="V1259" s="1"/>
      <c r="W1259" s="1"/>
      <c r="X1259" s="1"/>
      <c r="Z1259" s="8"/>
    </row>
    <row r="1260" spans="1:26" x14ac:dyDescent="0.2">
      <c r="A1260" s="12">
        <f t="shared" si="59"/>
        <v>1248</v>
      </c>
      <c r="E1260" s="10" t="str">
        <f t="shared" si="57"/>
        <v/>
      </c>
      <c r="I1260" s="53" t="str">
        <f t="shared" si="58"/>
        <v/>
      </c>
      <c r="N1260" s="8">
        <v>0</v>
      </c>
      <c r="Q1260" s="1"/>
      <c r="R1260" s="1"/>
      <c r="S1260" s="1"/>
      <c r="T1260" s="8"/>
      <c r="U1260" s="8"/>
      <c r="V1260" s="1"/>
      <c r="W1260" s="1"/>
      <c r="X1260" s="1"/>
      <c r="Z1260" s="8"/>
    </row>
    <row r="1261" spans="1:26" x14ac:dyDescent="0.2">
      <c r="A1261" s="12">
        <f t="shared" si="59"/>
        <v>1249</v>
      </c>
      <c r="E1261" s="10" t="str">
        <f t="shared" si="57"/>
        <v/>
      </c>
      <c r="I1261" s="53" t="str">
        <f t="shared" si="58"/>
        <v/>
      </c>
      <c r="N1261" s="8">
        <v>0</v>
      </c>
      <c r="Q1261" s="1"/>
      <c r="R1261" s="1"/>
      <c r="S1261" s="1"/>
      <c r="T1261" s="8"/>
      <c r="U1261" s="8"/>
      <c r="V1261" s="1"/>
      <c r="W1261" s="1"/>
      <c r="X1261" s="1"/>
      <c r="Z1261" s="8"/>
    </row>
    <row r="1262" spans="1:26" x14ac:dyDescent="0.2">
      <c r="A1262" s="12">
        <f t="shared" si="59"/>
        <v>1250</v>
      </c>
      <c r="E1262" s="10" t="str">
        <f t="shared" si="57"/>
        <v/>
      </c>
      <c r="I1262" s="53" t="str">
        <f t="shared" si="58"/>
        <v/>
      </c>
      <c r="N1262" s="8">
        <v>0</v>
      </c>
      <c r="Q1262" s="1"/>
      <c r="R1262" s="1"/>
      <c r="S1262" s="1"/>
      <c r="T1262" s="8"/>
      <c r="U1262" s="8"/>
      <c r="V1262" s="1"/>
      <c r="W1262" s="1"/>
      <c r="X1262" s="1"/>
      <c r="Z1262" s="8"/>
    </row>
    <row r="1263" spans="1:26" x14ac:dyDescent="0.2">
      <c r="A1263" s="12">
        <f t="shared" si="59"/>
        <v>1251</v>
      </c>
      <c r="E1263" s="10" t="str">
        <f t="shared" si="57"/>
        <v/>
      </c>
      <c r="I1263" s="53" t="str">
        <f t="shared" si="58"/>
        <v/>
      </c>
      <c r="N1263" s="8">
        <v>0</v>
      </c>
      <c r="Q1263" s="1"/>
      <c r="R1263" s="1"/>
      <c r="S1263" s="1"/>
      <c r="T1263" s="8"/>
      <c r="U1263" s="8"/>
      <c r="V1263" s="1"/>
      <c r="W1263" s="1"/>
      <c r="X1263" s="1"/>
      <c r="Z1263" s="8"/>
    </row>
    <row r="1264" spans="1:26" x14ac:dyDescent="0.2">
      <c r="A1264" s="12">
        <f t="shared" si="59"/>
        <v>1252</v>
      </c>
      <c r="E1264" s="10" t="str">
        <f t="shared" si="57"/>
        <v/>
      </c>
      <c r="I1264" s="53" t="str">
        <f t="shared" si="58"/>
        <v/>
      </c>
      <c r="N1264" s="8">
        <v>0</v>
      </c>
      <c r="Q1264" s="1"/>
      <c r="R1264" s="1"/>
      <c r="S1264" s="1"/>
      <c r="T1264" s="8"/>
      <c r="U1264" s="8"/>
      <c r="V1264" s="1"/>
      <c r="W1264" s="1"/>
      <c r="X1264" s="1"/>
      <c r="Z1264" s="8"/>
    </row>
    <row r="1265" spans="1:26" x14ac:dyDescent="0.2">
      <c r="A1265" s="12">
        <f t="shared" si="59"/>
        <v>1253</v>
      </c>
      <c r="E1265" s="10" t="str">
        <f t="shared" si="57"/>
        <v/>
      </c>
      <c r="I1265" s="53" t="str">
        <f t="shared" si="58"/>
        <v/>
      </c>
      <c r="N1265" s="8">
        <v>0</v>
      </c>
      <c r="Q1265" s="1"/>
      <c r="R1265" s="1"/>
      <c r="S1265" s="1"/>
      <c r="T1265" s="8"/>
      <c r="U1265" s="8"/>
      <c r="V1265" s="1"/>
      <c r="W1265" s="1"/>
      <c r="X1265" s="1"/>
      <c r="Z1265" s="8"/>
    </row>
    <row r="1266" spans="1:26" x14ac:dyDescent="0.2">
      <c r="A1266" s="12">
        <f t="shared" si="59"/>
        <v>1254</v>
      </c>
      <c r="E1266" s="10" t="str">
        <f t="shared" si="57"/>
        <v/>
      </c>
      <c r="I1266" s="53" t="str">
        <f t="shared" si="58"/>
        <v/>
      </c>
      <c r="N1266" s="8">
        <v>0</v>
      </c>
      <c r="Q1266" s="1"/>
      <c r="R1266" s="1"/>
      <c r="S1266" s="1"/>
      <c r="T1266" s="8"/>
      <c r="U1266" s="8"/>
      <c r="V1266" s="1"/>
      <c r="W1266" s="1"/>
      <c r="X1266" s="1"/>
      <c r="Z1266" s="8"/>
    </row>
    <row r="1267" spans="1:26" x14ac:dyDescent="0.2">
      <c r="A1267" s="12">
        <f t="shared" si="59"/>
        <v>1255</v>
      </c>
      <c r="E1267" s="10" t="str">
        <f t="shared" si="57"/>
        <v/>
      </c>
      <c r="I1267" s="53" t="str">
        <f t="shared" si="58"/>
        <v/>
      </c>
      <c r="N1267" s="8">
        <v>0</v>
      </c>
      <c r="Q1267" s="1"/>
      <c r="R1267" s="1"/>
      <c r="S1267" s="1"/>
      <c r="T1267" s="8"/>
      <c r="U1267" s="8"/>
      <c r="V1267" s="1"/>
      <c r="W1267" s="1"/>
      <c r="X1267" s="1"/>
      <c r="Z1267" s="8"/>
    </row>
    <row r="1268" spans="1:26" x14ac:dyDescent="0.2">
      <c r="A1268" s="12">
        <f t="shared" si="59"/>
        <v>1256</v>
      </c>
      <c r="E1268" s="10" t="str">
        <f t="shared" si="57"/>
        <v/>
      </c>
      <c r="I1268" s="53" t="str">
        <f t="shared" si="58"/>
        <v/>
      </c>
      <c r="N1268" s="8">
        <v>0</v>
      </c>
      <c r="Q1268" s="1"/>
      <c r="R1268" s="1"/>
      <c r="S1268" s="1"/>
      <c r="T1268" s="8"/>
      <c r="U1268" s="8"/>
      <c r="V1268" s="1"/>
      <c r="W1268" s="1"/>
      <c r="X1268" s="1"/>
      <c r="Z1268" s="8"/>
    </row>
    <row r="1269" spans="1:26" x14ac:dyDescent="0.2">
      <c r="A1269" s="12">
        <f t="shared" si="59"/>
        <v>1257</v>
      </c>
      <c r="E1269" s="10" t="str">
        <f t="shared" si="57"/>
        <v/>
      </c>
      <c r="I1269" s="53" t="str">
        <f t="shared" si="58"/>
        <v/>
      </c>
      <c r="N1269" s="8">
        <v>0</v>
      </c>
      <c r="Q1269" s="1"/>
      <c r="R1269" s="1"/>
      <c r="S1269" s="1"/>
      <c r="T1269" s="8"/>
      <c r="U1269" s="8"/>
      <c r="V1269" s="1"/>
      <c r="W1269" s="1"/>
      <c r="X1269" s="1"/>
      <c r="Z1269" s="8"/>
    </row>
    <row r="1270" spans="1:26" x14ac:dyDescent="0.2">
      <c r="A1270" s="12">
        <f t="shared" si="59"/>
        <v>1258</v>
      </c>
      <c r="E1270" s="10" t="str">
        <f t="shared" si="57"/>
        <v/>
      </c>
      <c r="I1270" s="53" t="str">
        <f t="shared" si="58"/>
        <v/>
      </c>
      <c r="N1270" s="8">
        <v>0</v>
      </c>
      <c r="Q1270" s="1"/>
      <c r="R1270" s="1"/>
      <c r="S1270" s="1"/>
      <c r="T1270" s="8"/>
      <c r="U1270" s="8"/>
      <c r="V1270" s="1"/>
      <c r="W1270" s="1"/>
      <c r="X1270" s="1"/>
      <c r="Z1270" s="8"/>
    </row>
    <row r="1271" spans="1:26" x14ac:dyDescent="0.2">
      <c r="A1271" s="12">
        <f t="shared" si="59"/>
        <v>1259</v>
      </c>
      <c r="E1271" s="10" t="str">
        <f t="shared" si="57"/>
        <v/>
      </c>
      <c r="I1271" s="53" t="str">
        <f t="shared" si="58"/>
        <v/>
      </c>
      <c r="N1271" s="8">
        <v>0</v>
      </c>
      <c r="Q1271" s="1"/>
      <c r="R1271" s="1"/>
      <c r="S1271" s="1"/>
      <c r="T1271" s="8"/>
      <c r="U1271" s="8"/>
      <c r="V1271" s="1"/>
      <c r="W1271" s="1"/>
      <c r="X1271" s="1"/>
      <c r="Z1271" s="8"/>
    </row>
    <row r="1272" spans="1:26" x14ac:dyDescent="0.2">
      <c r="A1272" s="12">
        <f t="shared" si="59"/>
        <v>1260</v>
      </c>
      <c r="E1272" s="10" t="str">
        <f t="shared" si="57"/>
        <v/>
      </c>
      <c r="I1272" s="53" t="str">
        <f t="shared" si="58"/>
        <v/>
      </c>
      <c r="N1272" s="8">
        <v>0</v>
      </c>
      <c r="Q1272" s="1"/>
      <c r="R1272" s="1"/>
      <c r="S1272" s="1"/>
      <c r="T1272" s="8"/>
      <c r="U1272" s="8"/>
      <c r="V1272" s="1"/>
      <c r="W1272" s="1"/>
      <c r="X1272" s="1"/>
      <c r="Z1272" s="8"/>
    </row>
    <row r="1273" spans="1:26" x14ac:dyDescent="0.2">
      <c r="A1273" s="12">
        <f t="shared" si="59"/>
        <v>1261</v>
      </c>
      <c r="E1273" s="10" t="str">
        <f t="shared" si="57"/>
        <v/>
      </c>
      <c r="I1273" s="53" t="str">
        <f t="shared" si="58"/>
        <v/>
      </c>
      <c r="N1273" s="8">
        <v>0</v>
      </c>
      <c r="Q1273" s="1"/>
      <c r="R1273" s="1"/>
      <c r="S1273" s="1"/>
      <c r="T1273" s="8"/>
      <c r="U1273" s="8"/>
      <c r="V1273" s="1"/>
      <c r="W1273" s="1"/>
      <c r="X1273" s="1"/>
      <c r="Z1273" s="8"/>
    </row>
    <row r="1274" spans="1:26" x14ac:dyDescent="0.2">
      <c r="A1274" s="12">
        <f t="shared" si="59"/>
        <v>1262</v>
      </c>
      <c r="E1274" s="10" t="str">
        <f t="shared" si="57"/>
        <v/>
      </c>
      <c r="I1274" s="53" t="str">
        <f t="shared" si="58"/>
        <v/>
      </c>
      <c r="N1274" s="8">
        <v>0</v>
      </c>
      <c r="Q1274" s="1"/>
      <c r="R1274" s="1"/>
      <c r="S1274" s="1"/>
      <c r="T1274" s="8"/>
      <c r="U1274" s="8"/>
      <c r="V1274" s="1"/>
      <c r="W1274" s="1"/>
      <c r="X1274" s="1"/>
      <c r="Z1274" s="8"/>
    </row>
    <row r="1275" spans="1:26" x14ac:dyDescent="0.2">
      <c r="A1275" s="12">
        <f t="shared" si="59"/>
        <v>1263</v>
      </c>
      <c r="E1275" s="10" t="str">
        <f t="shared" si="57"/>
        <v/>
      </c>
      <c r="I1275" s="53" t="str">
        <f t="shared" si="58"/>
        <v/>
      </c>
      <c r="N1275" s="8">
        <v>0</v>
      </c>
      <c r="Q1275" s="1"/>
      <c r="R1275" s="1"/>
      <c r="S1275" s="1"/>
      <c r="T1275" s="8"/>
      <c r="U1275" s="8"/>
      <c r="V1275" s="1"/>
      <c r="W1275" s="1"/>
      <c r="X1275" s="1"/>
      <c r="Z1275" s="8"/>
    </row>
    <row r="1276" spans="1:26" x14ac:dyDescent="0.2">
      <c r="A1276" s="12">
        <f t="shared" si="59"/>
        <v>1264</v>
      </c>
      <c r="E1276" s="10" t="str">
        <f t="shared" si="57"/>
        <v/>
      </c>
      <c r="I1276" s="53" t="str">
        <f t="shared" si="58"/>
        <v/>
      </c>
      <c r="N1276" s="8">
        <v>0</v>
      </c>
      <c r="Q1276" s="1"/>
      <c r="R1276" s="1"/>
      <c r="S1276" s="1"/>
      <c r="T1276" s="8"/>
      <c r="U1276" s="8"/>
      <c r="V1276" s="1"/>
      <c r="W1276" s="1"/>
      <c r="X1276" s="1"/>
      <c r="Z1276" s="8"/>
    </row>
    <row r="1277" spans="1:26" x14ac:dyDescent="0.2">
      <c r="A1277" s="12">
        <f t="shared" si="59"/>
        <v>1265</v>
      </c>
      <c r="E1277" s="10" t="str">
        <f t="shared" si="57"/>
        <v/>
      </c>
      <c r="I1277" s="53" t="str">
        <f t="shared" si="58"/>
        <v/>
      </c>
      <c r="N1277" s="8">
        <v>0</v>
      </c>
      <c r="Q1277" s="1"/>
      <c r="R1277" s="1"/>
      <c r="S1277" s="1"/>
      <c r="T1277" s="8"/>
      <c r="U1277" s="8"/>
      <c r="V1277" s="1"/>
      <c r="W1277" s="1"/>
      <c r="X1277" s="1"/>
      <c r="Z1277" s="8"/>
    </row>
    <row r="1278" spans="1:26" x14ac:dyDescent="0.2">
      <c r="A1278" s="12">
        <f t="shared" si="59"/>
        <v>1266</v>
      </c>
      <c r="E1278" s="10" t="str">
        <f t="shared" si="57"/>
        <v/>
      </c>
      <c r="I1278" s="53" t="str">
        <f t="shared" si="58"/>
        <v/>
      </c>
      <c r="N1278" s="8">
        <v>0</v>
      </c>
      <c r="Q1278" s="1"/>
      <c r="R1278" s="1"/>
      <c r="S1278" s="1"/>
      <c r="T1278" s="8"/>
      <c r="U1278" s="8"/>
      <c r="V1278" s="1"/>
      <c r="W1278" s="1"/>
      <c r="X1278" s="1"/>
      <c r="Z1278" s="8"/>
    </row>
    <row r="1279" spans="1:26" x14ac:dyDescent="0.2">
      <c r="A1279" s="12">
        <f t="shared" si="59"/>
        <v>1267</v>
      </c>
      <c r="E1279" s="10" t="str">
        <f t="shared" si="57"/>
        <v/>
      </c>
      <c r="I1279" s="53" t="str">
        <f t="shared" si="58"/>
        <v/>
      </c>
      <c r="N1279" s="8">
        <v>0</v>
      </c>
      <c r="Q1279" s="1"/>
      <c r="R1279" s="1"/>
      <c r="S1279" s="1"/>
      <c r="T1279" s="8"/>
      <c r="U1279" s="8"/>
      <c r="V1279" s="1"/>
      <c r="W1279" s="1"/>
      <c r="X1279" s="1"/>
      <c r="Z1279" s="8"/>
    </row>
    <row r="1280" spans="1:26" x14ac:dyDescent="0.2">
      <c r="A1280" s="12">
        <f t="shared" si="59"/>
        <v>1268</v>
      </c>
      <c r="E1280" s="10" t="str">
        <f t="shared" si="57"/>
        <v/>
      </c>
      <c r="I1280" s="53" t="str">
        <f t="shared" si="58"/>
        <v/>
      </c>
      <c r="N1280" s="8">
        <v>0</v>
      </c>
      <c r="Q1280" s="1"/>
      <c r="R1280" s="1"/>
      <c r="S1280" s="1"/>
      <c r="T1280" s="8"/>
      <c r="U1280" s="8"/>
      <c r="V1280" s="1"/>
      <c r="W1280" s="1"/>
      <c r="X1280" s="1"/>
      <c r="Z1280" s="8"/>
    </row>
    <row r="1281" spans="1:26" x14ac:dyDescent="0.2">
      <c r="A1281" s="12">
        <f t="shared" si="59"/>
        <v>1269</v>
      </c>
      <c r="E1281" s="10" t="str">
        <f t="shared" si="57"/>
        <v/>
      </c>
      <c r="I1281" s="53" t="str">
        <f t="shared" si="58"/>
        <v/>
      </c>
      <c r="N1281" s="8">
        <v>0</v>
      </c>
      <c r="Q1281" s="1"/>
      <c r="R1281" s="1"/>
      <c r="S1281" s="1"/>
      <c r="T1281" s="8"/>
      <c r="U1281" s="8"/>
      <c r="V1281" s="1"/>
      <c r="W1281" s="1"/>
      <c r="X1281" s="1"/>
      <c r="Z1281" s="8"/>
    </row>
    <row r="1282" spans="1:26" x14ac:dyDescent="0.2">
      <c r="A1282" s="12">
        <f t="shared" si="59"/>
        <v>1270</v>
      </c>
      <c r="E1282" s="10" t="str">
        <f t="shared" si="57"/>
        <v/>
      </c>
      <c r="I1282" s="53" t="str">
        <f t="shared" si="58"/>
        <v/>
      </c>
      <c r="N1282" s="8">
        <v>0</v>
      </c>
      <c r="Q1282" s="1"/>
      <c r="R1282" s="1"/>
      <c r="S1282" s="1"/>
      <c r="T1282" s="8"/>
      <c r="U1282" s="8"/>
      <c r="V1282" s="1"/>
      <c r="W1282" s="1"/>
      <c r="X1282" s="1"/>
      <c r="Z1282" s="8"/>
    </row>
    <row r="1283" spans="1:26" x14ac:dyDescent="0.2">
      <c r="A1283" s="12">
        <f t="shared" si="59"/>
        <v>1271</v>
      </c>
      <c r="E1283" s="10" t="str">
        <f t="shared" si="57"/>
        <v/>
      </c>
      <c r="I1283" s="53" t="str">
        <f t="shared" si="58"/>
        <v/>
      </c>
      <c r="N1283" s="8">
        <v>0</v>
      </c>
      <c r="Q1283" s="1"/>
      <c r="R1283" s="1"/>
      <c r="S1283" s="1"/>
      <c r="T1283" s="8"/>
      <c r="U1283" s="8"/>
      <c r="V1283" s="1"/>
      <c r="W1283" s="1"/>
      <c r="X1283" s="1"/>
      <c r="Z1283" s="8"/>
    </row>
    <row r="1284" spans="1:26" x14ac:dyDescent="0.2">
      <c r="A1284" s="12">
        <f t="shared" si="59"/>
        <v>1272</v>
      </c>
      <c r="E1284" s="10" t="str">
        <f t="shared" si="57"/>
        <v/>
      </c>
      <c r="I1284" s="53" t="str">
        <f t="shared" si="58"/>
        <v/>
      </c>
      <c r="N1284" s="8">
        <v>0</v>
      </c>
      <c r="Q1284" s="1"/>
      <c r="R1284" s="1"/>
      <c r="S1284" s="1"/>
      <c r="T1284" s="8"/>
      <c r="U1284" s="8"/>
      <c r="V1284" s="1"/>
      <c r="W1284" s="1"/>
      <c r="X1284" s="1"/>
      <c r="Z1284" s="8"/>
    </row>
    <row r="1285" spans="1:26" x14ac:dyDescent="0.2">
      <c r="A1285" s="12">
        <f t="shared" si="59"/>
        <v>1273</v>
      </c>
      <c r="E1285" s="10" t="str">
        <f t="shared" si="57"/>
        <v/>
      </c>
      <c r="I1285" s="53" t="str">
        <f t="shared" si="58"/>
        <v/>
      </c>
      <c r="N1285" s="8">
        <v>0</v>
      </c>
      <c r="Q1285" s="1"/>
      <c r="R1285" s="1"/>
      <c r="S1285" s="1"/>
      <c r="T1285" s="8"/>
      <c r="U1285" s="8"/>
      <c r="V1285" s="1"/>
      <c r="W1285" s="1"/>
      <c r="X1285" s="1"/>
      <c r="Z1285" s="8"/>
    </row>
    <row r="1286" spans="1:26" x14ac:dyDescent="0.2">
      <c r="A1286" s="12">
        <f t="shared" si="59"/>
        <v>1274</v>
      </c>
      <c r="E1286" s="10" t="str">
        <f t="shared" si="57"/>
        <v/>
      </c>
      <c r="I1286" s="53" t="str">
        <f t="shared" si="58"/>
        <v/>
      </c>
      <c r="N1286" s="8">
        <v>0</v>
      </c>
      <c r="Q1286" s="1"/>
      <c r="R1286" s="1"/>
      <c r="S1286" s="1"/>
      <c r="T1286" s="8"/>
      <c r="U1286" s="8"/>
      <c r="V1286" s="1"/>
      <c r="W1286" s="1"/>
      <c r="X1286" s="1"/>
      <c r="Z1286" s="8"/>
    </row>
    <row r="1287" spans="1:26" x14ac:dyDescent="0.2">
      <c r="A1287" s="12">
        <f t="shared" si="59"/>
        <v>1275</v>
      </c>
      <c r="E1287" s="10" t="str">
        <f t="shared" si="57"/>
        <v/>
      </c>
      <c r="I1287" s="53" t="str">
        <f t="shared" si="58"/>
        <v/>
      </c>
      <c r="N1287" s="8">
        <v>0</v>
      </c>
      <c r="Q1287" s="1"/>
      <c r="R1287" s="1"/>
      <c r="S1287" s="1"/>
      <c r="T1287" s="8"/>
      <c r="U1287" s="8"/>
      <c r="V1287" s="1"/>
      <c r="W1287" s="1"/>
      <c r="X1287" s="1"/>
      <c r="Z1287" s="8"/>
    </row>
    <row r="1288" spans="1:26" x14ac:dyDescent="0.2">
      <c r="A1288" s="12">
        <f t="shared" si="59"/>
        <v>1276</v>
      </c>
      <c r="E1288" s="10" t="str">
        <f t="shared" si="57"/>
        <v/>
      </c>
      <c r="I1288" s="53" t="str">
        <f t="shared" si="58"/>
        <v/>
      </c>
      <c r="N1288" s="8">
        <v>0</v>
      </c>
      <c r="Q1288" s="1"/>
      <c r="R1288" s="1"/>
      <c r="S1288" s="1"/>
      <c r="T1288" s="8"/>
      <c r="U1288" s="8"/>
      <c r="V1288" s="1"/>
      <c r="W1288" s="1"/>
      <c r="X1288" s="1"/>
      <c r="Z1288" s="8"/>
    </row>
    <row r="1289" spans="1:26" x14ac:dyDescent="0.2">
      <c r="A1289" s="12">
        <f t="shared" si="59"/>
        <v>1277</v>
      </c>
      <c r="E1289" s="10" t="str">
        <f t="shared" si="57"/>
        <v/>
      </c>
      <c r="I1289" s="53" t="str">
        <f t="shared" si="58"/>
        <v/>
      </c>
      <c r="N1289" s="8">
        <v>0</v>
      </c>
      <c r="Q1289" s="1"/>
      <c r="R1289" s="1"/>
      <c r="S1289" s="1"/>
      <c r="T1289" s="8"/>
      <c r="U1289" s="8"/>
      <c r="V1289" s="1"/>
      <c r="W1289" s="1"/>
      <c r="X1289" s="1"/>
      <c r="Z1289" s="8"/>
    </row>
    <row r="1290" spans="1:26" x14ac:dyDescent="0.2">
      <c r="A1290" s="12">
        <f t="shared" si="59"/>
        <v>1278</v>
      </c>
      <c r="E1290" s="10" t="str">
        <f t="shared" si="57"/>
        <v/>
      </c>
      <c r="I1290" s="53" t="str">
        <f t="shared" si="58"/>
        <v/>
      </c>
      <c r="N1290" s="8">
        <v>0</v>
      </c>
      <c r="Q1290" s="1"/>
      <c r="R1290" s="1"/>
      <c r="S1290" s="1"/>
      <c r="T1290" s="8"/>
      <c r="U1290" s="8"/>
      <c r="V1290" s="1"/>
      <c r="W1290" s="1"/>
      <c r="X1290" s="1"/>
      <c r="Z1290" s="8"/>
    </row>
    <row r="1291" spans="1:26" x14ac:dyDescent="0.2">
      <c r="A1291" s="12">
        <f t="shared" si="59"/>
        <v>1279</v>
      </c>
      <c r="E1291" s="10" t="str">
        <f t="shared" si="57"/>
        <v/>
      </c>
      <c r="I1291" s="53" t="str">
        <f t="shared" si="58"/>
        <v/>
      </c>
      <c r="N1291" s="8">
        <v>0</v>
      </c>
      <c r="Q1291" s="1"/>
      <c r="R1291" s="1"/>
      <c r="S1291" s="1"/>
      <c r="T1291" s="8"/>
      <c r="U1291" s="8"/>
      <c r="V1291" s="1"/>
      <c r="W1291" s="1"/>
      <c r="X1291" s="1"/>
      <c r="Z1291" s="8"/>
    </row>
    <row r="1292" spans="1:26" x14ac:dyDescent="0.2">
      <c r="A1292" s="12">
        <f t="shared" si="59"/>
        <v>1280</v>
      </c>
      <c r="E1292" s="10" t="str">
        <f t="shared" si="57"/>
        <v/>
      </c>
      <c r="I1292" s="53" t="str">
        <f t="shared" si="58"/>
        <v/>
      </c>
      <c r="N1292" s="8">
        <v>0</v>
      </c>
      <c r="Q1292" s="1"/>
      <c r="R1292" s="1"/>
      <c r="S1292" s="1"/>
      <c r="T1292" s="8"/>
      <c r="U1292" s="8"/>
      <c r="V1292" s="1"/>
      <c r="W1292" s="1"/>
      <c r="X1292" s="1"/>
      <c r="Z1292" s="8"/>
    </row>
    <row r="1293" spans="1:26" x14ac:dyDescent="0.2">
      <c r="A1293" s="12">
        <f t="shared" si="59"/>
        <v>1281</v>
      </c>
      <c r="E1293" s="10" t="str">
        <f t="shared" ref="E1293:E1356" si="60">IF($C$8&gt;=A1293,$E$1&amp;" "&amp;A1293,"")</f>
        <v/>
      </c>
      <c r="I1293" s="53" t="str">
        <f t="shared" si="58"/>
        <v/>
      </c>
      <c r="N1293" s="8">
        <v>0</v>
      </c>
      <c r="Q1293" s="1"/>
      <c r="R1293" s="1"/>
      <c r="S1293" s="1"/>
      <c r="T1293" s="8"/>
      <c r="U1293" s="8"/>
      <c r="V1293" s="1"/>
      <c r="W1293" s="1"/>
      <c r="X1293" s="1"/>
      <c r="Z1293" s="8"/>
    </row>
    <row r="1294" spans="1:26" x14ac:dyDescent="0.2">
      <c r="A1294" s="12">
        <f t="shared" si="59"/>
        <v>1282</v>
      </c>
      <c r="E1294" s="10" t="str">
        <f t="shared" si="60"/>
        <v/>
      </c>
      <c r="I1294" s="53" t="str">
        <f t="shared" ref="I1294:I1357" si="61">IF(E1294="","",F1294-G1294-H1294)</f>
        <v/>
      </c>
      <c r="N1294" s="8">
        <v>0</v>
      </c>
      <c r="Q1294" s="1"/>
      <c r="R1294" s="1"/>
      <c r="S1294" s="1"/>
      <c r="T1294" s="8"/>
      <c r="U1294" s="8"/>
      <c r="V1294" s="1"/>
      <c r="W1294" s="1"/>
      <c r="X1294" s="1"/>
      <c r="Z1294" s="8"/>
    </row>
    <row r="1295" spans="1:26" x14ac:dyDescent="0.2">
      <c r="A1295" s="12">
        <f t="shared" ref="A1295:A1358" si="62">A1294+1</f>
        <v>1283</v>
      </c>
      <c r="E1295" s="10" t="str">
        <f t="shared" si="60"/>
        <v/>
      </c>
      <c r="I1295" s="53" t="str">
        <f t="shared" si="61"/>
        <v/>
      </c>
      <c r="N1295" s="8">
        <v>0</v>
      </c>
      <c r="Q1295" s="1"/>
      <c r="R1295" s="1"/>
      <c r="S1295" s="1"/>
      <c r="T1295" s="8"/>
      <c r="U1295" s="8"/>
      <c r="V1295" s="1"/>
      <c r="W1295" s="1"/>
      <c r="X1295" s="1"/>
      <c r="Z1295" s="8"/>
    </row>
    <row r="1296" spans="1:26" x14ac:dyDescent="0.2">
      <c r="A1296" s="12">
        <f t="shared" si="62"/>
        <v>1284</v>
      </c>
      <c r="E1296" s="10" t="str">
        <f t="shared" si="60"/>
        <v/>
      </c>
      <c r="I1296" s="53" t="str">
        <f t="shared" si="61"/>
        <v/>
      </c>
      <c r="N1296" s="8">
        <v>0</v>
      </c>
      <c r="Q1296" s="1"/>
      <c r="R1296" s="1"/>
      <c r="S1296" s="1"/>
      <c r="T1296" s="8"/>
      <c r="U1296" s="8"/>
      <c r="V1296" s="1"/>
      <c r="W1296" s="1"/>
      <c r="X1296" s="1"/>
      <c r="Z1296" s="8"/>
    </row>
    <row r="1297" spans="1:26" x14ac:dyDescent="0.2">
      <c r="A1297" s="12">
        <f t="shared" si="62"/>
        <v>1285</v>
      </c>
      <c r="E1297" s="10" t="str">
        <f t="shared" si="60"/>
        <v/>
      </c>
      <c r="I1297" s="53" t="str">
        <f t="shared" si="61"/>
        <v/>
      </c>
      <c r="N1297" s="8">
        <v>0</v>
      </c>
      <c r="Q1297" s="1"/>
      <c r="R1297" s="1"/>
      <c r="S1297" s="1"/>
      <c r="T1297" s="8"/>
      <c r="U1297" s="8"/>
      <c r="V1297" s="1"/>
      <c r="W1297" s="1"/>
      <c r="X1297" s="1"/>
      <c r="Z1297" s="8"/>
    </row>
    <row r="1298" spans="1:26" x14ac:dyDescent="0.2">
      <c r="A1298" s="12">
        <f t="shared" si="62"/>
        <v>1286</v>
      </c>
      <c r="E1298" s="10" t="str">
        <f t="shared" si="60"/>
        <v/>
      </c>
      <c r="I1298" s="53" t="str">
        <f t="shared" si="61"/>
        <v/>
      </c>
      <c r="N1298" s="8">
        <v>0</v>
      </c>
      <c r="Q1298" s="1"/>
      <c r="R1298" s="1"/>
      <c r="S1298" s="1"/>
      <c r="T1298" s="8"/>
      <c r="U1298" s="8"/>
      <c r="V1298" s="1"/>
      <c r="W1298" s="1"/>
      <c r="X1298" s="1"/>
      <c r="Z1298" s="8"/>
    </row>
    <row r="1299" spans="1:26" x14ac:dyDescent="0.2">
      <c r="A1299" s="12">
        <f t="shared" si="62"/>
        <v>1287</v>
      </c>
      <c r="E1299" s="10" t="str">
        <f t="shared" si="60"/>
        <v/>
      </c>
      <c r="I1299" s="53" t="str">
        <f t="shared" si="61"/>
        <v/>
      </c>
      <c r="N1299" s="8">
        <v>0</v>
      </c>
      <c r="Q1299" s="1"/>
      <c r="R1299" s="1"/>
      <c r="S1299" s="1"/>
      <c r="T1299" s="8"/>
      <c r="U1299" s="8"/>
      <c r="V1299" s="1"/>
      <c r="W1299" s="1"/>
      <c r="X1299" s="1"/>
      <c r="Z1299" s="8"/>
    </row>
    <row r="1300" spans="1:26" x14ac:dyDescent="0.2">
      <c r="A1300" s="12">
        <f t="shared" si="62"/>
        <v>1288</v>
      </c>
      <c r="E1300" s="10" t="str">
        <f t="shared" si="60"/>
        <v/>
      </c>
      <c r="I1300" s="53" t="str">
        <f t="shared" si="61"/>
        <v/>
      </c>
      <c r="N1300" s="8">
        <v>0</v>
      </c>
      <c r="Q1300" s="1"/>
      <c r="R1300" s="1"/>
      <c r="S1300" s="1"/>
      <c r="T1300" s="8"/>
      <c r="U1300" s="8"/>
      <c r="V1300" s="1"/>
      <c r="W1300" s="1"/>
      <c r="X1300" s="1"/>
      <c r="Z1300" s="8"/>
    </row>
    <row r="1301" spans="1:26" x14ac:dyDescent="0.2">
      <c r="A1301" s="12">
        <f t="shared" si="62"/>
        <v>1289</v>
      </c>
      <c r="E1301" s="10" t="str">
        <f t="shared" si="60"/>
        <v/>
      </c>
      <c r="I1301" s="53" t="str">
        <f t="shared" si="61"/>
        <v/>
      </c>
      <c r="N1301" s="8">
        <v>0</v>
      </c>
      <c r="Q1301" s="1"/>
      <c r="R1301" s="1"/>
      <c r="S1301" s="1"/>
      <c r="T1301" s="8"/>
      <c r="U1301" s="8"/>
      <c r="V1301" s="1"/>
      <c r="W1301" s="1"/>
      <c r="X1301" s="1"/>
      <c r="Z1301" s="8"/>
    </row>
    <row r="1302" spans="1:26" x14ac:dyDescent="0.2">
      <c r="A1302" s="12">
        <f t="shared" si="62"/>
        <v>1290</v>
      </c>
      <c r="E1302" s="10" t="str">
        <f t="shared" si="60"/>
        <v/>
      </c>
      <c r="I1302" s="53" t="str">
        <f t="shared" si="61"/>
        <v/>
      </c>
      <c r="N1302" s="8">
        <v>0</v>
      </c>
      <c r="Q1302" s="1"/>
      <c r="R1302" s="1"/>
      <c r="S1302" s="1"/>
      <c r="T1302" s="8"/>
      <c r="U1302" s="8"/>
      <c r="V1302" s="1"/>
      <c r="W1302" s="1"/>
      <c r="X1302" s="1"/>
      <c r="Z1302" s="8"/>
    </row>
    <row r="1303" spans="1:26" x14ac:dyDescent="0.2">
      <c r="A1303" s="12">
        <f t="shared" si="62"/>
        <v>1291</v>
      </c>
      <c r="E1303" s="10" t="str">
        <f t="shared" si="60"/>
        <v/>
      </c>
      <c r="I1303" s="53" t="str">
        <f t="shared" si="61"/>
        <v/>
      </c>
      <c r="N1303" s="8">
        <v>0</v>
      </c>
      <c r="Q1303" s="1"/>
      <c r="R1303" s="1"/>
      <c r="S1303" s="1"/>
      <c r="T1303" s="8"/>
      <c r="U1303" s="8"/>
      <c r="V1303" s="1"/>
      <c r="W1303" s="1"/>
      <c r="X1303" s="1"/>
      <c r="Z1303" s="8"/>
    </row>
    <row r="1304" spans="1:26" x14ac:dyDescent="0.2">
      <c r="A1304" s="12">
        <f t="shared" si="62"/>
        <v>1292</v>
      </c>
      <c r="E1304" s="10" t="str">
        <f t="shared" si="60"/>
        <v/>
      </c>
      <c r="I1304" s="53" t="str">
        <f t="shared" si="61"/>
        <v/>
      </c>
      <c r="N1304" s="8">
        <v>0</v>
      </c>
      <c r="Q1304" s="1"/>
      <c r="R1304" s="1"/>
      <c r="S1304" s="1"/>
      <c r="T1304" s="8"/>
      <c r="U1304" s="8"/>
      <c r="V1304" s="1"/>
      <c r="W1304" s="1"/>
      <c r="X1304" s="1"/>
      <c r="Z1304" s="8"/>
    </row>
    <row r="1305" spans="1:26" x14ac:dyDescent="0.2">
      <c r="A1305" s="12">
        <f t="shared" si="62"/>
        <v>1293</v>
      </c>
      <c r="E1305" s="10" t="str">
        <f t="shared" si="60"/>
        <v/>
      </c>
      <c r="I1305" s="53" t="str">
        <f t="shared" si="61"/>
        <v/>
      </c>
      <c r="N1305" s="8">
        <v>0</v>
      </c>
      <c r="Q1305" s="1"/>
      <c r="R1305" s="1"/>
      <c r="S1305" s="1"/>
      <c r="T1305" s="8"/>
      <c r="U1305" s="8"/>
      <c r="V1305" s="1"/>
      <c r="W1305" s="1"/>
      <c r="X1305" s="1"/>
      <c r="Z1305" s="8"/>
    </row>
    <row r="1306" spans="1:26" x14ac:dyDescent="0.2">
      <c r="A1306" s="12">
        <f t="shared" si="62"/>
        <v>1294</v>
      </c>
      <c r="E1306" s="10" t="str">
        <f t="shared" si="60"/>
        <v/>
      </c>
      <c r="I1306" s="53" t="str">
        <f t="shared" si="61"/>
        <v/>
      </c>
      <c r="N1306" s="8">
        <v>0</v>
      </c>
      <c r="Q1306" s="1"/>
      <c r="R1306" s="1"/>
      <c r="S1306" s="1"/>
      <c r="T1306" s="8"/>
      <c r="U1306" s="8"/>
      <c r="V1306" s="1"/>
      <c r="W1306" s="1"/>
      <c r="X1306" s="1"/>
      <c r="Z1306" s="8"/>
    </row>
    <row r="1307" spans="1:26" x14ac:dyDescent="0.2">
      <c r="A1307" s="12">
        <f t="shared" si="62"/>
        <v>1295</v>
      </c>
      <c r="E1307" s="10" t="str">
        <f t="shared" si="60"/>
        <v/>
      </c>
      <c r="I1307" s="53" t="str">
        <f t="shared" si="61"/>
        <v/>
      </c>
      <c r="N1307" s="8">
        <v>0</v>
      </c>
      <c r="Q1307" s="1"/>
      <c r="R1307" s="1"/>
      <c r="S1307" s="1"/>
      <c r="T1307" s="8"/>
      <c r="U1307" s="8"/>
      <c r="V1307" s="1"/>
      <c r="W1307" s="1"/>
      <c r="X1307" s="1"/>
      <c r="Z1307" s="8"/>
    </row>
    <row r="1308" spans="1:26" x14ac:dyDescent="0.2">
      <c r="A1308" s="12">
        <f t="shared" si="62"/>
        <v>1296</v>
      </c>
      <c r="E1308" s="10" t="str">
        <f t="shared" si="60"/>
        <v/>
      </c>
      <c r="I1308" s="53" t="str">
        <f t="shared" si="61"/>
        <v/>
      </c>
      <c r="N1308" s="8">
        <v>0</v>
      </c>
      <c r="Q1308" s="1"/>
      <c r="R1308" s="1"/>
      <c r="S1308" s="1"/>
      <c r="T1308" s="8"/>
      <c r="U1308" s="8"/>
      <c r="V1308" s="1"/>
      <c r="W1308" s="1"/>
      <c r="X1308" s="1"/>
      <c r="Z1308" s="8"/>
    </row>
    <row r="1309" spans="1:26" x14ac:dyDescent="0.2">
      <c r="A1309" s="12">
        <f t="shared" si="62"/>
        <v>1297</v>
      </c>
      <c r="E1309" s="10" t="str">
        <f t="shared" si="60"/>
        <v/>
      </c>
      <c r="I1309" s="53" t="str">
        <f t="shared" si="61"/>
        <v/>
      </c>
      <c r="N1309" s="8">
        <v>0</v>
      </c>
      <c r="Q1309" s="1"/>
      <c r="R1309" s="1"/>
      <c r="S1309" s="1"/>
      <c r="T1309" s="8"/>
      <c r="U1309" s="8"/>
      <c r="V1309" s="1"/>
      <c r="W1309" s="1"/>
      <c r="X1309" s="1"/>
      <c r="Z1309" s="8"/>
    </row>
    <row r="1310" spans="1:26" x14ac:dyDescent="0.2">
      <c r="A1310" s="12">
        <f t="shared" si="62"/>
        <v>1298</v>
      </c>
      <c r="E1310" s="10" t="str">
        <f t="shared" si="60"/>
        <v/>
      </c>
      <c r="I1310" s="53" t="str">
        <f t="shared" si="61"/>
        <v/>
      </c>
      <c r="N1310" s="8">
        <v>0</v>
      </c>
      <c r="Q1310" s="1"/>
      <c r="R1310" s="1"/>
      <c r="S1310" s="1"/>
      <c r="T1310" s="8"/>
      <c r="U1310" s="8"/>
      <c r="V1310" s="1"/>
      <c r="W1310" s="1"/>
      <c r="X1310" s="1"/>
      <c r="Z1310" s="8"/>
    </row>
    <row r="1311" spans="1:26" x14ac:dyDescent="0.2">
      <c r="A1311" s="12">
        <f t="shared" si="62"/>
        <v>1299</v>
      </c>
      <c r="E1311" s="10" t="str">
        <f t="shared" si="60"/>
        <v/>
      </c>
      <c r="I1311" s="53" t="str">
        <f t="shared" si="61"/>
        <v/>
      </c>
      <c r="N1311" s="8">
        <v>0</v>
      </c>
      <c r="Q1311" s="1"/>
      <c r="R1311" s="1"/>
      <c r="S1311" s="1"/>
      <c r="T1311" s="8"/>
      <c r="U1311" s="8"/>
      <c r="V1311" s="1"/>
      <c r="W1311" s="1"/>
      <c r="X1311" s="1"/>
      <c r="Z1311" s="8"/>
    </row>
    <row r="1312" spans="1:26" x14ac:dyDescent="0.2">
      <c r="A1312" s="12">
        <f t="shared" si="62"/>
        <v>1300</v>
      </c>
      <c r="E1312" s="10" t="str">
        <f t="shared" si="60"/>
        <v/>
      </c>
      <c r="I1312" s="53" t="str">
        <f t="shared" si="61"/>
        <v/>
      </c>
      <c r="N1312" s="8">
        <v>0</v>
      </c>
      <c r="Q1312" s="1"/>
      <c r="R1312" s="1"/>
      <c r="S1312" s="1"/>
      <c r="T1312" s="8"/>
      <c r="U1312" s="8"/>
      <c r="V1312" s="1"/>
      <c r="W1312" s="1"/>
      <c r="X1312" s="1"/>
      <c r="Z1312" s="8"/>
    </row>
    <row r="1313" spans="1:26" x14ac:dyDescent="0.2">
      <c r="A1313" s="12">
        <f t="shared" si="62"/>
        <v>1301</v>
      </c>
      <c r="E1313" s="10" t="str">
        <f t="shared" si="60"/>
        <v/>
      </c>
      <c r="I1313" s="53" t="str">
        <f t="shared" si="61"/>
        <v/>
      </c>
      <c r="N1313" s="8">
        <v>0</v>
      </c>
      <c r="Q1313" s="1"/>
      <c r="R1313" s="1"/>
      <c r="S1313" s="1"/>
      <c r="T1313" s="8"/>
      <c r="U1313" s="8"/>
      <c r="V1313" s="1"/>
      <c r="W1313" s="1"/>
      <c r="X1313" s="1"/>
      <c r="Z1313" s="8"/>
    </row>
    <row r="1314" spans="1:26" x14ac:dyDescent="0.2">
      <c r="A1314" s="12">
        <f t="shared" si="62"/>
        <v>1302</v>
      </c>
      <c r="E1314" s="10" t="str">
        <f t="shared" si="60"/>
        <v/>
      </c>
      <c r="I1314" s="53" t="str">
        <f t="shared" si="61"/>
        <v/>
      </c>
      <c r="N1314" s="8">
        <v>0</v>
      </c>
      <c r="Q1314" s="1"/>
      <c r="R1314" s="1"/>
      <c r="S1314" s="1"/>
      <c r="T1314" s="8"/>
      <c r="U1314" s="8"/>
      <c r="V1314" s="1"/>
      <c r="W1314" s="1"/>
      <c r="X1314" s="1"/>
      <c r="Z1314" s="8"/>
    </row>
    <row r="1315" spans="1:26" x14ac:dyDescent="0.2">
      <c r="A1315" s="12">
        <f t="shared" si="62"/>
        <v>1303</v>
      </c>
      <c r="E1315" s="10" t="str">
        <f t="shared" si="60"/>
        <v/>
      </c>
      <c r="I1315" s="53" t="str">
        <f t="shared" si="61"/>
        <v/>
      </c>
      <c r="N1315" s="8">
        <v>0</v>
      </c>
      <c r="Q1315" s="1"/>
      <c r="R1315" s="1"/>
      <c r="S1315" s="1"/>
      <c r="T1315" s="8"/>
      <c r="U1315" s="8"/>
      <c r="V1315" s="1"/>
      <c r="W1315" s="1"/>
      <c r="X1315" s="1"/>
      <c r="Z1315" s="8"/>
    </row>
    <row r="1316" spans="1:26" x14ac:dyDescent="0.2">
      <c r="A1316" s="12">
        <f t="shared" si="62"/>
        <v>1304</v>
      </c>
      <c r="E1316" s="10" t="str">
        <f t="shared" si="60"/>
        <v/>
      </c>
      <c r="I1316" s="53" t="str">
        <f t="shared" si="61"/>
        <v/>
      </c>
      <c r="N1316" s="8">
        <v>0</v>
      </c>
      <c r="Q1316" s="1"/>
      <c r="R1316" s="1"/>
      <c r="S1316" s="1"/>
      <c r="T1316" s="8"/>
      <c r="U1316" s="8"/>
      <c r="V1316" s="1"/>
      <c r="W1316" s="1"/>
      <c r="X1316" s="1"/>
      <c r="Z1316" s="8"/>
    </row>
    <row r="1317" spans="1:26" x14ac:dyDescent="0.2">
      <c r="A1317" s="12">
        <f t="shared" si="62"/>
        <v>1305</v>
      </c>
      <c r="E1317" s="10" t="str">
        <f t="shared" si="60"/>
        <v/>
      </c>
      <c r="I1317" s="53" t="str">
        <f t="shared" si="61"/>
        <v/>
      </c>
      <c r="N1317" s="8">
        <v>0</v>
      </c>
      <c r="Q1317" s="1"/>
      <c r="R1317" s="1"/>
      <c r="S1317" s="1"/>
      <c r="T1317" s="8"/>
      <c r="U1317" s="8"/>
      <c r="V1317" s="1"/>
      <c r="W1317" s="1"/>
      <c r="X1317" s="1"/>
      <c r="Z1317" s="8"/>
    </row>
    <row r="1318" spans="1:26" x14ac:dyDescent="0.2">
      <c r="A1318" s="12">
        <f t="shared" si="62"/>
        <v>1306</v>
      </c>
      <c r="E1318" s="10" t="str">
        <f t="shared" si="60"/>
        <v/>
      </c>
      <c r="I1318" s="53" t="str">
        <f t="shared" si="61"/>
        <v/>
      </c>
      <c r="N1318" s="8">
        <v>0</v>
      </c>
      <c r="Q1318" s="1"/>
      <c r="R1318" s="1"/>
      <c r="S1318" s="1"/>
      <c r="T1318" s="8"/>
      <c r="U1318" s="8"/>
      <c r="V1318" s="1"/>
      <c r="W1318" s="1"/>
      <c r="X1318" s="1"/>
      <c r="Z1318" s="8"/>
    </row>
    <row r="1319" spans="1:26" x14ac:dyDescent="0.2">
      <c r="A1319" s="12">
        <f t="shared" si="62"/>
        <v>1307</v>
      </c>
      <c r="E1319" s="10" t="str">
        <f t="shared" si="60"/>
        <v/>
      </c>
      <c r="I1319" s="53" t="str">
        <f t="shared" si="61"/>
        <v/>
      </c>
      <c r="N1319" s="8">
        <v>0</v>
      </c>
      <c r="Q1319" s="1"/>
      <c r="R1319" s="1"/>
      <c r="S1319" s="1"/>
      <c r="T1319" s="8"/>
      <c r="U1319" s="8"/>
      <c r="V1319" s="1"/>
      <c r="W1319" s="1"/>
      <c r="X1319" s="1"/>
      <c r="Z1319" s="8"/>
    </row>
    <row r="1320" spans="1:26" x14ac:dyDescent="0.2">
      <c r="A1320" s="12">
        <f t="shared" si="62"/>
        <v>1308</v>
      </c>
      <c r="E1320" s="10" t="str">
        <f t="shared" si="60"/>
        <v/>
      </c>
      <c r="I1320" s="53" t="str">
        <f t="shared" si="61"/>
        <v/>
      </c>
      <c r="N1320" s="8">
        <v>0</v>
      </c>
      <c r="Q1320" s="1"/>
      <c r="R1320" s="1"/>
      <c r="S1320" s="1"/>
      <c r="T1320" s="8"/>
      <c r="U1320" s="8"/>
      <c r="V1320" s="1"/>
      <c r="W1320" s="1"/>
      <c r="X1320" s="1"/>
      <c r="Z1320" s="8"/>
    </row>
    <row r="1321" spans="1:26" x14ac:dyDescent="0.2">
      <c r="A1321" s="12">
        <f t="shared" si="62"/>
        <v>1309</v>
      </c>
      <c r="E1321" s="10" t="str">
        <f t="shared" si="60"/>
        <v/>
      </c>
      <c r="I1321" s="53" t="str">
        <f t="shared" si="61"/>
        <v/>
      </c>
      <c r="N1321" s="8">
        <v>0</v>
      </c>
      <c r="Q1321" s="1"/>
      <c r="R1321" s="1"/>
      <c r="S1321" s="1"/>
      <c r="T1321" s="8"/>
      <c r="U1321" s="8"/>
      <c r="V1321" s="1"/>
      <c r="W1321" s="1"/>
      <c r="X1321" s="1"/>
      <c r="Z1321" s="8"/>
    </row>
    <row r="1322" spans="1:26" x14ac:dyDescent="0.2">
      <c r="A1322" s="12">
        <f t="shared" si="62"/>
        <v>1310</v>
      </c>
      <c r="E1322" s="10" t="str">
        <f t="shared" si="60"/>
        <v/>
      </c>
      <c r="I1322" s="53" t="str">
        <f t="shared" si="61"/>
        <v/>
      </c>
      <c r="N1322" s="8">
        <v>0</v>
      </c>
      <c r="Q1322" s="1"/>
      <c r="R1322" s="1"/>
      <c r="S1322" s="1"/>
      <c r="T1322" s="8"/>
      <c r="U1322" s="8"/>
      <c r="V1322" s="1"/>
      <c r="W1322" s="1"/>
      <c r="X1322" s="1"/>
      <c r="Z1322" s="8"/>
    </row>
    <row r="1323" spans="1:26" x14ac:dyDescent="0.2">
      <c r="A1323" s="12">
        <f t="shared" si="62"/>
        <v>1311</v>
      </c>
      <c r="E1323" s="10" t="str">
        <f t="shared" si="60"/>
        <v/>
      </c>
      <c r="I1323" s="53" t="str">
        <f t="shared" si="61"/>
        <v/>
      </c>
      <c r="N1323" s="8">
        <v>0</v>
      </c>
      <c r="Q1323" s="1"/>
      <c r="R1323" s="1"/>
      <c r="S1323" s="1"/>
      <c r="T1323" s="8"/>
      <c r="U1323" s="8"/>
      <c r="V1323" s="1"/>
      <c r="W1323" s="1"/>
      <c r="X1323" s="1"/>
      <c r="Z1323" s="8"/>
    </row>
    <row r="1324" spans="1:26" x14ac:dyDescent="0.2">
      <c r="A1324" s="12">
        <f t="shared" si="62"/>
        <v>1312</v>
      </c>
      <c r="E1324" s="10" t="str">
        <f t="shared" si="60"/>
        <v/>
      </c>
      <c r="I1324" s="53" t="str">
        <f t="shared" si="61"/>
        <v/>
      </c>
      <c r="N1324" s="8">
        <v>0</v>
      </c>
      <c r="Q1324" s="1"/>
      <c r="R1324" s="1"/>
      <c r="S1324" s="1"/>
      <c r="T1324" s="8"/>
      <c r="U1324" s="8"/>
      <c r="V1324" s="1"/>
      <c r="W1324" s="1"/>
      <c r="X1324" s="1"/>
      <c r="Z1324" s="8"/>
    </row>
    <row r="1325" spans="1:26" x14ac:dyDescent="0.2">
      <c r="A1325" s="12">
        <f t="shared" si="62"/>
        <v>1313</v>
      </c>
      <c r="E1325" s="10" t="str">
        <f t="shared" si="60"/>
        <v/>
      </c>
      <c r="I1325" s="53" t="str">
        <f t="shared" si="61"/>
        <v/>
      </c>
      <c r="N1325" s="8">
        <v>0</v>
      </c>
      <c r="Q1325" s="1"/>
      <c r="R1325" s="1"/>
      <c r="S1325" s="1"/>
      <c r="T1325" s="8"/>
      <c r="U1325" s="8"/>
      <c r="V1325" s="1"/>
      <c r="W1325" s="1"/>
      <c r="X1325" s="1"/>
      <c r="Z1325" s="8"/>
    </row>
    <row r="1326" spans="1:26" x14ac:dyDescent="0.2">
      <c r="A1326" s="12">
        <f t="shared" si="62"/>
        <v>1314</v>
      </c>
      <c r="E1326" s="10" t="str">
        <f t="shared" si="60"/>
        <v/>
      </c>
      <c r="I1326" s="53" t="str">
        <f t="shared" si="61"/>
        <v/>
      </c>
      <c r="N1326" s="8">
        <v>0</v>
      </c>
      <c r="Q1326" s="1"/>
      <c r="R1326" s="1"/>
      <c r="S1326" s="1"/>
      <c r="T1326" s="8"/>
      <c r="U1326" s="8"/>
      <c r="V1326" s="1"/>
      <c r="W1326" s="1"/>
      <c r="X1326" s="1"/>
      <c r="Z1326" s="8"/>
    </row>
    <row r="1327" spans="1:26" x14ac:dyDescent="0.2">
      <c r="A1327" s="12">
        <f t="shared" si="62"/>
        <v>1315</v>
      </c>
      <c r="E1327" s="10" t="str">
        <f t="shared" si="60"/>
        <v/>
      </c>
      <c r="I1327" s="53" t="str">
        <f t="shared" si="61"/>
        <v/>
      </c>
      <c r="N1327" s="8">
        <v>0</v>
      </c>
      <c r="Q1327" s="1"/>
      <c r="R1327" s="1"/>
      <c r="S1327" s="1"/>
      <c r="T1327" s="8"/>
      <c r="U1327" s="8"/>
      <c r="V1327" s="1"/>
      <c r="W1327" s="1"/>
      <c r="X1327" s="1"/>
      <c r="Z1327" s="8"/>
    </row>
    <row r="1328" spans="1:26" x14ac:dyDescent="0.2">
      <c r="A1328" s="12">
        <f t="shared" si="62"/>
        <v>1316</v>
      </c>
      <c r="E1328" s="10" t="str">
        <f t="shared" si="60"/>
        <v/>
      </c>
      <c r="I1328" s="53" t="str">
        <f t="shared" si="61"/>
        <v/>
      </c>
      <c r="N1328" s="8">
        <v>0</v>
      </c>
      <c r="Q1328" s="1"/>
      <c r="R1328" s="1"/>
      <c r="S1328" s="1"/>
      <c r="T1328" s="8"/>
      <c r="U1328" s="8"/>
      <c r="V1328" s="1"/>
      <c r="W1328" s="1"/>
      <c r="X1328" s="1"/>
      <c r="Z1328" s="8"/>
    </row>
    <row r="1329" spans="1:26" x14ac:dyDescent="0.2">
      <c r="A1329" s="12">
        <f t="shared" si="62"/>
        <v>1317</v>
      </c>
      <c r="E1329" s="10" t="str">
        <f t="shared" si="60"/>
        <v/>
      </c>
      <c r="I1329" s="53" t="str">
        <f t="shared" si="61"/>
        <v/>
      </c>
      <c r="N1329" s="8">
        <v>0</v>
      </c>
      <c r="Q1329" s="1"/>
      <c r="R1329" s="1"/>
      <c r="S1329" s="1"/>
      <c r="T1329" s="8"/>
      <c r="U1329" s="8"/>
      <c r="V1329" s="1"/>
      <c r="W1329" s="1"/>
      <c r="X1329" s="1"/>
      <c r="Z1329" s="8"/>
    </row>
    <row r="1330" spans="1:26" x14ac:dyDescent="0.2">
      <c r="A1330" s="12">
        <f t="shared" si="62"/>
        <v>1318</v>
      </c>
      <c r="E1330" s="10" t="str">
        <f t="shared" si="60"/>
        <v/>
      </c>
      <c r="I1330" s="53" t="str">
        <f t="shared" si="61"/>
        <v/>
      </c>
      <c r="N1330" s="8">
        <v>0</v>
      </c>
      <c r="Q1330" s="1"/>
      <c r="R1330" s="1"/>
      <c r="S1330" s="1"/>
      <c r="T1330" s="8"/>
      <c r="U1330" s="8"/>
      <c r="V1330" s="1"/>
      <c r="W1330" s="1"/>
      <c r="X1330" s="1"/>
      <c r="Z1330" s="8"/>
    </row>
    <row r="1331" spans="1:26" x14ac:dyDescent="0.2">
      <c r="A1331" s="12">
        <f t="shared" si="62"/>
        <v>1319</v>
      </c>
      <c r="E1331" s="10" t="str">
        <f t="shared" si="60"/>
        <v/>
      </c>
      <c r="I1331" s="53" t="str">
        <f t="shared" si="61"/>
        <v/>
      </c>
      <c r="N1331" s="8">
        <v>0</v>
      </c>
      <c r="Q1331" s="1"/>
      <c r="R1331" s="1"/>
      <c r="S1331" s="1"/>
      <c r="T1331" s="8"/>
      <c r="U1331" s="8"/>
      <c r="V1331" s="1"/>
      <c r="W1331" s="1"/>
      <c r="X1331" s="1"/>
      <c r="Z1331" s="8"/>
    </row>
    <row r="1332" spans="1:26" x14ac:dyDescent="0.2">
      <c r="A1332" s="12">
        <f t="shared" si="62"/>
        <v>1320</v>
      </c>
      <c r="E1332" s="10" t="str">
        <f t="shared" si="60"/>
        <v/>
      </c>
      <c r="I1332" s="53" t="str">
        <f t="shared" si="61"/>
        <v/>
      </c>
      <c r="N1332" s="8">
        <v>0</v>
      </c>
      <c r="Q1332" s="1"/>
      <c r="R1332" s="1"/>
      <c r="S1332" s="1"/>
      <c r="T1332" s="8"/>
      <c r="U1332" s="8"/>
      <c r="V1332" s="1"/>
      <c r="W1332" s="1"/>
      <c r="X1332" s="1"/>
      <c r="Z1332" s="8"/>
    </row>
    <row r="1333" spans="1:26" x14ac:dyDescent="0.2">
      <c r="A1333" s="12">
        <f t="shared" si="62"/>
        <v>1321</v>
      </c>
      <c r="E1333" s="10" t="str">
        <f t="shared" si="60"/>
        <v/>
      </c>
      <c r="I1333" s="53" t="str">
        <f t="shared" si="61"/>
        <v/>
      </c>
      <c r="N1333" s="8">
        <v>0</v>
      </c>
      <c r="Q1333" s="1"/>
      <c r="R1333" s="1"/>
      <c r="S1333" s="1"/>
      <c r="T1333" s="8"/>
      <c r="U1333" s="8"/>
      <c r="V1333" s="1"/>
      <c r="W1333" s="1"/>
      <c r="X1333" s="1"/>
      <c r="Z1333" s="8"/>
    </row>
    <row r="1334" spans="1:26" x14ac:dyDescent="0.2">
      <c r="A1334" s="12">
        <f t="shared" si="62"/>
        <v>1322</v>
      </c>
      <c r="E1334" s="10" t="str">
        <f t="shared" si="60"/>
        <v/>
      </c>
      <c r="I1334" s="53" t="str">
        <f t="shared" si="61"/>
        <v/>
      </c>
      <c r="N1334" s="8">
        <v>0</v>
      </c>
      <c r="Q1334" s="1"/>
      <c r="R1334" s="1"/>
      <c r="S1334" s="1"/>
      <c r="T1334" s="8"/>
      <c r="U1334" s="8"/>
      <c r="V1334" s="1"/>
      <c r="W1334" s="1"/>
      <c r="X1334" s="1"/>
      <c r="Z1334" s="8"/>
    </row>
    <row r="1335" spans="1:26" x14ac:dyDescent="0.2">
      <c r="A1335" s="12">
        <f t="shared" si="62"/>
        <v>1323</v>
      </c>
      <c r="E1335" s="10" t="str">
        <f t="shared" si="60"/>
        <v/>
      </c>
      <c r="I1335" s="53" t="str">
        <f t="shared" si="61"/>
        <v/>
      </c>
      <c r="N1335" s="8">
        <v>0</v>
      </c>
      <c r="Q1335" s="1"/>
      <c r="R1335" s="1"/>
      <c r="S1335" s="1"/>
      <c r="T1335" s="8"/>
      <c r="U1335" s="8"/>
      <c r="V1335" s="1"/>
      <c r="W1335" s="1"/>
      <c r="X1335" s="1"/>
      <c r="Z1335" s="8"/>
    </row>
    <row r="1336" spans="1:26" x14ac:dyDescent="0.2">
      <c r="A1336" s="12">
        <f t="shared" si="62"/>
        <v>1324</v>
      </c>
      <c r="E1336" s="10" t="str">
        <f t="shared" si="60"/>
        <v/>
      </c>
      <c r="I1336" s="53" t="str">
        <f t="shared" si="61"/>
        <v/>
      </c>
      <c r="N1336" s="8">
        <v>0</v>
      </c>
      <c r="Q1336" s="1"/>
      <c r="R1336" s="1"/>
      <c r="S1336" s="1"/>
      <c r="T1336" s="8"/>
      <c r="U1336" s="8"/>
      <c r="V1336" s="1"/>
      <c r="W1336" s="1"/>
      <c r="X1336" s="1"/>
      <c r="Z1336" s="8"/>
    </row>
    <row r="1337" spans="1:26" x14ac:dyDescent="0.2">
      <c r="A1337" s="12">
        <f t="shared" si="62"/>
        <v>1325</v>
      </c>
      <c r="E1337" s="10" t="str">
        <f t="shared" si="60"/>
        <v/>
      </c>
      <c r="I1337" s="53" t="str">
        <f t="shared" si="61"/>
        <v/>
      </c>
      <c r="N1337" s="8">
        <v>0</v>
      </c>
      <c r="Q1337" s="1"/>
      <c r="R1337" s="1"/>
      <c r="S1337" s="1"/>
      <c r="T1337" s="8"/>
      <c r="U1337" s="8"/>
      <c r="V1337" s="1"/>
      <c r="W1337" s="1"/>
      <c r="X1337" s="1"/>
      <c r="Z1337" s="8"/>
    </row>
    <row r="1338" spans="1:26" x14ac:dyDescent="0.2">
      <c r="A1338" s="12">
        <f t="shared" si="62"/>
        <v>1326</v>
      </c>
      <c r="E1338" s="10" t="str">
        <f t="shared" si="60"/>
        <v/>
      </c>
      <c r="I1338" s="53" t="str">
        <f t="shared" si="61"/>
        <v/>
      </c>
      <c r="N1338" s="8">
        <v>0</v>
      </c>
      <c r="Q1338" s="1"/>
      <c r="R1338" s="1"/>
      <c r="S1338" s="1"/>
      <c r="T1338" s="8"/>
      <c r="U1338" s="8"/>
      <c r="V1338" s="1"/>
      <c r="W1338" s="1"/>
      <c r="X1338" s="1"/>
      <c r="Z1338" s="8"/>
    </row>
    <row r="1339" spans="1:26" x14ac:dyDescent="0.2">
      <c r="A1339" s="12">
        <f t="shared" si="62"/>
        <v>1327</v>
      </c>
      <c r="E1339" s="10" t="str">
        <f t="shared" si="60"/>
        <v/>
      </c>
      <c r="I1339" s="53" t="str">
        <f t="shared" si="61"/>
        <v/>
      </c>
      <c r="N1339" s="8">
        <v>0</v>
      </c>
      <c r="Q1339" s="1"/>
      <c r="R1339" s="1"/>
      <c r="S1339" s="1"/>
      <c r="T1339" s="8"/>
      <c r="U1339" s="8"/>
      <c r="V1339" s="1"/>
      <c r="W1339" s="1"/>
      <c r="X1339" s="1"/>
      <c r="Z1339" s="8"/>
    </row>
    <row r="1340" spans="1:26" x14ac:dyDescent="0.2">
      <c r="A1340" s="12">
        <f t="shared" si="62"/>
        <v>1328</v>
      </c>
      <c r="E1340" s="10" t="str">
        <f t="shared" si="60"/>
        <v/>
      </c>
      <c r="I1340" s="53" t="str">
        <f t="shared" si="61"/>
        <v/>
      </c>
      <c r="N1340" s="8">
        <v>0</v>
      </c>
      <c r="Q1340" s="1"/>
      <c r="R1340" s="1"/>
      <c r="S1340" s="1"/>
      <c r="T1340" s="8"/>
      <c r="U1340" s="8"/>
      <c r="V1340" s="1"/>
      <c r="W1340" s="1"/>
      <c r="X1340" s="1"/>
      <c r="Z1340" s="8"/>
    </row>
    <row r="1341" spans="1:26" x14ac:dyDescent="0.2">
      <c r="A1341" s="12">
        <f t="shared" si="62"/>
        <v>1329</v>
      </c>
      <c r="E1341" s="10" t="str">
        <f t="shared" si="60"/>
        <v/>
      </c>
      <c r="I1341" s="53" t="str">
        <f t="shared" si="61"/>
        <v/>
      </c>
      <c r="N1341" s="8">
        <v>0</v>
      </c>
      <c r="Q1341" s="1"/>
      <c r="R1341" s="1"/>
      <c r="S1341" s="1"/>
      <c r="T1341" s="8"/>
      <c r="U1341" s="8"/>
      <c r="V1341" s="1"/>
      <c r="W1341" s="1"/>
      <c r="X1341" s="1"/>
      <c r="Z1341" s="8"/>
    </row>
    <row r="1342" spans="1:26" x14ac:dyDescent="0.2">
      <c r="A1342" s="12">
        <f t="shared" si="62"/>
        <v>1330</v>
      </c>
      <c r="E1342" s="10" t="str">
        <f t="shared" si="60"/>
        <v/>
      </c>
      <c r="I1342" s="53" t="str">
        <f t="shared" si="61"/>
        <v/>
      </c>
      <c r="N1342" s="8">
        <v>0</v>
      </c>
      <c r="Q1342" s="1"/>
      <c r="R1342" s="1"/>
      <c r="S1342" s="1"/>
      <c r="T1342" s="8"/>
      <c r="U1342" s="8"/>
      <c r="V1342" s="1"/>
      <c r="W1342" s="1"/>
      <c r="X1342" s="1"/>
      <c r="Z1342" s="8"/>
    </row>
    <row r="1343" spans="1:26" x14ac:dyDescent="0.2">
      <c r="A1343" s="12">
        <f t="shared" si="62"/>
        <v>1331</v>
      </c>
      <c r="E1343" s="10" t="str">
        <f t="shared" si="60"/>
        <v/>
      </c>
      <c r="I1343" s="53" t="str">
        <f t="shared" si="61"/>
        <v/>
      </c>
      <c r="N1343" s="8">
        <v>0</v>
      </c>
      <c r="Q1343" s="1"/>
      <c r="R1343" s="1"/>
      <c r="S1343" s="1"/>
      <c r="T1343" s="8"/>
      <c r="U1343" s="8"/>
      <c r="V1343" s="1"/>
      <c r="W1343" s="1"/>
      <c r="X1343" s="1"/>
      <c r="Z1343" s="8"/>
    </row>
    <row r="1344" spans="1:26" x14ac:dyDescent="0.2">
      <c r="A1344" s="12">
        <f t="shared" si="62"/>
        <v>1332</v>
      </c>
      <c r="E1344" s="10" t="str">
        <f t="shared" si="60"/>
        <v/>
      </c>
      <c r="I1344" s="53" t="str">
        <f t="shared" si="61"/>
        <v/>
      </c>
      <c r="N1344" s="8">
        <v>0</v>
      </c>
      <c r="Q1344" s="1"/>
      <c r="R1344" s="1"/>
      <c r="S1344" s="1"/>
      <c r="T1344" s="8"/>
      <c r="U1344" s="8"/>
      <c r="V1344" s="1"/>
      <c r="W1344" s="1"/>
      <c r="X1344" s="1"/>
      <c r="Z1344" s="8"/>
    </row>
    <row r="1345" spans="1:26" x14ac:dyDescent="0.2">
      <c r="A1345" s="12">
        <f t="shared" si="62"/>
        <v>1333</v>
      </c>
      <c r="E1345" s="10" t="str">
        <f t="shared" si="60"/>
        <v/>
      </c>
      <c r="I1345" s="53" t="str">
        <f t="shared" si="61"/>
        <v/>
      </c>
      <c r="N1345" s="8">
        <v>0</v>
      </c>
      <c r="Q1345" s="1"/>
      <c r="R1345" s="1"/>
      <c r="S1345" s="1"/>
      <c r="T1345" s="8"/>
      <c r="U1345" s="8"/>
      <c r="V1345" s="1"/>
      <c r="W1345" s="1"/>
      <c r="X1345" s="1"/>
      <c r="Z1345" s="8"/>
    </row>
    <row r="1346" spans="1:26" x14ac:dyDescent="0.2">
      <c r="A1346" s="12">
        <f t="shared" si="62"/>
        <v>1334</v>
      </c>
      <c r="E1346" s="10" t="str">
        <f t="shared" si="60"/>
        <v/>
      </c>
      <c r="I1346" s="53" t="str">
        <f t="shared" si="61"/>
        <v/>
      </c>
      <c r="N1346" s="8">
        <v>0</v>
      </c>
      <c r="Q1346" s="1"/>
      <c r="R1346" s="1"/>
      <c r="S1346" s="1"/>
      <c r="T1346" s="8"/>
      <c r="U1346" s="8"/>
      <c r="V1346" s="1"/>
      <c r="W1346" s="1"/>
      <c r="X1346" s="1"/>
      <c r="Z1346" s="8"/>
    </row>
    <row r="1347" spans="1:26" x14ac:dyDescent="0.2">
      <c r="A1347" s="12">
        <f t="shared" si="62"/>
        <v>1335</v>
      </c>
      <c r="E1347" s="10" t="str">
        <f t="shared" si="60"/>
        <v/>
      </c>
      <c r="I1347" s="53" t="str">
        <f t="shared" si="61"/>
        <v/>
      </c>
      <c r="N1347" s="8">
        <v>0</v>
      </c>
      <c r="Q1347" s="1"/>
      <c r="R1347" s="1"/>
      <c r="S1347" s="1"/>
      <c r="T1347" s="8"/>
      <c r="U1347" s="8"/>
      <c r="V1347" s="1"/>
      <c r="W1347" s="1"/>
      <c r="X1347" s="1"/>
      <c r="Z1347" s="8"/>
    </row>
    <row r="1348" spans="1:26" x14ac:dyDescent="0.2">
      <c r="A1348" s="12">
        <f t="shared" si="62"/>
        <v>1336</v>
      </c>
      <c r="E1348" s="10" t="str">
        <f t="shared" si="60"/>
        <v/>
      </c>
      <c r="I1348" s="53" t="str">
        <f t="shared" si="61"/>
        <v/>
      </c>
      <c r="N1348" s="8">
        <v>0</v>
      </c>
      <c r="Q1348" s="1"/>
      <c r="R1348" s="1"/>
      <c r="S1348" s="1"/>
      <c r="T1348" s="8"/>
      <c r="U1348" s="8"/>
      <c r="V1348" s="1"/>
      <c r="W1348" s="1"/>
      <c r="X1348" s="1"/>
      <c r="Z1348" s="8"/>
    </row>
    <row r="1349" spans="1:26" x14ac:dyDescent="0.2">
      <c r="A1349" s="12">
        <f t="shared" si="62"/>
        <v>1337</v>
      </c>
      <c r="E1349" s="10" t="str">
        <f t="shared" si="60"/>
        <v/>
      </c>
      <c r="I1349" s="53" t="str">
        <f t="shared" si="61"/>
        <v/>
      </c>
      <c r="N1349" s="8">
        <v>0</v>
      </c>
      <c r="Q1349" s="1"/>
      <c r="R1349" s="1"/>
      <c r="S1349" s="1"/>
      <c r="T1349" s="8"/>
      <c r="U1349" s="8"/>
      <c r="V1349" s="1"/>
      <c r="W1349" s="1"/>
      <c r="X1349" s="1"/>
      <c r="Z1349" s="8"/>
    </row>
    <row r="1350" spans="1:26" x14ac:dyDescent="0.2">
      <c r="A1350" s="12">
        <f t="shared" si="62"/>
        <v>1338</v>
      </c>
      <c r="E1350" s="10" t="str">
        <f t="shared" si="60"/>
        <v/>
      </c>
      <c r="I1350" s="53" t="str">
        <f t="shared" si="61"/>
        <v/>
      </c>
      <c r="N1350" s="8">
        <v>0</v>
      </c>
      <c r="Q1350" s="1"/>
      <c r="R1350" s="1"/>
      <c r="S1350" s="1"/>
      <c r="T1350" s="8"/>
      <c r="U1350" s="8"/>
      <c r="V1350" s="1"/>
      <c r="W1350" s="1"/>
      <c r="X1350" s="1"/>
      <c r="Z1350" s="8"/>
    </row>
    <row r="1351" spans="1:26" x14ac:dyDescent="0.2">
      <c r="A1351" s="12">
        <f t="shared" si="62"/>
        <v>1339</v>
      </c>
      <c r="E1351" s="10" t="str">
        <f t="shared" si="60"/>
        <v/>
      </c>
      <c r="I1351" s="53" t="str">
        <f t="shared" si="61"/>
        <v/>
      </c>
      <c r="N1351" s="8">
        <v>0</v>
      </c>
      <c r="Q1351" s="1"/>
      <c r="R1351" s="1"/>
      <c r="S1351" s="1"/>
      <c r="T1351" s="8"/>
      <c r="U1351" s="8"/>
      <c r="V1351" s="1"/>
      <c r="W1351" s="1"/>
      <c r="X1351" s="1"/>
      <c r="Z1351" s="8"/>
    </row>
    <row r="1352" spans="1:26" x14ac:dyDescent="0.2">
      <c r="A1352" s="12">
        <f t="shared" si="62"/>
        <v>1340</v>
      </c>
      <c r="E1352" s="10" t="str">
        <f t="shared" si="60"/>
        <v/>
      </c>
      <c r="I1352" s="53" t="str">
        <f t="shared" si="61"/>
        <v/>
      </c>
      <c r="N1352" s="8">
        <v>0</v>
      </c>
      <c r="Q1352" s="1"/>
      <c r="R1352" s="1"/>
      <c r="S1352" s="1"/>
      <c r="T1352" s="8"/>
      <c r="U1352" s="8"/>
      <c r="V1352" s="1"/>
      <c r="W1352" s="1"/>
      <c r="X1352" s="1"/>
      <c r="Z1352" s="8"/>
    </row>
    <row r="1353" spans="1:26" x14ac:dyDescent="0.2">
      <c r="A1353" s="12">
        <f t="shared" si="62"/>
        <v>1341</v>
      </c>
      <c r="E1353" s="10" t="str">
        <f t="shared" si="60"/>
        <v/>
      </c>
      <c r="I1353" s="53" t="str">
        <f t="shared" si="61"/>
        <v/>
      </c>
      <c r="N1353" s="8">
        <v>0</v>
      </c>
      <c r="Q1353" s="1"/>
      <c r="R1353" s="1"/>
      <c r="S1353" s="1"/>
      <c r="T1353" s="8"/>
      <c r="U1353" s="8"/>
      <c r="V1353" s="1"/>
      <c r="W1353" s="1"/>
      <c r="X1353" s="1"/>
      <c r="Z1353" s="8"/>
    </row>
    <row r="1354" spans="1:26" x14ac:dyDescent="0.2">
      <c r="A1354" s="12">
        <f t="shared" si="62"/>
        <v>1342</v>
      </c>
      <c r="E1354" s="10" t="str">
        <f t="shared" si="60"/>
        <v/>
      </c>
      <c r="I1354" s="53" t="str">
        <f t="shared" si="61"/>
        <v/>
      </c>
      <c r="N1354" s="8">
        <v>0</v>
      </c>
      <c r="Q1354" s="1"/>
      <c r="R1354" s="1"/>
      <c r="S1354" s="1"/>
      <c r="T1354" s="8"/>
      <c r="U1354" s="8"/>
      <c r="V1354" s="1"/>
      <c r="W1354" s="1"/>
      <c r="X1354" s="1"/>
      <c r="Z1354" s="8"/>
    </row>
    <row r="1355" spans="1:26" x14ac:dyDescent="0.2">
      <c r="A1355" s="12">
        <f t="shared" si="62"/>
        <v>1343</v>
      </c>
      <c r="E1355" s="10" t="str">
        <f t="shared" si="60"/>
        <v/>
      </c>
      <c r="I1355" s="53" t="str">
        <f t="shared" si="61"/>
        <v/>
      </c>
      <c r="N1355" s="8">
        <v>0</v>
      </c>
      <c r="Q1355" s="1"/>
      <c r="R1355" s="1"/>
      <c r="S1355" s="1"/>
      <c r="T1355" s="8"/>
      <c r="U1355" s="8"/>
      <c r="V1355" s="1"/>
      <c r="W1355" s="1"/>
      <c r="X1355" s="1"/>
      <c r="Z1355" s="8"/>
    </row>
    <row r="1356" spans="1:26" x14ac:dyDescent="0.2">
      <c r="A1356" s="12">
        <f t="shared" si="62"/>
        <v>1344</v>
      </c>
      <c r="E1356" s="10" t="str">
        <f t="shared" si="60"/>
        <v/>
      </c>
      <c r="I1356" s="53" t="str">
        <f t="shared" si="61"/>
        <v/>
      </c>
      <c r="N1356" s="8">
        <v>0</v>
      </c>
      <c r="Q1356" s="1"/>
      <c r="R1356" s="1"/>
      <c r="S1356" s="1"/>
      <c r="T1356" s="8"/>
      <c r="U1356" s="8"/>
      <c r="V1356" s="1"/>
      <c r="W1356" s="1"/>
      <c r="X1356" s="1"/>
      <c r="Z1356" s="8"/>
    </row>
    <row r="1357" spans="1:26" x14ac:dyDescent="0.2">
      <c r="A1357" s="12">
        <f t="shared" si="62"/>
        <v>1345</v>
      </c>
      <c r="E1357" s="10" t="str">
        <f t="shared" ref="E1357:E1420" si="63">IF($C$8&gt;=A1357,$E$1&amp;" "&amp;A1357,"")</f>
        <v/>
      </c>
      <c r="I1357" s="53" t="str">
        <f t="shared" si="61"/>
        <v/>
      </c>
      <c r="N1357" s="8">
        <v>0</v>
      </c>
      <c r="Q1357" s="1"/>
      <c r="R1357" s="1"/>
      <c r="S1357" s="1"/>
      <c r="T1357" s="8"/>
      <c r="U1357" s="8"/>
      <c r="V1357" s="1"/>
      <c r="W1357" s="1"/>
      <c r="X1357" s="1"/>
      <c r="Z1357" s="8"/>
    </row>
    <row r="1358" spans="1:26" x14ac:dyDescent="0.2">
      <c r="A1358" s="12">
        <f t="shared" si="62"/>
        <v>1346</v>
      </c>
      <c r="E1358" s="10" t="str">
        <f t="shared" si="63"/>
        <v/>
      </c>
      <c r="I1358" s="53" t="str">
        <f t="shared" ref="I1358:I1421" si="64">IF(E1358="","",F1358-G1358-H1358)</f>
        <v/>
      </c>
      <c r="N1358" s="8">
        <v>0</v>
      </c>
      <c r="Q1358" s="1"/>
      <c r="R1358" s="1"/>
      <c r="S1358" s="1"/>
      <c r="T1358" s="8"/>
      <c r="U1358" s="8"/>
      <c r="V1358" s="1"/>
      <c r="W1358" s="1"/>
      <c r="X1358" s="1"/>
      <c r="Z1358" s="8"/>
    </row>
    <row r="1359" spans="1:26" x14ac:dyDescent="0.2">
      <c r="A1359" s="12">
        <f t="shared" ref="A1359:A1422" si="65">A1358+1</f>
        <v>1347</v>
      </c>
      <c r="E1359" s="10" t="str">
        <f t="shared" si="63"/>
        <v/>
      </c>
      <c r="I1359" s="53" t="str">
        <f t="shared" si="64"/>
        <v/>
      </c>
      <c r="N1359" s="8">
        <v>0</v>
      </c>
      <c r="Q1359" s="1"/>
      <c r="R1359" s="1"/>
      <c r="S1359" s="1"/>
      <c r="T1359" s="8"/>
      <c r="U1359" s="8"/>
      <c r="V1359" s="1"/>
      <c r="W1359" s="1"/>
      <c r="X1359" s="1"/>
      <c r="Z1359" s="8"/>
    </row>
    <row r="1360" spans="1:26" x14ac:dyDescent="0.2">
      <c r="A1360" s="12">
        <f t="shared" si="65"/>
        <v>1348</v>
      </c>
      <c r="E1360" s="10" t="str">
        <f t="shared" si="63"/>
        <v/>
      </c>
      <c r="I1360" s="53" t="str">
        <f t="shared" si="64"/>
        <v/>
      </c>
      <c r="N1360" s="8">
        <v>0</v>
      </c>
      <c r="Q1360" s="1"/>
      <c r="R1360" s="1"/>
      <c r="S1360" s="1"/>
      <c r="T1360" s="8"/>
      <c r="U1360" s="8"/>
      <c r="V1360" s="1"/>
      <c r="W1360" s="1"/>
      <c r="X1360" s="1"/>
      <c r="Z1360" s="8"/>
    </row>
    <row r="1361" spans="1:26" x14ac:dyDescent="0.2">
      <c r="A1361" s="12">
        <f t="shared" si="65"/>
        <v>1349</v>
      </c>
      <c r="E1361" s="10" t="str">
        <f t="shared" si="63"/>
        <v/>
      </c>
      <c r="I1361" s="53" t="str">
        <f t="shared" si="64"/>
        <v/>
      </c>
      <c r="N1361" s="8">
        <v>0</v>
      </c>
      <c r="Q1361" s="1"/>
      <c r="R1361" s="1"/>
      <c r="S1361" s="1"/>
      <c r="T1361" s="8"/>
      <c r="U1361" s="8"/>
      <c r="V1361" s="1"/>
      <c r="W1361" s="1"/>
      <c r="X1361" s="1"/>
      <c r="Z1361" s="8"/>
    </row>
    <row r="1362" spans="1:26" x14ac:dyDescent="0.2">
      <c r="A1362" s="12">
        <f t="shared" si="65"/>
        <v>1350</v>
      </c>
      <c r="E1362" s="10" t="str">
        <f t="shared" si="63"/>
        <v/>
      </c>
      <c r="I1362" s="53" t="str">
        <f t="shared" si="64"/>
        <v/>
      </c>
      <c r="N1362" s="8">
        <v>0</v>
      </c>
      <c r="Q1362" s="1"/>
      <c r="R1362" s="1"/>
      <c r="S1362" s="1"/>
      <c r="T1362" s="8"/>
      <c r="U1362" s="8"/>
      <c r="V1362" s="1"/>
      <c r="W1362" s="1"/>
      <c r="X1362" s="1"/>
      <c r="Z1362" s="8"/>
    </row>
    <row r="1363" spans="1:26" x14ac:dyDescent="0.2">
      <c r="A1363" s="12">
        <f t="shared" si="65"/>
        <v>1351</v>
      </c>
      <c r="E1363" s="10" t="str">
        <f t="shared" si="63"/>
        <v/>
      </c>
      <c r="I1363" s="53" t="str">
        <f t="shared" si="64"/>
        <v/>
      </c>
      <c r="N1363" s="8">
        <v>0</v>
      </c>
      <c r="Q1363" s="1"/>
      <c r="R1363" s="1"/>
      <c r="S1363" s="1"/>
      <c r="T1363" s="8"/>
      <c r="U1363" s="8"/>
      <c r="V1363" s="1"/>
      <c r="W1363" s="1"/>
      <c r="X1363" s="1"/>
      <c r="Z1363" s="8"/>
    </row>
    <row r="1364" spans="1:26" x14ac:dyDescent="0.2">
      <c r="A1364" s="12">
        <f t="shared" si="65"/>
        <v>1352</v>
      </c>
      <c r="E1364" s="10" t="str">
        <f t="shared" si="63"/>
        <v/>
      </c>
      <c r="I1364" s="53" t="str">
        <f t="shared" si="64"/>
        <v/>
      </c>
      <c r="N1364" s="8">
        <v>0</v>
      </c>
      <c r="Q1364" s="1"/>
      <c r="R1364" s="1"/>
      <c r="S1364" s="1"/>
      <c r="T1364" s="8"/>
      <c r="U1364" s="8"/>
      <c r="V1364" s="1"/>
      <c r="W1364" s="1"/>
      <c r="X1364" s="1"/>
      <c r="Z1364" s="8"/>
    </row>
    <row r="1365" spans="1:26" x14ac:dyDescent="0.2">
      <c r="A1365" s="12">
        <f t="shared" si="65"/>
        <v>1353</v>
      </c>
      <c r="E1365" s="10" t="str">
        <f t="shared" si="63"/>
        <v/>
      </c>
      <c r="I1365" s="53" t="str">
        <f t="shared" si="64"/>
        <v/>
      </c>
      <c r="N1365" s="8">
        <v>0</v>
      </c>
      <c r="Q1365" s="1"/>
      <c r="R1365" s="1"/>
      <c r="S1365" s="1"/>
      <c r="T1365" s="8"/>
      <c r="U1365" s="8"/>
      <c r="V1365" s="1"/>
      <c r="W1365" s="1"/>
      <c r="X1365" s="1"/>
      <c r="Z1365" s="8"/>
    </row>
    <row r="1366" spans="1:26" x14ac:dyDescent="0.2">
      <c r="A1366" s="12">
        <f t="shared" si="65"/>
        <v>1354</v>
      </c>
      <c r="E1366" s="10" t="str">
        <f t="shared" si="63"/>
        <v/>
      </c>
      <c r="I1366" s="53" t="str">
        <f t="shared" si="64"/>
        <v/>
      </c>
      <c r="N1366" s="8">
        <v>0</v>
      </c>
      <c r="Q1366" s="1"/>
      <c r="R1366" s="1"/>
      <c r="S1366" s="1"/>
      <c r="T1366" s="8"/>
      <c r="U1366" s="8"/>
      <c r="V1366" s="1"/>
      <c r="W1366" s="1"/>
      <c r="X1366" s="1"/>
      <c r="Z1366" s="8"/>
    </row>
    <row r="1367" spans="1:26" x14ac:dyDescent="0.2">
      <c r="A1367" s="12">
        <f t="shared" si="65"/>
        <v>1355</v>
      </c>
      <c r="E1367" s="10" t="str">
        <f t="shared" si="63"/>
        <v/>
      </c>
      <c r="I1367" s="53" t="str">
        <f t="shared" si="64"/>
        <v/>
      </c>
      <c r="N1367" s="8">
        <v>0</v>
      </c>
      <c r="Q1367" s="1"/>
      <c r="R1367" s="1"/>
      <c r="S1367" s="1"/>
      <c r="T1367" s="8"/>
      <c r="U1367" s="8"/>
      <c r="V1367" s="1"/>
      <c r="W1367" s="1"/>
      <c r="X1367" s="1"/>
      <c r="Z1367" s="8"/>
    </row>
    <row r="1368" spans="1:26" x14ac:dyDescent="0.2">
      <c r="A1368" s="12">
        <f t="shared" si="65"/>
        <v>1356</v>
      </c>
      <c r="E1368" s="10" t="str">
        <f t="shared" si="63"/>
        <v/>
      </c>
      <c r="I1368" s="53" t="str">
        <f t="shared" si="64"/>
        <v/>
      </c>
      <c r="N1368" s="8">
        <v>0</v>
      </c>
      <c r="Q1368" s="1"/>
      <c r="R1368" s="1"/>
      <c r="S1368" s="1"/>
      <c r="T1368" s="8"/>
      <c r="U1368" s="8"/>
      <c r="V1368" s="1"/>
      <c r="W1368" s="1"/>
      <c r="X1368" s="1"/>
      <c r="Z1368" s="8"/>
    </row>
    <row r="1369" spans="1:26" x14ac:dyDescent="0.2">
      <c r="A1369" s="12">
        <f t="shared" si="65"/>
        <v>1357</v>
      </c>
      <c r="E1369" s="10" t="str">
        <f t="shared" si="63"/>
        <v/>
      </c>
      <c r="I1369" s="53" t="str">
        <f t="shared" si="64"/>
        <v/>
      </c>
      <c r="N1369" s="8">
        <v>0</v>
      </c>
      <c r="Q1369" s="1"/>
      <c r="R1369" s="1"/>
      <c r="S1369" s="1"/>
      <c r="T1369" s="8"/>
      <c r="U1369" s="8"/>
      <c r="V1369" s="1"/>
      <c r="W1369" s="1"/>
      <c r="X1369" s="1"/>
      <c r="Z1369" s="8"/>
    </row>
    <row r="1370" spans="1:26" x14ac:dyDescent="0.2">
      <c r="A1370" s="12">
        <f t="shared" si="65"/>
        <v>1358</v>
      </c>
      <c r="E1370" s="10" t="str">
        <f t="shared" si="63"/>
        <v/>
      </c>
      <c r="I1370" s="53" t="str">
        <f t="shared" si="64"/>
        <v/>
      </c>
      <c r="N1370" s="8">
        <v>0</v>
      </c>
      <c r="Q1370" s="1"/>
      <c r="R1370" s="1"/>
      <c r="S1370" s="1"/>
      <c r="T1370" s="8"/>
      <c r="U1370" s="8"/>
      <c r="V1370" s="1"/>
      <c r="W1370" s="1"/>
      <c r="X1370" s="1"/>
      <c r="Z1370" s="8"/>
    </row>
    <row r="1371" spans="1:26" x14ac:dyDescent="0.2">
      <c r="A1371" s="12">
        <f t="shared" si="65"/>
        <v>1359</v>
      </c>
      <c r="E1371" s="10" t="str">
        <f t="shared" si="63"/>
        <v/>
      </c>
      <c r="I1371" s="53" t="str">
        <f t="shared" si="64"/>
        <v/>
      </c>
      <c r="N1371" s="8">
        <v>0</v>
      </c>
      <c r="Q1371" s="1"/>
      <c r="R1371" s="1"/>
      <c r="S1371" s="1"/>
      <c r="T1371" s="8"/>
      <c r="U1371" s="8"/>
      <c r="V1371" s="1"/>
      <c r="W1371" s="1"/>
      <c r="X1371" s="1"/>
      <c r="Z1371" s="8"/>
    </row>
    <row r="1372" spans="1:26" x14ac:dyDescent="0.2">
      <c r="A1372" s="12">
        <f t="shared" si="65"/>
        <v>1360</v>
      </c>
      <c r="E1372" s="10" t="str">
        <f t="shared" si="63"/>
        <v/>
      </c>
      <c r="I1372" s="53" t="str">
        <f t="shared" si="64"/>
        <v/>
      </c>
      <c r="N1372" s="8">
        <v>0</v>
      </c>
      <c r="Q1372" s="1"/>
      <c r="R1372" s="1"/>
      <c r="S1372" s="1"/>
      <c r="T1372" s="8"/>
      <c r="U1372" s="8"/>
      <c r="V1372" s="1"/>
      <c r="W1372" s="1"/>
      <c r="X1372" s="1"/>
      <c r="Z1372" s="8"/>
    </row>
    <row r="1373" spans="1:26" x14ac:dyDescent="0.2">
      <c r="A1373" s="12">
        <f t="shared" si="65"/>
        <v>1361</v>
      </c>
      <c r="E1373" s="10" t="str">
        <f t="shared" si="63"/>
        <v/>
      </c>
      <c r="I1373" s="53" t="str">
        <f t="shared" si="64"/>
        <v/>
      </c>
      <c r="N1373" s="8">
        <v>0</v>
      </c>
      <c r="Q1373" s="1"/>
      <c r="R1373" s="1"/>
      <c r="S1373" s="1"/>
      <c r="T1373" s="8"/>
      <c r="U1373" s="8"/>
      <c r="V1373" s="1"/>
      <c r="W1373" s="1"/>
      <c r="X1373" s="1"/>
      <c r="Z1373" s="8"/>
    </row>
    <row r="1374" spans="1:26" x14ac:dyDescent="0.2">
      <c r="A1374" s="12">
        <f t="shared" si="65"/>
        <v>1362</v>
      </c>
      <c r="E1374" s="10" t="str">
        <f t="shared" si="63"/>
        <v/>
      </c>
      <c r="I1374" s="53" t="str">
        <f t="shared" si="64"/>
        <v/>
      </c>
      <c r="N1374" s="8">
        <v>0</v>
      </c>
      <c r="Q1374" s="1"/>
      <c r="R1374" s="1"/>
      <c r="S1374" s="1"/>
      <c r="T1374" s="8"/>
      <c r="U1374" s="8"/>
      <c r="V1374" s="1"/>
      <c r="W1374" s="1"/>
      <c r="X1374" s="1"/>
      <c r="Z1374" s="8"/>
    </row>
    <row r="1375" spans="1:26" x14ac:dyDescent="0.2">
      <c r="A1375" s="12">
        <f t="shared" si="65"/>
        <v>1363</v>
      </c>
      <c r="E1375" s="10" t="str">
        <f t="shared" si="63"/>
        <v/>
      </c>
      <c r="I1375" s="53" t="str">
        <f t="shared" si="64"/>
        <v/>
      </c>
      <c r="N1375" s="8">
        <v>0</v>
      </c>
      <c r="Q1375" s="1"/>
      <c r="R1375" s="1"/>
      <c r="S1375" s="1"/>
      <c r="T1375" s="8"/>
      <c r="U1375" s="8"/>
      <c r="V1375" s="1"/>
      <c r="W1375" s="1"/>
      <c r="X1375" s="1"/>
      <c r="Z1375" s="8"/>
    </row>
    <row r="1376" spans="1:26" x14ac:dyDescent="0.2">
      <c r="A1376" s="12">
        <f t="shared" si="65"/>
        <v>1364</v>
      </c>
      <c r="E1376" s="10" t="str">
        <f t="shared" si="63"/>
        <v/>
      </c>
      <c r="I1376" s="53" t="str">
        <f t="shared" si="64"/>
        <v/>
      </c>
      <c r="N1376" s="8">
        <v>0</v>
      </c>
      <c r="Q1376" s="1"/>
      <c r="R1376" s="1"/>
      <c r="S1376" s="1"/>
      <c r="T1376" s="8"/>
      <c r="U1376" s="8"/>
      <c r="V1376" s="1"/>
      <c r="W1376" s="1"/>
      <c r="X1376" s="1"/>
      <c r="Z1376" s="8"/>
    </row>
    <row r="1377" spans="1:26" x14ac:dyDescent="0.2">
      <c r="A1377" s="12">
        <f t="shared" si="65"/>
        <v>1365</v>
      </c>
      <c r="E1377" s="10" t="str">
        <f t="shared" si="63"/>
        <v/>
      </c>
      <c r="I1377" s="53" t="str">
        <f t="shared" si="64"/>
        <v/>
      </c>
      <c r="N1377" s="8">
        <v>0</v>
      </c>
      <c r="Q1377" s="1"/>
      <c r="R1377" s="1"/>
      <c r="S1377" s="1"/>
      <c r="T1377" s="8"/>
      <c r="U1377" s="8"/>
      <c r="V1377" s="1"/>
      <c r="W1377" s="1"/>
      <c r="X1377" s="1"/>
      <c r="Z1377" s="8"/>
    </row>
    <row r="1378" spans="1:26" x14ac:dyDescent="0.2">
      <c r="A1378" s="12">
        <f t="shared" si="65"/>
        <v>1366</v>
      </c>
      <c r="E1378" s="10" t="str">
        <f t="shared" si="63"/>
        <v/>
      </c>
      <c r="I1378" s="53" t="str">
        <f t="shared" si="64"/>
        <v/>
      </c>
      <c r="N1378" s="8">
        <v>0</v>
      </c>
      <c r="Q1378" s="1"/>
      <c r="R1378" s="1"/>
      <c r="S1378" s="1"/>
      <c r="T1378" s="8"/>
      <c r="U1378" s="8"/>
      <c r="V1378" s="1"/>
      <c r="W1378" s="1"/>
      <c r="X1378" s="1"/>
      <c r="Z1378" s="8"/>
    </row>
    <row r="1379" spans="1:26" x14ac:dyDescent="0.2">
      <c r="A1379" s="12">
        <f t="shared" si="65"/>
        <v>1367</v>
      </c>
      <c r="E1379" s="10" t="str">
        <f t="shared" si="63"/>
        <v/>
      </c>
      <c r="I1379" s="53" t="str">
        <f t="shared" si="64"/>
        <v/>
      </c>
      <c r="N1379" s="8">
        <v>0</v>
      </c>
      <c r="Q1379" s="1"/>
      <c r="R1379" s="1"/>
      <c r="S1379" s="1"/>
      <c r="T1379" s="8"/>
      <c r="U1379" s="8"/>
      <c r="V1379" s="1"/>
      <c r="W1379" s="1"/>
      <c r="X1379" s="1"/>
      <c r="Z1379" s="8"/>
    </row>
    <row r="1380" spans="1:26" x14ac:dyDescent="0.2">
      <c r="A1380" s="12">
        <f t="shared" si="65"/>
        <v>1368</v>
      </c>
      <c r="E1380" s="10" t="str">
        <f t="shared" si="63"/>
        <v/>
      </c>
      <c r="I1380" s="53" t="str">
        <f t="shared" si="64"/>
        <v/>
      </c>
      <c r="N1380" s="8">
        <v>0</v>
      </c>
      <c r="Q1380" s="1"/>
      <c r="R1380" s="1"/>
      <c r="S1380" s="1"/>
      <c r="T1380" s="8"/>
      <c r="U1380" s="8"/>
      <c r="V1380" s="1"/>
      <c r="W1380" s="1"/>
      <c r="X1380" s="1"/>
      <c r="Z1380" s="8"/>
    </row>
    <row r="1381" spans="1:26" x14ac:dyDescent="0.2">
      <c r="A1381" s="12">
        <f t="shared" si="65"/>
        <v>1369</v>
      </c>
      <c r="E1381" s="10" t="str">
        <f t="shared" si="63"/>
        <v/>
      </c>
      <c r="I1381" s="53" t="str">
        <f t="shared" si="64"/>
        <v/>
      </c>
      <c r="N1381" s="8">
        <v>0</v>
      </c>
      <c r="Q1381" s="1"/>
      <c r="R1381" s="1"/>
      <c r="S1381" s="1"/>
      <c r="T1381" s="8"/>
      <c r="U1381" s="8"/>
      <c r="V1381" s="1"/>
      <c r="W1381" s="1"/>
      <c r="X1381" s="1"/>
      <c r="Z1381" s="8"/>
    </row>
    <row r="1382" spans="1:26" x14ac:dyDescent="0.2">
      <c r="A1382" s="12">
        <f t="shared" si="65"/>
        <v>1370</v>
      </c>
      <c r="E1382" s="10" t="str">
        <f t="shared" si="63"/>
        <v/>
      </c>
      <c r="I1382" s="53" t="str">
        <f t="shared" si="64"/>
        <v/>
      </c>
      <c r="N1382" s="8">
        <v>0</v>
      </c>
      <c r="Q1382" s="1"/>
      <c r="R1382" s="1"/>
      <c r="S1382" s="1"/>
      <c r="T1382" s="8"/>
      <c r="U1382" s="8"/>
      <c r="V1382" s="1"/>
      <c r="W1382" s="1"/>
      <c r="X1382" s="1"/>
      <c r="Z1382" s="8"/>
    </row>
    <row r="1383" spans="1:26" x14ac:dyDescent="0.2">
      <c r="A1383" s="12">
        <f t="shared" si="65"/>
        <v>1371</v>
      </c>
      <c r="E1383" s="10" t="str">
        <f t="shared" si="63"/>
        <v/>
      </c>
      <c r="I1383" s="53" t="str">
        <f t="shared" si="64"/>
        <v/>
      </c>
      <c r="N1383" s="8">
        <v>0</v>
      </c>
      <c r="Q1383" s="1"/>
      <c r="R1383" s="1"/>
      <c r="S1383" s="1"/>
      <c r="T1383" s="8"/>
      <c r="U1383" s="8"/>
      <c r="V1383" s="1"/>
      <c r="W1383" s="1"/>
      <c r="X1383" s="1"/>
      <c r="Z1383" s="8"/>
    </row>
    <row r="1384" spans="1:26" x14ac:dyDescent="0.2">
      <c r="A1384" s="12">
        <f t="shared" si="65"/>
        <v>1372</v>
      </c>
      <c r="E1384" s="10" t="str">
        <f t="shared" si="63"/>
        <v/>
      </c>
      <c r="I1384" s="53" t="str">
        <f t="shared" si="64"/>
        <v/>
      </c>
      <c r="N1384" s="8">
        <v>0</v>
      </c>
      <c r="Q1384" s="1"/>
      <c r="R1384" s="1"/>
      <c r="S1384" s="1"/>
      <c r="T1384" s="8"/>
      <c r="U1384" s="8"/>
      <c r="V1384" s="1"/>
      <c r="W1384" s="1"/>
      <c r="X1384" s="1"/>
      <c r="Z1384" s="8"/>
    </row>
    <row r="1385" spans="1:26" x14ac:dyDescent="0.2">
      <c r="A1385" s="12">
        <f t="shared" si="65"/>
        <v>1373</v>
      </c>
      <c r="E1385" s="10" t="str">
        <f t="shared" si="63"/>
        <v/>
      </c>
      <c r="I1385" s="53" t="str">
        <f t="shared" si="64"/>
        <v/>
      </c>
      <c r="N1385" s="8">
        <v>0</v>
      </c>
      <c r="Q1385" s="1"/>
      <c r="R1385" s="1"/>
      <c r="S1385" s="1"/>
      <c r="T1385" s="8"/>
      <c r="U1385" s="8"/>
      <c r="V1385" s="1"/>
      <c r="W1385" s="1"/>
      <c r="X1385" s="1"/>
      <c r="Z1385" s="8"/>
    </row>
    <row r="1386" spans="1:26" x14ac:dyDescent="0.2">
      <c r="A1386" s="12">
        <f t="shared" si="65"/>
        <v>1374</v>
      </c>
      <c r="E1386" s="10" t="str">
        <f t="shared" si="63"/>
        <v/>
      </c>
      <c r="I1386" s="53" t="str">
        <f t="shared" si="64"/>
        <v/>
      </c>
      <c r="N1386" s="8">
        <v>0</v>
      </c>
      <c r="Q1386" s="1"/>
      <c r="R1386" s="1"/>
      <c r="S1386" s="1"/>
      <c r="T1386" s="8"/>
      <c r="U1386" s="8"/>
      <c r="V1386" s="1"/>
      <c r="W1386" s="1"/>
      <c r="X1386" s="1"/>
      <c r="Z1386" s="8"/>
    </row>
    <row r="1387" spans="1:26" x14ac:dyDescent="0.2">
      <c r="A1387" s="12">
        <f t="shared" si="65"/>
        <v>1375</v>
      </c>
      <c r="E1387" s="10" t="str">
        <f t="shared" si="63"/>
        <v/>
      </c>
      <c r="I1387" s="53" t="str">
        <f t="shared" si="64"/>
        <v/>
      </c>
      <c r="N1387" s="8">
        <v>0</v>
      </c>
      <c r="Q1387" s="1"/>
      <c r="R1387" s="1"/>
      <c r="S1387" s="1"/>
      <c r="T1387" s="8"/>
      <c r="U1387" s="8"/>
      <c r="V1387" s="1"/>
      <c r="W1387" s="1"/>
      <c r="X1387" s="1"/>
      <c r="Z1387" s="8"/>
    </row>
    <row r="1388" spans="1:26" x14ac:dyDescent="0.2">
      <c r="A1388" s="12">
        <f t="shared" si="65"/>
        <v>1376</v>
      </c>
      <c r="E1388" s="10" t="str">
        <f t="shared" si="63"/>
        <v/>
      </c>
      <c r="I1388" s="53" t="str">
        <f t="shared" si="64"/>
        <v/>
      </c>
      <c r="N1388" s="8">
        <v>0</v>
      </c>
      <c r="Q1388" s="1"/>
      <c r="R1388" s="1"/>
      <c r="S1388" s="1"/>
      <c r="T1388" s="8"/>
      <c r="U1388" s="8"/>
      <c r="V1388" s="1"/>
      <c r="W1388" s="1"/>
      <c r="X1388" s="1"/>
      <c r="Z1388" s="8"/>
    </row>
    <row r="1389" spans="1:26" x14ac:dyDescent="0.2">
      <c r="A1389" s="12">
        <f t="shared" si="65"/>
        <v>1377</v>
      </c>
      <c r="E1389" s="10" t="str">
        <f t="shared" si="63"/>
        <v/>
      </c>
      <c r="I1389" s="53" t="str">
        <f t="shared" si="64"/>
        <v/>
      </c>
      <c r="N1389" s="8">
        <v>0</v>
      </c>
      <c r="Q1389" s="1"/>
      <c r="R1389" s="1"/>
      <c r="S1389" s="1"/>
      <c r="T1389" s="8"/>
      <c r="U1389" s="8"/>
      <c r="V1389" s="1"/>
      <c r="W1389" s="1"/>
      <c r="X1389" s="1"/>
      <c r="Z1389" s="8"/>
    </row>
    <row r="1390" spans="1:26" x14ac:dyDescent="0.2">
      <c r="A1390" s="12">
        <f t="shared" si="65"/>
        <v>1378</v>
      </c>
      <c r="E1390" s="10" t="str">
        <f t="shared" si="63"/>
        <v/>
      </c>
      <c r="I1390" s="53" t="str">
        <f t="shared" si="64"/>
        <v/>
      </c>
      <c r="N1390" s="8">
        <v>0</v>
      </c>
      <c r="Q1390" s="1"/>
      <c r="R1390" s="1"/>
      <c r="S1390" s="1"/>
      <c r="T1390" s="8"/>
      <c r="U1390" s="8"/>
      <c r="V1390" s="1"/>
      <c r="W1390" s="1"/>
      <c r="X1390" s="1"/>
      <c r="Z1390" s="8"/>
    </row>
    <row r="1391" spans="1:26" x14ac:dyDescent="0.2">
      <c r="A1391" s="12">
        <f t="shared" si="65"/>
        <v>1379</v>
      </c>
      <c r="E1391" s="10" t="str">
        <f t="shared" si="63"/>
        <v/>
      </c>
      <c r="I1391" s="53" t="str">
        <f t="shared" si="64"/>
        <v/>
      </c>
      <c r="N1391" s="8">
        <v>0</v>
      </c>
      <c r="Q1391" s="1"/>
      <c r="R1391" s="1"/>
      <c r="S1391" s="1"/>
      <c r="T1391" s="8"/>
      <c r="U1391" s="8"/>
      <c r="V1391" s="1"/>
      <c r="W1391" s="1"/>
      <c r="X1391" s="1"/>
      <c r="Z1391" s="8"/>
    </row>
    <row r="1392" spans="1:26" x14ac:dyDescent="0.2">
      <c r="A1392" s="12">
        <f t="shared" si="65"/>
        <v>1380</v>
      </c>
      <c r="E1392" s="10" t="str">
        <f t="shared" si="63"/>
        <v/>
      </c>
      <c r="I1392" s="53" t="str">
        <f t="shared" si="64"/>
        <v/>
      </c>
      <c r="N1392" s="8">
        <v>0</v>
      </c>
      <c r="Q1392" s="1"/>
      <c r="R1392" s="1"/>
      <c r="S1392" s="1"/>
      <c r="T1392" s="8"/>
      <c r="U1392" s="8"/>
      <c r="V1392" s="1"/>
      <c r="W1392" s="1"/>
      <c r="X1392" s="1"/>
      <c r="Z1392" s="8"/>
    </row>
    <row r="1393" spans="1:26" x14ac:dyDescent="0.2">
      <c r="A1393" s="12">
        <f t="shared" si="65"/>
        <v>1381</v>
      </c>
      <c r="E1393" s="10" t="str">
        <f t="shared" si="63"/>
        <v/>
      </c>
      <c r="I1393" s="53" t="str">
        <f t="shared" si="64"/>
        <v/>
      </c>
      <c r="N1393" s="8">
        <v>0</v>
      </c>
      <c r="Q1393" s="1"/>
      <c r="R1393" s="1"/>
      <c r="S1393" s="1"/>
      <c r="T1393" s="8"/>
      <c r="U1393" s="8"/>
      <c r="V1393" s="1"/>
      <c r="W1393" s="1"/>
      <c r="X1393" s="1"/>
      <c r="Z1393" s="8"/>
    </row>
    <row r="1394" spans="1:26" x14ac:dyDescent="0.2">
      <c r="A1394" s="12">
        <f t="shared" si="65"/>
        <v>1382</v>
      </c>
      <c r="E1394" s="10" t="str">
        <f t="shared" si="63"/>
        <v/>
      </c>
      <c r="I1394" s="53" t="str">
        <f t="shared" si="64"/>
        <v/>
      </c>
      <c r="N1394" s="8">
        <v>0</v>
      </c>
      <c r="Q1394" s="1"/>
      <c r="R1394" s="1"/>
      <c r="S1394" s="1"/>
      <c r="T1394" s="8"/>
      <c r="U1394" s="8"/>
      <c r="V1394" s="1"/>
      <c r="W1394" s="1"/>
      <c r="X1394" s="1"/>
      <c r="Z1394" s="8"/>
    </row>
    <row r="1395" spans="1:26" x14ac:dyDescent="0.2">
      <c r="A1395" s="12">
        <f t="shared" si="65"/>
        <v>1383</v>
      </c>
      <c r="E1395" s="10" t="str">
        <f t="shared" si="63"/>
        <v/>
      </c>
      <c r="I1395" s="53" t="str">
        <f t="shared" si="64"/>
        <v/>
      </c>
      <c r="N1395" s="8">
        <v>0</v>
      </c>
      <c r="Q1395" s="1"/>
      <c r="R1395" s="1"/>
      <c r="S1395" s="1"/>
      <c r="T1395" s="8"/>
      <c r="U1395" s="8"/>
      <c r="V1395" s="1"/>
      <c r="W1395" s="1"/>
      <c r="X1395" s="1"/>
      <c r="Z1395" s="8"/>
    </row>
    <row r="1396" spans="1:26" x14ac:dyDescent="0.2">
      <c r="A1396" s="12">
        <f t="shared" si="65"/>
        <v>1384</v>
      </c>
      <c r="E1396" s="10" t="str">
        <f t="shared" si="63"/>
        <v/>
      </c>
      <c r="I1396" s="53" t="str">
        <f t="shared" si="64"/>
        <v/>
      </c>
      <c r="N1396" s="8">
        <v>0</v>
      </c>
      <c r="Q1396" s="1"/>
      <c r="R1396" s="1"/>
      <c r="S1396" s="1"/>
      <c r="T1396" s="8"/>
      <c r="U1396" s="8"/>
      <c r="V1396" s="1"/>
      <c r="W1396" s="1"/>
      <c r="X1396" s="1"/>
      <c r="Z1396" s="8"/>
    </row>
    <row r="1397" spans="1:26" x14ac:dyDescent="0.2">
      <c r="A1397" s="12">
        <f t="shared" si="65"/>
        <v>1385</v>
      </c>
      <c r="E1397" s="10" t="str">
        <f t="shared" si="63"/>
        <v/>
      </c>
      <c r="I1397" s="53" t="str">
        <f t="shared" si="64"/>
        <v/>
      </c>
      <c r="N1397" s="8">
        <v>0</v>
      </c>
      <c r="Q1397" s="1"/>
      <c r="R1397" s="1"/>
      <c r="S1397" s="1"/>
      <c r="T1397" s="8"/>
      <c r="U1397" s="8"/>
      <c r="V1397" s="1"/>
      <c r="W1397" s="1"/>
      <c r="X1397" s="1"/>
      <c r="Z1397" s="8"/>
    </row>
    <row r="1398" spans="1:26" x14ac:dyDescent="0.2">
      <c r="A1398" s="12">
        <f t="shared" si="65"/>
        <v>1386</v>
      </c>
      <c r="E1398" s="10" t="str">
        <f t="shared" si="63"/>
        <v/>
      </c>
      <c r="I1398" s="53" t="str">
        <f t="shared" si="64"/>
        <v/>
      </c>
      <c r="N1398" s="8">
        <v>0</v>
      </c>
      <c r="Q1398" s="1"/>
      <c r="R1398" s="1"/>
      <c r="S1398" s="1"/>
      <c r="T1398" s="8"/>
      <c r="U1398" s="8"/>
      <c r="V1398" s="1"/>
      <c r="W1398" s="1"/>
      <c r="X1398" s="1"/>
      <c r="Z1398" s="8"/>
    </row>
    <row r="1399" spans="1:26" x14ac:dyDescent="0.2">
      <c r="A1399" s="12">
        <f t="shared" si="65"/>
        <v>1387</v>
      </c>
      <c r="E1399" s="10" t="str">
        <f t="shared" si="63"/>
        <v/>
      </c>
      <c r="I1399" s="53" t="str">
        <f t="shared" si="64"/>
        <v/>
      </c>
      <c r="N1399" s="8">
        <v>0</v>
      </c>
      <c r="Q1399" s="1"/>
      <c r="R1399" s="1"/>
      <c r="S1399" s="1"/>
      <c r="T1399" s="8"/>
      <c r="U1399" s="8"/>
      <c r="V1399" s="1"/>
      <c r="W1399" s="1"/>
      <c r="X1399" s="1"/>
      <c r="Z1399" s="8"/>
    </row>
    <row r="1400" spans="1:26" x14ac:dyDescent="0.2">
      <c r="A1400" s="12">
        <f t="shared" si="65"/>
        <v>1388</v>
      </c>
      <c r="E1400" s="10" t="str">
        <f t="shared" si="63"/>
        <v/>
      </c>
      <c r="I1400" s="53" t="str">
        <f t="shared" si="64"/>
        <v/>
      </c>
      <c r="N1400" s="8">
        <v>0</v>
      </c>
      <c r="Q1400" s="1"/>
      <c r="R1400" s="1"/>
      <c r="S1400" s="1"/>
      <c r="T1400" s="8"/>
      <c r="U1400" s="8"/>
      <c r="V1400" s="1"/>
      <c r="W1400" s="1"/>
      <c r="X1400" s="1"/>
      <c r="Z1400" s="8"/>
    </row>
    <row r="1401" spans="1:26" x14ac:dyDescent="0.2">
      <c r="A1401" s="12">
        <f t="shared" si="65"/>
        <v>1389</v>
      </c>
      <c r="E1401" s="10" t="str">
        <f t="shared" si="63"/>
        <v/>
      </c>
      <c r="I1401" s="53" t="str">
        <f t="shared" si="64"/>
        <v/>
      </c>
      <c r="N1401" s="8">
        <v>0</v>
      </c>
      <c r="Q1401" s="1"/>
      <c r="R1401" s="1"/>
      <c r="S1401" s="1"/>
      <c r="T1401" s="8"/>
      <c r="U1401" s="8"/>
      <c r="V1401" s="1"/>
      <c r="W1401" s="1"/>
      <c r="X1401" s="1"/>
      <c r="Z1401" s="8"/>
    </row>
    <row r="1402" spans="1:26" x14ac:dyDescent="0.2">
      <c r="A1402" s="12">
        <f t="shared" si="65"/>
        <v>1390</v>
      </c>
      <c r="E1402" s="10" t="str">
        <f t="shared" si="63"/>
        <v/>
      </c>
      <c r="I1402" s="53" t="str">
        <f t="shared" si="64"/>
        <v/>
      </c>
      <c r="N1402" s="8">
        <v>0</v>
      </c>
      <c r="Q1402" s="1"/>
      <c r="R1402" s="1"/>
      <c r="S1402" s="1"/>
      <c r="T1402" s="8"/>
      <c r="U1402" s="8"/>
      <c r="V1402" s="1"/>
      <c r="W1402" s="1"/>
      <c r="X1402" s="1"/>
      <c r="Z1402" s="8"/>
    </row>
    <row r="1403" spans="1:26" x14ac:dyDescent="0.2">
      <c r="A1403" s="12">
        <f t="shared" si="65"/>
        <v>1391</v>
      </c>
      <c r="E1403" s="10" t="str">
        <f t="shared" si="63"/>
        <v/>
      </c>
      <c r="I1403" s="53" t="str">
        <f t="shared" si="64"/>
        <v/>
      </c>
      <c r="N1403" s="8">
        <v>0</v>
      </c>
      <c r="Q1403" s="1"/>
      <c r="R1403" s="1"/>
      <c r="S1403" s="1"/>
      <c r="T1403" s="8"/>
      <c r="U1403" s="8"/>
      <c r="V1403" s="1"/>
      <c r="W1403" s="1"/>
      <c r="X1403" s="1"/>
      <c r="Z1403" s="8"/>
    </row>
    <row r="1404" spans="1:26" x14ac:dyDescent="0.2">
      <c r="A1404" s="12">
        <f t="shared" si="65"/>
        <v>1392</v>
      </c>
      <c r="E1404" s="10" t="str">
        <f t="shared" si="63"/>
        <v/>
      </c>
      <c r="I1404" s="53" t="str">
        <f t="shared" si="64"/>
        <v/>
      </c>
      <c r="N1404" s="8">
        <v>0</v>
      </c>
      <c r="Q1404" s="1"/>
      <c r="R1404" s="1"/>
      <c r="S1404" s="1"/>
      <c r="T1404" s="8"/>
      <c r="U1404" s="8"/>
      <c r="V1404" s="1"/>
      <c r="W1404" s="1"/>
      <c r="X1404" s="1"/>
      <c r="Z1404" s="8"/>
    </row>
    <row r="1405" spans="1:26" x14ac:dyDescent="0.2">
      <c r="A1405" s="12">
        <f t="shared" si="65"/>
        <v>1393</v>
      </c>
      <c r="E1405" s="10" t="str">
        <f t="shared" si="63"/>
        <v/>
      </c>
      <c r="I1405" s="53" t="str">
        <f t="shared" si="64"/>
        <v/>
      </c>
      <c r="N1405" s="8">
        <v>0</v>
      </c>
      <c r="Q1405" s="1"/>
      <c r="R1405" s="1"/>
      <c r="S1405" s="1"/>
      <c r="T1405" s="8"/>
      <c r="U1405" s="8"/>
      <c r="V1405" s="1"/>
      <c r="W1405" s="1"/>
      <c r="X1405" s="1"/>
      <c r="Z1405" s="8"/>
    </row>
    <row r="1406" spans="1:26" x14ac:dyDescent="0.2">
      <c r="A1406" s="12">
        <f t="shared" si="65"/>
        <v>1394</v>
      </c>
      <c r="E1406" s="10" t="str">
        <f t="shared" si="63"/>
        <v/>
      </c>
      <c r="I1406" s="53" t="str">
        <f t="shared" si="64"/>
        <v/>
      </c>
      <c r="N1406" s="8">
        <v>0</v>
      </c>
      <c r="Q1406" s="1"/>
      <c r="R1406" s="1"/>
      <c r="S1406" s="1"/>
      <c r="T1406" s="8"/>
      <c r="U1406" s="8"/>
      <c r="V1406" s="1"/>
      <c r="W1406" s="1"/>
      <c r="X1406" s="1"/>
      <c r="Z1406" s="8"/>
    </row>
    <row r="1407" spans="1:26" x14ac:dyDescent="0.2">
      <c r="A1407" s="12">
        <f t="shared" si="65"/>
        <v>1395</v>
      </c>
      <c r="E1407" s="10" t="str">
        <f t="shared" si="63"/>
        <v/>
      </c>
      <c r="I1407" s="53" t="str">
        <f t="shared" si="64"/>
        <v/>
      </c>
      <c r="N1407" s="8">
        <v>0</v>
      </c>
      <c r="Q1407" s="1"/>
      <c r="R1407" s="1"/>
      <c r="S1407" s="1"/>
      <c r="T1407" s="8"/>
      <c r="U1407" s="8"/>
      <c r="V1407" s="1"/>
      <c r="W1407" s="1"/>
      <c r="X1407" s="1"/>
      <c r="Z1407" s="8"/>
    </row>
    <row r="1408" spans="1:26" x14ac:dyDescent="0.2">
      <c r="A1408" s="12">
        <f t="shared" si="65"/>
        <v>1396</v>
      </c>
      <c r="E1408" s="10" t="str">
        <f t="shared" si="63"/>
        <v/>
      </c>
      <c r="I1408" s="53" t="str">
        <f t="shared" si="64"/>
        <v/>
      </c>
      <c r="N1408" s="8">
        <v>0</v>
      </c>
      <c r="Q1408" s="1"/>
      <c r="R1408" s="1"/>
      <c r="S1408" s="1"/>
      <c r="T1408" s="8"/>
      <c r="U1408" s="8"/>
      <c r="V1408" s="1"/>
      <c r="W1408" s="1"/>
      <c r="X1408" s="1"/>
      <c r="Z1408" s="8"/>
    </row>
    <row r="1409" spans="1:26" x14ac:dyDescent="0.2">
      <c r="A1409" s="12">
        <f t="shared" si="65"/>
        <v>1397</v>
      </c>
      <c r="E1409" s="10" t="str">
        <f t="shared" si="63"/>
        <v/>
      </c>
      <c r="I1409" s="53" t="str">
        <f t="shared" si="64"/>
        <v/>
      </c>
      <c r="N1409" s="8">
        <v>0</v>
      </c>
      <c r="Q1409" s="1"/>
      <c r="R1409" s="1"/>
      <c r="S1409" s="1"/>
      <c r="T1409" s="8"/>
      <c r="U1409" s="8"/>
      <c r="V1409" s="1"/>
      <c r="W1409" s="1"/>
      <c r="X1409" s="1"/>
      <c r="Z1409" s="8"/>
    </row>
    <row r="1410" spans="1:26" x14ac:dyDescent="0.2">
      <c r="A1410" s="12">
        <f t="shared" si="65"/>
        <v>1398</v>
      </c>
      <c r="E1410" s="10" t="str">
        <f t="shared" si="63"/>
        <v/>
      </c>
      <c r="I1410" s="53" t="str">
        <f t="shared" si="64"/>
        <v/>
      </c>
      <c r="N1410" s="8">
        <v>0</v>
      </c>
      <c r="Q1410" s="1"/>
      <c r="R1410" s="1"/>
      <c r="S1410" s="1"/>
      <c r="T1410" s="8"/>
      <c r="U1410" s="8"/>
      <c r="V1410" s="1"/>
      <c r="W1410" s="1"/>
      <c r="X1410" s="1"/>
      <c r="Z1410" s="8"/>
    </row>
    <row r="1411" spans="1:26" x14ac:dyDescent="0.2">
      <c r="A1411" s="12">
        <f t="shared" si="65"/>
        <v>1399</v>
      </c>
      <c r="E1411" s="10" t="str">
        <f t="shared" si="63"/>
        <v/>
      </c>
      <c r="I1411" s="53" t="str">
        <f t="shared" si="64"/>
        <v/>
      </c>
      <c r="N1411" s="8">
        <v>0</v>
      </c>
      <c r="Q1411" s="1"/>
      <c r="R1411" s="1"/>
      <c r="S1411" s="1"/>
      <c r="T1411" s="8"/>
      <c r="U1411" s="8"/>
      <c r="V1411" s="1"/>
      <c r="W1411" s="1"/>
      <c r="X1411" s="1"/>
      <c r="Z1411" s="8"/>
    </row>
    <row r="1412" spans="1:26" x14ac:dyDescent="0.2">
      <c r="A1412" s="12">
        <f t="shared" si="65"/>
        <v>1400</v>
      </c>
      <c r="E1412" s="10" t="str">
        <f t="shared" si="63"/>
        <v/>
      </c>
      <c r="I1412" s="53" t="str">
        <f t="shared" si="64"/>
        <v/>
      </c>
      <c r="N1412" s="8">
        <v>0</v>
      </c>
      <c r="Q1412" s="1"/>
      <c r="R1412" s="1"/>
      <c r="S1412" s="1"/>
      <c r="T1412" s="8"/>
      <c r="U1412" s="8"/>
      <c r="V1412" s="1"/>
      <c r="W1412" s="1"/>
      <c r="X1412" s="1"/>
      <c r="Z1412" s="8"/>
    </row>
    <row r="1413" spans="1:26" x14ac:dyDescent="0.2">
      <c r="A1413" s="12">
        <f t="shared" si="65"/>
        <v>1401</v>
      </c>
      <c r="E1413" s="10" t="str">
        <f t="shared" si="63"/>
        <v/>
      </c>
      <c r="I1413" s="53" t="str">
        <f t="shared" si="64"/>
        <v/>
      </c>
      <c r="N1413" s="8">
        <v>0</v>
      </c>
      <c r="Q1413" s="1"/>
      <c r="R1413" s="1"/>
      <c r="S1413" s="1"/>
      <c r="T1413" s="8"/>
      <c r="U1413" s="8"/>
      <c r="V1413" s="1"/>
      <c r="W1413" s="1"/>
      <c r="X1413" s="1"/>
      <c r="Z1413" s="8"/>
    </row>
    <row r="1414" spans="1:26" x14ac:dyDescent="0.2">
      <c r="A1414" s="12">
        <f t="shared" si="65"/>
        <v>1402</v>
      </c>
      <c r="E1414" s="10" t="str">
        <f t="shared" si="63"/>
        <v/>
      </c>
      <c r="I1414" s="53" t="str">
        <f t="shared" si="64"/>
        <v/>
      </c>
      <c r="N1414" s="8">
        <v>0</v>
      </c>
      <c r="Q1414" s="1"/>
      <c r="R1414" s="1"/>
      <c r="S1414" s="1"/>
      <c r="T1414" s="8"/>
      <c r="U1414" s="8"/>
      <c r="V1414" s="1"/>
      <c r="W1414" s="1"/>
      <c r="X1414" s="1"/>
      <c r="Z1414" s="8"/>
    </row>
    <row r="1415" spans="1:26" x14ac:dyDescent="0.2">
      <c r="A1415" s="12">
        <f t="shared" si="65"/>
        <v>1403</v>
      </c>
      <c r="E1415" s="10" t="str">
        <f t="shared" si="63"/>
        <v/>
      </c>
      <c r="I1415" s="53" t="str">
        <f t="shared" si="64"/>
        <v/>
      </c>
      <c r="N1415" s="8">
        <v>0</v>
      </c>
      <c r="Q1415" s="1"/>
      <c r="R1415" s="1"/>
      <c r="S1415" s="1"/>
      <c r="T1415" s="8"/>
      <c r="U1415" s="8"/>
      <c r="V1415" s="1"/>
      <c r="W1415" s="1"/>
      <c r="X1415" s="1"/>
      <c r="Z1415" s="8"/>
    </row>
    <row r="1416" spans="1:26" x14ac:dyDescent="0.2">
      <c r="A1416" s="12">
        <f t="shared" si="65"/>
        <v>1404</v>
      </c>
      <c r="E1416" s="10" t="str">
        <f t="shared" si="63"/>
        <v/>
      </c>
      <c r="I1416" s="53" t="str">
        <f t="shared" si="64"/>
        <v/>
      </c>
      <c r="N1416" s="8">
        <v>0</v>
      </c>
      <c r="Q1416" s="1"/>
      <c r="R1416" s="1"/>
      <c r="S1416" s="1"/>
      <c r="T1416" s="8"/>
      <c r="U1416" s="8"/>
      <c r="V1416" s="1"/>
      <c r="W1416" s="1"/>
      <c r="X1416" s="1"/>
      <c r="Z1416" s="8"/>
    </row>
    <row r="1417" spans="1:26" x14ac:dyDescent="0.2">
      <c r="A1417" s="12">
        <f t="shared" si="65"/>
        <v>1405</v>
      </c>
      <c r="E1417" s="10" t="str">
        <f t="shared" si="63"/>
        <v/>
      </c>
      <c r="I1417" s="53" t="str">
        <f t="shared" si="64"/>
        <v/>
      </c>
      <c r="N1417" s="8">
        <v>0</v>
      </c>
      <c r="Q1417" s="1"/>
      <c r="R1417" s="1"/>
      <c r="S1417" s="1"/>
      <c r="T1417" s="8"/>
      <c r="U1417" s="8"/>
      <c r="V1417" s="1"/>
      <c r="W1417" s="1"/>
      <c r="X1417" s="1"/>
      <c r="Z1417" s="8"/>
    </row>
    <row r="1418" spans="1:26" x14ac:dyDescent="0.2">
      <c r="A1418" s="12">
        <f t="shared" si="65"/>
        <v>1406</v>
      </c>
      <c r="E1418" s="10" t="str">
        <f t="shared" si="63"/>
        <v/>
      </c>
      <c r="I1418" s="53" t="str">
        <f t="shared" si="64"/>
        <v/>
      </c>
      <c r="N1418" s="8">
        <v>0</v>
      </c>
      <c r="Q1418" s="1"/>
      <c r="R1418" s="1"/>
      <c r="S1418" s="1"/>
      <c r="T1418" s="8"/>
      <c r="U1418" s="8"/>
      <c r="V1418" s="1"/>
      <c r="W1418" s="1"/>
      <c r="X1418" s="1"/>
      <c r="Z1418" s="8"/>
    </row>
    <row r="1419" spans="1:26" x14ac:dyDescent="0.2">
      <c r="A1419" s="12">
        <f t="shared" si="65"/>
        <v>1407</v>
      </c>
      <c r="E1419" s="10" t="str">
        <f t="shared" si="63"/>
        <v/>
      </c>
      <c r="I1419" s="53" t="str">
        <f t="shared" si="64"/>
        <v/>
      </c>
      <c r="N1419" s="8">
        <v>0</v>
      </c>
      <c r="Q1419" s="1"/>
      <c r="R1419" s="1"/>
      <c r="S1419" s="1"/>
      <c r="T1419" s="8"/>
      <c r="U1419" s="8"/>
      <c r="V1419" s="1"/>
      <c r="W1419" s="1"/>
      <c r="X1419" s="1"/>
      <c r="Z1419" s="8"/>
    </row>
    <row r="1420" spans="1:26" x14ac:dyDescent="0.2">
      <c r="A1420" s="12">
        <f t="shared" si="65"/>
        <v>1408</v>
      </c>
      <c r="E1420" s="10" t="str">
        <f t="shared" si="63"/>
        <v/>
      </c>
      <c r="I1420" s="53" t="str">
        <f t="shared" si="64"/>
        <v/>
      </c>
      <c r="N1420" s="8">
        <v>0</v>
      </c>
      <c r="Q1420" s="1"/>
      <c r="R1420" s="1"/>
      <c r="S1420" s="1"/>
      <c r="T1420" s="8"/>
      <c r="U1420" s="8"/>
      <c r="V1420" s="1"/>
      <c r="W1420" s="1"/>
      <c r="X1420" s="1"/>
      <c r="Z1420" s="8"/>
    </row>
    <row r="1421" spans="1:26" x14ac:dyDescent="0.2">
      <c r="A1421" s="12">
        <f t="shared" si="65"/>
        <v>1409</v>
      </c>
      <c r="E1421" s="10" t="str">
        <f t="shared" ref="E1421:E1484" si="66">IF($C$8&gt;=A1421,$E$1&amp;" "&amp;A1421,"")</f>
        <v/>
      </c>
      <c r="I1421" s="53" t="str">
        <f t="shared" si="64"/>
        <v/>
      </c>
      <c r="N1421" s="8">
        <v>0</v>
      </c>
      <c r="Q1421" s="1"/>
      <c r="R1421" s="1"/>
      <c r="S1421" s="1"/>
      <c r="T1421" s="8"/>
      <c r="U1421" s="8"/>
      <c r="V1421" s="1"/>
      <c r="W1421" s="1"/>
      <c r="X1421" s="1"/>
      <c r="Z1421" s="8"/>
    </row>
    <row r="1422" spans="1:26" x14ac:dyDescent="0.2">
      <c r="A1422" s="12">
        <f t="shared" si="65"/>
        <v>1410</v>
      </c>
      <c r="E1422" s="10" t="str">
        <f t="shared" si="66"/>
        <v/>
      </c>
      <c r="I1422" s="53" t="str">
        <f t="shared" ref="I1422:I1485" si="67">IF(E1422="","",F1422-G1422-H1422)</f>
        <v/>
      </c>
      <c r="N1422" s="8">
        <v>0</v>
      </c>
      <c r="Q1422" s="1"/>
      <c r="R1422" s="1"/>
      <c r="S1422" s="1"/>
      <c r="T1422" s="8"/>
      <c r="U1422" s="8"/>
      <c r="V1422" s="1"/>
      <c r="W1422" s="1"/>
      <c r="X1422" s="1"/>
      <c r="Z1422" s="8"/>
    </row>
    <row r="1423" spans="1:26" x14ac:dyDescent="0.2">
      <c r="A1423" s="12">
        <f t="shared" ref="A1423:A1486" si="68">A1422+1</f>
        <v>1411</v>
      </c>
      <c r="E1423" s="10" t="str">
        <f t="shared" si="66"/>
        <v/>
      </c>
      <c r="I1423" s="53" t="str">
        <f t="shared" si="67"/>
        <v/>
      </c>
      <c r="N1423" s="8">
        <v>0</v>
      </c>
      <c r="Q1423" s="1"/>
      <c r="R1423" s="1"/>
      <c r="S1423" s="1"/>
      <c r="T1423" s="8"/>
      <c r="U1423" s="8"/>
      <c r="V1423" s="1"/>
      <c r="W1423" s="1"/>
      <c r="X1423" s="1"/>
      <c r="Z1423" s="8"/>
    </row>
    <row r="1424" spans="1:26" x14ac:dyDescent="0.2">
      <c r="A1424" s="12">
        <f t="shared" si="68"/>
        <v>1412</v>
      </c>
      <c r="E1424" s="10" t="str">
        <f t="shared" si="66"/>
        <v/>
      </c>
      <c r="I1424" s="53" t="str">
        <f t="shared" si="67"/>
        <v/>
      </c>
      <c r="N1424" s="8">
        <v>0</v>
      </c>
      <c r="Q1424" s="1"/>
      <c r="R1424" s="1"/>
      <c r="S1424" s="1"/>
      <c r="T1424" s="8"/>
      <c r="U1424" s="8"/>
      <c r="V1424" s="1"/>
      <c r="W1424" s="1"/>
      <c r="X1424" s="1"/>
      <c r="Z1424" s="8"/>
    </row>
    <row r="1425" spans="1:26" x14ac:dyDescent="0.2">
      <c r="A1425" s="12">
        <f t="shared" si="68"/>
        <v>1413</v>
      </c>
      <c r="E1425" s="10" t="str">
        <f t="shared" si="66"/>
        <v/>
      </c>
      <c r="I1425" s="53" t="str">
        <f t="shared" si="67"/>
        <v/>
      </c>
      <c r="N1425" s="8">
        <v>0</v>
      </c>
      <c r="Q1425" s="1"/>
      <c r="R1425" s="1"/>
      <c r="S1425" s="1"/>
      <c r="T1425" s="8"/>
      <c r="U1425" s="8"/>
      <c r="V1425" s="1"/>
      <c r="W1425" s="1"/>
      <c r="X1425" s="1"/>
      <c r="Z1425" s="8"/>
    </row>
    <row r="1426" spans="1:26" x14ac:dyDescent="0.2">
      <c r="A1426" s="12">
        <f t="shared" si="68"/>
        <v>1414</v>
      </c>
      <c r="E1426" s="10" t="str">
        <f t="shared" si="66"/>
        <v/>
      </c>
      <c r="I1426" s="53" t="str">
        <f t="shared" si="67"/>
        <v/>
      </c>
      <c r="N1426" s="8">
        <v>0</v>
      </c>
      <c r="Q1426" s="1"/>
      <c r="R1426" s="1"/>
      <c r="S1426" s="1"/>
      <c r="T1426" s="8"/>
      <c r="U1426" s="8"/>
      <c r="V1426" s="1"/>
      <c r="W1426" s="1"/>
      <c r="X1426" s="1"/>
      <c r="Z1426" s="8"/>
    </row>
    <row r="1427" spans="1:26" x14ac:dyDescent="0.2">
      <c r="A1427" s="12">
        <f t="shared" si="68"/>
        <v>1415</v>
      </c>
      <c r="E1427" s="10" t="str">
        <f t="shared" si="66"/>
        <v/>
      </c>
      <c r="I1427" s="53" t="str">
        <f t="shared" si="67"/>
        <v/>
      </c>
      <c r="N1427" s="8">
        <v>0</v>
      </c>
      <c r="Q1427" s="1"/>
      <c r="R1427" s="1"/>
      <c r="S1427" s="1"/>
      <c r="T1427" s="8"/>
      <c r="U1427" s="8"/>
      <c r="V1427" s="1"/>
      <c r="W1427" s="1"/>
      <c r="X1427" s="1"/>
      <c r="Z1427" s="8"/>
    </row>
    <row r="1428" spans="1:26" x14ac:dyDescent="0.2">
      <c r="A1428" s="12">
        <f t="shared" si="68"/>
        <v>1416</v>
      </c>
      <c r="E1428" s="10" t="str">
        <f t="shared" si="66"/>
        <v/>
      </c>
      <c r="I1428" s="53" t="str">
        <f t="shared" si="67"/>
        <v/>
      </c>
      <c r="N1428" s="8">
        <v>0</v>
      </c>
      <c r="Q1428" s="1"/>
      <c r="R1428" s="1"/>
      <c r="S1428" s="1"/>
      <c r="T1428" s="8"/>
      <c r="U1428" s="8"/>
      <c r="V1428" s="1"/>
      <c r="W1428" s="1"/>
      <c r="X1428" s="1"/>
      <c r="Z1428" s="8"/>
    </row>
    <row r="1429" spans="1:26" x14ac:dyDescent="0.2">
      <c r="A1429" s="12">
        <f t="shared" si="68"/>
        <v>1417</v>
      </c>
      <c r="E1429" s="10" t="str">
        <f t="shared" si="66"/>
        <v/>
      </c>
      <c r="I1429" s="53" t="str">
        <f t="shared" si="67"/>
        <v/>
      </c>
      <c r="N1429" s="8">
        <v>0</v>
      </c>
      <c r="Q1429" s="1"/>
      <c r="R1429" s="1"/>
      <c r="S1429" s="1"/>
      <c r="T1429" s="8"/>
      <c r="U1429" s="8"/>
      <c r="V1429" s="1"/>
      <c r="W1429" s="1"/>
      <c r="X1429" s="1"/>
      <c r="Z1429" s="8"/>
    </row>
    <row r="1430" spans="1:26" x14ac:dyDescent="0.2">
      <c r="A1430" s="12">
        <f t="shared" si="68"/>
        <v>1418</v>
      </c>
      <c r="E1430" s="10" t="str">
        <f t="shared" si="66"/>
        <v/>
      </c>
      <c r="I1430" s="53" t="str">
        <f t="shared" si="67"/>
        <v/>
      </c>
      <c r="N1430" s="8">
        <v>0</v>
      </c>
      <c r="Q1430" s="1"/>
      <c r="R1430" s="1"/>
      <c r="S1430" s="1"/>
      <c r="T1430" s="8"/>
      <c r="U1430" s="8"/>
      <c r="V1430" s="1"/>
      <c r="W1430" s="1"/>
      <c r="X1430" s="1"/>
      <c r="Z1430" s="8"/>
    </row>
    <row r="1431" spans="1:26" x14ac:dyDescent="0.2">
      <c r="A1431" s="12">
        <f t="shared" si="68"/>
        <v>1419</v>
      </c>
      <c r="E1431" s="10" t="str">
        <f t="shared" si="66"/>
        <v/>
      </c>
      <c r="I1431" s="53" t="str">
        <f t="shared" si="67"/>
        <v/>
      </c>
      <c r="N1431" s="8">
        <v>0</v>
      </c>
      <c r="Q1431" s="1"/>
      <c r="R1431" s="1"/>
      <c r="S1431" s="1"/>
      <c r="T1431" s="8"/>
      <c r="U1431" s="8"/>
      <c r="V1431" s="1"/>
      <c r="W1431" s="1"/>
      <c r="X1431" s="1"/>
      <c r="Z1431" s="8"/>
    </row>
    <row r="1432" spans="1:26" x14ac:dyDescent="0.2">
      <c r="A1432" s="12">
        <f t="shared" si="68"/>
        <v>1420</v>
      </c>
      <c r="E1432" s="10" t="str">
        <f t="shared" si="66"/>
        <v/>
      </c>
      <c r="I1432" s="53" t="str">
        <f t="shared" si="67"/>
        <v/>
      </c>
      <c r="N1432" s="8">
        <v>0</v>
      </c>
      <c r="Q1432" s="1"/>
      <c r="R1432" s="1"/>
      <c r="S1432" s="1"/>
      <c r="T1432" s="8"/>
      <c r="U1432" s="8"/>
      <c r="V1432" s="1"/>
      <c r="W1432" s="1"/>
      <c r="X1432" s="1"/>
      <c r="Z1432" s="8"/>
    </row>
    <row r="1433" spans="1:26" x14ac:dyDescent="0.2">
      <c r="A1433" s="12">
        <f t="shared" si="68"/>
        <v>1421</v>
      </c>
      <c r="E1433" s="10" t="str">
        <f t="shared" si="66"/>
        <v/>
      </c>
      <c r="I1433" s="53" t="str">
        <f t="shared" si="67"/>
        <v/>
      </c>
      <c r="N1433" s="8">
        <v>0</v>
      </c>
      <c r="Q1433" s="1"/>
      <c r="R1433" s="1"/>
      <c r="S1433" s="1"/>
      <c r="T1433" s="8"/>
      <c r="U1433" s="8"/>
      <c r="V1433" s="1"/>
      <c r="W1433" s="1"/>
      <c r="X1433" s="1"/>
      <c r="Z1433" s="8"/>
    </row>
    <row r="1434" spans="1:26" x14ac:dyDescent="0.2">
      <c r="A1434" s="12">
        <f t="shared" si="68"/>
        <v>1422</v>
      </c>
      <c r="E1434" s="10" t="str">
        <f t="shared" si="66"/>
        <v/>
      </c>
      <c r="I1434" s="53" t="str">
        <f t="shared" si="67"/>
        <v/>
      </c>
      <c r="N1434" s="8">
        <v>0</v>
      </c>
      <c r="Q1434" s="1"/>
      <c r="R1434" s="1"/>
      <c r="S1434" s="1"/>
      <c r="T1434" s="8"/>
      <c r="U1434" s="8"/>
      <c r="V1434" s="1"/>
      <c r="W1434" s="1"/>
      <c r="X1434" s="1"/>
      <c r="Z1434" s="8"/>
    </row>
    <row r="1435" spans="1:26" x14ac:dyDescent="0.2">
      <c r="A1435" s="12">
        <f t="shared" si="68"/>
        <v>1423</v>
      </c>
      <c r="E1435" s="10" t="str">
        <f t="shared" si="66"/>
        <v/>
      </c>
      <c r="I1435" s="53" t="str">
        <f t="shared" si="67"/>
        <v/>
      </c>
      <c r="N1435" s="8">
        <v>0</v>
      </c>
      <c r="Q1435" s="1"/>
      <c r="R1435" s="1"/>
      <c r="S1435" s="1"/>
      <c r="T1435" s="8"/>
      <c r="U1435" s="8"/>
      <c r="V1435" s="1"/>
      <c r="W1435" s="1"/>
      <c r="X1435" s="1"/>
      <c r="Z1435" s="8"/>
    </row>
    <row r="1436" spans="1:26" x14ac:dyDescent="0.2">
      <c r="A1436" s="12">
        <f t="shared" si="68"/>
        <v>1424</v>
      </c>
      <c r="E1436" s="10" t="str">
        <f t="shared" si="66"/>
        <v/>
      </c>
      <c r="I1436" s="53" t="str">
        <f t="shared" si="67"/>
        <v/>
      </c>
      <c r="N1436" s="8">
        <v>0</v>
      </c>
      <c r="Q1436" s="1"/>
      <c r="R1436" s="1"/>
      <c r="S1436" s="1"/>
      <c r="T1436" s="8"/>
      <c r="U1436" s="8"/>
      <c r="V1436" s="1"/>
      <c r="W1436" s="1"/>
      <c r="X1436" s="1"/>
      <c r="Z1436" s="8"/>
    </row>
    <row r="1437" spans="1:26" x14ac:dyDescent="0.2">
      <c r="A1437" s="12">
        <f t="shared" si="68"/>
        <v>1425</v>
      </c>
      <c r="E1437" s="10" t="str">
        <f t="shared" si="66"/>
        <v/>
      </c>
      <c r="I1437" s="53" t="str">
        <f t="shared" si="67"/>
        <v/>
      </c>
      <c r="N1437" s="8">
        <v>0</v>
      </c>
      <c r="Q1437" s="1"/>
      <c r="R1437" s="1"/>
      <c r="S1437" s="1"/>
      <c r="T1437" s="8"/>
      <c r="U1437" s="8"/>
      <c r="V1437" s="1"/>
      <c r="W1437" s="1"/>
      <c r="X1437" s="1"/>
      <c r="Z1437" s="8"/>
    </row>
    <row r="1438" spans="1:26" x14ac:dyDescent="0.2">
      <c r="A1438" s="12">
        <f t="shared" si="68"/>
        <v>1426</v>
      </c>
      <c r="E1438" s="10" t="str">
        <f t="shared" si="66"/>
        <v/>
      </c>
      <c r="I1438" s="53" t="str">
        <f t="shared" si="67"/>
        <v/>
      </c>
      <c r="N1438" s="8">
        <v>0</v>
      </c>
      <c r="Q1438" s="1"/>
      <c r="R1438" s="1"/>
      <c r="S1438" s="1"/>
      <c r="T1438" s="8"/>
      <c r="U1438" s="8"/>
      <c r="V1438" s="1"/>
      <c r="W1438" s="1"/>
      <c r="X1438" s="1"/>
      <c r="Z1438" s="8"/>
    </row>
    <row r="1439" spans="1:26" x14ac:dyDescent="0.2">
      <c r="A1439" s="12">
        <f t="shared" si="68"/>
        <v>1427</v>
      </c>
      <c r="E1439" s="10" t="str">
        <f t="shared" si="66"/>
        <v/>
      </c>
      <c r="I1439" s="53" t="str">
        <f t="shared" si="67"/>
        <v/>
      </c>
      <c r="N1439" s="8">
        <v>0</v>
      </c>
      <c r="Q1439" s="1"/>
      <c r="R1439" s="1"/>
      <c r="S1439" s="1"/>
      <c r="T1439" s="8"/>
      <c r="U1439" s="8"/>
      <c r="V1439" s="1"/>
      <c r="W1439" s="1"/>
      <c r="X1439" s="1"/>
      <c r="Z1439" s="8"/>
    </row>
    <row r="1440" spans="1:26" x14ac:dyDescent="0.2">
      <c r="A1440" s="12">
        <f t="shared" si="68"/>
        <v>1428</v>
      </c>
      <c r="E1440" s="10" t="str">
        <f t="shared" si="66"/>
        <v/>
      </c>
      <c r="I1440" s="53" t="str">
        <f t="shared" si="67"/>
        <v/>
      </c>
      <c r="N1440" s="8">
        <v>0</v>
      </c>
      <c r="Q1440" s="1"/>
      <c r="R1440" s="1"/>
      <c r="S1440" s="1"/>
      <c r="T1440" s="8"/>
      <c r="U1440" s="8"/>
      <c r="V1440" s="1"/>
      <c r="W1440" s="1"/>
      <c r="X1440" s="1"/>
      <c r="Z1440" s="8"/>
    </row>
    <row r="1441" spans="1:26" x14ac:dyDescent="0.2">
      <c r="A1441" s="12">
        <f t="shared" si="68"/>
        <v>1429</v>
      </c>
      <c r="E1441" s="10" t="str">
        <f t="shared" si="66"/>
        <v/>
      </c>
      <c r="I1441" s="53" t="str">
        <f t="shared" si="67"/>
        <v/>
      </c>
      <c r="N1441" s="8">
        <v>0</v>
      </c>
      <c r="Q1441" s="1"/>
      <c r="R1441" s="1"/>
      <c r="S1441" s="1"/>
      <c r="T1441" s="8"/>
      <c r="U1441" s="8"/>
      <c r="V1441" s="1"/>
      <c r="W1441" s="1"/>
      <c r="X1441" s="1"/>
      <c r="Z1441" s="8"/>
    </row>
    <row r="1442" spans="1:26" x14ac:dyDescent="0.2">
      <c r="A1442" s="12">
        <f t="shared" si="68"/>
        <v>1430</v>
      </c>
      <c r="E1442" s="10" t="str">
        <f t="shared" si="66"/>
        <v/>
      </c>
      <c r="I1442" s="53" t="str">
        <f t="shared" si="67"/>
        <v/>
      </c>
      <c r="N1442" s="8">
        <v>0</v>
      </c>
      <c r="Q1442" s="1"/>
      <c r="R1442" s="1"/>
      <c r="S1442" s="1"/>
      <c r="T1442" s="8"/>
      <c r="U1442" s="8"/>
      <c r="V1442" s="1"/>
      <c r="W1442" s="1"/>
      <c r="X1442" s="1"/>
      <c r="Z1442" s="8"/>
    </row>
    <row r="1443" spans="1:26" x14ac:dyDescent="0.2">
      <c r="A1443" s="12">
        <f t="shared" si="68"/>
        <v>1431</v>
      </c>
      <c r="E1443" s="10" t="str">
        <f t="shared" si="66"/>
        <v/>
      </c>
      <c r="I1443" s="53" t="str">
        <f t="shared" si="67"/>
        <v/>
      </c>
      <c r="N1443" s="8">
        <v>0</v>
      </c>
      <c r="Q1443" s="1"/>
      <c r="R1443" s="1"/>
      <c r="S1443" s="1"/>
      <c r="T1443" s="8"/>
      <c r="U1443" s="8"/>
      <c r="V1443" s="1"/>
      <c r="W1443" s="1"/>
      <c r="X1443" s="1"/>
      <c r="Z1443" s="8"/>
    </row>
    <row r="1444" spans="1:26" x14ac:dyDescent="0.2">
      <c r="A1444" s="12">
        <f t="shared" si="68"/>
        <v>1432</v>
      </c>
      <c r="E1444" s="10" t="str">
        <f t="shared" si="66"/>
        <v/>
      </c>
      <c r="I1444" s="53" t="str">
        <f t="shared" si="67"/>
        <v/>
      </c>
      <c r="N1444" s="8">
        <v>0</v>
      </c>
      <c r="Q1444" s="1"/>
      <c r="R1444" s="1"/>
      <c r="S1444" s="1"/>
      <c r="T1444" s="8"/>
      <c r="U1444" s="8"/>
      <c r="V1444" s="1"/>
      <c r="W1444" s="1"/>
      <c r="X1444" s="1"/>
      <c r="Z1444" s="8"/>
    </row>
    <row r="1445" spans="1:26" x14ac:dyDescent="0.2">
      <c r="A1445" s="12">
        <f t="shared" si="68"/>
        <v>1433</v>
      </c>
      <c r="E1445" s="10" t="str">
        <f t="shared" si="66"/>
        <v/>
      </c>
      <c r="I1445" s="53" t="str">
        <f t="shared" si="67"/>
        <v/>
      </c>
      <c r="N1445" s="8">
        <v>0</v>
      </c>
      <c r="Q1445" s="1"/>
      <c r="R1445" s="1"/>
      <c r="S1445" s="1"/>
      <c r="T1445" s="8"/>
      <c r="U1445" s="8"/>
      <c r="V1445" s="1"/>
      <c r="W1445" s="1"/>
      <c r="X1445" s="1"/>
      <c r="Z1445" s="8"/>
    </row>
    <row r="1446" spans="1:26" x14ac:dyDescent="0.2">
      <c r="A1446" s="12">
        <f t="shared" si="68"/>
        <v>1434</v>
      </c>
      <c r="E1446" s="10" t="str">
        <f t="shared" si="66"/>
        <v/>
      </c>
      <c r="I1446" s="53" t="str">
        <f t="shared" si="67"/>
        <v/>
      </c>
      <c r="N1446" s="8">
        <v>0</v>
      </c>
      <c r="Q1446" s="1"/>
      <c r="R1446" s="1"/>
      <c r="S1446" s="1"/>
      <c r="T1446" s="8"/>
      <c r="U1446" s="8"/>
      <c r="V1446" s="1"/>
      <c r="W1446" s="1"/>
      <c r="X1446" s="1"/>
      <c r="Z1446" s="8"/>
    </row>
    <row r="1447" spans="1:26" x14ac:dyDescent="0.2">
      <c r="A1447" s="12">
        <f t="shared" si="68"/>
        <v>1435</v>
      </c>
      <c r="E1447" s="10" t="str">
        <f t="shared" si="66"/>
        <v/>
      </c>
      <c r="I1447" s="53" t="str">
        <f t="shared" si="67"/>
        <v/>
      </c>
      <c r="N1447" s="8">
        <v>0</v>
      </c>
      <c r="Q1447" s="1"/>
      <c r="R1447" s="1"/>
      <c r="S1447" s="1"/>
      <c r="T1447" s="8"/>
      <c r="U1447" s="8"/>
      <c r="V1447" s="1"/>
      <c r="W1447" s="1"/>
      <c r="X1447" s="1"/>
      <c r="Z1447" s="8"/>
    </row>
    <row r="1448" spans="1:26" x14ac:dyDescent="0.2">
      <c r="A1448" s="12">
        <f t="shared" si="68"/>
        <v>1436</v>
      </c>
      <c r="E1448" s="10" t="str">
        <f t="shared" si="66"/>
        <v/>
      </c>
      <c r="I1448" s="53" t="str">
        <f t="shared" si="67"/>
        <v/>
      </c>
      <c r="N1448" s="8">
        <v>0</v>
      </c>
      <c r="Q1448" s="1"/>
      <c r="R1448" s="1"/>
      <c r="S1448" s="1"/>
      <c r="T1448" s="8"/>
      <c r="U1448" s="8"/>
      <c r="V1448" s="1"/>
      <c r="W1448" s="1"/>
      <c r="X1448" s="1"/>
      <c r="Z1448" s="8"/>
    </row>
    <row r="1449" spans="1:26" x14ac:dyDescent="0.2">
      <c r="A1449" s="12">
        <f t="shared" si="68"/>
        <v>1437</v>
      </c>
      <c r="E1449" s="10" t="str">
        <f t="shared" si="66"/>
        <v/>
      </c>
      <c r="I1449" s="53" t="str">
        <f t="shared" si="67"/>
        <v/>
      </c>
      <c r="N1449" s="8">
        <v>0</v>
      </c>
      <c r="Q1449" s="1"/>
      <c r="R1449" s="1"/>
      <c r="S1449" s="1"/>
      <c r="T1449" s="8"/>
      <c r="U1449" s="8"/>
      <c r="V1449" s="1"/>
      <c r="W1449" s="1"/>
      <c r="X1449" s="1"/>
      <c r="Z1449" s="8"/>
    </row>
    <row r="1450" spans="1:26" x14ac:dyDescent="0.2">
      <c r="A1450" s="12">
        <f t="shared" si="68"/>
        <v>1438</v>
      </c>
      <c r="E1450" s="10" t="str">
        <f t="shared" si="66"/>
        <v/>
      </c>
      <c r="I1450" s="53" t="str">
        <f t="shared" si="67"/>
        <v/>
      </c>
      <c r="N1450" s="8">
        <v>0</v>
      </c>
      <c r="Q1450" s="1"/>
      <c r="R1450" s="1"/>
      <c r="S1450" s="1"/>
      <c r="T1450" s="8"/>
      <c r="U1450" s="8"/>
      <c r="V1450" s="1"/>
      <c r="W1450" s="1"/>
      <c r="X1450" s="1"/>
      <c r="Z1450" s="8"/>
    </row>
    <row r="1451" spans="1:26" x14ac:dyDescent="0.2">
      <c r="A1451" s="12">
        <f t="shared" si="68"/>
        <v>1439</v>
      </c>
      <c r="E1451" s="10" t="str">
        <f t="shared" si="66"/>
        <v/>
      </c>
      <c r="I1451" s="53" t="str">
        <f t="shared" si="67"/>
        <v/>
      </c>
      <c r="N1451" s="8">
        <v>0</v>
      </c>
      <c r="Q1451" s="1"/>
      <c r="R1451" s="1"/>
      <c r="S1451" s="1"/>
      <c r="T1451" s="8"/>
      <c r="U1451" s="8"/>
      <c r="V1451" s="1"/>
      <c r="W1451" s="1"/>
      <c r="X1451" s="1"/>
      <c r="Z1451" s="8"/>
    </row>
    <row r="1452" spans="1:26" x14ac:dyDescent="0.2">
      <c r="A1452" s="12">
        <f t="shared" si="68"/>
        <v>1440</v>
      </c>
      <c r="E1452" s="10" t="str">
        <f t="shared" si="66"/>
        <v/>
      </c>
      <c r="I1452" s="53" t="str">
        <f t="shared" si="67"/>
        <v/>
      </c>
      <c r="N1452" s="8">
        <v>0</v>
      </c>
      <c r="Q1452" s="1"/>
      <c r="R1452" s="1"/>
      <c r="S1452" s="1"/>
      <c r="T1452" s="8"/>
      <c r="U1452" s="8"/>
      <c r="V1452" s="1"/>
      <c r="W1452" s="1"/>
      <c r="X1452" s="1"/>
      <c r="Z1452" s="8"/>
    </row>
    <row r="1453" spans="1:26" x14ac:dyDescent="0.2">
      <c r="A1453" s="12">
        <f t="shared" si="68"/>
        <v>1441</v>
      </c>
      <c r="E1453" s="10" t="str">
        <f t="shared" si="66"/>
        <v/>
      </c>
      <c r="I1453" s="53" t="str">
        <f t="shared" si="67"/>
        <v/>
      </c>
      <c r="N1453" s="8">
        <v>0</v>
      </c>
      <c r="Q1453" s="1"/>
      <c r="R1453" s="1"/>
      <c r="S1453" s="1"/>
      <c r="T1453" s="8"/>
      <c r="U1453" s="8"/>
      <c r="V1453" s="1"/>
      <c r="W1453" s="1"/>
      <c r="X1453" s="1"/>
      <c r="Z1453" s="8"/>
    </row>
    <row r="1454" spans="1:26" x14ac:dyDescent="0.2">
      <c r="A1454" s="12">
        <f t="shared" si="68"/>
        <v>1442</v>
      </c>
      <c r="E1454" s="10" t="str">
        <f t="shared" si="66"/>
        <v/>
      </c>
      <c r="I1454" s="53" t="str">
        <f t="shared" si="67"/>
        <v/>
      </c>
      <c r="N1454" s="8">
        <v>0</v>
      </c>
      <c r="Q1454" s="1"/>
      <c r="R1454" s="1"/>
      <c r="S1454" s="1"/>
      <c r="T1454" s="8"/>
      <c r="U1454" s="8"/>
      <c r="V1454" s="1"/>
      <c r="W1454" s="1"/>
      <c r="X1454" s="1"/>
      <c r="Z1454" s="8"/>
    </row>
    <row r="1455" spans="1:26" x14ac:dyDescent="0.2">
      <c r="A1455" s="12">
        <f t="shared" si="68"/>
        <v>1443</v>
      </c>
      <c r="E1455" s="10" t="str">
        <f t="shared" si="66"/>
        <v/>
      </c>
      <c r="I1455" s="53" t="str">
        <f t="shared" si="67"/>
        <v/>
      </c>
      <c r="N1455" s="8">
        <v>0</v>
      </c>
      <c r="Q1455" s="1"/>
      <c r="R1455" s="1"/>
      <c r="S1455" s="1"/>
      <c r="T1455" s="8"/>
      <c r="U1455" s="8"/>
      <c r="V1455" s="1"/>
      <c r="W1455" s="1"/>
      <c r="X1455" s="1"/>
      <c r="Z1455" s="8"/>
    </row>
    <row r="1456" spans="1:26" x14ac:dyDescent="0.2">
      <c r="A1456" s="12">
        <f t="shared" si="68"/>
        <v>1444</v>
      </c>
      <c r="E1456" s="10" t="str">
        <f t="shared" si="66"/>
        <v/>
      </c>
      <c r="I1456" s="53" t="str">
        <f t="shared" si="67"/>
        <v/>
      </c>
      <c r="N1456" s="8">
        <v>0</v>
      </c>
      <c r="Q1456" s="1"/>
      <c r="R1456" s="1"/>
      <c r="S1456" s="1"/>
      <c r="T1456" s="8"/>
      <c r="U1456" s="8"/>
      <c r="V1456" s="1"/>
      <c r="W1456" s="1"/>
      <c r="X1456" s="1"/>
      <c r="Z1456" s="8"/>
    </row>
    <row r="1457" spans="1:26" x14ac:dyDescent="0.2">
      <c r="A1457" s="12">
        <f t="shared" si="68"/>
        <v>1445</v>
      </c>
      <c r="E1457" s="10" t="str">
        <f t="shared" si="66"/>
        <v/>
      </c>
      <c r="I1457" s="53" t="str">
        <f t="shared" si="67"/>
        <v/>
      </c>
      <c r="N1457" s="8">
        <v>0</v>
      </c>
      <c r="Q1457" s="1"/>
      <c r="R1457" s="1"/>
      <c r="S1457" s="1"/>
      <c r="T1457" s="8"/>
      <c r="U1457" s="8"/>
      <c r="V1457" s="1"/>
      <c r="W1457" s="1"/>
      <c r="X1457" s="1"/>
      <c r="Z1457" s="8"/>
    </row>
    <row r="1458" spans="1:26" x14ac:dyDescent="0.2">
      <c r="A1458" s="12">
        <f t="shared" si="68"/>
        <v>1446</v>
      </c>
      <c r="E1458" s="10" t="str">
        <f t="shared" si="66"/>
        <v/>
      </c>
      <c r="I1458" s="53" t="str">
        <f t="shared" si="67"/>
        <v/>
      </c>
      <c r="N1458" s="8">
        <v>0</v>
      </c>
      <c r="Q1458" s="1"/>
      <c r="R1458" s="1"/>
      <c r="S1458" s="1"/>
      <c r="T1458" s="8"/>
      <c r="U1458" s="8"/>
      <c r="V1458" s="1"/>
      <c r="W1458" s="1"/>
      <c r="X1458" s="1"/>
      <c r="Z1458" s="8"/>
    </row>
    <row r="1459" spans="1:26" x14ac:dyDescent="0.2">
      <c r="A1459" s="12">
        <f t="shared" si="68"/>
        <v>1447</v>
      </c>
      <c r="E1459" s="10" t="str">
        <f t="shared" si="66"/>
        <v/>
      </c>
      <c r="I1459" s="53" t="str">
        <f t="shared" si="67"/>
        <v/>
      </c>
      <c r="N1459" s="8">
        <v>0</v>
      </c>
      <c r="Q1459" s="1"/>
      <c r="R1459" s="1"/>
      <c r="S1459" s="1"/>
      <c r="T1459" s="8"/>
      <c r="U1459" s="8"/>
      <c r="V1459" s="1"/>
      <c r="W1459" s="1"/>
      <c r="X1459" s="1"/>
      <c r="Z1459" s="8"/>
    </row>
    <row r="1460" spans="1:26" x14ac:dyDescent="0.2">
      <c r="A1460" s="12">
        <f t="shared" si="68"/>
        <v>1448</v>
      </c>
      <c r="E1460" s="10" t="str">
        <f t="shared" si="66"/>
        <v/>
      </c>
      <c r="I1460" s="53" t="str">
        <f t="shared" si="67"/>
        <v/>
      </c>
      <c r="N1460" s="8">
        <v>0</v>
      </c>
      <c r="Q1460" s="1"/>
      <c r="R1460" s="1"/>
      <c r="S1460" s="1"/>
      <c r="T1460" s="8"/>
      <c r="U1460" s="8"/>
      <c r="V1460" s="1"/>
      <c r="W1460" s="1"/>
      <c r="X1460" s="1"/>
      <c r="Z1460" s="8"/>
    </row>
    <row r="1461" spans="1:26" x14ac:dyDescent="0.2">
      <c r="A1461" s="12">
        <f t="shared" si="68"/>
        <v>1449</v>
      </c>
      <c r="E1461" s="10" t="str">
        <f t="shared" si="66"/>
        <v/>
      </c>
      <c r="I1461" s="53" t="str">
        <f t="shared" si="67"/>
        <v/>
      </c>
      <c r="N1461" s="8">
        <v>0</v>
      </c>
      <c r="Q1461" s="1"/>
      <c r="R1461" s="1"/>
      <c r="S1461" s="1"/>
      <c r="T1461" s="8"/>
      <c r="U1461" s="8"/>
      <c r="V1461" s="1"/>
      <c r="W1461" s="1"/>
      <c r="X1461" s="1"/>
      <c r="Z1461" s="8"/>
    </row>
    <row r="1462" spans="1:26" x14ac:dyDescent="0.2">
      <c r="A1462" s="12">
        <f t="shared" si="68"/>
        <v>1450</v>
      </c>
      <c r="E1462" s="10" t="str">
        <f t="shared" si="66"/>
        <v/>
      </c>
      <c r="I1462" s="53" t="str">
        <f t="shared" si="67"/>
        <v/>
      </c>
      <c r="N1462" s="8">
        <v>0</v>
      </c>
      <c r="Q1462" s="1"/>
      <c r="R1462" s="1"/>
      <c r="S1462" s="1"/>
      <c r="T1462" s="8"/>
      <c r="U1462" s="8"/>
      <c r="V1462" s="1"/>
      <c r="W1462" s="1"/>
      <c r="X1462" s="1"/>
      <c r="Z1462" s="8"/>
    </row>
    <row r="1463" spans="1:26" x14ac:dyDescent="0.2">
      <c r="A1463" s="12">
        <f t="shared" si="68"/>
        <v>1451</v>
      </c>
      <c r="E1463" s="10" t="str">
        <f t="shared" si="66"/>
        <v/>
      </c>
      <c r="I1463" s="53" t="str">
        <f t="shared" si="67"/>
        <v/>
      </c>
      <c r="N1463" s="8">
        <v>0</v>
      </c>
      <c r="Q1463" s="1"/>
      <c r="R1463" s="1"/>
      <c r="S1463" s="1"/>
      <c r="T1463" s="8"/>
      <c r="U1463" s="8"/>
      <c r="V1463" s="1"/>
      <c r="W1463" s="1"/>
      <c r="X1463" s="1"/>
      <c r="Z1463" s="8"/>
    </row>
    <row r="1464" spans="1:26" x14ac:dyDescent="0.2">
      <c r="A1464" s="12">
        <f t="shared" si="68"/>
        <v>1452</v>
      </c>
      <c r="E1464" s="10" t="str">
        <f t="shared" si="66"/>
        <v/>
      </c>
      <c r="I1464" s="53" t="str">
        <f t="shared" si="67"/>
        <v/>
      </c>
      <c r="N1464" s="8">
        <v>0</v>
      </c>
      <c r="Q1464" s="1"/>
      <c r="R1464" s="1"/>
      <c r="S1464" s="1"/>
      <c r="T1464" s="8"/>
      <c r="U1464" s="8"/>
      <c r="V1464" s="1"/>
      <c r="W1464" s="1"/>
      <c r="X1464" s="1"/>
      <c r="Z1464" s="8"/>
    </row>
    <row r="1465" spans="1:26" x14ac:dyDescent="0.2">
      <c r="A1465" s="12">
        <f t="shared" si="68"/>
        <v>1453</v>
      </c>
      <c r="E1465" s="10" t="str">
        <f t="shared" si="66"/>
        <v/>
      </c>
      <c r="I1465" s="53" t="str">
        <f t="shared" si="67"/>
        <v/>
      </c>
      <c r="N1465" s="8">
        <v>0</v>
      </c>
      <c r="Q1465" s="1"/>
      <c r="R1465" s="1"/>
      <c r="S1465" s="1"/>
      <c r="T1465" s="8"/>
      <c r="U1465" s="8"/>
      <c r="V1465" s="1"/>
      <c r="W1465" s="1"/>
      <c r="X1465" s="1"/>
      <c r="Z1465" s="8"/>
    </row>
    <row r="1466" spans="1:26" x14ac:dyDescent="0.2">
      <c r="A1466" s="12">
        <f t="shared" si="68"/>
        <v>1454</v>
      </c>
      <c r="E1466" s="10" t="str">
        <f t="shared" si="66"/>
        <v/>
      </c>
      <c r="I1466" s="53" t="str">
        <f t="shared" si="67"/>
        <v/>
      </c>
      <c r="N1466" s="8">
        <v>0</v>
      </c>
      <c r="Q1466" s="1"/>
      <c r="R1466" s="1"/>
      <c r="S1466" s="1"/>
      <c r="T1466" s="8"/>
      <c r="U1466" s="8"/>
      <c r="V1466" s="1"/>
      <c r="W1466" s="1"/>
      <c r="X1466" s="1"/>
      <c r="Z1466" s="8"/>
    </row>
    <row r="1467" spans="1:26" x14ac:dyDescent="0.2">
      <c r="A1467" s="12">
        <f t="shared" si="68"/>
        <v>1455</v>
      </c>
      <c r="E1467" s="10" t="str">
        <f t="shared" si="66"/>
        <v/>
      </c>
      <c r="I1467" s="53" t="str">
        <f t="shared" si="67"/>
        <v/>
      </c>
      <c r="N1467" s="8">
        <v>0</v>
      </c>
      <c r="Q1467" s="1"/>
      <c r="R1467" s="1"/>
      <c r="S1467" s="1"/>
      <c r="T1467" s="8"/>
      <c r="U1467" s="8"/>
      <c r="V1467" s="1"/>
      <c r="W1467" s="1"/>
      <c r="X1467" s="1"/>
      <c r="Z1467" s="8"/>
    </row>
    <row r="1468" spans="1:26" x14ac:dyDescent="0.2">
      <c r="A1468" s="12">
        <f t="shared" si="68"/>
        <v>1456</v>
      </c>
      <c r="E1468" s="10" t="str">
        <f t="shared" si="66"/>
        <v/>
      </c>
      <c r="I1468" s="53" t="str">
        <f t="shared" si="67"/>
        <v/>
      </c>
      <c r="N1468" s="8">
        <v>0</v>
      </c>
      <c r="Q1468" s="1"/>
      <c r="R1468" s="1"/>
      <c r="S1468" s="1"/>
      <c r="T1468" s="8"/>
      <c r="U1468" s="8"/>
      <c r="V1468" s="1"/>
      <c r="W1468" s="1"/>
      <c r="X1468" s="1"/>
      <c r="Z1468" s="8"/>
    </row>
    <row r="1469" spans="1:26" x14ac:dyDescent="0.2">
      <c r="A1469" s="12">
        <f t="shared" si="68"/>
        <v>1457</v>
      </c>
      <c r="E1469" s="10" t="str">
        <f t="shared" si="66"/>
        <v/>
      </c>
      <c r="I1469" s="53" t="str">
        <f t="shared" si="67"/>
        <v/>
      </c>
      <c r="N1469" s="8">
        <v>0</v>
      </c>
      <c r="Q1469" s="1"/>
      <c r="R1469" s="1"/>
      <c r="S1469" s="1"/>
      <c r="T1469" s="8"/>
      <c r="U1469" s="8"/>
      <c r="V1469" s="1"/>
      <c r="W1469" s="1"/>
      <c r="X1469" s="1"/>
      <c r="Z1469" s="8"/>
    </row>
    <row r="1470" spans="1:26" x14ac:dyDescent="0.2">
      <c r="A1470" s="12">
        <f t="shared" si="68"/>
        <v>1458</v>
      </c>
      <c r="E1470" s="10" t="str">
        <f t="shared" si="66"/>
        <v/>
      </c>
      <c r="I1470" s="53" t="str">
        <f t="shared" si="67"/>
        <v/>
      </c>
      <c r="N1470" s="8">
        <v>0</v>
      </c>
      <c r="Q1470" s="1"/>
      <c r="R1470" s="1"/>
      <c r="S1470" s="1"/>
      <c r="T1470" s="8"/>
      <c r="U1470" s="8"/>
      <c r="V1470" s="1"/>
      <c r="W1470" s="1"/>
      <c r="X1470" s="1"/>
      <c r="Z1470" s="8"/>
    </row>
    <row r="1471" spans="1:26" x14ac:dyDescent="0.2">
      <c r="A1471" s="12">
        <f t="shared" si="68"/>
        <v>1459</v>
      </c>
      <c r="E1471" s="10" t="str">
        <f t="shared" si="66"/>
        <v/>
      </c>
      <c r="I1471" s="53" t="str">
        <f t="shared" si="67"/>
        <v/>
      </c>
      <c r="N1471" s="8">
        <v>0</v>
      </c>
      <c r="Q1471" s="1"/>
      <c r="R1471" s="1"/>
      <c r="S1471" s="1"/>
      <c r="T1471" s="8"/>
      <c r="U1471" s="8"/>
      <c r="V1471" s="1"/>
      <c r="W1471" s="1"/>
      <c r="X1471" s="1"/>
      <c r="Z1471" s="8"/>
    </row>
    <row r="1472" spans="1:26" x14ac:dyDescent="0.2">
      <c r="A1472" s="12">
        <f t="shared" si="68"/>
        <v>1460</v>
      </c>
      <c r="E1472" s="10" t="str">
        <f t="shared" si="66"/>
        <v/>
      </c>
      <c r="I1472" s="53" t="str">
        <f t="shared" si="67"/>
        <v/>
      </c>
      <c r="N1472" s="8">
        <v>0</v>
      </c>
      <c r="Q1472" s="1"/>
      <c r="R1472" s="1"/>
      <c r="S1472" s="1"/>
      <c r="T1472" s="8"/>
      <c r="U1472" s="8"/>
      <c r="V1472" s="1"/>
      <c r="W1472" s="1"/>
      <c r="X1472" s="1"/>
      <c r="Z1472" s="8"/>
    </row>
    <row r="1473" spans="1:26" x14ac:dyDescent="0.2">
      <c r="A1473" s="12">
        <f t="shared" si="68"/>
        <v>1461</v>
      </c>
      <c r="E1473" s="10" t="str">
        <f t="shared" si="66"/>
        <v/>
      </c>
      <c r="I1473" s="53" t="str">
        <f t="shared" si="67"/>
        <v/>
      </c>
      <c r="N1473" s="8">
        <v>0</v>
      </c>
      <c r="Q1473" s="1"/>
      <c r="R1473" s="1"/>
      <c r="S1473" s="1"/>
      <c r="T1473" s="8"/>
      <c r="U1473" s="8"/>
      <c r="V1473" s="1"/>
      <c r="W1473" s="1"/>
      <c r="X1473" s="1"/>
      <c r="Z1473" s="8"/>
    </row>
    <row r="1474" spans="1:26" x14ac:dyDescent="0.2">
      <c r="A1474" s="12">
        <f t="shared" si="68"/>
        <v>1462</v>
      </c>
      <c r="E1474" s="10" t="str">
        <f t="shared" si="66"/>
        <v/>
      </c>
      <c r="I1474" s="53" t="str">
        <f t="shared" si="67"/>
        <v/>
      </c>
      <c r="N1474" s="8">
        <v>0</v>
      </c>
      <c r="Q1474" s="1"/>
      <c r="R1474" s="1"/>
      <c r="S1474" s="1"/>
      <c r="T1474" s="8"/>
      <c r="U1474" s="8"/>
      <c r="V1474" s="1"/>
      <c r="W1474" s="1"/>
      <c r="X1474" s="1"/>
      <c r="Z1474" s="8"/>
    </row>
    <row r="1475" spans="1:26" x14ac:dyDescent="0.2">
      <c r="A1475" s="12">
        <f t="shared" si="68"/>
        <v>1463</v>
      </c>
      <c r="E1475" s="10" t="str">
        <f t="shared" si="66"/>
        <v/>
      </c>
      <c r="I1475" s="53" t="str">
        <f t="shared" si="67"/>
        <v/>
      </c>
      <c r="N1475" s="8">
        <v>0</v>
      </c>
      <c r="Q1475" s="1"/>
      <c r="R1475" s="1"/>
      <c r="S1475" s="1"/>
      <c r="T1475" s="8"/>
      <c r="U1475" s="8"/>
      <c r="V1475" s="1"/>
      <c r="W1475" s="1"/>
      <c r="X1475" s="1"/>
      <c r="Z1475" s="8"/>
    </row>
    <row r="1476" spans="1:26" x14ac:dyDescent="0.2">
      <c r="A1476" s="12">
        <f t="shared" si="68"/>
        <v>1464</v>
      </c>
      <c r="E1476" s="10" t="str">
        <f t="shared" si="66"/>
        <v/>
      </c>
      <c r="I1476" s="53" t="str">
        <f t="shared" si="67"/>
        <v/>
      </c>
      <c r="N1476" s="8">
        <v>0</v>
      </c>
      <c r="Q1476" s="1"/>
      <c r="R1476" s="1"/>
      <c r="S1476" s="1"/>
      <c r="T1476" s="8"/>
      <c r="U1476" s="8"/>
      <c r="V1476" s="1"/>
      <c r="W1476" s="1"/>
      <c r="X1476" s="1"/>
      <c r="Z1476" s="8"/>
    </row>
    <row r="1477" spans="1:26" x14ac:dyDescent="0.2">
      <c r="A1477" s="12">
        <f t="shared" si="68"/>
        <v>1465</v>
      </c>
      <c r="E1477" s="10" t="str">
        <f t="shared" si="66"/>
        <v/>
      </c>
      <c r="I1477" s="53" t="str">
        <f t="shared" si="67"/>
        <v/>
      </c>
      <c r="N1477" s="8">
        <v>0</v>
      </c>
      <c r="Q1477" s="1"/>
      <c r="R1477" s="1"/>
      <c r="S1477" s="1"/>
      <c r="T1477" s="8"/>
      <c r="U1477" s="8"/>
      <c r="V1477" s="1"/>
      <c r="W1477" s="1"/>
      <c r="X1477" s="1"/>
      <c r="Z1477" s="8"/>
    </row>
    <row r="1478" spans="1:26" x14ac:dyDescent="0.2">
      <c r="A1478" s="12">
        <f t="shared" si="68"/>
        <v>1466</v>
      </c>
      <c r="E1478" s="10" t="str">
        <f t="shared" si="66"/>
        <v/>
      </c>
      <c r="I1478" s="53" t="str">
        <f t="shared" si="67"/>
        <v/>
      </c>
      <c r="N1478" s="8">
        <v>0</v>
      </c>
      <c r="Q1478" s="1"/>
      <c r="R1478" s="1"/>
      <c r="S1478" s="1"/>
      <c r="T1478" s="8"/>
      <c r="U1478" s="8"/>
      <c r="V1478" s="1"/>
      <c r="W1478" s="1"/>
      <c r="X1478" s="1"/>
      <c r="Z1478" s="8"/>
    </row>
    <row r="1479" spans="1:26" x14ac:dyDescent="0.2">
      <c r="A1479" s="12">
        <f t="shared" si="68"/>
        <v>1467</v>
      </c>
      <c r="E1479" s="10" t="str">
        <f t="shared" si="66"/>
        <v/>
      </c>
      <c r="I1479" s="53" t="str">
        <f t="shared" si="67"/>
        <v/>
      </c>
      <c r="N1479" s="8">
        <v>0</v>
      </c>
      <c r="Q1479" s="1"/>
      <c r="R1479" s="1"/>
      <c r="S1479" s="1"/>
      <c r="T1479" s="8"/>
      <c r="U1479" s="8"/>
      <c r="V1479" s="1"/>
      <c r="W1479" s="1"/>
      <c r="X1479" s="1"/>
      <c r="Z1479" s="8"/>
    </row>
    <row r="1480" spans="1:26" x14ac:dyDescent="0.2">
      <c r="A1480" s="12">
        <f t="shared" si="68"/>
        <v>1468</v>
      </c>
      <c r="E1480" s="10" t="str">
        <f t="shared" si="66"/>
        <v/>
      </c>
      <c r="I1480" s="53" t="str">
        <f t="shared" si="67"/>
        <v/>
      </c>
      <c r="N1480" s="8">
        <v>0</v>
      </c>
      <c r="Q1480" s="1"/>
      <c r="R1480" s="1"/>
      <c r="S1480" s="1"/>
      <c r="T1480" s="8"/>
      <c r="U1480" s="8"/>
      <c r="V1480" s="1"/>
      <c r="W1480" s="1"/>
      <c r="X1480" s="1"/>
      <c r="Z1480" s="8"/>
    </row>
    <row r="1481" spans="1:26" x14ac:dyDescent="0.2">
      <c r="A1481" s="12">
        <f t="shared" si="68"/>
        <v>1469</v>
      </c>
      <c r="E1481" s="10" t="str">
        <f t="shared" si="66"/>
        <v/>
      </c>
      <c r="I1481" s="53" t="str">
        <f t="shared" si="67"/>
        <v/>
      </c>
      <c r="N1481" s="8">
        <v>0</v>
      </c>
      <c r="Q1481" s="1"/>
      <c r="R1481" s="1"/>
      <c r="S1481" s="1"/>
      <c r="T1481" s="8"/>
      <c r="U1481" s="8"/>
      <c r="V1481" s="1"/>
      <c r="W1481" s="1"/>
      <c r="X1481" s="1"/>
      <c r="Z1481" s="8"/>
    </row>
    <row r="1482" spans="1:26" x14ac:dyDescent="0.2">
      <c r="A1482" s="12">
        <f t="shared" si="68"/>
        <v>1470</v>
      </c>
      <c r="E1482" s="10" t="str">
        <f t="shared" si="66"/>
        <v/>
      </c>
      <c r="I1482" s="53" t="str">
        <f t="shared" si="67"/>
        <v/>
      </c>
      <c r="N1482" s="8">
        <v>0</v>
      </c>
      <c r="Q1482" s="1"/>
      <c r="R1482" s="1"/>
      <c r="S1482" s="1"/>
      <c r="T1482" s="8"/>
      <c r="U1482" s="8"/>
      <c r="V1482" s="1"/>
      <c r="W1482" s="1"/>
      <c r="X1482" s="1"/>
      <c r="Z1482" s="8"/>
    </row>
    <row r="1483" spans="1:26" x14ac:dyDescent="0.2">
      <c r="A1483" s="12">
        <f t="shared" si="68"/>
        <v>1471</v>
      </c>
      <c r="E1483" s="10" t="str">
        <f t="shared" si="66"/>
        <v/>
      </c>
      <c r="I1483" s="53" t="str">
        <f t="shared" si="67"/>
        <v/>
      </c>
      <c r="N1483" s="8">
        <v>0</v>
      </c>
      <c r="Q1483" s="1"/>
      <c r="R1483" s="1"/>
      <c r="S1483" s="1"/>
      <c r="T1483" s="8"/>
      <c r="U1483" s="8"/>
      <c r="V1483" s="1"/>
      <c r="W1483" s="1"/>
      <c r="X1483" s="1"/>
      <c r="Z1483" s="8"/>
    </row>
    <row r="1484" spans="1:26" x14ac:dyDescent="0.2">
      <c r="A1484" s="12">
        <f t="shared" si="68"/>
        <v>1472</v>
      </c>
      <c r="E1484" s="10" t="str">
        <f t="shared" si="66"/>
        <v/>
      </c>
      <c r="I1484" s="53" t="str">
        <f t="shared" si="67"/>
        <v/>
      </c>
      <c r="N1484" s="8">
        <v>0</v>
      </c>
      <c r="Q1484" s="1"/>
      <c r="R1484" s="1"/>
      <c r="S1484" s="1"/>
      <c r="T1484" s="8"/>
      <c r="U1484" s="8"/>
      <c r="V1484" s="1"/>
      <c r="W1484" s="1"/>
      <c r="X1484" s="1"/>
      <c r="Z1484" s="8"/>
    </row>
    <row r="1485" spans="1:26" x14ac:dyDescent="0.2">
      <c r="A1485" s="12">
        <f t="shared" si="68"/>
        <v>1473</v>
      </c>
      <c r="E1485" s="10" t="str">
        <f t="shared" ref="E1485:E1511" si="69">IF($C$8&gt;=A1485,$E$1&amp;" "&amp;A1485,"")</f>
        <v/>
      </c>
      <c r="I1485" s="53" t="str">
        <f t="shared" si="67"/>
        <v/>
      </c>
      <c r="N1485" s="8">
        <v>0</v>
      </c>
      <c r="Q1485" s="1"/>
      <c r="R1485" s="1"/>
      <c r="S1485" s="1"/>
      <c r="T1485" s="8"/>
      <c r="U1485" s="8"/>
      <c r="V1485" s="1"/>
      <c r="W1485" s="1"/>
      <c r="X1485" s="1"/>
      <c r="Z1485" s="8"/>
    </row>
    <row r="1486" spans="1:26" x14ac:dyDescent="0.2">
      <c r="A1486" s="12">
        <f t="shared" si="68"/>
        <v>1474</v>
      </c>
      <c r="E1486" s="10" t="str">
        <f t="shared" si="69"/>
        <v/>
      </c>
      <c r="I1486" s="53" t="str">
        <f t="shared" ref="I1486:I1511" si="70">IF(E1486="","",F1486-G1486-H1486)</f>
        <v/>
      </c>
      <c r="N1486" s="8">
        <v>0</v>
      </c>
      <c r="Q1486" s="1"/>
      <c r="R1486" s="1"/>
      <c r="S1486" s="1"/>
      <c r="T1486" s="8"/>
      <c r="U1486" s="8"/>
      <c r="V1486" s="1"/>
      <c r="W1486" s="1"/>
      <c r="X1486" s="1"/>
      <c r="Z1486" s="8"/>
    </row>
    <row r="1487" spans="1:26" x14ac:dyDescent="0.2">
      <c r="A1487" s="12">
        <f t="shared" ref="A1487:A1512" si="71">A1486+1</f>
        <v>1475</v>
      </c>
      <c r="E1487" s="10" t="str">
        <f t="shared" si="69"/>
        <v/>
      </c>
      <c r="I1487" s="53" t="str">
        <f t="shared" si="70"/>
        <v/>
      </c>
      <c r="N1487" s="8">
        <v>0</v>
      </c>
      <c r="Q1487" s="1"/>
      <c r="R1487" s="1"/>
      <c r="S1487" s="1"/>
      <c r="T1487" s="8"/>
      <c r="U1487" s="8"/>
      <c r="V1487" s="1"/>
      <c r="W1487" s="1"/>
      <c r="X1487" s="1"/>
      <c r="Z1487" s="8"/>
    </row>
    <row r="1488" spans="1:26" x14ac:dyDescent="0.2">
      <c r="A1488" s="12">
        <f t="shared" si="71"/>
        <v>1476</v>
      </c>
      <c r="E1488" s="10" t="str">
        <f t="shared" si="69"/>
        <v/>
      </c>
      <c r="I1488" s="53" t="str">
        <f t="shared" si="70"/>
        <v/>
      </c>
      <c r="N1488" s="8">
        <v>0</v>
      </c>
      <c r="Q1488" s="1"/>
      <c r="R1488" s="1"/>
      <c r="S1488" s="1"/>
      <c r="T1488" s="8"/>
      <c r="U1488" s="8"/>
      <c r="V1488" s="1"/>
      <c r="W1488" s="1"/>
      <c r="X1488" s="1"/>
      <c r="Z1488" s="8"/>
    </row>
    <row r="1489" spans="1:26" x14ac:dyDescent="0.2">
      <c r="A1489" s="12">
        <f t="shared" si="71"/>
        <v>1477</v>
      </c>
      <c r="E1489" s="10" t="str">
        <f t="shared" si="69"/>
        <v/>
      </c>
      <c r="I1489" s="53" t="str">
        <f t="shared" si="70"/>
        <v/>
      </c>
      <c r="N1489" s="8">
        <v>0</v>
      </c>
      <c r="Q1489" s="1"/>
      <c r="R1489" s="1"/>
      <c r="S1489" s="1"/>
      <c r="T1489" s="8"/>
      <c r="U1489" s="8"/>
      <c r="V1489" s="1"/>
      <c r="W1489" s="1"/>
      <c r="X1489" s="1"/>
      <c r="Z1489" s="8"/>
    </row>
    <row r="1490" spans="1:26" x14ac:dyDescent="0.2">
      <c r="A1490" s="12">
        <f t="shared" si="71"/>
        <v>1478</v>
      </c>
      <c r="E1490" s="10" t="str">
        <f t="shared" si="69"/>
        <v/>
      </c>
      <c r="I1490" s="53" t="str">
        <f t="shared" si="70"/>
        <v/>
      </c>
      <c r="N1490" s="8">
        <v>0</v>
      </c>
      <c r="Q1490" s="1"/>
      <c r="R1490" s="1"/>
      <c r="S1490" s="1"/>
      <c r="T1490" s="8"/>
      <c r="U1490" s="8"/>
      <c r="V1490" s="1"/>
      <c r="W1490" s="1"/>
      <c r="X1490" s="1"/>
      <c r="Z1490" s="8"/>
    </row>
    <row r="1491" spans="1:26" x14ac:dyDescent="0.2">
      <c r="A1491" s="12">
        <f t="shared" si="71"/>
        <v>1479</v>
      </c>
      <c r="E1491" s="10" t="str">
        <f t="shared" si="69"/>
        <v/>
      </c>
      <c r="I1491" s="53" t="str">
        <f t="shared" si="70"/>
        <v/>
      </c>
      <c r="N1491" s="8">
        <v>0</v>
      </c>
      <c r="Q1491" s="1"/>
      <c r="R1491" s="1"/>
      <c r="S1491" s="1"/>
      <c r="T1491" s="8"/>
      <c r="U1491" s="8"/>
      <c r="V1491" s="1"/>
      <c r="W1491" s="1"/>
      <c r="X1491" s="1"/>
      <c r="Z1491" s="8"/>
    </row>
    <row r="1492" spans="1:26" x14ac:dyDescent="0.2">
      <c r="A1492" s="12">
        <f t="shared" si="71"/>
        <v>1480</v>
      </c>
      <c r="E1492" s="10" t="str">
        <f t="shared" si="69"/>
        <v/>
      </c>
      <c r="I1492" s="53" t="str">
        <f t="shared" si="70"/>
        <v/>
      </c>
      <c r="N1492" s="8">
        <v>0</v>
      </c>
      <c r="Q1492" s="1"/>
      <c r="R1492" s="1"/>
      <c r="S1492" s="1"/>
      <c r="T1492" s="8"/>
      <c r="U1492" s="8"/>
      <c r="V1492" s="1"/>
      <c r="W1492" s="1"/>
      <c r="X1492" s="1"/>
      <c r="Z1492" s="8"/>
    </row>
    <row r="1493" spans="1:26" x14ac:dyDescent="0.2">
      <c r="A1493" s="12">
        <f t="shared" si="71"/>
        <v>1481</v>
      </c>
      <c r="E1493" s="10" t="str">
        <f t="shared" si="69"/>
        <v/>
      </c>
      <c r="I1493" s="53" t="str">
        <f t="shared" si="70"/>
        <v/>
      </c>
      <c r="N1493" s="8">
        <v>0</v>
      </c>
      <c r="Q1493" s="1"/>
      <c r="R1493" s="1"/>
      <c r="S1493" s="1"/>
      <c r="T1493" s="8"/>
      <c r="U1493" s="8"/>
      <c r="V1493" s="1"/>
      <c r="W1493" s="1"/>
      <c r="X1493" s="1"/>
      <c r="Z1493" s="8"/>
    </row>
    <row r="1494" spans="1:26" x14ac:dyDescent="0.2">
      <c r="A1494" s="12">
        <f t="shared" si="71"/>
        <v>1482</v>
      </c>
      <c r="E1494" s="10" t="str">
        <f t="shared" si="69"/>
        <v/>
      </c>
      <c r="I1494" s="53" t="str">
        <f t="shared" si="70"/>
        <v/>
      </c>
      <c r="N1494" s="8">
        <v>0</v>
      </c>
      <c r="Q1494" s="1"/>
      <c r="R1494" s="1"/>
      <c r="S1494" s="1"/>
      <c r="T1494" s="8"/>
      <c r="U1494" s="8"/>
      <c r="V1494" s="1"/>
      <c r="W1494" s="1"/>
      <c r="X1494" s="1"/>
      <c r="Z1494" s="8"/>
    </row>
    <row r="1495" spans="1:26" x14ac:dyDescent="0.2">
      <c r="A1495" s="12">
        <f t="shared" si="71"/>
        <v>1483</v>
      </c>
      <c r="E1495" s="10" t="str">
        <f t="shared" si="69"/>
        <v/>
      </c>
      <c r="I1495" s="53" t="str">
        <f t="shared" si="70"/>
        <v/>
      </c>
      <c r="N1495" s="8">
        <v>0</v>
      </c>
      <c r="Q1495" s="1"/>
      <c r="R1495" s="1"/>
      <c r="S1495" s="1"/>
      <c r="T1495" s="8"/>
      <c r="U1495" s="8"/>
      <c r="V1495" s="1"/>
      <c r="W1495" s="1"/>
      <c r="X1495" s="1"/>
      <c r="Z1495" s="8"/>
    </row>
    <row r="1496" spans="1:26" x14ac:dyDescent="0.2">
      <c r="A1496" s="12">
        <f t="shared" si="71"/>
        <v>1484</v>
      </c>
      <c r="E1496" s="10" t="str">
        <f t="shared" si="69"/>
        <v/>
      </c>
      <c r="I1496" s="53" t="str">
        <f t="shared" si="70"/>
        <v/>
      </c>
      <c r="N1496" s="8">
        <v>0</v>
      </c>
      <c r="Q1496" s="1"/>
      <c r="R1496" s="1"/>
      <c r="S1496" s="1"/>
      <c r="T1496" s="8"/>
      <c r="U1496" s="8"/>
      <c r="V1496" s="1"/>
      <c r="W1496" s="1"/>
      <c r="X1496" s="1"/>
      <c r="Z1496" s="8"/>
    </row>
    <row r="1497" spans="1:26" x14ac:dyDescent="0.2">
      <c r="A1497" s="12">
        <f t="shared" si="71"/>
        <v>1485</v>
      </c>
      <c r="E1497" s="10" t="str">
        <f t="shared" si="69"/>
        <v/>
      </c>
      <c r="I1497" s="53" t="str">
        <f t="shared" si="70"/>
        <v/>
      </c>
      <c r="N1497" s="8">
        <v>0</v>
      </c>
      <c r="Q1497" s="1"/>
      <c r="R1497" s="1"/>
      <c r="S1497" s="1"/>
      <c r="T1497" s="8"/>
      <c r="U1497" s="8"/>
      <c r="V1497" s="1"/>
      <c r="W1497" s="1"/>
      <c r="X1497" s="1"/>
      <c r="Z1497" s="8"/>
    </row>
    <row r="1498" spans="1:26" x14ac:dyDescent="0.2">
      <c r="A1498" s="12">
        <f t="shared" si="71"/>
        <v>1486</v>
      </c>
      <c r="E1498" s="10" t="str">
        <f t="shared" si="69"/>
        <v/>
      </c>
      <c r="I1498" s="53" t="str">
        <f t="shared" si="70"/>
        <v/>
      </c>
      <c r="N1498" s="8">
        <v>0</v>
      </c>
      <c r="Q1498" s="1"/>
      <c r="R1498" s="1"/>
      <c r="S1498" s="1"/>
      <c r="T1498" s="8"/>
      <c r="U1498" s="8"/>
      <c r="V1498" s="1"/>
      <c r="W1498" s="1"/>
      <c r="X1498" s="1"/>
      <c r="Z1498" s="8"/>
    </row>
    <row r="1499" spans="1:26" x14ac:dyDescent="0.2">
      <c r="A1499" s="12">
        <f t="shared" si="71"/>
        <v>1487</v>
      </c>
      <c r="E1499" s="10" t="str">
        <f t="shared" si="69"/>
        <v/>
      </c>
      <c r="I1499" s="53" t="str">
        <f t="shared" si="70"/>
        <v/>
      </c>
      <c r="N1499" s="8">
        <v>0</v>
      </c>
      <c r="Q1499" s="1"/>
      <c r="R1499" s="1"/>
      <c r="S1499" s="1"/>
      <c r="T1499" s="8"/>
      <c r="U1499" s="8"/>
      <c r="V1499" s="1"/>
      <c r="W1499" s="1"/>
      <c r="X1499" s="1"/>
      <c r="Z1499" s="8"/>
    </row>
    <row r="1500" spans="1:26" x14ac:dyDescent="0.2">
      <c r="A1500" s="12">
        <f t="shared" si="71"/>
        <v>1488</v>
      </c>
      <c r="E1500" s="10" t="str">
        <f t="shared" si="69"/>
        <v/>
      </c>
      <c r="I1500" s="53" t="str">
        <f t="shared" si="70"/>
        <v/>
      </c>
      <c r="N1500" s="8">
        <v>0</v>
      </c>
      <c r="Q1500" s="1"/>
      <c r="R1500" s="1"/>
      <c r="S1500" s="1"/>
      <c r="T1500" s="8"/>
      <c r="U1500" s="8"/>
      <c r="V1500" s="1"/>
      <c r="W1500" s="1"/>
      <c r="X1500" s="1"/>
      <c r="Z1500" s="8"/>
    </row>
    <row r="1501" spans="1:26" x14ac:dyDescent="0.2">
      <c r="A1501" s="12">
        <f t="shared" si="71"/>
        <v>1489</v>
      </c>
      <c r="E1501" s="10" t="str">
        <f t="shared" si="69"/>
        <v/>
      </c>
      <c r="I1501" s="53" t="str">
        <f t="shared" si="70"/>
        <v/>
      </c>
      <c r="N1501" s="8">
        <v>0</v>
      </c>
      <c r="Q1501" s="1"/>
      <c r="R1501" s="1"/>
      <c r="S1501" s="1"/>
      <c r="T1501" s="8"/>
      <c r="U1501" s="8"/>
      <c r="V1501" s="1"/>
      <c r="W1501" s="1"/>
      <c r="X1501" s="1"/>
      <c r="Z1501" s="8"/>
    </row>
    <row r="1502" spans="1:26" x14ac:dyDescent="0.2">
      <c r="A1502" s="12">
        <f t="shared" si="71"/>
        <v>1490</v>
      </c>
      <c r="E1502" s="10" t="str">
        <f t="shared" si="69"/>
        <v/>
      </c>
      <c r="I1502" s="53" t="str">
        <f t="shared" si="70"/>
        <v/>
      </c>
      <c r="N1502" s="8">
        <v>0</v>
      </c>
      <c r="Q1502" s="1"/>
      <c r="R1502" s="1"/>
      <c r="S1502" s="1"/>
      <c r="T1502" s="8"/>
      <c r="U1502" s="8"/>
      <c r="V1502" s="1"/>
      <c r="W1502" s="1"/>
      <c r="X1502" s="1"/>
      <c r="Z1502" s="8"/>
    </row>
    <row r="1503" spans="1:26" x14ac:dyDescent="0.2">
      <c r="A1503" s="12">
        <f t="shared" si="71"/>
        <v>1491</v>
      </c>
      <c r="E1503" s="10" t="str">
        <f t="shared" si="69"/>
        <v/>
      </c>
      <c r="I1503" s="53" t="str">
        <f t="shared" si="70"/>
        <v/>
      </c>
      <c r="N1503" s="8">
        <v>0</v>
      </c>
      <c r="Q1503" s="1"/>
      <c r="R1503" s="1"/>
      <c r="S1503" s="1"/>
      <c r="T1503" s="8"/>
      <c r="U1503" s="8"/>
      <c r="V1503" s="1"/>
      <c r="W1503" s="1"/>
      <c r="X1503" s="1"/>
      <c r="Z1503" s="8"/>
    </row>
    <row r="1504" spans="1:26" x14ac:dyDescent="0.2">
      <c r="A1504" s="12">
        <f t="shared" si="71"/>
        <v>1492</v>
      </c>
      <c r="E1504" s="10" t="str">
        <f t="shared" si="69"/>
        <v/>
      </c>
      <c r="I1504" s="53" t="str">
        <f t="shared" si="70"/>
        <v/>
      </c>
      <c r="N1504" s="8">
        <v>0</v>
      </c>
      <c r="Q1504" s="1"/>
      <c r="R1504" s="1"/>
      <c r="S1504" s="1"/>
      <c r="T1504" s="8"/>
      <c r="U1504" s="8"/>
      <c r="V1504" s="1"/>
      <c r="W1504" s="1"/>
      <c r="X1504" s="1"/>
      <c r="Z1504" s="8"/>
    </row>
    <row r="1505" spans="1:26" x14ac:dyDescent="0.2">
      <c r="A1505" s="12">
        <f t="shared" si="71"/>
        <v>1493</v>
      </c>
      <c r="E1505" s="10" t="str">
        <f t="shared" si="69"/>
        <v/>
      </c>
      <c r="I1505" s="53" t="str">
        <f t="shared" si="70"/>
        <v/>
      </c>
      <c r="N1505" s="8">
        <v>0</v>
      </c>
      <c r="Q1505" s="1"/>
      <c r="R1505" s="1"/>
      <c r="S1505" s="1"/>
      <c r="T1505" s="8"/>
      <c r="U1505" s="8"/>
      <c r="V1505" s="1"/>
      <c r="W1505" s="1"/>
      <c r="X1505" s="1"/>
      <c r="Z1505" s="8"/>
    </row>
    <row r="1506" spans="1:26" x14ac:dyDescent="0.2">
      <c r="A1506" s="12">
        <f t="shared" si="71"/>
        <v>1494</v>
      </c>
      <c r="E1506" s="10" t="str">
        <f t="shared" si="69"/>
        <v/>
      </c>
      <c r="I1506" s="53" t="str">
        <f t="shared" si="70"/>
        <v/>
      </c>
      <c r="N1506" s="8">
        <v>0</v>
      </c>
      <c r="Q1506" s="1"/>
      <c r="R1506" s="1"/>
      <c r="S1506" s="1"/>
      <c r="T1506" s="8"/>
      <c r="U1506" s="8"/>
      <c r="V1506" s="1"/>
      <c r="W1506" s="1"/>
      <c r="X1506" s="1"/>
      <c r="Z1506" s="8"/>
    </row>
    <row r="1507" spans="1:26" x14ac:dyDescent="0.2">
      <c r="A1507" s="12">
        <f t="shared" si="71"/>
        <v>1495</v>
      </c>
      <c r="E1507" s="10" t="str">
        <f t="shared" si="69"/>
        <v/>
      </c>
      <c r="I1507" s="53" t="str">
        <f t="shared" si="70"/>
        <v/>
      </c>
      <c r="N1507" s="8">
        <v>0</v>
      </c>
      <c r="Q1507" s="1"/>
      <c r="R1507" s="1"/>
      <c r="S1507" s="1"/>
      <c r="T1507" s="8"/>
      <c r="U1507" s="8"/>
      <c r="V1507" s="1"/>
      <c r="W1507" s="1"/>
      <c r="X1507" s="1"/>
      <c r="Z1507" s="8"/>
    </row>
    <row r="1508" spans="1:26" x14ac:dyDescent="0.2">
      <c r="A1508" s="12">
        <f t="shared" si="71"/>
        <v>1496</v>
      </c>
      <c r="E1508" s="10" t="str">
        <f t="shared" si="69"/>
        <v/>
      </c>
      <c r="I1508" s="53" t="str">
        <f t="shared" si="70"/>
        <v/>
      </c>
      <c r="N1508" s="8">
        <v>0</v>
      </c>
      <c r="Q1508" s="1"/>
      <c r="R1508" s="1"/>
      <c r="S1508" s="1"/>
      <c r="T1508" s="8"/>
      <c r="U1508" s="8"/>
      <c r="V1508" s="1"/>
      <c r="W1508" s="1"/>
      <c r="X1508" s="1"/>
      <c r="Z1508" s="8"/>
    </row>
    <row r="1509" spans="1:26" x14ac:dyDescent="0.2">
      <c r="A1509" s="12">
        <f t="shared" si="71"/>
        <v>1497</v>
      </c>
      <c r="E1509" s="10" t="str">
        <f t="shared" si="69"/>
        <v/>
      </c>
      <c r="I1509" s="53" t="str">
        <f t="shared" si="70"/>
        <v/>
      </c>
      <c r="N1509" s="8">
        <v>0</v>
      </c>
      <c r="Q1509" s="1"/>
      <c r="R1509" s="1"/>
      <c r="S1509" s="1"/>
      <c r="T1509" s="8"/>
      <c r="U1509" s="8"/>
      <c r="V1509" s="1"/>
      <c r="W1509" s="1"/>
      <c r="X1509" s="1"/>
      <c r="Z1509" s="8"/>
    </row>
    <row r="1510" spans="1:26" x14ac:dyDescent="0.2">
      <c r="A1510" s="12">
        <f t="shared" si="71"/>
        <v>1498</v>
      </c>
      <c r="E1510" s="10" t="str">
        <f t="shared" si="69"/>
        <v/>
      </c>
      <c r="I1510" s="53" t="str">
        <f t="shared" si="70"/>
        <v/>
      </c>
      <c r="N1510" s="8">
        <v>0</v>
      </c>
      <c r="Q1510" s="1"/>
      <c r="R1510" s="1"/>
      <c r="S1510" s="1"/>
      <c r="T1510" s="8"/>
      <c r="U1510" s="8"/>
      <c r="V1510" s="1"/>
      <c r="W1510" s="1"/>
      <c r="X1510" s="1"/>
      <c r="Z1510" s="8"/>
    </row>
    <row r="1511" spans="1:26" x14ac:dyDescent="0.2">
      <c r="A1511" s="12">
        <f t="shared" si="71"/>
        <v>1499</v>
      </c>
      <c r="E1511" s="10" t="str">
        <f t="shared" si="69"/>
        <v/>
      </c>
      <c r="I1511" s="53" t="str">
        <f t="shared" si="70"/>
        <v/>
      </c>
      <c r="N1511" s="8">
        <v>0</v>
      </c>
      <c r="Q1511" s="1"/>
      <c r="R1511" s="1"/>
      <c r="S1511" s="1"/>
      <c r="T1511" s="8"/>
      <c r="U1511" s="8"/>
      <c r="V1511" s="1"/>
      <c r="W1511" s="1"/>
      <c r="X1511" s="1"/>
      <c r="Z1511" s="8"/>
    </row>
    <row r="1512" spans="1:26" x14ac:dyDescent="0.2">
      <c r="A1512" s="12">
        <f t="shared" si="71"/>
        <v>1500</v>
      </c>
      <c r="N1512" s="8"/>
      <c r="Q1512" s="1"/>
      <c r="R1512" s="1"/>
      <c r="S1512" s="1"/>
      <c r="T1512" s="9"/>
      <c r="U1512" s="9"/>
      <c r="V1512" s="1"/>
      <c r="W1512" s="1"/>
      <c r="X1512" s="1"/>
    </row>
  </sheetData>
  <conditionalFormatting sqref="AC9">
    <cfRule type="containsText" dxfId="2" priority="2" operator="containsText" text="Warning">
      <formula>NOT(ISERROR(SEARCH("Warning",AC9)))</formula>
    </cfRule>
    <cfRule type="expression" dxfId="1" priority="3">
      <formula>$AC$1</formula>
    </cfRule>
  </conditionalFormatting>
  <conditionalFormatting sqref="Y27:AB1512 AA13:AB26 Y13:Y1511 AA19:AA1511">
    <cfRule type="containsText" dxfId="0" priority="1" operator="containsText" text="Unstable">
      <formula>NOT(ISERROR(SEARCH("Unstable",Y13)))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Calculate Outputs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25400</xdr:rowOff>
                  </from>
                  <to>
                    <xdr:col>3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2020-06-22T18:50:38Z</dcterms:modified>
</cp:coreProperties>
</file>